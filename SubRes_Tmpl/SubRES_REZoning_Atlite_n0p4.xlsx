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eda\VerveStacks\6kinesys_development\re_characterization\subres_pipeline\"/>
    </mc:Choice>
  </mc:AlternateContent>
  <xr:revisionPtr revIDLastSave="0" documentId="13_ncr:1_{D1BE6EC6-9BB4-442D-BB1F-0ADE8ECBE2D8}" xr6:coauthVersionLast="47" xr6:coauthVersionMax="47" xr10:uidLastSave="{00000000-0000-0000-0000-000000000000}"/>
  <bookViews>
    <workbookView xWindow="-98" yWindow="-98" windowWidth="28996" windowHeight="17475" firstSheet="2" activeTab="10" xr2:uid="{00000000-000D-0000-FFFF-FFFF00000000}"/>
  </bookViews>
  <sheets>
    <sheet name="Hydro Methodology" sheetId="12" r:id="rId1"/>
    <sheet name="Hydro" sheetId="15" r:id="rId2"/>
    <sheet name="SupplyCurves_Low" sheetId="13" r:id="rId3"/>
    <sheet name="SupplyCurves_High" sheetId="14" r:id="rId4"/>
    <sheet name="LNG Terminals" sheetId="20" r:id="rId5"/>
    <sheet name="storage doc" sheetId="21" r:id="rId6"/>
    <sheet name="storage_ISO_steps" sheetId="22" r:id="rId7"/>
    <sheet name="spv" sheetId="23" r:id="rId8"/>
    <sheet name="won" sheetId="24" r:id="rId9"/>
    <sheet name="wof" sheetId="25" r:id="rId10"/>
    <sheet name="vre_commodities" sheetId="2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8" i="15" l="1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F208" i="15"/>
  <c r="E208" i="15"/>
  <c r="B208" i="15"/>
  <c r="F207" i="15"/>
  <c r="E207" i="15"/>
  <c r="B207" i="15"/>
  <c r="F206" i="15"/>
  <c r="E206" i="15"/>
  <c r="B206" i="15"/>
  <c r="F205" i="15"/>
  <c r="E205" i="15"/>
  <c r="B205" i="15"/>
  <c r="F204" i="15"/>
  <c r="E204" i="15"/>
  <c r="B204" i="15"/>
  <c r="F203" i="15"/>
  <c r="E203" i="15"/>
  <c r="B203" i="15"/>
  <c r="F202" i="15"/>
  <c r="E202" i="15"/>
  <c r="B202" i="15"/>
  <c r="F201" i="15"/>
  <c r="E201" i="15"/>
  <c r="B201" i="15"/>
  <c r="F200" i="15"/>
  <c r="E200" i="15"/>
  <c r="B200" i="15"/>
  <c r="F199" i="15"/>
  <c r="E199" i="15"/>
  <c r="B199" i="15"/>
  <c r="F198" i="15"/>
  <c r="E198" i="15"/>
  <c r="B198" i="15"/>
  <c r="F197" i="15"/>
  <c r="E197" i="15"/>
  <c r="B197" i="15"/>
  <c r="F196" i="15"/>
  <c r="E196" i="15"/>
  <c r="B196" i="15"/>
  <c r="F195" i="15"/>
  <c r="E195" i="15"/>
  <c r="B195" i="15"/>
  <c r="F194" i="15"/>
  <c r="E194" i="15"/>
  <c r="B194" i="15"/>
  <c r="F193" i="15"/>
  <c r="E193" i="15"/>
  <c r="B193" i="15"/>
  <c r="F192" i="15"/>
  <c r="E192" i="15"/>
  <c r="B192" i="15"/>
  <c r="F191" i="15"/>
  <c r="E191" i="15"/>
  <c r="B191" i="15"/>
  <c r="F190" i="15"/>
  <c r="E190" i="15"/>
  <c r="B190" i="15"/>
  <c r="F189" i="15"/>
  <c r="E189" i="15"/>
  <c r="B189" i="15"/>
  <c r="F188" i="15"/>
  <c r="E188" i="15"/>
  <c r="B188" i="15"/>
  <c r="F187" i="15"/>
  <c r="E187" i="15"/>
  <c r="B187" i="15"/>
  <c r="F186" i="15"/>
  <c r="E186" i="15"/>
  <c r="B186" i="15"/>
  <c r="F185" i="15"/>
  <c r="E185" i="15"/>
  <c r="B185" i="15"/>
  <c r="F184" i="15"/>
  <c r="E184" i="15"/>
  <c r="B184" i="15"/>
  <c r="F183" i="15"/>
  <c r="E183" i="15"/>
  <c r="B183" i="15"/>
  <c r="F182" i="15"/>
  <c r="E182" i="15"/>
  <c r="B182" i="15"/>
  <c r="F181" i="15"/>
  <c r="E181" i="15"/>
  <c r="B181" i="15"/>
  <c r="F180" i="15"/>
  <c r="E180" i="15"/>
  <c r="B180" i="15"/>
  <c r="F179" i="15"/>
  <c r="E179" i="15"/>
  <c r="B179" i="15"/>
  <c r="F178" i="15"/>
  <c r="E178" i="15"/>
  <c r="B178" i="15"/>
  <c r="F177" i="15"/>
  <c r="E177" i="15"/>
  <c r="B177" i="15"/>
  <c r="F176" i="15"/>
  <c r="E176" i="15"/>
  <c r="B176" i="15"/>
  <c r="F175" i="15"/>
  <c r="E175" i="15"/>
  <c r="B175" i="15"/>
  <c r="F174" i="15"/>
  <c r="E174" i="15"/>
  <c r="B174" i="15"/>
  <c r="F173" i="15"/>
  <c r="E173" i="15"/>
  <c r="B173" i="15"/>
  <c r="F172" i="15"/>
  <c r="E172" i="15"/>
  <c r="B172" i="15"/>
  <c r="F171" i="15"/>
  <c r="E171" i="15"/>
  <c r="B171" i="15"/>
  <c r="F170" i="15"/>
  <c r="E170" i="15"/>
  <c r="B170" i="15"/>
  <c r="F169" i="15"/>
  <c r="E169" i="15"/>
  <c r="B169" i="15"/>
  <c r="F168" i="15"/>
  <c r="E168" i="15"/>
  <c r="B168" i="15"/>
  <c r="F167" i="15"/>
  <c r="E167" i="15"/>
  <c r="B167" i="15"/>
  <c r="F166" i="15"/>
  <c r="E166" i="15"/>
  <c r="B166" i="15"/>
  <c r="F165" i="15"/>
  <c r="E165" i="15"/>
  <c r="B165" i="15"/>
  <c r="F164" i="15"/>
  <c r="E164" i="15"/>
  <c r="B164" i="15"/>
  <c r="F163" i="15"/>
  <c r="E163" i="15"/>
  <c r="B163" i="15"/>
  <c r="F162" i="15"/>
  <c r="E162" i="15"/>
  <c r="B162" i="15"/>
  <c r="F161" i="15"/>
  <c r="E161" i="15"/>
  <c r="B161" i="15"/>
  <c r="F160" i="15"/>
  <c r="E160" i="15"/>
  <c r="B160" i="15"/>
  <c r="F159" i="15"/>
  <c r="E159" i="15"/>
  <c r="B159" i="15"/>
  <c r="F158" i="15"/>
  <c r="E158" i="15"/>
  <c r="B158" i="15"/>
  <c r="F157" i="15"/>
  <c r="E157" i="15"/>
  <c r="B157" i="15"/>
  <c r="F156" i="15"/>
  <c r="E156" i="15"/>
  <c r="B156" i="15"/>
  <c r="F155" i="15"/>
  <c r="E155" i="15"/>
  <c r="B155" i="15"/>
  <c r="F154" i="15"/>
  <c r="E154" i="15"/>
  <c r="B154" i="15"/>
  <c r="F153" i="15"/>
  <c r="E153" i="15"/>
  <c r="B153" i="15"/>
  <c r="F152" i="15"/>
  <c r="E152" i="15"/>
  <c r="B152" i="15"/>
  <c r="F151" i="15"/>
  <c r="E151" i="15"/>
  <c r="B151" i="15"/>
  <c r="F150" i="15"/>
  <c r="E150" i="15"/>
  <c r="B150" i="15"/>
  <c r="F149" i="15"/>
  <c r="E149" i="15"/>
  <c r="B149" i="15"/>
  <c r="F148" i="15"/>
  <c r="E148" i="15"/>
  <c r="B148" i="15"/>
  <c r="F147" i="15"/>
  <c r="E147" i="15"/>
  <c r="B147" i="15"/>
  <c r="F146" i="15"/>
  <c r="E146" i="15"/>
  <c r="B146" i="15"/>
  <c r="F145" i="15"/>
  <c r="E145" i="15"/>
  <c r="B145" i="15"/>
  <c r="F144" i="15"/>
  <c r="E144" i="15"/>
  <c r="B144" i="15"/>
  <c r="F143" i="15"/>
  <c r="E143" i="15"/>
  <c r="B143" i="15"/>
  <c r="F142" i="15"/>
  <c r="E142" i="15"/>
  <c r="B142" i="15"/>
  <c r="F141" i="15"/>
  <c r="E141" i="15"/>
  <c r="B141" i="15"/>
  <c r="F140" i="15"/>
  <c r="E140" i="15"/>
  <c r="B140" i="15"/>
  <c r="F139" i="15"/>
  <c r="E139" i="15"/>
  <c r="B139" i="15"/>
  <c r="F138" i="15"/>
  <c r="E138" i="15"/>
  <c r="B138" i="15"/>
  <c r="F137" i="15"/>
  <c r="E137" i="15"/>
  <c r="B137" i="15"/>
  <c r="F136" i="15"/>
  <c r="E136" i="15"/>
  <c r="B136" i="15"/>
  <c r="F135" i="15"/>
  <c r="E135" i="15"/>
  <c r="B135" i="15"/>
  <c r="F134" i="15"/>
  <c r="E134" i="15"/>
  <c r="B134" i="15"/>
  <c r="F133" i="15"/>
  <c r="E133" i="15"/>
  <c r="B133" i="15"/>
  <c r="F132" i="15"/>
  <c r="E132" i="15"/>
  <c r="B132" i="15"/>
  <c r="F131" i="15"/>
  <c r="E131" i="15"/>
  <c r="B131" i="15"/>
  <c r="F130" i="15"/>
  <c r="E130" i="15"/>
  <c r="B130" i="15"/>
  <c r="F129" i="15"/>
  <c r="E129" i="15"/>
  <c r="B129" i="15"/>
  <c r="F128" i="15"/>
  <c r="E128" i="15"/>
  <c r="B128" i="15"/>
  <c r="F127" i="15"/>
  <c r="E127" i="15"/>
  <c r="B127" i="15"/>
  <c r="F126" i="15"/>
  <c r="E126" i="15"/>
  <c r="B126" i="15"/>
  <c r="F125" i="15"/>
  <c r="E125" i="15"/>
  <c r="B125" i="15"/>
  <c r="F124" i="15"/>
  <c r="E124" i="15"/>
  <c r="B124" i="15"/>
  <c r="F123" i="15"/>
  <c r="E123" i="15"/>
  <c r="B123" i="15"/>
  <c r="F122" i="15"/>
  <c r="E122" i="15"/>
  <c r="B122" i="15"/>
  <c r="F121" i="15"/>
  <c r="E121" i="15"/>
  <c r="B121" i="15"/>
  <c r="F120" i="15"/>
  <c r="E120" i="15"/>
  <c r="B120" i="15"/>
  <c r="F119" i="15"/>
  <c r="E119" i="15"/>
  <c r="B119" i="15"/>
  <c r="F118" i="15"/>
  <c r="E118" i="15"/>
  <c r="B118" i="15"/>
  <c r="F117" i="15"/>
  <c r="E117" i="15"/>
  <c r="B117" i="15"/>
  <c r="F116" i="15"/>
  <c r="E116" i="15"/>
  <c r="B116" i="15"/>
  <c r="F115" i="15"/>
  <c r="E115" i="15"/>
  <c r="B115" i="15"/>
  <c r="F114" i="15"/>
  <c r="E114" i="15"/>
  <c r="B114" i="15"/>
  <c r="F113" i="15"/>
  <c r="E113" i="15"/>
  <c r="B113" i="15"/>
  <c r="F112" i="15"/>
  <c r="E112" i="15"/>
  <c r="B112" i="15"/>
  <c r="F111" i="15"/>
  <c r="E111" i="15"/>
  <c r="B111" i="15"/>
  <c r="F110" i="15"/>
  <c r="E110" i="15"/>
  <c r="B110" i="15"/>
  <c r="F109" i="15"/>
  <c r="E109" i="15"/>
  <c r="B109" i="15"/>
  <c r="F108" i="15"/>
  <c r="E108" i="15"/>
  <c r="B108" i="15"/>
  <c r="F107" i="15"/>
  <c r="E107" i="15"/>
  <c r="B107" i="15"/>
  <c r="F106" i="15"/>
  <c r="E106" i="15"/>
  <c r="B106" i="15"/>
  <c r="F105" i="15"/>
  <c r="E105" i="15"/>
  <c r="B105" i="15"/>
  <c r="F104" i="15"/>
  <c r="E104" i="15"/>
  <c r="B104" i="15"/>
  <c r="F103" i="15"/>
  <c r="E103" i="15"/>
  <c r="B103" i="15"/>
  <c r="F102" i="15"/>
  <c r="E102" i="15"/>
  <c r="B102" i="15"/>
  <c r="F101" i="15"/>
  <c r="E101" i="15"/>
  <c r="B101" i="15"/>
  <c r="F100" i="15"/>
  <c r="E100" i="15"/>
  <c r="B100" i="15"/>
  <c r="F99" i="15"/>
  <c r="E99" i="15"/>
  <c r="B99" i="15"/>
  <c r="F98" i="15"/>
  <c r="E98" i="15"/>
  <c r="B98" i="15"/>
  <c r="F97" i="15"/>
  <c r="E97" i="15"/>
  <c r="B97" i="15"/>
  <c r="F96" i="15"/>
  <c r="E96" i="15"/>
  <c r="B96" i="15"/>
  <c r="F95" i="15"/>
  <c r="E95" i="15"/>
  <c r="B95" i="15"/>
  <c r="F94" i="15"/>
  <c r="E94" i="15"/>
  <c r="B94" i="15"/>
  <c r="F93" i="15"/>
  <c r="E93" i="15"/>
  <c r="B93" i="15"/>
  <c r="F92" i="15"/>
  <c r="E92" i="15"/>
  <c r="B92" i="15"/>
  <c r="F91" i="15"/>
  <c r="E91" i="15"/>
  <c r="B91" i="15"/>
  <c r="F90" i="15"/>
  <c r="E90" i="15"/>
  <c r="B90" i="15"/>
  <c r="F89" i="15"/>
  <c r="E89" i="15"/>
  <c r="B89" i="15"/>
  <c r="F88" i="15"/>
  <c r="E88" i="15"/>
  <c r="B88" i="15"/>
  <c r="F87" i="15"/>
  <c r="E87" i="15"/>
  <c r="B87" i="15"/>
  <c r="F86" i="15"/>
  <c r="E86" i="15"/>
  <c r="B86" i="15"/>
  <c r="F85" i="15"/>
  <c r="E85" i="15"/>
  <c r="B85" i="15"/>
  <c r="F84" i="15"/>
  <c r="E84" i="15"/>
  <c r="B84" i="15"/>
  <c r="F83" i="15"/>
  <c r="E83" i="15"/>
  <c r="B83" i="15"/>
  <c r="F82" i="15"/>
  <c r="E82" i="15"/>
  <c r="B82" i="15"/>
  <c r="F81" i="15"/>
  <c r="E81" i="15"/>
  <c r="B81" i="15"/>
  <c r="F80" i="15"/>
  <c r="E80" i="15"/>
  <c r="B80" i="15"/>
  <c r="F79" i="15"/>
  <c r="E79" i="15"/>
  <c r="B79" i="15"/>
  <c r="F78" i="15"/>
  <c r="E78" i="15"/>
  <c r="B78" i="15"/>
  <c r="F77" i="15"/>
  <c r="E77" i="15"/>
  <c r="B77" i="15"/>
  <c r="F76" i="15"/>
  <c r="E76" i="15"/>
  <c r="B76" i="15"/>
  <c r="F75" i="15"/>
  <c r="E75" i="15"/>
  <c r="B75" i="15"/>
  <c r="F74" i="15"/>
  <c r="E74" i="15"/>
  <c r="B74" i="15"/>
  <c r="F73" i="15"/>
  <c r="E73" i="15"/>
  <c r="B73" i="15"/>
  <c r="F72" i="15"/>
  <c r="E72" i="15"/>
  <c r="B72" i="15"/>
  <c r="F71" i="15"/>
  <c r="E71" i="15"/>
  <c r="B71" i="15"/>
  <c r="F70" i="15"/>
  <c r="E70" i="15"/>
  <c r="B70" i="15"/>
  <c r="F69" i="15"/>
  <c r="E69" i="15"/>
  <c r="B69" i="15"/>
  <c r="F68" i="15"/>
  <c r="E68" i="15"/>
  <c r="B68" i="15"/>
  <c r="F67" i="15"/>
  <c r="E67" i="15"/>
  <c r="B67" i="15"/>
  <c r="F66" i="15"/>
  <c r="E66" i="15"/>
  <c r="B66" i="15"/>
  <c r="F65" i="15"/>
  <c r="E65" i="15"/>
  <c r="B65" i="15"/>
  <c r="F64" i="15"/>
  <c r="E64" i="15"/>
  <c r="B64" i="15"/>
  <c r="F63" i="15"/>
  <c r="E63" i="15"/>
  <c r="B63" i="15"/>
  <c r="F62" i="15"/>
  <c r="E62" i="15"/>
  <c r="B62" i="15"/>
  <c r="F61" i="15"/>
  <c r="E61" i="15"/>
  <c r="B61" i="15"/>
  <c r="F60" i="15"/>
  <c r="E60" i="15"/>
  <c r="B60" i="15"/>
  <c r="F59" i="15"/>
  <c r="E59" i="15"/>
  <c r="B59" i="15"/>
  <c r="F58" i="15"/>
  <c r="E58" i="15"/>
  <c r="B58" i="15"/>
  <c r="F57" i="15"/>
  <c r="E57" i="15"/>
  <c r="B57" i="15"/>
  <c r="F56" i="15"/>
  <c r="E56" i="15"/>
  <c r="B56" i="15"/>
  <c r="F55" i="15"/>
  <c r="E55" i="15"/>
  <c r="B55" i="15"/>
  <c r="F54" i="15"/>
  <c r="E54" i="15"/>
  <c r="B54" i="15"/>
  <c r="F53" i="15"/>
  <c r="E53" i="15"/>
  <c r="B53" i="15"/>
  <c r="F52" i="15"/>
  <c r="E52" i="15"/>
  <c r="B52" i="15"/>
  <c r="F51" i="15"/>
  <c r="E51" i="15"/>
  <c r="B51" i="15"/>
  <c r="F50" i="15"/>
  <c r="E50" i="15"/>
  <c r="B50" i="15"/>
  <c r="F49" i="15"/>
  <c r="E49" i="15"/>
  <c r="B49" i="15"/>
  <c r="F48" i="15"/>
  <c r="E48" i="15"/>
  <c r="B48" i="15"/>
  <c r="F47" i="15"/>
  <c r="E47" i="15"/>
  <c r="B47" i="15"/>
  <c r="F46" i="15"/>
  <c r="E46" i="15"/>
  <c r="B46" i="15"/>
  <c r="F45" i="15"/>
  <c r="E45" i="15"/>
  <c r="B45" i="15"/>
  <c r="F44" i="15"/>
  <c r="E44" i="15"/>
  <c r="B44" i="15"/>
  <c r="F43" i="15"/>
  <c r="E43" i="15"/>
  <c r="B43" i="15"/>
  <c r="F42" i="15"/>
  <c r="E42" i="15"/>
  <c r="B42" i="15"/>
  <c r="F41" i="15"/>
  <c r="E41" i="15"/>
  <c r="B41" i="15"/>
  <c r="F40" i="15"/>
  <c r="E40" i="15"/>
  <c r="B40" i="15"/>
  <c r="F39" i="15"/>
  <c r="E39" i="15"/>
  <c r="B39" i="15"/>
  <c r="F38" i="15"/>
  <c r="E38" i="15"/>
  <c r="B38" i="15"/>
  <c r="F37" i="15"/>
  <c r="E37" i="15"/>
  <c r="B37" i="15"/>
  <c r="F36" i="15"/>
  <c r="E36" i="15"/>
  <c r="B36" i="15"/>
  <c r="F35" i="15"/>
  <c r="E35" i="15"/>
  <c r="B35" i="15"/>
  <c r="F34" i="15"/>
  <c r="E34" i="15"/>
  <c r="B34" i="15"/>
  <c r="F33" i="15"/>
  <c r="E33" i="15"/>
  <c r="B33" i="15"/>
  <c r="F32" i="15"/>
  <c r="E32" i="15"/>
  <c r="B32" i="15"/>
  <c r="F31" i="15"/>
  <c r="E31" i="15"/>
  <c r="B31" i="15"/>
  <c r="F30" i="15"/>
  <c r="E30" i="15"/>
  <c r="B30" i="15"/>
  <c r="F29" i="15"/>
  <c r="E29" i="15"/>
  <c r="B29" i="15"/>
  <c r="F28" i="15"/>
  <c r="E28" i="15"/>
  <c r="B28" i="15"/>
  <c r="F27" i="15"/>
  <c r="E27" i="15"/>
  <c r="B27" i="15"/>
  <c r="F26" i="15"/>
  <c r="E26" i="15"/>
  <c r="B26" i="15"/>
  <c r="F25" i="15"/>
  <c r="E25" i="15"/>
  <c r="B25" i="15"/>
  <c r="F24" i="15"/>
  <c r="E24" i="15"/>
  <c r="B24" i="15"/>
  <c r="F23" i="15"/>
  <c r="E23" i="15"/>
  <c r="B23" i="15"/>
  <c r="F22" i="15"/>
  <c r="E22" i="15"/>
  <c r="B22" i="15"/>
  <c r="F21" i="15"/>
  <c r="E21" i="15"/>
  <c r="B21" i="15"/>
  <c r="F20" i="15"/>
  <c r="E20" i="15"/>
  <c r="B20" i="15"/>
  <c r="F19" i="15"/>
  <c r="E19" i="15"/>
  <c r="B19" i="15"/>
  <c r="F18" i="15"/>
  <c r="E18" i="15"/>
  <c r="B18" i="15"/>
  <c r="F17" i="15"/>
  <c r="E17" i="15"/>
  <c r="B17" i="15"/>
  <c r="F16" i="15"/>
  <c r="E16" i="15"/>
  <c r="B16" i="15"/>
  <c r="F15" i="15"/>
  <c r="E15" i="15"/>
  <c r="B15" i="15"/>
  <c r="F14" i="15"/>
  <c r="E14" i="15"/>
  <c r="B14" i="15"/>
  <c r="F13" i="15"/>
  <c r="E13" i="15"/>
  <c r="B13" i="15"/>
  <c r="F12" i="15"/>
  <c r="E12" i="15"/>
  <c r="B12" i="15"/>
  <c r="F11" i="15"/>
  <c r="E11" i="15"/>
  <c r="B11" i="15"/>
  <c r="F10" i="15"/>
  <c r="E10" i="15"/>
  <c r="B10" i="15"/>
  <c r="F9" i="15"/>
  <c r="E9" i="15"/>
  <c r="B9" i="15"/>
  <c r="F8" i="15"/>
  <c r="E8" i="15"/>
  <c r="B8" i="15"/>
  <c r="F7" i="15"/>
  <c r="E7" i="15"/>
  <c r="B7" i="15"/>
  <c r="F6" i="15"/>
  <c r="E6" i="15"/>
  <c r="B6" i="15"/>
  <c r="F5" i="15"/>
  <c r="E5" i="15"/>
  <c r="B5" i="15"/>
  <c r="I208" i="15"/>
  <c r="I207" i="15"/>
  <c r="I206" i="15"/>
  <c r="I205" i="15"/>
  <c r="I204" i="15"/>
  <c r="I203" i="15"/>
  <c r="I202" i="15"/>
  <c r="I201" i="15"/>
  <c r="I200" i="15"/>
  <c r="I199" i="15"/>
  <c r="I198" i="15"/>
  <c r="I197" i="15"/>
  <c r="I196" i="15"/>
  <c r="I195" i="15"/>
  <c r="I194" i="15"/>
  <c r="I193" i="15"/>
  <c r="I192" i="15"/>
  <c r="I191" i="15"/>
  <c r="I190" i="15"/>
  <c r="I189" i="15"/>
  <c r="I188" i="15"/>
  <c r="I187" i="15"/>
  <c r="I186" i="15"/>
  <c r="I185" i="15"/>
  <c r="I184" i="15"/>
  <c r="I183" i="15"/>
  <c r="I182" i="15"/>
  <c r="I181" i="15"/>
  <c r="I180" i="15"/>
  <c r="I179" i="15"/>
  <c r="I178" i="15"/>
  <c r="I177" i="15"/>
  <c r="I176" i="15"/>
  <c r="I175" i="15"/>
  <c r="I174" i="15"/>
  <c r="I173" i="15"/>
  <c r="I172" i="15"/>
  <c r="I171" i="15"/>
  <c r="I170" i="15"/>
  <c r="I169" i="15"/>
  <c r="I168" i="15"/>
  <c r="I167" i="15"/>
  <c r="I166" i="15"/>
  <c r="I165" i="15"/>
  <c r="I164" i="15"/>
  <c r="I163" i="15"/>
  <c r="I162" i="15"/>
  <c r="I161" i="15"/>
  <c r="I160" i="15"/>
  <c r="I159" i="15"/>
  <c r="I158" i="15"/>
  <c r="I157" i="15"/>
  <c r="I156" i="15"/>
  <c r="I155" i="15"/>
  <c r="I154" i="15"/>
  <c r="I153" i="15"/>
  <c r="I152" i="15"/>
  <c r="I151" i="15"/>
  <c r="I150" i="15"/>
  <c r="I149" i="15"/>
  <c r="I148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I127" i="15"/>
  <c r="I126" i="15"/>
  <c r="I125" i="15"/>
  <c r="I124" i="15"/>
  <c r="I123" i="15"/>
  <c r="I122" i="15"/>
  <c r="I121" i="15"/>
  <c r="I120" i="15"/>
  <c r="I119" i="15"/>
  <c r="I118" i="15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</calcChain>
</file>

<file path=xl/sharedStrings.xml><?xml version="1.0" encoding="utf-8"?>
<sst xmlns="http://schemas.openxmlformats.org/spreadsheetml/2006/main" count="60497" uniqueCount="10640">
  <si>
    <t>~fi_process</t>
  </si>
  <si>
    <t>~fi_t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</si>
  <si>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</si>
  <si>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</si>
  <si>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</si>
  <si>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</si>
  <si>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</si>
  <si>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</si>
  <si>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</si>
  <si>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comm-out</t>
  </si>
  <si>
    <t>cap_bnd</t>
  </si>
  <si>
    <t>GW</t>
  </si>
  <si>
    <t>no</t>
  </si>
  <si>
    <t>PJ</t>
  </si>
  <si>
    <t>invcost~USD21_alt</t>
  </si>
  <si>
    <t>AFG</t>
  </si>
  <si>
    <t>AGO</t>
  </si>
  <si>
    <t>ARG</t>
  </si>
  <si>
    <t>BDI</t>
  </si>
  <si>
    <t>BGD</t>
  </si>
  <si>
    <t>BLR</t>
  </si>
  <si>
    <t>BOL</t>
  </si>
  <si>
    <t>BRA</t>
  </si>
  <si>
    <t>CAF</t>
  </si>
  <si>
    <t>CAN</t>
  </si>
  <si>
    <t>CHL</t>
  </si>
  <si>
    <t>CIV</t>
  </si>
  <si>
    <t>CMR</t>
  </si>
  <si>
    <t>COD</t>
  </si>
  <si>
    <t>COG</t>
  </si>
  <si>
    <t>COL</t>
  </si>
  <si>
    <t>ECU</t>
  </si>
  <si>
    <t>ETH</t>
  </si>
  <si>
    <t>GAB</t>
  </si>
  <si>
    <t>GIN</t>
  </si>
  <si>
    <t>GTM</t>
  </si>
  <si>
    <t>GUY</t>
  </si>
  <si>
    <t>HND</t>
  </si>
  <si>
    <t>HUN</t>
  </si>
  <si>
    <t>IDN</t>
  </si>
  <si>
    <t>IND</t>
  </si>
  <si>
    <t>ISR</t>
  </si>
  <si>
    <t>JOR</t>
  </si>
  <si>
    <t>KEN</t>
  </si>
  <si>
    <t>KGZ</t>
  </si>
  <si>
    <t>KHM</t>
  </si>
  <si>
    <t>LAO</t>
  </si>
  <si>
    <t>LBR</t>
  </si>
  <si>
    <t>MDG</t>
  </si>
  <si>
    <t>MEX</t>
  </si>
  <si>
    <t>MLI</t>
  </si>
  <si>
    <t>MMR</t>
  </si>
  <si>
    <t>MNG</t>
  </si>
  <si>
    <t>MOZ</t>
  </si>
  <si>
    <t>MWI</t>
  </si>
  <si>
    <t>NAM</t>
  </si>
  <si>
    <t>NGA</t>
  </si>
  <si>
    <t>NIC</t>
  </si>
  <si>
    <t>NPL</t>
  </si>
  <si>
    <t>PAK</t>
  </si>
  <si>
    <t>PER</t>
  </si>
  <si>
    <t>PHL</t>
  </si>
  <si>
    <t>PNG</t>
  </si>
  <si>
    <t>RUS</t>
  </si>
  <si>
    <t>RWA</t>
  </si>
  <si>
    <t>SEN</t>
  </si>
  <si>
    <t>SLE</t>
  </si>
  <si>
    <t>SLV</t>
  </si>
  <si>
    <t>SUR</t>
  </si>
  <si>
    <t>TJK</t>
  </si>
  <si>
    <t>TZA</t>
  </si>
  <si>
    <t>UGA</t>
  </si>
  <si>
    <t>VEN</t>
  </si>
  <si>
    <t>ZMB</t>
  </si>
  <si>
    <t>ZWE</t>
  </si>
  <si>
    <t>daynite</t>
  </si>
  <si>
    <t>ELC</t>
  </si>
  <si>
    <t>TechName</t>
  </si>
  <si>
    <t>Afghanistan</t>
  </si>
  <si>
    <t>Angola</t>
  </si>
  <si>
    <t>Argentina</t>
  </si>
  <si>
    <t>Burundi</t>
  </si>
  <si>
    <t>Bangladesh</t>
  </si>
  <si>
    <t>Belarus</t>
  </si>
  <si>
    <t>Bolivia</t>
  </si>
  <si>
    <t>Brazil</t>
  </si>
  <si>
    <t>BTN</t>
  </si>
  <si>
    <t>Bhutan</t>
  </si>
  <si>
    <t>Central African Republic</t>
  </si>
  <si>
    <t>Canada</t>
  </si>
  <si>
    <t>Chile</t>
  </si>
  <si>
    <t>Cameroon</t>
  </si>
  <si>
    <t>Colombia</t>
  </si>
  <si>
    <t>Ecuador</t>
  </si>
  <si>
    <t>Ethiopia</t>
  </si>
  <si>
    <t>Gabon</t>
  </si>
  <si>
    <t>Guinea</t>
  </si>
  <si>
    <t>Guatemala</t>
  </si>
  <si>
    <t>Guyana</t>
  </si>
  <si>
    <t>Honduras</t>
  </si>
  <si>
    <t>Hungary</t>
  </si>
  <si>
    <t>Indonesia</t>
  </si>
  <si>
    <t>India</t>
  </si>
  <si>
    <t>Israel</t>
  </si>
  <si>
    <t>Jordan</t>
  </si>
  <si>
    <t>Kenya</t>
  </si>
  <si>
    <t>Cambodia</t>
  </si>
  <si>
    <t>Laos</t>
  </si>
  <si>
    <t>Liberia</t>
  </si>
  <si>
    <t>Madagascar</t>
  </si>
  <si>
    <t>Mexico</t>
  </si>
  <si>
    <t>Mali</t>
  </si>
  <si>
    <t>Myanmar</t>
  </si>
  <si>
    <t>Mongolia</t>
  </si>
  <si>
    <t>Mozambique</t>
  </si>
  <si>
    <t>Malawi</t>
  </si>
  <si>
    <t>Nigeria</t>
  </si>
  <si>
    <t>Nicaragua</t>
  </si>
  <si>
    <t>Nepal</t>
  </si>
  <si>
    <t>Pakistan</t>
  </si>
  <si>
    <t>Peru</t>
  </si>
  <si>
    <t>Philippines</t>
  </si>
  <si>
    <t>Papua New Guinea</t>
  </si>
  <si>
    <t>Russia</t>
  </si>
  <si>
    <t>Rwanda</t>
  </si>
  <si>
    <t>Senegal</t>
  </si>
  <si>
    <t>Sierra Leone</t>
  </si>
  <si>
    <t>El Salvador</t>
  </si>
  <si>
    <t>Suriname</t>
  </si>
  <si>
    <t>Tajikistan</t>
  </si>
  <si>
    <t>Tanzania</t>
  </si>
  <si>
    <t>Uganda</t>
  </si>
  <si>
    <t>Venezuela</t>
  </si>
  <si>
    <t>Zambia</t>
  </si>
  <si>
    <t>Zimbabwe</t>
  </si>
  <si>
    <t>HYDROPOWER SUPPLY CURVES FOR TIMES MODELING</t>
  </si>
  <si>
    <t>DATA SOURCES</t>
  </si>
  <si>
    <t>Primary - Gross Potential</t>
  </si>
  <si>
    <t>Hoes et al. (2017) PLOS ONE - DOI: 10.1371/journal.pone.0171844</t>
  </si>
  <si>
    <t>Economic Ratios</t>
  </si>
  <si>
    <t>Gernaat et al. (2017) Nature Energy - DOI: 10.1038/s41560-017-0006-y</t>
  </si>
  <si>
    <t>Current Capacity</t>
  </si>
  <si>
    <t>IHA World Hydropower Outlook 2024, IRENA Statistics</t>
  </si>
  <si>
    <t>METHODOLOGY</t>
  </si>
  <si>
    <t>Gross Potential</t>
  </si>
  <si>
    <t>From Hoes et al. 11.8 million site assessment using 7.5 arcsec DEM</t>
  </si>
  <si>
    <t>Economic Potential</t>
  </si>
  <si>
    <t>~18% of gross (Gernaat ratio for sites &lt;$0.50/kWh)</t>
  </si>
  <si>
    <t>GW Conversion</t>
  </si>
  <si>
    <t>Assumes 4000 full load hours (46% capacity factor)</t>
  </si>
  <si>
    <t>Additional_Low</t>
  </si>
  <si>
    <t>Economic potential minus current installed capacity</t>
  </si>
  <si>
    <t>Additional_High</t>
  </si>
  <si>
    <t>25% of gross potential minus current installed capacity</t>
  </si>
  <si>
    <t>INCREMENTAL COST INTERPRETATION</t>
  </si>
  <si>
    <t>T1 Cost = 0</t>
  </si>
  <si>
    <t>T2-T4 Costs</t>
  </si>
  <si>
    <t>TIMES Usage</t>
  </si>
  <si>
    <t>Model as stepped supply curve using NCAP_BND(UP) for each tranche</t>
  </si>
  <si>
    <t>TECHNOLOGY NAMING</t>
  </si>
  <si>
    <t>Convention</t>
  </si>
  <si>
    <t>EN_Hydro_&lt;ISO3&gt;_&lt;Tranche&gt;</t>
  </si>
  <si>
    <t>Example</t>
  </si>
  <si>
    <t>EN_Hydro_BRA_T1, EN_Hydro_BRA_T2, EN_Hydro_BRA_T3, EN_Hydro_BRA_T4</t>
  </si>
  <si>
    <t>NOTES</t>
  </si>
  <si>
    <t>Excludes</t>
  </si>
  <si>
    <t>Pumped storage hydro (PSH) - separate technology</t>
  </si>
  <si>
    <t>Constraints</t>
  </si>
  <si>
    <t>Environmental/social factors may further limit development</t>
  </si>
  <si>
    <t>Climate</t>
  </si>
  <si>
    <t>Potential may shift with changing precipitation patterns</t>
  </si>
  <si>
    <t>REFERENCES</t>
  </si>
  <si>
    <t>[1]</t>
  </si>
  <si>
    <t>Hoes OAC et al. (2017) Systematic high-resolution assessment of global hydropower potential. PLOS ONE 12(2): e0171844</t>
  </si>
  <si>
    <t>[2]</t>
  </si>
  <si>
    <t>Gernaat DEHJ et al. (2017) High-resolution assessment of global technical and economic hydropower potential. Nature Energy 2: 821-828</t>
  </si>
  <si>
    <t>[3]</t>
  </si>
  <si>
    <t>[4]</t>
  </si>
  <si>
    <t>IHA (2024) World Hydropower Outlook</t>
  </si>
  <si>
    <t>ISO3</t>
  </si>
  <si>
    <t>Country</t>
  </si>
  <si>
    <t>Region</t>
  </si>
  <si>
    <t>Tranche</t>
  </si>
  <si>
    <t>Potential_GW</t>
  </si>
  <si>
    <t>Potential_MW</t>
  </si>
  <si>
    <t>INVCOST_Incremental_USD_kW</t>
  </si>
  <si>
    <t>INVCOST_Absolute_USD_kW</t>
  </si>
  <si>
    <t>LCOE_Range</t>
  </si>
  <si>
    <t>EN_Hydro_BRA_T1</t>
  </si>
  <si>
    <t>CSA</t>
  </si>
  <si>
    <t>T1</t>
  </si>
  <si>
    <t>EN_Hydro_BRA_T2</t>
  </si>
  <si>
    <t>T2</t>
  </si>
  <si>
    <t>EN_Hydro_BRA_T3</t>
  </si>
  <si>
    <t>T3</t>
  </si>
  <si>
    <t>EN_Hydro_BRA_T4</t>
  </si>
  <si>
    <t>T4</t>
  </si>
  <si>
    <t>EN_Hydro_RUS_T1</t>
  </si>
  <si>
    <t>FSU</t>
  </si>
  <si>
    <t>EN_Hydro_RUS_T2</t>
  </si>
  <si>
    <t>EN_Hydro_RUS_T3</t>
  </si>
  <si>
    <t>EN_Hydro_RUS_T4</t>
  </si>
  <si>
    <t>EN_Hydro_IND_T1</t>
  </si>
  <si>
    <t>SAS</t>
  </si>
  <si>
    <t>EN_Hydro_IND_T2</t>
  </si>
  <si>
    <t>EN_Hydro_IND_T3</t>
  </si>
  <si>
    <t>EN_Hydro_IND_T4</t>
  </si>
  <si>
    <t>EN_Hydro_COD_T1</t>
  </si>
  <si>
    <t>DR Congo</t>
  </si>
  <si>
    <t>AFR</t>
  </si>
  <si>
    <t>EN_Hydro_COD_T2</t>
  </si>
  <si>
    <t>EN_Hydro_COD_T3</t>
  </si>
  <si>
    <t>EN_Hydro_COD_T4</t>
  </si>
  <si>
    <t>EN_Hydro_IDN_T1</t>
  </si>
  <si>
    <t>PAS</t>
  </si>
  <si>
    <t>EN_Hydro_IDN_T2</t>
  </si>
  <si>
    <t>EN_Hydro_IDN_T3</t>
  </si>
  <si>
    <t>EN_Hydro_IDN_T4</t>
  </si>
  <si>
    <t>EN_Hydro_PER_T1</t>
  </si>
  <si>
    <t>EN_Hydro_PER_T2</t>
  </si>
  <si>
    <t>EN_Hydro_PER_T3</t>
  </si>
  <si>
    <t>EN_Hydro_PER_T4</t>
  </si>
  <si>
    <t>EN_Hydro_COL_T1</t>
  </si>
  <si>
    <t>EN_Hydro_COL_T2</t>
  </si>
  <si>
    <t>EN_Hydro_COL_T3</t>
  </si>
  <si>
    <t>EN_Hydro_COL_T4</t>
  </si>
  <si>
    <t>EN_Hydro_VEN_T1</t>
  </si>
  <si>
    <t>EN_Hydro_VEN_T2</t>
  </si>
  <si>
    <t>EN_Hydro_VEN_T3</t>
  </si>
  <si>
    <t>EN_Hydro_VEN_T4</t>
  </si>
  <si>
    <t>EN_Hydro_MMR_T1</t>
  </si>
  <si>
    <t>CPA</t>
  </si>
  <si>
    <t>EN_Hydro_MMR_T2</t>
  </si>
  <si>
    <t>EN_Hydro_MMR_T3</t>
  </si>
  <si>
    <t>EN_Hydro_MMR_T4</t>
  </si>
  <si>
    <t>EN_Hydro_NPL_T1</t>
  </si>
  <si>
    <t>EN_Hydro_NPL_T2</t>
  </si>
  <si>
    <t>EN_Hydro_NPL_T3</t>
  </si>
  <si>
    <t>EN_Hydro_NPL_T4</t>
  </si>
  <si>
    <t>EN_Hydro_PAK_T1</t>
  </si>
  <si>
    <t>EN_Hydro_PAK_T2</t>
  </si>
  <si>
    <t>EN_Hydro_PAK_T3</t>
  </si>
  <si>
    <t>EN_Hydro_PAK_T4</t>
  </si>
  <si>
    <t>EN_Hydro_ARG_T1</t>
  </si>
  <si>
    <t>EN_Hydro_ARG_T2</t>
  </si>
  <si>
    <t>EN_Hydro_ARG_T3</t>
  </si>
  <si>
    <t>EN_Hydro_ARG_T4</t>
  </si>
  <si>
    <t>EN_Hydro_MEX_T1</t>
  </si>
  <si>
    <t>EN_Hydro_MEX_T2</t>
  </si>
  <si>
    <t>EN_Hydro_MEX_T3</t>
  </si>
  <si>
    <t>EN_Hydro_MEX_T4</t>
  </si>
  <si>
    <t>EN_Hydro_ETH_T1</t>
  </si>
  <si>
    <t>EN_Hydro_ETH_T2</t>
  </si>
  <si>
    <t>EN_Hydro_ETH_T3</t>
  </si>
  <si>
    <t>EN_Hydro_ETH_T4</t>
  </si>
  <si>
    <t>EN_Hydro_BOL_T1</t>
  </si>
  <si>
    <t>EN_Hydro_BOL_T2</t>
  </si>
  <si>
    <t>EN_Hydro_BOL_T3</t>
  </si>
  <si>
    <t>EN_Hydro_BOL_T4</t>
  </si>
  <si>
    <t>EN_Hydro_ECU_T1</t>
  </si>
  <si>
    <t>EN_Hydro_ECU_T2</t>
  </si>
  <si>
    <t>EN_Hydro_ECU_T3</t>
  </si>
  <si>
    <t>EN_Hydro_ECU_T4</t>
  </si>
  <si>
    <t>EN_Hydro_LAO_T1</t>
  </si>
  <si>
    <t>EN_Hydro_LAO_T2</t>
  </si>
  <si>
    <t>EN_Hydro_LAO_T3</t>
  </si>
  <si>
    <t>EN_Hydro_LAO_T4</t>
  </si>
  <si>
    <t>EN_Hydro_NGA_T1</t>
  </si>
  <si>
    <t>EN_Hydro_NGA_T2</t>
  </si>
  <si>
    <t>EN_Hydro_NGA_T3</t>
  </si>
  <si>
    <t>EN_Hydro_NGA_T4</t>
  </si>
  <si>
    <t>EN_Hydro_PHL_T1</t>
  </si>
  <si>
    <t>EN_Hydro_PHL_T2</t>
  </si>
  <si>
    <t>EN_Hydro_PHL_T3</t>
  </si>
  <si>
    <t>EN_Hydro_PHL_T4</t>
  </si>
  <si>
    <t>EN_Hydro_CMR_T1</t>
  </si>
  <si>
    <t>EN_Hydro_CMR_T2</t>
  </si>
  <si>
    <t>EN_Hydro_CMR_T3</t>
  </si>
  <si>
    <t>EN_Hydro_CMR_T4</t>
  </si>
  <si>
    <t>EN_Hydro_AGO_T1</t>
  </si>
  <si>
    <t>EN_Hydro_AGO_T2</t>
  </si>
  <si>
    <t>EN_Hydro_AGO_T3</t>
  </si>
  <si>
    <t>EN_Hydro_AGO_T4</t>
  </si>
  <si>
    <t>EN_Hydro_TZA_T1</t>
  </si>
  <si>
    <t>EN_Hydro_TZA_T2</t>
  </si>
  <si>
    <t>EN_Hydro_TZA_T3</t>
  </si>
  <si>
    <t>EN_Hydro_TZA_T4</t>
  </si>
  <si>
    <t>EN_Hydro_MOZ_T1</t>
  </si>
  <si>
    <t>EN_Hydro_MOZ_T2</t>
  </si>
  <si>
    <t>EN_Hydro_MOZ_T3</t>
  </si>
  <si>
    <t>EN_Hydro_MOZ_T4</t>
  </si>
  <si>
    <t>EN_Hydro_ZMB_T1</t>
  </si>
  <si>
    <t>EN_Hydro_ZMB_T2</t>
  </si>
  <si>
    <t>EN_Hydro_ZMB_T3</t>
  </si>
  <si>
    <t>EN_Hydro_ZMB_T4</t>
  </si>
  <si>
    <t>EN_Hydro_BTN_T1</t>
  </si>
  <si>
    <t>EN_Hydro_BTN_T2</t>
  </si>
  <si>
    <t>EN_Hydro_BTN_T3</t>
  </si>
  <si>
    <t>EN_Hydro_BTN_T4</t>
  </si>
  <si>
    <t>EN_Hydro_UGA_T1</t>
  </si>
  <si>
    <t>EN_Hydro_UGA_T2</t>
  </si>
  <si>
    <t>EN_Hydro_UGA_T3</t>
  </si>
  <si>
    <t>EN_Hydro_UGA_T4</t>
  </si>
  <si>
    <t>EN_Hydro_PNG_T1</t>
  </si>
  <si>
    <t>EN_Hydro_PNG_T2</t>
  </si>
  <si>
    <t>EN_Hydro_PNG_T3</t>
  </si>
  <si>
    <t>EN_Hydro_PNG_T4</t>
  </si>
  <si>
    <t>EN_Hydro_ZWE_T1</t>
  </si>
  <si>
    <t>EN_Hydro_ZWE_T2</t>
  </si>
  <si>
    <t>EN_Hydro_ZWE_T3</t>
  </si>
  <si>
    <t>EN_Hydro_ZWE_T4</t>
  </si>
  <si>
    <t>EN_Hydro_KGZ_T1</t>
  </si>
  <si>
    <t>Kyrgyzstan</t>
  </si>
  <si>
    <t>EN_Hydro_KGZ_T2</t>
  </si>
  <si>
    <t>EN_Hydro_KGZ_T3</t>
  </si>
  <si>
    <t>EN_Hydro_KGZ_T4</t>
  </si>
  <si>
    <t>EN_Hydro_KEN_T1</t>
  </si>
  <si>
    <t>EN_Hydro_KEN_T2</t>
  </si>
  <si>
    <t>EN_Hydro_KEN_T3</t>
  </si>
  <si>
    <t>EN_Hydro_KEN_T4</t>
  </si>
  <si>
    <t>EN_Hydro_GUY_T1</t>
  </si>
  <si>
    <t>EN_Hydro_GUY_T2</t>
  </si>
  <si>
    <t>EN_Hydro_GUY_T3</t>
  </si>
  <si>
    <t>EN_Hydro_GUY_T4</t>
  </si>
  <si>
    <t>EN_Hydro_AFG_T1</t>
  </si>
  <si>
    <t>EN_Hydro_AFG_T2</t>
  </si>
  <si>
    <t>EN_Hydro_AFG_T3</t>
  </si>
  <si>
    <t>EN_Hydro_AFG_T4</t>
  </si>
  <si>
    <t>EN_Hydro_COG_T1</t>
  </si>
  <si>
    <t>Congo</t>
  </si>
  <si>
    <t>EN_Hydro_COG_T2</t>
  </si>
  <si>
    <t>EN_Hydro_COG_T3</t>
  </si>
  <si>
    <t>EN_Hydro_COG_T4</t>
  </si>
  <si>
    <t>EN_Hydro_GIN_T1</t>
  </si>
  <si>
    <t>EN_Hydro_GIN_T2</t>
  </si>
  <si>
    <t>EN_Hydro_GIN_T3</t>
  </si>
  <si>
    <t>EN_Hydro_GIN_T4</t>
  </si>
  <si>
    <t>EN_Hydro_GAB_T1</t>
  </si>
  <si>
    <t>EN_Hydro_GAB_T2</t>
  </si>
  <si>
    <t>EN_Hydro_GAB_T3</t>
  </si>
  <si>
    <t>EN_Hydro_GAB_T4</t>
  </si>
  <si>
    <t>EN_Hydro_GTM_T1</t>
  </si>
  <si>
    <t>EN_Hydro_GTM_T2</t>
  </si>
  <si>
    <t>EN_Hydro_GTM_T3</t>
  </si>
  <si>
    <t>EN_Hydro_GTM_T4</t>
  </si>
  <si>
    <t>EN_Hydro_SUR_T1</t>
  </si>
  <si>
    <t>EN_Hydro_SUR_T2</t>
  </si>
  <si>
    <t>EN_Hydro_SUR_T3</t>
  </si>
  <si>
    <t>EN_Hydro_SUR_T4</t>
  </si>
  <si>
    <t>EN_Hydro_MDG_T1</t>
  </si>
  <si>
    <t>EN_Hydro_MDG_T2</t>
  </si>
  <si>
    <t>EN_Hydro_MDG_T3</t>
  </si>
  <si>
    <t>EN_Hydro_MDG_T4</t>
  </si>
  <si>
    <t>EN_Hydro_HND_T1</t>
  </si>
  <si>
    <t>EN_Hydro_HND_T2</t>
  </si>
  <si>
    <t>EN_Hydro_HND_T3</t>
  </si>
  <si>
    <t>EN_Hydro_HND_T4</t>
  </si>
  <si>
    <t>EN_Hydro_CAF_T1</t>
  </si>
  <si>
    <t>EN_Hydro_CAF_T2</t>
  </si>
  <si>
    <t>EN_Hydro_CAF_T3</t>
  </si>
  <si>
    <t>EN_Hydro_CAF_T4</t>
  </si>
  <si>
    <t>EN_Hydro_NIC_T1</t>
  </si>
  <si>
    <t>EN_Hydro_NIC_T2</t>
  </si>
  <si>
    <t>EN_Hydro_NIC_T3</t>
  </si>
  <si>
    <t>EN_Hydro_NIC_T4</t>
  </si>
  <si>
    <t>EN_Hydro_SLE_T1</t>
  </si>
  <si>
    <t>EN_Hydro_SLE_T2</t>
  </si>
  <si>
    <t>EN_Hydro_SLE_T3</t>
  </si>
  <si>
    <t>EN_Hydro_SLE_T4</t>
  </si>
  <si>
    <t>EN_Hydro_MWI_T1</t>
  </si>
  <si>
    <t>EN_Hydro_MWI_T2</t>
  </si>
  <si>
    <t>EN_Hydro_MWI_T3</t>
  </si>
  <si>
    <t>EN_Hydro_MWI_T4</t>
  </si>
  <si>
    <t>EN_Hydro_MNG_T1</t>
  </si>
  <si>
    <t>EN_Hydro_MNG_T2</t>
  </si>
  <si>
    <t>EN_Hydro_MNG_T3</t>
  </si>
  <si>
    <t>EN_Hydro_MNG_T4</t>
  </si>
  <si>
    <t>EN_Hydro_MLI_T1</t>
  </si>
  <si>
    <t>EN_Hydro_MLI_T2</t>
  </si>
  <si>
    <t>EN_Hydro_MLI_T3</t>
  </si>
  <si>
    <t>EN_Hydro_MLI_T4</t>
  </si>
  <si>
    <t>EN_Hydro_SEN_T1</t>
  </si>
  <si>
    <t>EN_Hydro_SEN_T2</t>
  </si>
  <si>
    <t>EN_Hydro_SEN_T3</t>
  </si>
  <si>
    <t>EN_Hydro_SEN_T4</t>
  </si>
  <si>
    <t>EN_Hydro_RWA_T1</t>
  </si>
  <si>
    <t>EN_Hydro_RWA_T2</t>
  </si>
  <si>
    <t>EN_Hydro_RWA_T3</t>
  </si>
  <si>
    <t>EN_Hydro_RWA_T4</t>
  </si>
  <si>
    <t>EN_Hydro_LBR_T1</t>
  </si>
  <si>
    <t>EN_Hydro_LBR_T2</t>
  </si>
  <si>
    <t>EN_Hydro_LBR_T3</t>
  </si>
  <si>
    <t>EN_Hydro_LBR_T4</t>
  </si>
  <si>
    <t>EN_Hydro_BDI_T1</t>
  </si>
  <si>
    <t>EN_Hydro_BDI_T2</t>
  </si>
  <si>
    <t>EN_Hydro_BDI_T3</t>
  </si>
  <si>
    <t>EN_Hydro_BDI_T4</t>
  </si>
  <si>
    <t>EN_Hydro_HUN_T1</t>
  </si>
  <si>
    <t>EUR</t>
  </si>
  <si>
    <t>EN_Hydro_HUN_T2</t>
  </si>
  <si>
    <t>EN_Hydro_HUN_T3</t>
  </si>
  <si>
    <t>EN_Hydro_HUN_T4</t>
  </si>
  <si>
    <t>EN_Hydro_BLR_T1</t>
  </si>
  <si>
    <t>EN_Hydro_BLR_T2</t>
  </si>
  <si>
    <t>EN_Hydro_BLR_T3</t>
  </si>
  <si>
    <t>EN_Hydro_BLR_T4</t>
  </si>
  <si>
    <t>EN_Hydro_CAN_T1</t>
  </si>
  <si>
    <t>EN_Hydro_CAN_T2</t>
  </si>
  <si>
    <t>EN_Hydro_CAN_T3</t>
  </si>
  <si>
    <t>EN_Hydro_CAN_T4</t>
  </si>
  <si>
    <t>EN_Hydro_CHL_T1</t>
  </si>
  <si>
    <t>EN_Hydro_CHL_T2</t>
  </si>
  <si>
    <t>EN_Hydro_CHL_T3</t>
  </si>
  <si>
    <t>EN_Hydro_CHL_T4</t>
  </si>
  <si>
    <t>EN_Hydro_TJK_T1</t>
  </si>
  <si>
    <t>EN_Hydro_TJK_T2</t>
  </si>
  <si>
    <t>EN_Hydro_TJK_T3</t>
  </si>
  <si>
    <t>EN_Hydro_TJK_T4</t>
  </si>
  <si>
    <t>EN_Hydro_KHM_T1</t>
  </si>
  <si>
    <t>EN_Hydro_KHM_T2</t>
  </si>
  <si>
    <t>EN_Hydro_KHM_T3</t>
  </si>
  <si>
    <t>EN_Hydro_KHM_T4</t>
  </si>
  <si>
    <t>EN_Hydro_SDN_T1</t>
  </si>
  <si>
    <t>SDN</t>
  </si>
  <si>
    <t>Sudan</t>
  </si>
  <si>
    <t>EN_Hydro_SDN_T2</t>
  </si>
  <si>
    <t>EN_Hydro_SDN_T3</t>
  </si>
  <si>
    <t>EN_Hydro_SDN_T4</t>
  </si>
  <si>
    <t>EN_Hydro_CIV_T1</t>
  </si>
  <si>
    <t>Cote d'Ivoire</t>
  </si>
  <si>
    <t>EN_Hydro_CIV_T2</t>
  </si>
  <si>
    <t>EN_Hydro_CIV_T3</t>
  </si>
  <si>
    <t>EN_Hydro_CIV_T4</t>
  </si>
  <si>
    <t>EN_Hydro_SLV_T1</t>
  </si>
  <si>
    <t>EN_Hydro_SLV_T2</t>
  </si>
  <si>
    <t>EN_Hydro_SLV_T3</t>
  </si>
  <si>
    <t>EN_Hydro_SLV_T4</t>
  </si>
  <si>
    <t>EN_Hydro_BGD_T1</t>
  </si>
  <si>
    <t>EN_Hydro_BGD_T2</t>
  </si>
  <si>
    <t>EN_Hydro_BGD_T3</t>
  </si>
  <si>
    <t>EN_Hydro_BGD_T4</t>
  </si>
  <si>
    <t>EN_Hydro_ISR_T1</t>
  </si>
  <si>
    <t>MEA</t>
  </si>
  <si>
    <t>EN_Hydro_ISR_T2</t>
  </si>
  <si>
    <t>EN_Hydro_ISR_T3</t>
  </si>
  <si>
    <t>EN_Hydro_ISR_T4</t>
  </si>
  <si>
    <t>EN_Hydro_JOR_T1</t>
  </si>
  <si>
    <t>EN_Hydro_JOR_T2</t>
  </si>
  <si>
    <t>EN_Hydro_JOR_T3</t>
  </si>
  <si>
    <t>EN_Hydro_JOR_T4</t>
  </si>
  <si>
    <t>comm-in</t>
  </si>
  <si>
    <t>ELCHYD</t>
  </si>
  <si>
    <t>ELE</t>
  </si>
  <si>
    <t>~FI_Process</t>
  </si>
  <si>
    <t>Sets</t>
  </si>
  <si>
    <t>TechDesc</t>
  </si>
  <si>
    <t>PRE</t>
  </si>
  <si>
    <t>ALB</t>
  </si>
  <si>
    <t>Albania</t>
  </si>
  <si>
    <t>ARE</t>
  </si>
  <si>
    <t>United Arab Emirates</t>
  </si>
  <si>
    <t>ARM</t>
  </si>
  <si>
    <t>AUS</t>
  </si>
  <si>
    <t>Australia</t>
  </si>
  <si>
    <t>AUT</t>
  </si>
  <si>
    <t>Austria</t>
  </si>
  <si>
    <t>AZE</t>
  </si>
  <si>
    <t>Azerbaijan</t>
  </si>
  <si>
    <t>BEL</t>
  </si>
  <si>
    <t>Belgium</t>
  </si>
  <si>
    <t>BGR</t>
  </si>
  <si>
    <t>Bulgaria</t>
  </si>
  <si>
    <t>BHR</t>
  </si>
  <si>
    <t>BIH</t>
  </si>
  <si>
    <t>Bosnia and Herzegovina</t>
  </si>
  <si>
    <t>BRN</t>
  </si>
  <si>
    <t>BWA</t>
  </si>
  <si>
    <t>Botswana</t>
  </si>
  <si>
    <t>CHE</t>
  </si>
  <si>
    <t>Switzerland</t>
  </si>
  <si>
    <t>CHN</t>
  </si>
  <si>
    <t>China</t>
  </si>
  <si>
    <t>CUB</t>
  </si>
  <si>
    <t>CYP</t>
  </si>
  <si>
    <t>CZE</t>
  </si>
  <si>
    <t>DEU</t>
  </si>
  <si>
    <t>Germany</t>
  </si>
  <si>
    <t>DNK</t>
  </si>
  <si>
    <t>Denmark</t>
  </si>
  <si>
    <t>DOM</t>
  </si>
  <si>
    <t>DZA</t>
  </si>
  <si>
    <t>Algeria</t>
  </si>
  <si>
    <t>EGY</t>
  </si>
  <si>
    <t>Egypt</t>
  </si>
  <si>
    <t>ESP</t>
  </si>
  <si>
    <t>Spain</t>
  </si>
  <si>
    <t>FIN</t>
  </si>
  <si>
    <t>FRA</t>
  </si>
  <si>
    <t>France</t>
  </si>
  <si>
    <t>GBR</t>
  </si>
  <si>
    <t>United Kingdom</t>
  </si>
  <si>
    <t>GEO</t>
  </si>
  <si>
    <t>GHA</t>
  </si>
  <si>
    <t>Ghana</t>
  </si>
  <si>
    <t>GRC</t>
  </si>
  <si>
    <t>Greece</t>
  </si>
  <si>
    <t>HRV</t>
  </si>
  <si>
    <t>Croatia</t>
  </si>
  <si>
    <t>IRL</t>
  </si>
  <si>
    <t>Ireland</t>
  </si>
  <si>
    <t>IRN</t>
  </si>
  <si>
    <t>Iran</t>
  </si>
  <si>
    <t>IRQ</t>
  </si>
  <si>
    <t>Iraq</t>
  </si>
  <si>
    <t>ITA</t>
  </si>
  <si>
    <t>Italy</t>
  </si>
  <si>
    <t>JAM</t>
  </si>
  <si>
    <t>JPN</t>
  </si>
  <si>
    <t>Japan</t>
  </si>
  <si>
    <t>KAZ</t>
  </si>
  <si>
    <t>Kazakhstan</t>
  </si>
  <si>
    <t>KOR</t>
  </si>
  <si>
    <t>South Korea</t>
  </si>
  <si>
    <t>KWT</t>
  </si>
  <si>
    <t>Kuwait</t>
  </si>
  <si>
    <t>LBN</t>
  </si>
  <si>
    <t>LBY</t>
  </si>
  <si>
    <t>Libya</t>
  </si>
  <si>
    <t>LKA</t>
  </si>
  <si>
    <t>LTU</t>
  </si>
  <si>
    <t>Lithuania</t>
  </si>
  <si>
    <t>LUX</t>
  </si>
  <si>
    <t>LVA</t>
  </si>
  <si>
    <t>Latvia</t>
  </si>
  <si>
    <t>MAR</t>
  </si>
  <si>
    <t>Morocco</t>
  </si>
  <si>
    <t>MDA</t>
  </si>
  <si>
    <t>MKD</t>
  </si>
  <si>
    <t>MYS</t>
  </si>
  <si>
    <t>Malaysia</t>
  </si>
  <si>
    <t>NLD</t>
  </si>
  <si>
    <t>Netherlands</t>
  </si>
  <si>
    <t>NOR</t>
  </si>
  <si>
    <t>Norway</t>
  </si>
  <si>
    <t>OMN</t>
  </si>
  <si>
    <t>Oman</t>
  </si>
  <si>
    <t>PAN</t>
  </si>
  <si>
    <t>POL</t>
  </si>
  <si>
    <t>Poland</t>
  </si>
  <si>
    <t>PRK</t>
  </si>
  <si>
    <t>PRT</t>
  </si>
  <si>
    <t>Portugal</t>
  </si>
  <si>
    <t>PRY</t>
  </si>
  <si>
    <t>QAT</t>
  </si>
  <si>
    <t>Qatar</t>
  </si>
  <si>
    <t>ROU</t>
  </si>
  <si>
    <t>Romania</t>
  </si>
  <si>
    <t>SAU</t>
  </si>
  <si>
    <t>Saudi Arabia</t>
  </si>
  <si>
    <t>SRB</t>
  </si>
  <si>
    <t>Serbia</t>
  </si>
  <si>
    <t>SSD</t>
  </si>
  <si>
    <t>South Sudan</t>
  </si>
  <si>
    <t>SVK</t>
  </si>
  <si>
    <t>SVN</t>
  </si>
  <si>
    <t>Slovenia</t>
  </si>
  <si>
    <t>SWE</t>
  </si>
  <si>
    <t>Sweden</t>
  </si>
  <si>
    <t>SYR</t>
  </si>
  <si>
    <t>TGO</t>
  </si>
  <si>
    <t>THA</t>
  </si>
  <si>
    <t>Thailand</t>
  </si>
  <si>
    <t>TKM</t>
  </si>
  <si>
    <t>Turkmenistan</t>
  </si>
  <si>
    <t>TLS</t>
  </si>
  <si>
    <t>Timor-Leste</t>
  </si>
  <si>
    <t>TTO</t>
  </si>
  <si>
    <t>Trinidad and Tobago</t>
  </si>
  <si>
    <t>TUN</t>
  </si>
  <si>
    <t>Tunisia</t>
  </si>
  <si>
    <t>TUR</t>
  </si>
  <si>
    <t>TWN</t>
  </si>
  <si>
    <t>UKR</t>
  </si>
  <si>
    <t>Ukraine</t>
  </si>
  <si>
    <t>URY</t>
  </si>
  <si>
    <t>USA</t>
  </si>
  <si>
    <t>UZB</t>
  </si>
  <si>
    <t>Uzbekistan</t>
  </si>
  <si>
    <t>VNM</t>
  </si>
  <si>
    <t>Vietnam</t>
  </si>
  <si>
    <t>YEM</t>
  </si>
  <si>
    <t>Yemen</t>
  </si>
  <si>
    <t>ZAF</t>
  </si>
  <si>
    <t>South Africa</t>
  </si>
  <si>
    <t>AR6_Base_Cost_USD_kW</t>
  </si>
  <si>
    <t>$0.04-0.06/kWh</t>
  </si>
  <si>
    <t>$0.06-0.08/kWh</t>
  </si>
  <si>
    <t>$0.08-0.10/kWh</t>
  </si>
  <si>
    <t>$0.10-0.14/kWh</t>
  </si>
  <si>
    <t>Capital Costs</t>
  </si>
  <si>
    <t>AR6 Scenario Database - Regional median costs for hydro (2020 USD/kW)</t>
  </si>
  <si>
    <t>COST METHODOLOGY (AR6-BASED)</t>
  </si>
  <si>
    <t>Base Cost Source</t>
  </si>
  <si>
    <t>AR6 scenario database median capital costs by R10 region</t>
  </si>
  <si>
    <t>T1 (Best Sites)</t>
  </si>
  <si>
    <t>25%/20% of potential | 0.90x base cost | Best available sites</t>
  </si>
  <si>
    <t>T2 (Good Sites)</t>
  </si>
  <si>
    <t>40%/35% of potential | 1.00x base cost | Median cost sites</t>
  </si>
  <si>
    <t>T3 (Average Sites)</t>
  </si>
  <si>
    <t>25%/30% of potential | 1.15x base cost | Above-average cost</t>
  </si>
  <si>
    <t>T4 (Marginal Sites)</t>
  </si>
  <si>
    <t>10%/15% of potential | 1.35x base cost | Highest cost sites</t>
  </si>
  <si>
    <t>AR6 REGIONAL BASE COSTS (2020 USD/kW)</t>
  </si>
  <si>
    <t>AFR (Africa)</t>
  </si>
  <si>
    <t>$2,689/kW</t>
  </si>
  <si>
    <t>CSA (Latin America)</t>
  </si>
  <si>
    <t>$3,074/kW</t>
  </si>
  <si>
    <t>CPA (China+)</t>
  </si>
  <si>
    <t>$2,273/kW</t>
  </si>
  <si>
    <t>SAS (India+)</t>
  </si>
  <si>
    <t>$2,585/kW</t>
  </si>
  <si>
    <t>PAS (Rest of Asia)</t>
  </si>
  <si>
    <t>$2,864/kW</t>
  </si>
  <si>
    <t>FSU (Former Soviet Union)</t>
  </si>
  <si>
    <t>$2,860/kW</t>
  </si>
  <si>
    <t>MEA (Middle East)</t>
  </si>
  <si>
    <t>$2,790/kW</t>
  </si>
  <si>
    <t>EUR (Europe)</t>
  </si>
  <si>
    <t>$2,752/kW</t>
  </si>
  <si>
    <t>NAM (North America)</t>
  </si>
  <si>
    <t>$2,852/kW</t>
  </si>
  <si>
    <t>PAO (Pacific OECD)</t>
  </si>
  <si>
    <t>$2,808/kW</t>
  </si>
  <si>
    <t>First tranche baseline; absolute cost embedded in base technology</t>
  </si>
  <si>
    <t>ADDITIONAL cost above T1 to access that tranche of potential</t>
  </si>
  <si>
    <t>AR6 Scenario Database - IPCC Working Group III contribution to AR6</t>
  </si>
  <si>
    <t>This is independent of model regional aggregation</t>
  </si>
  <si>
    <t>source: TF - step 10 - LNG terminals SubRES - model independent.sql</t>
  </si>
  <si>
    <t>~FI_T</t>
  </si>
  <si>
    <t>Comm-IN</t>
  </si>
  <si>
    <t>Comm-OUT</t>
  </si>
  <si>
    <t>EFF</t>
  </si>
  <si>
    <t>LIFE</t>
  </si>
  <si>
    <t>NCAP_BND~0</t>
  </si>
  <si>
    <t>PASTI</t>
  </si>
  <si>
    <t>Cap2ACT</t>
  </si>
  <si>
    <t>Year</t>
  </si>
  <si>
    <t>TCap</t>
  </si>
  <si>
    <t>TAct</t>
  </si>
  <si>
    <t>pcg</t>
  </si>
  <si>
    <t>LNG_exp_FLNG_AUS</t>
  </si>
  <si>
    <t>GASNGA</t>
  </si>
  <si>
    <t>GASLNG</t>
  </si>
  <si>
    <t>LNG export terminals - FLNG - Australia</t>
  </si>
  <si>
    <t>mtpa</t>
  </si>
  <si>
    <t>LNG_exp_FLNG_CMR</t>
  </si>
  <si>
    <t>LNG export terminals - FLNG - Cameroon</t>
  </si>
  <si>
    <t>LNG_exp_FLNG_COD</t>
  </si>
  <si>
    <t>LNG export terminals - FLNG - Democratic Republic of the Congo</t>
  </si>
  <si>
    <t>LNG_exp_FLNG_GAB</t>
  </si>
  <si>
    <t>LNG export terminals - FLNG - Gabon</t>
  </si>
  <si>
    <t>LNG_exp_FLNG_MOZ</t>
  </si>
  <si>
    <t>LNG export terminals - FLNG - Mozambique</t>
  </si>
  <si>
    <t>LNG_exp_FLNG_MYS</t>
  </si>
  <si>
    <t>LNG export terminals - FLNG - Malaysia</t>
  </si>
  <si>
    <t>LNG_exp_FLNG_SEN</t>
  </si>
  <si>
    <t>LNG export terminals - FLNG - Mauritania/Senegal</t>
  </si>
  <si>
    <t>LNG_exp_Onshore_AGO</t>
  </si>
  <si>
    <t>LNG export terminals - Onshore - Angola</t>
  </si>
  <si>
    <t>LNG_exp_Onshore_ARE</t>
  </si>
  <si>
    <t>LNG export terminals - Onshore - UAE</t>
  </si>
  <si>
    <t>LNG_exp_Onshore_AUS</t>
  </si>
  <si>
    <t>LNG export terminals - Onshore - Australia</t>
  </si>
  <si>
    <t>LNG_exp_Onshore_BRN</t>
  </si>
  <si>
    <t>LNG export terminals - Onshore - Brunei</t>
  </si>
  <si>
    <t>LNG_exp_Onshore_CAN</t>
  </si>
  <si>
    <t>LNG export terminals - Onshore - Canada</t>
  </si>
  <si>
    <t>LNG_exp_Onshore_DZA</t>
  </si>
  <si>
    <t>LNG export terminals - Onshore - Algeria</t>
  </si>
  <si>
    <t>LNG_exp_Onshore_EGY</t>
  </si>
  <si>
    <t>LNG export terminals - Onshore - Egypt</t>
  </si>
  <si>
    <t>LNG_exp_Onshore_GNQ</t>
  </si>
  <si>
    <t>LNG export terminals - Onshore - Equatorial Guinea</t>
  </si>
  <si>
    <t>LNG_exp_Onshore_IDN</t>
  </si>
  <si>
    <t>LNG export terminals - Onshore - Indonesia</t>
  </si>
  <si>
    <t>LNG_exp_Onshore_MEX</t>
  </si>
  <si>
    <t>LNG export terminals - Onshore - Mexico</t>
  </si>
  <si>
    <t>LNG_exp_Onshore_MYS</t>
  </si>
  <si>
    <t>LNG export terminals - Onshore - Malaysia</t>
  </si>
  <si>
    <t>LNG_exp_Onshore_NGA</t>
  </si>
  <si>
    <t>LNG export terminals - Onshore - Nigeria</t>
  </si>
  <si>
    <t>LNG_exp_Onshore_NOR</t>
  </si>
  <si>
    <t>LNG export terminals - Onshore - Norway</t>
  </si>
  <si>
    <t>LNG_exp_Onshore_OMN</t>
  </si>
  <si>
    <t>LNG export terminals - Onshore - Oman</t>
  </si>
  <si>
    <t>LNG_exp_Onshore_PER</t>
  </si>
  <si>
    <t>LNG export terminals - Onshore - Peru</t>
  </si>
  <si>
    <t>LNG_exp_Onshore_PNG</t>
  </si>
  <si>
    <t>LNG export terminals - Onshore - Papua New Guinea</t>
  </si>
  <si>
    <t>LNG_exp_Onshore_QAT</t>
  </si>
  <si>
    <t>LNG export terminals - Onshore - Qatar</t>
  </si>
  <si>
    <t>LNG_exp_Onshore_RUS</t>
  </si>
  <si>
    <t>LNG export terminals - Onshore - Russia</t>
  </si>
  <si>
    <t>LNG_exp_Onshore_TTO</t>
  </si>
  <si>
    <t>LNG export terminals - Onshore - Trinidad and Tobago</t>
  </si>
  <si>
    <t>LNG_exp_Onshore_USA</t>
  </si>
  <si>
    <t>LNG export terminals - Onshore - USA</t>
  </si>
  <si>
    <t>LNG_imp_FSRU _BRA</t>
  </si>
  <si>
    <t>LNG import terminals - FSRU  - Brazil</t>
  </si>
  <si>
    <t>LNG_imp_FSRU_ARE</t>
  </si>
  <si>
    <t>LNG import terminals - FSRU - UAE</t>
  </si>
  <si>
    <t>LNG_imp_FSRU_ARG</t>
  </si>
  <si>
    <t>LNG import terminals - FSRU - Argentina</t>
  </si>
  <si>
    <t>LNG_imp_FSRU_AUS</t>
  </si>
  <si>
    <t>LNG import terminals - FSRU - Australia</t>
  </si>
  <si>
    <t>LNG_imp_FSRU_BGD</t>
  </si>
  <si>
    <t>LNG import terminals - FSRU - Bangladesh</t>
  </si>
  <si>
    <t>LNG_imp_FSRU_BRA</t>
  </si>
  <si>
    <t>LNG import terminals - FSRU - Brazil</t>
  </si>
  <si>
    <t>LNG_imp_FSRU_CHN</t>
  </si>
  <si>
    <t>LNG import terminals - FSRU - China</t>
  </si>
  <si>
    <t>LNG_imp_FSRU_COL</t>
  </si>
  <si>
    <t>LNG import terminals - FSRU - Colombia</t>
  </si>
  <si>
    <t>LNG_imp_FSRU_CYP</t>
  </si>
  <si>
    <t>LNG import terminals - FSRU - Cyprus</t>
  </si>
  <si>
    <t>LNG_imp_FSRU_DEU</t>
  </si>
  <si>
    <t>LNG import terminals - FSRU - Germany</t>
  </si>
  <si>
    <t>LNG_imp_FSRU_EGY</t>
  </si>
  <si>
    <t>LNG import terminals - FSRU - Egypt</t>
  </si>
  <si>
    <t>LNG_imp_FSRU_GRC</t>
  </si>
  <si>
    <t>LNG import terminals - FSRU - Greece</t>
  </si>
  <si>
    <t>LNG_imp_FSRU_HRV</t>
  </si>
  <si>
    <t>LNG import terminals - FSRU - Croatia</t>
  </si>
  <si>
    <t>LNG_imp_FSRU_IDN</t>
  </si>
  <si>
    <t>LNG import terminals - FSRU - Indonesia</t>
  </si>
  <si>
    <t>LNG_imp_FSRU_IND</t>
  </si>
  <si>
    <t>LNG import terminals - FSRU - India</t>
  </si>
  <si>
    <t>LNG_imp_FSRU_ISR</t>
  </si>
  <si>
    <t>LNG import terminals - FSRU - Israel</t>
  </si>
  <si>
    <t>LNG_imp_FSRU_ITA</t>
  </si>
  <si>
    <t>LNG import terminals - FSRU - Italy</t>
  </si>
  <si>
    <t>LNG_imp_FSRU_JAM</t>
  </si>
  <si>
    <t>LNG import terminals - FSRU - Jamaica</t>
  </si>
  <si>
    <t>LNG_imp_FSRU_JOR</t>
  </si>
  <si>
    <t>LNG import terminals - FSRU - Jordan</t>
  </si>
  <si>
    <t>LNG_imp_FSRU_LTU</t>
  </si>
  <si>
    <t>LNG import terminals - FSRU - Lithuania</t>
  </si>
  <si>
    <t>LNG_imp_FSRU_NLD</t>
  </si>
  <si>
    <t>LNG import terminals - FSRU - Netherlands</t>
  </si>
  <si>
    <t>LNG_imp_FSRU_PAK</t>
  </si>
  <si>
    <t>LNG import terminals - FSRU - Pakistan</t>
  </si>
  <si>
    <t>LNG_imp_FSRU_PHL</t>
  </si>
  <si>
    <t>LNG import terminals - FSRU - Philippines</t>
  </si>
  <si>
    <t>LNG_imp_FSRU_SEN</t>
  </si>
  <si>
    <t>LNG import terminals - FSRU - Senegal</t>
  </si>
  <si>
    <t>LNG_imp_FSRU_SLV</t>
  </si>
  <si>
    <t>LNG import terminals - FSRU - El Salvador</t>
  </si>
  <si>
    <t>LNG_imp_FSRU_TUR</t>
  </si>
  <si>
    <t>LNG import terminals - FSRU - Turkey</t>
  </si>
  <si>
    <t>LNG_imp_FSRU_USA</t>
  </si>
  <si>
    <t>LNG import terminals - FSRU - United States</t>
  </si>
  <si>
    <t>LNG_imp_FSU, FRU_GHA</t>
  </si>
  <si>
    <t>LNG import terminals - FSU, FRU - Ghana</t>
  </si>
  <si>
    <t>LNG_imp_FSU_BHR</t>
  </si>
  <si>
    <t>LNG import terminals - FSU - Bahrain</t>
  </si>
  <si>
    <t>LNG_imp_FSU_MLT</t>
  </si>
  <si>
    <t>LNG import terminals - FSU - Malta</t>
  </si>
  <si>
    <t>LNG_imp_Offshore FSRU_ITA</t>
  </si>
  <si>
    <t>LNG import terminals - Offshore FSRU - Italy</t>
  </si>
  <si>
    <t>LNG_imp_Offshore FSU_MYS</t>
  </si>
  <si>
    <t>LNG import terminals - Offshore FSU - Malaysia</t>
  </si>
  <si>
    <t>LNG_imp_Onshore_BEL</t>
  </si>
  <si>
    <t>LNG import terminals - Onshore - Belgium</t>
  </si>
  <si>
    <t>LNG_imp_Onshore_CAN</t>
  </si>
  <si>
    <t>LNG import terminals - Onshore - Canada</t>
  </si>
  <si>
    <t>LNG_imp_Onshore_CHL</t>
  </si>
  <si>
    <t>LNG import terminals - Onshore - Chile</t>
  </si>
  <si>
    <t>LNG_imp_Onshore_CHN</t>
  </si>
  <si>
    <t>LNG import terminals - Onshore - China</t>
  </si>
  <si>
    <t>LNG_imp_Onshore_DOM</t>
  </si>
  <si>
    <t>LNG import terminals - Onshore - Dominican Republic</t>
  </si>
  <si>
    <t>LNG_imp_Onshore_ESP</t>
  </si>
  <si>
    <t>LNG import terminals - Onshore - Spain</t>
  </si>
  <si>
    <t>LNG_imp_Onshore_EST</t>
  </si>
  <si>
    <t>LNG import terminals - Onshore - Estonia</t>
  </si>
  <si>
    <t>LNG_imp_Onshore_FIN</t>
  </si>
  <si>
    <t>LNG import terminals - Onshore - Finland</t>
  </si>
  <si>
    <t>LNG_imp_Onshore_FRA</t>
  </si>
  <si>
    <t>LNG import terminals - Onshore - France</t>
  </si>
  <si>
    <t>LNG_imp_Onshore_GBR</t>
  </si>
  <si>
    <t>LNG import terminals - Onshore - United Kingdom</t>
  </si>
  <si>
    <t>LNG_imp_Onshore_GIB</t>
  </si>
  <si>
    <t>LNG import terminals - Onshore - Gibraltar</t>
  </si>
  <si>
    <t>LNG_imp_Onshore_GRC</t>
  </si>
  <si>
    <t>LNG import terminals - Onshore - Greece</t>
  </si>
  <si>
    <t>LNG_imp_Onshore_IDN</t>
  </si>
  <si>
    <t>LNG import terminals - Onshore - Indonesia</t>
  </si>
  <si>
    <t>LNG_imp_Onshore_IND</t>
  </si>
  <si>
    <t>LNG import terminals - Onshore - India</t>
  </si>
  <si>
    <t>LNG_imp_Onshore_ITA</t>
  </si>
  <si>
    <t>LNG import terminals - Onshore - Italy</t>
  </si>
  <si>
    <t>LNG_imp_Onshore_JAM</t>
  </si>
  <si>
    <t>LNG import terminals - Onshore - Jamaica</t>
  </si>
  <si>
    <t>LNG_imp_Onshore_JPN</t>
  </si>
  <si>
    <t>LNG import terminals - Onshore - Japan</t>
  </si>
  <si>
    <t>LNG_imp_Onshore_KOR</t>
  </si>
  <si>
    <t>LNG import terminals - Onshore - South Korea</t>
  </si>
  <si>
    <t>LNG_imp_Onshore_KWT</t>
  </si>
  <si>
    <t>LNG import terminals - Onshore - Kuwait</t>
  </si>
  <si>
    <t>LNG_imp_Onshore_MEX</t>
  </si>
  <si>
    <t>LNG import terminals - Onshore - Mexico</t>
  </si>
  <si>
    <t>LNG_imp_Onshore_MYS</t>
  </si>
  <si>
    <t>LNG import terminals - Onshore - Malaysia</t>
  </si>
  <si>
    <t>LNG_imp_Onshore_NLD</t>
  </si>
  <si>
    <t>LNG import terminals - Onshore - Netherlands</t>
  </si>
  <si>
    <t>LNG_imp_Onshore_NOR</t>
  </si>
  <si>
    <t xml:space="preserve">LNG import terminals - Onshore - Norway </t>
  </si>
  <si>
    <t>LNG_imp_Onshore_PAN</t>
  </si>
  <si>
    <t>LNG import terminals - Onshore - Panama</t>
  </si>
  <si>
    <t>LNG_imp_Onshore_PHL</t>
  </si>
  <si>
    <t>LNG import terminals - Onshore - Philippines</t>
  </si>
  <si>
    <t>LNG_imp_Onshore_POL</t>
  </si>
  <si>
    <t>LNG import terminals - Onshore - Poland</t>
  </si>
  <si>
    <t>LNG_imp_Onshore_PRI</t>
  </si>
  <si>
    <t>LNG import terminals - Onshore - Puerto Rico</t>
  </si>
  <si>
    <t>LNG_imp_Onshore_PRT</t>
  </si>
  <si>
    <t>LNG import terminals - Onshore - Portugal</t>
  </si>
  <si>
    <t>LNG_imp_Onshore_SGP</t>
  </si>
  <si>
    <t>LNG import terminals - Onshore - Singapore</t>
  </si>
  <si>
    <t>LNG_imp_Onshore_SWE</t>
  </si>
  <si>
    <t>LNG import terminals - Onshore - Sweden</t>
  </si>
  <si>
    <t>LNG_imp_Onshore_THA</t>
  </si>
  <si>
    <t>LNG import terminals - Onshore - Thailand</t>
  </si>
  <si>
    <t>LNG_imp_Onshore_TUR</t>
  </si>
  <si>
    <t>LNG import terminals - Onshore - Turkey</t>
  </si>
  <si>
    <t>LNG_imp_Onshore_TWN</t>
  </si>
  <si>
    <t>LNG import terminals - Onshore - Taiwan</t>
  </si>
  <si>
    <t>LNG_imp_Onshore_USA</t>
  </si>
  <si>
    <t>LNG import terminals - Onshore - United States</t>
  </si>
  <si>
    <t>LNG_imp_Onshore_VNM</t>
  </si>
  <si>
    <t>LNG import terminals - Onshore - Vietnam</t>
  </si>
  <si>
    <t>CO₂ geological storage supply curves — country steps</t>
  </si>
  <si>
    <t>Generated: 2026-08-06</t>
  </si>
  <si>
    <t>Package: 7co2_transport_storage  |  methodology: CCS_SUPPLY_CURVES_METHODOLOGY.md</t>
  </si>
  <si>
    <t>What this workbook is</t>
  </si>
  <si>
    <t>One process per country × storage supply-curve step (saline / petroleum,</t>
  </si>
  <si>
    <t>distance band, quality tier, onshore pipe / offshore pipe / ship).</t>
  </si>
  <si>
    <t>Kept at ISO level so each model region only sees the countries it owns</t>
  </si>
  <si>
    <t>(via AVA on the _ISO3 suffix in the process name) — no pre-aggregation</t>
  </si>
  <si>
    <t>that would let one country borrow a neighbour's storage headroom.</t>
  </si>
  <si>
    <t>Meant to sit in the REZoning SubRES; this file is for review before fold-in.</t>
  </si>
  <si>
    <t>What a step represents</t>
  </si>
  <si>
    <t>Capacity (P10 / P50 / P90), a transport+storage unit cost, and a share of</t>
  </si>
  <si>
    <t>the country's pressure-limited injection rate, co-varying with quality</t>
  </si>
  <si>
    <t>provenance. Cheap steps may also be rate-limited or speculative — the</t>
  </si>
  <si>
    <t>model sees that jointly rather than as independent knobs.</t>
  </si>
  <si>
    <t>Central vs pessimistic costs</t>
  </si>
  <si>
    <t>Adjacent cost columns let you build alternate scenario tables without</t>
  </si>
  <si>
    <t>rebuilding the process set. Central = Pillar-2 source–sink costing.</t>
  </si>
  <si>
    <t>PessCost stacks published upper-bound assumptions (higher regional</t>
  </si>
  <si>
    <t>pipeline factors, no trunk-sharing, high-end storage unit costs, quality</t>
  </si>
  <si>
    <t>and pressure-management adders). PessFOAK adds an early-period FOAK</t>
  </si>
  <si>
    <t>premium that fades by mid-century. Neither is a 'central' estimate.</t>
  </si>
  <si>
    <t>Injection-rate years</t>
  </si>
  <si>
    <t>Year columns follow the geology Tier-1 injectivity profile (near-term</t>
  </si>
  <si>
    <t>pressure-limited rate declining toward an end-of-century rate). These</t>
  </si>
  <si>
    <t>ceilings are often loose next to real deployment; they can still bind</t>
  </si>
  <si>
    <t>in storage-scarce or high-demand countries. Global deployment pace is</t>
  </si>
  <si>
    <t>a separate constraint (not in this book).</t>
  </si>
  <si>
    <t>Data sources (capacity &amp; sinks)</t>
  </si>
  <si>
    <t>• OGCI CO2 Storage Resource Catalogue Cycle 5 — site points, P10/P50/P90,</t>
  </si>
  <si>
    <t xml:space="preserve">  category, discovery status (global spine).</t>
  </si>
  <si>
    <t>• Gidden et al. 2025 Nature supplemental — country technical / prudent /</t>
  </si>
  <si>
    <t xml:space="preserve">  O&amp;G-overlap stocks; quality-tier nesting; basin class raster.</t>
  </si>
  <si>
    <t>• CO2StoP (JRC) — EU reservoir characterisation fill.</t>
  </si>
  <si>
    <t>• NATCARB — US saline cross-check.</t>
  </si>
  <si>
    <t>• OGIM v2.7 — depleted-field gap-fill where OGCI petroleum is thin.</t>
  </si>
  <si>
    <t>• Fan et al. China fine-grid — explicit Chinese injectivity override.</t>
  </si>
  <si>
    <t>Data sources (emitters &amp; transport costing)</t>
  </si>
  <si>
    <t>• GEM Global Iron &amp; Steel, Cement &amp; Concrete trackers + VerveStacks</t>
  </si>
  <si>
    <t xml:space="preserve">  power fleet — plant locations and capturable CO₂ weights.</t>
  </si>
  <si>
    <t>• Pipeline: McCoy &amp; Rubin (2008); Kim et al. (2024) diameter tiers;</t>
  </si>
  <si>
    <t xml:space="preserve">  Baek et al. (2026) regional construction factors; trunk-sharing among</t>
  </si>
  <si>
    <t xml:space="preserve">  co-assigned neighbours.</t>
  </si>
  <si>
    <t>• Shipping: VITO / BEIS / Becattini-style liquefaction+port+vessel chain.</t>
  </si>
  <si>
    <t>• Storage unit costs: ZEP (2011) / NETL anchors by category and quality.</t>
  </si>
  <si>
    <t>Data sources (injectivity)</t>
  </si>
  <si>
    <t>• CO2BLOCK (De Simone &amp; Krevor 2021) over Smith et al. (2024) 765-basin</t>
  </si>
  <si>
    <t xml:space="preserve">  skeleton with open parameters only (CO2StoP, NATCARB, OGCI kh,</t>
  </si>
  <si>
    <t xml:space="preserve">  CRUST1.0 thickness, IHFC heat flow); calibrated to Smith Scenario-M</t>
  </si>
  <si>
    <t xml:space="preserve">  level; petroleum uses voidage replacement.</t>
  </si>
  <si>
    <t>Not in this workbook</t>
  </si>
  <si>
    <t>• Global deployment build-rate (Zhang, Jackson &amp; Krevor 2024 calibration).</t>
  </si>
  <si>
    <t>• Per-country deployment ceilings (IEA CCUS projects + literature ramps).</t>
  </si>
  <si>
    <t>• Legacy flat BP/EO pipeline adders — Pillar-2 costs already include</t>
  </si>
  <si>
    <t xml:space="preserve">  transport; adding them would double-count.</t>
  </si>
  <si>
    <t>Build snapshot</t>
  </si>
  <si>
    <t>487 steps across 140 countries; P50 capacity 4985 Gt.</t>
  </si>
  <si>
    <t>PessCost matched 424 steps (63 unmatched — blank pessimistic costs).</t>
  </si>
  <si>
    <t>Full method, validation, and decision log: 7co2_transport_storage/CCS_SUPPLY_CURVES_METHODOLOGY.md</t>
  </si>
  <si>
    <t>Dataset column dictionary: DATASET_DOCUMENTATION.md</t>
  </si>
  <si>
    <t>Input files: storage_potential_by_country.csv ; supply_curve_steps_global_PESSCOST.csv</t>
  </si>
  <si>
    <t>~FI_T: ACT_BND~USD20~UP</t>
  </si>
  <si>
    <t>ACT_CUM</t>
  </si>
  <si>
    <t>ACT_CUM_P10</t>
  </si>
  <si>
    <t>ACT_CUM_P50</t>
  </si>
  <si>
    <t>ACT_CUM_P90</t>
  </si>
  <si>
    <t>ACT_COST</t>
  </si>
  <si>
    <t>ACT_COST_PessCost</t>
  </si>
  <si>
    <t>ACT_COST_PessFOAK</t>
  </si>
  <si>
    <t>country</t>
  </si>
  <si>
    <t>iso3</t>
  </si>
  <si>
    <t>category</t>
  </si>
  <si>
    <t>subtype</t>
  </si>
  <si>
    <t>onshore_offshore</t>
  </si>
  <si>
    <t>cost_step</t>
  </si>
  <si>
    <t>dist_band</t>
  </si>
  <si>
    <t>quality_tier</t>
  </si>
  <si>
    <t>sink_mode</t>
  </si>
  <si>
    <t>n_sites</t>
  </si>
  <si>
    <t>capacity_Mt_P10</t>
  </si>
  <si>
    <t>capacity_Mt_P50</t>
  </si>
  <si>
    <t>capacity_Mt_P90</t>
  </si>
  <si>
    <t>share_emissions_weighted</t>
  </si>
  <si>
    <t>mtco2_pa_demand_proximity</t>
  </si>
  <si>
    <t>transport_usd_per_t</t>
  </si>
  <si>
    <t>storage_usd_per_t</t>
  </si>
  <si>
    <t>ts_total_usd_per_t</t>
  </si>
  <si>
    <t>transport_usd_per_t_pess</t>
  </si>
  <si>
    <t>storage_usd_per_t_pess</t>
  </si>
  <si>
    <t>ts_total_usd_per_t_pess</t>
  </si>
  <si>
    <t>inj_rate_step_Mtpa</t>
  </si>
  <si>
    <t>inj_rate_step_Mtpa_2100</t>
  </si>
  <si>
    <t>inj_rate_method</t>
  </si>
  <si>
    <t>range_reported</t>
  </si>
  <si>
    <t>source</t>
  </si>
  <si>
    <t>quality_flag</t>
  </si>
  <si>
    <t>pess_matched</t>
  </si>
  <si>
    <t>STO_Saline_onshore_D1Q3P_AFG</t>
  </si>
  <si>
    <t>CO2ForStorage</t>
  </si>
  <si>
    <t>CO2 storage step -- Saline (2 sites) - onshore_pipe - 0-50km - Afghanistan</t>
  </si>
  <si>
    <t>ktpa</t>
  </si>
  <si>
    <t>kt</t>
  </si>
  <si>
    <t>Saline</t>
  </si>
  <si>
    <t>onshore</t>
  </si>
  <si>
    <t>D1Q3P</t>
  </si>
  <si>
    <t>0-50km</t>
  </si>
  <si>
    <t>Q3</t>
  </si>
  <si>
    <t>onshore_pipe</t>
  </si>
  <si>
    <t>pressure_limited_rerun</t>
  </si>
  <si>
    <t>P10/P50/P90 (category-ratio envelope)</t>
  </si>
  <si>
    <t>phase2_distance_engine</t>
  </si>
  <si>
    <t>emissions_weighted+life_capped</t>
  </si>
  <si>
    <t>STO_Saline_onshore_D2Q3P_AFG</t>
  </si>
  <si>
    <t>CO2 storage step -- Saline (1 site) - onshore_pipe - 50-200km - Afghanistan</t>
  </si>
  <si>
    <t>D2Q3P</t>
  </si>
  <si>
    <t>50-200km</t>
  </si>
  <si>
    <t>STO_Saline_onshore_D1Q2P_AGO</t>
  </si>
  <si>
    <t>CO2 storage step -- Saline (6 sites) - onshore_pipe - 0-50km - Angola</t>
  </si>
  <si>
    <t>D1Q2P</t>
  </si>
  <si>
    <t>Q2</t>
  </si>
  <si>
    <t>STO_Saline_onshore_D1Q3P_ALB</t>
  </si>
  <si>
    <t>CO2 storage step -- Saline (1 site) - onshore_pipe - 0-50km - Albania</t>
  </si>
  <si>
    <t>STO_Saline_onshore_D2Q2P_ALB</t>
  </si>
  <si>
    <t>CO2 storage step -- Saline (1 site) - onshore_pipe - 50-200km - Albania</t>
  </si>
  <si>
    <t>D2Q2P</t>
  </si>
  <si>
    <t>STO_Petroleum_onshore_D1Q3P_ARE</t>
  </si>
  <si>
    <t>CO2 storage step -- Petroleum (2 sites) - onshore_pipe - 0-50km - United Arab Emirates</t>
  </si>
  <si>
    <t>Petroleum</t>
  </si>
  <si>
    <t>voidage</t>
  </si>
  <si>
    <t>emissions_weighted</t>
  </si>
  <si>
    <t>STO_Saline_onshore_D1Q2P_ARE</t>
  </si>
  <si>
    <t>CO2 storage step -- Saline (37 sites) - onshore_pipe - 0-50km - United Arab Emirates</t>
  </si>
  <si>
    <t>no_tier1_rate</t>
  </si>
  <si>
    <t>STO_Petroleum_onshore_D2Q1P_ARG</t>
  </si>
  <si>
    <t>CO2 storage step -- Petroleum (3 sites) - onshore_pipe - 50-200km - Argentina</t>
  </si>
  <si>
    <t>D2Q1P</t>
  </si>
  <si>
    <t>Q1</t>
  </si>
  <si>
    <t>STO_Saline_onshore_D1Q2P_ARG</t>
  </si>
  <si>
    <t>CO2 storage step -- Saline (31 sites) - onshore_pipe - 0-50km - Argentina</t>
  </si>
  <si>
    <t>STO_Saline_onshore_D1Q3P_ARG</t>
  </si>
  <si>
    <t>CO2 storage step -- Saline (4 sites) - onshore_pipe - 0-50km - Argentina</t>
  </si>
  <si>
    <t>STO_Saline_onshore_D2Q2P_ARG</t>
  </si>
  <si>
    <t>CO2 storage step -- Saline (8 sites) - onshore_pipe - 50-200km - Argentina</t>
  </si>
  <si>
    <t>STO_Saline_offshore_D3Q3S_ARM</t>
  </si>
  <si>
    <t>CO2 storage step -- Saline (1 site) - offshore_ship - 200-500km - ARM</t>
  </si>
  <si>
    <t>offshore</t>
  </si>
  <si>
    <t>D3Q3S</t>
  </si>
  <si>
    <t>200-500km</t>
  </si>
  <si>
    <t>offshore_ship</t>
  </si>
  <si>
    <t>STO_Saline_onshore_D1Q3P_ARM</t>
  </si>
  <si>
    <t>CO2 storage step -- Saline (2 sites) - onshore_pipe - 0-50km - ARM</t>
  </si>
  <si>
    <t>STO_Petroleum_onshore_D2Q1P_AUS</t>
  </si>
  <si>
    <t>CO2 storage step -- Petroleum (1 site) - onshore_pipe - 50-200km - Australia</t>
  </si>
  <si>
    <t>STO_Petroleum_onshore_D3Q1P_AUS</t>
  </si>
  <si>
    <t>CO2 storage step -- Petroleum (5 sites) - onshore_pipe - 200-500km - Australia</t>
  </si>
  <si>
    <t>D3Q1P</t>
  </si>
  <si>
    <t>STO_Saline_onshore_D1Q1P_AUS</t>
  </si>
  <si>
    <t>CO2 storage step -- Saline (6 sites) - onshore_pipe - 0-50km - Australia</t>
  </si>
  <si>
    <t>D1Q1P</t>
  </si>
  <si>
    <t>STO_Saline_onshore_D1Q2P_AUS</t>
  </si>
  <si>
    <t>CO2 storage step -- Saline (30 sites) - onshore_pipe - 0-50km - Australia</t>
  </si>
  <si>
    <t>STO_Saline_onshore_D1Q3P_AUS</t>
  </si>
  <si>
    <t>CO2 storage step -- Saline (5 sites) - onshore_pipe - 0-50km - Australia</t>
  </si>
  <si>
    <t>STO_Saline_onshore_D2Q1P_AUS</t>
  </si>
  <si>
    <t>CO2 storage step -- Saline (1 site) - onshore_pipe - 50-200km - Australia</t>
  </si>
  <si>
    <t>STO_Saline_onshore_D2Q2P_AUS</t>
  </si>
  <si>
    <t>CO2 storage step -- Saline (16 sites) - onshore_pipe - 50-200km - Australia</t>
  </si>
  <si>
    <t>STO_Saline_onshore_D2Q3P_AUS</t>
  </si>
  <si>
    <t>CO2 storage step -- Saline (2 sites) - onshore_pipe - 50-200km - Australia</t>
  </si>
  <si>
    <t>STO_Petroleum_onshore_D1Q1P_AUT</t>
  </si>
  <si>
    <t>CO2 storage step -- Petroleum (6 sites) - onshore_pipe - 0-50km - Austria</t>
  </si>
  <si>
    <t>STO_Saline_onshore_D1Q3P_AUT</t>
  </si>
  <si>
    <t>CO2 storage step -- Saline (8 sites) - onshore_pipe - 0-50km - Austria</t>
  </si>
  <si>
    <t>STO_Saline_onshore_D2Q3P_AUT</t>
  </si>
  <si>
    <t>CO2 storage step -- Saline (1 site) - onshore_pipe - 50-200km - Austria</t>
  </si>
  <si>
    <t>STO_Petroleum_onshore_D1Q3P_AZE</t>
  </si>
  <si>
    <t>CO2 storage step -- Petroleum (7 sites) - onshore_pipe - 0-50km - Azerbaijan</t>
  </si>
  <si>
    <t>STO_Petroleum_onshore_D2Q3P_AZE</t>
  </si>
  <si>
    <t>CO2 storage step -- Petroleum (1 site) - onshore_pipe - 50-200km - Azerbaijan</t>
  </si>
  <si>
    <t>STO_Saline_onshore_D1Q2P_AZE</t>
  </si>
  <si>
    <t>CO2 storage step -- Saline (1 site) - onshore_pipe - 0-50km - Azerbaijan</t>
  </si>
  <si>
    <t>STO_Saline_onshore_D1Q3P_AZE</t>
  </si>
  <si>
    <t>STO_Saline_offshore_D1Q3S_BEL</t>
  </si>
  <si>
    <t>CO2 storage step -- Saline (4 sites) - offshore_ship - 0-50km - Belgium</t>
  </si>
  <si>
    <t>D1Q3S</t>
  </si>
  <si>
    <t>STO_Saline_offshore_D2Q3S_BEL</t>
  </si>
  <si>
    <t>CO2 storage step -- Saline (12 sites) - offshore_ship - 50-200km - Belgium</t>
  </si>
  <si>
    <t>D2Q3S</t>
  </si>
  <si>
    <t>STO_Saline_onshore_D1Q3P_BEL</t>
  </si>
  <si>
    <t>CO2 storage step -- Saline (6 sites) - onshore_pipe - 0-50km - Belgium</t>
  </si>
  <si>
    <t>STO_Petroleum_onshore_D1Q1P_BGD</t>
  </si>
  <si>
    <t>CO2 storage step -- Petroleum (15 sites) - onshore_pipe - 0-50km - Bangladesh</t>
  </si>
  <si>
    <t>STO_Petroleum_onshore_D2Q1P_BGD</t>
  </si>
  <si>
    <t>CO2 storage step -- Petroleum (16 sites) - onshore_pipe - 50-200km - Bangladesh</t>
  </si>
  <si>
    <t>STO_Petroleum_onshore_D3Q3P_BGD</t>
  </si>
  <si>
    <t>CO2 storage step -- Petroleum (1 site) - onshore_pipe - 200-500km - Bangladesh</t>
  </si>
  <si>
    <t>D3Q3P</t>
  </si>
  <si>
    <t>STO_Saline_onshore_D1Q3P_BGD</t>
  </si>
  <si>
    <t>CO2 storage step -- Saline (9 sites) - onshore_pipe - 0-50km - Bangladesh</t>
  </si>
  <si>
    <t>STO_Saline_onshore_D3Q2P_BGD</t>
  </si>
  <si>
    <t>CO2 storage step -- Saline (2 sites) - onshore_pipe - 200-500km - Bangladesh</t>
  </si>
  <si>
    <t>D3Q2P</t>
  </si>
  <si>
    <t>STO_Saline_onshore_D1Q2P_BGR</t>
  </si>
  <si>
    <t>CO2 storage step -- Saline (5 sites) - onshore_pipe - 0-50km - Bulgaria</t>
  </si>
  <si>
    <t>STO_Saline_onshore_D1Q3P_BGR</t>
  </si>
  <si>
    <t>STO_Saline_onshore_D2Q2P_BGR</t>
  </si>
  <si>
    <t>CO2 storage step -- Saline (1 site) - onshore_pipe - 50-200km - Bulgaria</t>
  </si>
  <si>
    <t>STO_Saline_onshore_D2Q3P_BGR</t>
  </si>
  <si>
    <t>CO2 storage step -- Saline (3 sites) - onshore_pipe - 50-200km - Bulgaria</t>
  </si>
  <si>
    <t>STO_Petroleum_onshore_D2Q3P_BHR</t>
  </si>
  <si>
    <t>CO2 storage step -- Petroleum (1 site) - onshore_pipe - 50-200km - BHR</t>
  </si>
  <si>
    <t>STO_Saline_offshore_D1Q2P_BHR</t>
  </si>
  <si>
    <t>CO2 storage step -- Saline (5 sites) - offshore_pipe - 0-50km - BHR</t>
  </si>
  <si>
    <t>offshore_pipe</t>
  </si>
  <si>
    <t>STO_Saline_onshore_D1Q2P_BHR</t>
  </si>
  <si>
    <t>CO2 storage step -- Saline (1 site) - onshore_pipe - 0-50km - BHR</t>
  </si>
  <si>
    <t>STO_Saline_offshore_D2Q3S_BIH</t>
  </si>
  <si>
    <t>CO2 storage step -- Saline (3 sites) - offshore_ship - 50-200km - Bosnia and Herzegovina</t>
  </si>
  <si>
    <t>STO_Saline_onshore_D1Q3P_BIH</t>
  </si>
  <si>
    <t>CO2 storage step -- Saline (5 sites) - onshore_pipe - 0-50km - Bosnia and Herzegovina</t>
  </si>
  <si>
    <t>STO_Saline_onshore_D1Q2P_BLR</t>
  </si>
  <si>
    <t>CO2 storage step -- Saline (5 sites) - onshore_pipe - 0-50km - BLR</t>
  </si>
  <si>
    <t>STO_Saline_onshore_D2Q2P_BLR</t>
  </si>
  <si>
    <t>CO2 storage step -- Saline (8 sites) - onshore_pipe - 50-200km - BLR</t>
  </si>
  <si>
    <t>STO_Saline_onshore_D1Q2P_BOL</t>
  </si>
  <si>
    <t>CO2 storage step -- Saline (2 sites) - onshore_pipe - 0-50km - BOL</t>
  </si>
  <si>
    <t>STO_Saline_onshore_D1Q3P_BOL</t>
  </si>
  <si>
    <t>CO2 storage step -- Saline (1 site) - onshore_pipe - 0-50km - BOL</t>
  </si>
  <si>
    <t>STO_Saline_onshore_D2Q2P_BOL</t>
  </si>
  <si>
    <t>CO2 storage step -- Saline (4 sites) - onshore_pipe - 50-200km - BOL</t>
  </si>
  <si>
    <t>STO_Saline_onshore_D3Q2P_BOL</t>
  </si>
  <si>
    <t>CO2 storage step -- Saline (1 site) - onshore_pipe - 200-500km - BOL</t>
  </si>
  <si>
    <t>STO_Saline_onshore_D1Q2P_BRA</t>
  </si>
  <si>
    <t>CO2 storage step -- Saline (39 sites) - onshore_pipe - 0-50km - Brazil</t>
  </si>
  <si>
    <t>STO_Saline_onshore_D1Q3P_BRA</t>
  </si>
  <si>
    <t>CO2 storage step -- Saline (5 sites) - onshore_pipe - 0-50km - Brazil</t>
  </si>
  <si>
    <t>STO_Saline_onshore_D2Q2P_BRA</t>
  </si>
  <si>
    <t>CO2 storage step -- Saline (19 sites) - onshore_pipe - 50-200km - Brazil</t>
  </si>
  <si>
    <t>STO_Saline_onshore_D2Q3P_BRA</t>
  </si>
  <si>
    <t>CO2 storage step -- Saline (3 sites) - onshore_pipe - 50-200km - Brazil</t>
  </si>
  <si>
    <t>STO_Saline_onshore_D3Q2P_BRA</t>
  </si>
  <si>
    <t>CO2 storage step -- Saline (14 sites) - onshore_pipe - 200-500km - Brazil</t>
  </si>
  <si>
    <t>STO_Saline_onshore_D2Q2P_BRN</t>
  </si>
  <si>
    <t>CO2 storage step -- Saline (1 site) - onshore_pipe - 50-200km - Brunei Darussalam</t>
  </si>
  <si>
    <t>Brunei Darussalam</t>
  </si>
  <si>
    <t>basin_area+life_cap</t>
  </si>
  <si>
    <t>OGCI_Cycle5+fallback_step</t>
  </si>
  <si>
    <t>no_phase2_coverage</t>
  </si>
  <si>
    <t>STO_Saline_onshore_D1Q3P_BTN</t>
  </si>
  <si>
    <t>CO2 storage step -- Saline (3 sites) - onshore_pipe - 0-50km - BTN</t>
  </si>
  <si>
    <t>STO_Saline_onshore_D1Q3P_BWA</t>
  </si>
  <si>
    <t>CO2 storage step -- Saline (1 site) - onshore_pipe - 0-50km - Botswana</t>
  </si>
  <si>
    <t>STO_Saline_onshore_D3Q2P_BWA</t>
  </si>
  <si>
    <t>CO2 storage step -- Saline (1 site) - onshore_pipe - 200-500km - Botswana</t>
  </si>
  <si>
    <t>STO_Petroleum_onshore_D1Q1P_CAN</t>
  </si>
  <si>
    <t>CO2 storage step -- Petroleum (4 sites) - onshore_pipe - 0-50km - Canada</t>
  </si>
  <si>
    <t>STO_Petroleum_onshore_D2Q1P_CAN</t>
  </si>
  <si>
    <t>CO2 storage step -- Petroleum (3 sites) - onshore_pipe - 50-200km - Canada</t>
  </si>
  <si>
    <t>STO_Saline_onshore_D1Q1P_CAN</t>
  </si>
  <si>
    <t>CO2 storage step -- Saline (8 sites) - onshore_pipe - 0-50km - Canada</t>
  </si>
  <si>
    <t>STO_Saline_onshore_D1Q2P_CAN</t>
  </si>
  <si>
    <t>CO2 storage step -- Saline (28 sites) - onshore_pipe - 0-50km - Canada</t>
  </si>
  <si>
    <t>STO_Saline_onshore_D1Q3P_CAN</t>
  </si>
  <si>
    <t>CO2 storage step -- Saline (5 sites) - onshore_pipe - 0-50km - Canada</t>
  </si>
  <si>
    <t>STO_Saline_onshore_D2Q2P_CAN</t>
  </si>
  <si>
    <t>CO2 storage step -- Saline (19 sites) - onshore_pipe - 50-200km - Canada</t>
  </si>
  <si>
    <t>STO_Saline_onshore_D3Q2P_CAN</t>
  </si>
  <si>
    <t>CO2 storage step -- Saline (2 sites) - onshore_pipe - 200-500km - Canada</t>
  </si>
  <si>
    <t>STO_Saline_onshore_D1Q2P_CHE</t>
  </si>
  <si>
    <t>CO2 storage step -- Saline (4 sites) - onshore_pipe - 0-50km - Switzerland</t>
  </si>
  <si>
    <t>STO_Saline_onshore_D2Q2P_CHE</t>
  </si>
  <si>
    <t>CO2 storage step -- Saline (1 site) - onshore_pipe - 50-200km - Switzerland</t>
  </si>
  <si>
    <t>STO_Petroleum_onshore_D5Q1P_CHL</t>
  </si>
  <si>
    <t>CO2 storage step -- Petroleum (5 sites) - onshore_pipe - &gt;1500km - Chile</t>
  </si>
  <si>
    <t>D5Q1P</t>
  </si>
  <si>
    <t>&gt;1500km</t>
  </si>
  <si>
    <t>STO_Saline_onshore_D1Q3P_CHL</t>
  </si>
  <si>
    <t>CO2 storage step -- Saline (7 sites) - onshore_pipe - 0-50km - Chile</t>
  </si>
  <si>
    <t>STO_Saline_onshore_D2Q3P_CHL</t>
  </si>
  <si>
    <t>CO2 storage step -- Saline (1 site) - onshore_pipe - 50-200km - Chile</t>
  </si>
  <si>
    <t>STO_Saline_onshore_D3Q2P_CHL</t>
  </si>
  <si>
    <t>CO2 storage step -- Saline (7 sites) - onshore_pipe - 200-500km - Chile</t>
  </si>
  <si>
    <t>STO_Petroleum_offshore_D2Q1P_CHN</t>
  </si>
  <si>
    <t>CO2 storage step -- Petroleum (1 site) - offshore_pipe - 50-200km - China</t>
  </si>
  <si>
    <t>STO_Petroleum_offshore_D3Q1P_CHN</t>
  </si>
  <si>
    <t>CO2 storage step -- Petroleum (1 site) - offshore_pipe - 200-500km - China</t>
  </si>
  <si>
    <t>STO_Petroleum_onshore_D1Q1P_CHN</t>
  </si>
  <si>
    <t>CO2 storage step -- Petroleum (26 sites) - onshore_pipe - 0-50km - China</t>
  </si>
  <si>
    <t>STO_Petroleum_onshore_D2Q1P_CHN</t>
  </si>
  <si>
    <t>CO2 storage step -- Petroleum (59 sites) - onshore_pipe - 50-200km - China</t>
  </si>
  <si>
    <t>STO_Petroleum_onshore_D3Q3P_CHN</t>
  </si>
  <si>
    <t>CO2 storage step -- Petroleum (1 site) - onshore_pipe - 200-500km - China</t>
  </si>
  <si>
    <t>STO_Petroleum_onshore_D4Q3P_CHN</t>
  </si>
  <si>
    <t>CO2 storage step -- Petroleum (120 sites) - onshore_pipe - 500-1500km - China</t>
  </si>
  <si>
    <t>D4Q3P</t>
  </si>
  <si>
    <t>500-1500km</t>
  </si>
  <si>
    <t>STO_Petroleum_onshore_D5Q3P_CHN</t>
  </si>
  <si>
    <t>CO2 storage step -- Petroleum (943 sites) - onshore_pipe - &gt;1500km - China</t>
  </si>
  <si>
    <t>D5Q3P</t>
  </si>
  <si>
    <t>STO_Saline_onshore_D1Q2P_CHN</t>
  </si>
  <si>
    <t>CO2 storage step -- Saline (174 sites) - onshore_pipe - 0-50km - China</t>
  </si>
  <si>
    <t>china_explicit</t>
  </si>
  <si>
    <t>STO_Saline_onshore_D1Q3P_CHN</t>
  </si>
  <si>
    <t>CO2 storage step -- Saline (714 sites) - onshore_pipe - 0-50km - China</t>
  </si>
  <si>
    <t>STO_Saline_onshore_D2Q2P_CHN</t>
  </si>
  <si>
    <t>CO2 storage step -- Saline (97 sites) - onshore_pipe - 50-200km - China</t>
  </si>
  <si>
    <t>STO_Saline_onshore_D2Q3P_CHN</t>
  </si>
  <si>
    <t>CO2 storage step -- Saline (263 sites) - onshore_pipe - 50-200km - China</t>
  </si>
  <si>
    <t>STO_Saline_onshore_D3Q2P_CHN</t>
  </si>
  <si>
    <t>CO2 storage step -- Saline (6 sites) - onshore_pipe - 200-500km - China</t>
  </si>
  <si>
    <t>STO_Saline_onshore_D3Q3P_CHN</t>
  </si>
  <si>
    <t>STO_Saline_onshore_D1Q3P_CIV</t>
  </si>
  <si>
    <t>CO2 storage step -- Saline (2 sites) - onshore_pipe - 0-50km - Cote D'Ivoire</t>
  </si>
  <si>
    <t>Cote D'Ivoire</t>
  </si>
  <si>
    <t>STO_Saline_onshore_D1Q2P_CMR</t>
  </si>
  <si>
    <t>CO2 storage step -- Saline (1 site) - onshore_pipe - 0-50km - Cameroon</t>
  </si>
  <si>
    <t>STO_Saline_onshore_D1Q3P_CMR</t>
  </si>
  <si>
    <t>STO_Saline_onshore_D1Q2P_COG</t>
  </si>
  <si>
    <t>CO2 storage step -- Saline (1 site) - onshore_pipe - 0-50km - Congo</t>
  </si>
  <si>
    <t>STO_Saline_onshore_D2Q2P_COG</t>
  </si>
  <si>
    <t>CO2 storage step -- Saline (2 sites) - onshore_pipe - 50-200km - Congo</t>
  </si>
  <si>
    <t>STO_Petroleum_onshore_D1Q1P_COL</t>
  </si>
  <si>
    <t>CO2 storage step -- Petroleum (3 sites) - onshore_pipe - 0-50km - Colombia</t>
  </si>
  <si>
    <t>STO_Petroleum_onshore_D2Q1P_COL</t>
  </si>
  <si>
    <t>CO2 storage step -- Petroleum (5 sites) - onshore_pipe - 50-200km - Colombia</t>
  </si>
  <si>
    <t>STO_Petroleum_onshore_D3Q1P_COL</t>
  </si>
  <si>
    <t>CO2 storage step -- Petroleum (2 sites) - onshore_pipe - 200-500km - Colombia</t>
  </si>
  <si>
    <t>STO_Saline_onshore_D1Q3P_COL</t>
  </si>
  <si>
    <t>CO2 storage step -- Saline (5 sites) - onshore_pipe - 0-50km - Colombia</t>
  </si>
  <si>
    <t>STO_Saline_onshore_D2Q2P_COL</t>
  </si>
  <si>
    <t>CO2 storage step -- Saline (2 sites) - onshore_pipe - 50-200km - Colombia</t>
  </si>
  <si>
    <t>STO_Saline_onshore_D1Q2P_CUB</t>
  </si>
  <si>
    <t>CO2 storage step -- Saline (3 sites) - onshore_pipe - 0-50km - CUB</t>
  </si>
  <si>
    <t>STO_Saline_onshore_D2Q2P_CUB</t>
  </si>
  <si>
    <t>CO2 storage step -- Saline (2 sites) - onshore_pipe - 50-200km - CUB</t>
  </si>
  <si>
    <t>STO_Saline_onshore_D1Q3P_CYP</t>
  </si>
  <si>
    <t>CO2 storage step -- Saline (1 site) - onshore_pipe - 0-50km - CYP</t>
  </si>
  <si>
    <t>STO_Petroleum_onshore_D1Q1P_CZE</t>
  </si>
  <si>
    <t>CO2 storage step -- Petroleum (1 site) - onshore_pipe - 0-50km - Czechia</t>
  </si>
  <si>
    <t>Czechia</t>
  </si>
  <si>
    <t>STO_Saline_offshore_D3Q2P_CZE</t>
  </si>
  <si>
    <t>CO2 storage step -- Saline (4 sites) - offshore_pipe - 200-500km - Czechia</t>
  </si>
  <si>
    <t>STO_Saline_offshore_D3Q3S_CZE</t>
  </si>
  <si>
    <t>CO2 storage step -- Saline (12 sites) - offshore_ship - 200-500km - Czechia</t>
  </si>
  <si>
    <t>STO_Saline_offshore_D4Q2P_CZE</t>
  </si>
  <si>
    <t>CO2 storage step -- Saline (2 sites) - offshore_pipe - 500-1500km - Czechia</t>
  </si>
  <si>
    <t>D4Q2P</t>
  </si>
  <si>
    <t>STO_Saline_offshore_D4Q3S_CZE</t>
  </si>
  <si>
    <t>CO2 storage step -- Saline (3 sites) - offshore_ship - 500-1500km - Czechia</t>
  </si>
  <si>
    <t>D4Q3S</t>
  </si>
  <si>
    <t>STO_Saline_onshore_D1Q3P_CZE</t>
  </si>
  <si>
    <t>CO2 storage step -- Saline (2 sites) - onshore_pipe - 0-50km - Czechia</t>
  </si>
  <si>
    <t>STO_Saline_onshore_D2Q3P_CZE</t>
  </si>
  <si>
    <t>CO2 storage step -- Saline (1 site) - onshore_pipe - 50-200km - Czechia</t>
  </si>
  <si>
    <t>STO_Petroleum_onshore_D2Q1P_DEU</t>
  </si>
  <si>
    <t>CO2 storage step -- Petroleum (25 sites) - onshore_pipe - 50-200km - Germany</t>
  </si>
  <si>
    <t>STO_Petroleum_onshore_D3Q1P_DEU</t>
  </si>
  <si>
    <t>CO2 storage step -- Petroleum (2 sites) - onshore_pipe - 200-500km - Germany</t>
  </si>
  <si>
    <t>STO_Saline_offshore_D1Q2P_DEU</t>
  </si>
  <si>
    <t>CO2 storage step -- Saline (7 sites) - offshore_pipe - 0-50km - Germany</t>
  </si>
  <si>
    <t>STO_Saline_offshore_D2Q2P_DEU</t>
  </si>
  <si>
    <t>CO2 storage step -- Saline (3 sites) - offshore_pipe - 50-200km - Germany</t>
  </si>
  <si>
    <t>STO_Saline_onshore_D1Q3P_DEU</t>
  </si>
  <si>
    <t>CO2 storage step -- Saline (95 sites) - onshore_pipe - 0-50km - Germany</t>
  </si>
  <si>
    <t>STO_Saline_onshore_D2Q3P_DEU</t>
  </si>
  <si>
    <t>CO2 storage step -- Saline (4 sites) - onshore_pipe - 50-200km - Germany</t>
  </si>
  <si>
    <t>STO_Saline_onshore_D1Q2P_DNK</t>
  </si>
  <si>
    <t>CO2 storage step -- Saline (6 sites) - onshore_pipe - 0-50km - Denmark</t>
  </si>
  <si>
    <t>STO_Saline_onshore_D1Q3P_DOM</t>
  </si>
  <si>
    <t>CO2 storage step -- Saline (11 sites) - onshore_pipe - 0-50km - DOM</t>
  </si>
  <si>
    <t>STO_Saline_onshore_D3Q2P_DOM</t>
  </si>
  <si>
    <t>CO2 storage step -- Saline (1 site) - onshore_pipe - 200-500km - DOM</t>
  </si>
  <si>
    <t>STO_Saline_onshore_D1Q2P_DZA</t>
  </si>
  <si>
    <t>CO2 storage step -- Saline (10 sites) - onshore_pipe - 0-50km - Algeria</t>
  </si>
  <si>
    <t>STO_Saline_onshore_D1Q3P_DZA</t>
  </si>
  <si>
    <t>CO2 storage step -- Saline (1 site) - onshore_pipe - 0-50km - Algeria</t>
  </si>
  <si>
    <t>STO_Saline_onshore_D2Q2P_DZA</t>
  </si>
  <si>
    <t>CO2 storage step -- Saline (30 sites) - onshore_pipe - 50-200km - Algeria</t>
  </si>
  <si>
    <t>STO_Saline_onshore_D3Q2P_DZA</t>
  </si>
  <si>
    <t>CO2 storage step -- Saline (9 sites) - onshore_pipe - 200-500km - Algeria</t>
  </si>
  <si>
    <t>STO_Saline_onshore_D1Q3P_ECU</t>
  </si>
  <si>
    <t>CO2 storage step -- Saline (3 sites) - onshore_pipe - 0-50km - ECU</t>
  </si>
  <si>
    <t>STO_Saline_onshore_D1Q2P_EGY</t>
  </si>
  <si>
    <t>CO2 storage step -- Saline (56 sites) - onshore_pipe - 0-50km - Egypt</t>
  </si>
  <si>
    <t>STO_Saline_onshore_D2Q2P_EGY</t>
  </si>
  <si>
    <t>CO2 storage step -- Saline (10 sites) - onshore_pipe - 50-200km - Egypt</t>
  </si>
  <si>
    <t>STO_Petroleum_onshore_D1Q1P_ESP</t>
  </si>
  <si>
    <t>CO2 storage step -- Petroleum (1 site) - onshore_pipe - 0-50km - Spain</t>
  </si>
  <si>
    <t>STO_Petroleum_onshore_D2Q1P_ESP</t>
  </si>
  <si>
    <t>CO2 storage step -- Petroleum (3 sites) - onshore_pipe - 50-200km - Spain</t>
  </si>
  <si>
    <t>STO_Saline_onshore_D1Q1P_ESP</t>
  </si>
  <si>
    <t>CO2 storage step -- Saline (29 sites) - onshore_pipe - 0-50km - Spain</t>
  </si>
  <si>
    <t>STO_Saline_onshore_D1Q2P_ESP</t>
  </si>
  <si>
    <t>CO2 storage step -- Saline (27 sites) - onshore_pipe - 0-50km - Spain</t>
  </si>
  <si>
    <t>STO_Saline_onshore_D2Q1P_ESP</t>
  </si>
  <si>
    <t>CO2 storage step -- Saline (20 sites) - onshore_pipe - 50-200km - Spain</t>
  </si>
  <si>
    <t>STO_Saline_onshore_D2Q2P_ESP</t>
  </si>
  <si>
    <t>CO2 storage step -- Saline (2 sites) - onshore_pipe - 50-200km - Spain</t>
  </si>
  <si>
    <t>STO_Saline_onshore_D1Q3P_ETH</t>
  </si>
  <si>
    <t>CO2 storage step -- Saline (1 site) - onshore_pipe - 0-50km - ETH</t>
  </si>
  <si>
    <t>STO_Saline_onshore_D2Q3P_ETH</t>
  </si>
  <si>
    <t>CO2 storage step -- Saline (1 site) - onshore_pipe - 50-200km - ETH</t>
  </si>
  <si>
    <t>STO_Saline_onshore_D3Q2P_ETH</t>
  </si>
  <si>
    <t>CO2 storage step -- Saline (7 sites) - onshore_pipe - 200-500km - ETH</t>
  </si>
  <si>
    <t>STO_Saline_offshore_D2Q3S_FIN</t>
  </si>
  <si>
    <t>CO2 storage step -- Saline (5 sites) - offshore_ship - 50-200km - FIN</t>
  </si>
  <si>
    <t>STO_Saline_offshore_D3Q2P_FIN</t>
  </si>
  <si>
    <t>CO2 storage step -- Saline (3 sites) - offshore_pipe - 200-500km - FIN</t>
  </si>
  <si>
    <t>STO_Saline_offshore_D3Q3S_FIN</t>
  </si>
  <si>
    <t>CO2 storage step -- Saline (3 sites) - offshore_ship - 200-500km - FIN</t>
  </si>
  <si>
    <t>STO_Saline_offshore_D4Q3S_FIN</t>
  </si>
  <si>
    <t>CO2 storage step -- Saline (2 sites) - offshore_ship - 500-1500km - FIN</t>
  </si>
  <si>
    <t>STO_Petroleum_onshore_D1Q1P_FRA</t>
  </si>
  <si>
    <t>CO2 storage step -- Petroleum (3 sites) - onshore_pipe - 0-50km - France</t>
  </si>
  <si>
    <t>STO_Petroleum_onshore_D2Q1P_FRA</t>
  </si>
  <si>
    <t>CO2 storage step -- Petroleum (1 site) - onshore_pipe - 50-200km - France</t>
  </si>
  <si>
    <t>STO_Saline_onshore_D1Q2P_FRA</t>
  </si>
  <si>
    <t>CO2 storage step -- Saline (13 sites) - onshore_pipe - 0-50km - France</t>
  </si>
  <si>
    <t>STO_Saline_onshore_D1Q3P_FRA</t>
  </si>
  <si>
    <t>CO2 storage step -- Saline (16 sites) - onshore_pipe - 0-50km - France</t>
  </si>
  <si>
    <t>STO_Saline_onshore_D4Q3P_FRA</t>
  </si>
  <si>
    <t>CO2 storage step -- Saline (2 sites) - onshore_pipe - 500-1500km - France</t>
  </si>
  <si>
    <t>STO_Petroleum_offshore_D2Q2P_GAB</t>
  </si>
  <si>
    <t>CO2 storage step -- Petroleum (1 site) - offshore_pipe - 50-200km - Gabon</t>
  </si>
  <si>
    <t>STO_Petroleum_offshore_D1Q1P_GBR</t>
  </si>
  <si>
    <t>CO2 storage step -- Petroleum (2 sites) - offshore_pipe - 0-50km - United Kingdom</t>
  </si>
  <si>
    <t>STO_Petroleum_offshore_D2Q1P_GBR</t>
  </si>
  <si>
    <t>CO2 storage step -- Petroleum (13 sites) - offshore_pipe - 50-200km - United Kingdom</t>
  </si>
  <si>
    <t>STO_Petroleum_onshore_D1Q1P_GBR</t>
  </si>
  <si>
    <t>CO2 storage step -- Petroleum (1 site) - onshore_pipe - 0-50km - United Kingdom</t>
  </si>
  <si>
    <t>STO_Petroleum_onshore_D2Q1P_GBR</t>
  </si>
  <si>
    <t>CO2 storage step -- Petroleum (5 sites) - onshore_pipe - 50-200km - United Kingdom</t>
  </si>
  <si>
    <t>STO_Petroleum_onshore_D3Q1P_GBR</t>
  </si>
  <si>
    <t>CO2 storage step -- Petroleum (2 sites) - onshore_pipe - 200-500km - United Kingdom</t>
  </si>
  <si>
    <t>STO_Saline_onshore_D1Q2P_GBR</t>
  </si>
  <si>
    <t>CO2 storage step -- Saline (1 site) - onshore_pipe - 0-50km - United Kingdom</t>
  </si>
  <si>
    <t>STO_Saline_onshore_D1Q3P_GBR</t>
  </si>
  <si>
    <t>CO2 storage step -- Saline (29 sites) - onshore_pipe - 0-50km - United Kingdom</t>
  </si>
  <si>
    <t>STO_Petroleum_onshore_D2Q3P_GEO</t>
  </si>
  <si>
    <t>CO2 storage step -- Petroleum (2 sites) - onshore_pipe - 50-200km - GEO</t>
  </si>
  <si>
    <t>STO_Saline_onshore_D2Q2P_GEO</t>
  </si>
  <si>
    <t>CO2 storage step -- Saline (1 site) - onshore_pipe - 50-200km - GEO</t>
  </si>
  <si>
    <t>STO_Saline_onshore_D1Q2P_GHA</t>
  </si>
  <si>
    <t>CO2 storage step -- Saline (11 sites) - onshore_pipe - 0-50km - Ghana</t>
  </si>
  <si>
    <t>STO_Saline_onshore_D1Q3P_GIN</t>
  </si>
  <si>
    <t>CO2 storage step -- Saline (1 site) - onshore_pipe - 0-50km - GIN</t>
  </si>
  <si>
    <t>STO_Saline_onshore_D1Q3P_GRC</t>
  </si>
  <si>
    <t>CO2 storage step -- Saline (10 sites) - onshore_pipe - 0-50km - Greece</t>
  </si>
  <si>
    <t>STO_Saline_onshore_D2Q2P_GRC</t>
  </si>
  <si>
    <t>CO2 storage step -- Saline (1 site) - onshore_pipe - 50-200km - Greece</t>
  </si>
  <si>
    <t>STO_Saline_onshore_D2Q3P_GRC</t>
  </si>
  <si>
    <t>CO2 storage step -- Saline (4 sites) - onshore_pipe - 50-200km - Greece</t>
  </si>
  <si>
    <t>STO_Petroleum_onshore_D2Q3P_GTM</t>
  </si>
  <si>
    <t>CO2 storage step -- Petroleum (2 sites) - onshore_pipe - 50-200km - GTM</t>
  </si>
  <si>
    <t>STO_Petroleum_onshore_D3Q3P_GTM</t>
  </si>
  <si>
    <t>CO2 storage step -- Petroleum (3 sites) - onshore_pipe - 200-500km - GTM</t>
  </si>
  <si>
    <t>STO_Saline_offshore_D1Q3S_HKG</t>
  </si>
  <si>
    <t>CO2 storage step -- Saline (4 sites) - offshore_ship - 0-50km - HKG</t>
  </si>
  <si>
    <t>HKG</t>
  </si>
  <si>
    <t>STO_Saline_onshore_D1Q3P_HND</t>
  </si>
  <si>
    <t>CO2 storage step -- Saline (2 sites) - onshore_pipe - 0-50km - HND</t>
  </si>
  <si>
    <t>STO_Saline_onshore_D2Q2P_HND</t>
  </si>
  <si>
    <t>CO2 storage step -- Saline (1 site) - onshore_pipe - 50-200km - HND</t>
  </si>
  <si>
    <t>STO_Petroleum_onshore_D1Q1P_HRV</t>
  </si>
  <si>
    <t>CO2 storage step -- Petroleum (1 site) - onshore_pipe - 0-50km - Croatia</t>
  </si>
  <si>
    <t>STO_Saline_onshore_D1Q2P_HRV</t>
  </si>
  <si>
    <t>CO2 storage step -- Saline (1 site) - onshore_pipe - 0-50km - Croatia</t>
  </si>
  <si>
    <t>STO_Saline_onshore_D1Q3P_HRV</t>
  </si>
  <si>
    <t>CO2 storage step -- Saline (2 sites) - onshore_pipe - 0-50km - Croatia</t>
  </si>
  <si>
    <t>STO_Petroleum_onshore_D1Q1P_HUN</t>
  </si>
  <si>
    <t>CO2 storage step -- Petroleum (1 site) - onshore_pipe - 0-50km - Hungary</t>
  </si>
  <si>
    <t>STO_Saline_onshore_D1Q2P_HUN</t>
  </si>
  <si>
    <t>CO2 storage step -- Saline (1 site) - onshore_pipe - 0-50km - Hungary</t>
  </si>
  <si>
    <t>STO_Saline_onshore_D1Q3P_HUN</t>
  </si>
  <si>
    <t>CO2 storage step -- Saline (7 sites) - onshore_pipe - 0-50km - Hungary</t>
  </si>
  <si>
    <t>STO_Petroleum_offshore_D2Q1P_IDN</t>
  </si>
  <si>
    <t>CO2 storage step -- Petroleum (3 sites) - offshore_pipe - 50-200km - Indonesia</t>
  </si>
  <si>
    <t>STO_Petroleum_onshore_D1Q1P_IDN</t>
  </si>
  <si>
    <t>CO2 storage step -- Petroleum (10 sites) - onshore_pipe - 0-50km - Indonesia</t>
  </si>
  <si>
    <t>STO_Petroleum_onshore_D2Q1P_IDN</t>
  </si>
  <si>
    <t>CO2 storage step -- Petroleum (11 sites) - onshore_pipe - 50-200km - Indonesia</t>
  </si>
  <si>
    <t>STO_Saline_onshore_D1Q2P_IDN</t>
  </si>
  <si>
    <t>CO2 storage step -- Saline (26 sites) - onshore_pipe - 0-50km - Indonesia</t>
  </si>
  <si>
    <t>STO_Saline_onshore_D1Q3P_IDN</t>
  </si>
  <si>
    <t>CO2 storage step -- Saline (50 sites) - onshore_pipe - 0-50km - Indonesia</t>
  </si>
  <si>
    <t>STO_Saline_onshore_D2Q2P_IDN</t>
  </si>
  <si>
    <t>CO2 storage step -- Saline (13 sites) - onshore_pipe - 50-200km - Indonesia</t>
  </si>
  <si>
    <t>STO_Saline_onshore_D2Q3P_IDN</t>
  </si>
  <si>
    <t>CO2 storage step -- Saline (3 sites) - onshore_pipe - 50-200km - Indonesia</t>
  </si>
  <si>
    <t>STO_Saline_onshore_D3Q2P_IDN</t>
  </si>
  <si>
    <t>CO2 storage step -- Saline (18 sites) - onshore_pipe - 200-500km - Indonesia</t>
  </si>
  <si>
    <t>STO_Saline_onshore_D4Q2P_IDN</t>
  </si>
  <si>
    <t>CO2 storage step -- Saline (4 sites) - onshore_pipe - 500-1500km - Indonesia</t>
  </si>
  <si>
    <t>STO_Petroleum_offshore_D2Q1P_IND</t>
  </si>
  <si>
    <t>CO2 storage step -- Petroleum (1 site) - offshore_pipe - 50-200km - India</t>
  </si>
  <si>
    <t>STO_Petroleum_onshore_D1Q1P_IND</t>
  </si>
  <si>
    <t>CO2 storage step -- Petroleum (2 sites) - onshore_pipe - 0-50km - India</t>
  </si>
  <si>
    <t>STO_Petroleum_onshore_D2Q1P_IND</t>
  </si>
  <si>
    <t>CO2 storage step -- Petroleum (7 sites) - onshore_pipe - 50-200km - India</t>
  </si>
  <si>
    <t>STO_Petroleum_onshore_D3Q3P_IND</t>
  </si>
  <si>
    <t>CO2 storage step -- Petroleum (7 sites) - onshore_pipe - 200-500km - India</t>
  </si>
  <si>
    <t>STO_Petroleum_onshore_D4Q3P_IND</t>
  </si>
  <si>
    <t>CO2 storage step -- Petroleum (1 site) - onshore_pipe - 500-1500km - India</t>
  </si>
  <si>
    <t>STO_Petroleum_onshore_D5Q3P_IND</t>
  </si>
  <si>
    <t>CO2 storage step -- Petroleum (14 sites) - onshore_pipe - &gt;1500km - India</t>
  </si>
  <si>
    <t>STO_Saline_offshore_D3Q2S_IND</t>
  </si>
  <si>
    <t>CO2 storage step -- Saline (1 site) - offshore_ship - 200-500km - India</t>
  </si>
  <si>
    <t>D3Q2S</t>
  </si>
  <si>
    <t>STO_Saline_onshore_D1Q2P_IND</t>
  </si>
  <si>
    <t>CO2 storage step -- Saline (4 sites) - onshore_pipe - 0-50km - India</t>
  </si>
  <si>
    <t>STO_Saline_onshore_D1Q3P_IND</t>
  </si>
  <si>
    <t>CO2 storage step -- Saline (303 sites) - onshore_pipe - 0-50km - India</t>
  </si>
  <si>
    <t>STO_Saline_onshore_D2Q3P_IND</t>
  </si>
  <si>
    <t>CO2 storage step -- Saline (140 sites) - onshore_pipe - 50-200km - India</t>
  </si>
  <si>
    <t>STO_Saline_onshore_D3Q2P_IND</t>
  </si>
  <si>
    <t>CO2 storage step -- Saline (11 sites) - onshore_pipe - 200-500km - India</t>
  </si>
  <si>
    <t>STO_Saline_onshore_D3Q3P_IND</t>
  </si>
  <si>
    <t>CO2 storage step -- Saline (35 sites) - onshore_pipe - 200-500km - India</t>
  </si>
  <si>
    <t>STO_Petroleum_offshore_D1Q1P_IRL</t>
  </si>
  <si>
    <t>CO2 storage step -- Petroleum (2 sites) - offshore_pipe - 0-50km - Ireland</t>
  </si>
  <si>
    <t>STO_Petroleum_offshore_D2Q1P_IRL</t>
  </si>
  <si>
    <t>CO2 storage step -- Petroleum (1 site) - offshore_pipe - 50-200km - Ireland</t>
  </si>
  <si>
    <t>STO_Saline_offshore_D1Q2P_IRL</t>
  </si>
  <si>
    <t>CO2 storage step -- Saline (4 sites) - offshore_pipe - 0-50km - Ireland</t>
  </si>
  <si>
    <t>STO_Saline_offshore_D2Q2P_IRL</t>
  </si>
  <si>
    <t>CO2 storage step -- Saline (4 sites) - offshore_pipe - 50-200km - Ireland</t>
  </si>
  <si>
    <t>STO_Saline_onshore_D1Q3P_IRL</t>
  </si>
  <si>
    <t>CO2 storage step -- Saline (2 sites) - onshore_pipe - 0-50km - Ireland</t>
  </si>
  <si>
    <t>STO_Petroleum_onshore_D1Q3P_IRN</t>
  </si>
  <si>
    <t>CO2 storage step -- Petroleum (35 sites) - onshore_pipe - 0-50km - Iran</t>
  </si>
  <si>
    <t>STO_Petroleum_onshore_D2Q3P_IRN</t>
  </si>
  <si>
    <t>CO2 storage step -- Petroleum (66 sites) - onshore_pipe - 50-200km - Iran</t>
  </si>
  <si>
    <t>STO_Petroleum_onshore_D3Q3P_IRN</t>
  </si>
  <si>
    <t>CO2 storage step -- Petroleum (30 sites) - onshore_pipe - 200-500km - Iran</t>
  </si>
  <si>
    <t>STO_Saline_onshore_D1Q2P_IRN</t>
  </si>
  <si>
    <t>CO2 storage step -- Saline (5 sites) - onshore_pipe - 0-50km - Iran</t>
  </si>
  <si>
    <t>STO_Saline_onshore_D1Q3P_IRN</t>
  </si>
  <si>
    <t>CO2 storage step -- Saline (6 sites) - onshore_pipe - 0-50km - Iran</t>
  </si>
  <si>
    <t>STO_Saline_onshore_D2Q3P_IRN</t>
  </si>
  <si>
    <t>CO2 storage step -- Saline (2 sites) - onshore_pipe - 50-200km - Iran</t>
  </si>
  <si>
    <t>STO_Petroleum_onshore_D1Q3P_IRQ</t>
  </si>
  <si>
    <t>CO2 storage step -- Petroleum (2 sites) - onshore_pipe - 0-50km - Iraq</t>
  </si>
  <si>
    <t>STO_Saline_onshore_D1Q2P_IRQ</t>
  </si>
  <si>
    <t>CO2 storage step -- Saline (41 sites) - onshore_pipe - 0-50km - Iraq</t>
  </si>
  <si>
    <t>STO_Saline_onshore_D2Q2P_IRQ</t>
  </si>
  <si>
    <t>CO2 storage step -- Saline (16 sites) - onshore_pipe - 50-200km - Iraq</t>
  </si>
  <si>
    <t>STO_Saline_onshore_D1Q1P_ISR</t>
  </si>
  <si>
    <t>CO2 storage step -- Saline (2 sites) - onshore_pipe - 0-50km - Israel</t>
  </si>
  <si>
    <t>STO_Saline_onshore_D2Q1P_ISR</t>
  </si>
  <si>
    <t>CO2 storage step -- Saline (14 sites) - onshore_pipe - 50-200km - Israel</t>
  </si>
  <si>
    <t>STO_Saline_onshore_D2Q2P_ISR</t>
  </si>
  <si>
    <t>CO2 storage step -- Saline (1 site) - onshore_pipe - 50-200km - Israel</t>
  </si>
  <si>
    <t>STO_Saline_onshore_D3Q1P_ISR</t>
  </si>
  <si>
    <t>CO2 storage step -- Saline (3 sites) - onshore_pipe - 200-500km - Israel</t>
  </si>
  <si>
    <t>STO_Petroleum_onshore_D1Q1P_ITA</t>
  </si>
  <si>
    <t>CO2 storage step -- Petroleum (3 sites) - onshore_pipe - 0-50km - Italy</t>
  </si>
  <si>
    <t>STO_Petroleum_onshore_D2Q1P_ITA</t>
  </si>
  <si>
    <t>CO2 storage step -- Petroleum (2 sites) - onshore_pipe - 50-200km - Italy</t>
  </si>
  <si>
    <t>STO_Saline_onshore_D1Q1P_ITA</t>
  </si>
  <si>
    <t>CO2 storage step -- Saline (24 sites) - onshore_pipe - 0-50km - Italy</t>
  </si>
  <si>
    <t>STO_Saline_onshore_D1Q2P_ITA</t>
  </si>
  <si>
    <t>CO2 storage step -- Saline (1 site) - onshore_pipe - 0-50km - Italy</t>
  </si>
  <si>
    <t>STO_Saline_onshore_D1Q3P_ITA</t>
  </si>
  <si>
    <t>CO2 storage step -- Saline (21 sites) - onshore_pipe - 0-50km - Italy</t>
  </si>
  <si>
    <t>STO_Saline_onshore_D2Q1P_ITA</t>
  </si>
  <si>
    <t>CO2 storage step -- Saline (56 sites) - onshore_pipe - 50-200km - Italy</t>
  </si>
  <si>
    <t>STO_Saline_onshore_D3Q1P_ITA</t>
  </si>
  <si>
    <t>CO2 storage step -- Saline (3 sites) - onshore_pipe - 200-500km - Italy</t>
  </si>
  <si>
    <t>STO_Saline_onshore_D3Q3P_ITA</t>
  </si>
  <si>
    <t>CO2 storage step -- Saline (1 site) - onshore_pipe - 200-500km - Italy</t>
  </si>
  <si>
    <t>STO_Saline_onshore_D1Q3P_JAM</t>
  </si>
  <si>
    <t>CO2 storage step -- Saline (2 sites) - onshore_pipe - 0-50km - JAM</t>
  </si>
  <si>
    <t>STO_Saline_onshore_D3Q2P_JAM</t>
  </si>
  <si>
    <t>CO2 storage step -- Saline (1 site) - onshore_pipe - 200-500km - JAM</t>
  </si>
  <si>
    <t>STO_Saline_onshore_D1Q2P_JOR</t>
  </si>
  <si>
    <t>CO2 storage step -- Saline (4 sites) - onshore_pipe - 0-50km - Jordan</t>
  </si>
  <si>
    <t>STO_Saline_onshore_D2Q1P_JOR</t>
  </si>
  <si>
    <t>CO2 storage step -- Saline (6 sites) - onshore_pipe - 50-200km - Jordan</t>
  </si>
  <si>
    <t>STO_Petroleum_offshore_D1Q1P_JPN</t>
  </si>
  <si>
    <t>CO2 storage step -- Petroleum (1 site) - offshore_pipe - 0-50km - Japan</t>
  </si>
  <si>
    <t>STO_Petroleum_offshore_D2Q1P_JPN</t>
  </si>
  <si>
    <t>CO2 storage step -- Petroleum (8 sites) - offshore_pipe - 50-200km - Japan</t>
  </si>
  <si>
    <t>STO_Saline_offshore_D1Q2P_JPN</t>
  </si>
  <si>
    <t>CO2 storage step -- Saline (1 site) - offshore_pipe - 0-50km - Japan</t>
  </si>
  <si>
    <t>STO_Saline_offshore_D1Q3P_JPN</t>
  </si>
  <si>
    <t>CO2 storage step -- Saline (2 sites) - offshore_pipe - 0-50km - Japan</t>
  </si>
  <si>
    <t>STO_Saline_offshore_D1Q3S_JPN</t>
  </si>
  <si>
    <t>CO2 storage step -- Saline (39 sites) - offshore_ship - 0-50km - Japan</t>
  </si>
  <si>
    <t>STO_Saline_offshore_D2Q1P_JPN</t>
  </si>
  <si>
    <t>CO2 storage step -- Saline (3 sites) - offshore_pipe - 50-200km - Japan</t>
  </si>
  <si>
    <t>STO_Saline_offshore_D2Q2P_JPN</t>
  </si>
  <si>
    <t>CO2 storage step -- Saline (27 sites) - offshore_pipe - 50-200km - Japan</t>
  </si>
  <si>
    <t>STO_Saline_offshore_D2Q2S_JPN</t>
  </si>
  <si>
    <t>CO2 storage step -- Saline (6 sites) - offshore_ship - 50-200km - Japan</t>
  </si>
  <si>
    <t>D2Q2S</t>
  </si>
  <si>
    <t>STO_Saline_offshore_D2Q3P_JPN</t>
  </si>
  <si>
    <t>CO2 storage step -- Saline (22 sites) - offshore_pipe - 50-200km - Japan</t>
  </si>
  <si>
    <t>STO_Saline_offshore_D2Q3S_JPN</t>
  </si>
  <si>
    <t>CO2 storage step -- Saline (9 sites) - offshore_ship - 50-200km - Japan</t>
  </si>
  <si>
    <t>STO_Saline_offshore_D3Q3P_JPN</t>
  </si>
  <si>
    <t>CO2 storage step -- Saline (8 sites) - offshore_pipe - 200-500km - Japan</t>
  </si>
  <si>
    <t>STO_Saline_onshore_D1Q2P_JPN</t>
  </si>
  <si>
    <t>CO2 storage step -- Saline (5 sites) - onshore_pipe - 0-50km - Japan</t>
  </si>
  <si>
    <t>STO_Saline_onshore_D1Q3P_JPN</t>
  </si>
  <si>
    <t>CO2 storage step -- Saline (22 sites) - onshore_pipe - 0-50km - Japan</t>
  </si>
  <si>
    <t>STO_Saline_onshore_D2Q2P_JPN</t>
  </si>
  <si>
    <t>CO2 storage step -- Saline (18 sites) - onshore_pipe - 50-200km - Japan</t>
  </si>
  <si>
    <t>STO_Saline_onshore_D2Q3P_JPN</t>
  </si>
  <si>
    <t>CO2 storage step -- Saline (3 sites) - onshore_pipe - 50-200km - Japan</t>
  </si>
  <si>
    <t>STO_Saline_onshore_D3Q2P_JPN</t>
  </si>
  <si>
    <t>CO2 storage step -- Saline (31 sites) - onshore_pipe - 200-500km - Japan</t>
  </si>
  <si>
    <t>STO_Petroleum_onshore_D4Q1P_KAZ</t>
  </si>
  <si>
    <t>CO2 storage step -- Petroleum (1 site) - onshore_pipe - 500-1500km - Kazakhstan</t>
  </si>
  <si>
    <t>D4Q1P</t>
  </si>
  <si>
    <t>STO_Saline_onshore_D1Q2P_KAZ</t>
  </si>
  <si>
    <t>CO2 storage step -- Saline (12 sites) - onshore_pipe - 0-50km - Kazakhstan</t>
  </si>
  <si>
    <t>STO_Saline_onshore_D1Q3P_KAZ</t>
  </si>
  <si>
    <t>CO2 storage step -- Saline (3 sites) - onshore_pipe - 0-50km - Kazakhstan</t>
  </si>
  <si>
    <t>STO_Saline_onshore_D2Q2P_KAZ</t>
  </si>
  <si>
    <t>CO2 storage step -- Saline (15 sites) - onshore_pipe - 50-200km - Kazakhstan</t>
  </si>
  <si>
    <t>STO_Saline_onshore_D2Q3P_KAZ</t>
  </si>
  <si>
    <t>CO2 storage step -- Saline (3 sites) - onshore_pipe - 50-200km - Kazakhstan</t>
  </si>
  <si>
    <t>STO_Saline_onshore_D3Q2P_KAZ</t>
  </si>
  <si>
    <t>CO2 storage step -- Saline (2 sites) - onshore_pipe - 200-500km - Kazakhstan</t>
  </si>
  <si>
    <t>STO_Saline_onshore_D1Q2P_KEN</t>
  </si>
  <si>
    <t>CO2 storage step -- Saline (2 sites) - onshore_pipe - 0-50km - KEN</t>
  </si>
  <si>
    <t>STO_Saline_onshore_D1Q3P_KEN</t>
  </si>
  <si>
    <t>STO_Saline_onshore_D1Q3P_KGZ</t>
  </si>
  <si>
    <t>CO2 storage step -- Saline (4 sites) - onshore_pipe - 0-50km - KGZ</t>
  </si>
  <si>
    <t>STO_Petroleum_offshore_D1Q1P_KHM</t>
  </si>
  <si>
    <t>CO2 storage step -- Petroleum (1 site) - offshore_pipe - 0-50km - Cambodia</t>
  </si>
  <si>
    <t>STO_Petroleum_onshore_D2Q1P_KHM</t>
  </si>
  <si>
    <t>CO2 storage step -- Petroleum (1 site) - onshore_pipe - 50-200km - Cambodia</t>
  </si>
  <si>
    <t>STO_Saline_onshore_D1Q2P_KHM</t>
  </si>
  <si>
    <t>CO2 storage step -- Saline (1 site) - onshore_pipe - 0-50km - Cambodia</t>
  </si>
  <si>
    <t>STO_Saline_onshore_D1Q3P_KHM</t>
  </si>
  <si>
    <t>CO2 storage step -- Saline (3 sites) - onshore_pipe - 0-50km - Cambodia</t>
  </si>
  <si>
    <t>STO_Petroleum_offshore_D1Q1P_KOR</t>
  </si>
  <si>
    <t>CO2 storage step -- Petroleum (1 site) - offshore_pipe - 0-50km - South Korea</t>
  </si>
  <si>
    <t>STO_Saline_offshore_D1Q3P_KOR</t>
  </si>
  <si>
    <t>CO2 storage step -- Saline (8 sites) - offshore_pipe - 0-50km - South Korea</t>
  </si>
  <si>
    <t>STO_Saline_offshore_D1Q3S_KOR</t>
  </si>
  <si>
    <t>CO2 storage step -- Saline (26 sites) - offshore_ship - 0-50km - South Korea</t>
  </si>
  <si>
    <t>STO_Saline_offshore_D2Q2P_KOR</t>
  </si>
  <si>
    <t>CO2 storage step -- Saline (8 sites) - offshore_pipe - 50-200km - South Korea</t>
  </si>
  <si>
    <t>STO_Saline_offshore_D2Q3S_KOR</t>
  </si>
  <si>
    <t>CO2 storage step -- Saline (56 sites) - offshore_ship - 50-200km - South Korea</t>
  </si>
  <si>
    <t>STO_Saline_onshore_D1Q3P_KOR</t>
  </si>
  <si>
    <t>CO2 storage step -- Saline (1 site) - onshore_pipe - 0-50km - South Korea</t>
  </si>
  <si>
    <t>STO_Petroleum_onshore_D1Q3P_KWT</t>
  </si>
  <si>
    <t>CO2 storage step -- Petroleum (4 sites) - onshore_pipe - 0-50km - Kuwait</t>
  </si>
  <si>
    <t>STO_Petroleum_onshore_D2Q3P_KWT</t>
  </si>
  <si>
    <t>CO2 storage step -- Petroleum (2 sites) - onshore_pipe - 50-200km - Kuwait</t>
  </si>
  <si>
    <t>STO_Saline_onshore_D1Q2P_KWT</t>
  </si>
  <si>
    <t>CO2 storage step -- Saline (2 sites) - onshore_pipe - 0-50km - Kuwait</t>
  </si>
  <si>
    <t>STO_Saline_onshore_D1Q3P_LAO</t>
  </si>
  <si>
    <t>CO2 storage step -- Saline (1 site) - onshore_pipe - 0-50km - LAO</t>
  </si>
  <si>
    <t>STO_Saline_onshore_D2Q3P_LAO</t>
  </si>
  <si>
    <t>CO2 storage step -- Saline (2 sites) - onshore_pipe - 50-200km - LAO</t>
  </si>
  <si>
    <t>STO_Saline_onshore_D3Q2P_LAO</t>
  </si>
  <si>
    <t>CO2 storage step -- Saline (1 site) - onshore_pipe - 200-500km - LAO</t>
  </si>
  <si>
    <t>STO_Saline_onshore_D1Q3P_LBN</t>
  </si>
  <si>
    <t>CO2 storage step -- Saline (4 sites) - onshore_pipe - 0-50km - LBN</t>
  </si>
  <si>
    <t>STO_Saline_onshore_D1Q2P_LBY</t>
  </si>
  <si>
    <t>CO2 storage step -- Saline (17 sites) - onshore_pipe - 0-50km - Libya</t>
  </si>
  <si>
    <t>STO_Saline_offshore_D1Q2P_LKA</t>
  </si>
  <si>
    <t>CO2 storage step -- Saline (1 site) - offshore_pipe - 0-50km - LKA</t>
  </si>
  <si>
    <t>STO_Saline_onshore_D1Q3P_LKA</t>
  </si>
  <si>
    <t>CO2 storage step -- Saline (1 site) - onshore_pipe - 0-50km - LKA</t>
  </si>
  <si>
    <t>STO_Saline_onshore_D2Q2P_LKA</t>
  </si>
  <si>
    <t>CO2 storage step -- Saline (1 site) - onshore_pipe - 50-200km - LKA</t>
  </si>
  <si>
    <t>STO_Saline_onshore_D2Q3P_LKA</t>
  </si>
  <si>
    <t>CO2 storage step -- Saline (2 sites) - onshore_pipe - 50-200km - LKA</t>
  </si>
  <si>
    <t>STO_Saline_offshore_D2Q2P_LTU</t>
  </si>
  <si>
    <t>CO2 storage step -- Saline (1 site) - offshore_pipe - 50-200km - Lithuania</t>
  </si>
  <si>
    <t>STO_Saline_onshore_D1Q3P_LTU</t>
  </si>
  <si>
    <t>CO2 storage step -- Saline (2 sites) - onshore_pipe - 0-50km - Lithuania</t>
  </si>
  <si>
    <t>STO_Saline_offshore_D3Q3S_LUX</t>
  </si>
  <si>
    <t>CO2 storage step -- Saline (1 site) - offshore_ship - 200-500km - LUX</t>
  </si>
  <si>
    <t>STO_Saline_onshore_D1Q3P_LUX</t>
  </si>
  <si>
    <t>CO2 storage step -- Saline (2 sites) - onshore_pipe - 0-50km - LUX</t>
  </si>
  <si>
    <t>STO_Saline_offshore_D1Q2P_LVA</t>
  </si>
  <si>
    <t>CO2 storage step -- Saline (1 site) - offshore_pipe - 0-50km - Latvia</t>
  </si>
  <si>
    <t>STO_Saline_offshore_D2Q2P_LVA</t>
  </si>
  <si>
    <t>CO2 storage step -- Saline (1 site) - offshore_pipe - 50-200km - Latvia</t>
  </si>
  <si>
    <t>STO_Saline_onshore_D1Q3P_LVA</t>
  </si>
  <si>
    <t>CO2 storage step -- Saline (1 site) - onshore_pipe - 0-50km - Latvia</t>
  </si>
  <si>
    <t>STO_Petroleum_onshore_D1Q1P_MAR</t>
  </si>
  <si>
    <t>CO2 storage step -- Petroleum (1 site) - onshore_pipe - 0-50km - Morocco</t>
  </si>
  <si>
    <t>STO_Petroleum_onshore_D2Q1P_MAR</t>
  </si>
  <si>
    <t>CO2 storage step -- Petroleum (2 sites) - onshore_pipe - 50-200km - Morocco</t>
  </si>
  <si>
    <t>STO_Saline_onshore_D1Q2P_MAR</t>
  </si>
  <si>
    <t>CO2 storage step -- Saline (3 sites) - onshore_pipe - 0-50km - Morocco</t>
  </si>
  <si>
    <t>STO_Saline_onshore_D2Q2P_MAR</t>
  </si>
  <si>
    <t>CO2 storage step -- Saline (11 sites) - onshore_pipe - 50-200km - Morocco</t>
  </si>
  <si>
    <t>STO_Saline_onshore_D1Q3P_MDA</t>
  </si>
  <si>
    <t>CO2 storage step -- Saline (2 sites) - onshore_pipe - 0-50km - MDA</t>
  </si>
  <si>
    <t>STO_Saline_onshore_D2Q3P_MDA</t>
  </si>
  <si>
    <t>CO2 storage step -- Saline (1 site) - onshore_pipe - 50-200km - MDA</t>
  </si>
  <si>
    <t>STO_Saline_onshore_D1Q2P_MDG</t>
  </si>
  <si>
    <t>CO2 storage step -- Saline (1 site) - onshore_pipe - 0-50km - MDG</t>
  </si>
  <si>
    <t>STO_Saline_onshore_D2Q2P_MDG</t>
  </si>
  <si>
    <t>CO2 storage step -- Saline (1 site) - onshore_pipe - 50-200km - MDG</t>
  </si>
  <si>
    <t>STO_Petroleum_onshore_D1Q3P_MEX</t>
  </si>
  <si>
    <t>CO2 storage step -- Petroleum (4 sites) - onshore_pipe - 0-50km - Mexico</t>
  </si>
  <si>
    <t>STO_Saline_onshore_D1Q1P_MEX</t>
  </si>
  <si>
    <t>CO2 storage step -- Saline (13 sites) - onshore_pipe - 0-50km - Mexico</t>
  </si>
  <si>
    <t>STO_Saline_onshore_D1Q2P_MEX</t>
  </si>
  <si>
    <t>STO_Saline_onshore_D1Q3P_MEX</t>
  </si>
  <si>
    <t>CO2 storage step -- Saline (3 sites) - onshore_pipe - 0-50km - Mexico</t>
  </si>
  <si>
    <t>STO_Saline_onshore_D2Q1P_MEX</t>
  </si>
  <si>
    <t>CO2 storage step -- Saline (35 sites) - onshore_pipe - 50-200km - Mexico</t>
  </si>
  <si>
    <t>STO_Saline_onshore_D2Q2P_MEX</t>
  </si>
  <si>
    <t>CO2 storage step -- Saline (12 sites) - onshore_pipe - 50-200km - Mexico</t>
  </si>
  <si>
    <t>STO_Saline_onshore_D3Q1P_MEX</t>
  </si>
  <si>
    <t>CO2 storage step -- Saline (8 sites) - onshore_pipe - 200-500km - Mexico</t>
  </si>
  <si>
    <t>STO_Saline_onshore_D3Q2P_MEX</t>
  </si>
  <si>
    <t>CO2 storage step -- Saline (6 sites) - onshore_pipe - 200-500km - Mexico</t>
  </si>
  <si>
    <t>STO_Saline_onshore_D4Q1P_MEX</t>
  </si>
  <si>
    <t>CO2 storage step -- Saline (2 sites) - onshore_pipe - 500-1500km - Mexico</t>
  </si>
  <si>
    <t>STO_Saline_offshore_D2Q3S_MKD</t>
  </si>
  <si>
    <t>CO2 storage step -- Saline (4 sites) - offshore_ship - 50-200km - North Macedonia</t>
  </si>
  <si>
    <t>North Macedonia</t>
  </si>
  <si>
    <t>proxy_areal</t>
  </si>
  <si>
    <t>STO_Saline_onshore_D1Q3P_MKD</t>
  </si>
  <si>
    <t>CO2 storage step -- Saline (1 site) - onshore_pipe - 0-50km - North Macedonia</t>
  </si>
  <si>
    <t>STO_Saline_onshore_D1Q2P_MLT</t>
  </si>
  <si>
    <t>CO2 storage step -- Saline (1 site) - onshore_pipe - 0-50km - MLT</t>
  </si>
  <si>
    <t>MLT</t>
  </si>
  <si>
    <t>STO_Petroleum_onshore_D1Q3P_MMR</t>
  </si>
  <si>
    <t>CO2 storage step -- Petroleum (4 sites) - onshore_pipe - 0-50km - Myanmar</t>
  </si>
  <si>
    <t>STO_Petroleum_onshore_D2Q3P_MMR</t>
  </si>
  <si>
    <t>CO2 storage step -- Petroleum (16 sites) - onshore_pipe - 50-200km - Myanmar</t>
  </si>
  <si>
    <t>STO_Petroleum_onshore_D3Q3P_MMR</t>
  </si>
  <si>
    <t>CO2 storage step -- Petroleum (1 site) - onshore_pipe - 200-500km - Myanmar</t>
  </si>
  <si>
    <t>STO_Saline_onshore_D1Q2P_MMR</t>
  </si>
  <si>
    <t>CO2 storage step -- Saline (1 site) - onshore_pipe - 0-50km - Myanmar</t>
  </si>
  <si>
    <t>STO_Saline_onshore_D1Q3P_MMR</t>
  </si>
  <si>
    <t>STO_Saline_onshore_D2Q3P_MMR</t>
  </si>
  <si>
    <t>CO2 storage step -- Saline (2 sites) - onshore_pipe - 50-200km - Myanmar</t>
  </si>
  <si>
    <t>STO_Saline_onshore_D1Q3P_MNG</t>
  </si>
  <si>
    <t>CO2 storage step -- Saline (2 sites) - onshore_pipe - 0-50km - MNG</t>
  </si>
  <si>
    <t>STO_Saline_onshore_D2Q2P_MNG</t>
  </si>
  <si>
    <t>CO2 storage step -- Saline (1 site) - onshore_pipe - 50-200km - MNG</t>
  </si>
  <si>
    <t>STO_Saline_onshore_D2Q3P_MNG</t>
  </si>
  <si>
    <t>CO2 storage step -- Saline (2 sites) - onshore_pipe - 50-200km - MNG</t>
  </si>
  <si>
    <t>STO_Saline_onshore_D3Q3P_MNG</t>
  </si>
  <si>
    <t>CO2 storage step -- Saline (4 sites) - onshore_pipe - 200-500km - MNG</t>
  </si>
  <si>
    <t>STO_Saline_onshore_D4Q2P_MNG</t>
  </si>
  <si>
    <t>CO2 storage step -- Saline (1 site) - onshore_pipe - 500-1500km - MNG</t>
  </si>
  <si>
    <t>STO_Saline_onshore_D1Q2P_MOZ</t>
  </si>
  <si>
    <t>CO2 storage step -- Saline (1 site) - onshore_pipe - 0-50km - Mozambique</t>
  </si>
  <si>
    <t>STO_Saline_onshore_D2Q2P_MOZ</t>
  </si>
  <si>
    <t>CO2 storage step -- Saline (1 site) - onshore_pipe - 50-200km - Mozambique</t>
  </si>
  <si>
    <t>STO_Saline_offshore_D4Q2P_MUS</t>
  </si>
  <si>
    <t>CO2 storage step -- Saline (2 sites) - offshore_pipe - 500-1500km - MUS</t>
  </si>
  <si>
    <t>MUS</t>
  </si>
  <si>
    <t>STO_Saline_onshore_D1Q3P_MWI</t>
  </si>
  <si>
    <t>CO2 storage step -- Saline (1 site) - onshore_pipe - 0-50km - MWI</t>
  </si>
  <si>
    <t>STO_Saline_onshore_D1Q2P_MYS</t>
  </si>
  <si>
    <t>CO2 storage step -- Saline (1 site) - onshore_pipe - 0-50km - Malaysia</t>
  </si>
  <si>
    <t>STO_Saline_onshore_D1Q3P_MYS</t>
  </si>
  <si>
    <t>CO2 storage step -- Saline (36 sites) - onshore_pipe - 0-50km - Malaysia</t>
  </si>
  <si>
    <t>STO_Saline_onshore_D2Q2P_MYS</t>
  </si>
  <si>
    <t>CO2 storage step -- Saline (9 sites) - onshore_pipe - 50-200km - Malaysia</t>
  </si>
  <si>
    <t>STO_Saline_onshore_D2Q3P_MYS</t>
  </si>
  <si>
    <t>CO2 storage step -- Saline (4 sites) - onshore_pipe - 50-200km - Malaysia</t>
  </si>
  <si>
    <t>STO_Saline_onshore_D2Q2P_NAM</t>
  </si>
  <si>
    <t>CO2 storage step -- Saline (1 site) - onshore_pipe - 50-200km - NAM</t>
  </si>
  <si>
    <t>STO_Saline_onshore_D1Q2P_NCL</t>
  </si>
  <si>
    <t>CO2 storage step -- Saline (1 site) - onshore_pipe - 0-50km - NCL</t>
  </si>
  <si>
    <t>NCL</t>
  </si>
  <si>
    <t>STO_Saline_onshore_D1Q3P_NCL</t>
  </si>
  <si>
    <t>STO_Saline_onshore_D1Q2P_NGA</t>
  </si>
  <si>
    <t>CO2 storage step -- Saline (29 sites) - onshore_pipe - 0-50km - Nigeria</t>
  </si>
  <si>
    <t>STO_Saline_onshore_D2Q2P_NGA</t>
  </si>
  <si>
    <t>CO2 storage step -- Saline (2 sites) - onshore_pipe - 50-200km - Nigeria</t>
  </si>
  <si>
    <t>STO_Petroleum_offshore_D1Q1P_NLD</t>
  </si>
  <si>
    <t>CO2 storage step -- Petroleum (3 sites) - offshore_pipe - 0-50km - Netherlands</t>
  </si>
  <si>
    <t>STO_Petroleum_offshore_D2Q1P_NLD</t>
  </si>
  <si>
    <t>CO2 storage step -- Petroleum (8 sites) - offshore_pipe - 50-200km - Netherlands</t>
  </si>
  <si>
    <t>STO_Saline_onshore_D1Q2P_NLD</t>
  </si>
  <si>
    <t>CO2 storage step -- Saline (1 site) - onshore_pipe - 0-50km - Netherlands</t>
  </si>
  <si>
    <t>STO_Saline_onshore_D1Q3P_NLD</t>
  </si>
  <si>
    <t>CO2 storage step -- Saline (15 sites) - onshore_pipe - 0-50km - Netherlands</t>
  </si>
  <si>
    <t>STO_Saline_offshore_D2Q1P_NOR</t>
  </si>
  <si>
    <t>CO2 storage step -- Saline (1 site) - offshore_pipe - 50-200km - Norway</t>
  </si>
  <si>
    <t>STO_Saline_offshore_D2Q2P_NOR</t>
  </si>
  <si>
    <t>STO_Saline_onshore_D2Q2P_NOR</t>
  </si>
  <si>
    <t>CO2 storage step -- Saline (1 site) - onshore_pipe - 50-200km - Norway</t>
  </si>
  <si>
    <t>STO_Saline_onshore_D2Q3P_NOR</t>
  </si>
  <si>
    <t>STO_Saline_onshore_D1Q3P_NPL</t>
  </si>
  <si>
    <t>CO2 storage step -- Saline (33 sites) - onshore_pipe - 0-50km - NPL</t>
  </si>
  <si>
    <t>STO_Petroleum_onshore_D1Q1P_NZL</t>
  </si>
  <si>
    <t>CO2 storage step -- Petroleum (1 site) - onshore_pipe - 0-50km - New Zealand</t>
  </si>
  <si>
    <t>New Zealand</t>
  </si>
  <si>
    <t>NZL</t>
  </si>
  <si>
    <t>STO_Petroleum_onshore_D2Q1P_NZL</t>
  </si>
  <si>
    <t>CO2 storage step -- Petroleum (1 site) - onshore_pipe - 50-200km - New Zealand</t>
  </si>
  <si>
    <t>STO_Saline_onshore_D1Q3P_NZL</t>
  </si>
  <si>
    <t>CO2 storage step -- Saline (1 site) - onshore_pipe - 0-50km - New Zealand</t>
  </si>
  <si>
    <t>STO_Saline_onshore_D1Q2P_OMN</t>
  </si>
  <si>
    <t>CO2 storage step -- Saline (16 sites) - onshore_pipe - 0-50km - Oman</t>
  </si>
  <si>
    <t>STO_Saline_onshore_D1Q3P_OMN</t>
  </si>
  <si>
    <t>CO2 storage step -- Saline (1 site) - onshore_pipe - 0-50km - Oman</t>
  </si>
  <si>
    <t>STO_Saline_onshore_D2Q2P_OMN</t>
  </si>
  <si>
    <t>CO2 storage step -- Saline (8 sites) - onshore_pipe - 50-200km - Oman</t>
  </si>
  <si>
    <t>STO_Petroleum_onshore_D1Q1P_PAK</t>
  </si>
  <si>
    <t>CO2 storage step -- Petroleum (6 sites) - onshore_pipe - 0-50km - Pakistan</t>
  </si>
  <si>
    <t>STO_Petroleum_onshore_D2Q1P_PAK</t>
  </si>
  <si>
    <t>CO2 storage step -- Petroleum (11 sites) - onshore_pipe - 50-200km - Pakistan</t>
  </si>
  <si>
    <t>STO_Petroleum_onshore_D3Q1P_PAK</t>
  </si>
  <si>
    <t>CO2 storage step -- Petroleum (8 sites) - onshore_pipe - 200-500km - Pakistan</t>
  </si>
  <si>
    <t>STO_Petroleum_onshore_D4Q3P_PAK</t>
  </si>
  <si>
    <t>CO2 storage step -- Petroleum (15 sites) - onshore_pipe - 500-1500km - Pakistan</t>
  </si>
  <si>
    <t>STO_Saline_onshore_D1Q3P_PAK</t>
  </si>
  <si>
    <t>CO2 storage step -- Saline (24 sites) - onshore_pipe - 0-50km - Pakistan</t>
  </si>
  <si>
    <t>STO_Saline_onshore_D2Q2P_PAK</t>
  </si>
  <si>
    <t>CO2 storage step -- Saline (2 sites) - onshore_pipe - 50-200km - Pakistan</t>
  </si>
  <si>
    <t>STO_Saline_onshore_D3Q2P_PAK</t>
  </si>
  <si>
    <t>CO2 storage step -- Saline (1 site) - onshore_pipe - 200-500km - Pakistan</t>
  </si>
  <si>
    <t>STO_Saline_onshore_D1Q3P_PAN</t>
  </si>
  <si>
    <t>CO2 storage step -- Saline (2 sites) - onshore_pipe - 0-50km - PAN</t>
  </si>
  <si>
    <t>STO_Saline_onshore_D3Q2P_PAN</t>
  </si>
  <si>
    <t>CO2 storage step -- Saline (1 site) - onshore_pipe - 200-500km - PAN</t>
  </si>
  <si>
    <t>STO_Saline_onshore_D1Q3P_PER</t>
  </si>
  <si>
    <t>CO2 storage step -- Saline (8 sites) - onshore_pipe - 0-50km - Peru</t>
  </si>
  <si>
    <t>STO_Saline_onshore_D2Q3P_PER</t>
  </si>
  <si>
    <t>CO2 storage step -- Saline (1 site) - onshore_pipe - 50-200km - Peru</t>
  </si>
  <si>
    <t>STO_Saline_onshore_D3Q2P_PER</t>
  </si>
  <si>
    <t>CO2 storage step -- Saline (1 site) - onshore_pipe - 200-500km - Peru</t>
  </si>
  <si>
    <t>STO_Saline_onshore_D4Q2P_PER</t>
  </si>
  <si>
    <t>CO2 storage step -- Saline (7 sites) - onshore_pipe - 500-1500km - Peru</t>
  </si>
  <si>
    <t>STO_Petroleum_offshore_D3Q1P_PHL</t>
  </si>
  <si>
    <t>CO2 storage step -- Petroleum (1 site) - offshore_pipe - 200-500km - Philippines</t>
  </si>
  <si>
    <t>STO_Saline_onshore_D1Q3P_PHL</t>
  </si>
  <si>
    <t>CO2 storage step -- Saline (39 sites) - onshore_pipe - 0-50km - Philippines</t>
  </si>
  <si>
    <t>STO_Saline_onshore_D2Q3P_PHL</t>
  </si>
  <si>
    <t>CO2 storage step -- Saline (3 sites) - onshore_pipe - 50-200km - Philippines</t>
  </si>
  <si>
    <t>STO_Saline_onshore_D3Q2P_PHL</t>
  </si>
  <si>
    <t>CO2 storage step -- Saline (1 site) - onshore_pipe - 200-500km - Philippines</t>
  </si>
  <si>
    <t>STO_Saline_onshore_D1Q1P_POL</t>
  </si>
  <si>
    <t>CO2 storage step -- Saline (2 sites) - onshore_pipe - 0-50km - Poland</t>
  </si>
  <si>
    <t>STO_Saline_onshore_D1Q2P_POL</t>
  </si>
  <si>
    <t>CO2 storage step -- Saline (42 sites) - onshore_pipe - 0-50km - Poland</t>
  </si>
  <si>
    <t>STO_Saline_onshore_D1Q3P_POL</t>
  </si>
  <si>
    <t>CO2 storage step -- Saline (3 sites) - onshore_pipe - 0-50km - Poland</t>
  </si>
  <si>
    <t>STO_Saline_onshore_D2Q2P_POL</t>
  </si>
  <si>
    <t>CO2 storage step -- Saline (12 sites) - onshore_pipe - 50-200km - Poland</t>
  </si>
  <si>
    <t>STO_Saline_onshore_D1Q3P_PRI</t>
  </si>
  <si>
    <t>CO2 storage step -- Saline (2 sites) - onshore_pipe - 0-50km - PRI</t>
  </si>
  <si>
    <t>PRI</t>
  </si>
  <si>
    <t>STO_Saline_offshore_D1Q3S_PRK</t>
  </si>
  <si>
    <t>CO2 storage step -- Saline (7 sites) - offshore_ship - 0-50km - PRK</t>
  </si>
  <si>
    <t>STO_Saline_offshore_D2Q2P_PRK</t>
  </si>
  <si>
    <t>CO2 storage step -- Saline (1 site) - offshore_pipe - 50-200km - PRK</t>
  </si>
  <si>
    <t>STO_Saline_offshore_D2Q3S_PRK</t>
  </si>
  <si>
    <t>CO2 storage step -- Saline (2 sites) - offshore_ship - 50-200km - PRK</t>
  </si>
  <si>
    <t>STO_Saline_onshore_D2Q3P_PRK</t>
  </si>
  <si>
    <t>CO2 storage step -- Saline (1 site) - onshore_pipe - 50-200km - PRK</t>
  </si>
  <si>
    <t>STO_Saline_onshore_D1Q1P_PRT</t>
  </si>
  <si>
    <t>CO2 storage step -- Saline (1 site) - onshore_pipe - 0-50km - Portugal</t>
  </si>
  <si>
    <t>STO_Saline_onshore_D1Q2P_PRT</t>
  </si>
  <si>
    <t>STO_Saline_onshore_D1Q3P_PRT</t>
  </si>
  <si>
    <t>CO2 storage step -- Saline (7 sites) - onshore_pipe - 0-50km - Portugal</t>
  </si>
  <si>
    <t>STO_Saline_onshore_D2Q1P_PRT</t>
  </si>
  <si>
    <t>CO2 storage step -- Saline (1 site) - onshore_pipe - 50-200km - Portugal</t>
  </si>
  <si>
    <t>STO_Saline_onshore_D1Q2P_PRY</t>
  </si>
  <si>
    <t>CO2 storage step -- Saline (1 site) - onshore_pipe - 0-50km - PRY</t>
  </si>
  <si>
    <t>STO_Petroleum_onshore_D2Q3P_QAT</t>
  </si>
  <si>
    <t>CO2 storage step -- Petroleum (1 site) - onshore_pipe - 50-200km - Qatar</t>
  </si>
  <si>
    <t>STO_Saline_onshore_D1Q1P_QAT</t>
  </si>
  <si>
    <t>CO2 storage step -- Saline (1 site) - onshore_pipe - 0-50km - Qatar</t>
  </si>
  <si>
    <t>STO_Saline_onshore_D1Q2P_QAT</t>
  </si>
  <si>
    <t>CO2 storage step -- Saline (8 sites) - onshore_pipe - 0-50km - Qatar</t>
  </si>
  <si>
    <t>STO_Saline_onshore_D2Q1P_QAT</t>
  </si>
  <si>
    <t>CO2 storage step -- Saline (2 sites) - onshore_pipe - 50-200km - Qatar</t>
  </si>
  <si>
    <t>STO_Petroleum_onshore_D1Q1P_ROU</t>
  </si>
  <si>
    <t>CO2 storage step -- Petroleum (10 sites) - onshore_pipe - 0-50km - Romania</t>
  </si>
  <si>
    <t>STO_Saline_onshore_D1Q2P_ROU</t>
  </si>
  <si>
    <t>CO2 storage step -- Saline (2 sites) - onshore_pipe - 0-50km - Romania</t>
  </si>
  <si>
    <t>STO_Saline_onshore_D1Q3P_ROU</t>
  </si>
  <si>
    <t>STO_Saline_onshore_D2Q2P_ROU</t>
  </si>
  <si>
    <t>CO2 storage step -- Saline (7 sites) - onshore_pipe - 50-200km - Romania</t>
  </si>
  <si>
    <t>STO_Petroleum_onshore_D1Q3P_RUS</t>
  </si>
  <si>
    <t>CO2 storage step -- Petroleum (1 site) - onshore_pipe - 0-50km - Russian Federation</t>
  </si>
  <si>
    <t>Russian Federation</t>
  </si>
  <si>
    <t>STO_Petroleum_onshore_D2Q3P_RUS</t>
  </si>
  <si>
    <t>CO2 storage step -- Petroleum (1 site) - onshore_pipe - 50-200km - Russian Federation</t>
  </si>
  <si>
    <t>STO_Petroleum_onshore_D3Q3P_RUS</t>
  </si>
  <si>
    <t>CO2 storage step -- Petroleum (1 site) - onshore_pipe - 200-500km - Russian Federation</t>
  </si>
  <si>
    <t>STO_Saline_onshore_D1Q2P_RUS</t>
  </si>
  <si>
    <t>CO2 storage step -- Saline (150 sites) - onshore_pipe - 0-50km - Russian Federation</t>
  </si>
  <si>
    <t>STO_Saline_onshore_D1Q3P_RUS</t>
  </si>
  <si>
    <t>CO2 storage step -- Saline (11 sites) - onshore_pipe - 0-50km - Russian Federation</t>
  </si>
  <si>
    <t>STO_Saline_onshore_D2Q2P_RUS</t>
  </si>
  <si>
    <t>CO2 storage step -- Saline (85 sites) - onshore_pipe - 50-200km - Russian Federation</t>
  </si>
  <si>
    <t>STO_Saline_onshore_D2Q3P_RUS</t>
  </si>
  <si>
    <t>CO2 storage step -- Saline (4 sites) - onshore_pipe - 50-200km - Russian Federation</t>
  </si>
  <si>
    <t>STO_Saline_onshore_D3Q2P_RUS</t>
  </si>
  <si>
    <t>CO2 storage step -- Saline (17 sites) - onshore_pipe - 200-500km - Russian Federation</t>
  </si>
  <si>
    <t>STO_Saline_onshore_D4Q2P_RUS</t>
  </si>
  <si>
    <t>CO2 storage step -- Saline (1 site) - onshore_pipe - 500-1500km - Russian Federation</t>
  </si>
  <si>
    <t>STO_Saline_onshore_D1Q1P_SAU</t>
  </si>
  <si>
    <t>CO2 storage step -- Saline (5 sites) - onshore_pipe - 0-50km - Saudi Arabia</t>
  </si>
  <si>
    <t>STO_Saline_onshore_D1Q2P_SAU</t>
  </si>
  <si>
    <t>CO2 storage step -- Saline (59 sites) - onshore_pipe - 0-50km - Saudi Arabia</t>
  </si>
  <si>
    <t>STO_Saline_onshore_D2Q1P_SAU</t>
  </si>
  <si>
    <t>CO2 storage step -- Saline (7 sites) - onshore_pipe - 50-200km - Saudi Arabia</t>
  </si>
  <si>
    <t>STO_Saline_onshore_D2Q2P_SAU</t>
  </si>
  <si>
    <t>CO2 storage step -- Saline (6 sites) - onshore_pipe - 50-200km - Saudi Arabia</t>
  </si>
  <si>
    <t>STO_Saline_onshore_D3Q2P_SAU</t>
  </si>
  <si>
    <t>CO2 storage step -- Saline (1 site) - onshore_pipe - 200-500km - Saudi Arabia</t>
  </si>
  <si>
    <t>STO_Saline_onshore_D1Q2P_SDN</t>
  </si>
  <si>
    <t>CO2 storage step -- Saline (1 site) - onshore_pipe - 0-50km - Sudan</t>
  </si>
  <si>
    <t>STO_Saline_onshore_D3Q2P_SDN</t>
  </si>
  <si>
    <t>CO2 storage step -- Saline (1 site) - onshore_pipe - 200-500km - Sudan</t>
  </si>
  <si>
    <t>STO_Saline_onshore_D1Q2P_SEN</t>
  </si>
  <si>
    <t>CO2 storage step -- Saline (5 sites) - onshore_pipe - 0-50km - SEN</t>
  </si>
  <si>
    <t>STO_Saline_offshore_D1Q3S_SGP</t>
  </si>
  <si>
    <t>CO2 storage step -- Saline (9 sites) - offshore_ship - 0-50km - SGP</t>
  </si>
  <si>
    <t>SGP</t>
  </si>
  <si>
    <t>STO_Saline_offshore_D2Q3S_SGP</t>
  </si>
  <si>
    <t>CO2 storage step -- Saline (1 site) - offshore_ship - 50-200km - SGP</t>
  </si>
  <si>
    <t>STO_Saline_onshore_D1Q3P_SLV</t>
  </si>
  <si>
    <t>CO2 storage step -- Saline (2 sites) - onshore_pipe - 0-50km - SLV</t>
  </si>
  <si>
    <t>STO_Petroleum_onshore_D1Q1P_SRB</t>
  </si>
  <si>
    <t>CO2 storage step -- Petroleum (3 sites) - onshore_pipe - 0-50km - Serbia</t>
  </si>
  <si>
    <t>STO_Petroleum_onshore_D2Q1P_SRB</t>
  </si>
  <si>
    <t>CO2 storage step -- Petroleum (1 site) - onshore_pipe - 50-200km - Serbia</t>
  </si>
  <si>
    <t>STO_Saline_onshore_D1Q2P_SRB</t>
  </si>
  <si>
    <t>CO2 storage step -- Saline (1 site) - onshore_pipe - 0-50km - Serbia</t>
  </si>
  <si>
    <t>STO_Saline_onshore_D1Q3P_SRB</t>
  </si>
  <si>
    <t>CO2 storage step -- Saline (5 sites) - onshore_pipe - 0-50km - Serbia</t>
  </si>
  <si>
    <t>STO_Saline_onshore_D2Q3P_SRB</t>
  </si>
  <si>
    <t>CO2 storage step -- Saline (1 site) - onshore_pipe - 50-200km - Serbia</t>
  </si>
  <si>
    <t>STO_Petroleum_onshore_D2Q3P_SSD</t>
  </si>
  <si>
    <t>CO2 storage step -- Petroleum (19 sites) - onshore_pipe - 50-200km - South Sudan</t>
  </si>
  <si>
    <t>field_area_proxy</t>
  </si>
  <si>
    <t>site_geo+voidage+life_cap</t>
  </si>
  <si>
    <t>OGIM_v2.7+fallback_step</t>
  </si>
  <si>
    <t>STO_Petroleum_onshore_D2Q1P_SVK</t>
  </si>
  <si>
    <t>CO2 storage step -- Petroleum (1 site) - onshore_pipe - 50-200km - Slovakia</t>
  </si>
  <si>
    <t>Slovakia</t>
  </si>
  <si>
    <t>STO_Saline_onshore_D1Q2P_SVK</t>
  </si>
  <si>
    <t>CO2 storage step -- Saline (1 site) - onshore_pipe - 0-50km - Slovakia</t>
  </si>
  <si>
    <t>STO_Saline_onshore_D1Q3P_SVK</t>
  </si>
  <si>
    <t>CO2 storage step -- Saline (7 sites) - onshore_pipe - 0-50km - Slovakia</t>
  </si>
  <si>
    <t>STO_Saline_offshore_D1Q3S_SVN</t>
  </si>
  <si>
    <t>CO2 storage step -- Saline (1 site) - offshore_ship - 0-50km - Slovenia</t>
  </si>
  <si>
    <t>STO_Saline_offshore_D2Q3S_SVN</t>
  </si>
  <si>
    <t>CO2 storage step -- Saline (3 sites) - offshore_ship - 50-200km - Slovenia</t>
  </si>
  <si>
    <t>STO_Saline_onshore_D1Q3P_SVN</t>
  </si>
  <si>
    <t>CO2 storage step -- Saline (2 sites) - onshore_pipe - 0-50km - Slovenia</t>
  </si>
  <si>
    <t>STO_Petroleum_onshore_D3Q1P_SWE</t>
  </si>
  <si>
    <t>CO2 storage step -- Petroleum (2 sites) - onshore_pipe - 200-500km - Sweden</t>
  </si>
  <si>
    <t>STO_Saline_onshore_D2Q2P_SWE</t>
  </si>
  <si>
    <t>CO2 storage step -- Saline (1 site) - onshore_pipe - 50-200km - Sweden</t>
  </si>
  <si>
    <t>STO_Saline_onshore_D2Q3P_SWE</t>
  </si>
  <si>
    <t>STO_Saline_onshore_D3Q3P_SWE</t>
  </si>
  <si>
    <t>CO2 storage step -- Saline (1 site) - onshore_pipe - 200-500km - Sweden</t>
  </si>
  <si>
    <t>STO_Saline_onshore_D2Q2P_SYR</t>
  </si>
  <si>
    <t>CO2 storage step -- Saline (11 sites) - onshore_pipe - 50-200km - SYR</t>
  </si>
  <si>
    <t>STO_Saline_onshore_D3Q2P_SYR</t>
  </si>
  <si>
    <t>CO2 storage step -- Saline (2 sites) - onshore_pipe - 200-500km - SYR</t>
  </si>
  <si>
    <t>STO_Saline_onshore_D1Q2P_TGO</t>
  </si>
  <si>
    <t>CO2 storage step -- Saline (1 site) - onshore_pipe - 0-50km - TGO</t>
  </si>
  <si>
    <t>STO_Petroleum_offshore_D1Q1P_THA</t>
  </si>
  <si>
    <t>CO2 storage step -- Petroleum (1 site) - offshore_pipe - 0-50km - Thailand</t>
  </si>
  <si>
    <t>STO_Petroleum_offshore_D2Q1P_THA</t>
  </si>
  <si>
    <t>CO2 storage step -- Petroleum (1 site) - offshore_pipe - 50-200km - Thailand</t>
  </si>
  <si>
    <t>STO_Petroleum_onshore_D2Q1P_THA</t>
  </si>
  <si>
    <t>CO2 storage step -- Petroleum (11 sites) - onshore_pipe - 50-200km - Thailand</t>
  </si>
  <si>
    <t>STO_Saline_onshore_D1Q2P_THA</t>
  </si>
  <si>
    <t>CO2 storage step -- Saline (50 sites) - onshore_pipe - 0-50km - Thailand</t>
  </si>
  <si>
    <t>STO_Saline_onshore_D1Q3P_THA</t>
  </si>
  <si>
    <t>CO2 storage step -- Saline (1 site) - onshore_pipe - 0-50km - Thailand</t>
  </si>
  <si>
    <t>STO_Saline_onshore_D2Q2P_THA</t>
  </si>
  <si>
    <t>CO2 storage step -- Saline (13 sites) - onshore_pipe - 50-200km - Thailand</t>
  </si>
  <si>
    <t>STO_Saline_onshore_D3Q2P_THA</t>
  </si>
  <si>
    <t>CO2 storage step -- Saline (1 site) - onshore_pipe - 200-500km - Thailand</t>
  </si>
  <si>
    <t>STO_Saline_onshore_D1Q3P_TJK</t>
  </si>
  <si>
    <t>CO2 storage step -- Saline (1 site) - onshore_pipe - 0-50km - TJK</t>
  </si>
  <si>
    <t>STO_Petroleum_onshore_D1Q3P_TKM</t>
  </si>
  <si>
    <t>CO2 storage step -- Petroleum (2 sites) - onshore_pipe - 0-50km - Turkmenistan</t>
  </si>
  <si>
    <t>STO_Petroleum_onshore_D2Q3P_TKM</t>
  </si>
  <si>
    <t>CO2 storage step -- Petroleum (1 site) - onshore_pipe - 50-200km - Turkmenistan</t>
  </si>
  <si>
    <t>STO_Saline_onshore_D1Q2P_TKM</t>
  </si>
  <si>
    <t>CO2 storage step -- Saline (8 sites) - onshore_pipe - 0-50km - Turkmenistan</t>
  </si>
  <si>
    <t>STO_Saline_onshore_D2Q2P_TKM</t>
  </si>
  <si>
    <t>CO2 storage step -- Saline (3 sites) - onshore_pipe - 50-200km - Turkmenistan</t>
  </si>
  <si>
    <t>STO_Petroleum_onshore_D2Q2P_TLS</t>
  </si>
  <si>
    <t>CO2 storage step -- Petroleum (1 site) - onshore_pipe - 50-200km - Timor-Leste</t>
  </si>
  <si>
    <t>STO_Petroleum_onshore_D1Q1P_TTO</t>
  </si>
  <si>
    <t>CO2 storage step -- Petroleum (5 sites) - onshore_pipe - 0-50km - Trinidad and Tobago</t>
  </si>
  <si>
    <t>STO_Saline_onshore_D1Q2P_TUN</t>
  </si>
  <si>
    <t>CO2 storage step -- Saline (3 sites) - onshore_pipe - 0-50km - Tunisia</t>
  </si>
  <si>
    <t>STO_Saline_onshore_D1Q3P_TUN</t>
  </si>
  <si>
    <t>CO2 storage step -- Saline (1 site) - onshore_pipe - 0-50km - Tunisia</t>
  </si>
  <si>
    <t>STO_Saline_onshore_D2Q2P_TUN</t>
  </si>
  <si>
    <t>CO2 storage step -- Saline (17 sites) - onshore_pipe - 50-200km - Tunisia</t>
  </si>
  <si>
    <t>STO_Petroleum_onshore_D1Q3P_TUR</t>
  </si>
  <si>
    <t>CO2 storage step -- Petroleum (1 site) - onshore_pipe - 0-50km - TUR</t>
  </si>
  <si>
    <t>STO_Petroleum_onshore_D2Q3P_TUR</t>
  </si>
  <si>
    <t>CO2 storage step -- Petroleum (2 sites) - onshore_pipe - 50-200km - TUR</t>
  </si>
  <si>
    <t>STO_Petroleum_onshore_D3Q3P_TUR</t>
  </si>
  <si>
    <t>CO2 storage step -- Petroleum (11 sites) - onshore_pipe - 200-500km - TUR</t>
  </si>
  <si>
    <t>STO_Petroleum_onshore_D4Q3P_TUR</t>
  </si>
  <si>
    <t>CO2 storage step -- Petroleum (36 sites) - onshore_pipe - 500-1500km - TUR</t>
  </si>
  <si>
    <t>STO_Saline_onshore_D1Q2P_TUR</t>
  </si>
  <si>
    <t>CO2 storage step -- Saline (4 sites) - onshore_pipe - 0-50km - TUR</t>
  </si>
  <si>
    <t>STO_Saline_onshore_D1Q3P_TUR</t>
  </si>
  <si>
    <t>CO2 storage step -- Saline (66 sites) - onshore_pipe - 0-50km - TUR</t>
  </si>
  <si>
    <t>STO_Saline_onshore_D2Q3P_TUR</t>
  </si>
  <si>
    <t>CO2 storage step -- Saline (19 sites) - onshore_pipe - 50-200km - TUR</t>
  </si>
  <si>
    <t>STO_Saline_offshore_D1Q3S_TWN</t>
  </si>
  <si>
    <t>CO2 storage step -- Saline (21 sites) - offshore_ship - 0-50km - TWN</t>
  </si>
  <si>
    <t>STO_Saline_onshore_D1Q3P_TWN</t>
  </si>
  <si>
    <t>CO2 storage step -- Saline (20 sites) - onshore_pipe - 0-50km - TWN</t>
  </si>
  <si>
    <t>STO_Saline_onshore_D1Q2P_TZA</t>
  </si>
  <si>
    <t>CO2 storage step -- Saline (5 sites) - onshore_pipe - 0-50km - Tanzania</t>
  </si>
  <si>
    <t>STO_Saline_onshore_D1Q3P_TZA</t>
  </si>
  <si>
    <t>CO2 storage step -- Saline (1 site) - onshore_pipe - 0-50km - Tanzania</t>
  </si>
  <si>
    <t>STO_Petroleum_onshore_D2Q3P_UGA</t>
  </si>
  <si>
    <t>CO2 storage step -- Petroleum (18 sites) - onshore_pipe - 50-200km - Uganda</t>
  </si>
  <si>
    <t>STO_Petroleum_onshore_D3Q1P_UKR</t>
  </si>
  <si>
    <t>CO2 storage step -- Petroleum (2 sites) - onshore_pipe - 200-500km - Ukraine</t>
  </si>
  <si>
    <t>STO_Saline_onshore_D1Q2P_UKR</t>
  </si>
  <si>
    <t>CO2 storage step -- Saline (15 sites) - onshore_pipe - 0-50km - Ukraine</t>
  </si>
  <si>
    <t>STO_Saline_onshore_D2Q2P_UKR</t>
  </si>
  <si>
    <t>CO2 storage step -- Saline (9 sites) - onshore_pipe - 50-200km - Ukraine</t>
  </si>
  <si>
    <t>STO_Saline_onshore_D1Q2P_URY</t>
  </si>
  <si>
    <t>CO2 storage step -- Saline (1 site) - onshore_pipe - 0-50km - URY</t>
  </si>
  <si>
    <t>STO_Saline_onshore_D1Q3P_URY</t>
  </si>
  <si>
    <t>CO2 storage step -- Saline (2 sites) - onshore_pipe - 0-50km - URY</t>
  </si>
  <si>
    <t>STO_Saline_onshore_D2Q2P_URY</t>
  </si>
  <si>
    <t>CO2 storage step -- Saline (2 sites) - onshore_pipe - 50-200km - URY</t>
  </si>
  <si>
    <t>STO_Petroleum_onshore_D1Q1P_USA</t>
  </si>
  <si>
    <t>CO2 storage step -- Petroleum (24 sites) - onshore_pipe - 0-50km - United States of America</t>
  </si>
  <si>
    <t>United States of America</t>
  </si>
  <si>
    <t>STO_Petroleum_onshore_D2Q1P_USA</t>
  </si>
  <si>
    <t>CO2 storage step -- Petroleum (303 sites) - onshore_pipe - 50-200km - United States of America</t>
  </si>
  <si>
    <t>STO_Petroleum_onshore_D3Q1P_USA</t>
  </si>
  <si>
    <t>CO2 storage step -- Petroleum (253 sites) - onshore_pipe - 200-500km - United States of America</t>
  </si>
  <si>
    <t>STO_Petroleum_onshore_D4Q1P_USA</t>
  </si>
  <si>
    <t>CO2 storage step -- Petroleum (12 sites) - onshore_pipe - 500-1500km - United States of America</t>
  </si>
  <si>
    <t>STO_Saline_offshore_D5Q2S_USA</t>
  </si>
  <si>
    <t>CO2 storage step -- Saline (1 site) - offshore_ship - &gt;1500km - United States of America</t>
  </si>
  <si>
    <t>D5Q2S</t>
  </si>
  <si>
    <t>STO_Saline_onshore_D1Q1P_USA</t>
  </si>
  <si>
    <t>CO2 storage step -- Saline (3 sites) - onshore_pipe - 0-50km - United States of America</t>
  </si>
  <si>
    <t>STO_Saline_onshore_D1Q2P_USA</t>
  </si>
  <si>
    <t>CO2 storage step -- Saline (231 sites) - onshore_pipe - 0-50km - United States of America</t>
  </si>
  <si>
    <t>STO_Saline_onshore_D1Q3P_USA</t>
  </si>
  <si>
    <t>CO2 storage step -- Saline (28 sites) - onshore_pipe - 0-50km - United States of America</t>
  </si>
  <si>
    <t>STO_Saline_onshore_D2Q1P_USA</t>
  </si>
  <si>
    <t>CO2 storage step -- Saline (18 sites) - onshore_pipe - 50-200km - United States of America</t>
  </si>
  <si>
    <t>STO_Saline_onshore_D2Q2P_USA</t>
  </si>
  <si>
    <t>CO2 storage step -- Saline (189 sites) - onshore_pipe - 50-200km - United States of America</t>
  </si>
  <si>
    <t>STO_Saline_onshore_D2Q3P_USA</t>
  </si>
  <si>
    <t>CO2 storage step -- Saline (4 sites) - onshore_pipe - 50-200km - United States of America</t>
  </si>
  <si>
    <t>STO_Saline_onshore_D3Q1P_USA</t>
  </si>
  <si>
    <t>CO2 storage step -- Saline (17 sites) - onshore_pipe - 200-500km - United States of America</t>
  </si>
  <si>
    <t>STO_Saline_onshore_D3Q2P_USA</t>
  </si>
  <si>
    <t>CO2 storage step -- Saline (20 sites) - onshore_pipe - 200-500km - United States of America</t>
  </si>
  <si>
    <t>STO_Petroleum_onshore_D2Q3P_UZB</t>
  </si>
  <si>
    <t>CO2 storage step -- Petroleum (1 site) - onshore_pipe - 50-200km - Uzbekistan</t>
  </si>
  <si>
    <t>STO_Saline_onshore_D1Q2P_UZB</t>
  </si>
  <si>
    <t>CO2 storage step -- Saline (8 sites) - onshore_pipe - 0-50km - Uzbekistan</t>
  </si>
  <si>
    <t>STO_Saline_onshore_D1Q3P_UZB</t>
  </si>
  <si>
    <t>CO2 storage step -- Saline (2 sites) - onshore_pipe - 0-50km - Uzbekistan</t>
  </si>
  <si>
    <t>STO_Saline_onshore_D2Q2P_UZB</t>
  </si>
  <si>
    <t>CO2 storage step -- Saline (13 sites) - onshore_pipe - 50-200km - Uzbekistan</t>
  </si>
  <si>
    <t>STO_Saline_onshore_D3Q2P_UZB</t>
  </si>
  <si>
    <t>CO2 storage step -- Saline (3 sites) - onshore_pipe - 200-500km - Uzbekistan</t>
  </si>
  <si>
    <t>STO_Saline_onshore_D1Q2P_VEN</t>
  </si>
  <si>
    <t>CO2 storage step -- Saline (4 sites) - onshore_pipe - 0-50km - Venezuela</t>
  </si>
  <si>
    <t>STO_Saline_onshore_D1Q3P_VEN</t>
  </si>
  <si>
    <t>CO2 storage step -- Saline (2 sites) - onshore_pipe - 0-50km - Venezuela</t>
  </si>
  <si>
    <t>STO_Saline_onshore_D2Q2P_VEN</t>
  </si>
  <si>
    <t>CO2 storage step -- Saline (4 sites) - onshore_pipe - 50-200km - Venezuela</t>
  </si>
  <si>
    <t>STO_Petroleum_offshore_D2Q1P_VNM</t>
  </si>
  <si>
    <t>CO2 storage step -- Petroleum (2 sites) - offshore_pipe - 50-200km - Vietnam</t>
  </si>
  <si>
    <t>STO_Petroleum_offshore_D3Q1P_VNM</t>
  </si>
  <si>
    <t>CO2 storage step -- Petroleum (1 site) - offshore_pipe - 200-500km - Vietnam</t>
  </si>
  <si>
    <t>STO_Saline_offshore_D1Q2P_VNM</t>
  </si>
  <si>
    <t>CO2 storage step -- Saline (19 sites) - offshore_pipe - 0-50km - Vietnam</t>
  </si>
  <si>
    <t>STO_Saline_offshore_D2Q2P_VNM</t>
  </si>
  <si>
    <t>CO2 storage step -- Saline (59 sites) - offshore_pipe - 50-200km - Vietnam</t>
  </si>
  <si>
    <t>STO_Saline_offshore_D2Q2S_VNM</t>
  </si>
  <si>
    <t>CO2 storage step -- Saline (3 sites) - offshore_ship - 50-200km - Vietnam</t>
  </si>
  <si>
    <t>STO_Saline_offshore_D3Q2P_VNM</t>
  </si>
  <si>
    <t>CO2 storage step -- Saline (4 sites) - offshore_pipe - 200-500km - Vietnam</t>
  </si>
  <si>
    <t>STO_Saline_offshore_D3Q2S_VNM</t>
  </si>
  <si>
    <t>CO2 storage step -- Saline (1 site) - offshore_ship - 200-500km - Vietnam</t>
  </si>
  <si>
    <t>STO_Saline_onshore_D1Q3P_VNM</t>
  </si>
  <si>
    <t>CO2 storage step -- Saline (17 sites) - onshore_pipe - 0-50km - Vietnam</t>
  </si>
  <si>
    <t>STO_Saline_onshore_D2Q2P_VNM</t>
  </si>
  <si>
    <t>CO2 storage step -- Saline (1 site) - onshore_pipe - 50-200km - Vietnam</t>
  </si>
  <si>
    <t>STO_Saline_offshore_D2Q3S_XKX</t>
  </si>
  <si>
    <t>CO2 storage step -- Saline (2 sites) - offshore_ship - 50-200km - XKX</t>
  </si>
  <si>
    <t>XKX</t>
  </si>
  <si>
    <t>STO_Saline_onshore_D1Q2P_YEM</t>
  </si>
  <si>
    <t>CO2 storage step -- Saline (1 site) - onshore_pipe - 0-50km - Yemen</t>
  </si>
  <si>
    <t>STO_Saline_onshore_D1Q3P_YEM</t>
  </si>
  <si>
    <t>STO_Saline_onshore_D2Q2P_YEM</t>
  </si>
  <si>
    <t>CO2 storage step -- Saline (1 site) - onshore_pipe - 50-200km - Yemen</t>
  </si>
  <si>
    <t>STO_Saline_onshore_D1Q2P_ZAF</t>
  </si>
  <si>
    <t>CO2 storage step -- Saline (5 sites) - onshore_pipe - 0-50km - South Africa</t>
  </si>
  <si>
    <t>STO_Saline_onshore_D1Q3P_ZAF</t>
  </si>
  <si>
    <t>CO2 storage step -- Saline (4 sites) - onshore_pipe - 0-50km - South Africa</t>
  </si>
  <si>
    <t>STO_Saline_onshore_D2Q2P_ZAF</t>
  </si>
  <si>
    <t>CO2 storage step -- Saline (3 sites) - onshore_pipe - 50-200km - South Africa</t>
  </si>
  <si>
    <t>STO_Saline_onshore_D2Q3P_ZAF</t>
  </si>
  <si>
    <t>CO2 storage step -- Saline (1 site) - onshore_pipe - 50-200km - South Africa</t>
  </si>
  <si>
    <t>STO_Saline_onshore_D3Q2P_ZAF</t>
  </si>
  <si>
    <t>CO2 storage step -- Saline (19 sites) - onshore_pipe - 200-500km - South Africa</t>
  </si>
  <si>
    <t>STO_Saline_onshore_D2Q2P_ZMB</t>
  </si>
  <si>
    <t>CO2 storage step -- Saline (1 site) - onshore_pipe - 50-200km - ZMB</t>
  </si>
  <si>
    <t>STO_Saline_onshore_D1Q3P_ZWE</t>
  </si>
  <si>
    <t>CO2 storage step -- Saline (1 site) - onshore_pipe - 0-50km - ZWE</t>
  </si>
  <si>
    <t>STO_Saline_onshore_D2Q2P_ZWE</t>
  </si>
  <si>
    <t>CO2 storage step -- Saline (1 site) - onshore_pipe - 50-200km - ZWE</t>
  </si>
  <si>
    <t>STO_Saline_onshore_D2Q3P_ZWE</t>
  </si>
  <si>
    <t>STO_Saline_onshore_D3Q3P_ZWE</t>
  </si>
  <si>
    <t>CO2 storage step -- Saline (1 site) - onshore_pipe - 200-500km - ZWE</t>
  </si>
  <si>
    <t>ele</t>
  </si>
  <si>
    <t>en_spv_AFG_001</t>
  </si>
  <si>
    <t>solar resource in Kunduz region (near Kunduz) -- Afghanistan</t>
  </si>
  <si>
    <t>annual</t>
  </si>
  <si>
    <t>en_spv_AFG_002</t>
  </si>
  <si>
    <t>solar resource in Faryab region (near Aqchah) -- Afghanistan</t>
  </si>
  <si>
    <t>en_spv_AFG_003</t>
  </si>
  <si>
    <t>solar resource in Herat region (near Herat) -- Afghanistan</t>
  </si>
  <si>
    <t>en_spv_AFG_004</t>
  </si>
  <si>
    <t>en_spv_AFG_005</t>
  </si>
  <si>
    <t>solar resource in Zabul region (near Kandahar) -- Afghanistan</t>
  </si>
  <si>
    <t>en_spv_AFG_006</t>
  </si>
  <si>
    <t>solar resource in Paktika region (near Kabul) -- Afghanistan</t>
  </si>
  <si>
    <t>en_spv_AFG_007</t>
  </si>
  <si>
    <t>solar resource in Federally Administered Tribal Areas region (near Jalalabad) -- Afghanistan</t>
  </si>
  <si>
    <t>en_spv_AFG_008</t>
  </si>
  <si>
    <t>solar resource in Kandahar region (near Kandahar) -- Afghanistan</t>
  </si>
  <si>
    <t>en_spv_AFG_009</t>
  </si>
  <si>
    <t>solar resource in Nimruz region (near Farah) -- Afghanistan</t>
  </si>
  <si>
    <t>en_spv_AGO_001</t>
  </si>
  <si>
    <t>solar resource in Huila region (near Chibia) -- Angola</t>
  </si>
  <si>
    <t>en_spv_AGO_002</t>
  </si>
  <si>
    <t>solar resource in Huila region (near Caluquembe) -- Angola</t>
  </si>
  <si>
    <t>en_spv_AGO_003</t>
  </si>
  <si>
    <t>solar resource in Bie region (near Menongue) -- Angola</t>
  </si>
  <si>
    <t>en_spv_AGO_004</t>
  </si>
  <si>
    <t>solar resource in Cuando Cubango region (near Menongue) -- Angola</t>
  </si>
  <si>
    <t>en_spv_AGO_005</t>
  </si>
  <si>
    <t>en_spv_AGO_006</t>
  </si>
  <si>
    <t>solar resource in Bengo region (near Belas) -- Angola</t>
  </si>
  <si>
    <t>en_spv_AGO_007</t>
  </si>
  <si>
    <t>solar resource in Zaire region (near Mbanza Kongo) -- Angola</t>
  </si>
  <si>
    <t>en_spv_AGO_008</t>
  </si>
  <si>
    <t>solar resource in Malanje region (near Malanje) -- Angola</t>
  </si>
  <si>
    <t>en_spv_AGO_009</t>
  </si>
  <si>
    <t>solar resource in Bie region (near Andulo) -- Angola</t>
  </si>
  <si>
    <t>en_spv_AGO_010</t>
  </si>
  <si>
    <t>solar resource in Bie region (near Luena) -- Angola</t>
  </si>
  <si>
    <t>en_spv_AGO_011</t>
  </si>
  <si>
    <t>solar resource in Moxico region (near Luena) -- Angola</t>
  </si>
  <si>
    <t>en_spv_AGO_012</t>
  </si>
  <si>
    <t>solar resource in Lunda Norte region (near Saurimo) -- Angola</t>
  </si>
  <si>
    <t>en_spv_ALB_001</t>
  </si>
  <si>
    <t>solar resource in Shkoder region (near Shkoder) -- Albania</t>
  </si>
  <si>
    <t>en_spv_ALB_002</t>
  </si>
  <si>
    <t>solar resource in Gjirokaster region (near Vlore) -- Albania</t>
  </si>
  <si>
    <t>en_spv_ALB_003</t>
  </si>
  <si>
    <t>solar resource in Korce region (near Korce) -- Albania</t>
  </si>
  <si>
    <t>en_spv_ALB_004</t>
  </si>
  <si>
    <t>solar resource in Elbasan region (near Tirana) -- Albania</t>
  </si>
  <si>
    <t>en_spv_ARE_001</t>
  </si>
  <si>
    <t>solar resource in Emirate of Abu Dhabi region (near Abu Dhabi) -- United Arab Emirates</t>
  </si>
  <si>
    <t>en_spv_ARE_002</t>
  </si>
  <si>
    <t>en_spv_ARE_003</t>
  </si>
  <si>
    <t>solar resource in Emirate of Dubai region (near Dubai) -- United Arab Emirates</t>
  </si>
  <si>
    <t>en_spv_ARE_004</t>
  </si>
  <si>
    <t>en_spv_ARG_001</t>
  </si>
  <si>
    <t>solar resource in La Pampa region (near Cipolletti) -- Argentina</t>
  </si>
  <si>
    <t>en_spv_ARG_002</t>
  </si>
  <si>
    <t>solar resource in Chubut region (near Comodoro Rivadavia) -- Argentina</t>
  </si>
  <si>
    <t>en_spv_ARG_003</t>
  </si>
  <si>
    <t>solar resource in Chubut region (near Trelew) -- Argentina</t>
  </si>
  <si>
    <t>en_spv_ARG_004</t>
  </si>
  <si>
    <t>solar resource in San Luis region (near San Luis) -- Argentina</t>
  </si>
  <si>
    <t>en_spv_ARG_005</t>
  </si>
  <si>
    <t>solar resource in Santiago del Estero region (near Santiago del Estero) -- Argentina</t>
  </si>
  <si>
    <t>en_spv_ARG_006</t>
  </si>
  <si>
    <t>solar resource in La Rioja region (near La Rioja) -- Argentina</t>
  </si>
  <si>
    <t>en_spv_ARG_007</t>
  </si>
  <si>
    <t>solar resource in Corrientes region (near Posadas) -- Argentina</t>
  </si>
  <si>
    <t>en_spv_ARG_008</t>
  </si>
  <si>
    <t>solar resource in Formosa region (near Formosa) -- Argentina</t>
  </si>
  <si>
    <t>en_spv_ARG_009</t>
  </si>
  <si>
    <t>solar resource in Santiago del Estero region (near La Banda) -- Argentina</t>
  </si>
  <si>
    <t>en_spv_ARG_010</t>
  </si>
  <si>
    <t>solar resource in Corrientes region (near Concordia) -- Argentina</t>
  </si>
  <si>
    <t>en_spv_ARG_011</t>
  </si>
  <si>
    <t>solar resource in Entre Rios region (near San Lorenzo) -- Argentina</t>
  </si>
  <si>
    <t>en_spv_ARG_012</t>
  </si>
  <si>
    <t>solar resource in Buenos Aires region (near Olavarria) -- Argentina</t>
  </si>
  <si>
    <t>en_spv_ARG_013</t>
  </si>
  <si>
    <t>solar resource in Buenos Aires region (near Bahia Blanca) -- Argentina</t>
  </si>
  <si>
    <t>en_spv_ARM_001</t>
  </si>
  <si>
    <t>solar resource in Vayots Dzor region (near Abovyan) -- Armenia</t>
  </si>
  <si>
    <t>en_spv_ARM_002</t>
  </si>
  <si>
    <t>solar resource in Armavir region (near Ejmiatsin) -- Armenia</t>
  </si>
  <si>
    <t>en_spv_ARM_003</t>
  </si>
  <si>
    <t>solar resource in Lori region (near Vanadzor) -- Armenia</t>
  </si>
  <si>
    <t>en_spv_AUS_001</t>
  </si>
  <si>
    <t>solar resource in Western Australia region (near Adelaide) -- Australia</t>
  </si>
  <si>
    <t>en_spv_AUS_002</t>
  </si>
  <si>
    <t>solar resource in Western Australia region (near Perth) -- Australia</t>
  </si>
  <si>
    <t>en_spv_AUS_003</t>
  </si>
  <si>
    <t>solar resource in Queensland region (near Adelaide) -- Australia</t>
  </si>
  <si>
    <t>en_spv_AUS_004</t>
  </si>
  <si>
    <t>solar resource in Northern Territory region (near Adelaide) -- Australia</t>
  </si>
  <si>
    <t>en_spv_AUS_005</t>
  </si>
  <si>
    <t>solar resource in Queensland region (near Brisbane) -- Australia</t>
  </si>
  <si>
    <t>en_spv_AUS_006</t>
  </si>
  <si>
    <t>en_spv_AUS_007</t>
  </si>
  <si>
    <t>en_spv_AUS_008</t>
  </si>
  <si>
    <t>solar resource in New South Wales region (near Adelaide) -- Australia</t>
  </si>
  <si>
    <t>en_spv_AUS_009</t>
  </si>
  <si>
    <t>solar resource in South Australia region (near Adelaide) -- Australia</t>
  </si>
  <si>
    <t>en_spv_AUS_010</t>
  </si>
  <si>
    <t>solar resource in Victoria region (near Melbourne) -- Australia</t>
  </si>
  <si>
    <t>en_spv_AUS_011</t>
  </si>
  <si>
    <t>en_spv_AUS_012</t>
  </si>
  <si>
    <t>en_spv_AUS_013</t>
  </si>
  <si>
    <t>solar resource in New South Wales region (near Sydney) -- Australia</t>
  </si>
  <si>
    <t>en_spv_AUS_014</t>
  </si>
  <si>
    <t>solar resource in Tasmania region (near Melbourne) -- Australia</t>
  </si>
  <si>
    <t>en_spv_AUS_015</t>
  </si>
  <si>
    <t>en_spv_AUS_016</t>
  </si>
  <si>
    <t>en_spv_AUS_017</t>
  </si>
  <si>
    <t>en_spv_AUS_018</t>
  </si>
  <si>
    <t>en_spv_AUS_019</t>
  </si>
  <si>
    <t>en_spv_AUS_020</t>
  </si>
  <si>
    <t>en_spv_AUS_021</t>
  </si>
  <si>
    <t>en_spv_AUT_001</t>
  </si>
  <si>
    <t>solar resource in Burgenland region (near Graz) -- Austria</t>
  </si>
  <si>
    <t>en_spv_AUT_002</t>
  </si>
  <si>
    <t>solar resource in Upper Austria region (near Linz) -- Austria</t>
  </si>
  <si>
    <t>en_spv_AUT_003</t>
  </si>
  <si>
    <t>solar resource in Bavaria region (near Lochau) -- Austria</t>
  </si>
  <si>
    <t>en_spv_AUT_004</t>
  </si>
  <si>
    <t>solar resource in Bavaria region (near Innsbruck) -- Austria</t>
  </si>
  <si>
    <t>en_spv_AZE_001</t>
  </si>
  <si>
    <t>solar resource in Babek region (near Naxcivan) -- Azerbaijan</t>
  </si>
  <si>
    <t>en_spv_AZE_002</t>
  </si>
  <si>
    <t>solar resource in Samukh region (near Ganca) -- Azerbaijan</t>
  </si>
  <si>
    <t>en_spv_AZE_003</t>
  </si>
  <si>
    <t>solar resource in Siyazan region (near Xacmaz) -- Azerbaijan</t>
  </si>
  <si>
    <t>en_spv_AZE_004</t>
  </si>
  <si>
    <t>solar resource in Ardabil region (near Agcabadi) -- Azerbaijan</t>
  </si>
  <si>
    <t>en_spv_BDI_001</t>
  </si>
  <si>
    <t>solar resource in Rutana region (near Ruyigi) -- Burundi</t>
  </si>
  <si>
    <t>en_spv_BDI_002</t>
  </si>
  <si>
    <t>solar resource in Bujumbura Rural region (near Bujumbura) -- Burundi</t>
  </si>
  <si>
    <t>en_spv_BEL_001</t>
  </si>
  <si>
    <t>solar resource in Hainaut region (near Ath) -- Belgium</t>
  </si>
  <si>
    <t>en_spv_BEL_002</t>
  </si>
  <si>
    <t>solar resource in Luxembourg region (near Arlon) -- Belgium</t>
  </si>
  <si>
    <t>en_spv_BEL_003</t>
  </si>
  <si>
    <t>solar resource in Limburg region (near Genk) -- Belgium</t>
  </si>
  <si>
    <t>en_spv_BEN_001</t>
  </si>
  <si>
    <t>solar resource in Donga region (near Pehonko) -- Benin</t>
  </si>
  <si>
    <t>en_spv_BEN_002</t>
  </si>
  <si>
    <t>solar resource in Alibori region (near Banikoara) -- Benin</t>
  </si>
  <si>
    <t>en_spv_BEN_003</t>
  </si>
  <si>
    <t>solar resource in Collines region (near Glazoue) -- Benin</t>
  </si>
  <si>
    <t>en_spv_BEN_004</t>
  </si>
  <si>
    <t>solar resource in Plateau region (near Sakete) -- Benin</t>
  </si>
  <si>
    <t>en_spv_BEN_005</t>
  </si>
  <si>
    <t>solar resource in Kouffo region (near Lalo) -- Benin</t>
  </si>
  <si>
    <t>en_spv_BFA_001</t>
  </si>
  <si>
    <t>solar resource in Banwa region (near Bobo-Dioulasso) -- Burkina Faso</t>
  </si>
  <si>
    <t>en_spv_BFA_002</t>
  </si>
  <si>
    <t>solar resource in Comoe region (near Banfora) -- Burkina Faso</t>
  </si>
  <si>
    <t>en_spv_BFA_003</t>
  </si>
  <si>
    <t>solar resource in Gourma region (near Fada Ngourma) -- Burkina Faso</t>
  </si>
  <si>
    <t>en_spv_BFA_004</t>
  </si>
  <si>
    <t>solar resource in Ioba region (near Hounde) -- Burkina Faso</t>
  </si>
  <si>
    <t>en_spv_BFA_005</t>
  </si>
  <si>
    <t>solar resource in Bazega region (near Ouagadougou) -- Burkina Faso</t>
  </si>
  <si>
    <t>en_spv_BFA_006</t>
  </si>
  <si>
    <t>solar resource in Sourou region (near Ouahigouya) -- Burkina Faso</t>
  </si>
  <si>
    <t>en_spv_BFA_007</t>
  </si>
  <si>
    <t>solar resource in Seno region (near Kaya) -- Burkina Faso</t>
  </si>
  <si>
    <t>en_spv_BGD_001</t>
  </si>
  <si>
    <t>solar resource in Khulna region (near Khulna) -- Bangladesh</t>
  </si>
  <si>
    <t>en_spv_BGD_002</t>
  </si>
  <si>
    <t>solar resource in Chattogram region (near Chattogram) -- Bangladesh</t>
  </si>
  <si>
    <t>en_spv_BGD_003</t>
  </si>
  <si>
    <t>solar resource in Rangpur region (near Rangapukur) -- Bangladesh</t>
  </si>
  <si>
    <t>en_spv_BGD_004</t>
  </si>
  <si>
    <t>solar resource in Khulna region (near Rajshahi) -- Bangladesh</t>
  </si>
  <si>
    <t>en_spv_BGD_005</t>
  </si>
  <si>
    <t>solar resource in Dhaka region (near Gazipura) -- Bangladesh</t>
  </si>
  <si>
    <t>en_spv_BGR_001</t>
  </si>
  <si>
    <t>solar resource in Varna region (near Shumen) -- Bulgaria</t>
  </si>
  <si>
    <t>en_spv_BGR_002</t>
  </si>
  <si>
    <t>solar resource in Teleorman region (near Pleven) -- Bulgaria</t>
  </si>
  <si>
    <t>en_spv_BGR_003</t>
  </si>
  <si>
    <t>solar resource in Haskovo region (near Dimitrovgrad) -- Bulgaria</t>
  </si>
  <si>
    <t>en_spv_BGR_004</t>
  </si>
  <si>
    <t>solar resource in Sofia region (near Vratsa) -- Bulgaria</t>
  </si>
  <si>
    <t>en_spv_BIH_001</t>
  </si>
  <si>
    <t>solar resource in Livno region (near Bugojno) -- Bosnia and Herzegovina</t>
  </si>
  <si>
    <t>en_spv_BIH_002</t>
  </si>
  <si>
    <t>solar resource in Herzegovina-Neretva Canton region (near Mostar) -- Bosnia and Herzegovina</t>
  </si>
  <si>
    <t>en_spv_BIH_003</t>
  </si>
  <si>
    <t>solar resource in Banja Luka region (near Prijedor) -- Bosnia and Herzegovina</t>
  </si>
  <si>
    <t>en_spv_BIH_004</t>
  </si>
  <si>
    <t>solar resource in Sarajevo-Romanija region (near Sarajevo) -- Bosnia and Herzegovina</t>
  </si>
  <si>
    <t>en_spv_BIH_005</t>
  </si>
  <si>
    <t>solar resource in Tuzla Canton region (near Gracanica) -- Bosnia and Herzegovina</t>
  </si>
  <si>
    <t>en_spv_BLR_001</t>
  </si>
  <si>
    <t>solar resource in Brest region (near Pinsk) -- Belarus</t>
  </si>
  <si>
    <t>en_spv_BLR_002</t>
  </si>
  <si>
    <t>solar resource in Grodno region (near Lida) -- Belarus</t>
  </si>
  <si>
    <t>en_spv_BLR_003</t>
  </si>
  <si>
    <t>solar resource in Vitebsk region (near Minsk) -- Belarus</t>
  </si>
  <si>
    <t>en_spv_BLR_004</t>
  </si>
  <si>
    <t>solar resource in Vitebsk region (near Vitsyebsk) -- Belarus</t>
  </si>
  <si>
    <t>en_spv_BLR_005</t>
  </si>
  <si>
    <t>solar resource in Mahilioŭ region (near Mahilyow) -- Belarus</t>
  </si>
  <si>
    <t>en_spv_BLR_006</t>
  </si>
  <si>
    <t>solar resource in Minsk region (near Salihorsk) -- Belarus</t>
  </si>
  <si>
    <t>en_spv_BOL_001</t>
  </si>
  <si>
    <t>solar resource in Beni region (near Cochabamba) -- Bolivia</t>
  </si>
  <si>
    <t>en_spv_BOL_002</t>
  </si>
  <si>
    <t>solar resource in Pando region (near La Paz) -- Bolivia</t>
  </si>
  <si>
    <t>en_spv_BOL_003</t>
  </si>
  <si>
    <t>en_spv_BOL_004</t>
  </si>
  <si>
    <t>solar resource in Beni region (near La Paz) -- Bolivia</t>
  </si>
  <si>
    <t>en_spv_BOL_005</t>
  </si>
  <si>
    <t>solar resource in Beni region (near Santa Cruz de la Sierra) -- Bolivia</t>
  </si>
  <si>
    <t>en_spv_BOL_006</t>
  </si>
  <si>
    <t>solar resource in Santa Cruz region (near Santa Cruz de la Sierra) -- Bolivia</t>
  </si>
  <si>
    <t>en_spv_BOL_007</t>
  </si>
  <si>
    <t>en_spv_BOL_008</t>
  </si>
  <si>
    <t>solar resource in Alto Paraguay region (near Santa Cruz de la Sierra) -- Bolivia</t>
  </si>
  <si>
    <t>en_spv_BOL_009</t>
  </si>
  <si>
    <t>solar resource in Santa Cruz region (near Tarija) -- Bolivia</t>
  </si>
  <si>
    <t>en_spv_BOL_010</t>
  </si>
  <si>
    <t>solar resource in Chuquisaca region (near Sucre) -- Bolivia</t>
  </si>
  <si>
    <t>en_spv_BRA_001</t>
  </si>
  <si>
    <t>solar resource in Rio Grande do Sul region (near Passo Fundo) -- Brazil</t>
  </si>
  <si>
    <t>en_spv_BRA_002</t>
  </si>
  <si>
    <t>solar resource in Rio Grande do Sul region (near Sao Gabriel) -- Brazil</t>
  </si>
  <si>
    <t>en_spv_BRA_003</t>
  </si>
  <si>
    <t>solar resource in Parana region (near Guarapuava) -- Brazil</t>
  </si>
  <si>
    <t>en_spv_BRA_004</t>
  </si>
  <si>
    <t>solar resource in Sao Paulo region (near Mogi Guacu) -- Brazil</t>
  </si>
  <si>
    <t>en_spv_BRA_005</t>
  </si>
  <si>
    <t>solar resource in Mato Grosso region (near Caceres) -- Brazil</t>
  </si>
  <si>
    <t>en_spv_BRA_006</t>
  </si>
  <si>
    <t>solar resource in Mato Grosso do Sul region (near Corumba) -- Brazil</t>
  </si>
  <si>
    <t>en_spv_BRA_007</t>
  </si>
  <si>
    <t>solar resource in Minas Gerais region (near Pirapora) -- Brazil</t>
  </si>
  <si>
    <t>en_spv_BRA_008</t>
  </si>
  <si>
    <t>solar resource in Minas Gerais region (near Teofilo Otoni) -- Brazil</t>
  </si>
  <si>
    <t>en_spv_BRA_009</t>
  </si>
  <si>
    <t>solar resource in Minas Gerais region (near Juiz de Fora) -- Brazil</t>
  </si>
  <si>
    <t>en_spv_BRA_010</t>
  </si>
  <si>
    <t>solar resource in Bahia region (near Jequie) -- Brazil</t>
  </si>
  <si>
    <t>en_spv_BRA_011</t>
  </si>
  <si>
    <t>solar resource in Pernambuco region (near Delmiro Gouveia) -- Brazil</t>
  </si>
  <si>
    <t>en_spv_BRA_012</t>
  </si>
  <si>
    <t>solar resource in Bahia region (near Barreiras) -- Brazil</t>
  </si>
  <si>
    <t>en_spv_BRA_013</t>
  </si>
  <si>
    <t>solar resource in Maranhao region (near Grajau) -- Brazil</t>
  </si>
  <si>
    <t>en_spv_BRA_014</t>
  </si>
  <si>
    <t>solar resource in Mato Grosso region (near Barra do Garcas) -- Brazil</t>
  </si>
  <si>
    <t>en_spv_BRA_015</t>
  </si>
  <si>
    <t>solar resource in Para region (near Breves) -- Brazil</t>
  </si>
  <si>
    <t>en_spv_BRA_016</t>
  </si>
  <si>
    <t>solar resource in Mato Grosso region (near Paraiso do Tocantins) -- Brazil</t>
  </si>
  <si>
    <t>en_spv_BRA_017</t>
  </si>
  <si>
    <t>solar resource in Para region (near Alta Floresta) -- Brazil</t>
  </si>
  <si>
    <t>en_spv_BRA_018</t>
  </si>
  <si>
    <t>solar resource in Amazonas region (near Maues) -- Brazil</t>
  </si>
  <si>
    <t>en_spv_BRA_019</t>
  </si>
  <si>
    <t>solar resource in Amazonas region (near Tefe) -- Brazil</t>
  </si>
  <si>
    <t>en_spv_BRA_020</t>
  </si>
  <si>
    <t>solar resource in Roraima region (near Boa Vista) -- Brazil</t>
  </si>
  <si>
    <t>en_spv_BRA_021</t>
  </si>
  <si>
    <t>solar resource in Rondonia region (near Cacoal) -- Brazil</t>
  </si>
  <si>
    <t>en_spv_BRA_022</t>
  </si>
  <si>
    <t>solar resource in Amazonas region (near Cruzeiro do Sul) -- Brazil</t>
  </si>
  <si>
    <t>en_spv_BRA_023</t>
  </si>
  <si>
    <t>solar resource in Pando region (near Rio Branco) -- Brazil</t>
  </si>
  <si>
    <t>en_spv_BWA_001</t>
  </si>
  <si>
    <t>solar resource in Central region (near Francistown) -- Botswana</t>
  </si>
  <si>
    <t>en_spv_BWA_002</t>
  </si>
  <si>
    <t>solar resource in Central region (near Selibe Phikwe) -- Botswana</t>
  </si>
  <si>
    <t>en_spv_BWA_003</t>
  </si>
  <si>
    <t>solar resource in Central region (near Mahalapye) -- Botswana</t>
  </si>
  <si>
    <t>en_spv_BWA_004</t>
  </si>
  <si>
    <t>solar resource in North-West region (near Maun) -- Botswana</t>
  </si>
  <si>
    <t>en_spv_BWA_005</t>
  </si>
  <si>
    <t>solar resource in Central region (near Maun) -- Botswana</t>
  </si>
  <si>
    <t>en_spv_BWA_006</t>
  </si>
  <si>
    <t>solar resource in Kgalagadi region (near Kanye) -- Botswana</t>
  </si>
  <si>
    <t>en_spv_BWA_007</t>
  </si>
  <si>
    <t>solar resource in Ghanzi region (near Molepolole) -- Botswana</t>
  </si>
  <si>
    <t>en_spv_BWA_008</t>
  </si>
  <si>
    <t>solar resource in Ghanzi region (near Maun) -- Botswana</t>
  </si>
  <si>
    <t>en_spv_BWA_009</t>
  </si>
  <si>
    <t>solar resource in Southern region (near Kanye) -- Botswana</t>
  </si>
  <si>
    <t>en_spv_CAF_001</t>
  </si>
  <si>
    <t>solar resource in Ouham-Pende Prefecture region (near Bocaranga) -- Central African Republic</t>
  </si>
  <si>
    <t>en_spv_CAF_002</t>
  </si>
  <si>
    <t>solar resource in Mambere-Kadei region (near Carnot) -- Central African Republic</t>
  </si>
  <si>
    <t>en_spv_CAF_003</t>
  </si>
  <si>
    <t>solar resource in Kemo Prefecture region (near Bangui) -- Central African Republic</t>
  </si>
  <si>
    <t>en_spv_CAF_004</t>
  </si>
  <si>
    <t>solar resource in Mbomou Prefecture region (near Bambari) -- Central African Republic</t>
  </si>
  <si>
    <t>en_spv_CAF_005</t>
  </si>
  <si>
    <t>solar resource in Ouaka Prefecture region (near Bambari) -- Central African Republic</t>
  </si>
  <si>
    <t>en_spv_CAF_006</t>
  </si>
  <si>
    <t>en_spv_CAF_007</t>
  </si>
  <si>
    <t>solar resource in Bamingui-Bangoran Prefecture region (near Bambari) -- Central African Republic</t>
  </si>
  <si>
    <t>en_spv_CAF_008</t>
  </si>
  <si>
    <t>solar resource in Haute-Kotto Prefecture region (near Bambari) -- Central African Republic</t>
  </si>
  <si>
    <t>en_spv_CAF_009</t>
  </si>
  <si>
    <t>solar resource in Vakaga Prefecture region (near Bambari) -- Central African Republic</t>
  </si>
  <si>
    <t>en_spv_CAN_001</t>
  </si>
  <si>
    <t>solar resource in Quebec region (near Chicoutimi) -- Canada</t>
  </si>
  <si>
    <t>en_spv_CAN_002</t>
  </si>
  <si>
    <t>solar resource in Newfoundland and Labrador region (near Chicoutimi) -- Canada</t>
  </si>
  <si>
    <t>en_spv_CAN_003</t>
  </si>
  <si>
    <t>en_spv_CAN_004</t>
  </si>
  <si>
    <t>en_spv_CAN_005</t>
  </si>
  <si>
    <t>en_spv_CAN_006</t>
  </si>
  <si>
    <t>en_spv_CAN_007</t>
  </si>
  <si>
    <t>solar resource in Saskatchewan region (near Saskatoon) -- Canada</t>
  </si>
  <si>
    <t>en_spv_CAN_008</t>
  </si>
  <si>
    <t>solar resource in Manitoba region (near Winnipeg) -- Canada</t>
  </si>
  <si>
    <t>en_spv_CAN_009</t>
  </si>
  <si>
    <t>en_spv_CAN_010</t>
  </si>
  <si>
    <t>solar resource in Alberta region (near Lethbridge) -- Canada</t>
  </si>
  <si>
    <t>en_spv_CAN_011</t>
  </si>
  <si>
    <t>solar resource in Saskatchewan region (near Regina) -- Canada</t>
  </si>
  <si>
    <t>en_spv_CAN_012</t>
  </si>
  <si>
    <t>solar resource in Alberta region (near Edmonton) -- Canada</t>
  </si>
  <si>
    <t>en_spv_CAN_013</t>
  </si>
  <si>
    <t>solar resource in Alaska region (near Nanaimo) -- Canada</t>
  </si>
  <si>
    <t>en_spv_CAN_014</t>
  </si>
  <si>
    <t>solar resource in British Columbia region (near Kamloops) -- Canada</t>
  </si>
  <si>
    <t>en_spv_CAN_015</t>
  </si>
  <si>
    <t>en_spv_CAN_016</t>
  </si>
  <si>
    <t>solar resource in Ontario region (near Thunder Bay) -- Canada</t>
  </si>
  <si>
    <t>en_spv_CAN_017</t>
  </si>
  <si>
    <t>solar resource in Ontario region (near Sudbury) -- Canada</t>
  </si>
  <si>
    <t>en_spv_CAN_018</t>
  </si>
  <si>
    <t>en_spv_CAN_019</t>
  </si>
  <si>
    <t>solar resource in Ontario region (near Waterloo) -- Canada</t>
  </si>
  <si>
    <t>en_spv_CAN_020</t>
  </si>
  <si>
    <t>solar resource in Quebec region (near Terrebonne) -- Canada</t>
  </si>
  <si>
    <t>en_spv_CAN_021</t>
  </si>
  <si>
    <t>solar resource in Newfoundland and Labrador region (near St. John's) -- Canada</t>
  </si>
  <si>
    <t>en_spv_CAN_022</t>
  </si>
  <si>
    <t>solar resource in New Brunswick region (near Moncton) -- Canada</t>
  </si>
  <si>
    <t>en_spv_CAN_023</t>
  </si>
  <si>
    <t>en_spv_CHE_001</t>
  </si>
  <si>
    <t>solar resource in Ticino region (near Bellinzona) -- Switzerland</t>
  </si>
  <si>
    <t>en_spv_CHE_002</t>
  </si>
  <si>
    <t>solar resource in Zurich region (near Uster) -- Switzerland</t>
  </si>
  <si>
    <t>en_spv_CHE_003</t>
  </si>
  <si>
    <t>solar resource in Neuchatel region (near Neuchatel) -- Switzerland</t>
  </si>
  <si>
    <t>en_spv_CHL_001</t>
  </si>
  <si>
    <t>solar resource in Los Rios region (near Osorno) -- Chile</t>
  </si>
  <si>
    <t>en_spv_CHL_002</t>
  </si>
  <si>
    <t>solar resource in near Puerto Montt -- Chile</t>
  </si>
  <si>
    <t>en_spv_CHL_003</t>
  </si>
  <si>
    <t>solar resource in Chubut region (near Puerto Montt) -- Chile</t>
  </si>
  <si>
    <t>en_spv_CHL_004</t>
  </si>
  <si>
    <t>solar resource in Nuble region (near Chillan) -- Chile</t>
  </si>
  <si>
    <t>en_spv_CHL_005</t>
  </si>
  <si>
    <t>solar resource in Araucania region (near Temuco) -- Chile</t>
  </si>
  <si>
    <t>en_spv_CHL_006</t>
  </si>
  <si>
    <t>solar resource in Antofagasta region (near Calama) -- Chile</t>
  </si>
  <si>
    <t>en_spv_CHL_007</t>
  </si>
  <si>
    <t>solar resource in Coquimbo region (near Ovalle) -- Chile</t>
  </si>
  <si>
    <t>en_spv_CHN_001</t>
  </si>
  <si>
    <t>solar resource in Henan region (near Jiangguanchi) -- China</t>
  </si>
  <si>
    <t>en_spv_CHN_002</t>
  </si>
  <si>
    <t>solar resource in Hubei region (near Xiaoganzhan) -- China</t>
  </si>
  <si>
    <t>en_spv_CHN_003</t>
  </si>
  <si>
    <t>solar resource in Sichuan region (near Yanjiang) -- China</t>
  </si>
  <si>
    <t>en_spv_CHN_004</t>
  </si>
  <si>
    <t>solar resource in Chongqing region (near Chongqing) -- China</t>
  </si>
  <si>
    <t>en_spv_CHN_005</t>
  </si>
  <si>
    <t>solar resource in Anhui region (near Wuhu) -- China</t>
  </si>
  <si>
    <t>en_spv_CHN_006</t>
  </si>
  <si>
    <t>solar resource in Hunan region (near Yongzhou) -- China</t>
  </si>
  <si>
    <t>en_spv_CHN_007</t>
  </si>
  <si>
    <t>solar resource in Guizhou region (near Anshun) -- China</t>
  </si>
  <si>
    <t>en_spv_CHN_008</t>
  </si>
  <si>
    <t>solar resource in Fujian region (near Sanming) -- China</t>
  </si>
  <si>
    <t>en_spv_CHN_009</t>
  </si>
  <si>
    <t>solar resource in Guangdong region (near Shaoguan) -- China</t>
  </si>
  <si>
    <t>en_spv_CHN_010</t>
  </si>
  <si>
    <t>solar resource in Guangxi region (near Qinzhou) -- China</t>
  </si>
  <si>
    <t>en_spv_CHN_011</t>
  </si>
  <si>
    <t>solar resource in Jilin region (near Changchun) -- China</t>
  </si>
  <si>
    <t>en_spv_CHN_012</t>
  </si>
  <si>
    <t>solar resource in Heilongjiang region (near Jiamusi) -- China</t>
  </si>
  <si>
    <t>en_spv_CHN_013</t>
  </si>
  <si>
    <t>solar resource in Heilongjiang region (near Suihua) -- China</t>
  </si>
  <si>
    <t>en_spv_CHN_014</t>
  </si>
  <si>
    <t>solar resource in Inner Mongolia region (near Qiqihar) -- China</t>
  </si>
  <si>
    <t>en_spv_CHN_015</t>
  </si>
  <si>
    <t>en_spv_CHN_016</t>
  </si>
  <si>
    <t>solar resource in Inner Mongolia region (near Zhangjiakou) -- China</t>
  </si>
  <si>
    <t>en_spv_CHN_017</t>
  </si>
  <si>
    <t>solar resource in Gansu region (near Xining) -- China</t>
  </si>
  <si>
    <t>en_spv_CHN_018</t>
  </si>
  <si>
    <t>solar resource in Xinjiang region (near Urumqi) -- China</t>
  </si>
  <si>
    <t>en_spv_CHN_019</t>
  </si>
  <si>
    <t>en_spv_CHN_020</t>
  </si>
  <si>
    <t>en_spv_CHN_021</t>
  </si>
  <si>
    <t>solar resource in Yunnan region (near Lincang) -- China</t>
  </si>
  <si>
    <t>en_spv_CHN_022</t>
  </si>
  <si>
    <t>solar resource in Yunnan region (near Qujing) -- China</t>
  </si>
  <si>
    <t>en_spv_CHN_023</t>
  </si>
  <si>
    <t>solar resource in Shandong region (near Zibo) -- China</t>
  </si>
  <si>
    <t>en_spv_CHN_024</t>
  </si>
  <si>
    <t>solar resource in Inner Mongolia region (near Chifeng) -- China</t>
  </si>
  <si>
    <t>en_spv_CHN_025</t>
  </si>
  <si>
    <t>solar resource in Inner Mongolia region (near Yinchuan) -- China</t>
  </si>
  <si>
    <t>en_spv_CHN_026</t>
  </si>
  <si>
    <t>solar resource in Shanxi region (near Taiyuan) -- China</t>
  </si>
  <si>
    <t>en_spv_CIV_001</t>
  </si>
  <si>
    <t>solar resource in Comoe region (near Cocody) -- Ivory Coast</t>
  </si>
  <si>
    <t>en_spv_CIV_002</t>
  </si>
  <si>
    <t>solar resource in Zanzan region (near Bouake) -- Ivory Coast</t>
  </si>
  <si>
    <t>en_spv_CIV_003</t>
  </si>
  <si>
    <t>solar resource in Dix-Huit Montagnes region (near Man) -- Ivory Coast</t>
  </si>
  <si>
    <t>en_spv_CIV_004</t>
  </si>
  <si>
    <t>solar resource in Savanes region (near Korhogo) -- Ivory Coast</t>
  </si>
  <si>
    <t>en_spv_CIV_005</t>
  </si>
  <si>
    <t>solar resource in Sud-Bandama region (near Divo) -- Ivory Coast</t>
  </si>
  <si>
    <t>en_spv_CIV_006</t>
  </si>
  <si>
    <t>solar resource in N'zi-Comoe region (near Bouake) -- Ivory Coast</t>
  </si>
  <si>
    <t>en_spv_CIV_007</t>
  </si>
  <si>
    <t>solar resource in Haut-Sassandra region (near Daloa) -- Ivory Coast</t>
  </si>
  <si>
    <t>en_spv_CMR_001</t>
  </si>
  <si>
    <t>solar resource in Northwest region (near Bamenda) -- Cameroon</t>
  </si>
  <si>
    <t>en_spv_CMR_002</t>
  </si>
  <si>
    <t>solar resource in South region (near Yaounde) -- Cameroon</t>
  </si>
  <si>
    <t>en_spv_CMR_003</t>
  </si>
  <si>
    <t>solar resource in Littoral region (near Douala) -- Cameroon</t>
  </si>
  <si>
    <t>en_spv_CMR_004</t>
  </si>
  <si>
    <t>solar resource in Far North region (near Maroua) -- Cameroon</t>
  </si>
  <si>
    <t>en_spv_CMR_005</t>
  </si>
  <si>
    <t>solar resource in Adamawa region (near Ngaoundere) -- Cameroon</t>
  </si>
  <si>
    <t>en_spv_CMR_006</t>
  </si>
  <si>
    <t>solar resource in Centre region (near Yaounde) -- Cameroon</t>
  </si>
  <si>
    <t>en_spv_CMR_007</t>
  </si>
  <si>
    <t>solar resource in East region (near Ngaoundere) -- Cameroon</t>
  </si>
  <si>
    <t>en_spv_CMR_008</t>
  </si>
  <si>
    <t>solar resource in East region (near Yaounde) -- Cameroon</t>
  </si>
  <si>
    <t>en_spv_COD_001</t>
  </si>
  <si>
    <t>solar resource in Kasai-Oriental region (near Mbuji-Mayi) -- Democratic Republic of Congo</t>
  </si>
  <si>
    <t>en_spv_COD_002</t>
  </si>
  <si>
    <t>solar resource in Katanga region (near Mbuji-Mayi) -- Democratic Republic of Congo</t>
  </si>
  <si>
    <t>en_spv_COD_003</t>
  </si>
  <si>
    <t>solar resource in Katanga region (near Lubumbashi) -- Democratic Republic of Congo</t>
  </si>
  <si>
    <t>en_spv_COD_004</t>
  </si>
  <si>
    <t>solar resource in Katanga region (near Uvira) -- Democratic Republic of Congo</t>
  </si>
  <si>
    <t>en_spv_COD_005</t>
  </si>
  <si>
    <t>en_spv_COD_006</t>
  </si>
  <si>
    <t>solar resource in Orientale region (near Kisangani) -- Democratic Republic of Congo</t>
  </si>
  <si>
    <t>en_spv_COD_007</t>
  </si>
  <si>
    <t>solar resource in Equateur region (near Mbandaka) -- Democratic Republic of Congo</t>
  </si>
  <si>
    <t>en_spv_COD_008</t>
  </si>
  <si>
    <t>solar resource in Equateur region (near Kisangani) -- Democratic Republic of Congo</t>
  </si>
  <si>
    <t>en_spv_COD_009</t>
  </si>
  <si>
    <t>solar resource in Bandundu region (near Mbandaka) -- Democratic Republic of Congo</t>
  </si>
  <si>
    <t>en_spv_COD_010</t>
  </si>
  <si>
    <t>solar resource in Kasai-Occidental region (near Tshikapa) -- Democratic Republic of Congo</t>
  </si>
  <si>
    <t>en_spv_COD_011</t>
  </si>
  <si>
    <t>solar resource in Bandundu region (near Kibanseke Premiere) -- Democratic Republic of Congo</t>
  </si>
  <si>
    <t>en_spv_COD_012</t>
  </si>
  <si>
    <t>solar resource in Kongo Central region (near Kinshasa) -- Democratic Republic of Congo</t>
  </si>
  <si>
    <t>en_spv_COD_013</t>
  </si>
  <si>
    <t>solar resource in South Kivu region (near Bukavu) -- Democratic Republic of Congo</t>
  </si>
  <si>
    <t>en_spv_COD_014</t>
  </si>
  <si>
    <t>en_spv_COD_015</t>
  </si>
  <si>
    <t>solar resource in Orientale region (near Bunia) -- Democratic Republic of Congo</t>
  </si>
  <si>
    <t>en_spv_COG_001</t>
  </si>
  <si>
    <t>solar resource in Likouala region (near Brazzaville) -- Republic of Congo</t>
  </si>
  <si>
    <t>en_spv_COG_002</t>
  </si>
  <si>
    <t>solar resource in Cuvette region (near Brazzaville) -- Republic of Congo</t>
  </si>
  <si>
    <t>en_spv_COG_003</t>
  </si>
  <si>
    <t>solar resource in Cuvette-Ouest region (near Brazzaville) -- Republic of Congo</t>
  </si>
  <si>
    <t>en_spv_COG_004</t>
  </si>
  <si>
    <t>en_spv_COG_005</t>
  </si>
  <si>
    <t>solar resource in Niari region (near Tchibota) -- Republic of Congo</t>
  </si>
  <si>
    <t>en_spv_COG_006</t>
  </si>
  <si>
    <t>solar resource in Pool region (near Brazzaville) -- Republic of Congo</t>
  </si>
  <si>
    <t>en_spv_COG_007</t>
  </si>
  <si>
    <t>solar resource in Plateaux region (near Brazzaville) -- Republic of Congo</t>
  </si>
  <si>
    <t>en_spv_COL_001</t>
  </si>
  <si>
    <t>solar resource in Cordoba region (near Planeta Rica) -- Colombia</t>
  </si>
  <si>
    <t>en_spv_COL_002</t>
  </si>
  <si>
    <t>solar resource in Cesar region (near El Banco) -- Colombia</t>
  </si>
  <si>
    <t>en_spv_COL_003</t>
  </si>
  <si>
    <t>solar resource in Meta region (near Villavicencio) -- Colombia</t>
  </si>
  <si>
    <t>en_spv_COL_004</t>
  </si>
  <si>
    <t>solar resource in Risaralda region (near Santa Rosa de Cabal) -- Colombia</t>
  </si>
  <si>
    <t>en_spv_COL_005</t>
  </si>
  <si>
    <t>solar resource in Guainia region (near Arauca) -- Colombia</t>
  </si>
  <si>
    <t>en_spv_COL_006</t>
  </si>
  <si>
    <t>solar resource in Vichada region (near Arauca) -- Colombia</t>
  </si>
  <si>
    <t>en_spv_COL_007</t>
  </si>
  <si>
    <t>solar resource in Meta region (near Yopal) -- Colombia</t>
  </si>
  <si>
    <t>en_spv_COL_008</t>
  </si>
  <si>
    <t>solar resource in Amazonas region (near San Jose del Guaviare) -- Colombia</t>
  </si>
  <si>
    <t>en_spv_COL_009</t>
  </si>
  <si>
    <t>solar resource in Guaviare region (near San Jose del Guaviare) -- Colombia</t>
  </si>
  <si>
    <t>en_spv_COL_010</t>
  </si>
  <si>
    <t>solar resource in Caqueta region (near San Vicente del Caguan) -- Colombia</t>
  </si>
  <si>
    <t>en_spv_CRI_001</t>
  </si>
  <si>
    <t>solar resource in Limon region (near Cariari) -- Costa Rica</t>
  </si>
  <si>
    <t>en_spv_CRI_002</t>
  </si>
  <si>
    <t>solar resource in Alajuela region (near San Marcos) -- Costa Rica</t>
  </si>
  <si>
    <t>en_spv_CRI_003</t>
  </si>
  <si>
    <t>solar resource in Guanacaste region (near Canas) -- Costa Rica</t>
  </si>
  <si>
    <t>en_spv_CRI_004</t>
  </si>
  <si>
    <t>solar resource in Puntarenas region (near Coto Brus) -- Costa Rica</t>
  </si>
  <si>
    <t>en_spv_CUB_001</t>
  </si>
  <si>
    <t>solar resource in Santiago de Cuba region (near Palma Soriano) -- Cuba</t>
  </si>
  <si>
    <t>en_spv_CUB_002</t>
  </si>
  <si>
    <t>solar resource in Las Tunas region (near Jobabo) -- Cuba</t>
  </si>
  <si>
    <t>en_spv_CUB_003</t>
  </si>
  <si>
    <t>solar resource in Villa Clara region (near Placetas) -- Cuba</t>
  </si>
  <si>
    <t>en_spv_CUB_004</t>
  </si>
  <si>
    <t>solar resource in Pinar del Rio region (near Consolacion del Sur) -- Cuba</t>
  </si>
  <si>
    <t>en_spv_CUB_005</t>
  </si>
  <si>
    <t>solar resource in Matanzas region (near Jovellanos) -- Cuba</t>
  </si>
  <si>
    <t>en_spv_CZE_001</t>
  </si>
  <si>
    <t>solar resource in Olomouc region (near Olomouc) -- Czech Republic</t>
  </si>
  <si>
    <t>en_spv_CZE_002</t>
  </si>
  <si>
    <t>solar resource in South Bohemian region (near Ceske Budejovice) -- Czech Republic</t>
  </si>
  <si>
    <t>en_spv_CZE_003</t>
  </si>
  <si>
    <t>solar resource in Karlovy Vary region (near Karlovy Vary) -- Czech Republic</t>
  </si>
  <si>
    <t>en_spv_CZE_004</t>
  </si>
  <si>
    <t>solar resource in Central Bohemian region (near Mlada Boleslav) -- Czech Republic</t>
  </si>
  <si>
    <t>en_spv_DEU_001</t>
  </si>
  <si>
    <t>solar resource in Bavaria region (near Straubing) -- Germany</t>
  </si>
  <si>
    <t>en_spv_DEU_002</t>
  </si>
  <si>
    <t>solar resource in Baden-Wurttemberg region (near Schwabisch Gmund) -- Germany</t>
  </si>
  <si>
    <t>en_spv_DEU_003</t>
  </si>
  <si>
    <t>solar resource in Mecklenburg-Western Pomerania region (near Neubrandenburg) -- Germany</t>
  </si>
  <si>
    <t>en_spv_DEU_004</t>
  </si>
  <si>
    <t>solar resource in Saxony-Anhalt region (near Ludwigsfelde) -- Germany</t>
  </si>
  <si>
    <t>en_spv_DEU_005</t>
  </si>
  <si>
    <t>solar resource in Lower Saxony region (near Buxtehude) -- Germany</t>
  </si>
  <si>
    <t>en_spv_DEU_006</t>
  </si>
  <si>
    <t>solar resource in Rhineland-Palatinate region (near Bingen am Rhein) -- Germany</t>
  </si>
  <si>
    <t>en_spv_DEU_007</t>
  </si>
  <si>
    <t>solar resource in Lower Saxony region (near Northeim) -- Germany</t>
  </si>
  <si>
    <t>en_spv_DEU_008</t>
  </si>
  <si>
    <t>solar resource in North Rhine-Westphalia region (near Munster) -- Germany</t>
  </si>
  <si>
    <t>en_spv_DJI_001</t>
  </si>
  <si>
    <t>solar resource in Tadjourah region (near Dikhil) -- Djibouti</t>
  </si>
  <si>
    <t>en_spv_DJI_002</t>
  </si>
  <si>
    <t>solar resource in near Djibouti -- Djibouti</t>
  </si>
  <si>
    <t>en_spv_DNK_001</t>
  </si>
  <si>
    <t>solar resource in Zealand region (near Koge) -- Denmark</t>
  </si>
  <si>
    <t>en_spv_DNK_002</t>
  </si>
  <si>
    <t>solar resource in North Denmark region (near Aalborg) -- Denmark</t>
  </si>
  <si>
    <t>en_spv_DNK_003</t>
  </si>
  <si>
    <t>solar resource in Southern Denmark region (near Odense) -- Denmark</t>
  </si>
  <si>
    <t>en_spv_DNK_004</t>
  </si>
  <si>
    <t>solar resource in Southern Denmark region (near Kolding) -- Denmark</t>
  </si>
  <si>
    <t>en_spv_DOM_001</t>
  </si>
  <si>
    <t>solar resource in San Juan region (near San Juan) -- Dominican Republic</t>
  </si>
  <si>
    <t>en_spv_DOM_002</t>
  </si>
  <si>
    <t>solar resource in Hato Mayor region (near Hato Mayor) -- Dominican Republic</t>
  </si>
  <si>
    <t>en_spv_DOM_003</t>
  </si>
  <si>
    <t>solar resource in Duarte region (near San Francisco de Macoris) -- Dominican Republic</t>
  </si>
  <si>
    <t>en_spv_DZA_001</t>
  </si>
  <si>
    <t>solar resource in Oum El Bouaghi region (near Oum el Bouaghi) -- Algeria</t>
  </si>
  <si>
    <t>en_spv_DZA_002</t>
  </si>
  <si>
    <t>solar resource in Naama region (near Mecheria) -- Algeria</t>
  </si>
  <si>
    <t>en_spv_DZA_003</t>
  </si>
  <si>
    <t>solar resource in M'Sila region (near `Ain el Hadjel) -- Algeria</t>
  </si>
  <si>
    <t>en_spv_DZA_004</t>
  </si>
  <si>
    <t>solar resource in Relizane region (near Oued Rhiou) -- Algeria</t>
  </si>
  <si>
    <t>en_spv_DZA_005</t>
  </si>
  <si>
    <t>solar resource in Adrar region (near Adrar) -- Algeria</t>
  </si>
  <si>
    <t>en_spv_DZA_006</t>
  </si>
  <si>
    <t>solar resource in Bechar region (near Ain Sefra) -- Algeria</t>
  </si>
  <si>
    <t>en_spv_DZA_007</t>
  </si>
  <si>
    <t>solar resource in Adrar region (near Timimoun) -- Algeria</t>
  </si>
  <si>
    <t>en_spv_DZA_008</t>
  </si>
  <si>
    <t>solar resource in Tamanghasset region (near Tamanrasset) -- Algeria</t>
  </si>
  <si>
    <t>en_spv_DZA_009</t>
  </si>
  <si>
    <t>solar resource in Illizi region (near Tamanrasset) -- Algeria</t>
  </si>
  <si>
    <t>en_spv_DZA_010</t>
  </si>
  <si>
    <t>solar resource in Tamanghasset region (near I-n-Salah) -- Algeria</t>
  </si>
  <si>
    <t>en_spv_DZA_011</t>
  </si>
  <si>
    <t>en_spv_DZA_012</t>
  </si>
  <si>
    <t>solar resource in Tindouf region (near Tindouf) -- Algeria</t>
  </si>
  <si>
    <t>en_spv_DZA_013</t>
  </si>
  <si>
    <t>solar resource in Ouargla region (near Hassi Messaoud) -- Algeria</t>
  </si>
  <si>
    <t>en_spv_DZA_014</t>
  </si>
  <si>
    <t>en_spv_DZA_015</t>
  </si>
  <si>
    <t>solar resource in El Oued region (near El Meghaier) -- Algeria</t>
  </si>
  <si>
    <t>en_spv_DZA_016</t>
  </si>
  <si>
    <t>solar resource in Ghardaia region (near Bou Noura) -- Algeria</t>
  </si>
  <si>
    <t>en_spv_ECU_001</t>
  </si>
  <si>
    <t>solar resource in Pichincha region (near Quito) -- Ecuador</t>
  </si>
  <si>
    <t>en_spv_ECU_002</t>
  </si>
  <si>
    <t>solar resource in Orellana region (near Quito) -- Ecuador</t>
  </si>
  <si>
    <t>en_spv_ECU_003</t>
  </si>
  <si>
    <t>solar resource in Guayas region (near Eloy Alfaro) -- Ecuador</t>
  </si>
  <si>
    <t>en_spv_ECU_004</t>
  </si>
  <si>
    <t>solar resource in Esmeraldas region (near Santo Domingo de los Colorados) -- Ecuador</t>
  </si>
  <si>
    <t>en_spv_ECU_005</t>
  </si>
  <si>
    <t>solar resource in Guayas region (near Daule) -- Ecuador</t>
  </si>
  <si>
    <t>en_spv_EGY_001</t>
  </si>
  <si>
    <t>solar resource in Matrouh region (near Alexandria) -- Egypt</t>
  </si>
  <si>
    <t>en_spv_EGY_002</t>
  </si>
  <si>
    <t>solar resource in New Valley region (near Dayrut) -- Egypt</t>
  </si>
  <si>
    <t>en_spv_EGY_003</t>
  </si>
  <si>
    <t>solar resource in Red Sea region (near Abu Tisht) -- Egypt</t>
  </si>
  <si>
    <t>en_spv_EGY_004</t>
  </si>
  <si>
    <t>solar resource in New Valley region (near Abu Tisht) -- Egypt</t>
  </si>
  <si>
    <t>en_spv_EGY_005</t>
  </si>
  <si>
    <t>solar resource in Red Sea region (near Al Maraghah) -- Egypt</t>
  </si>
  <si>
    <t>en_spv_EGY_006</t>
  </si>
  <si>
    <t>solar resource in North Sinai region (near Suez) -- Egypt</t>
  </si>
  <si>
    <t>en_spv_EGY_007</t>
  </si>
  <si>
    <t>solar resource in Gharbia region (near Tala) -- Egypt</t>
  </si>
  <si>
    <t>en_spv_EGY_008</t>
  </si>
  <si>
    <t>en_spv_EGY_009</t>
  </si>
  <si>
    <t>solar resource in New Valley region (near Al Maraghah) -- Egypt</t>
  </si>
  <si>
    <t>en_spv_EGY_010</t>
  </si>
  <si>
    <t>en_spv_EGY_011</t>
  </si>
  <si>
    <t>en_spv_ERI_001</t>
  </si>
  <si>
    <t>solar resource in Southern Red Sea region (near Asmara) -- Eritrea</t>
  </si>
  <si>
    <t>en_spv_ERI_002</t>
  </si>
  <si>
    <t>solar resource in Northern Red Sea region (near Keren) -- Eritrea</t>
  </si>
  <si>
    <t>en_spv_ERI_003</t>
  </si>
  <si>
    <t>solar resource in Gash-Barka region (near Gwelej) -- Eritrea</t>
  </si>
  <si>
    <t>en_spv_ERI_004</t>
  </si>
  <si>
    <t>solar resource in Debub region (near Keren) -- Eritrea</t>
  </si>
  <si>
    <t>en_spv_ERI_005</t>
  </si>
  <si>
    <t>solar resource in Debub region (near Asmara) -- Eritrea</t>
  </si>
  <si>
    <t>en_spv_ESP_001</t>
  </si>
  <si>
    <t>solar resource in Burgos region (near Vitoria-Gasteiz) -- Spain</t>
  </si>
  <si>
    <t>en_spv_ESP_002</t>
  </si>
  <si>
    <t>solar resource in Soria region (near Guadalajara) -- Spain</t>
  </si>
  <si>
    <t>en_spv_ESP_003</t>
  </si>
  <si>
    <t>solar resource in Huesca region (near Lleida) -- Spain</t>
  </si>
  <si>
    <t>en_spv_ESP_004</t>
  </si>
  <si>
    <t>solar resource in Ciudad Real region (near Albacete) -- Spain</t>
  </si>
  <si>
    <t>en_spv_ESP_005</t>
  </si>
  <si>
    <t>solar resource in Albacete region (near Molina de Segura) -- Spain</t>
  </si>
  <si>
    <t>en_spv_ESP_006</t>
  </si>
  <si>
    <t>solar resource in Badajoz region (near Merida) -- Spain</t>
  </si>
  <si>
    <t>en_spv_ESP_007</t>
  </si>
  <si>
    <t>solar resource in Lugo region (near Lugo) -- Spain</t>
  </si>
  <si>
    <t>en_spv_ESP_008</t>
  </si>
  <si>
    <t>solar resource in Zamora region (near Zamora) -- Spain</t>
  </si>
  <si>
    <t>en_spv_EST_001</t>
  </si>
  <si>
    <t>solar resource in Jogeva region (near Tartu) -- Estonia</t>
  </si>
  <si>
    <t>en_spv_EST_002</t>
  </si>
  <si>
    <t>solar resource in Parnu region (near Tallinn) -- Estonia</t>
  </si>
  <si>
    <t>en_spv_EST_003</t>
  </si>
  <si>
    <t>solar resource in Viljandi region (near Tartu) -- Estonia</t>
  </si>
  <si>
    <t>en_spv_EST_004</t>
  </si>
  <si>
    <t>solar resource in Harju region (near Tallinn) -- Estonia</t>
  </si>
  <si>
    <t>en_spv_ETH_001</t>
  </si>
  <si>
    <t>solar resource in Somali region (near Dire Dawa) -- Ethiopia</t>
  </si>
  <si>
    <t>en_spv_ETH_002</t>
  </si>
  <si>
    <t>solar resource in Somali region (near Warder) -- Ethiopia</t>
  </si>
  <si>
    <t>en_spv_ETH_003</t>
  </si>
  <si>
    <t>solar resource in Somali region (near Gode) -- Ethiopia</t>
  </si>
  <si>
    <t>en_spv_ETH_004</t>
  </si>
  <si>
    <t>en_spv_ETH_005</t>
  </si>
  <si>
    <t>solar resource in Somali region (near Awasa) -- Ethiopia</t>
  </si>
  <si>
    <t>en_spv_ETH_006</t>
  </si>
  <si>
    <t>solar resource in Oromia region (near Awasa) -- Ethiopia</t>
  </si>
  <si>
    <t>en_spv_ETH_007</t>
  </si>
  <si>
    <t>solar resource in Amhara region (near Bahir Dar) -- Ethiopia</t>
  </si>
  <si>
    <t>en_spv_ETH_008</t>
  </si>
  <si>
    <t>solar resource in Gambela region (near Jima) -- Ethiopia</t>
  </si>
  <si>
    <t>en_spv_ETH_009</t>
  </si>
  <si>
    <t>solar resource in Afar region (near Mersa) -- Ethiopia</t>
  </si>
  <si>
    <t>en_spv_ETH_010</t>
  </si>
  <si>
    <t>solar resource in Amhara region (near Mersa) -- Ethiopia</t>
  </si>
  <si>
    <t>en_spv_ETH_011</t>
  </si>
  <si>
    <t>solar resource in Southern Nations region (near Sodo) -- Ethiopia</t>
  </si>
  <si>
    <t>en_spv_ETH_012</t>
  </si>
  <si>
    <t>solar resource in Oromia region (near Gelemso) -- Ethiopia</t>
  </si>
  <si>
    <t>en_spv_FRA_001</t>
  </si>
  <si>
    <t>solar resource in Val-d'Oise region (near Pontoise) -- France</t>
  </si>
  <si>
    <t>en_spv_FRA_002</t>
  </si>
  <si>
    <t>solar resource in Maine-et-Loire region (near Saumur) -- France</t>
  </si>
  <si>
    <t>en_spv_FRA_003</t>
  </si>
  <si>
    <t>solar resource in Ille-et-Vilaine region (near Saint-Malo) -- France</t>
  </si>
  <si>
    <t>en_spv_FRA_004</t>
  </si>
  <si>
    <t>solar resource in Vosges region (near Epinal) -- France</t>
  </si>
  <si>
    <t>en_spv_FRA_005</t>
  </si>
  <si>
    <t>solar resource in Marne region (near Chalons-en-Champagne) -- France</t>
  </si>
  <si>
    <t>en_spv_FRA_006</t>
  </si>
  <si>
    <t>solar resource in Bouches-du-Rhone region (near Avignon) -- France</t>
  </si>
  <si>
    <t>en_spv_FRA_007</t>
  </si>
  <si>
    <t>solar resource in Allier region (near Roanne) -- France</t>
  </si>
  <si>
    <t>en_spv_FRA_008</t>
  </si>
  <si>
    <t>solar resource in Gers region (near Tarbes) -- France</t>
  </si>
  <si>
    <t>en_spv_FRA_009</t>
  </si>
  <si>
    <t>solar resource in Dordogne region (near Perigueux) -- France</t>
  </si>
  <si>
    <t>en_spv_GAB_001</t>
  </si>
  <si>
    <t>solar resource in Nyanga region (near Franceville) -- Gabon</t>
  </si>
  <si>
    <t>en_spv_GAB_002</t>
  </si>
  <si>
    <t>solar resource in Ngounie region (near Port-Gentil) -- Gabon</t>
  </si>
  <si>
    <t>en_spv_GAB_003</t>
  </si>
  <si>
    <t>en_spv_GAB_004</t>
  </si>
  <si>
    <t>solar resource in Woleu-Ntem region (near Libreville) -- Gabon</t>
  </si>
  <si>
    <t>en_spv_GAB_005</t>
  </si>
  <si>
    <t>solar resource in Haut-Ogooue region (near Franceville) -- Gabon</t>
  </si>
  <si>
    <t>en_spv_GBR_001</t>
  </si>
  <si>
    <t>solar resource in Northamptonshire region (near Northampton) -- United Kingdom</t>
  </si>
  <si>
    <t>en_spv_GBR_002</t>
  </si>
  <si>
    <t>solar resource in Carmarthenshire region (near Abertawe) -- United Kingdom</t>
  </si>
  <si>
    <t>en_spv_GBR_003</t>
  </si>
  <si>
    <t>solar resource in Shropshire region (near Shrewsbury) -- United Kingdom</t>
  </si>
  <si>
    <t>en_spv_GBR_004</t>
  </si>
  <si>
    <t>solar resource in Cumbria region (near Carlisle) -- United Kingdom</t>
  </si>
  <si>
    <t>en_spv_GBR_005</t>
  </si>
  <si>
    <t>solar resource in near Inverness -- United Kingdom</t>
  </si>
  <si>
    <t>en_spv_GBR_006</t>
  </si>
  <si>
    <t>solar resource in Highland region (near Inverness) -- United Kingdom</t>
  </si>
  <si>
    <t>en_spv_GBR_007</t>
  </si>
  <si>
    <t>solar resource in Craigavon region (near Lisburn) -- United Kingdom</t>
  </si>
  <si>
    <t>en_spv_GEO_001</t>
  </si>
  <si>
    <t>solar resource in Shida Kartli region (near Tbilisi) -- Georgia</t>
  </si>
  <si>
    <t>en_spv_GEO_002</t>
  </si>
  <si>
    <t>solar resource in Kakheti region (near Tbilisi) -- Georgia</t>
  </si>
  <si>
    <t>en_spv_GEO_003</t>
  </si>
  <si>
    <t>solar resource in near Batumi -- Georgia</t>
  </si>
  <si>
    <t>en_spv_GEO_004</t>
  </si>
  <si>
    <t>solar resource in Samegrelo-Zemo Svaneti region (near Kutaisi) -- Georgia</t>
  </si>
  <si>
    <t>en_spv_GHA_001</t>
  </si>
  <si>
    <t>solar resource in Upper West region (near Tamale) -- Ghana</t>
  </si>
  <si>
    <t>en_spv_GHA_002</t>
  </si>
  <si>
    <t>solar resource in Northern region (near Tamale) -- Ghana</t>
  </si>
  <si>
    <t>en_spv_GHA_003</t>
  </si>
  <si>
    <t>solar resource in Volta region (near Ashaiman) -- Ghana</t>
  </si>
  <si>
    <t>en_spv_GHA_004</t>
  </si>
  <si>
    <t>solar resource in Brong-Ahafo region (near Sunyani) -- Ghana</t>
  </si>
  <si>
    <t>en_spv_GHA_005</t>
  </si>
  <si>
    <t>solar resource in Ashanti region (near Obuase) -- Ghana</t>
  </si>
  <si>
    <t>en_spv_GHA_006</t>
  </si>
  <si>
    <t>solar resource in Central region (near Obuase) -- Ghana</t>
  </si>
  <si>
    <t>en_spv_GIN_001</t>
  </si>
  <si>
    <t>solar resource in Forecariah Prefecture region (near Conakry) -- Guinea</t>
  </si>
  <si>
    <t>en_spv_GIN_002</t>
  </si>
  <si>
    <t>solar resource in Gabu region (near Mamou) -- Guinea</t>
  </si>
  <si>
    <t>en_spv_GIN_003</t>
  </si>
  <si>
    <t>solar resource in Kayes region (near Siguiri) -- Guinea</t>
  </si>
  <si>
    <t>en_spv_GIN_004</t>
  </si>
  <si>
    <t>solar resource in Siguiri Prefecture region (near Siguiri) -- Guinea</t>
  </si>
  <si>
    <t>en_spv_GIN_005</t>
  </si>
  <si>
    <t>solar resource in Nzerekore Prefecture region (near N'Zerekore) -- Guinea</t>
  </si>
  <si>
    <t>en_spv_GIN_006</t>
  </si>
  <si>
    <t>solar resource in Gueckedou Prefecture region (near Gueckedou) -- Guinea</t>
  </si>
  <si>
    <t>en_spv_GNB_001</t>
  </si>
  <si>
    <t>solar resource in Bafata region (near Gabu) -- Guinea-Bissau</t>
  </si>
  <si>
    <t>en_spv_GNB_002</t>
  </si>
  <si>
    <t>solar resource in Cacheu region (near Bissau) -- Guinea-Bissau</t>
  </si>
  <si>
    <t>en_spv_GNB_003</t>
  </si>
  <si>
    <t>solar resource in Tombali region (near Bissau) -- Guinea-Bissau</t>
  </si>
  <si>
    <t>en_spv_GNQ_001</t>
  </si>
  <si>
    <t>solar resource in Kie-Ntem region (near Sevilla de Niefang) -- Equatorial Guinea</t>
  </si>
  <si>
    <t>en_spv_GNQ_002</t>
  </si>
  <si>
    <t>solar resource in South region (near Bata) -- Equatorial Guinea</t>
  </si>
  <si>
    <t>en_spv_GRC_001</t>
  </si>
  <si>
    <t>solar resource in Edirne region (near Xanthi) -- Greece</t>
  </si>
  <si>
    <t>en_spv_GRC_002</t>
  </si>
  <si>
    <t>solar resource in near Xanthi -- Greece</t>
  </si>
  <si>
    <t>en_spv_GRC_003</t>
  </si>
  <si>
    <t>solar resource in near Glyfada -- Greece</t>
  </si>
  <si>
    <t>en_spv_GRC_004</t>
  </si>
  <si>
    <t>solar resource in Thessalia region (near Lamia) -- Greece</t>
  </si>
  <si>
    <t>en_spv_GRC_005</t>
  </si>
  <si>
    <t>solar resource in Epirus region (near Ioannina) -- Greece</t>
  </si>
  <si>
    <t>en_spv_GRC_006</t>
  </si>
  <si>
    <t>solar resource in Centre Macedonia region (near Katerini) -- Greece</t>
  </si>
  <si>
    <t>en_spv_GTM_001</t>
  </si>
  <si>
    <t>solar resource in Escuintla region (near Santa Lucia Cotzumalguapa) -- Guatemala</t>
  </si>
  <si>
    <t>en_spv_GTM_002</t>
  </si>
  <si>
    <t>solar resource in Quiche region (near Chajul) -- Guatemala</t>
  </si>
  <si>
    <t>en_spv_GTM_003</t>
  </si>
  <si>
    <t>solar resource in Izabal region (near Morales) -- Guatemala</t>
  </si>
  <si>
    <t>en_spv_GTM_004</t>
  </si>
  <si>
    <t>solar resource in Peten region (near Flores) -- Guatemala</t>
  </si>
  <si>
    <t>en_spv_GTM_005</t>
  </si>
  <si>
    <t>solar resource in Peten region (near La Libertad) -- Guatemala</t>
  </si>
  <si>
    <t>en_spv_GUY_001</t>
  </si>
  <si>
    <t>solar resource in Upper Demerara-Berbice region (near Linden) -- Guyana</t>
  </si>
  <si>
    <t>en_spv_GUY_002</t>
  </si>
  <si>
    <t>solar resource in Bolivar region (near Linden) -- Guyana</t>
  </si>
  <si>
    <t>en_spv_GUY_003</t>
  </si>
  <si>
    <t>solar resource in Upper Takutu-Upper Essequibo region (near Linden) -- Guyana</t>
  </si>
  <si>
    <t>en_spv_GUY_004</t>
  </si>
  <si>
    <t>solar resource in Mahaica-Berbice region (near New Amsterdam) -- Guyana</t>
  </si>
  <si>
    <t>en_spv_HKG_001</t>
  </si>
  <si>
    <t>solar resource in Yuen Long region (near Sha Tin) -- Hong Kong SAR, China</t>
  </si>
  <si>
    <t>en_spv_HKG_002</t>
  </si>
  <si>
    <t>solar resource in Tai Po region (near Sha Tin) -- Hong Kong SAR, China</t>
  </si>
  <si>
    <t>en_spv_HKG_003</t>
  </si>
  <si>
    <t>solar resource in Lantau Island region (near Kowloon) -- Hong Kong SAR, China</t>
  </si>
  <si>
    <t>en_spv_HKG_004</t>
  </si>
  <si>
    <t>solar resource in Kwun Tong region (near Hong Kong) -- Hong Kong SAR, China</t>
  </si>
  <si>
    <t>en_spv_HND_001</t>
  </si>
  <si>
    <t>solar resource in Gracias a Dios region (near Catacamas) -- Honduras</t>
  </si>
  <si>
    <t>en_spv_HND_002</t>
  </si>
  <si>
    <t>solar resource in Olancho region (near Catacamas) -- Honduras</t>
  </si>
  <si>
    <t>en_spv_HND_003</t>
  </si>
  <si>
    <t>solar resource in La Union region (near Comayaguela) -- Honduras</t>
  </si>
  <si>
    <t>en_spv_HND_004</t>
  </si>
  <si>
    <t>solar resource in Cortes region (near San Pedro Sula) -- Honduras</t>
  </si>
  <si>
    <t>en_spv_HND_005</t>
  </si>
  <si>
    <t>solar resource in Yoro region (near Olanchito) -- Honduras</t>
  </si>
  <si>
    <t>en_spv_HRV_001</t>
  </si>
  <si>
    <t>solar resource in Šibenik-Knin region (near Sibenik) -- Croatia</t>
  </si>
  <si>
    <t>en_spv_HRV_002</t>
  </si>
  <si>
    <t>solar resource in Istria region (near Rijeka) -- Croatia</t>
  </si>
  <si>
    <t>en_spv_HRV_003</t>
  </si>
  <si>
    <t>solar resource in Lika-Senj region (near Karlovac) -- Croatia</t>
  </si>
  <si>
    <t>en_spv_HRV_004</t>
  </si>
  <si>
    <t>solar resource in Zagreb region (near Velika Gorica) -- Croatia</t>
  </si>
  <si>
    <t>en_spv_HRV_005</t>
  </si>
  <si>
    <t>solar resource in Vukovar-Syrmia region (near Vinkovci) -- Croatia</t>
  </si>
  <si>
    <t>en_spv_HRV_006</t>
  </si>
  <si>
    <t>solar resource in Bjelovar-Bilogora region (near Bjelovar) -- Croatia</t>
  </si>
  <si>
    <t>en_spv_HTI_001</t>
  </si>
  <si>
    <t>solar resource in near Saint-Marc -- Haiti</t>
  </si>
  <si>
    <t>en_spv_HTI_002</t>
  </si>
  <si>
    <t>solar resource in Centre region (near Belladere) -- Haiti</t>
  </si>
  <si>
    <t>en_spv_HTI_003</t>
  </si>
  <si>
    <t>solar resource in Nord region (near Hinche) -- Haiti</t>
  </si>
  <si>
    <t>en_spv_HUN_001</t>
  </si>
  <si>
    <t>solar resource in Vas region (near Szombathely) -- Hungary</t>
  </si>
  <si>
    <t>en_spv_HUN_002</t>
  </si>
  <si>
    <t>solar resource in Hajdu-Bihar region (near Hajduszoboszlo) -- Hungary</t>
  </si>
  <si>
    <t>en_spv_HUN_003</t>
  </si>
  <si>
    <t>solar resource in Csongrad-Csanad region (near Szeged) -- Hungary</t>
  </si>
  <si>
    <t>en_spv_HUN_004</t>
  </si>
  <si>
    <t>solar resource in Pest region (near Jaszbereny) -- Hungary</t>
  </si>
  <si>
    <t>en_spv_IDN_001</t>
  </si>
  <si>
    <t>solar resource in West Kalimantan region (near Pontianak) -- Indonesia</t>
  </si>
  <si>
    <t>en_spv_IDN_002</t>
  </si>
  <si>
    <t>solar resource in Central Kalimantan region (near Banjarmasin) -- Indonesia</t>
  </si>
  <si>
    <t>en_spv_IDN_003</t>
  </si>
  <si>
    <t>solar resource in Central Kalimantan region (near Balikpapan) -- Indonesia</t>
  </si>
  <si>
    <t>en_spv_IDN_004</t>
  </si>
  <si>
    <t>solar resource in North Sumatra region (near Medan) -- Indonesia</t>
  </si>
  <si>
    <t>en_spv_IDN_005</t>
  </si>
  <si>
    <t>solar resource in North Sumatra region (near Pekanbaru) -- Indonesia</t>
  </si>
  <si>
    <t>en_spv_IDN_006</t>
  </si>
  <si>
    <t>solar resource in Riau region (near Pekanbaru) -- Indonesia</t>
  </si>
  <si>
    <t>en_spv_IDN_007</t>
  </si>
  <si>
    <t>solar resource in South Sumatra region (near Palembang) -- Indonesia</t>
  </si>
  <si>
    <t>en_spv_IDN_008</t>
  </si>
  <si>
    <t>solar resource in near Ambon -- Indonesia</t>
  </si>
  <si>
    <t>en_spv_IDN_009</t>
  </si>
  <si>
    <t>solar resource in Papua region (near Jayapura) -- Indonesia</t>
  </si>
  <si>
    <t>en_spv_IDN_010</t>
  </si>
  <si>
    <t>solar resource in West Papua region (near Ambon) -- Indonesia</t>
  </si>
  <si>
    <t>en_spv_IDN_011</t>
  </si>
  <si>
    <t>en_spv_IDN_012</t>
  </si>
  <si>
    <t>solar resource in East Kalimantan region (near Samarinda) -- Indonesia</t>
  </si>
  <si>
    <t>en_spv_IDN_013</t>
  </si>
  <si>
    <t>solar resource in Central Sulawesi region (near Makassar) -- Indonesia</t>
  </si>
  <si>
    <t>en_spv_IDN_014</t>
  </si>
  <si>
    <t>solar resource in East Java region (near Malang) -- Indonesia</t>
  </si>
  <si>
    <t>en_spv_IDN_015</t>
  </si>
  <si>
    <t>solar resource in West Java region (near Cimahi) -- Indonesia</t>
  </si>
  <si>
    <t>en_spv_IDN_016</t>
  </si>
  <si>
    <t>solar resource in near Makassar -- Indonesia</t>
  </si>
  <si>
    <t>en_spv_IDN_017</t>
  </si>
  <si>
    <t>solar resource in near Jayapura -- Indonesia</t>
  </si>
  <si>
    <t>en_spv_IND_001</t>
  </si>
  <si>
    <t>solar resource in West Bengal region (near Raneswar) -- India</t>
  </si>
  <si>
    <t>en_spv_IND_002</t>
  </si>
  <si>
    <t>solar resource in Assam region (near Sibsagar) -- India</t>
  </si>
  <si>
    <t>en_spv_IND_003</t>
  </si>
  <si>
    <t>solar resource in Assam region (near Guwahati) -- India</t>
  </si>
  <si>
    <t>en_spv_IND_004</t>
  </si>
  <si>
    <t>solar resource in Assam region (near Karaikandi) -- India</t>
  </si>
  <si>
    <t>en_spv_IND_005</t>
  </si>
  <si>
    <t>solar resource in Andhra Pradesh region (near Ongole) -- India</t>
  </si>
  <si>
    <t>en_spv_IND_006</t>
  </si>
  <si>
    <t>solar resource in near Port Blair -- India</t>
  </si>
  <si>
    <t>en_spv_IND_007</t>
  </si>
  <si>
    <t>solar resource in Karnataka region (near Hassan) -- India</t>
  </si>
  <si>
    <t>en_spv_IND_008</t>
  </si>
  <si>
    <t>solar resource in Tamil Nadu region (near Dindigul) -- India</t>
  </si>
  <si>
    <t>en_spv_IND_009</t>
  </si>
  <si>
    <t>solar resource in Gujarat region (near Godhra) -- India</t>
  </si>
  <si>
    <t>en_spv_IND_010</t>
  </si>
  <si>
    <t>solar resource in Maharashtra region (near Wardha) -- India</t>
  </si>
  <si>
    <t>en_spv_IND_011</t>
  </si>
  <si>
    <t>solar resource in Karnataka region (near Gulbarga) -- India</t>
  </si>
  <si>
    <t>en_spv_IND_012</t>
  </si>
  <si>
    <t>solar resource in Punjab region (near Mansa) -- India</t>
  </si>
  <si>
    <t>en_spv_IND_013</t>
  </si>
  <si>
    <t>solar resource in Rajasthan region (near Ajmer) -- India</t>
  </si>
  <si>
    <t>en_spv_IND_014</t>
  </si>
  <si>
    <t>solar resource in Chhattisgarh region (near Raigarh) -- India</t>
  </si>
  <si>
    <t>en_spv_IND_015</t>
  </si>
  <si>
    <t>solar resource in Odisha region (near Jeypore) -- India</t>
  </si>
  <si>
    <t>en_spv_IND_016</t>
  </si>
  <si>
    <t>solar resource in Uttar Pradesh region (near Jhansi) -- India</t>
  </si>
  <si>
    <t>en_spv_IND_017</t>
  </si>
  <si>
    <t>solar resource in Sindh region (near Rapar) -- India</t>
  </si>
  <si>
    <t>en_spv_IND_018</t>
  </si>
  <si>
    <t>solar resource in Uttar Pradesh region (near Buxar) -- India</t>
  </si>
  <si>
    <t>en_spv_IRL_001</t>
  </si>
  <si>
    <t>solar resource in Cork region (near Cork) -- Ireland</t>
  </si>
  <si>
    <t>en_spv_IRL_002</t>
  </si>
  <si>
    <t>solar resource in Westmeath region (near Mullingar) -- Ireland</t>
  </si>
  <si>
    <t>en_spv_IRL_003</t>
  </si>
  <si>
    <t>solar resource in Donegal region (near Dun Dealgan) -- Ireland</t>
  </si>
  <si>
    <t>en_spv_IRL_004</t>
  </si>
  <si>
    <t>solar resource in Galway region (near Galway) -- Ireland</t>
  </si>
  <si>
    <t>en_spv_IRN_001</t>
  </si>
  <si>
    <t>solar resource in Razavi Khorasan region (near Mashhad) -- Iran</t>
  </si>
  <si>
    <t>en_spv_IRN_002</t>
  </si>
  <si>
    <t>solar resource in Razavi Khorasan region (near Sabzevar) -- Iran</t>
  </si>
  <si>
    <t>en_spv_IRN_003</t>
  </si>
  <si>
    <t>solar resource in South Khorasan region (near Birjand) -- Iran</t>
  </si>
  <si>
    <t>en_spv_IRN_004</t>
  </si>
  <si>
    <t>solar resource in Sistan and Baluchestan region (near Zahedan) -- Iran</t>
  </si>
  <si>
    <t>en_spv_IRN_005</t>
  </si>
  <si>
    <t>solar resource in Kerman region (near Kerman) -- Iran</t>
  </si>
  <si>
    <t>en_spv_IRN_006</t>
  </si>
  <si>
    <t>solar resource in East Azerbaijan region (near Maragheh) -- Iran</t>
  </si>
  <si>
    <t>en_spv_IRN_007</t>
  </si>
  <si>
    <t>solar resource in Khuzestan region (near Ahvaz) -- Iran</t>
  </si>
  <si>
    <t>en_spv_IRN_008</t>
  </si>
  <si>
    <t>solar resource in Ilam region (near Kermanshah) -- Iran</t>
  </si>
  <si>
    <t>en_spv_IRN_009</t>
  </si>
  <si>
    <t>solar resource in Qom region (near Qom) -- Iran</t>
  </si>
  <si>
    <t>en_spv_IRN_010</t>
  </si>
  <si>
    <t>solar resource in Yazd region (near Yazd) -- Iran</t>
  </si>
  <si>
    <t>en_spv_IRN_011</t>
  </si>
  <si>
    <t>solar resource in Fars region (near Bandar `Abbas) -- Iran</t>
  </si>
  <si>
    <t>en_spv_IRN_012</t>
  </si>
  <si>
    <t>solar resource in Fars region (near Shiraz) -- Iran</t>
  </si>
  <si>
    <t>en_spv_IRN_013</t>
  </si>
  <si>
    <t>solar resource in Ardabil region (near Ardabil) -- Iran</t>
  </si>
  <si>
    <t>en_spv_IRN_014</t>
  </si>
  <si>
    <t>solar resource in Semnan region (near Shahrud) -- Iran</t>
  </si>
  <si>
    <t>en_spv_IRQ_001</t>
  </si>
  <si>
    <t>solar resource in Al Anbar region (near Ar Ramadi) -- Iraq</t>
  </si>
  <si>
    <t>en_spv_IRQ_002</t>
  </si>
  <si>
    <t>solar resource in Sulaymaniyah region (near Kirkuk) -- Iraq</t>
  </si>
  <si>
    <t>en_spv_IRQ_003</t>
  </si>
  <si>
    <t>solar resource in Nineveh region (near Mosul) -- Iraq</t>
  </si>
  <si>
    <t>en_spv_IRQ_004</t>
  </si>
  <si>
    <t>solar resource in Maysan region (near Al `Amarah) -- Iraq</t>
  </si>
  <si>
    <t>en_spv_IRQ_005</t>
  </si>
  <si>
    <t>solar resource in Al Muthanna region (near An Nasiriyah) -- Iraq</t>
  </si>
  <si>
    <t>en_spv_IRQ_006</t>
  </si>
  <si>
    <t>solar resource in Al Anbar region (near An Najaf) -- Iraq</t>
  </si>
  <si>
    <t>en_spv_IRQ_007</t>
  </si>
  <si>
    <t>solar resource in Diyala region (near Ba`qubah) -- Iraq</t>
  </si>
  <si>
    <t>en_spv_IRQ_008</t>
  </si>
  <si>
    <t>en_spv_ISR_001</t>
  </si>
  <si>
    <t>solar resource in Southern region (near Beersheba) -- Israel</t>
  </si>
  <si>
    <t>en_spv_ISR_002</t>
  </si>
  <si>
    <t>solar resource in West Bank region (near Afula) -- Israel</t>
  </si>
  <si>
    <t>en_spv_ISR_003</t>
  </si>
  <si>
    <t>solar resource in Southern region (near Rahat) -- Israel</t>
  </si>
  <si>
    <t>en_spv_ITA_001</t>
  </si>
  <si>
    <t>solar resource in Alessandria region (near Casale Monferrato) -- Italy</t>
  </si>
  <si>
    <t>en_spv_ITA_002</t>
  </si>
  <si>
    <t>solar resource in Lecco region (near Lecco) -- Italy</t>
  </si>
  <si>
    <t>en_spv_ITA_003</t>
  </si>
  <si>
    <t>solar resource in Parma region (near Fidenza) -- Italy</t>
  </si>
  <si>
    <t>en_spv_ITA_004</t>
  </si>
  <si>
    <t>solar resource in Cagliari region (near Sestu) -- Italy</t>
  </si>
  <si>
    <t>en_spv_ITA_005</t>
  </si>
  <si>
    <t>solar resource in Cosenza region (near Castrovillari) -- Italy</t>
  </si>
  <si>
    <t>en_spv_ITA_006</t>
  </si>
  <si>
    <t>solar resource in Pordenone region (near Pordenone) -- Italy</t>
  </si>
  <si>
    <t>en_spv_ITA_007</t>
  </si>
  <si>
    <t>solar resource in Frosinone region (near Alatri) -- Italy</t>
  </si>
  <si>
    <t>en_spv_ITA_008</t>
  </si>
  <si>
    <t>solar resource in Ravenna region (near Lugo) -- Italy</t>
  </si>
  <si>
    <t>en_spv_JAM_001</t>
  </si>
  <si>
    <t>solar resource in Saint Thomas region (near Kingston) -- Jamaica</t>
  </si>
  <si>
    <t>en_spv_JAM_002</t>
  </si>
  <si>
    <t>solar resource in Manchester region (near Spanish Town) -- Jamaica</t>
  </si>
  <si>
    <t>en_spv_JOR_001</t>
  </si>
  <si>
    <t>solar resource in Ma'an region (near Amman) -- Jordan</t>
  </si>
  <si>
    <t>en_spv_JOR_002</t>
  </si>
  <si>
    <t>en_spv_JOR_003</t>
  </si>
  <si>
    <t>solar resource in Amman region (near Amman) -- Jordan</t>
  </si>
  <si>
    <t>en_spv_JOR_004</t>
  </si>
  <si>
    <t>solar resource in Mafraq region (near Al Mafraq) -- Jordan</t>
  </si>
  <si>
    <t>en_spv_JPN_001</t>
  </si>
  <si>
    <t>solar resource in near Hakodate -- Japan</t>
  </si>
  <si>
    <t>en_spv_JPN_002</t>
  </si>
  <si>
    <t>solar resource in Hokkaidō region (near Obihiro) -- Japan</t>
  </si>
  <si>
    <t>en_spv_JPN_003</t>
  </si>
  <si>
    <t>solar resource in near Kumamoto -- Japan</t>
  </si>
  <si>
    <t>en_spv_JPN_004</t>
  </si>
  <si>
    <t>solar resource in Shiga Prefecture region (near Yokkaichi) -- Japan</t>
  </si>
  <si>
    <t>en_spv_JPN_005</t>
  </si>
  <si>
    <t>solar resource in near Kure -- Japan</t>
  </si>
  <si>
    <t>en_spv_JPN_006</t>
  </si>
  <si>
    <t>solar resource in near Naha -- Japan</t>
  </si>
  <si>
    <t>en_spv_JPN_007</t>
  </si>
  <si>
    <t>solar resource in Chiba Prefecture region (near Kasukabe) -- Japan</t>
  </si>
  <si>
    <t>en_spv_JPN_008</t>
  </si>
  <si>
    <t>solar resource in Iwate Prefecture region (near Morioka) -- Japan</t>
  </si>
  <si>
    <t>en_spv_JPN_009</t>
  </si>
  <si>
    <t>solar resource in near Joetsu -- Japan</t>
  </si>
  <si>
    <t>en_spv_KAZ_001</t>
  </si>
  <si>
    <t>solar resource in Pavlodar region (near Ekibastuz) -- Kazakhstan</t>
  </si>
  <si>
    <t>en_spv_KAZ_002</t>
  </si>
  <si>
    <t>en_spv_KAZ_003</t>
  </si>
  <si>
    <t>solar resource in Akmola region (near Kokshetau) -- Kazakhstan</t>
  </si>
  <si>
    <t>en_spv_KAZ_004</t>
  </si>
  <si>
    <t>solar resource in North Kazakhstan region (near Kokshetau) -- Kazakhstan</t>
  </si>
  <si>
    <t>en_spv_KAZ_005</t>
  </si>
  <si>
    <t>solar resource in Kostanay region (near Qostanay) -- Kazakhstan</t>
  </si>
  <si>
    <t>en_spv_KAZ_006</t>
  </si>
  <si>
    <t>solar resource in Aktobe region (near Aqtobe) -- Kazakhstan</t>
  </si>
  <si>
    <t>en_spv_KAZ_007</t>
  </si>
  <si>
    <t>solar resource in Aktobe region (near Qostanay) -- Kazakhstan</t>
  </si>
  <si>
    <t>en_spv_KAZ_008</t>
  </si>
  <si>
    <t>solar resource in East Kazakhstan region (near Semey) -- Kazakhstan</t>
  </si>
  <si>
    <t>en_spv_KAZ_009</t>
  </si>
  <si>
    <t>solar resource in East Kazakhstan region (near Oskemen) -- Kazakhstan</t>
  </si>
  <si>
    <t>en_spv_KAZ_010</t>
  </si>
  <si>
    <t>solar resource in Karaganda region (near Qaraghandy) -- Kazakhstan</t>
  </si>
  <si>
    <t>en_spv_KAZ_011</t>
  </si>
  <si>
    <t>solar resource in Almaty region (near Almaty) -- Kazakhstan</t>
  </si>
  <si>
    <t>en_spv_KAZ_012</t>
  </si>
  <si>
    <t>en_spv_KAZ_013</t>
  </si>
  <si>
    <t>solar resource in West Kazakhstan region (near Oral) -- Kazakhstan</t>
  </si>
  <si>
    <t>en_spv_KAZ_014</t>
  </si>
  <si>
    <t>solar resource in Turkistan region (near Turkistan) -- Kazakhstan</t>
  </si>
  <si>
    <t>en_spv_KAZ_015</t>
  </si>
  <si>
    <t>solar resource in Karaganda region (near Qyzylorda) -- Kazakhstan</t>
  </si>
  <si>
    <t>en_spv_KAZ_016</t>
  </si>
  <si>
    <t>solar resource in Mangystau region (near Zhangaozen) -- Kazakhstan</t>
  </si>
  <si>
    <t>en_spv_KAZ_017</t>
  </si>
  <si>
    <t>solar resource in Kyzylorda region (near Qyzylorda) -- Kazakhstan</t>
  </si>
  <si>
    <t>en_spv_KEN_001</t>
  </si>
  <si>
    <t>solar resource in Gedo region (near Habaswein) -- Kenya</t>
  </si>
  <si>
    <t>en_spv_KEN_002</t>
  </si>
  <si>
    <t>solar resource in Rift Valley region (near Kakuma) -- Kenya</t>
  </si>
  <si>
    <t>en_spv_KEN_003</t>
  </si>
  <si>
    <t>solar resource in Rift Valley region (near Ongata Rongai) -- Kenya</t>
  </si>
  <si>
    <t>en_spv_KEN_004</t>
  </si>
  <si>
    <t>solar resource in Rift Valley region (near Eldoret) -- Kenya</t>
  </si>
  <si>
    <t>en_spv_KEN_005</t>
  </si>
  <si>
    <t>solar resource in North Eastern region (near Habaswein) -- Kenya</t>
  </si>
  <si>
    <t>en_spv_KEN_006</t>
  </si>
  <si>
    <t>solar resource in Coast region (near Lunga-Lunga) -- Kenya</t>
  </si>
  <si>
    <t>en_spv_KEN_007</t>
  </si>
  <si>
    <t>solar resource in Eastern region (near Kitenkela) -- Kenya</t>
  </si>
  <si>
    <t>en_spv_KEN_008</t>
  </si>
  <si>
    <t>solar resource in Eastern region (near Habaswein) -- Kenya</t>
  </si>
  <si>
    <t>en_spv_KEN_009</t>
  </si>
  <si>
    <t>en_spv_KGZ_001</t>
  </si>
  <si>
    <t>solar resource in Namangan region (near Batken) -- Kyrgyz Republic</t>
  </si>
  <si>
    <t>en_spv_KGZ_002</t>
  </si>
  <si>
    <t>solar resource in Andijan region (near Aravan) -- Kyrgyz Republic</t>
  </si>
  <si>
    <t>en_spv_KGZ_003</t>
  </si>
  <si>
    <t>solar resource in Jambyl region (near Talas) -- Kyrgyz Republic</t>
  </si>
  <si>
    <t>en_spv_KGZ_004</t>
  </si>
  <si>
    <t>solar resource in Issyk-Kul region (near Karakol) -- Kyrgyz Republic</t>
  </si>
  <si>
    <t>en_spv_KGZ_005</t>
  </si>
  <si>
    <t>solar resource in Naryn region (near Tokmok) -- Kyrgyz Republic</t>
  </si>
  <si>
    <t>en_spv_KHM_001</t>
  </si>
  <si>
    <t>solar resource in Preah Vihear region (near Siem Reap) -- Cambodia</t>
  </si>
  <si>
    <t>en_spv_KHM_002</t>
  </si>
  <si>
    <t>solar resource in Banteay Meanchey region (near Sisophon) -- Cambodia</t>
  </si>
  <si>
    <t>en_spv_KHM_003</t>
  </si>
  <si>
    <t>solar resource in Stung Treng region (near Kampong Cham) -- Cambodia</t>
  </si>
  <si>
    <t>en_spv_KHM_004</t>
  </si>
  <si>
    <t>solar resource in Koh Kong region (near Phnom Penh) -- Cambodia</t>
  </si>
  <si>
    <t>en_spv_KHM_005</t>
  </si>
  <si>
    <t>solar resource in Kampong Cham region (near Kampong Cham) -- Cambodia</t>
  </si>
  <si>
    <t>en_spv_KHM_006</t>
  </si>
  <si>
    <t>solar resource in Kandal region (near Phnom Penh) -- Cambodia</t>
  </si>
  <si>
    <t>en_spv_KOR_001</t>
  </si>
  <si>
    <t>solar resource in South Chungcheong region (near Ch'onan) -- South Korea</t>
  </si>
  <si>
    <t>en_spv_KOR_002</t>
  </si>
  <si>
    <t>solar resource in Gyeonggi region (near Goyang) -- South Korea</t>
  </si>
  <si>
    <t>en_spv_KOR_003</t>
  </si>
  <si>
    <t>solar resource in South Jeolla region (near Gwangju) -- South Korea</t>
  </si>
  <si>
    <t>en_spv_KOR_004</t>
  </si>
  <si>
    <t>solar resource in South Gyeongsang region (near Changwon) -- South Korea</t>
  </si>
  <si>
    <t>en_spv_KOR_005</t>
  </si>
  <si>
    <t>solar resource in North Gyeongsang region (near Daejeon) -- South Korea</t>
  </si>
  <si>
    <t>en_spv_KWT_001</t>
  </si>
  <si>
    <t>solar resource in Al Farwaniyah region (near Kuwait City) -- Kuwait</t>
  </si>
  <si>
    <t>en_spv_KWT_002</t>
  </si>
  <si>
    <t>solar resource in Al Jahra region (near Al Jahra') -- Kuwait</t>
  </si>
  <si>
    <t>en_spv_LAO_001</t>
  </si>
  <si>
    <t>solar resource in Quảng Trị region (near Salavan) -- Laos</t>
  </si>
  <si>
    <t>en_spv_LAO_002</t>
  </si>
  <si>
    <t>solar resource in Savannakhet region (near Savannakhet) -- Laos</t>
  </si>
  <si>
    <t>en_spv_LAO_003</t>
  </si>
  <si>
    <t>solar resource in Champasak region (near Pakxe) -- Laos</t>
  </si>
  <si>
    <t>en_spv_LAO_004</t>
  </si>
  <si>
    <t>solar resource in Houaphanh region (near Xiangkhoang) -- Laos</t>
  </si>
  <si>
    <t>en_spv_LAO_005</t>
  </si>
  <si>
    <t>solar resource in Nong Khai region (near Vientiane) -- Laos</t>
  </si>
  <si>
    <t>en_spv_LAO_006</t>
  </si>
  <si>
    <t>solar resource in Nan region (near Vientiane) -- Laos</t>
  </si>
  <si>
    <t>en_spv_LAO_007</t>
  </si>
  <si>
    <t>solar resource in Oudomxay region (near Xai) -- Laos</t>
  </si>
  <si>
    <t>en_spv_LBN_001</t>
  </si>
  <si>
    <t>solar resource in South region (near Sidon) -- Lebanon</t>
  </si>
  <si>
    <t>en_spv_LBN_002</t>
  </si>
  <si>
    <t>solar resource in Rif Dimashq region (near Zahle) -- Lebanon</t>
  </si>
  <si>
    <t>en_spv_LBR_001</t>
  </si>
  <si>
    <t>solar resource in Moyen-Cavally region (near Yeebo Town) -- Liberia</t>
  </si>
  <si>
    <t>en_spv_LBR_002</t>
  </si>
  <si>
    <t>solar resource in Nimba region (near New Kru Town) -- Liberia</t>
  </si>
  <si>
    <t>en_spv_LBR_003</t>
  </si>
  <si>
    <t>solar resource in Maryland region (near Yeebo Town) -- Liberia</t>
  </si>
  <si>
    <t>en_spv_LBR_004</t>
  </si>
  <si>
    <t>solar resource in Grand Bassa region (near New Kru Town) -- Liberia</t>
  </si>
  <si>
    <t>en_spv_LBY_001</t>
  </si>
  <si>
    <t>solar resource in Murzuq region (near Sabha) -- Libya</t>
  </si>
  <si>
    <t>en_spv_LBY_002</t>
  </si>
  <si>
    <t>solar resource in Sirte region (near Misratah) -- Libya</t>
  </si>
  <si>
    <t>en_spv_LBY_003</t>
  </si>
  <si>
    <t>solar resource in Jufra region (near Ajdabiya) -- Libya</t>
  </si>
  <si>
    <t>en_spv_LBY_004</t>
  </si>
  <si>
    <t>solar resource in Mizdah region (near Sabha) -- Libya</t>
  </si>
  <si>
    <t>en_spv_LBY_005</t>
  </si>
  <si>
    <t>solar resource in Mizdah region (near Gharyan) -- Libya</t>
  </si>
  <si>
    <t>en_spv_LBY_006</t>
  </si>
  <si>
    <t>solar resource in Kufra region (near Ajdabiya) -- Libya</t>
  </si>
  <si>
    <t>en_spv_LBY_007</t>
  </si>
  <si>
    <t>en_spv_LBY_008</t>
  </si>
  <si>
    <t>solar resource in Ghadames region (near Gharyan) -- Libya</t>
  </si>
  <si>
    <t>en_spv_LBY_009</t>
  </si>
  <si>
    <t>solar resource in Ghat region (near Sabha) -- Libya</t>
  </si>
  <si>
    <t>en_spv_LBY_010</t>
  </si>
  <si>
    <t>solar resource in Butnan region (near Tobruk) -- Libya</t>
  </si>
  <si>
    <t>en_spv_LBY_011</t>
  </si>
  <si>
    <t>solar resource in Benghazi region (near Ajdabiya) -- Libya</t>
  </si>
  <si>
    <t>en_spv_LBY_012</t>
  </si>
  <si>
    <t>solar resource in Ajdabiya region (near Ajdabiya) -- Libya</t>
  </si>
  <si>
    <t>en_spv_LBY_013</t>
  </si>
  <si>
    <t>en_spv_LBY_014</t>
  </si>
  <si>
    <t>en_spv_LKA_001</t>
  </si>
  <si>
    <t>solar resource in Anuradhapura region (near Trincomalee) -- Sri Lanka</t>
  </si>
  <si>
    <t>en_spv_LKA_002</t>
  </si>
  <si>
    <t>solar resource in Vavuniya region (near Kilinochchi) -- Sri Lanka</t>
  </si>
  <si>
    <t>en_spv_LKA_003</t>
  </si>
  <si>
    <t>solar resource in Kegalle region (near Mawanella) -- Sri Lanka</t>
  </si>
  <si>
    <t>en_spv_LKA_004</t>
  </si>
  <si>
    <t>solar resource in Monaragala region (near Kalmunai) -- Sri Lanka</t>
  </si>
  <si>
    <t>en_spv_LSO_001</t>
  </si>
  <si>
    <t>solar resource in Maseru region (near Qiloane) -- Lesotho</t>
  </si>
  <si>
    <t>en_spv_LSO_002</t>
  </si>
  <si>
    <t>solar resource in Eastern Cape region (near Mohale's Hoek) -- Lesotho</t>
  </si>
  <si>
    <t>en_spv_LSO_003</t>
  </si>
  <si>
    <t>solar resource in Leribe region (near Mapoteng) -- Lesotho</t>
  </si>
  <si>
    <t>en_spv_LTU_001</t>
  </si>
  <si>
    <t>solar resource in Panevėžys region (near Utena) -- Lithuania</t>
  </si>
  <si>
    <t>en_spv_LTU_002</t>
  </si>
  <si>
    <t>solar resource in Vilnius region (near Vilnius) -- Lithuania</t>
  </si>
  <si>
    <t>en_spv_LTU_003</t>
  </si>
  <si>
    <t>solar resource in Kaliningrad region (near Marijampole) -- Lithuania</t>
  </si>
  <si>
    <t>en_spv_LTU_004</t>
  </si>
  <si>
    <t>solar resource in Tauragė region (near Siauliai) -- Lithuania</t>
  </si>
  <si>
    <t>en_spv_LUX_001</t>
  </si>
  <si>
    <t>solar resource in Diekirch region (near Luxembourg) -- Luxembourg</t>
  </si>
  <si>
    <t>en_spv_LUX_002</t>
  </si>
  <si>
    <t>solar resource in Grevenmacher region (near Luxembourg) -- Luxembourg</t>
  </si>
  <si>
    <t>en_spv_LUX_003</t>
  </si>
  <si>
    <t>en_spv_LUX_004</t>
  </si>
  <si>
    <t>en_spv_LUX_005</t>
  </si>
  <si>
    <t>en_spv_LUX_006</t>
  </si>
  <si>
    <t>solar resource in Luxembourg region (near Luxembourg) -- Luxembourg</t>
  </si>
  <si>
    <t>en_spv_LVA_001</t>
  </si>
  <si>
    <t>solar resource in Saldus region (near Jelgava) -- Latvia</t>
  </si>
  <si>
    <t>en_spv_LVA_002</t>
  </si>
  <si>
    <t>solar resource in Kārsava region (near Daugavpils) -- Latvia</t>
  </si>
  <si>
    <t>en_spv_LVA_003</t>
  </si>
  <si>
    <t>solar resource in Jēkabpils region (near Daugavpils) -- Latvia</t>
  </si>
  <si>
    <t>en_spv_LVA_004</t>
  </si>
  <si>
    <t>solar resource in Valmiera region (near Riga) -- Latvia</t>
  </si>
  <si>
    <t>en_spv_MAR_001</t>
  </si>
  <si>
    <t>solar resource in Bechar region (near Errachidia) -- Morocco</t>
  </si>
  <si>
    <t>en_spv_MAR_002</t>
  </si>
  <si>
    <t>solar resource in Oriental region (near Jerada) -- Morocco</t>
  </si>
  <si>
    <t>en_spv_MAR_003</t>
  </si>
  <si>
    <t>solar resource in Tadla-Azilal region (near Khenifra) -- Morocco</t>
  </si>
  <si>
    <t>en_spv_MAR_004</t>
  </si>
  <si>
    <t>solar resource in Chaouia-Ouardigha region (near Barrechid) -- Morocco</t>
  </si>
  <si>
    <t>en_spv_MAR_005</t>
  </si>
  <si>
    <t>solar resource in Gharb-Chrarda-Beni Hssen region (near Dar Bel Hamri) -- Morocco</t>
  </si>
  <si>
    <t>en_spv_MAR_006</t>
  </si>
  <si>
    <t>solar resource in Suss-Massa-Draa region (near Tineghir) -- Morocco</t>
  </si>
  <si>
    <t>en_spv_MAR_007</t>
  </si>
  <si>
    <t>solar resource in Guelmim-Es Semara region (near Tan-Tan) -- Morocco</t>
  </si>
  <si>
    <t>en_spv_MAR_008</t>
  </si>
  <si>
    <t>solar resource in Guelmim-Es Semara region (near Tiznit) -- Morocco</t>
  </si>
  <si>
    <t>en_spv_MDA_001</t>
  </si>
  <si>
    <t>solar resource in Odessa region (near Comrat) -- Moldova</t>
  </si>
  <si>
    <t>en_spv_MDA_002</t>
  </si>
  <si>
    <t>solar resource in Odessa region (near Dubasari) -- Moldova</t>
  </si>
  <si>
    <t>en_spv_MDA_003</t>
  </si>
  <si>
    <t>solar resource in Glodeni region (near Balti) -- Moldova</t>
  </si>
  <si>
    <t>en_spv_MDG_001</t>
  </si>
  <si>
    <t>solar resource in Atsimo-Atsinanana region (near Ambalavato) -- Madagascar</t>
  </si>
  <si>
    <t>en_spv_MDG_002</t>
  </si>
  <si>
    <t>solar resource in Antananarivo region (near Andilanatoby) -- Madagascar</t>
  </si>
  <si>
    <t>en_spv_MDG_003</t>
  </si>
  <si>
    <t>solar resource in Antananarivo region (near Manandona) -- Madagascar</t>
  </si>
  <si>
    <t>en_spv_MDG_004</t>
  </si>
  <si>
    <t>solar resource in Vatovavy-Fitovinany region (near Vohitrandriana) -- Madagascar</t>
  </si>
  <si>
    <t>en_spv_MDG_005</t>
  </si>
  <si>
    <t>solar resource in Atsimo-Andrefana region (near Fotadrevo) -- Madagascar</t>
  </si>
  <si>
    <t>en_spv_MDG_006</t>
  </si>
  <si>
    <t>solar resource in Menabe region (near Mandabe) -- Madagascar</t>
  </si>
  <si>
    <t>en_spv_MDG_007</t>
  </si>
  <si>
    <t>solar resource in Toamasina region (near Andapafito) -- Madagascar</t>
  </si>
  <si>
    <t>en_spv_MDG_008</t>
  </si>
  <si>
    <t>solar resource in Melaky region (near Kiranomena) -- Madagascar</t>
  </si>
  <si>
    <t>en_spv_MDG_009</t>
  </si>
  <si>
    <t>solar resource in Sofia region (near Leanja) -- Madagascar</t>
  </si>
  <si>
    <t>en_spv_MEX_001</t>
  </si>
  <si>
    <t>solar resource in Quintana Roo region (near Merida) -- Mexico</t>
  </si>
  <si>
    <t>en_spv_MEX_002</t>
  </si>
  <si>
    <t>solar resource in Chiapas region (near San Cristobal) -- Mexico</t>
  </si>
  <si>
    <t>en_spv_MEX_003</t>
  </si>
  <si>
    <t>solar resource in Veracruz region (near Tuxtepec) -- Mexico</t>
  </si>
  <si>
    <t>en_spv_MEX_004</t>
  </si>
  <si>
    <t>solar resource in San Luis Potosi region (near Soledad de Graciano Sanchez) -- Mexico</t>
  </si>
  <si>
    <t>en_spv_MEX_005</t>
  </si>
  <si>
    <t>solar resource in Veracruz region (near Poza Rica de Hidalgo) -- Mexico</t>
  </si>
  <si>
    <t>en_spv_MEX_006</t>
  </si>
  <si>
    <t>solar resource in Oaxaca region (near Oaxaca) -- Mexico</t>
  </si>
  <si>
    <t>en_spv_MEX_007</t>
  </si>
  <si>
    <t>solar resource in Durango region (near Gomez Palacio) -- Mexico</t>
  </si>
  <si>
    <t>en_spv_MEX_008</t>
  </si>
  <si>
    <t>solar resource in Aguascalientes region (near Aguascalientes) -- Mexico</t>
  </si>
  <si>
    <t>en_spv_MEX_009</t>
  </si>
  <si>
    <t>solar resource in near Guaymas -- Mexico</t>
  </si>
  <si>
    <t>en_spv_MEX_010</t>
  </si>
  <si>
    <t>solar resource in near Heroica Nogales -- Mexico</t>
  </si>
  <si>
    <t>en_spv_MEX_011</t>
  </si>
  <si>
    <t>solar resource in Sinaloa region (near Culiacan) -- Mexico</t>
  </si>
  <si>
    <t>en_spv_MEX_012</t>
  </si>
  <si>
    <t>solar resource in Chihuahua region (near Chihuahua) -- Mexico</t>
  </si>
  <si>
    <t>en_spv_MEX_013</t>
  </si>
  <si>
    <t>solar resource in Nuevo Leon region (near Ciudad Benito Juarez) -- Mexico</t>
  </si>
  <si>
    <t>en_spv_MEX_014</t>
  </si>
  <si>
    <t>solar resource in Coahuila region (near Delicias) -- Mexico</t>
  </si>
  <si>
    <t>en_spv_MEX_015</t>
  </si>
  <si>
    <t>solar resource in Coahuila region (near Monclova) -- Mexico</t>
  </si>
  <si>
    <t>en_spv_MKD_001</t>
  </si>
  <si>
    <t>solar resource in Debarca region (near Ohrid) -- North Macedonia</t>
  </si>
  <si>
    <t>en_spv_MKD_002</t>
  </si>
  <si>
    <t>solar resource in Strumica region (near Strumica) -- North Macedonia</t>
  </si>
  <si>
    <t>en_spv_MKD_003</t>
  </si>
  <si>
    <t>solar resource in Kumanovo region (near Kumanovo) -- North Macedonia</t>
  </si>
  <si>
    <t>en_spv_MKD_004</t>
  </si>
  <si>
    <t>solar resource in Kavadarci region (near Prilep) -- North Macedonia</t>
  </si>
  <si>
    <t>en_spv_MLI_001</t>
  </si>
  <si>
    <t>solar resource in Gao region (near Bourem) -- Mali</t>
  </si>
  <si>
    <t>en_spv_MLI_002</t>
  </si>
  <si>
    <t>solar resource in Mopti region (near Douentza) -- Mali</t>
  </si>
  <si>
    <t>en_spv_MLI_003</t>
  </si>
  <si>
    <t>solar resource in Tombouctou region (near Bamba) -- Mali</t>
  </si>
  <si>
    <t>en_spv_MLI_004</t>
  </si>
  <si>
    <t>solar resource in Kidal region (near Bamba) -- Mali</t>
  </si>
  <si>
    <t>en_spv_MLI_005</t>
  </si>
  <si>
    <t>solar resource in Tombouctou region (near Timbuktu) -- Mali</t>
  </si>
  <si>
    <t>en_spv_MLI_006</t>
  </si>
  <si>
    <t>en_spv_MLI_007</t>
  </si>
  <si>
    <t>solar resource in Kayes region (near Diakon) -- Mali</t>
  </si>
  <si>
    <t>en_spv_MLI_008</t>
  </si>
  <si>
    <t>solar resource in Kayes region (near Kita) -- Mali</t>
  </si>
  <si>
    <t>en_spv_MLI_009</t>
  </si>
  <si>
    <t>solar resource in Wassoulou region (near Koumantou) -- Mali</t>
  </si>
  <si>
    <t>en_spv_MLI_010</t>
  </si>
  <si>
    <t>solar resource in Tombouctou region (near Ngorkou) -- Mali</t>
  </si>
  <si>
    <t>en_spv_MLI_011</t>
  </si>
  <si>
    <t>solar resource in Wassoulou region (near Somasso) -- Mali</t>
  </si>
  <si>
    <t>en_spv_MLI_012</t>
  </si>
  <si>
    <t>solar resource in Koulikoro region (near Boro) -- Mali</t>
  </si>
  <si>
    <t>en_spv_MMR_001</t>
  </si>
  <si>
    <t>solar resource in Kachin State region (near Myitkyina) -- Myanmar</t>
  </si>
  <si>
    <t>en_spv_MMR_002</t>
  </si>
  <si>
    <t>solar resource in Shan State region (near Taunggyi) -- Myanmar</t>
  </si>
  <si>
    <t>en_spv_MMR_003</t>
  </si>
  <si>
    <t>solar resource in Sagaing region (near Katha) -- Myanmar</t>
  </si>
  <si>
    <t>en_spv_MMR_004</t>
  </si>
  <si>
    <t>solar resource in Sagaing region (near Monywa) -- Myanmar</t>
  </si>
  <si>
    <t>en_spv_MMR_005</t>
  </si>
  <si>
    <t>solar resource in Shan State region (near Katha) -- Myanmar</t>
  </si>
  <si>
    <t>en_spv_MMR_006</t>
  </si>
  <si>
    <t>solar resource in Tanintharyi region (near Myeik) -- Myanmar</t>
  </si>
  <si>
    <t>en_spv_MMR_007</t>
  </si>
  <si>
    <t>solar resource in Rakhine State region (near Kyaukpyu) -- Myanmar</t>
  </si>
  <si>
    <t>en_spv_MMR_008</t>
  </si>
  <si>
    <t>solar resource in Bago region (near Nay Pyi Taw) -- Myanmar</t>
  </si>
  <si>
    <t>en_spv_MMR_009</t>
  </si>
  <si>
    <t>solar resource in Ayeyarwady region (near Pathein) -- Myanmar</t>
  </si>
  <si>
    <t>en_spv_MMR_010</t>
  </si>
  <si>
    <t>solar resource in Mon State region (near Mudon) -- Myanmar</t>
  </si>
  <si>
    <t>en_spv_MNE_001</t>
  </si>
  <si>
    <t>solar resource in Cetinje region (near Podgorica) -- Montenegro</t>
  </si>
  <si>
    <t>en_spv_MNE_002</t>
  </si>
  <si>
    <t>solar resource in Bijelo Polje region (near Plav) -- Montenegro</t>
  </si>
  <si>
    <t>en_spv_MNE_003</t>
  </si>
  <si>
    <t>solar resource in Šavnik region (near Niksic) -- Montenegro</t>
  </si>
  <si>
    <t>en_spv_MNG_001</t>
  </si>
  <si>
    <t>solar resource in Khovd region (near Moron) -- Mongolia</t>
  </si>
  <si>
    <t>en_spv_MNG_002</t>
  </si>
  <si>
    <t>solar resource in Uvs region (near Moron) -- Mongolia</t>
  </si>
  <si>
    <t>en_spv_MNG_003</t>
  </si>
  <si>
    <t>solar resource in Bayankhongor region (near Moron) -- Mongolia</t>
  </si>
  <si>
    <t>en_spv_MNG_004</t>
  </si>
  <si>
    <t>solar resource in Govi-Altai region (near Moron) -- Mongolia</t>
  </si>
  <si>
    <t>en_spv_MNG_005</t>
  </si>
  <si>
    <t>solar resource in Zavkhan region (near Moron) -- Mongolia</t>
  </si>
  <si>
    <t>en_spv_MNG_006</t>
  </si>
  <si>
    <t>solar resource in Khovsgol region (near Moron) -- Mongolia</t>
  </si>
  <si>
    <t>en_spv_MNG_007</t>
  </si>
  <si>
    <t>solar resource in Dornod region (near Ulaanbaatar) -- Mongolia</t>
  </si>
  <si>
    <t>en_spv_MNG_008</t>
  </si>
  <si>
    <t>en_spv_MNG_009</t>
  </si>
  <si>
    <t>solar resource in Sukhbaatar region (near Ulaanbaatar) -- Mongolia</t>
  </si>
  <si>
    <t>en_spv_MNG_010</t>
  </si>
  <si>
    <t>solar resource in Tov region (near Ulaanbaatar) -- Mongolia</t>
  </si>
  <si>
    <t>en_spv_MNG_011</t>
  </si>
  <si>
    <t>solar resource in Arkhangai region (near Erdenet) -- Mongolia</t>
  </si>
  <si>
    <t>en_spv_MNG_012</t>
  </si>
  <si>
    <t>solar resource in Omnogovi region (near Ulaanbaatar) -- Mongolia</t>
  </si>
  <si>
    <t>en_spv_MNG_013</t>
  </si>
  <si>
    <t>solar resource in Dornogovi region (near Ulaanbaatar) -- Mongolia</t>
  </si>
  <si>
    <t>en_spv_MNG_014</t>
  </si>
  <si>
    <t>solar resource in Dundgovi region (near Ulaanbaatar) -- Mongolia</t>
  </si>
  <si>
    <t>en_spv_MOZ_001</t>
  </si>
  <si>
    <t>solar resource in Inhambane region (near Maputo) -- Mozambique</t>
  </si>
  <si>
    <t>en_spv_MOZ_002</t>
  </si>
  <si>
    <t>solar resource in Maputo region (near Maputo) -- Mozambique</t>
  </si>
  <si>
    <t>en_spv_MOZ_003</t>
  </si>
  <si>
    <t>solar resource in Gaza region (near Maputo) -- Mozambique</t>
  </si>
  <si>
    <t>en_spv_MOZ_004</t>
  </si>
  <si>
    <t>solar resource in Niassa region (near Malema) -- Mozambique</t>
  </si>
  <si>
    <t>en_spv_MOZ_005</t>
  </si>
  <si>
    <t>solar resource in Nampula region (near Antonio Enes) -- Mozambique</t>
  </si>
  <si>
    <t>en_spv_MOZ_006</t>
  </si>
  <si>
    <t>solar resource in Cabo Delgado region (near Nampula) -- Mozambique</t>
  </si>
  <si>
    <t>en_spv_MOZ_007</t>
  </si>
  <si>
    <t>solar resource in Sofala region (near Tete) -- Mozambique</t>
  </si>
  <si>
    <t>en_spv_MOZ_008</t>
  </si>
  <si>
    <t>solar resource in Sofala region (near Beira) -- Mozambique</t>
  </si>
  <si>
    <t>en_spv_MOZ_009</t>
  </si>
  <si>
    <t>solar resource in Zambezia region (near Quelimane) -- Mozambique</t>
  </si>
  <si>
    <t>en_spv_MOZ_010</t>
  </si>
  <si>
    <t>solar resource in Tete region (near Tete) -- Mozambique</t>
  </si>
  <si>
    <t>en_spv_MRT_001</t>
  </si>
  <si>
    <t>solar resource in Inchiri region (near Nouadhibou) -- Mauritania</t>
  </si>
  <si>
    <t>en_spv_MRT_002</t>
  </si>
  <si>
    <t>solar resource in Trarza region (near Dar Naim) -- Mauritania</t>
  </si>
  <si>
    <t>en_spv_MRT_003</t>
  </si>
  <si>
    <t>solar resource in Adrar region (near Dar Naim) -- Mauritania</t>
  </si>
  <si>
    <t>en_spv_MRT_004</t>
  </si>
  <si>
    <t>solar resource in Assaba region (near Dar Naim) -- Mauritania</t>
  </si>
  <si>
    <t>en_spv_MRT_005</t>
  </si>
  <si>
    <t>solar resource in Hodh El Gharbi region (near Dar Naim) -- Mauritania</t>
  </si>
  <si>
    <t>en_spv_MRT_006</t>
  </si>
  <si>
    <t>solar resource in Hodh Ech Chargui region (near Dar Naim) -- Mauritania</t>
  </si>
  <si>
    <t>en_spv_MRT_007</t>
  </si>
  <si>
    <t>en_spv_MRT_008</t>
  </si>
  <si>
    <t>solar resource in Tiris Zemmour region (near Nouadhibou) -- Mauritania</t>
  </si>
  <si>
    <t>en_spv_MRT_009</t>
  </si>
  <si>
    <t>en_spv_MRT_010</t>
  </si>
  <si>
    <t>en_spv_MRT_011</t>
  </si>
  <si>
    <t>en_spv_MWI_001</t>
  </si>
  <si>
    <t>solar resource in Chitipa region (near Mzuzu) -- Malawi</t>
  </si>
  <si>
    <t>en_spv_MWI_002</t>
  </si>
  <si>
    <t>solar resource in Eastern region (near Mzuzu) -- Malawi</t>
  </si>
  <si>
    <t>en_spv_MWI_003</t>
  </si>
  <si>
    <t>solar resource in Chikwawa region (near Blantyre) -- Malawi</t>
  </si>
  <si>
    <t>en_spv_MWI_004</t>
  </si>
  <si>
    <t>solar resource in Machinga region (near Blantyre) -- Malawi</t>
  </si>
  <si>
    <t>en_spv_MWI_005</t>
  </si>
  <si>
    <t>solar resource in Lilongwe region (near Lilongwe) -- Malawi</t>
  </si>
  <si>
    <t>en_spv_MYS_001</t>
  </si>
  <si>
    <t>solar resource in Perak region (near Seberang Jaya) -- Malaysia</t>
  </si>
  <si>
    <t>en_spv_MYS_002</t>
  </si>
  <si>
    <t>solar resource in Sarawak region (near Kuching) -- Malaysia</t>
  </si>
  <si>
    <t>en_spv_MYS_003</t>
  </si>
  <si>
    <t>solar resource in Sarawak region (near Kota Kinabalu) -- Malaysia</t>
  </si>
  <si>
    <t>en_spv_MYS_004</t>
  </si>
  <si>
    <t>en_spv_MYS_005</t>
  </si>
  <si>
    <t>en_spv_MYS_006</t>
  </si>
  <si>
    <t>solar resource in Sabah region (near Sandakan) -- Malaysia</t>
  </si>
  <si>
    <t>en_spv_MYS_007</t>
  </si>
  <si>
    <t>solar resource in Johor region (near Melaka) -- Malaysia</t>
  </si>
  <si>
    <t>en_spv_MYS_008</t>
  </si>
  <si>
    <t>solar resource in Kelantan region (near Ipoh) -- Malaysia</t>
  </si>
  <si>
    <t>en_spv_NAM_001</t>
  </si>
  <si>
    <t>solar resource in North-West region (near Rundu) -- Namibia</t>
  </si>
  <si>
    <t>en_spv_NAM_002</t>
  </si>
  <si>
    <t>solar resource in Kavango region (near Tsumeb) -- Namibia</t>
  </si>
  <si>
    <t>en_spv_NAM_003</t>
  </si>
  <si>
    <t>solar resource in Otjozondjupa region (near Rundu) -- Namibia</t>
  </si>
  <si>
    <t>en_spv_NAM_004</t>
  </si>
  <si>
    <t>solar resource in Hardap region (near Rehoboth) -- Namibia</t>
  </si>
  <si>
    <t>en_spv_NAM_005</t>
  </si>
  <si>
    <t>solar resource in Karas region (near Rehoboth) -- Namibia</t>
  </si>
  <si>
    <t>en_spv_NAM_006</t>
  </si>
  <si>
    <t>solar resource in Karas region (near Walvisbaai) -- Namibia</t>
  </si>
  <si>
    <t>en_spv_NAM_007</t>
  </si>
  <si>
    <t>en_spv_NAM_008</t>
  </si>
  <si>
    <t>solar resource in Kunene region (near Swakopmund) -- Namibia</t>
  </si>
  <si>
    <t>en_spv_NAM_009</t>
  </si>
  <si>
    <t>solar resource in Otjozondjupa region (near Windhoek) -- Namibia</t>
  </si>
  <si>
    <t>en_spv_NAM_010</t>
  </si>
  <si>
    <t>solar resource in Omusati region (near Oshakati) -- Namibia</t>
  </si>
  <si>
    <t>en_spv_NCL_001</t>
  </si>
  <si>
    <t>solar resource in North region (near Dumbea) -- New Caledonia</t>
  </si>
  <si>
    <t>en_spv_NCL_002</t>
  </si>
  <si>
    <t>solar resource in Loyalty Islands region (near Mont-Dore) -- New Caledonia</t>
  </si>
  <si>
    <t>en_spv_NCL_003</t>
  </si>
  <si>
    <t>solar resource in South region (near Dumbea) -- New Caledonia</t>
  </si>
  <si>
    <t>en_spv_NER_001</t>
  </si>
  <si>
    <t>solar resource in Agadez region (near Agadez) -- Niger</t>
  </si>
  <si>
    <t>en_spv_NER_002</t>
  </si>
  <si>
    <t>en_spv_NER_003</t>
  </si>
  <si>
    <t>solar resource in Diffa region (near Zinder) -- Niger</t>
  </si>
  <si>
    <t>en_spv_NER_004</t>
  </si>
  <si>
    <t>solar resource in Diffa region (near Agadez) -- Niger</t>
  </si>
  <si>
    <t>en_spv_NER_005</t>
  </si>
  <si>
    <t>solar resource in Dosso region (near Niamey) -- Niger</t>
  </si>
  <si>
    <t>en_spv_NER_006</t>
  </si>
  <si>
    <t>solar resource in Tillaberi region (near Niamey) -- Niger</t>
  </si>
  <si>
    <t>en_spv_NER_007</t>
  </si>
  <si>
    <t>en_spv_NER_008</t>
  </si>
  <si>
    <t>solar resource in Tahoua region (near Tahoua) -- Niger</t>
  </si>
  <si>
    <t>en_spv_NER_009</t>
  </si>
  <si>
    <t>en_spv_NER_010</t>
  </si>
  <si>
    <t>solar resource in Zinder region (near Zinder) -- Niger</t>
  </si>
  <si>
    <t>en_spv_NER_011</t>
  </si>
  <si>
    <t>en_spv_NER_012</t>
  </si>
  <si>
    <t>solar resource in Zinder region (near Agadez) -- Niger</t>
  </si>
  <si>
    <t>en_spv_NGA_001</t>
  </si>
  <si>
    <t>solar resource in Osun State region (near Ibadan) -- Nigeria</t>
  </si>
  <si>
    <t>en_spv_NGA_002</t>
  </si>
  <si>
    <t>solar resource in Delta State region (near Owerri) -- Nigeria</t>
  </si>
  <si>
    <t>en_spv_NGA_003</t>
  </si>
  <si>
    <t>solar resource in Enugu State region (near Awka) -- Nigeria</t>
  </si>
  <si>
    <t>en_spv_NGA_004</t>
  </si>
  <si>
    <t>solar resource in Adamawa State region (near Jalingo) -- Nigeria</t>
  </si>
  <si>
    <t>en_spv_NGA_005</t>
  </si>
  <si>
    <t>solar resource in Borno State region (near Maiduguri) -- Nigeria</t>
  </si>
  <si>
    <t>en_spv_NGA_006</t>
  </si>
  <si>
    <t>solar resource in Taraba State region (near Jalingo) -- Nigeria</t>
  </si>
  <si>
    <t>en_spv_NGA_007</t>
  </si>
  <si>
    <t>solar resource in Benue State region (near Abuja) -- Nigeria</t>
  </si>
  <si>
    <t>en_spv_NGA_008</t>
  </si>
  <si>
    <t>solar resource in Plateau State region (near Jos) -- Nigeria</t>
  </si>
  <si>
    <t>en_spv_NGA_009</t>
  </si>
  <si>
    <t>solar resource in Jigawa State region (near Bauchi) -- Nigeria</t>
  </si>
  <si>
    <t>en_spv_NGA_010</t>
  </si>
  <si>
    <t>solar resource in Sokoto State region (near Kaduna) -- Nigeria</t>
  </si>
  <si>
    <t>en_spv_NGA_011</t>
  </si>
  <si>
    <t>solar resource in Niger State region (near Kaduna) -- Nigeria</t>
  </si>
  <si>
    <t>en_spv_NIC_001</t>
  </si>
  <si>
    <t>solar resource in Boaco region (near Boaco) -- Nicaragua</t>
  </si>
  <si>
    <t>en_spv_NIC_002</t>
  </si>
  <si>
    <t>solar resource in South Caribbean Coast region (near Nueva Guinea) -- Nicaragua</t>
  </si>
  <si>
    <t>en_spv_NIC_003</t>
  </si>
  <si>
    <t>solar resource in Jinotega region (near Wiwili de Jinotega) -- Nicaragua</t>
  </si>
  <si>
    <t>en_spv_NIC_004</t>
  </si>
  <si>
    <t>solar resource in North Caribbean Coast region (near Waspan) -- Nicaragua</t>
  </si>
  <si>
    <t>en_spv_NIC_005</t>
  </si>
  <si>
    <t>solar resource in South Caribbean Coast region (near Mulukuku) -- Nicaragua</t>
  </si>
  <si>
    <t>en_spv_NLD_001</t>
  </si>
  <si>
    <t>solar resource in Drenthe region (near Hoogeveen) -- Netherlands</t>
  </si>
  <si>
    <t>en_spv_NLD_002</t>
  </si>
  <si>
    <t>solar resource in North Brabant region (near Etten-Leur) -- Netherlands</t>
  </si>
  <si>
    <t>en_spv_NLD_003</t>
  </si>
  <si>
    <t>solar resource in Limburg region (near Venray) -- Netherlands</t>
  </si>
  <si>
    <t>en_spv_NOR_001</t>
  </si>
  <si>
    <t>solar resource in near Stavanger -- Norway</t>
  </si>
  <si>
    <t>en_spv_NOR_002</t>
  </si>
  <si>
    <t>solar resource in Ostfold region (near Halden) -- Norway</t>
  </si>
  <si>
    <t>en_spv_NOR_003</t>
  </si>
  <si>
    <t>solar resource in Vestfold region (near Skien) -- Norway</t>
  </si>
  <si>
    <t>en_spv_NOR_004</t>
  </si>
  <si>
    <t>solar resource in Aust-Agder region (near Kristiansand) -- Norway</t>
  </si>
  <si>
    <t>en_spv_NPL_001</t>
  </si>
  <si>
    <t>solar resource in Bhojpur region (near Itahari) -- Nepal</t>
  </si>
  <si>
    <t>en_spv_NPL_002</t>
  </si>
  <si>
    <t>solar resource in Uttar Pradesh region (near Tilakpur) -- Nepal</t>
  </si>
  <si>
    <t>en_spv_NPL_003</t>
  </si>
  <si>
    <t>solar resource in Janakpur Zone region (near Birganj) -- Nepal</t>
  </si>
  <si>
    <t>en_spv_NPL_004</t>
  </si>
  <si>
    <t>solar resource in Lumbini Zone region (near Bhairahawa) -- Nepal</t>
  </si>
  <si>
    <t>en_spv_NZL_001</t>
  </si>
  <si>
    <t>solar resource in Hawke's Bay region (near Palmerston North) -- New Zealand</t>
  </si>
  <si>
    <t>en_spv_NZL_002</t>
  </si>
  <si>
    <t>solar resource in Auckland region (near Auckland) -- New Zealand</t>
  </si>
  <si>
    <t>en_spv_NZL_003</t>
  </si>
  <si>
    <t>solar resource in Manawatū-Whanganui region (near Palmerston North) -- New Zealand</t>
  </si>
  <si>
    <t>en_spv_NZL_004</t>
  </si>
  <si>
    <t>solar resource in Otago region (near Christchurch) -- New Zealand</t>
  </si>
  <si>
    <t>en_spv_NZL_005</t>
  </si>
  <si>
    <t>solar resource in Canterbury region (near Christchurch) -- New Zealand</t>
  </si>
  <si>
    <t>en_spv_NZL_006</t>
  </si>
  <si>
    <t>solar resource in West Coast region (near Christchurch) -- New Zealand</t>
  </si>
  <si>
    <t>en_spv_OMN_001</t>
  </si>
  <si>
    <t>solar resource in Ad Dakhiliyah region (near Bawshar) -- Oman</t>
  </si>
  <si>
    <t>en_spv_OMN_002</t>
  </si>
  <si>
    <t>solar resource in Al Wusta region (near Salalah) -- Oman</t>
  </si>
  <si>
    <t>en_spv_OMN_003</t>
  </si>
  <si>
    <t>en_spv_OMN_004</t>
  </si>
  <si>
    <t>solar resource in Ad Dhahirah region (near Bawshar) -- Oman</t>
  </si>
  <si>
    <t>en_spv_OMN_005</t>
  </si>
  <si>
    <t>solar resource in Dhofar region (near Salalah) -- Oman</t>
  </si>
  <si>
    <t>en_spv_OMN_006</t>
  </si>
  <si>
    <t>en_spv_OMN_007</t>
  </si>
  <si>
    <t>en_spv_PAK_001</t>
  </si>
  <si>
    <t>solar resource in Punjab region (near Sargodha) -- Pakistan</t>
  </si>
  <si>
    <t>en_spv_PAK_002</t>
  </si>
  <si>
    <t>solar resource in Punjab region (near Bahawalpur) -- Pakistan</t>
  </si>
  <si>
    <t>en_spv_PAK_003</t>
  </si>
  <si>
    <t>solar resource in Punjab region (near Shekhupura) -- Pakistan</t>
  </si>
  <si>
    <t>en_spv_PAK_004</t>
  </si>
  <si>
    <t>solar resource in Balochistan region (near Karachi) -- Pakistan</t>
  </si>
  <si>
    <t>en_spv_PAK_005</t>
  </si>
  <si>
    <t>solar resource in Balochistan region (near Quetta) -- Pakistan</t>
  </si>
  <si>
    <t>en_spv_PAK_006</t>
  </si>
  <si>
    <t>solar resource in Punjab region (near Jhang City) -- Pakistan</t>
  </si>
  <si>
    <t>en_spv_PAK_007</t>
  </si>
  <si>
    <t>solar resource in Sindh region (near Khipro) -- Pakistan</t>
  </si>
  <si>
    <t>en_spv_PAK_008</t>
  </si>
  <si>
    <t>en_spv_PAK_009</t>
  </si>
  <si>
    <t>en_spv_PAK_010</t>
  </si>
  <si>
    <t>solar resource in Sindh region (near Sukkur) -- Pakistan</t>
  </si>
  <si>
    <t>en_spv_PAN_001</t>
  </si>
  <si>
    <t>solar resource in Darien region (near Tocumen) -- Panama</t>
  </si>
  <si>
    <t>en_spv_PAN_002</t>
  </si>
  <si>
    <t>solar resource in Veraguas region (near David) -- Panama</t>
  </si>
  <si>
    <t>en_spv_PAN_003</t>
  </si>
  <si>
    <t>solar resource in Panama region (near La Chorrera) -- Panama</t>
  </si>
  <si>
    <t>en_spv_PAN_004</t>
  </si>
  <si>
    <t>solar resource in Ngobe-Bugle Comarca region (near David) -- Panama</t>
  </si>
  <si>
    <t>en_spv_PER_001</t>
  </si>
  <si>
    <t>solar resource in Loreto region (near Pucallpa) -- Peru</t>
  </si>
  <si>
    <t>en_spv_PER_002</t>
  </si>
  <si>
    <t>solar resource in Loreto region (near Iquitos) -- Peru</t>
  </si>
  <si>
    <t>en_spv_PER_003</t>
  </si>
  <si>
    <t>en_spv_PER_004</t>
  </si>
  <si>
    <t>en_spv_PER_005</t>
  </si>
  <si>
    <t>en_spv_PER_006</t>
  </si>
  <si>
    <t>en_spv_PER_007</t>
  </si>
  <si>
    <t>solar resource in Piura region (near Piura) -- Peru</t>
  </si>
  <si>
    <t>en_spv_PER_008</t>
  </si>
  <si>
    <t>solar resource in Arequipa region (near Arequipa) -- Peru</t>
  </si>
  <si>
    <t>en_spv_PER_009</t>
  </si>
  <si>
    <t>solar resource in Ucayali region (near Pucallpa) -- Peru</t>
  </si>
  <si>
    <t>en_spv_PER_010</t>
  </si>
  <si>
    <t>solar resource in Madre de Dios region (near Cusco) -- Peru</t>
  </si>
  <si>
    <t>en_spv_PER_011</t>
  </si>
  <si>
    <t>solar resource in Ucayali region (near Cusco) -- Peru</t>
  </si>
  <si>
    <t>en_spv_PHL_001</t>
  </si>
  <si>
    <t>solar resource in near Bogo -- Philippines</t>
  </si>
  <si>
    <t>en_spv_PHL_002</t>
  </si>
  <si>
    <t>solar resource in near Bongao -- Philippines</t>
  </si>
  <si>
    <t>en_spv_PHL_003</t>
  </si>
  <si>
    <t>solar resource in Zamboanga Sibugay region (near Pagadian) -- Philippines</t>
  </si>
  <si>
    <t>en_spv_PHL_004</t>
  </si>
  <si>
    <t>solar resource in Bukidnon region (near Quezon) -- Philippines</t>
  </si>
  <si>
    <t>en_spv_PHL_005</t>
  </si>
  <si>
    <t>solar resource in Isabela region (near Roxas) -- Philippines</t>
  </si>
  <si>
    <t>en_spv_PHL_006</t>
  </si>
  <si>
    <t>solar resource in Palawan region (near Quezon) -- Philippines</t>
  </si>
  <si>
    <t>en_spv_PHL_007</t>
  </si>
  <si>
    <t>solar resource in near Coron -- Philippines</t>
  </si>
  <si>
    <t>en_spv_PHL_008</t>
  </si>
  <si>
    <t>solar resource in Tarlac region (near Concepcion) -- Philippines</t>
  </si>
  <si>
    <t>en_spv_PHL_009</t>
  </si>
  <si>
    <t>solar resource in near Aurora -- Philippines</t>
  </si>
  <si>
    <t>en_spv_PNG_001</t>
  </si>
  <si>
    <t>solar resource in Chimbu region (near Mount Hagen) -- Papua New Guinea</t>
  </si>
  <si>
    <t>en_spv_PNG_002</t>
  </si>
  <si>
    <t>solar resource in East Sepik region (near Mount Hagen) -- Papua New Guinea</t>
  </si>
  <si>
    <t>en_spv_PNG_003</t>
  </si>
  <si>
    <t>en_spv_PNG_004</t>
  </si>
  <si>
    <t>solar resource in Western region (near Mendi) -- Papua New Guinea</t>
  </si>
  <si>
    <t>en_spv_PNG_005</t>
  </si>
  <si>
    <t>solar resource in East New Britain region (near Kimbe) -- Papua New Guinea</t>
  </si>
  <si>
    <t>en_spv_PNG_006</t>
  </si>
  <si>
    <t>solar resource in Morobe region (near Lae) -- Papua New Guinea</t>
  </si>
  <si>
    <t>en_spv_PNG_007</t>
  </si>
  <si>
    <t>solar resource in Central region (near Port Moresby) -- Papua New Guinea</t>
  </si>
  <si>
    <t>en_spv_POL_001</t>
  </si>
  <si>
    <t>solar resource in Lower Silesian Voivodeship region (near Walbrzych) -- Poland</t>
  </si>
  <si>
    <t>en_spv_POL_002</t>
  </si>
  <si>
    <t>solar resource in Greater Poland Voivodeship region (near Gorzow Wielkopolski) -- Poland</t>
  </si>
  <si>
    <t>en_spv_POL_003</t>
  </si>
  <si>
    <t>solar resource in Warmian-Masurian Voivodeship region (near Olsztyn) -- Poland</t>
  </si>
  <si>
    <t>en_spv_POL_004</t>
  </si>
  <si>
    <t>solar resource in Podlaskie Voivodeship region (near Elk) -- Poland</t>
  </si>
  <si>
    <t>en_spv_POL_005</t>
  </si>
  <si>
    <t>solar resource in Podkarpackie Voivodeship region (near Jaroslaw) -- Poland</t>
  </si>
  <si>
    <t>en_spv_POL_006</t>
  </si>
  <si>
    <t>solar resource in Lesser Poland Voivodeship region (near Chrzanow) -- Poland</t>
  </si>
  <si>
    <t>en_spv_POL_007</t>
  </si>
  <si>
    <t>solar resource in Masovian Voivodeship region (near Pruszkow) -- Poland</t>
  </si>
  <si>
    <t>en_spv_PRI_001</t>
  </si>
  <si>
    <t>solar resource in Puerto Rico region (near Carolina) -- Puerto Rico</t>
  </si>
  <si>
    <t>en_spv_PRI_002</t>
  </si>
  <si>
    <t>solar resource in Puerto Rico region (near Arecibo) -- Puerto Rico</t>
  </si>
  <si>
    <t>en_spv_PRI_003</t>
  </si>
  <si>
    <t>solar resource in Puerto Rico region (near Bayamon) -- Puerto Rico</t>
  </si>
  <si>
    <t>en_spv_PRK_001</t>
  </si>
  <si>
    <t>solar resource in South Hwanghae region (near Nampo) -- Dem. People^s Rep. Korea</t>
  </si>
  <si>
    <t>en_spv_PRK_002</t>
  </si>
  <si>
    <t>solar resource in North Hwanghae region (near Sariwon) -- Dem. People^s Rep. Korea</t>
  </si>
  <si>
    <t>en_spv_PRK_003</t>
  </si>
  <si>
    <t>solar resource in North Pyongan region (near Kaech'on) -- Dem. People^s Rep. Korea</t>
  </si>
  <si>
    <t>en_spv_PRK_004</t>
  </si>
  <si>
    <t>solar resource in South Hamgyong region (near Hamhung) -- Dem. People^s Rep. Korea</t>
  </si>
  <si>
    <t>en_spv_PRK_005</t>
  </si>
  <si>
    <t>solar resource in North Hamgyong region (near Ch'ongjin) -- Dem. People^s Rep. Korea</t>
  </si>
  <si>
    <t>en_spv_PRT_001</t>
  </si>
  <si>
    <t>solar resource in Viseu region (near Viseu) -- Portugal</t>
  </si>
  <si>
    <t>en_spv_PRT_002</t>
  </si>
  <si>
    <t>solar resource in near Ponta Delgada -- Portugal</t>
  </si>
  <si>
    <t>en_spv_PRT_003</t>
  </si>
  <si>
    <t>solar resource in Beja region (near Beja) -- Portugal</t>
  </si>
  <si>
    <t>en_spv_PRT_004</t>
  </si>
  <si>
    <t>solar resource in Caceres region (near Castelo Branco) -- Portugal</t>
  </si>
  <si>
    <t>en_spv_PRT_005</t>
  </si>
  <si>
    <t>solar resource in Santarem region (near Benavente) -- Portugal</t>
  </si>
  <si>
    <t>en_spv_PRY_001</t>
  </si>
  <si>
    <t>solar resource in Boqueron region (near Horqueta) -- Paraguay</t>
  </si>
  <si>
    <t>en_spv_PRY_002</t>
  </si>
  <si>
    <t>en_spv_PRY_003</t>
  </si>
  <si>
    <t>solar resource in Paraguari region (near Ita) -- Paraguay</t>
  </si>
  <si>
    <t>en_spv_PRY_004</t>
  </si>
  <si>
    <t>solar resource in Presidente Hayes region (near Villa Hayes) -- Paraguay</t>
  </si>
  <si>
    <t>en_spv_PRY_005</t>
  </si>
  <si>
    <t>solar resource in Alto Paraguay region (near Horqueta) -- Paraguay</t>
  </si>
  <si>
    <t>en_spv_PRY_006</t>
  </si>
  <si>
    <t>en_spv_PRY_007</t>
  </si>
  <si>
    <t>solar resource in Itapua region (near Presidente Franco) -- Paraguay</t>
  </si>
  <si>
    <t>en_spv_PRY_008</t>
  </si>
  <si>
    <t>solar resource in Concepcion region (near Pedro Juan Caballero) -- Paraguay</t>
  </si>
  <si>
    <t>en_spv_QAT_001</t>
  </si>
  <si>
    <t>solar resource in Al Rayyan region (near Ar Rayyan) -- Qatar</t>
  </si>
  <si>
    <t>en_spv_QAT_002</t>
  </si>
  <si>
    <t>en_spv_QAT_003</t>
  </si>
  <si>
    <t>solar resource in Al Khor region (near Laqtah) -- Qatar</t>
  </si>
  <si>
    <t>en_spv_ROU_001</t>
  </si>
  <si>
    <t>solar resource in Ialomița region (near Slobozia) -- Romania</t>
  </si>
  <si>
    <t>en_spv_ROU_002</t>
  </si>
  <si>
    <t>solar resource in Vaslui region (near Vaslui) -- Romania</t>
  </si>
  <si>
    <t>en_spv_ROU_003</t>
  </si>
  <si>
    <t>solar resource in Teleorman region (near Alexandria) -- Romania</t>
  </si>
  <si>
    <t>en_spv_ROU_004</t>
  </si>
  <si>
    <t>solar resource in Harghita region (near Miercurea-Ciuc) -- Romania</t>
  </si>
  <si>
    <t>en_spv_ROU_005</t>
  </si>
  <si>
    <t>solar resource in Timiș region (near Timisoara) -- Romania</t>
  </si>
  <si>
    <t>en_spv_ROU_006</t>
  </si>
  <si>
    <t>solar resource in Cluj region (near Cluj-Napoca) -- Romania</t>
  </si>
  <si>
    <t>en_spv_RUS_001</t>
  </si>
  <si>
    <t>solar resource in Heilongjiang region (near Khabarovsk) -- Russia</t>
  </si>
  <si>
    <t>en_spv_RUS_002</t>
  </si>
  <si>
    <t>solar resource in Khabarovsk Krai region (near Komsomol'sk-na-Amure) -- Russia</t>
  </si>
  <si>
    <t>en_spv_RUS_003</t>
  </si>
  <si>
    <t>solar resource in Khabarovsk Krai region (near Yakutsk) -- Russia</t>
  </si>
  <si>
    <t>en_spv_RUS_004</t>
  </si>
  <si>
    <t>en_spv_RUS_005</t>
  </si>
  <si>
    <t>solar resource in Republic of Buryatia region (near Chita) -- Russia</t>
  </si>
  <si>
    <t>en_spv_RUS_006</t>
  </si>
  <si>
    <t>solar resource in Amur region (near Blagoveshchensk) -- Russia</t>
  </si>
  <si>
    <t>en_spv_RUS_007</t>
  </si>
  <si>
    <t>solar resource in Sakha Republic region (near Yakutsk) -- Russia</t>
  </si>
  <si>
    <t>en_spv_RUS_008</t>
  </si>
  <si>
    <t>solar resource in Kirov region (near Yoshkar-Ola) -- Russia</t>
  </si>
  <si>
    <t>en_spv_RUS_009</t>
  </si>
  <si>
    <t>solar resource in Novgorod region (near Velikiy Novgorod) -- Russia</t>
  </si>
  <si>
    <t>en_spv_RUS_010</t>
  </si>
  <si>
    <t>solar resource in Tambov region (near Lipetsk) -- Russia</t>
  </si>
  <si>
    <t>en_spv_RUS_011</t>
  </si>
  <si>
    <t>solar resource in Moscow region (near Obninsk) -- Russia</t>
  </si>
  <si>
    <t>en_spv_RUS_012</t>
  </si>
  <si>
    <t>solar resource in Krasnoyarsk Krai region (near Krasnoyarsk) -- Russia</t>
  </si>
  <si>
    <t>en_spv_RUS_013</t>
  </si>
  <si>
    <t>solar resource in Krasnoyarsk Krai region (near Kemerovo) -- Russia</t>
  </si>
  <si>
    <t>en_spv_RUS_014</t>
  </si>
  <si>
    <t>solar resource in Krasnoyarsk Krai region (near Abakan) -- Russia</t>
  </si>
  <si>
    <t>en_spv_RUS_015</t>
  </si>
  <si>
    <t>solar resource in Novosibirsk region (near Novosibirsk) -- Russia</t>
  </si>
  <si>
    <t>en_spv_RUS_016</t>
  </si>
  <si>
    <t>solar resource in Irkutsk region (near Bratsk) -- Russia</t>
  </si>
  <si>
    <t>en_spv_RUS_017</t>
  </si>
  <si>
    <t>en_spv_RUS_018</t>
  </si>
  <si>
    <t>solar resource in Kamchatka Krai region (near Petropavlovsk-Kamchatskiy) -- Russia</t>
  </si>
  <si>
    <t>en_spv_RUS_019</t>
  </si>
  <si>
    <t>solar resource in Stavropol Krai region (near Stavropol) -- Russia</t>
  </si>
  <si>
    <t>en_spv_RUS_020</t>
  </si>
  <si>
    <t>solar resource in Tomsk region (near Tomsk) -- Russia</t>
  </si>
  <si>
    <t>en_spv_RUS_021</t>
  </si>
  <si>
    <t>solar resource in Omsk region (near Omsk) -- Russia</t>
  </si>
  <si>
    <t>en_spv_RUS_022</t>
  </si>
  <si>
    <t>solar resource in Bashkortostan region (near Sterlitamak) -- Russia</t>
  </si>
  <si>
    <t>en_spv_RUS_023</t>
  </si>
  <si>
    <t>solar resource in Sverdlovsk region (near Nizhniy Tagil) -- Russia</t>
  </si>
  <si>
    <t>en_spv_RUS_024</t>
  </si>
  <si>
    <t>solar resource in Tyumen region (near Tyumen) -- Russia</t>
  </si>
  <si>
    <t>en_spv_RWA_001</t>
  </si>
  <si>
    <t>solar resource in Eastern region (near Kabarore) -- Rwanda</t>
  </si>
  <si>
    <t>en_spv_RWA_002</t>
  </si>
  <si>
    <t>solar resource in Western region (near Muhanga) -- Rwanda</t>
  </si>
  <si>
    <t>en_spv_SAU_001</t>
  </si>
  <si>
    <t>solar resource in Makkah region (near Mecca) -- Saudi Arabia</t>
  </si>
  <si>
    <t>en_spv_SAU_002</t>
  </si>
  <si>
    <t>solar resource in Al Madinah region (near Medina) -- Saudi Arabia</t>
  </si>
  <si>
    <t>en_spv_SAU_003</t>
  </si>
  <si>
    <t>solar resource in Tabuk region (near Tabuk) -- Saudi Arabia</t>
  </si>
  <si>
    <t>en_spv_SAU_004</t>
  </si>
  <si>
    <t>solar resource in Al-Jowf region (near Tabuk) -- Saudi Arabia</t>
  </si>
  <si>
    <t>en_spv_SAU_005</t>
  </si>
  <si>
    <t>solar resource in Northern Borders region (near Tabuk) -- Saudi Arabia</t>
  </si>
  <si>
    <t>en_spv_SAU_006</t>
  </si>
  <si>
    <t>en_spv_SAU_007</t>
  </si>
  <si>
    <t>solar resource in Al-Qassim region (near Riyadh) -- Saudi Arabia</t>
  </si>
  <si>
    <t>en_spv_SAU_008</t>
  </si>
  <si>
    <t>solar resource in Eastern region (near Riyadh) -- Saudi Arabia</t>
  </si>
  <si>
    <t>en_spv_SAU_009</t>
  </si>
  <si>
    <t>solar resource in Riyadh region (near Riyadh) -- Saudi Arabia</t>
  </si>
  <si>
    <t>en_spv_SAU_010</t>
  </si>
  <si>
    <t>solar resource in Riyadh region (near At Ta'if) -- Saudi Arabia</t>
  </si>
  <si>
    <t>en_spv_SAU_011</t>
  </si>
  <si>
    <t>solar resource in 'Asir region (near At Ta'if) -- Saudi Arabia</t>
  </si>
  <si>
    <t>en_spv_SAU_012</t>
  </si>
  <si>
    <t>en_spv_SAU_013</t>
  </si>
  <si>
    <t>solar resource in Eastern region (near Al Hufuf) -- Saudi Arabia</t>
  </si>
  <si>
    <t>en_spv_SAU_014</t>
  </si>
  <si>
    <t>en_spv_SAU_015</t>
  </si>
  <si>
    <t>en_spv_SDN_001</t>
  </si>
  <si>
    <t>solar resource in South Darfur region (near El Geneina) -- Sudan</t>
  </si>
  <si>
    <t>en_spv_SDN_002</t>
  </si>
  <si>
    <t>solar resource in Central Darfur region (near El Geneina) -- Sudan</t>
  </si>
  <si>
    <t>en_spv_SDN_003</t>
  </si>
  <si>
    <t>solar resource in North Darfur region (near El Geneina) -- Sudan</t>
  </si>
  <si>
    <t>en_spv_SDN_004</t>
  </si>
  <si>
    <t>en_spv_SDN_005</t>
  </si>
  <si>
    <t>solar resource in South Kordofan region (near Khartoum) -- Sudan</t>
  </si>
  <si>
    <t>en_spv_SDN_006</t>
  </si>
  <si>
    <t>solar resource in Al Qadarif region (near Kassala) -- Sudan</t>
  </si>
  <si>
    <t>en_spv_SDN_007</t>
  </si>
  <si>
    <t>solar resource in South Kordofan region (near El Geneina) -- Sudan</t>
  </si>
  <si>
    <t>en_spv_SDN_008</t>
  </si>
  <si>
    <t>solar resource in North Kordofan region (near Omdurman) -- Sudan</t>
  </si>
  <si>
    <t>en_spv_SDN_009</t>
  </si>
  <si>
    <t>en_spv_SDN_010</t>
  </si>
  <si>
    <t>solar resource in Northern region (near Omdurman) -- Sudan</t>
  </si>
  <si>
    <t>en_spv_SDN_011</t>
  </si>
  <si>
    <t>en_spv_SDN_012</t>
  </si>
  <si>
    <t>solar resource in River Nile region (near Khartoum North) -- Sudan</t>
  </si>
  <si>
    <t>en_spv_SDN_013</t>
  </si>
  <si>
    <t>solar resource in Red Sea region (near Port Sudan) -- Sudan</t>
  </si>
  <si>
    <t>en_spv_SDN_014</t>
  </si>
  <si>
    <t>en_spv_SEN_001</t>
  </si>
  <si>
    <t>solar resource in Louga region (near Saint-Louis) -- Senegal</t>
  </si>
  <si>
    <t>en_spv_SEN_002</t>
  </si>
  <si>
    <t>solar resource in Matam region (near Touba) -- Senegal</t>
  </si>
  <si>
    <t>en_spv_SEN_003</t>
  </si>
  <si>
    <t>en_spv_SEN_004</t>
  </si>
  <si>
    <t>solar resource in Tambacounda region (near Touba) -- Senegal</t>
  </si>
  <si>
    <t>en_spv_SEN_005</t>
  </si>
  <si>
    <t>solar resource in Kaolack region (near Kaolack) -- Senegal</t>
  </si>
  <si>
    <t>en_spv_SEN_006</t>
  </si>
  <si>
    <t>solar resource in Tambacounda region (near Kaolack) -- Senegal</t>
  </si>
  <si>
    <t>en_spv_SGP_001</t>
  </si>
  <si>
    <t>solar resource in South East Community Development Council region (near Singapore) -- Singapore</t>
  </si>
  <si>
    <t>en_spv_SGP_002</t>
  </si>
  <si>
    <t>en_spv_SGP_003</t>
  </si>
  <si>
    <t>solar resource in North West region (near Singapore) -- Singapore</t>
  </si>
  <si>
    <t>en_spv_SGP_004</t>
  </si>
  <si>
    <t>solar resource in South West Community Development Council region (near Singapore) -- Singapore</t>
  </si>
  <si>
    <t>en_spv_SLE_001</t>
  </si>
  <si>
    <t>solar resource in Northern region (near Freetown) -- Sierra Leone</t>
  </si>
  <si>
    <t>en_spv_SLE_002</t>
  </si>
  <si>
    <t>solar resource in Northern region (near Koidu) -- Sierra Leone</t>
  </si>
  <si>
    <t>en_spv_SLE_003</t>
  </si>
  <si>
    <t>solar resource in Southern region (near Bo) -- Sierra Leone</t>
  </si>
  <si>
    <t>en_spv_SLE_004</t>
  </si>
  <si>
    <t>solar resource in Eastern region (near Kenema) -- Sierra Leone</t>
  </si>
  <si>
    <t>en_spv_SLV_001</t>
  </si>
  <si>
    <t>solar resource in San Miguel region (near San Miguel) -- El Salvador</t>
  </si>
  <si>
    <t>en_spv_SLV_002</t>
  </si>
  <si>
    <t>solar resource in La Libertad region (near Colon) -- El Salvador</t>
  </si>
  <si>
    <t>en_spv_SOM_001</t>
  </si>
  <si>
    <t>solar resource in Nugal region (near Garoowe) -- Somalia</t>
  </si>
  <si>
    <t>en_spv_SOM_002</t>
  </si>
  <si>
    <t>solar resource in Galguduud region (near Cadaado) -- Somalia</t>
  </si>
  <si>
    <t>en_spv_SOM_003</t>
  </si>
  <si>
    <t>solar resource in Somaliland region (near Hargeysa) -- Somalia</t>
  </si>
  <si>
    <t>en_spv_SOM_004</t>
  </si>
  <si>
    <t>solar resource in Somaliland region (near Burco) -- Somalia</t>
  </si>
  <si>
    <t>en_spv_SOM_005</t>
  </si>
  <si>
    <t>solar resource in Somaliland region (near Qardho) -- Somalia</t>
  </si>
  <si>
    <t>en_spv_SOM_006</t>
  </si>
  <si>
    <t>solar resource in Gedo region (near Baardheere) -- Somalia</t>
  </si>
  <si>
    <t>en_spv_SOM_007</t>
  </si>
  <si>
    <t>solar resource in Middle Juba region (near Baardheere) -- Somalia</t>
  </si>
  <si>
    <t>en_spv_SOM_008</t>
  </si>
  <si>
    <t>en_spv_SOM_009</t>
  </si>
  <si>
    <t>solar resource in Bay region (near Baidoa) -- Somalia</t>
  </si>
  <si>
    <t>en_spv_SRB_001</t>
  </si>
  <si>
    <t>solar resource in South Bačka region (near Zrenjanin) -- Serbia</t>
  </si>
  <si>
    <t>en_spv_SRB_002</t>
  </si>
  <si>
    <t>solar resource in Mačva region (near Sabac) -- Serbia</t>
  </si>
  <si>
    <t>en_spv_SRB_003</t>
  </si>
  <si>
    <t>solar resource in Braničevo region (near Pozarevac) -- Serbia</t>
  </si>
  <si>
    <t>en_spv_SRB_004</t>
  </si>
  <si>
    <t>solar resource in Raška region (near Kraljevo) -- Serbia</t>
  </si>
  <si>
    <t>en_spv_SRB_005</t>
  </si>
  <si>
    <t>solar resource in Jablanica region (near Prokuplje) -- Serbia</t>
  </si>
  <si>
    <t>en_spv_SRB_006</t>
  </si>
  <si>
    <t>solar resource in Bor region (near Bor) -- Serbia</t>
  </si>
  <si>
    <t>en_spv_SSD_001</t>
  </si>
  <si>
    <t>solar resource in Western Bahr el Ghazal region (near Wau) -- South Sudan</t>
  </si>
  <si>
    <t>en_spv_SSD_002</t>
  </si>
  <si>
    <t>solar resource in Jonglei region (near Bor) -- South Sudan</t>
  </si>
  <si>
    <t>en_spv_SSD_003</t>
  </si>
  <si>
    <t>solar resource in Eastern Equatoria region (near Magwe) -- South Sudan</t>
  </si>
  <si>
    <t>en_spv_SSD_004</t>
  </si>
  <si>
    <t>solar resource in Eastern Equatoria region (near Juba) -- South Sudan</t>
  </si>
  <si>
    <t>en_spv_SSD_005</t>
  </si>
  <si>
    <t>solar resource in Jonglei region (near Malakal) -- South Sudan</t>
  </si>
  <si>
    <t>en_spv_SSD_006</t>
  </si>
  <si>
    <t>solar resource in Upper Nile region (near Malakal) -- South Sudan</t>
  </si>
  <si>
    <t>en_spv_SSD_007</t>
  </si>
  <si>
    <t>solar resource in Northern Bahr el Ghazal region (near Wau) -- South Sudan</t>
  </si>
  <si>
    <t>en_spv_SSD_008</t>
  </si>
  <si>
    <t>solar resource in Western Equatoria region (near Maridi) -- South Sudan</t>
  </si>
  <si>
    <t>en_spv_SSD_009</t>
  </si>
  <si>
    <t>solar resource in Unity region (near Bor) -- South Sudan</t>
  </si>
  <si>
    <t>en_spv_SUR_001</t>
  </si>
  <si>
    <t>solar resource in Sipaliwini region (near Cottica) -- Suriname</t>
  </si>
  <si>
    <t>en_spv_SUR_002</t>
  </si>
  <si>
    <t>solar resource in Mahaica-Berbice region (near Koewarasan) -- Suriname</t>
  </si>
  <si>
    <t>en_spv_SUR_003</t>
  </si>
  <si>
    <t>solar resource in Coronie region (near Koewarasan) -- Suriname</t>
  </si>
  <si>
    <t>en_spv_SVK_001</t>
  </si>
  <si>
    <t>solar resource in Košice region (near Kosice) -- Slovak Republic</t>
  </si>
  <si>
    <t>en_spv_SVK_002</t>
  </si>
  <si>
    <t>solar resource in Trnava region (near Trnava) -- Slovak Republic</t>
  </si>
  <si>
    <t>en_spv_SVK_003</t>
  </si>
  <si>
    <t>solar resource in Banska Bystrica region (near Zvolen) -- Slovak Republic</t>
  </si>
  <si>
    <t>en_spv_SVN_001</t>
  </si>
  <si>
    <t>solar resource in Krapina-Zagorje region (near Rogaska Slatina) -- Slovenia</t>
  </si>
  <si>
    <t>en_spv_SVN_002</t>
  </si>
  <si>
    <t>solar resource in Dobrova–Polhov Gradec region (near Ljubljana) -- Slovenia</t>
  </si>
  <si>
    <t>en_spv_SWE_001</t>
  </si>
  <si>
    <t>solar resource in Sodermanland region (near Eskilstuna) -- Sweden</t>
  </si>
  <si>
    <t>en_spv_SWE_002</t>
  </si>
  <si>
    <t>solar resource in Kalmar region (near Kalmar) -- Sweden</t>
  </si>
  <si>
    <t>en_spv_SWE_003</t>
  </si>
  <si>
    <t>solar resource in Vastra Gotaland region (near Lidkoping) -- Sweden</t>
  </si>
  <si>
    <t>en_spv_SWE_004</t>
  </si>
  <si>
    <t>solar resource in Skane region (near Angelholm) -- Sweden</t>
  </si>
  <si>
    <t>en_spv_SWE_005</t>
  </si>
  <si>
    <t>solar resource in Vastra Gotaland region (near Jonkoping) -- Sweden</t>
  </si>
  <si>
    <t>en_spv_SYR_001</t>
  </si>
  <si>
    <t>solar resource in Nineveh region (near Al Hasakah) -- Syrian Arab Republic</t>
  </si>
  <si>
    <t>en_spv_SYR_002</t>
  </si>
  <si>
    <t>solar resource in Idlib region (near Idlib) -- Syrian Arab Republic</t>
  </si>
  <si>
    <t>en_spv_SYR_003</t>
  </si>
  <si>
    <t>solar resource in Rif Dimashq region (near Duma) -- Syrian Arab Republic</t>
  </si>
  <si>
    <t>en_spv_SYR_004</t>
  </si>
  <si>
    <t>solar resource in Al-Hasakah region (near Al Hasakah) -- Syrian Arab Republic</t>
  </si>
  <si>
    <t>en_spv_SYR_005</t>
  </si>
  <si>
    <t>solar resource in Deir ez-Zor region (near Al Qurayya) -- Syrian Arab Republic</t>
  </si>
  <si>
    <t>en_spv_SYR_006</t>
  </si>
  <si>
    <t>solar resource in Homs region (near As Salamiyah) -- Syrian Arab Republic</t>
  </si>
  <si>
    <t>en_spv_TCD_001</t>
  </si>
  <si>
    <t>solar resource in Borkou region (near Faya) -- Chad</t>
  </si>
  <si>
    <t>en_spv_TCD_002</t>
  </si>
  <si>
    <t>solar resource in Ennedi region (near Faya) -- Chad</t>
  </si>
  <si>
    <t>en_spv_TCD_003</t>
  </si>
  <si>
    <t>solar resource in Tibesti region (near Faya) -- Chad</t>
  </si>
  <si>
    <t>en_spv_TCD_004</t>
  </si>
  <si>
    <t>solar resource in Kanem region (near Mao) -- Chad</t>
  </si>
  <si>
    <t>en_spv_TCD_005</t>
  </si>
  <si>
    <t>en_spv_TCD_006</t>
  </si>
  <si>
    <t>solar resource in Mandoul region (near Koumra) -- Chad</t>
  </si>
  <si>
    <t>en_spv_TCD_007</t>
  </si>
  <si>
    <t>solar resource in Mayo-Kebbi Est region (near Lere) -- Chad</t>
  </si>
  <si>
    <t>en_spv_TCD_008</t>
  </si>
  <si>
    <t>solar resource in Chari-Baguirmi region (near Deressia) -- Chad</t>
  </si>
  <si>
    <t>en_spv_TCD_009</t>
  </si>
  <si>
    <t>solar resource in Batha region (near Yao) -- Chad</t>
  </si>
  <si>
    <t>en_spv_TCD_010</t>
  </si>
  <si>
    <t>solar resource in Salamat region (near Sarh) -- Chad</t>
  </si>
  <si>
    <t>en_spv_TCD_011</t>
  </si>
  <si>
    <t>solar resource in Salamat region (near Goz-Beida) -- Chad</t>
  </si>
  <si>
    <t>en_spv_TCD_012</t>
  </si>
  <si>
    <t>solar resource in Ouaddai region (near Abeche) -- Chad</t>
  </si>
  <si>
    <t>en_spv_TGO_001</t>
  </si>
  <si>
    <t>solar resource in Kara region (near Sokode) -- Togo</t>
  </si>
  <si>
    <t>en_spv_TGO_002</t>
  </si>
  <si>
    <t>solar resource in Maritime region (near Lome) -- Togo</t>
  </si>
  <si>
    <t>en_spv_TGO_003</t>
  </si>
  <si>
    <t>solar resource in Centre region (near Sokode) -- Togo</t>
  </si>
  <si>
    <t>en_spv_TGO_004</t>
  </si>
  <si>
    <t>solar resource in Plateaux region (near Atakpame) -- Togo</t>
  </si>
  <si>
    <t>en_spv_THA_001</t>
  </si>
  <si>
    <t>solar resource in Khon Kaen region (near Khon Kaen) -- Thailand</t>
  </si>
  <si>
    <t>en_spv_THA_002</t>
  </si>
  <si>
    <t>solar resource in Si Sa Ket region (near Mukdahan) -- Thailand</t>
  </si>
  <si>
    <t>en_spv_THA_003</t>
  </si>
  <si>
    <t>solar resource in Sa Kaeo region (near Nakhon Ratchasima) -- Thailand</t>
  </si>
  <si>
    <t>en_spv_THA_004</t>
  </si>
  <si>
    <t>solar resource in Narathiwat region (near Hat Yai) -- Thailand</t>
  </si>
  <si>
    <t>en_spv_THA_005</t>
  </si>
  <si>
    <t>solar resource in Trang region (near Nakhon Si Thammarat) -- Thailand</t>
  </si>
  <si>
    <t>en_spv_THA_006</t>
  </si>
  <si>
    <t>solar resource in Lampang region (near Chiang Mai) -- Thailand</t>
  </si>
  <si>
    <t>en_spv_THA_007</t>
  </si>
  <si>
    <t>solar resource in Prachuap Khiri Khan region (near Surat Thani) -- Thailand</t>
  </si>
  <si>
    <t>en_spv_THA_008</t>
  </si>
  <si>
    <t>solar resource in Kayin State region (near Phitsanulok) -- Thailand</t>
  </si>
  <si>
    <t>en_spv_THA_009</t>
  </si>
  <si>
    <t>solar resource in Nakhon Sawan region (near Nakhon Sawan) -- Thailand</t>
  </si>
  <si>
    <t>en_spv_TJK_001</t>
  </si>
  <si>
    <t>solar resource in Batken region (near Isfara) -- Tajikistan</t>
  </si>
  <si>
    <t>en_spv_TJK_002</t>
  </si>
  <si>
    <t>solar resource in Khatlon region (near Zargar) -- Tajikistan</t>
  </si>
  <si>
    <t>en_spv_TJK_003</t>
  </si>
  <si>
    <t>en_spv_TJK_004</t>
  </si>
  <si>
    <t>solar resource in Khujand region (near Khujand) -- Tajikistan</t>
  </si>
  <si>
    <t>en_spv_TKM_001</t>
  </si>
  <si>
    <t>solar resource in Balkan region (near Balkanabat) -- Turkmenistan</t>
  </si>
  <si>
    <t>en_spv_TKM_002</t>
  </si>
  <si>
    <t>solar resource in near Balkanabat -- Turkmenistan</t>
  </si>
  <si>
    <t>en_spv_TKM_003</t>
  </si>
  <si>
    <t>solar resource in Lebap region (near Atamyrat) -- Turkmenistan</t>
  </si>
  <si>
    <t>en_spv_TKM_004</t>
  </si>
  <si>
    <t>solar resource in Lebap region (near Turkmenabat) -- Turkmenistan</t>
  </si>
  <si>
    <t>en_spv_TKM_005</t>
  </si>
  <si>
    <t>solar resource in Ahal region (near Mary) -- Turkmenistan</t>
  </si>
  <si>
    <t>en_spv_TKM_006</t>
  </si>
  <si>
    <t>solar resource in Daşoguz region (near Dasoguz) -- Turkmenistan</t>
  </si>
  <si>
    <t>en_spv_TKM_007</t>
  </si>
  <si>
    <t>solar resource in Ahal region (near Ashgabat) -- Turkmenistan</t>
  </si>
  <si>
    <t>en_spv_TKM_008</t>
  </si>
  <si>
    <t>en_spv_TKM_009</t>
  </si>
  <si>
    <t>solar resource in Lebap region (near Dasoguz) -- Turkmenistan</t>
  </si>
  <si>
    <t>en_spv_TUN_001</t>
  </si>
  <si>
    <t>solar resource in Tataouine region (near Tataouine) -- Tunisia</t>
  </si>
  <si>
    <t>en_spv_TUN_002</t>
  </si>
  <si>
    <t>solar resource in Gafsa region (near Gafsa) -- Tunisia</t>
  </si>
  <si>
    <t>en_spv_TUN_003</t>
  </si>
  <si>
    <t>solar resource in Mahdia region (near Kairouan) -- Tunisia</t>
  </si>
  <si>
    <t>en_spv_TUN_004</t>
  </si>
  <si>
    <t>solar resource in Tunis region (near Le Kram) -- Tunisia</t>
  </si>
  <si>
    <t>en_spv_TUN_005</t>
  </si>
  <si>
    <t>solar resource in Kasserine region (near Kasserine) -- Tunisia</t>
  </si>
  <si>
    <t>en_spv_TUR_001</t>
  </si>
  <si>
    <t>solar resource in Manisa region (near Pamukkale) -- Turkey</t>
  </si>
  <si>
    <t>en_spv_TUR_002</t>
  </si>
  <si>
    <t>solar resource in Sakarya region (near Sakarya) -- Turkey</t>
  </si>
  <si>
    <t>en_spv_TUR_003</t>
  </si>
  <si>
    <t>solar resource in East Macedonia and Thrace region (near Edirne) -- Turkey</t>
  </si>
  <si>
    <t>en_spv_TUR_004</t>
  </si>
  <si>
    <t>solar resource in Tekirdağ region (near Tekirdag) -- Turkey</t>
  </si>
  <si>
    <t>en_spv_TUR_005</t>
  </si>
  <si>
    <t>solar resource in Van region (near Van) -- Turkey</t>
  </si>
  <si>
    <t>en_spv_TUR_006</t>
  </si>
  <si>
    <t>solar resource in Kars region (near Erzurum) -- Turkey</t>
  </si>
  <si>
    <t>en_spv_TUR_007</t>
  </si>
  <si>
    <t>solar resource in Erzincan region (near Erzurum) -- Turkey</t>
  </si>
  <si>
    <t>en_spv_TUR_008</t>
  </si>
  <si>
    <t>solar resource in Tokat region (near Bayat) -- Turkey</t>
  </si>
  <si>
    <t>en_spv_TUR_009</t>
  </si>
  <si>
    <t>solar resource in Konya region (near Aksaray) -- Turkey</t>
  </si>
  <si>
    <t>en_spv_TUR_010</t>
  </si>
  <si>
    <t>solar resource in Şanlıurfa region (near Karakopru) -- Turkey</t>
  </si>
  <si>
    <t>en_spv_TWN_001</t>
  </si>
  <si>
    <t>solar resource in Tainan region (near Tainan) -- Taiwan</t>
  </si>
  <si>
    <t>en_spv_TWN_002</t>
  </si>
  <si>
    <t>solar resource in Yilan region (near Taipei) -- Taiwan</t>
  </si>
  <si>
    <t>en_spv_TWN_003</t>
  </si>
  <si>
    <t>solar resource in Fujian region (near Changhua) -- Taiwan</t>
  </si>
  <si>
    <t>en_spv_TZA_001</t>
  </si>
  <si>
    <t>solar resource in Katavi region (near Uvinza) -- Tanzania</t>
  </si>
  <si>
    <t>en_spv_TZA_002</t>
  </si>
  <si>
    <t>solar resource in Tabora region (near Tabora) -- Tanzania</t>
  </si>
  <si>
    <t>en_spv_TZA_003</t>
  </si>
  <si>
    <t>solar resource in Simiyu region (near Mwanza) -- Tanzania</t>
  </si>
  <si>
    <t>en_spv_TZA_004</t>
  </si>
  <si>
    <t>solar resource in Geita region (near Geita) -- Tanzania</t>
  </si>
  <si>
    <t>en_spv_TZA_005</t>
  </si>
  <si>
    <t>solar resource in Manyara region (near Arusha) -- Tanzania</t>
  </si>
  <si>
    <t>en_spv_TZA_006</t>
  </si>
  <si>
    <t>solar resource in Dodoma region (near Morogoro) -- Tanzania</t>
  </si>
  <si>
    <t>en_spv_TZA_007</t>
  </si>
  <si>
    <t>solar resource in Morogoro region (near Ubungo) -- Tanzania</t>
  </si>
  <si>
    <t>en_spv_TZA_008</t>
  </si>
  <si>
    <t>solar resource in Njombe region (near Mbeya) -- Tanzania</t>
  </si>
  <si>
    <t>en_spv_TZA_009</t>
  </si>
  <si>
    <t>solar resource in Singida region (near Dodoma) -- Tanzania</t>
  </si>
  <si>
    <t>en_spv_TZA_010</t>
  </si>
  <si>
    <t>solar resource in Ruvuma region (near Mbeya) -- Tanzania</t>
  </si>
  <si>
    <t>en_spv_TZA_011</t>
  </si>
  <si>
    <t>solar resource in Lindi region (near Dar es Salaam) -- Tanzania</t>
  </si>
  <si>
    <t>en_spv_UGA_001</t>
  </si>
  <si>
    <t>solar resource in Rakai region (near Masaka) -- Uganda</t>
  </si>
  <si>
    <t>en_spv_UGA_002</t>
  </si>
  <si>
    <t>solar resource in Mbarara region (near Mbarara) -- Uganda</t>
  </si>
  <si>
    <t>en_spv_UGA_003</t>
  </si>
  <si>
    <t>solar resource in Bukedea region (near Mbale) -- Uganda</t>
  </si>
  <si>
    <t>en_spv_UGA_004</t>
  </si>
  <si>
    <t>solar resource in Agago region (near Kitgum) -- Uganda</t>
  </si>
  <si>
    <t>en_spv_UGA_005</t>
  </si>
  <si>
    <t>solar resource in Arua region (near Arua) -- Uganda</t>
  </si>
  <si>
    <t>en_spv_UGA_006</t>
  </si>
  <si>
    <t>solar resource in Nakaseke region (near Luwero) -- Uganda</t>
  </si>
  <si>
    <t>en_spv_UKR_001</t>
  </si>
  <si>
    <t>solar resource in Kharkiv region (near Rubizhne) -- Ukraine</t>
  </si>
  <si>
    <t>en_spv_UKR_002</t>
  </si>
  <si>
    <t>solar resource in Autonomous Republic of Crimea region (near Simferopol) -- Ukraine</t>
  </si>
  <si>
    <t>en_spv_UKR_003</t>
  </si>
  <si>
    <t>solar resource in Zaporizhzhia region (near Zaporizhzhia) -- Ukraine</t>
  </si>
  <si>
    <t>en_spv_UKR_004</t>
  </si>
  <si>
    <t>solar resource in Volyn region (near Lutsk) -- Ukraine</t>
  </si>
  <si>
    <t>en_spv_UKR_005</t>
  </si>
  <si>
    <t>solar resource in Ivano-Frankivsk region (near Ivano-Frankivsk) -- Ukraine</t>
  </si>
  <si>
    <t>en_spv_UKR_006</t>
  </si>
  <si>
    <t>solar resource in Sumy region (near Sumy) -- Ukraine</t>
  </si>
  <si>
    <t>en_spv_UKR_007</t>
  </si>
  <si>
    <t>solar resource in Cherkasy region (near Cherkasy) -- Ukraine</t>
  </si>
  <si>
    <t>en_spv_UKR_008</t>
  </si>
  <si>
    <t>solar resource in Odessa region (near Odesa) -- Ukraine</t>
  </si>
  <si>
    <t>en_spv_UKR_009</t>
  </si>
  <si>
    <t>solar resource in Khmelnytskyi region (near Khmelnytskyi) -- Ukraine</t>
  </si>
  <si>
    <t>en_spv_URY_001</t>
  </si>
  <si>
    <t>solar resource in Tacuarembo region (near Tacuarembo) -- Uruguay</t>
  </si>
  <si>
    <t>en_spv_URY_002</t>
  </si>
  <si>
    <t>solar resource in Flores region (near Las Piedras) -- Uruguay</t>
  </si>
  <si>
    <t>en_spv_URY_003</t>
  </si>
  <si>
    <t>solar resource in Salto region (near Tacuarembo) -- Uruguay</t>
  </si>
  <si>
    <t>en_spv_URY_004</t>
  </si>
  <si>
    <t>solar resource in Rocha region (near Maldonado) -- Uruguay</t>
  </si>
  <si>
    <t>en_spv_URY_005</t>
  </si>
  <si>
    <t>solar resource in Cerro Largo region (near Melo) -- Uruguay</t>
  </si>
  <si>
    <t>en_spv_USA_001</t>
  </si>
  <si>
    <t>solar resource in British Columbia region (near Anchorage) -- United States</t>
  </si>
  <si>
    <t>en_spv_USA_002</t>
  </si>
  <si>
    <t>solar resource in Alaska region (near Anchorage) -- United States</t>
  </si>
  <si>
    <t>en_spv_USA_003</t>
  </si>
  <si>
    <t>en_spv_USA_004</t>
  </si>
  <si>
    <t>solar resource in Vermont region (near Glens Falls) -- United States</t>
  </si>
  <si>
    <t>en_spv_USA_005</t>
  </si>
  <si>
    <t>solar resource in Virginia region (near Richmond) -- United States</t>
  </si>
  <si>
    <t>en_spv_USA_006</t>
  </si>
  <si>
    <t>solar resource in Pennsylvania region (near Altoona) -- United States</t>
  </si>
  <si>
    <t>en_spv_USA_007</t>
  </si>
  <si>
    <t>solar resource in Virginia region (near Kingsport) -- United States</t>
  </si>
  <si>
    <t>en_spv_USA_008</t>
  </si>
  <si>
    <t>solar resource in Mississippi region (near Gulfport) -- United States</t>
  </si>
  <si>
    <t>en_spv_USA_009</t>
  </si>
  <si>
    <t>solar resource in Florida region (near St. Augustine) -- United States</t>
  </si>
  <si>
    <t>en_spv_USA_010</t>
  </si>
  <si>
    <t>solar resource in Arkansas region (near Jonesboro) -- United States</t>
  </si>
  <si>
    <t>en_spv_USA_011</t>
  </si>
  <si>
    <t>solar resource in Indiana region (near Anderson) -- United States</t>
  </si>
  <si>
    <t>en_spv_USA_012</t>
  </si>
  <si>
    <t>solar resource in Oklahoma region (near Wichita) -- United States</t>
  </si>
  <si>
    <t>en_spv_USA_013</t>
  </si>
  <si>
    <t>solar resource in Texas region (near McKinney) -- United States</t>
  </si>
  <si>
    <t>en_spv_USA_014</t>
  </si>
  <si>
    <t>solar resource in Texas region (near San Angelo) -- United States</t>
  </si>
  <si>
    <t>en_spv_USA_015</t>
  </si>
  <si>
    <t>solar resource in Arizona region (near Henderson) -- United States</t>
  </si>
  <si>
    <t>en_spv_USA_016</t>
  </si>
  <si>
    <t>solar resource in New Mexico region (near Albuquerque) -- United States</t>
  </si>
  <si>
    <t>en_spv_USA_017</t>
  </si>
  <si>
    <t>solar resource in Wyoming region (near Cheyenne) -- United States</t>
  </si>
  <si>
    <t>en_spv_USA_018</t>
  </si>
  <si>
    <t>solar resource in Idaho region (near Pocatello) -- United States</t>
  </si>
  <si>
    <t>en_spv_USA_019</t>
  </si>
  <si>
    <t>solar resource in Oregon region (near Medford) -- United States</t>
  </si>
  <si>
    <t>en_spv_USA_020</t>
  </si>
  <si>
    <t>solar resource in Washington region (near Pasco) -- United States</t>
  </si>
  <si>
    <t>en_spv_USA_021</t>
  </si>
  <si>
    <t>solar resource in Michigan region (near Green Bay) -- United States</t>
  </si>
  <si>
    <t>en_spv_USA_022</t>
  </si>
  <si>
    <t>solar resource in Missouri region (near Columbia) -- United States</t>
  </si>
  <si>
    <t>en_spv_USA_023</t>
  </si>
  <si>
    <t>solar resource in Wisconsin region (near Duluth) -- United States</t>
  </si>
  <si>
    <t>en_spv_USA_024</t>
  </si>
  <si>
    <t>solar resource in Nebraska region (near Lincoln) -- United States</t>
  </si>
  <si>
    <t>en_spv_USA_025</t>
  </si>
  <si>
    <t>solar resource in Montana region (near Billings) -- United States</t>
  </si>
  <si>
    <t>en_spv_USA_026</t>
  </si>
  <si>
    <t>solar resource in Minnesota region (near Grand Forks) -- United States</t>
  </si>
  <si>
    <t>en_spv_USA_027</t>
  </si>
  <si>
    <t>solar resource in South Dakota region (near Bismarck) -- United States</t>
  </si>
  <si>
    <t>en_spv_UZB_001</t>
  </si>
  <si>
    <t>solar resource in Andijan region (near Shahrixon) -- Uzbekistan</t>
  </si>
  <si>
    <t>en_spv_UZB_002</t>
  </si>
  <si>
    <t>solar resource in Tashkent region (near Olmaliq) -- Uzbekistan</t>
  </si>
  <si>
    <t>en_spv_UZB_003</t>
  </si>
  <si>
    <t>solar resource in Samarqand region (near Samarkand) -- Uzbekistan</t>
  </si>
  <si>
    <t>en_spv_UZB_004</t>
  </si>
  <si>
    <t>solar resource in Karakalpakstan region (near Nukus) -- Uzbekistan</t>
  </si>
  <si>
    <t>en_spv_UZB_005</t>
  </si>
  <si>
    <t>solar resource in Karakalpakstan region (near Xo`jayli Shahri) -- Uzbekistan</t>
  </si>
  <si>
    <t>en_spv_UZB_006</t>
  </si>
  <si>
    <t>en_spv_UZB_007</t>
  </si>
  <si>
    <t>solar resource in Navoiy region (near Zarafshon Shahri) -- Uzbekistan</t>
  </si>
  <si>
    <t>en_spv_UZB_008</t>
  </si>
  <si>
    <t>en_spv_VEN_001</t>
  </si>
  <si>
    <t>solar resource in Bolivar region (near Ciudad Guayana) -- Venezuela</t>
  </si>
  <si>
    <t>en_spv_VEN_002</t>
  </si>
  <si>
    <t>en_spv_VEN_003</t>
  </si>
  <si>
    <t>solar resource in Monagas region (near Maturin) -- Venezuela</t>
  </si>
  <si>
    <t>en_spv_VEN_004</t>
  </si>
  <si>
    <t>solar resource in Zulia region (near Cabimas) -- Venezuela</t>
  </si>
  <si>
    <t>en_spv_VEN_005</t>
  </si>
  <si>
    <t>solar resource in Barinas region (near Merida) -- Venezuela</t>
  </si>
  <si>
    <t>en_spv_VEN_006</t>
  </si>
  <si>
    <t>solar resource in Apure region (near Barinas) -- Venezuela</t>
  </si>
  <si>
    <t>en_spv_VEN_007</t>
  </si>
  <si>
    <t>solar resource in Guarico State region (near El Tigre) -- Venezuela</t>
  </si>
  <si>
    <t>en_spv_VEN_008</t>
  </si>
  <si>
    <t>solar resource in Guarico State region (near Santa Teresa del Tuy) -- Venezuela</t>
  </si>
  <si>
    <t>en_spv_VEN_009</t>
  </si>
  <si>
    <t>solar resource in Guainia region (near Barinas) -- Venezuela</t>
  </si>
  <si>
    <t>en_spv_VEN_010</t>
  </si>
  <si>
    <t>solar resource in Amazonas region (near Barinas) -- Venezuela</t>
  </si>
  <si>
    <t>en_spv_VNM_001</t>
  </si>
  <si>
    <t>solar resource in Thừa Thien Huế region (near Hue) -- Vietnam</t>
  </si>
  <si>
    <t>en_spv_VNM_002</t>
  </si>
  <si>
    <t>solar resource in Gia Lai region (near Buon Ma Thuot) -- Vietnam</t>
  </si>
  <si>
    <t>en_spv_VNM_003</t>
  </si>
  <si>
    <t>solar resource in Long An region (near Thu Dau Mot) -- Vietnam</t>
  </si>
  <si>
    <t>en_spv_VNM_004</t>
  </si>
  <si>
    <t>solar resource in Quảng Ninh region (near Haiphong) -- Vietnam</t>
  </si>
  <si>
    <t>en_spv_VNM_005</t>
  </si>
  <si>
    <t>solar resource in Northeast Vietnam region (near Thai Nguyen) -- Vietnam</t>
  </si>
  <si>
    <t>en_spv_VNM_006</t>
  </si>
  <si>
    <t>solar resource in Yen Bai region (near Viet Tri) -- Vietnam</t>
  </si>
  <si>
    <t>en_spv_VNM_007</t>
  </si>
  <si>
    <t>solar resource in Thanh Hoa region (near Thanh Hoa) -- Vietnam</t>
  </si>
  <si>
    <t>en_spv_VNM_008</t>
  </si>
  <si>
    <t>solar resource in Quảng Binh region (near Ha Tinh) -- Vietnam</t>
  </si>
  <si>
    <t>en_spv_YEM_001</t>
  </si>
  <si>
    <t>solar resource in Hadhramaut region (near Al Mukalla) -- Yemen</t>
  </si>
  <si>
    <t>en_spv_YEM_002</t>
  </si>
  <si>
    <t>en_spv_YEM_003</t>
  </si>
  <si>
    <t>solar resource in Al Mahrah region (near Al Mukalla) -- Yemen</t>
  </si>
  <si>
    <t>en_spv_YEM_004</t>
  </si>
  <si>
    <t>en_spv_YEM_005</t>
  </si>
  <si>
    <t>solar resource in Hajjah region (near Al Hudaydah) -- Yemen</t>
  </si>
  <si>
    <t>en_spv_YEM_006</t>
  </si>
  <si>
    <t>solar resource in Lahij region (near Ta`izz) -- Yemen</t>
  </si>
  <si>
    <t>en_spv_YEM_007</t>
  </si>
  <si>
    <t>solar resource in Al Jawf region (near Sanaa) -- Yemen</t>
  </si>
  <si>
    <t>en_spv_YEM_008</t>
  </si>
  <si>
    <t>en_spv_ZAF_001</t>
  </si>
  <si>
    <t>solar resource in Northern Cape region (near Bloemfontein) -- South Africa</t>
  </si>
  <si>
    <t>en_spv_ZAF_002</t>
  </si>
  <si>
    <t>en_spv_ZAF_003</t>
  </si>
  <si>
    <t>solar resource in Western Cape region (near Paarl) -- South Africa</t>
  </si>
  <si>
    <t>en_spv_ZAF_004</t>
  </si>
  <si>
    <t>solar resource in Eastern Cape region (near Bethelsdorp) -- South Africa</t>
  </si>
  <si>
    <t>en_spv_ZAF_005</t>
  </si>
  <si>
    <t>en_spv_ZAF_006</t>
  </si>
  <si>
    <t>solar resource in Limpopo region (near Zebediela) -- South Africa</t>
  </si>
  <si>
    <t>en_spv_ZAF_007</t>
  </si>
  <si>
    <t>solar resource in Mpumalanga region (near Newcastle) -- South Africa</t>
  </si>
  <si>
    <t>en_spv_ZAF_008</t>
  </si>
  <si>
    <t>solar resource in KwaZulu-Natal region (near Nqutu) -- South Africa</t>
  </si>
  <si>
    <t>en_spv_ZAF_009</t>
  </si>
  <si>
    <t>solar resource in KwaZulu-Natal region (near Pietermaritzburg) -- South Africa</t>
  </si>
  <si>
    <t>en_spv_ZAF_010</t>
  </si>
  <si>
    <t>solar resource in Eastern Cape region (near East London) -- South Africa</t>
  </si>
  <si>
    <t>en_spv_ZAF_011</t>
  </si>
  <si>
    <t>en_spv_ZAF_012</t>
  </si>
  <si>
    <t>solar resource in Free State region (near Klerksdorp) -- South Africa</t>
  </si>
  <si>
    <t>en_spv_ZMB_001</t>
  </si>
  <si>
    <t>solar resource in Western region (near Mongu) -- Zambia</t>
  </si>
  <si>
    <t>en_spv_ZMB_002</t>
  </si>
  <si>
    <t>en_spv_ZMB_003</t>
  </si>
  <si>
    <t>solar resource in Northwestern region (near Chingola) -- Zambia</t>
  </si>
  <si>
    <t>en_spv_ZMB_004</t>
  </si>
  <si>
    <t>solar resource in Muchinga region (near Chipata) -- Zambia</t>
  </si>
  <si>
    <t>en_spv_ZMB_005</t>
  </si>
  <si>
    <t>solar resource in Northern region (near Mufulira) -- Zambia</t>
  </si>
  <si>
    <t>en_spv_ZMB_006</t>
  </si>
  <si>
    <t>solar resource in Luapula region (near Ndola) -- Zambia</t>
  </si>
  <si>
    <t>en_spv_ZMB_007</t>
  </si>
  <si>
    <t>solar resource in Eastern region (near Chipata) -- Zambia</t>
  </si>
  <si>
    <t>en_spv_ZMB_008</t>
  </si>
  <si>
    <t>solar resource in Lusaka region (near Lusaka) -- Zambia</t>
  </si>
  <si>
    <t>en_spv_ZMB_009</t>
  </si>
  <si>
    <t>solar resource in Copperbelt region (near Chingola) -- Zambia</t>
  </si>
  <si>
    <t>en_spv_ZMB_010</t>
  </si>
  <si>
    <t>solar resource in Southern region (near Kafue) -- Zambia</t>
  </si>
  <si>
    <t>en_spv_ZWE_001</t>
  </si>
  <si>
    <t>solar resource in Masvingo region (near Mutare) -- Zimbabwe</t>
  </si>
  <si>
    <t>en_spv_ZWE_002</t>
  </si>
  <si>
    <t>solar resource in Matabeleland South region (near Bulawayo) -- Zimbabwe</t>
  </si>
  <si>
    <t>en_spv_ZWE_003</t>
  </si>
  <si>
    <t>solar resource in Mashonaland East region (near Chitungwiza) -- Zimbabwe</t>
  </si>
  <si>
    <t>en_spv_ZWE_004</t>
  </si>
  <si>
    <t>solar resource in Mashonaland Central region (near Harare) -- Zimbabwe</t>
  </si>
  <si>
    <t>en_spv_ZWE_005</t>
  </si>
  <si>
    <t>solar resource in Matabeleland North region (near Nkayi) -- Zimbabwe</t>
  </si>
  <si>
    <t>en_spv_ZWE_006</t>
  </si>
  <si>
    <t>solar resource in Midlands region (near Gweru) -- Zimbabwe</t>
  </si>
  <si>
    <t>en_spv_ZWE_007</t>
  </si>
  <si>
    <t>af~fx</t>
  </si>
  <si>
    <t>avg_grid_dist_km</t>
  </si>
  <si>
    <t>elc_spv_AFG_001</t>
  </si>
  <si>
    <t>elc_spv_AFG_002</t>
  </si>
  <si>
    <t>elc_spv_AFG_003</t>
  </si>
  <si>
    <t>elc_spv_AFG_004</t>
  </si>
  <si>
    <t>elc_spv_AFG_005</t>
  </si>
  <si>
    <t>elc_spv_AFG_006</t>
  </si>
  <si>
    <t>elc_spv_AFG_007</t>
  </si>
  <si>
    <t>elc_spv_AFG_008</t>
  </si>
  <si>
    <t>elc_spv_AFG_009</t>
  </si>
  <si>
    <t>elc_spv_AGO_001</t>
  </si>
  <si>
    <t>elc_spv_AGO_002</t>
  </si>
  <si>
    <t>elc_spv_AGO_003</t>
  </si>
  <si>
    <t>elc_spv_AGO_004</t>
  </si>
  <si>
    <t>elc_spv_AGO_005</t>
  </si>
  <si>
    <t>elc_spv_AGO_006</t>
  </si>
  <si>
    <t>elc_spv_AGO_007</t>
  </si>
  <si>
    <t>elc_spv_AGO_008</t>
  </si>
  <si>
    <t>elc_spv_AGO_009</t>
  </si>
  <si>
    <t>elc_spv_AGO_010</t>
  </si>
  <si>
    <t>elc_spv_AGO_011</t>
  </si>
  <si>
    <t>elc_spv_AGO_012</t>
  </si>
  <si>
    <t>elc_spv_ALB_001</t>
  </si>
  <si>
    <t>elc_spv_ALB_002</t>
  </si>
  <si>
    <t>elc_spv_ALB_003</t>
  </si>
  <si>
    <t>elc_spv_ALB_004</t>
  </si>
  <si>
    <t>elc_spv_ARE_001</t>
  </si>
  <si>
    <t>elc_spv_ARE_002</t>
  </si>
  <si>
    <t>elc_spv_ARE_003</t>
  </si>
  <si>
    <t>elc_spv_ARE_004</t>
  </si>
  <si>
    <t>elc_spv_ARG_001</t>
  </si>
  <si>
    <t>elc_spv_ARG_002</t>
  </si>
  <si>
    <t>elc_spv_ARG_003</t>
  </si>
  <si>
    <t>elc_spv_ARG_004</t>
  </si>
  <si>
    <t>elc_spv_ARG_005</t>
  </si>
  <si>
    <t>elc_spv_ARG_006</t>
  </si>
  <si>
    <t>elc_spv_ARG_007</t>
  </si>
  <si>
    <t>elc_spv_ARG_008</t>
  </si>
  <si>
    <t>elc_spv_ARG_009</t>
  </si>
  <si>
    <t>elc_spv_ARG_010</t>
  </si>
  <si>
    <t>elc_spv_ARG_011</t>
  </si>
  <si>
    <t>elc_spv_ARG_012</t>
  </si>
  <si>
    <t>elc_spv_ARG_013</t>
  </si>
  <si>
    <t>elc_spv_ARM_001</t>
  </si>
  <si>
    <t>elc_spv_ARM_002</t>
  </si>
  <si>
    <t>elc_spv_ARM_003</t>
  </si>
  <si>
    <t>elc_spv_AUS_001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</si>
  <si>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</si>
  <si>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</si>
  <si>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</si>
  <si>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</si>
  <si>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</si>
  <si>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</si>
  <si>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</si>
  <si>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</si>
  <si>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</si>
  <si>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</si>
  <si>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</si>
  <si>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</si>
  <si>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</si>
  <si>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</si>
  <si>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</si>
  <si>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</si>
  <si>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</si>
  <si>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</si>
  <si>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</si>
  <si>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</si>
  <si>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elc_spv_AUT_001</t>
  </si>
  <si>
    <t>elc_spv_AUT_002</t>
  </si>
  <si>
    <t>elc_spv_AUT_003</t>
  </si>
  <si>
    <t>elc_spv_AUT_004</t>
  </si>
  <si>
    <t>elc_spv_AZE_001</t>
  </si>
  <si>
    <t>elc_spv_AZE_002</t>
  </si>
  <si>
    <t>elc_spv_AZE_003</t>
  </si>
  <si>
    <t>elc_spv_AZE_004</t>
  </si>
  <si>
    <t>elc_spv_BDI_001</t>
  </si>
  <si>
    <t>elc_spv_BDI_002</t>
  </si>
  <si>
    <t>elc_spv_BEL_001</t>
  </si>
  <si>
    <t>elc_spv_BEL_002</t>
  </si>
  <si>
    <t>elc_spv_BEL_003</t>
  </si>
  <si>
    <t>elc_spv_BEN_001</t>
  </si>
  <si>
    <t>elc_spv_BEN_002</t>
  </si>
  <si>
    <t>elc_spv_BEN_003</t>
  </si>
  <si>
    <t>elc_spv_BEN_004</t>
  </si>
  <si>
    <t>elc_spv_BEN_005</t>
  </si>
  <si>
    <t>elc_spv_BFA_001</t>
  </si>
  <si>
    <t>elc_spv_BFA_002</t>
  </si>
  <si>
    <t>elc_spv_BFA_003</t>
  </si>
  <si>
    <t>elc_spv_BFA_004</t>
  </si>
  <si>
    <t>elc_spv_BFA_005</t>
  </si>
  <si>
    <t>elc_spv_BFA_006</t>
  </si>
  <si>
    <t>elc_spv_BFA_007</t>
  </si>
  <si>
    <t>elc_spv_BGD_001</t>
  </si>
  <si>
    <t>elc_spv_BGD_002</t>
  </si>
  <si>
    <t>elc_spv_BGD_003</t>
  </si>
  <si>
    <t>elc_spv_BGD_004</t>
  </si>
  <si>
    <t>elc_spv_BGD_005</t>
  </si>
  <si>
    <t>elc_spv_BGR_001</t>
  </si>
  <si>
    <t>elc_spv_BGR_002</t>
  </si>
  <si>
    <t>elc_spv_BGR_003</t>
  </si>
  <si>
    <t>elc_spv_BGR_004</t>
  </si>
  <si>
    <t>elc_spv_BIH_001</t>
  </si>
  <si>
    <t>elc_spv_BIH_002</t>
  </si>
  <si>
    <t>elc_spv_BIH_003</t>
  </si>
  <si>
    <t>elc_spv_BIH_004</t>
  </si>
  <si>
    <t>elc_spv_BIH_005</t>
  </si>
  <si>
    <t>elc_spv_BLR_001</t>
  </si>
  <si>
    <t>elc_spv_BLR_002</t>
  </si>
  <si>
    <t>elc_spv_BLR_003</t>
  </si>
  <si>
    <t>elc_spv_BLR_004</t>
  </si>
  <si>
    <t>elc_spv_BLR_005</t>
  </si>
  <si>
    <t>elc_spv_BLR_006</t>
  </si>
  <si>
    <t>elc_spv_BOL_001</t>
  </si>
  <si>
    <t>elc_spv_BOL_002</t>
  </si>
  <si>
    <t>elc_spv_BOL_003</t>
  </si>
  <si>
    <t>elc_spv_BOL_004</t>
  </si>
  <si>
    <t>elc_spv_BOL_005</t>
  </si>
  <si>
    <t>elc_spv_BOL_006</t>
  </si>
  <si>
    <t>elc_spv_BOL_007</t>
  </si>
  <si>
    <t>elc_spv_BOL_008</t>
  </si>
  <si>
    <t>elc_spv_BOL_009</t>
  </si>
  <si>
    <t>elc_spv_BOL_010</t>
  </si>
  <si>
    <t>elc_spv_BRA_001</t>
  </si>
  <si>
    <t>elc_spv_BRA_002</t>
  </si>
  <si>
    <t>elc_spv_BRA_003</t>
  </si>
  <si>
    <t>elc_spv_BRA_004</t>
  </si>
  <si>
    <t>elc_spv_BRA_005</t>
  </si>
  <si>
    <t>elc_spv_BRA_006</t>
  </si>
  <si>
    <t>elc_spv_BRA_007</t>
  </si>
  <si>
    <t>elc_spv_BRA_008</t>
  </si>
  <si>
    <t>elc_spv_BRA_009</t>
  </si>
  <si>
    <t>elc_spv_BRA_010</t>
  </si>
  <si>
    <t>elc_spv_BRA_011</t>
  </si>
  <si>
    <t>elc_spv_BRA_012</t>
  </si>
  <si>
    <t>elc_spv_BRA_013</t>
  </si>
  <si>
    <t>elc_spv_BRA_014</t>
  </si>
  <si>
    <t>elc_spv_BRA_015</t>
  </si>
  <si>
    <t>elc_spv_BRA_016</t>
  </si>
  <si>
    <t>elc_spv_BRA_017</t>
  </si>
  <si>
    <t>elc_spv_BRA_018</t>
  </si>
  <si>
    <t>elc_spv_BRA_019</t>
  </si>
  <si>
    <t>elc_spv_BRA_020</t>
  </si>
  <si>
    <t>elc_spv_BRA_021</t>
  </si>
  <si>
    <t>elc_spv_BRA_022</t>
  </si>
  <si>
    <t>elc_spv_BRA_023</t>
  </si>
  <si>
    <t>elc_spv_BWA_001</t>
  </si>
  <si>
    <t>elc_spv_BWA_002</t>
  </si>
  <si>
    <t>elc_spv_BWA_003</t>
  </si>
  <si>
    <t>elc_spv_BWA_004</t>
  </si>
  <si>
    <t>elc_spv_BWA_005</t>
  </si>
  <si>
    <t>elc_spv_BWA_006</t>
  </si>
  <si>
    <t>elc_spv_BWA_007</t>
  </si>
  <si>
    <t>elc_spv_BWA_008</t>
  </si>
  <si>
    <t>elc_spv_BWA_009</t>
  </si>
  <si>
    <t>elc_spv_CAF_001</t>
  </si>
  <si>
    <t>elc_spv_CAF_002</t>
  </si>
  <si>
    <t>elc_spv_CAF_003</t>
  </si>
  <si>
    <t>elc_spv_CAF_004</t>
  </si>
  <si>
    <t>elc_spv_CAF_005</t>
  </si>
  <si>
    <t>elc_spv_CAF_006</t>
  </si>
  <si>
    <t>elc_spv_CAF_007</t>
  </si>
  <si>
    <t>elc_spv_CAF_008</t>
  </si>
  <si>
    <t>elc_spv_CAF_009</t>
  </si>
  <si>
    <t>elc_spv_CAN_001</t>
  </si>
  <si>
    <t>elc_spv_CAN_002</t>
  </si>
  <si>
    <t>elc_spv_CAN_003</t>
  </si>
  <si>
    <t>elc_spv_CAN_004</t>
  </si>
  <si>
    <t>elc_spv_CAN_005</t>
  </si>
  <si>
    <t>elc_spv_CAN_006</t>
  </si>
  <si>
    <t>elc_spv_CAN_007</t>
  </si>
  <si>
    <t>elc_spv_CAN_008</t>
  </si>
  <si>
    <t>elc_spv_CAN_009</t>
  </si>
  <si>
    <t>elc_spv_CAN_010</t>
  </si>
  <si>
    <t>elc_spv_CAN_011</t>
  </si>
  <si>
    <t>elc_spv_CAN_012</t>
  </si>
  <si>
    <t>elc_spv_CAN_013</t>
  </si>
  <si>
    <t>elc_spv_CAN_014</t>
  </si>
  <si>
    <t>elc_spv_CAN_015</t>
  </si>
  <si>
    <t>elc_spv_CAN_016</t>
  </si>
  <si>
    <t>elc_spv_CAN_017</t>
  </si>
  <si>
    <t>elc_spv_CAN_018</t>
  </si>
  <si>
    <t>elc_spv_CAN_019</t>
  </si>
  <si>
    <t>elc_spv_CAN_020</t>
  </si>
  <si>
    <t>elc_spv_CAN_021</t>
  </si>
  <si>
    <t>elc_spv_CAN_022</t>
  </si>
  <si>
    <t>elc_spv_CAN_023</t>
  </si>
  <si>
    <t>elc_spv_CHE_001</t>
  </si>
  <si>
    <t>elc_spv_CHE_002</t>
  </si>
  <si>
    <t>elc_spv_CHE_003</t>
  </si>
  <si>
    <t>elc_spv_CHL_001</t>
  </si>
  <si>
    <t>elc_spv_CHL_002</t>
  </si>
  <si>
    <t>elc_spv_CHL_003</t>
  </si>
  <si>
    <t>elc_spv_CHL_004</t>
  </si>
  <si>
    <t>elc_spv_CHL_005</t>
  </si>
  <si>
    <t>elc_spv_CHL_006</t>
  </si>
  <si>
    <t>elc_spv_CHL_007</t>
  </si>
  <si>
    <t>elc_spv_CHN_001</t>
  </si>
  <si>
    <t>elc_spv_CHN_002</t>
  </si>
  <si>
    <t>elc_spv_CHN_003</t>
  </si>
  <si>
    <t>elc_spv_CHN_004</t>
  </si>
  <si>
    <t>elc_spv_CHN_005</t>
  </si>
  <si>
    <t>elc_spv_CHN_006</t>
  </si>
  <si>
    <t>elc_spv_CHN_007</t>
  </si>
  <si>
    <t>elc_spv_CHN_008</t>
  </si>
  <si>
    <t>elc_spv_CHN_009</t>
  </si>
  <si>
    <t>elc_spv_CHN_010</t>
  </si>
  <si>
    <t>elc_spv_CHN_011</t>
  </si>
  <si>
    <t>elc_spv_CHN_012</t>
  </si>
  <si>
    <t>elc_spv_CHN_013</t>
  </si>
  <si>
    <t>elc_spv_CHN_014</t>
  </si>
  <si>
    <t>elc_spv_CHN_015</t>
  </si>
  <si>
    <t>elc_spv_CHN_016</t>
  </si>
  <si>
    <t>elc_spv_CHN_017</t>
  </si>
  <si>
    <t>elc_spv_CHN_018</t>
  </si>
  <si>
    <t>elc_spv_CHN_019</t>
  </si>
  <si>
    <t>elc_spv_CHN_020</t>
  </si>
  <si>
    <t>elc_spv_CHN_021</t>
  </si>
  <si>
    <t>elc_spv_CHN_022</t>
  </si>
  <si>
    <t>elc_spv_CHN_023</t>
  </si>
  <si>
    <t>elc_spv_CHN_024</t>
  </si>
  <si>
    <t>elc_spv_CHN_025</t>
  </si>
  <si>
    <t>elc_spv_CHN_026</t>
  </si>
  <si>
    <t>elc_spv_CIV_001</t>
  </si>
  <si>
    <t>elc_spv_CIV_002</t>
  </si>
  <si>
    <t>elc_spv_CIV_003</t>
  </si>
  <si>
    <t>elc_spv_CIV_004</t>
  </si>
  <si>
    <t>elc_spv_CIV_005</t>
  </si>
  <si>
    <t>elc_spv_CIV_006</t>
  </si>
  <si>
    <t>elc_spv_CIV_007</t>
  </si>
  <si>
    <t>elc_spv_CMR_001</t>
  </si>
  <si>
    <t>elc_spv_CMR_002</t>
  </si>
  <si>
    <t>elc_spv_CMR_003</t>
  </si>
  <si>
    <t>elc_spv_CMR_004</t>
  </si>
  <si>
    <t>elc_spv_CMR_005</t>
  </si>
  <si>
    <t>elc_spv_CMR_006</t>
  </si>
  <si>
    <t>elc_spv_CMR_007</t>
  </si>
  <si>
    <t>elc_spv_CMR_008</t>
  </si>
  <si>
    <t>elc_spv_COD_001</t>
  </si>
  <si>
    <t>elc_spv_COD_002</t>
  </si>
  <si>
    <t>elc_spv_COD_003</t>
  </si>
  <si>
    <t>elc_spv_COD_004</t>
  </si>
  <si>
    <t>elc_spv_COD_005</t>
  </si>
  <si>
    <t>elc_spv_COD_006</t>
  </si>
  <si>
    <t>elc_spv_COD_007</t>
  </si>
  <si>
    <t>elc_spv_COD_008</t>
  </si>
  <si>
    <t>elc_spv_COD_009</t>
  </si>
  <si>
    <t>elc_spv_COD_010</t>
  </si>
  <si>
    <t>elc_spv_COD_011</t>
  </si>
  <si>
    <t>elc_spv_COD_012</t>
  </si>
  <si>
    <t>elc_spv_COD_013</t>
  </si>
  <si>
    <t>elc_spv_COD_014</t>
  </si>
  <si>
    <t>elc_spv_COD_015</t>
  </si>
  <si>
    <t>elc_spv_COG_001</t>
  </si>
  <si>
    <t>elc_spv_COG_002</t>
  </si>
  <si>
    <t>elc_spv_COG_003</t>
  </si>
  <si>
    <t>elc_spv_COG_004</t>
  </si>
  <si>
    <t>elc_spv_COG_005</t>
  </si>
  <si>
    <t>elc_spv_COG_006</t>
  </si>
  <si>
    <t>elc_spv_COG_007</t>
  </si>
  <si>
    <t>elc_spv_COL_001</t>
  </si>
  <si>
    <t>elc_spv_COL_002</t>
  </si>
  <si>
    <t>elc_spv_COL_003</t>
  </si>
  <si>
    <t>elc_spv_COL_004</t>
  </si>
  <si>
    <t>elc_spv_COL_005</t>
  </si>
  <si>
    <t>elc_spv_COL_006</t>
  </si>
  <si>
    <t>elc_spv_COL_007</t>
  </si>
  <si>
    <t>elc_spv_COL_008</t>
  </si>
  <si>
    <t>elc_spv_COL_009</t>
  </si>
  <si>
    <t>elc_spv_COL_010</t>
  </si>
  <si>
    <t>elc_spv_CRI_001</t>
  </si>
  <si>
    <t>elc_spv_CRI_002</t>
  </si>
  <si>
    <t>elc_spv_CRI_003</t>
  </si>
  <si>
    <t>elc_spv_CRI_004</t>
  </si>
  <si>
    <t>elc_spv_CUB_001</t>
  </si>
  <si>
    <t>elc_spv_CUB_002</t>
  </si>
  <si>
    <t>elc_spv_CUB_003</t>
  </si>
  <si>
    <t>elc_spv_CUB_004</t>
  </si>
  <si>
    <t>elc_spv_CUB_005</t>
  </si>
  <si>
    <t>elc_spv_CZE_001</t>
  </si>
  <si>
    <t>elc_spv_CZE_002</t>
  </si>
  <si>
    <t>elc_spv_CZE_003</t>
  </si>
  <si>
    <t>elc_spv_CZE_004</t>
  </si>
  <si>
    <t>elc_spv_DEU_001</t>
  </si>
  <si>
    <t>elc_spv_DEU_002</t>
  </si>
  <si>
    <t>elc_spv_DEU_003</t>
  </si>
  <si>
    <t>elc_spv_DEU_004</t>
  </si>
  <si>
    <t>elc_spv_DEU_005</t>
  </si>
  <si>
    <t>elc_spv_DEU_006</t>
  </si>
  <si>
    <t>elc_spv_DEU_007</t>
  </si>
  <si>
    <t>elc_spv_DEU_008</t>
  </si>
  <si>
    <t>elc_spv_DJI_001</t>
  </si>
  <si>
    <t>elc_spv_DJI_002</t>
  </si>
  <si>
    <t>elc_spv_DNK_001</t>
  </si>
  <si>
    <t>elc_spv_DNK_002</t>
  </si>
  <si>
    <t>elc_spv_DNK_003</t>
  </si>
  <si>
    <t>elc_spv_DNK_004</t>
  </si>
  <si>
    <t>elc_spv_DOM_001</t>
  </si>
  <si>
    <t>elc_spv_DOM_002</t>
  </si>
  <si>
    <t>elc_spv_DOM_003</t>
  </si>
  <si>
    <t>elc_spv_DZA_001</t>
  </si>
  <si>
    <t>elc_spv_DZA_002</t>
  </si>
  <si>
    <t>elc_spv_DZA_003</t>
  </si>
  <si>
    <t>elc_spv_DZA_004</t>
  </si>
  <si>
    <t>elc_spv_DZA_005</t>
  </si>
  <si>
    <t>elc_spv_DZA_006</t>
  </si>
  <si>
    <t>elc_spv_DZA_007</t>
  </si>
  <si>
    <t>elc_spv_DZA_008</t>
  </si>
  <si>
    <t>elc_spv_DZA_009</t>
  </si>
  <si>
    <t>elc_spv_DZA_010</t>
  </si>
  <si>
    <t>elc_spv_DZA_011</t>
  </si>
  <si>
    <t>elc_spv_DZA_012</t>
  </si>
  <si>
    <t>elc_spv_DZA_013</t>
  </si>
  <si>
    <t>elc_spv_DZA_014</t>
  </si>
  <si>
    <t>elc_spv_DZA_015</t>
  </si>
  <si>
    <t>elc_spv_DZA_016</t>
  </si>
  <si>
    <t>elc_spv_ECU_001</t>
  </si>
  <si>
    <t>elc_spv_ECU_002</t>
  </si>
  <si>
    <t>elc_spv_ECU_003</t>
  </si>
  <si>
    <t>elc_spv_ECU_004</t>
  </si>
  <si>
    <t>elc_spv_ECU_005</t>
  </si>
  <si>
    <t>elc_spv_EGY_001</t>
  </si>
  <si>
    <t>elc_spv_EGY_002</t>
  </si>
  <si>
    <t>elc_spv_EGY_003</t>
  </si>
  <si>
    <t>elc_spv_EGY_004</t>
  </si>
  <si>
    <t>elc_spv_EGY_005</t>
  </si>
  <si>
    <t>elc_spv_EGY_006</t>
  </si>
  <si>
    <t>elc_spv_EGY_007</t>
  </si>
  <si>
    <t>elc_spv_EGY_008</t>
  </si>
  <si>
    <t>elc_spv_EGY_009</t>
  </si>
  <si>
    <t>elc_spv_EGY_010</t>
  </si>
  <si>
    <t>elc_spv_EGY_011</t>
  </si>
  <si>
    <t>elc_spv_ERI_001</t>
  </si>
  <si>
    <t>elc_spv_ERI_002</t>
  </si>
  <si>
    <t>elc_spv_ERI_003</t>
  </si>
  <si>
    <t>elc_spv_ERI_004</t>
  </si>
  <si>
    <t>elc_spv_ERI_005</t>
  </si>
  <si>
    <t>elc_spv_ESP_001</t>
  </si>
  <si>
    <t>elc_spv_ESP_002</t>
  </si>
  <si>
    <t>elc_spv_ESP_003</t>
  </si>
  <si>
    <t>elc_spv_ESP_004</t>
  </si>
  <si>
    <t>elc_spv_ESP_005</t>
  </si>
  <si>
    <t>elc_spv_ESP_006</t>
  </si>
  <si>
    <t>elc_spv_ESP_007</t>
  </si>
  <si>
    <t>elc_spv_ESP_008</t>
  </si>
  <si>
    <t>elc_spv_EST_001</t>
  </si>
  <si>
    <t>elc_spv_EST_002</t>
  </si>
  <si>
    <t>elc_spv_EST_003</t>
  </si>
  <si>
    <t>elc_spv_EST_004</t>
  </si>
  <si>
    <t>elc_spv_ETH_001</t>
  </si>
  <si>
    <t>elc_spv_ETH_002</t>
  </si>
  <si>
    <t>elc_spv_ETH_003</t>
  </si>
  <si>
    <t>elc_spv_ETH_004</t>
  </si>
  <si>
    <t>elc_spv_ETH_005</t>
  </si>
  <si>
    <t>elc_spv_ETH_006</t>
  </si>
  <si>
    <t>elc_spv_ETH_007</t>
  </si>
  <si>
    <t>elc_spv_ETH_008</t>
  </si>
  <si>
    <t>elc_spv_ETH_009</t>
  </si>
  <si>
    <t>elc_spv_ETH_010</t>
  </si>
  <si>
    <t>elc_spv_ETH_011</t>
  </si>
  <si>
    <t>elc_spv_ETH_012</t>
  </si>
  <si>
    <t>elc_spv_FRA_001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</si>
  <si>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</si>
  <si>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</si>
  <si>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</si>
  <si>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</si>
  <si>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</si>
  <si>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</si>
  <si>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</si>
  <si>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</si>
  <si>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elc_spv_GAB_001</t>
  </si>
  <si>
    <t>elc_spv_GAB_002</t>
  </si>
  <si>
    <t>elc_spv_GAB_003</t>
  </si>
  <si>
    <t>elc_spv_GAB_004</t>
  </si>
  <si>
    <t>elc_spv_GAB_005</t>
  </si>
  <si>
    <t>elc_spv_GBR_001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</si>
  <si>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</si>
  <si>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</si>
  <si>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</si>
  <si>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</si>
  <si>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</si>
  <si>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</si>
  <si>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elc_spv_GEO_001</t>
  </si>
  <si>
    <t>elc_spv_GEO_002</t>
  </si>
  <si>
    <t>elc_spv_GEO_003</t>
  </si>
  <si>
    <t>elc_spv_GEO_004</t>
  </si>
  <si>
    <t>elc_spv_GHA_001</t>
  </si>
  <si>
    <t>elc_spv_GHA_002</t>
  </si>
  <si>
    <t>elc_spv_GHA_003</t>
  </si>
  <si>
    <t>elc_spv_GHA_004</t>
  </si>
  <si>
    <t>elc_spv_GHA_005</t>
  </si>
  <si>
    <t>elc_spv_GHA_006</t>
  </si>
  <si>
    <t>elc_spv_GIN_001</t>
  </si>
  <si>
    <t>elc_spv_GIN_002</t>
  </si>
  <si>
    <t>elc_spv_GIN_003</t>
  </si>
  <si>
    <t>elc_spv_GIN_004</t>
  </si>
  <si>
    <t>elc_spv_GIN_005</t>
  </si>
  <si>
    <t>elc_spv_GIN_006</t>
  </si>
  <si>
    <t>elc_spv_GNB_001</t>
  </si>
  <si>
    <t>elc_spv_GNB_002</t>
  </si>
  <si>
    <t>elc_spv_GNB_003</t>
  </si>
  <si>
    <t>elc_spv_GNQ_001</t>
  </si>
  <si>
    <t>elc_spv_GNQ_002</t>
  </si>
  <si>
    <t>elc_spv_GRC_001</t>
  </si>
  <si>
    <t>elc_spv_GRC_002</t>
  </si>
  <si>
    <t>elc_spv_GRC_003</t>
  </si>
  <si>
    <t>elc_spv_GRC_004</t>
  </si>
  <si>
    <t>elc_spv_GRC_005</t>
  </si>
  <si>
    <t>elc_spv_GRC_006</t>
  </si>
  <si>
    <t>elc_spv_GTM_001</t>
  </si>
  <si>
    <t>elc_spv_GTM_002</t>
  </si>
  <si>
    <t>elc_spv_GTM_003</t>
  </si>
  <si>
    <t>elc_spv_GTM_004</t>
  </si>
  <si>
    <t>elc_spv_GTM_005</t>
  </si>
  <si>
    <t>elc_spv_GUY_001</t>
  </si>
  <si>
    <t>elc_spv_GUY_002</t>
  </si>
  <si>
    <t>elc_spv_GUY_003</t>
  </si>
  <si>
    <t>elc_spv_GUY_004</t>
  </si>
  <si>
    <t>elc_spv_HKG_001</t>
  </si>
  <si>
    <t>elc_spv_HKG_002</t>
  </si>
  <si>
    <t>elc_spv_HKG_003</t>
  </si>
  <si>
    <t>elc_spv_HKG_004</t>
  </si>
  <si>
    <t>elc_spv_HND_001</t>
  </si>
  <si>
    <t>elc_spv_HND_002</t>
  </si>
  <si>
    <t>elc_spv_HND_003</t>
  </si>
  <si>
    <t>elc_spv_HND_004</t>
  </si>
  <si>
    <t>elc_spv_HND_005</t>
  </si>
  <si>
    <t>elc_spv_HRV_001</t>
  </si>
  <si>
    <t>elc_spv_HRV_002</t>
  </si>
  <si>
    <t>elc_spv_HRV_003</t>
  </si>
  <si>
    <t>elc_spv_HRV_004</t>
  </si>
  <si>
    <t>elc_spv_HRV_005</t>
  </si>
  <si>
    <t>elc_spv_HRV_006</t>
  </si>
  <si>
    <t>elc_spv_HTI_001</t>
  </si>
  <si>
    <t>elc_spv_HTI_002</t>
  </si>
  <si>
    <t>elc_spv_HTI_003</t>
  </si>
  <si>
    <t>elc_spv_HUN_001</t>
  </si>
  <si>
    <t>elc_spv_HUN_002</t>
  </si>
  <si>
    <t>elc_spv_HUN_003</t>
  </si>
  <si>
    <t>elc_spv_HUN_004</t>
  </si>
  <si>
    <t>elc_spv_IDN_001</t>
  </si>
  <si>
    <t>elc_spv_IDN_002</t>
  </si>
  <si>
    <t>elc_spv_IDN_003</t>
  </si>
  <si>
    <t>elc_spv_IDN_004</t>
  </si>
  <si>
    <t>elc_spv_IDN_005</t>
  </si>
  <si>
    <t>elc_spv_IDN_006</t>
  </si>
  <si>
    <t>elc_spv_IDN_007</t>
  </si>
  <si>
    <t>elc_spv_IDN_008</t>
  </si>
  <si>
    <t>elc_spv_IDN_009</t>
  </si>
  <si>
    <t>elc_spv_IDN_010</t>
  </si>
  <si>
    <t>elc_spv_IDN_011</t>
  </si>
  <si>
    <t>elc_spv_IDN_012</t>
  </si>
  <si>
    <t>elc_spv_IDN_013</t>
  </si>
  <si>
    <t>elc_spv_IDN_014</t>
  </si>
  <si>
    <t>elc_spv_IDN_015</t>
  </si>
  <si>
    <t>elc_spv_IDN_016</t>
  </si>
  <si>
    <t>elc_spv_IDN_017</t>
  </si>
  <si>
    <t>elc_spv_IND_001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</si>
  <si>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</si>
  <si>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</si>
  <si>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</si>
  <si>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</si>
  <si>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</si>
  <si>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</si>
  <si>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</si>
  <si>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</si>
  <si>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</si>
  <si>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</si>
  <si>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</si>
  <si>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</si>
  <si>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</si>
  <si>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</si>
  <si>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</si>
  <si>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</si>
  <si>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</si>
  <si>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elc_spv_IRL_001</t>
  </si>
  <si>
    <t>elc_spv_IRL_002</t>
  </si>
  <si>
    <t>elc_spv_IRL_003</t>
  </si>
  <si>
    <t>elc_spv_IRL_004</t>
  </si>
  <si>
    <t>elc_spv_IRN_001</t>
  </si>
  <si>
    <t>elc_spv_IRN_002</t>
  </si>
  <si>
    <t>elc_spv_IRN_003</t>
  </si>
  <si>
    <t>elc_spv_IRN_004</t>
  </si>
  <si>
    <t>elc_spv_IRN_005</t>
  </si>
  <si>
    <t>elc_spv_IRN_006</t>
  </si>
  <si>
    <t>elc_spv_IRN_007</t>
  </si>
  <si>
    <t>elc_spv_IRN_008</t>
  </si>
  <si>
    <t>elc_spv_IRN_009</t>
  </si>
  <si>
    <t>elc_spv_IRN_010</t>
  </si>
  <si>
    <t>elc_spv_IRN_011</t>
  </si>
  <si>
    <t>elc_spv_IRN_012</t>
  </si>
  <si>
    <t>elc_spv_IRN_013</t>
  </si>
  <si>
    <t>elc_spv_IRN_014</t>
  </si>
  <si>
    <t>elc_spv_IRQ_001</t>
  </si>
  <si>
    <t>elc_spv_IRQ_002</t>
  </si>
  <si>
    <t>elc_spv_IRQ_003</t>
  </si>
  <si>
    <t>elc_spv_IRQ_004</t>
  </si>
  <si>
    <t>elc_spv_IRQ_005</t>
  </si>
  <si>
    <t>elc_spv_IRQ_006</t>
  </si>
  <si>
    <t>elc_spv_IRQ_007</t>
  </si>
  <si>
    <t>elc_spv_IRQ_008</t>
  </si>
  <si>
    <t>elc_spv_ISR_001</t>
  </si>
  <si>
    <t>elc_spv_ISR_002</t>
  </si>
  <si>
    <t>elc_spv_ISR_003</t>
  </si>
  <si>
    <t>elc_spv_ITA_001</t>
  </si>
  <si>
    <t>elc_spv_ITA_002</t>
  </si>
  <si>
    <t>elc_spv_ITA_003</t>
  </si>
  <si>
    <t>elc_spv_ITA_004</t>
  </si>
  <si>
    <t>elc_spv_ITA_005</t>
  </si>
  <si>
    <t>elc_spv_ITA_006</t>
  </si>
  <si>
    <t>elc_spv_ITA_007</t>
  </si>
  <si>
    <t>elc_spv_ITA_008</t>
  </si>
  <si>
    <t>elc_spv_JAM_001</t>
  </si>
  <si>
    <t>elc_spv_JAM_002</t>
  </si>
  <si>
    <t>elc_spv_JOR_001</t>
  </si>
  <si>
    <t>elc_spv_JOR_002</t>
  </si>
  <si>
    <t>elc_spv_JOR_003</t>
  </si>
  <si>
    <t>elc_spv_JOR_004</t>
  </si>
  <si>
    <t>elc_spv_JPN_001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</si>
  <si>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</si>
  <si>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</si>
  <si>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</si>
  <si>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</si>
  <si>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</si>
  <si>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</si>
  <si>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</si>
  <si>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</si>
  <si>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elc_spv_KAZ_001</t>
  </si>
  <si>
    <t>elc_spv_KAZ_002</t>
  </si>
  <si>
    <t>elc_spv_KAZ_003</t>
  </si>
  <si>
    <t>elc_spv_KAZ_004</t>
  </si>
  <si>
    <t>elc_spv_KAZ_005</t>
  </si>
  <si>
    <t>elc_spv_KAZ_006</t>
  </si>
  <si>
    <t>elc_spv_KAZ_007</t>
  </si>
  <si>
    <t>elc_spv_KAZ_008</t>
  </si>
  <si>
    <t>elc_spv_KAZ_009</t>
  </si>
  <si>
    <t>elc_spv_KAZ_010</t>
  </si>
  <si>
    <t>elc_spv_KAZ_011</t>
  </si>
  <si>
    <t>elc_spv_KAZ_012</t>
  </si>
  <si>
    <t>elc_spv_KAZ_013</t>
  </si>
  <si>
    <t>elc_spv_KAZ_014</t>
  </si>
  <si>
    <t>elc_spv_KAZ_015</t>
  </si>
  <si>
    <t>elc_spv_KAZ_016</t>
  </si>
  <si>
    <t>elc_spv_KAZ_017</t>
  </si>
  <si>
    <t>elc_spv_KEN_001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</si>
  <si>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</si>
  <si>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</si>
  <si>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</si>
  <si>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</si>
  <si>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</si>
  <si>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</si>
  <si>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</si>
  <si>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</si>
  <si>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elc_spv_KGZ_001</t>
  </si>
  <si>
    <t>elc_spv_KGZ_002</t>
  </si>
  <si>
    <t>elc_spv_KGZ_003</t>
  </si>
  <si>
    <t>elc_spv_KGZ_004</t>
  </si>
  <si>
    <t>elc_spv_KGZ_005</t>
  </si>
  <si>
    <t>elc_spv_KHM_001</t>
  </si>
  <si>
    <t>elc_spv_KHM_002</t>
  </si>
  <si>
    <t>elc_spv_KHM_003</t>
  </si>
  <si>
    <t>elc_spv_KHM_004</t>
  </si>
  <si>
    <t>elc_spv_KHM_005</t>
  </si>
  <si>
    <t>elc_spv_KHM_006</t>
  </si>
  <si>
    <t>elc_spv_KOR_001</t>
  </si>
  <si>
    <t>elc_spv_KOR_002</t>
  </si>
  <si>
    <t>elc_spv_KOR_003</t>
  </si>
  <si>
    <t>elc_spv_KOR_004</t>
  </si>
  <si>
    <t>elc_spv_KOR_005</t>
  </si>
  <si>
    <t>elc_spv_KWT_001</t>
  </si>
  <si>
    <t>elc_spv_KWT_002</t>
  </si>
  <si>
    <t>elc_spv_LAO_001</t>
  </si>
  <si>
    <t>elc_spv_LAO_002</t>
  </si>
  <si>
    <t>elc_spv_LAO_003</t>
  </si>
  <si>
    <t>elc_spv_LAO_004</t>
  </si>
  <si>
    <t>elc_spv_LAO_005</t>
  </si>
  <si>
    <t>elc_spv_LAO_006</t>
  </si>
  <si>
    <t>elc_spv_LAO_007</t>
  </si>
  <si>
    <t>elc_spv_LBN_001</t>
  </si>
  <si>
    <t>elc_spv_LBN_002</t>
  </si>
  <si>
    <t>elc_spv_LBR_001</t>
  </si>
  <si>
    <t>elc_spv_LBR_002</t>
  </si>
  <si>
    <t>elc_spv_LBR_003</t>
  </si>
  <si>
    <t>elc_spv_LBR_004</t>
  </si>
  <si>
    <t>elc_spv_LBY_001</t>
  </si>
  <si>
    <t>elc_spv_LBY_002</t>
  </si>
  <si>
    <t>elc_spv_LBY_003</t>
  </si>
  <si>
    <t>elc_spv_LBY_004</t>
  </si>
  <si>
    <t>elc_spv_LBY_005</t>
  </si>
  <si>
    <t>elc_spv_LBY_006</t>
  </si>
  <si>
    <t>elc_spv_LBY_007</t>
  </si>
  <si>
    <t>elc_spv_LBY_008</t>
  </si>
  <si>
    <t>elc_spv_LBY_009</t>
  </si>
  <si>
    <t>elc_spv_LBY_010</t>
  </si>
  <si>
    <t>elc_spv_LBY_011</t>
  </si>
  <si>
    <t>elc_spv_LBY_012</t>
  </si>
  <si>
    <t>elc_spv_LBY_013</t>
  </si>
  <si>
    <t>elc_spv_LBY_014</t>
  </si>
  <si>
    <t>elc_spv_LKA_001</t>
  </si>
  <si>
    <t>elc_spv_LKA_002</t>
  </si>
  <si>
    <t>elc_spv_LKA_003</t>
  </si>
  <si>
    <t>elc_spv_LKA_004</t>
  </si>
  <si>
    <t>elc_spv_LSO_001</t>
  </si>
  <si>
    <t>elc_spv_LSO_002</t>
  </si>
  <si>
    <t>elc_spv_LSO_003</t>
  </si>
  <si>
    <t>elc_spv_LTU_001</t>
  </si>
  <si>
    <t>elc_spv_LTU_002</t>
  </si>
  <si>
    <t>elc_spv_LTU_003</t>
  </si>
  <si>
    <t>elc_spv_LTU_004</t>
  </si>
  <si>
    <t>elc_spv_LUX_001</t>
  </si>
  <si>
    <t>elc_spv_LUX_002</t>
  </si>
  <si>
    <t>elc_spv_LUX_003</t>
  </si>
  <si>
    <t>elc_spv_LUX_004</t>
  </si>
  <si>
    <t>elc_spv_LUX_005</t>
  </si>
  <si>
    <t>elc_spv_LUX_006</t>
  </si>
  <si>
    <t>elc_spv_LVA_001</t>
  </si>
  <si>
    <t>elc_spv_LVA_002</t>
  </si>
  <si>
    <t>elc_spv_LVA_003</t>
  </si>
  <si>
    <t>elc_spv_LVA_004</t>
  </si>
  <si>
    <t>elc_spv_MAR_001</t>
  </si>
  <si>
    <t>elc_spv_MAR_002</t>
  </si>
  <si>
    <t>elc_spv_MAR_003</t>
  </si>
  <si>
    <t>elc_spv_MAR_004</t>
  </si>
  <si>
    <t>elc_spv_MAR_005</t>
  </si>
  <si>
    <t>elc_spv_MAR_006</t>
  </si>
  <si>
    <t>elc_spv_MAR_007</t>
  </si>
  <si>
    <t>elc_spv_MAR_008</t>
  </si>
  <si>
    <t>elc_spv_MDA_001</t>
  </si>
  <si>
    <t>elc_spv_MDA_002</t>
  </si>
  <si>
    <t>elc_spv_MDA_003</t>
  </si>
  <si>
    <t>elc_spv_MDG_001</t>
  </si>
  <si>
    <t>elc_spv_MDG_002</t>
  </si>
  <si>
    <t>elc_spv_MDG_003</t>
  </si>
  <si>
    <t>elc_spv_MDG_004</t>
  </si>
  <si>
    <t>elc_spv_MDG_005</t>
  </si>
  <si>
    <t>elc_spv_MDG_006</t>
  </si>
  <si>
    <t>elc_spv_MDG_007</t>
  </si>
  <si>
    <t>elc_spv_MDG_008</t>
  </si>
  <si>
    <t>elc_spv_MDG_009</t>
  </si>
  <si>
    <t>elc_spv_MEX_001</t>
  </si>
  <si>
    <t>elc_spv_MEX_002</t>
  </si>
  <si>
    <t>elc_spv_MEX_003</t>
  </si>
  <si>
    <t>elc_spv_MEX_004</t>
  </si>
  <si>
    <t>elc_spv_MEX_005</t>
  </si>
  <si>
    <t>elc_spv_MEX_006</t>
  </si>
  <si>
    <t>elc_spv_MEX_007</t>
  </si>
  <si>
    <t>elc_spv_MEX_008</t>
  </si>
  <si>
    <t>elc_spv_MEX_009</t>
  </si>
  <si>
    <t>elc_spv_MEX_010</t>
  </si>
  <si>
    <t>elc_spv_MEX_011</t>
  </si>
  <si>
    <t>elc_spv_MEX_012</t>
  </si>
  <si>
    <t>elc_spv_MEX_013</t>
  </si>
  <si>
    <t>elc_spv_MEX_014</t>
  </si>
  <si>
    <t>elc_spv_MEX_015</t>
  </si>
  <si>
    <t>elc_spv_MKD_001</t>
  </si>
  <si>
    <t>elc_spv_MKD_002</t>
  </si>
  <si>
    <t>elc_spv_MKD_003</t>
  </si>
  <si>
    <t>elc_spv_MKD_004</t>
  </si>
  <si>
    <t>elc_spv_MLI_001</t>
  </si>
  <si>
    <t>elc_spv_MLI_002</t>
  </si>
  <si>
    <t>elc_spv_MLI_003</t>
  </si>
  <si>
    <t>elc_spv_MLI_004</t>
  </si>
  <si>
    <t>elc_spv_MLI_005</t>
  </si>
  <si>
    <t>elc_spv_MLI_006</t>
  </si>
  <si>
    <t>elc_spv_MLI_007</t>
  </si>
  <si>
    <t>elc_spv_MLI_008</t>
  </si>
  <si>
    <t>elc_spv_MLI_009</t>
  </si>
  <si>
    <t>elc_spv_MLI_010</t>
  </si>
  <si>
    <t>elc_spv_MLI_011</t>
  </si>
  <si>
    <t>elc_spv_MLI_012</t>
  </si>
  <si>
    <t>elc_spv_MMR_001</t>
  </si>
  <si>
    <t>elc_spv_MMR_002</t>
  </si>
  <si>
    <t>elc_spv_MMR_003</t>
  </si>
  <si>
    <t>elc_spv_MMR_004</t>
  </si>
  <si>
    <t>elc_spv_MMR_005</t>
  </si>
  <si>
    <t>elc_spv_MMR_006</t>
  </si>
  <si>
    <t>elc_spv_MMR_007</t>
  </si>
  <si>
    <t>elc_spv_MMR_008</t>
  </si>
  <si>
    <t>elc_spv_MMR_009</t>
  </si>
  <si>
    <t>elc_spv_MMR_010</t>
  </si>
  <si>
    <t>elc_spv_MNE_001</t>
  </si>
  <si>
    <t>elc_spv_MNE_002</t>
  </si>
  <si>
    <t>elc_spv_MNE_003</t>
  </si>
  <si>
    <t>elc_spv_MNG_001</t>
  </si>
  <si>
    <t>elc_spv_MNG_002</t>
  </si>
  <si>
    <t>elc_spv_MNG_003</t>
  </si>
  <si>
    <t>elc_spv_MNG_004</t>
  </si>
  <si>
    <t>elc_spv_MNG_005</t>
  </si>
  <si>
    <t>elc_spv_MNG_006</t>
  </si>
  <si>
    <t>elc_spv_MNG_007</t>
  </si>
  <si>
    <t>elc_spv_MNG_008</t>
  </si>
  <si>
    <t>elc_spv_MNG_009</t>
  </si>
  <si>
    <t>elc_spv_MNG_010</t>
  </si>
  <si>
    <t>elc_spv_MNG_011</t>
  </si>
  <si>
    <t>elc_spv_MNG_012</t>
  </si>
  <si>
    <t>elc_spv_MNG_013</t>
  </si>
  <si>
    <t>elc_spv_MNG_014</t>
  </si>
  <si>
    <t>elc_spv_MOZ_001</t>
  </si>
  <si>
    <t>elc_spv_MOZ_002</t>
  </si>
  <si>
    <t>elc_spv_MOZ_003</t>
  </si>
  <si>
    <t>elc_spv_MOZ_004</t>
  </si>
  <si>
    <t>elc_spv_MOZ_005</t>
  </si>
  <si>
    <t>elc_spv_MOZ_006</t>
  </si>
  <si>
    <t>elc_spv_MOZ_007</t>
  </si>
  <si>
    <t>elc_spv_MOZ_008</t>
  </si>
  <si>
    <t>elc_spv_MOZ_009</t>
  </si>
  <si>
    <t>elc_spv_MOZ_010</t>
  </si>
  <si>
    <t>elc_spv_MRT_001</t>
  </si>
  <si>
    <t>elc_spv_MRT_002</t>
  </si>
  <si>
    <t>elc_spv_MRT_003</t>
  </si>
  <si>
    <t>elc_spv_MRT_004</t>
  </si>
  <si>
    <t>elc_spv_MRT_005</t>
  </si>
  <si>
    <t>elc_spv_MRT_006</t>
  </si>
  <si>
    <t>elc_spv_MRT_007</t>
  </si>
  <si>
    <t>elc_spv_MRT_008</t>
  </si>
  <si>
    <t>elc_spv_MRT_009</t>
  </si>
  <si>
    <t>elc_spv_MRT_010</t>
  </si>
  <si>
    <t>elc_spv_MRT_011</t>
  </si>
  <si>
    <t>elc_spv_MWI_001</t>
  </si>
  <si>
    <t>elc_spv_MWI_002</t>
  </si>
  <si>
    <t>elc_spv_MWI_003</t>
  </si>
  <si>
    <t>elc_spv_MWI_004</t>
  </si>
  <si>
    <t>elc_spv_MWI_005</t>
  </si>
  <si>
    <t>elc_spv_MYS_001</t>
  </si>
  <si>
    <t>elc_spv_MYS_002</t>
  </si>
  <si>
    <t>elc_spv_MYS_003</t>
  </si>
  <si>
    <t>elc_spv_MYS_004</t>
  </si>
  <si>
    <t>elc_spv_MYS_005</t>
  </si>
  <si>
    <t>elc_spv_MYS_006</t>
  </si>
  <si>
    <t>elc_spv_MYS_007</t>
  </si>
  <si>
    <t>elc_spv_MYS_008</t>
  </si>
  <si>
    <t>elc_spv_NAM_001</t>
  </si>
  <si>
    <t>elc_spv_NAM_002</t>
  </si>
  <si>
    <t>elc_spv_NAM_003</t>
  </si>
  <si>
    <t>elc_spv_NAM_004</t>
  </si>
  <si>
    <t>elc_spv_NAM_005</t>
  </si>
  <si>
    <t>elc_spv_NAM_006</t>
  </si>
  <si>
    <t>elc_spv_NAM_007</t>
  </si>
  <si>
    <t>elc_spv_NAM_008</t>
  </si>
  <si>
    <t>elc_spv_NAM_009</t>
  </si>
  <si>
    <t>elc_spv_NAM_010</t>
  </si>
  <si>
    <t>elc_spv_NCL_001</t>
  </si>
  <si>
    <t>elc_spv_NCL_002</t>
  </si>
  <si>
    <t>elc_spv_NCL_003</t>
  </si>
  <si>
    <t>elc_spv_NER_001</t>
  </si>
  <si>
    <t>elc_spv_NER_002</t>
  </si>
  <si>
    <t>elc_spv_NER_003</t>
  </si>
  <si>
    <t>elc_spv_NER_004</t>
  </si>
  <si>
    <t>elc_spv_NER_005</t>
  </si>
  <si>
    <t>elc_spv_NER_006</t>
  </si>
  <si>
    <t>elc_spv_NER_007</t>
  </si>
  <si>
    <t>elc_spv_NER_008</t>
  </si>
  <si>
    <t>elc_spv_NER_009</t>
  </si>
  <si>
    <t>elc_spv_NER_010</t>
  </si>
  <si>
    <t>elc_spv_NER_011</t>
  </si>
  <si>
    <t>elc_spv_NER_012</t>
  </si>
  <si>
    <t>elc_spv_NGA_001</t>
  </si>
  <si>
    <t>elc_spv_NGA_002</t>
  </si>
  <si>
    <t>elc_spv_NGA_003</t>
  </si>
  <si>
    <t>elc_spv_NGA_004</t>
  </si>
  <si>
    <t>elc_spv_NGA_005</t>
  </si>
  <si>
    <t>elc_spv_NGA_006</t>
  </si>
  <si>
    <t>elc_spv_NGA_007</t>
  </si>
  <si>
    <t>elc_spv_NGA_008</t>
  </si>
  <si>
    <t>elc_spv_NGA_009</t>
  </si>
  <si>
    <t>elc_spv_NGA_010</t>
  </si>
  <si>
    <t>elc_spv_NGA_011</t>
  </si>
  <si>
    <t>elc_spv_NIC_001</t>
  </si>
  <si>
    <t>elc_spv_NIC_002</t>
  </si>
  <si>
    <t>elc_spv_NIC_003</t>
  </si>
  <si>
    <t>elc_spv_NIC_004</t>
  </si>
  <si>
    <t>elc_spv_NIC_005</t>
  </si>
  <si>
    <t>elc_spv_NLD_001</t>
  </si>
  <si>
    <t>elc_spv_NLD_002</t>
  </si>
  <si>
    <t>elc_spv_NLD_003</t>
  </si>
  <si>
    <t>elc_spv_NOR_001</t>
  </si>
  <si>
    <t>elc_spv_NOR_002</t>
  </si>
  <si>
    <t>elc_spv_NOR_003</t>
  </si>
  <si>
    <t>elc_spv_NOR_004</t>
  </si>
  <si>
    <t>elc_spv_NPL_001</t>
  </si>
  <si>
    <t>elc_spv_NPL_002</t>
  </si>
  <si>
    <t>elc_spv_NPL_003</t>
  </si>
  <si>
    <t>elc_spv_NPL_004</t>
  </si>
  <si>
    <t>elc_spv_NZL_001</t>
  </si>
  <si>
    <t>elc_spv_NZL_002</t>
  </si>
  <si>
    <t>elc_spv_NZL_003</t>
  </si>
  <si>
    <t>elc_spv_NZL_004</t>
  </si>
  <si>
    <t>elc_spv_NZL_005</t>
  </si>
  <si>
    <t>elc_spv_NZL_006</t>
  </si>
  <si>
    <t>elc_spv_OMN_001</t>
  </si>
  <si>
    <t>elc_spv_OMN_002</t>
  </si>
  <si>
    <t>elc_spv_OMN_003</t>
  </si>
  <si>
    <t>elc_spv_OMN_004</t>
  </si>
  <si>
    <t>elc_spv_OMN_005</t>
  </si>
  <si>
    <t>elc_spv_OMN_006</t>
  </si>
  <si>
    <t>elc_spv_OMN_007</t>
  </si>
  <si>
    <t>elc_spv_PAK_001</t>
  </si>
  <si>
    <t>elc_spv_PAK_002</t>
  </si>
  <si>
    <t>elc_spv_PAK_003</t>
  </si>
  <si>
    <t>elc_spv_PAK_004</t>
  </si>
  <si>
    <t>elc_spv_PAK_005</t>
  </si>
  <si>
    <t>elc_spv_PAK_006</t>
  </si>
  <si>
    <t>elc_spv_PAK_007</t>
  </si>
  <si>
    <t>elc_spv_PAK_008</t>
  </si>
  <si>
    <t>elc_spv_PAK_009</t>
  </si>
  <si>
    <t>elc_spv_PAK_010</t>
  </si>
  <si>
    <t>elc_spv_PAN_001</t>
  </si>
  <si>
    <t>elc_spv_PAN_002</t>
  </si>
  <si>
    <t>elc_spv_PAN_003</t>
  </si>
  <si>
    <t>elc_spv_PAN_004</t>
  </si>
  <si>
    <t>elc_spv_PER_001</t>
  </si>
  <si>
    <t>elc_spv_PER_002</t>
  </si>
  <si>
    <t>elc_spv_PER_003</t>
  </si>
  <si>
    <t>elc_spv_PER_004</t>
  </si>
  <si>
    <t>elc_spv_PER_005</t>
  </si>
  <si>
    <t>elc_spv_PER_006</t>
  </si>
  <si>
    <t>elc_spv_PER_007</t>
  </si>
  <si>
    <t>elc_spv_PER_008</t>
  </si>
  <si>
    <t>elc_spv_PER_009</t>
  </si>
  <si>
    <t>elc_spv_PER_010</t>
  </si>
  <si>
    <t>elc_spv_PER_011</t>
  </si>
  <si>
    <t>elc_spv_PHL_001</t>
  </si>
  <si>
    <t>elc_spv_PHL_002</t>
  </si>
  <si>
    <t>elc_spv_PHL_003</t>
  </si>
  <si>
    <t>elc_spv_PHL_004</t>
  </si>
  <si>
    <t>elc_spv_PHL_005</t>
  </si>
  <si>
    <t>elc_spv_PHL_006</t>
  </si>
  <si>
    <t>elc_spv_PHL_007</t>
  </si>
  <si>
    <t>elc_spv_PHL_008</t>
  </si>
  <si>
    <t>elc_spv_PHL_009</t>
  </si>
  <si>
    <t>elc_spv_PNG_001</t>
  </si>
  <si>
    <t>elc_spv_PNG_002</t>
  </si>
  <si>
    <t>elc_spv_PNG_003</t>
  </si>
  <si>
    <t>elc_spv_PNG_004</t>
  </si>
  <si>
    <t>elc_spv_PNG_005</t>
  </si>
  <si>
    <t>elc_spv_PNG_006</t>
  </si>
  <si>
    <t>elc_spv_PNG_007</t>
  </si>
  <si>
    <t>elc_spv_POL_001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</si>
  <si>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</si>
  <si>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</si>
  <si>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</si>
  <si>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</si>
  <si>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</si>
  <si>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</si>
  <si>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elc_spv_PRI_001</t>
  </si>
  <si>
    <t>elc_spv_PRI_002</t>
  </si>
  <si>
    <t>elc_spv_PRI_003</t>
  </si>
  <si>
    <t>elc_spv_PRK_001</t>
  </si>
  <si>
    <t>elc_spv_PRK_002</t>
  </si>
  <si>
    <t>elc_spv_PRK_003</t>
  </si>
  <si>
    <t>elc_spv_PRK_004</t>
  </si>
  <si>
    <t>elc_spv_PRK_005</t>
  </si>
  <si>
    <t>elc_spv_PRT_001</t>
  </si>
  <si>
    <t>elc_spv_PRT_002</t>
  </si>
  <si>
    <t>elc_spv_PRT_003</t>
  </si>
  <si>
    <t>elc_spv_PRT_004</t>
  </si>
  <si>
    <t>elc_spv_PRT_005</t>
  </si>
  <si>
    <t>elc_spv_PRY_001</t>
  </si>
  <si>
    <t>elc_spv_PRY_002</t>
  </si>
  <si>
    <t>elc_spv_PRY_003</t>
  </si>
  <si>
    <t>elc_spv_PRY_004</t>
  </si>
  <si>
    <t>elc_spv_PRY_005</t>
  </si>
  <si>
    <t>elc_spv_PRY_006</t>
  </si>
  <si>
    <t>elc_spv_PRY_007</t>
  </si>
  <si>
    <t>elc_spv_PRY_008</t>
  </si>
  <si>
    <t>elc_spv_QAT_001</t>
  </si>
  <si>
    <t>elc_spv_QAT_002</t>
  </si>
  <si>
    <t>elc_spv_QAT_003</t>
  </si>
  <si>
    <t>elc_spv_ROU_001</t>
  </si>
  <si>
    <t>elc_spv_ROU_002</t>
  </si>
  <si>
    <t>elc_spv_ROU_003</t>
  </si>
  <si>
    <t>elc_spv_ROU_004</t>
  </si>
  <si>
    <t>elc_spv_ROU_005</t>
  </si>
  <si>
    <t>elc_spv_ROU_006</t>
  </si>
  <si>
    <t>elc_spv_RUS_001</t>
  </si>
  <si>
    <t>elc_spv_RUS_002</t>
  </si>
  <si>
    <t>elc_spv_RUS_003</t>
  </si>
  <si>
    <t>elc_spv_RUS_004</t>
  </si>
  <si>
    <t>elc_spv_RUS_005</t>
  </si>
  <si>
    <t>elc_spv_RUS_006</t>
  </si>
  <si>
    <t>elc_spv_RUS_007</t>
  </si>
  <si>
    <t>elc_spv_RUS_008</t>
  </si>
  <si>
    <t>elc_spv_RUS_009</t>
  </si>
  <si>
    <t>elc_spv_RUS_010</t>
  </si>
  <si>
    <t>elc_spv_RUS_011</t>
  </si>
  <si>
    <t>elc_spv_RUS_012</t>
  </si>
  <si>
    <t>elc_spv_RUS_013</t>
  </si>
  <si>
    <t>elc_spv_RUS_014</t>
  </si>
  <si>
    <t>elc_spv_RUS_015</t>
  </si>
  <si>
    <t>elc_spv_RUS_016</t>
  </si>
  <si>
    <t>elc_spv_RUS_017</t>
  </si>
  <si>
    <t>elc_spv_RUS_018</t>
  </si>
  <si>
    <t>elc_spv_RUS_019</t>
  </si>
  <si>
    <t>elc_spv_RUS_020</t>
  </si>
  <si>
    <t>elc_spv_RUS_021</t>
  </si>
  <si>
    <t>elc_spv_RUS_022</t>
  </si>
  <si>
    <t>elc_spv_RUS_023</t>
  </si>
  <si>
    <t>elc_spv_RUS_024</t>
  </si>
  <si>
    <t>elc_spv_RWA_001</t>
  </si>
  <si>
    <t>elc_spv_RWA_002</t>
  </si>
  <si>
    <t>elc_spv_SAU_001</t>
  </si>
  <si>
    <t>elc_spv_SAU_002</t>
  </si>
  <si>
    <t>elc_spv_SAU_003</t>
  </si>
  <si>
    <t>elc_spv_SAU_004</t>
  </si>
  <si>
    <t>elc_spv_SAU_005</t>
  </si>
  <si>
    <t>elc_spv_SAU_006</t>
  </si>
  <si>
    <t>elc_spv_SAU_007</t>
  </si>
  <si>
    <t>elc_spv_SAU_008</t>
  </si>
  <si>
    <t>elc_spv_SAU_009</t>
  </si>
  <si>
    <t>elc_spv_SAU_010</t>
  </si>
  <si>
    <t>elc_spv_SAU_011</t>
  </si>
  <si>
    <t>elc_spv_SAU_012</t>
  </si>
  <si>
    <t>elc_spv_SAU_013</t>
  </si>
  <si>
    <t>elc_spv_SAU_014</t>
  </si>
  <si>
    <t>elc_spv_SAU_015</t>
  </si>
  <si>
    <t>elc_spv_SDN_001</t>
  </si>
  <si>
    <t>elc_spv_SDN_002</t>
  </si>
  <si>
    <t>elc_spv_SDN_003</t>
  </si>
  <si>
    <t>elc_spv_SDN_004</t>
  </si>
  <si>
    <t>elc_spv_SDN_005</t>
  </si>
  <si>
    <t>elc_spv_SDN_006</t>
  </si>
  <si>
    <t>elc_spv_SDN_007</t>
  </si>
  <si>
    <t>elc_spv_SDN_008</t>
  </si>
  <si>
    <t>elc_spv_SDN_009</t>
  </si>
  <si>
    <t>elc_spv_SDN_010</t>
  </si>
  <si>
    <t>elc_spv_SDN_011</t>
  </si>
  <si>
    <t>elc_spv_SDN_012</t>
  </si>
  <si>
    <t>elc_spv_SDN_013</t>
  </si>
  <si>
    <t>elc_spv_SDN_014</t>
  </si>
  <si>
    <t>elc_spv_SEN_001</t>
  </si>
  <si>
    <t>elc_spv_SEN_002</t>
  </si>
  <si>
    <t>elc_spv_SEN_003</t>
  </si>
  <si>
    <t>elc_spv_SEN_004</t>
  </si>
  <si>
    <t>elc_spv_SEN_005</t>
  </si>
  <si>
    <t>elc_spv_SEN_006</t>
  </si>
  <si>
    <t>elc_spv_SGP_001</t>
  </si>
  <si>
    <t>elc_spv_SGP_002</t>
  </si>
  <si>
    <t>elc_spv_SGP_003</t>
  </si>
  <si>
    <t>elc_spv_SGP_004</t>
  </si>
  <si>
    <t>elc_spv_SLE_001</t>
  </si>
  <si>
    <t>elc_spv_SLE_002</t>
  </si>
  <si>
    <t>elc_spv_SLE_003</t>
  </si>
  <si>
    <t>elc_spv_SLE_004</t>
  </si>
  <si>
    <t>elc_spv_SLV_001</t>
  </si>
  <si>
    <t>elc_spv_SLV_002</t>
  </si>
  <si>
    <t>elc_spv_SOM_001</t>
  </si>
  <si>
    <t>elc_spv_SOM_002</t>
  </si>
  <si>
    <t>elc_spv_SOM_003</t>
  </si>
  <si>
    <t>elc_spv_SOM_004</t>
  </si>
  <si>
    <t>elc_spv_SOM_005</t>
  </si>
  <si>
    <t>elc_spv_SOM_006</t>
  </si>
  <si>
    <t>elc_spv_SOM_007</t>
  </si>
  <si>
    <t>elc_spv_SOM_008</t>
  </si>
  <si>
    <t>elc_spv_SOM_009</t>
  </si>
  <si>
    <t>elc_spv_SRB_001</t>
  </si>
  <si>
    <t>elc_spv_SRB_002</t>
  </si>
  <si>
    <t>elc_spv_SRB_003</t>
  </si>
  <si>
    <t>elc_spv_SRB_004</t>
  </si>
  <si>
    <t>elc_spv_SRB_005</t>
  </si>
  <si>
    <t>elc_spv_SRB_006</t>
  </si>
  <si>
    <t>elc_spv_SSD_001</t>
  </si>
  <si>
    <t>elc_spv_SSD_002</t>
  </si>
  <si>
    <t>elc_spv_SSD_003</t>
  </si>
  <si>
    <t>elc_spv_SSD_004</t>
  </si>
  <si>
    <t>elc_spv_SSD_005</t>
  </si>
  <si>
    <t>elc_spv_SSD_006</t>
  </si>
  <si>
    <t>elc_spv_SSD_007</t>
  </si>
  <si>
    <t>elc_spv_SSD_008</t>
  </si>
  <si>
    <t>elc_spv_SSD_009</t>
  </si>
  <si>
    <t>elc_spv_SUR_001</t>
  </si>
  <si>
    <t>elc_spv_SUR_002</t>
  </si>
  <si>
    <t>elc_spv_SUR_003</t>
  </si>
  <si>
    <t>elc_spv_SVK_001</t>
  </si>
  <si>
    <t>elc_spv_SVK_002</t>
  </si>
  <si>
    <t>elc_spv_SVK_003</t>
  </si>
  <si>
    <t>elc_spv_SVN_001</t>
  </si>
  <si>
    <t>elc_spv_SVN_002</t>
  </si>
  <si>
    <t>elc_spv_SWE_001</t>
  </si>
  <si>
    <t>elc_spv_SWE_002</t>
  </si>
  <si>
    <t>elc_spv_SWE_003</t>
  </si>
  <si>
    <t>elc_spv_SWE_004</t>
  </si>
  <si>
    <t>elc_spv_SWE_005</t>
  </si>
  <si>
    <t>elc_spv_SYR_001</t>
  </si>
  <si>
    <t>elc_spv_SYR_002</t>
  </si>
  <si>
    <t>elc_spv_SYR_003</t>
  </si>
  <si>
    <t>elc_spv_SYR_004</t>
  </si>
  <si>
    <t>elc_spv_SYR_005</t>
  </si>
  <si>
    <t>elc_spv_SYR_006</t>
  </si>
  <si>
    <t>elc_spv_TCD_001</t>
  </si>
  <si>
    <t>elc_spv_TCD_002</t>
  </si>
  <si>
    <t>elc_spv_TCD_003</t>
  </si>
  <si>
    <t>elc_spv_TCD_004</t>
  </si>
  <si>
    <t>elc_spv_TCD_005</t>
  </si>
  <si>
    <t>elc_spv_TCD_006</t>
  </si>
  <si>
    <t>elc_spv_TCD_007</t>
  </si>
  <si>
    <t>elc_spv_TCD_008</t>
  </si>
  <si>
    <t>elc_spv_TCD_009</t>
  </si>
  <si>
    <t>elc_spv_TCD_010</t>
  </si>
  <si>
    <t>elc_spv_TCD_011</t>
  </si>
  <si>
    <t>elc_spv_TCD_012</t>
  </si>
  <si>
    <t>elc_spv_TGO_001</t>
  </si>
  <si>
    <t>elc_spv_TGO_002</t>
  </si>
  <si>
    <t>elc_spv_TGO_003</t>
  </si>
  <si>
    <t>elc_spv_TGO_004</t>
  </si>
  <si>
    <t>elc_spv_THA_001</t>
  </si>
  <si>
    <t>elc_spv_THA_002</t>
  </si>
  <si>
    <t>elc_spv_THA_003</t>
  </si>
  <si>
    <t>elc_spv_THA_004</t>
  </si>
  <si>
    <t>elc_spv_THA_005</t>
  </si>
  <si>
    <t>elc_spv_THA_006</t>
  </si>
  <si>
    <t>elc_spv_THA_007</t>
  </si>
  <si>
    <t>elc_spv_THA_008</t>
  </si>
  <si>
    <t>elc_spv_THA_009</t>
  </si>
  <si>
    <t>elc_spv_TJK_001</t>
  </si>
  <si>
    <t>elc_spv_TJK_002</t>
  </si>
  <si>
    <t>elc_spv_TJK_003</t>
  </si>
  <si>
    <t>elc_spv_TJK_004</t>
  </si>
  <si>
    <t>elc_spv_TKM_001</t>
  </si>
  <si>
    <t>elc_spv_TKM_002</t>
  </si>
  <si>
    <t>elc_spv_TKM_003</t>
  </si>
  <si>
    <t>elc_spv_TKM_004</t>
  </si>
  <si>
    <t>elc_spv_TKM_005</t>
  </si>
  <si>
    <t>elc_spv_TKM_006</t>
  </si>
  <si>
    <t>elc_spv_TKM_007</t>
  </si>
  <si>
    <t>elc_spv_TKM_008</t>
  </si>
  <si>
    <t>elc_spv_TKM_009</t>
  </si>
  <si>
    <t>elc_spv_TUN_001</t>
  </si>
  <si>
    <t>elc_spv_TUN_002</t>
  </si>
  <si>
    <t>elc_spv_TUN_003</t>
  </si>
  <si>
    <t>elc_spv_TUN_004</t>
  </si>
  <si>
    <t>elc_spv_TUN_005</t>
  </si>
  <si>
    <t>elc_spv_TUR_001</t>
  </si>
  <si>
    <t>elc_spv_TUR_002</t>
  </si>
  <si>
    <t>elc_spv_TUR_003</t>
  </si>
  <si>
    <t>elc_spv_TUR_004</t>
  </si>
  <si>
    <t>elc_spv_TUR_005</t>
  </si>
  <si>
    <t>elc_spv_TUR_006</t>
  </si>
  <si>
    <t>elc_spv_TUR_007</t>
  </si>
  <si>
    <t>elc_spv_TUR_008</t>
  </si>
  <si>
    <t>elc_spv_TUR_009</t>
  </si>
  <si>
    <t>elc_spv_TUR_010</t>
  </si>
  <si>
    <t>elc_spv_TWN_001</t>
  </si>
  <si>
    <t>elc_spv_TWN_002</t>
  </si>
  <si>
    <t>elc_spv_TWN_003</t>
  </si>
  <si>
    <t>elc_spv_TZA_001</t>
  </si>
  <si>
    <t>elc_spv_TZA_002</t>
  </si>
  <si>
    <t>elc_spv_TZA_003</t>
  </si>
  <si>
    <t>elc_spv_TZA_004</t>
  </si>
  <si>
    <t>elc_spv_TZA_005</t>
  </si>
  <si>
    <t>elc_spv_TZA_006</t>
  </si>
  <si>
    <t>elc_spv_TZA_007</t>
  </si>
  <si>
    <t>elc_spv_TZA_008</t>
  </si>
  <si>
    <t>elc_spv_TZA_009</t>
  </si>
  <si>
    <t>elc_spv_TZA_010</t>
  </si>
  <si>
    <t>elc_spv_TZA_011</t>
  </si>
  <si>
    <t>elc_spv_UGA_001</t>
  </si>
  <si>
    <t>elc_spv_UGA_002</t>
  </si>
  <si>
    <t>elc_spv_UGA_003</t>
  </si>
  <si>
    <t>elc_spv_UGA_004</t>
  </si>
  <si>
    <t>elc_spv_UGA_005</t>
  </si>
  <si>
    <t>elc_spv_UGA_006</t>
  </si>
  <si>
    <t>elc_spv_UKR_001</t>
  </si>
  <si>
    <t>elc_spv_UKR_002</t>
  </si>
  <si>
    <t>elc_spv_UKR_003</t>
  </si>
  <si>
    <t>elc_spv_UKR_004</t>
  </si>
  <si>
    <t>elc_spv_UKR_005</t>
  </si>
  <si>
    <t>elc_spv_UKR_006</t>
  </si>
  <si>
    <t>elc_spv_UKR_007</t>
  </si>
  <si>
    <t>elc_spv_UKR_008</t>
  </si>
  <si>
    <t>elc_spv_UKR_009</t>
  </si>
  <si>
    <t>elc_spv_URY_001</t>
  </si>
  <si>
    <t>elc_spv_URY_002</t>
  </si>
  <si>
    <t>elc_spv_URY_003</t>
  </si>
  <si>
    <t>elc_spv_URY_004</t>
  </si>
  <si>
    <t>elc_spv_URY_005</t>
  </si>
  <si>
    <t>elc_spv_USA_001</t>
  </si>
  <si>
    <t>elc_spv_USA_002</t>
  </si>
  <si>
    <t>elc_spv_USA_003</t>
  </si>
  <si>
    <t>elc_spv_USA_004</t>
  </si>
  <si>
    <t>elc_spv_USA_005</t>
  </si>
  <si>
    <t>elc_spv_USA_006</t>
  </si>
  <si>
    <t>elc_spv_USA_007</t>
  </si>
  <si>
    <t>elc_spv_USA_008</t>
  </si>
  <si>
    <t>elc_spv_USA_009</t>
  </si>
  <si>
    <t>elc_spv_USA_010</t>
  </si>
  <si>
    <t>elc_spv_USA_011</t>
  </si>
  <si>
    <t>elc_spv_USA_012</t>
  </si>
  <si>
    <t>elc_spv_USA_013</t>
  </si>
  <si>
    <t>elc_spv_USA_014</t>
  </si>
  <si>
    <t>elc_spv_USA_015</t>
  </si>
  <si>
    <t>elc_spv_USA_016</t>
  </si>
  <si>
    <t>elc_spv_USA_017</t>
  </si>
  <si>
    <t>elc_spv_USA_018</t>
  </si>
  <si>
    <t>elc_spv_USA_019</t>
  </si>
  <si>
    <t>elc_spv_USA_020</t>
  </si>
  <si>
    <t>elc_spv_USA_021</t>
  </si>
  <si>
    <t>elc_spv_USA_022</t>
  </si>
  <si>
    <t>elc_spv_USA_023</t>
  </si>
  <si>
    <t>elc_spv_USA_024</t>
  </si>
  <si>
    <t>elc_spv_USA_025</t>
  </si>
  <si>
    <t>elc_spv_USA_026</t>
  </si>
  <si>
    <t>elc_spv_USA_027</t>
  </si>
  <si>
    <t>elc_spv_UZB_001</t>
  </si>
  <si>
    <t>elc_spv_UZB_002</t>
  </si>
  <si>
    <t>elc_spv_UZB_003</t>
  </si>
  <si>
    <t>elc_spv_UZB_004</t>
  </si>
  <si>
    <t>elc_spv_UZB_005</t>
  </si>
  <si>
    <t>elc_spv_UZB_006</t>
  </si>
  <si>
    <t>elc_spv_UZB_007</t>
  </si>
  <si>
    <t>elc_spv_UZB_008</t>
  </si>
  <si>
    <t>elc_spv_VEN_001</t>
  </si>
  <si>
    <t>elc_spv_VEN_002</t>
  </si>
  <si>
    <t>elc_spv_VEN_003</t>
  </si>
  <si>
    <t>elc_spv_VEN_004</t>
  </si>
  <si>
    <t>elc_spv_VEN_005</t>
  </si>
  <si>
    <t>elc_spv_VEN_006</t>
  </si>
  <si>
    <t>elc_spv_VEN_007</t>
  </si>
  <si>
    <t>elc_spv_VEN_008</t>
  </si>
  <si>
    <t>elc_spv_VEN_009</t>
  </si>
  <si>
    <t>elc_spv_VEN_010</t>
  </si>
  <si>
    <t>elc_spv_VNM_001</t>
  </si>
  <si>
    <t>elc_spv_VNM_002</t>
  </si>
  <si>
    <t>elc_spv_VNM_003</t>
  </si>
  <si>
    <t>elc_spv_VNM_004</t>
  </si>
  <si>
    <t>elc_spv_VNM_005</t>
  </si>
  <si>
    <t>elc_spv_VNM_006</t>
  </si>
  <si>
    <t>elc_spv_VNM_007</t>
  </si>
  <si>
    <t>elc_spv_VNM_008</t>
  </si>
  <si>
    <t>elc_spv_YEM_001</t>
  </si>
  <si>
    <t>elc_spv_YEM_002</t>
  </si>
  <si>
    <t>elc_spv_YEM_003</t>
  </si>
  <si>
    <t>elc_spv_YEM_004</t>
  </si>
  <si>
    <t>elc_spv_YEM_005</t>
  </si>
  <si>
    <t>elc_spv_YEM_006</t>
  </si>
  <si>
    <t>elc_spv_YEM_007</t>
  </si>
  <si>
    <t>elc_spv_YEM_008</t>
  </si>
  <si>
    <t>elc_spv_ZAF_001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</si>
  <si>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</si>
  <si>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</si>
  <si>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</si>
  <si>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</si>
  <si>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</si>
  <si>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</si>
  <si>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</si>
  <si>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</si>
  <si>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</si>
  <si>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</si>
  <si>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</si>
  <si>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elc_spv_ZMB_001</t>
  </si>
  <si>
    <t>elc_spv_ZMB_002</t>
  </si>
  <si>
    <t>elc_spv_ZMB_003</t>
  </si>
  <si>
    <t>elc_spv_ZMB_004</t>
  </si>
  <si>
    <t>elc_spv_ZMB_005</t>
  </si>
  <si>
    <t>elc_spv_ZMB_006</t>
  </si>
  <si>
    <t>elc_spv_ZMB_007</t>
  </si>
  <si>
    <t>elc_spv_ZMB_008</t>
  </si>
  <si>
    <t>elc_spv_ZMB_009</t>
  </si>
  <si>
    <t>elc_spv_ZMB_010</t>
  </si>
  <si>
    <t>elc_spv_ZWE_001</t>
  </si>
  <si>
    <t>elc_spv_ZWE_002</t>
  </si>
  <si>
    <t>elc_spv_ZWE_003</t>
  </si>
  <si>
    <t>elc_spv_ZWE_004</t>
  </si>
  <si>
    <t>elc_spv_ZWE_005</t>
  </si>
  <si>
    <t>elc_spv_ZWE_006</t>
  </si>
  <si>
    <t>elc_spv_ZWE_007</t>
  </si>
  <si>
    <t>elcagg_spv_AFG</t>
  </si>
  <si>
    <t>solar aggregator to grid -- Afghanistan</t>
  </si>
  <si>
    <t>elcagg_spv_AGO</t>
  </si>
  <si>
    <t>solar aggregator to grid -- Angola</t>
  </si>
  <si>
    <t>elcagg_spv_ALB</t>
  </si>
  <si>
    <t>solar aggregator to grid -- Albania</t>
  </si>
  <si>
    <t>elcagg_spv_ARE</t>
  </si>
  <si>
    <t>solar aggregator to grid -- United Arab Emirates</t>
  </si>
  <si>
    <t>elcagg_spv_ARG</t>
  </si>
  <si>
    <t>solar aggregator to grid -- Argentina</t>
  </si>
  <si>
    <t>elcagg_spv_ARM</t>
  </si>
  <si>
    <t>solar aggregator to grid -- Armenia</t>
  </si>
  <si>
    <t>elcagg_spv_AUS</t>
  </si>
  <si>
    <t>solar aggregator to grid -- Australia</t>
  </si>
  <si>
    <t>elcagg_spv_AUT</t>
  </si>
  <si>
    <t>solar aggregator to grid -- Austria</t>
  </si>
  <si>
    <t>elcagg_spv_AZE</t>
  </si>
  <si>
    <t>solar aggregator to grid -- Azerbaijan</t>
  </si>
  <si>
    <t>elcagg_spv_BDI</t>
  </si>
  <si>
    <t>solar aggregator to grid -- Burundi</t>
  </si>
  <si>
    <t>elcagg_spv_BEL</t>
  </si>
  <si>
    <t>solar aggregator to grid -- Belgium</t>
  </si>
  <si>
    <t>elcagg_spv_BEN</t>
  </si>
  <si>
    <t>solar aggregator to grid -- Benin</t>
  </si>
  <si>
    <t>elcagg_spv_BFA</t>
  </si>
  <si>
    <t>solar aggregator to grid -- Burkina Faso</t>
  </si>
  <si>
    <t>elcagg_spv_BGD</t>
  </si>
  <si>
    <t>solar aggregator to grid -- Bangladesh</t>
  </si>
  <si>
    <t>elcagg_spv_BGR</t>
  </si>
  <si>
    <t>solar aggregator to grid -- Bulgaria</t>
  </si>
  <si>
    <t>elcagg_spv_BIH</t>
  </si>
  <si>
    <t>solar aggregator to grid -- Bosnia and Herzegovina</t>
  </si>
  <si>
    <t>elcagg_spv_BLR</t>
  </si>
  <si>
    <t>solar aggregator to grid -- Belarus</t>
  </si>
  <si>
    <t>elcagg_spv_BOL</t>
  </si>
  <si>
    <t>solar aggregator to grid -- Bolivia</t>
  </si>
  <si>
    <t>elcagg_spv_BRA</t>
  </si>
  <si>
    <t>solar aggregator to grid -- Brazil</t>
  </si>
  <si>
    <t>elcagg_spv_BWA</t>
  </si>
  <si>
    <t>solar aggregator to grid -- Botswana</t>
  </si>
  <si>
    <t>elcagg_spv_CAF</t>
  </si>
  <si>
    <t>solar aggregator to grid -- Central African Republic</t>
  </si>
  <si>
    <t>elcagg_spv_CAN</t>
  </si>
  <si>
    <t>solar aggregator to grid -- Canada</t>
  </si>
  <si>
    <t>elcagg_spv_CHE</t>
  </si>
  <si>
    <t>solar aggregator to grid -- Switzerland</t>
  </si>
  <si>
    <t>elcagg_spv_CHL</t>
  </si>
  <si>
    <t>solar aggregator to grid -- Chile</t>
  </si>
  <si>
    <t>elcagg_spv_CHN</t>
  </si>
  <si>
    <t>solar aggregator to grid -- China</t>
  </si>
  <si>
    <t>elcagg_spv_CIV</t>
  </si>
  <si>
    <t>solar aggregator to grid -- Ivory Coast</t>
  </si>
  <si>
    <t>elcagg_spv_CMR</t>
  </si>
  <si>
    <t>solar aggregator to grid -- Cameroon</t>
  </si>
  <si>
    <t>elcagg_spv_COD</t>
  </si>
  <si>
    <t>solar aggregator to grid -- Democratic Republic of Congo</t>
  </si>
  <si>
    <t>elcagg_spv_COG</t>
  </si>
  <si>
    <t>solar aggregator to grid -- Republic of Congo</t>
  </si>
  <si>
    <t>elcagg_spv_COL</t>
  </si>
  <si>
    <t>solar aggregator to grid -- Colombia</t>
  </si>
  <si>
    <t>elcagg_spv_CRI</t>
  </si>
  <si>
    <t>solar aggregator to grid -- Costa Rica</t>
  </si>
  <si>
    <t>elcagg_spv_CUB</t>
  </si>
  <si>
    <t>solar aggregator to grid -- Cuba</t>
  </si>
  <si>
    <t>elcagg_spv_CZE</t>
  </si>
  <si>
    <t>solar aggregator to grid -- Czech Republic</t>
  </si>
  <si>
    <t>elcagg_spv_DEU</t>
  </si>
  <si>
    <t>solar aggregator to grid -- Germany</t>
  </si>
  <si>
    <t>elcagg_spv_DJI</t>
  </si>
  <si>
    <t>solar aggregator to grid -- Djibouti</t>
  </si>
  <si>
    <t>elcagg_spv_DNK</t>
  </si>
  <si>
    <t>solar aggregator to grid -- Denmark</t>
  </si>
  <si>
    <t>elcagg_spv_DOM</t>
  </si>
  <si>
    <t>solar aggregator to grid -- Dominican Republic</t>
  </si>
  <si>
    <t>elcagg_spv_DZA</t>
  </si>
  <si>
    <t>solar aggregator to grid -- Algeria</t>
  </si>
  <si>
    <t>elcagg_spv_ECU</t>
  </si>
  <si>
    <t>solar aggregator to grid -- Ecuador</t>
  </si>
  <si>
    <t>elcagg_spv_EGY</t>
  </si>
  <si>
    <t>solar aggregator to grid -- Egypt</t>
  </si>
  <si>
    <t>elcagg_spv_ERI</t>
  </si>
  <si>
    <t>solar aggregator to grid -- Eritrea</t>
  </si>
  <si>
    <t>elcagg_spv_ESP</t>
  </si>
  <si>
    <t>solar aggregator to grid -- Spain</t>
  </si>
  <si>
    <t>elcagg_spv_EST</t>
  </si>
  <si>
    <t>solar aggregator to grid -- Estonia</t>
  </si>
  <si>
    <t>elcagg_spv_ETH</t>
  </si>
  <si>
    <t>solar aggregator to grid -- Ethiopia</t>
  </si>
  <si>
    <t>elcagg_spv_FRA</t>
  </si>
  <si>
    <t>solar aggregator to grid -- France</t>
  </si>
  <si>
    <t>elcagg_spv_GAB</t>
  </si>
  <si>
    <t>solar aggregator to grid -- Gabon</t>
  </si>
  <si>
    <t>elcagg_spv_GBR</t>
  </si>
  <si>
    <t>solar aggregator to grid -- United Kingdom</t>
  </si>
  <si>
    <t>elcagg_spv_GEO</t>
  </si>
  <si>
    <t>solar aggregator to grid -- Georgia</t>
  </si>
  <si>
    <t>elcagg_spv_GHA</t>
  </si>
  <si>
    <t>solar aggregator to grid -- Ghana</t>
  </si>
  <si>
    <t>elcagg_spv_GIN</t>
  </si>
  <si>
    <t>solar aggregator to grid -- Guinea</t>
  </si>
  <si>
    <t>elcagg_spv_GNB</t>
  </si>
  <si>
    <t>solar aggregator to grid -- Guinea-Bissau</t>
  </si>
  <si>
    <t>elcagg_spv_GNQ</t>
  </si>
  <si>
    <t>solar aggregator to grid -- Equatorial Guinea</t>
  </si>
  <si>
    <t>elcagg_spv_GRC</t>
  </si>
  <si>
    <t>solar aggregator to grid -- Greece</t>
  </si>
  <si>
    <t>elcagg_spv_GTM</t>
  </si>
  <si>
    <t>solar aggregator to grid -- Guatemala</t>
  </si>
  <si>
    <t>elcagg_spv_GUY</t>
  </si>
  <si>
    <t>solar aggregator to grid -- Guyana</t>
  </si>
  <si>
    <t>elcagg_spv_HKG</t>
  </si>
  <si>
    <t>solar aggregator to grid -- Hong Kong SAR, China</t>
  </si>
  <si>
    <t>elcagg_spv_HND</t>
  </si>
  <si>
    <t>solar aggregator to grid -- Honduras</t>
  </si>
  <si>
    <t>elcagg_spv_HRV</t>
  </si>
  <si>
    <t>solar aggregator to grid -- Croatia</t>
  </si>
  <si>
    <t>elcagg_spv_HTI</t>
  </si>
  <si>
    <t>solar aggregator to grid -- Haiti</t>
  </si>
  <si>
    <t>elcagg_spv_HUN</t>
  </si>
  <si>
    <t>solar aggregator to grid -- Hungary</t>
  </si>
  <si>
    <t>elcagg_spv_IDN</t>
  </si>
  <si>
    <t>solar aggregator to grid -- Indonesia</t>
  </si>
  <si>
    <t>elcagg_spv_IND</t>
  </si>
  <si>
    <t>solar aggregator to grid -- India</t>
  </si>
  <si>
    <t>elcagg_spv_IRL</t>
  </si>
  <si>
    <t>solar aggregator to grid -- Ireland</t>
  </si>
  <si>
    <t>elcagg_spv_IRN</t>
  </si>
  <si>
    <t>solar aggregator to grid -- Iran</t>
  </si>
  <si>
    <t>elcagg_spv_IRQ</t>
  </si>
  <si>
    <t>solar aggregator to grid -- Iraq</t>
  </si>
  <si>
    <t>elcagg_spv_ISR</t>
  </si>
  <si>
    <t>solar aggregator to grid -- Israel</t>
  </si>
  <si>
    <t>elcagg_spv_ITA</t>
  </si>
  <si>
    <t>solar aggregator to grid -- Italy</t>
  </si>
  <si>
    <t>elcagg_spv_JAM</t>
  </si>
  <si>
    <t>solar aggregator to grid -- Jamaica</t>
  </si>
  <si>
    <t>elcagg_spv_JOR</t>
  </si>
  <si>
    <t>solar aggregator to grid -- Jordan</t>
  </si>
  <si>
    <t>elcagg_spv_JPN</t>
  </si>
  <si>
    <t>solar aggregator to grid -- Japan</t>
  </si>
  <si>
    <t>elcagg_spv_KAZ</t>
  </si>
  <si>
    <t>solar aggregator to grid -- Kazakhstan</t>
  </si>
  <si>
    <t>elcagg_spv_KEN</t>
  </si>
  <si>
    <t>solar aggregator to grid -- Kenya</t>
  </si>
  <si>
    <t>elcagg_spv_KGZ</t>
  </si>
  <si>
    <t>solar aggregator to grid -- Kyrgyz Republic</t>
  </si>
  <si>
    <t>elcagg_spv_KHM</t>
  </si>
  <si>
    <t>solar aggregator to grid -- Cambodia</t>
  </si>
  <si>
    <t>elcagg_spv_KOR</t>
  </si>
  <si>
    <t>solar aggregator to grid -- South Korea</t>
  </si>
  <si>
    <t>elcagg_spv_KWT</t>
  </si>
  <si>
    <t>solar aggregator to grid -- Kuwait</t>
  </si>
  <si>
    <t>elcagg_spv_LAO</t>
  </si>
  <si>
    <t>solar aggregator to grid -- Laos</t>
  </si>
  <si>
    <t>elcagg_spv_LBN</t>
  </si>
  <si>
    <t>solar aggregator to grid -- Lebanon</t>
  </si>
  <si>
    <t>elcagg_spv_LBR</t>
  </si>
  <si>
    <t>solar aggregator to grid -- Liberia</t>
  </si>
  <si>
    <t>elcagg_spv_LBY</t>
  </si>
  <si>
    <t>solar aggregator to grid -- Libya</t>
  </si>
  <si>
    <t>elcagg_spv_LKA</t>
  </si>
  <si>
    <t>solar aggregator to grid -- Sri Lanka</t>
  </si>
  <si>
    <t>elcagg_spv_LSO</t>
  </si>
  <si>
    <t>solar aggregator to grid -- Lesotho</t>
  </si>
  <si>
    <t>elcagg_spv_LTU</t>
  </si>
  <si>
    <t>solar aggregator to grid -- Lithuania</t>
  </si>
  <si>
    <t>elcagg_spv_LUX</t>
  </si>
  <si>
    <t>solar aggregator to grid -- Luxembourg</t>
  </si>
  <si>
    <t>elcagg_spv_LVA</t>
  </si>
  <si>
    <t>solar aggregator to grid -- Latvia</t>
  </si>
  <si>
    <t>elcagg_spv_MAR</t>
  </si>
  <si>
    <t>solar aggregator to grid -- Morocco</t>
  </si>
  <si>
    <t>elcagg_spv_MDA</t>
  </si>
  <si>
    <t>solar aggregator to grid -- Moldova</t>
  </si>
  <si>
    <t>elcagg_spv_MDG</t>
  </si>
  <si>
    <t>solar aggregator to grid -- Madagascar</t>
  </si>
  <si>
    <t>elcagg_spv_MEX</t>
  </si>
  <si>
    <t>solar aggregator to grid -- Mexico</t>
  </si>
  <si>
    <t>elcagg_spv_MKD</t>
  </si>
  <si>
    <t>solar aggregator to grid -- North Macedonia</t>
  </si>
  <si>
    <t>elcagg_spv_MLI</t>
  </si>
  <si>
    <t>solar aggregator to grid -- Mali</t>
  </si>
  <si>
    <t>elcagg_spv_MMR</t>
  </si>
  <si>
    <t>solar aggregator to grid -- Myanmar</t>
  </si>
  <si>
    <t>elcagg_spv_MNE</t>
  </si>
  <si>
    <t>solar aggregator to grid -- Montenegro</t>
  </si>
  <si>
    <t>elcagg_spv_MNG</t>
  </si>
  <si>
    <t>solar aggregator to grid -- Mongolia</t>
  </si>
  <si>
    <t>elcagg_spv_MOZ</t>
  </si>
  <si>
    <t>solar aggregator to grid -- Mozambique</t>
  </si>
  <si>
    <t>elcagg_spv_MRT</t>
  </si>
  <si>
    <t>solar aggregator to grid -- Mauritania</t>
  </si>
  <si>
    <t>elcagg_spv_MWI</t>
  </si>
  <si>
    <t>solar aggregator to grid -- Malawi</t>
  </si>
  <si>
    <t>elcagg_spv_MYS</t>
  </si>
  <si>
    <t>solar aggregator to grid -- Malaysia</t>
  </si>
  <si>
    <t>elcagg_spv_NAM</t>
  </si>
  <si>
    <t>solar aggregator to grid -- Namibia</t>
  </si>
  <si>
    <t>elcagg_spv_NCL</t>
  </si>
  <si>
    <t>solar aggregator to grid -- New Caledonia</t>
  </si>
  <si>
    <t>elcagg_spv_NER</t>
  </si>
  <si>
    <t>solar aggregator to grid -- Niger</t>
  </si>
  <si>
    <t>elcagg_spv_NGA</t>
  </si>
  <si>
    <t>solar aggregator to grid -- Nigeria</t>
  </si>
  <si>
    <t>elcagg_spv_NIC</t>
  </si>
  <si>
    <t>solar aggregator to grid -- Nicaragua</t>
  </si>
  <si>
    <t>elcagg_spv_NLD</t>
  </si>
  <si>
    <t>solar aggregator to grid -- Netherlands</t>
  </si>
  <si>
    <t>elcagg_spv_NOR</t>
  </si>
  <si>
    <t>solar aggregator to grid -- Norway</t>
  </si>
  <si>
    <t>elcagg_spv_NPL</t>
  </si>
  <si>
    <t>solar aggregator to grid -- Nepal</t>
  </si>
  <si>
    <t>elcagg_spv_NZL</t>
  </si>
  <si>
    <t>solar aggregator to grid -- New Zealand</t>
  </si>
  <si>
    <t>elcagg_spv_OMN</t>
  </si>
  <si>
    <t>solar aggregator to grid -- Oman</t>
  </si>
  <si>
    <t>elcagg_spv_PAK</t>
  </si>
  <si>
    <t>solar aggregator to grid -- Pakistan</t>
  </si>
  <si>
    <t>elcagg_spv_PAN</t>
  </si>
  <si>
    <t>solar aggregator to grid -- Panama</t>
  </si>
  <si>
    <t>elcagg_spv_PER</t>
  </si>
  <si>
    <t>solar aggregator to grid -- Peru</t>
  </si>
  <si>
    <t>elcagg_spv_PHL</t>
  </si>
  <si>
    <t>solar aggregator to grid -- Philippines</t>
  </si>
  <si>
    <t>elcagg_spv_PNG</t>
  </si>
  <si>
    <t>solar aggregator to grid -- Papua New Guinea</t>
  </si>
  <si>
    <t>elcagg_spv_POL</t>
  </si>
  <si>
    <t>solar aggregator to grid -- Poland</t>
  </si>
  <si>
    <t>elcagg_spv_PRI</t>
  </si>
  <si>
    <t>solar aggregator to grid -- Puerto Rico</t>
  </si>
  <si>
    <t>elcagg_spv_PRK</t>
  </si>
  <si>
    <t>solar aggregator to grid -- Dem. People^s Rep. Korea</t>
  </si>
  <si>
    <t>elcagg_spv_PRT</t>
  </si>
  <si>
    <t>solar aggregator to grid -- Portugal</t>
  </si>
  <si>
    <t>elcagg_spv_PRY</t>
  </si>
  <si>
    <t>solar aggregator to grid -- Paraguay</t>
  </si>
  <si>
    <t>elcagg_spv_QAT</t>
  </si>
  <si>
    <t>solar aggregator to grid -- Qatar</t>
  </si>
  <si>
    <t>elcagg_spv_ROU</t>
  </si>
  <si>
    <t>solar aggregator to grid -- Romania</t>
  </si>
  <si>
    <t>elcagg_spv_RUS</t>
  </si>
  <si>
    <t>solar aggregator to grid -- Russia</t>
  </si>
  <si>
    <t>elcagg_spv_RWA</t>
  </si>
  <si>
    <t>solar aggregator to grid -- Rwanda</t>
  </si>
  <si>
    <t>elcagg_spv_SAU</t>
  </si>
  <si>
    <t>solar aggregator to grid -- Saudi Arabia</t>
  </si>
  <si>
    <t>elcagg_spv_SDN</t>
  </si>
  <si>
    <t>solar aggregator to grid -- Sudan</t>
  </si>
  <si>
    <t>elcagg_spv_SEN</t>
  </si>
  <si>
    <t>solar aggregator to grid -- Senegal</t>
  </si>
  <si>
    <t>elcagg_spv_SGP</t>
  </si>
  <si>
    <t>solar aggregator to grid -- Singapore</t>
  </si>
  <si>
    <t>elcagg_spv_SLE</t>
  </si>
  <si>
    <t>solar aggregator to grid -- Sierra Leone</t>
  </si>
  <si>
    <t>elcagg_spv_SLV</t>
  </si>
  <si>
    <t>solar aggregator to grid -- El Salvador</t>
  </si>
  <si>
    <t>elcagg_spv_SOM</t>
  </si>
  <si>
    <t>solar aggregator to grid -- Somalia</t>
  </si>
  <si>
    <t>elcagg_spv_SRB</t>
  </si>
  <si>
    <t>solar aggregator to grid -- Serbia</t>
  </si>
  <si>
    <t>elcagg_spv_SSD</t>
  </si>
  <si>
    <t>solar aggregator to grid -- South Sudan</t>
  </si>
  <si>
    <t>elcagg_spv_SUR</t>
  </si>
  <si>
    <t>solar aggregator to grid -- Suriname</t>
  </si>
  <si>
    <t>elcagg_spv_SVK</t>
  </si>
  <si>
    <t>solar aggregator to grid -- Slovak Republic</t>
  </si>
  <si>
    <t>elcagg_spv_SVN</t>
  </si>
  <si>
    <t>solar aggregator to grid -- Slovenia</t>
  </si>
  <si>
    <t>elcagg_spv_SWE</t>
  </si>
  <si>
    <t>solar aggregator to grid -- Sweden</t>
  </si>
  <si>
    <t>elcagg_spv_SYR</t>
  </si>
  <si>
    <t>solar aggregator to grid -- Syrian Arab Republic</t>
  </si>
  <si>
    <t>elcagg_spv_TCD</t>
  </si>
  <si>
    <t>solar aggregator to grid -- Chad</t>
  </si>
  <si>
    <t>elcagg_spv_TGO</t>
  </si>
  <si>
    <t>solar aggregator to grid -- Togo</t>
  </si>
  <si>
    <t>elcagg_spv_THA</t>
  </si>
  <si>
    <t>solar aggregator to grid -- Thailand</t>
  </si>
  <si>
    <t>elcagg_spv_TJK</t>
  </si>
  <si>
    <t>solar aggregator to grid -- Tajikistan</t>
  </si>
  <si>
    <t>elcagg_spv_TKM</t>
  </si>
  <si>
    <t>solar aggregator to grid -- Turkmenistan</t>
  </si>
  <si>
    <t>elcagg_spv_TUN</t>
  </si>
  <si>
    <t>solar aggregator to grid -- Tunisia</t>
  </si>
  <si>
    <t>elcagg_spv_TUR</t>
  </si>
  <si>
    <t>solar aggregator to grid -- Turkey</t>
  </si>
  <si>
    <t>elcagg_spv_TWN</t>
  </si>
  <si>
    <t>solar aggregator to grid -- Taiwan</t>
  </si>
  <si>
    <t>elcagg_spv_TZA</t>
  </si>
  <si>
    <t>solar aggregator to grid -- Tanzania</t>
  </si>
  <si>
    <t>elcagg_spv_UGA</t>
  </si>
  <si>
    <t>solar aggregator to grid -- Uganda</t>
  </si>
  <si>
    <t>elcagg_spv_UKR</t>
  </si>
  <si>
    <t>solar aggregator to grid -- Ukraine</t>
  </si>
  <si>
    <t>elcagg_spv_URY</t>
  </si>
  <si>
    <t>solar aggregator to grid -- Uruguay</t>
  </si>
  <si>
    <t>elcagg_spv_USA</t>
  </si>
  <si>
    <t>solar aggregator to grid -- United States</t>
  </si>
  <si>
    <t>elcagg_spv_UZB</t>
  </si>
  <si>
    <t>solar aggregator to grid -- Uzbekistan</t>
  </si>
  <si>
    <t>elcagg_spv_VEN</t>
  </si>
  <si>
    <t>solar aggregator to grid -- Venezuela</t>
  </si>
  <si>
    <t>elcagg_spv_VNM</t>
  </si>
  <si>
    <t>solar aggregator to grid -- Vietnam</t>
  </si>
  <si>
    <t>elcagg_spv_YEM</t>
  </si>
  <si>
    <t>solar aggregator to grid -- Yemen</t>
  </si>
  <si>
    <t>elcagg_spv_ZAF</t>
  </si>
  <si>
    <t>solar aggregator to grid -- South Africa</t>
  </si>
  <si>
    <t>elcagg_spv_ZMB</t>
  </si>
  <si>
    <t>solar aggregator to grid -- Zambia</t>
  </si>
  <si>
    <t>elcagg_spv_ZWE</t>
  </si>
  <si>
    <t>solar aggregator to grid -- Zimbabwe</t>
  </si>
  <si>
    <t>en_won_AFG_001</t>
  </si>
  <si>
    <t>wind onshore resource in Zabul region (near Kandahar) -- Afghanistan</t>
  </si>
  <si>
    <t>en_won_AFG_002</t>
  </si>
  <si>
    <t>wind onshore resource in Kandahar region (near Kandahar) -- Afghanistan</t>
  </si>
  <si>
    <t>en_won_AFG_003</t>
  </si>
  <si>
    <t>wind onshore resource in Helmand region (near Lashkar Gah) -- Afghanistan</t>
  </si>
  <si>
    <t>en_won_AFG_004</t>
  </si>
  <si>
    <t>en_won_AFG_005</t>
  </si>
  <si>
    <t>wind onshore resource in Jowzjan region (near Aqchah) -- Afghanistan</t>
  </si>
  <si>
    <t>en_won_AFG_006</t>
  </si>
  <si>
    <t>wind onshore resource in Mary region (near Herat) -- Afghanistan</t>
  </si>
  <si>
    <t>en_won_AFG_007</t>
  </si>
  <si>
    <t>wind onshore resource in Farah region (near Farah) -- Afghanistan</t>
  </si>
  <si>
    <t>en_won_AGO_001</t>
  </si>
  <si>
    <t>wind onshore resource in Namibe region (near Mocamedes) -- Angola</t>
  </si>
  <si>
    <t>en_won_AGO_002</t>
  </si>
  <si>
    <t>wind onshore resource in Cunene region (near Chibia) -- Angola</t>
  </si>
  <si>
    <t>en_won_AGO_003</t>
  </si>
  <si>
    <t>en_won_AGO_004</t>
  </si>
  <si>
    <t>wind onshore resource in Moxico region (near Luena) -- Angola</t>
  </si>
  <si>
    <t>en_won_AGO_005</t>
  </si>
  <si>
    <t>wind onshore resource in Lunda Sul region (near Saurimo) -- Angola</t>
  </si>
  <si>
    <t>en_won_AGO_006</t>
  </si>
  <si>
    <t>wind onshore resource in Malanje region (near Uige) -- Angola</t>
  </si>
  <si>
    <t>en_won_AGO_007</t>
  </si>
  <si>
    <t>wind onshore resource in Cunene region (near Matala) -- Angola</t>
  </si>
  <si>
    <t>en_won_AGO_008</t>
  </si>
  <si>
    <t>wind onshore resource in Moxico region (near Menongue) -- Angola</t>
  </si>
  <si>
    <t>en_won_AGO_009</t>
  </si>
  <si>
    <t>wind onshore resource in Cuando Cubango region (near Menongue) -- Angola</t>
  </si>
  <si>
    <t>en_won_ALB_001</t>
  </si>
  <si>
    <t>wind onshore resource in Tirana region (near Tirana) -- Albania</t>
  </si>
  <si>
    <t>en_won_ALB_002</t>
  </si>
  <si>
    <t>wind onshore resource in Vlore region (near Vlore) -- Albania</t>
  </si>
  <si>
    <t>en_won_ARE_001</t>
  </si>
  <si>
    <t>wind onshore resource in Emirate of Abu Dhabi region (near Abu Dhabi) -- United Arab Emirates</t>
  </si>
  <si>
    <t>en_won_ARE_002</t>
  </si>
  <si>
    <t>en_won_ARE_003</t>
  </si>
  <si>
    <t>wind onshore resource in Emirate of Sharjah region (near Sharjah) -- United Arab Emirates</t>
  </si>
  <si>
    <t>en_won_ARE_004</t>
  </si>
  <si>
    <t>wind onshore resource in Al Buraimi region (near Abu Dhabi) -- United Arab Emirates</t>
  </si>
  <si>
    <t>en_won_ARG_001</t>
  </si>
  <si>
    <t>wind onshore resource in Neuquen region (near Neuquen) -- Argentina</t>
  </si>
  <si>
    <t>en_won_ARG_002</t>
  </si>
  <si>
    <t>en_won_ARG_003</t>
  </si>
  <si>
    <t>wind onshore resource in Rio Negro region (near Puerto Madryn) -- Argentina</t>
  </si>
  <si>
    <t>en_won_ARG_004</t>
  </si>
  <si>
    <t>wind onshore resource in Santa Cruz region (near Rio Gallegos) -- Argentina</t>
  </si>
  <si>
    <t>en_won_ARG_005</t>
  </si>
  <si>
    <t>wind onshore resource in Santa Cruz region (near Comodoro Rivadavia) -- Argentina</t>
  </si>
  <si>
    <t>en_won_ARG_006</t>
  </si>
  <si>
    <t>wind onshore resource in Buenos Aires region (near Olavarria) -- Argentina</t>
  </si>
  <si>
    <t>en_won_ARG_007</t>
  </si>
  <si>
    <t>wind onshore resource in La Rioja region (near Cordoba) -- Argentina</t>
  </si>
  <si>
    <t>en_won_ARG_008</t>
  </si>
  <si>
    <t>wind onshore resource in La Pampa region (near Santa Rosa) -- Argentina</t>
  </si>
  <si>
    <t>en_won_ARG_009</t>
  </si>
  <si>
    <t>wind onshore resource in Mendoza region (near San Rafael) -- Argentina</t>
  </si>
  <si>
    <t>en_won_ARG_010</t>
  </si>
  <si>
    <t>wind onshore resource in Entre Rios region (near Concepcion del Uruguay) -- Argentina</t>
  </si>
  <si>
    <t>en_won_ARG_011</t>
  </si>
  <si>
    <t>wind onshore resource in Santiago del Estero region (near Santiago del Estero) -- Argentina</t>
  </si>
  <si>
    <t>en_won_ARG_012</t>
  </si>
  <si>
    <t>wind onshore resource in Catamarca region (near Catamarca) -- Argentina</t>
  </si>
  <si>
    <t>en_won_ARG_013</t>
  </si>
  <si>
    <t>wind onshore resource in Salta region (near San Salvador de Jujuy) -- Argentina</t>
  </si>
  <si>
    <t>en_won_ARG_014</t>
  </si>
  <si>
    <t>wind onshore resource in Corrientes region (near Corrientes) -- Argentina</t>
  </si>
  <si>
    <t>en_won_ARM_001</t>
  </si>
  <si>
    <t>wind onshore resource in Gegharkunik region (near Abovyan) -- Armenia</t>
  </si>
  <si>
    <t>en_won_ARM_002</t>
  </si>
  <si>
    <t>wind onshore resource in Gegharkunik region (near Hrazdan) -- Armenia</t>
  </si>
  <si>
    <t>en_won_ARM_003</t>
  </si>
  <si>
    <t>wind onshore resource in Tovuz region (near Hrazdan) -- Armenia</t>
  </si>
  <si>
    <t>en_won_AUS_001</t>
  </si>
  <si>
    <t>wind onshore resource in Northern Territory region (near Adelaide) -- Australia</t>
  </si>
  <si>
    <t>en_won_AUS_002</t>
  </si>
  <si>
    <t>wind onshore resource in Western Australia region (near Perth) -- Australia</t>
  </si>
  <si>
    <t>en_won_AUS_003</t>
  </si>
  <si>
    <t>en_won_AUS_004</t>
  </si>
  <si>
    <t>wind onshore resource in New South Wales region (near Sydney) -- Australia</t>
  </si>
  <si>
    <t>en_won_AUS_005</t>
  </si>
  <si>
    <t>en_won_AUS_006</t>
  </si>
  <si>
    <t>wind onshore resource in New South Wales region (near Adelaide) -- Australia</t>
  </si>
  <si>
    <t>en_won_AUS_007</t>
  </si>
  <si>
    <t>wind onshore resource in South Australia region (near Adelaide) -- Australia</t>
  </si>
  <si>
    <t>en_won_AUS_008</t>
  </si>
  <si>
    <t>wind onshore resource in New South Wales region (near Melbourne) -- Australia</t>
  </si>
  <si>
    <t>en_won_AUS_009</t>
  </si>
  <si>
    <t>wind onshore resource in Victoria region (near Melbourne) -- Australia</t>
  </si>
  <si>
    <t>en_won_AUS_010</t>
  </si>
  <si>
    <t>wind onshore resource in Queensland region (near Brisbane) -- Australia</t>
  </si>
  <si>
    <t>en_won_AUS_011</t>
  </si>
  <si>
    <t>en_won_AUS_012</t>
  </si>
  <si>
    <t>en_won_AUS_013</t>
  </si>
  <si>
    <t>en_won_AUS_014</t>
  </si>
  <si>
    <t>en_won_AUS_015</t>
  </si>
  <si>
    <t>en_won_AUS_016</t>
  </si>
  <si>
    <t>en_won_AUS_017</t>
  </si>
  <si>
    <t>en_won_AUS_018</t>
  </si>
  <si>
    <t>en_won_AUS_019</t>
  </si>
  <si>
    <t>en_won_AUS_020</t>
  </si>
  <si>
    <t>en_won_AUS_021</t>
  </si>
  <si>
    <t>en_won_AUT_001</t>
  </si>
  <si>
    <t>wind onshore resource in Lower Austria region (near Wiener Neustadt) -- Austria</t>
  </si>
  <si>
    <t>en_won_AUT_002</t>
  </si>
  <si>
    <t>wind onshore resource in Bavaria region (near Lochau) -- Austria</t>
  </si>
  <si>
    <t>en_won_AUT_003</t>
  </si>
  <si>
    <t>wind onshore resource in Upper Austria region (near Linz) -- Austria</t>
  </si>
  <si>
    <t>en_won_AZE_001</t>
  </si>
  <si>
    <t>wind onshore resource in Absheron region (near Sumqayit) -- Azerbaijan</t>
  </si>
  <si>
    <t>en_won_AZE_002</t>
  </si>
  <si>
    <t>wind onshore resource in Samukh region (near Ganca) -- Azerbaijan</t>
  </si>
  <si>
    <t>en_won_BDI_001</t>
  </si>
  <si>
    <t>wind onshore resource in Makamba region (near Gitega) -- Burundi</t>
  </si>
  <si>
    <t>en_won_BDI_002</t>
  </si>
  <si>
    <t>wind onshore resource in Ruyigi region (near Ruyigi) -- Burundi</t>
  </si>
  <si>
    <t>en_won_BEL_001</t>
  </si>
  <si>
    <t>wind onshore resource in Luxembourg region (near Arlon) -- Belgium</t>
  </si>
  <si>
    <t>en_won_BEL_002</t>
  </si>
  <si>
    <t>wind onshore resource in Limburg region (near Hasselt) -- Belgium</t>
  </si>
  <si>
    <t>en_won_BEL_003</t>
  </si>
  <si>
    <t>wind onshore resource in Hainaut region (near Ath) -- Belgium</t>
  </si>
  <si>
    <t>en_won_BEN_001</t>
  </si>
  <si>
    <t>wind onshore resource in Atlantique region (near Allada) -- Benin</t>
  </si>
  <si>
    <t>en_won_BEN_002</t>
  </si>
  <si>
    <t>wind onshore resource in Borgou region (near Sinende) -- Benin</t>
  </si>
  <si>
    <t>en_won_BEN_003</t>
  </si>
  <si>
    <t>wind onshore resource in Atakora region (near Banikoara) -- Benin</t>
  </si>
  <si>
    <t>en_won_BEN_004</t>
  </si>
  <si>
    <t>wind onshore resource in Alibori region (near Malanville) -- Benin</t>
  </si>
  <si>
    <t>en_won_BFA_001</t>
  </si>
  <si>
    <t>wind onshore resource in Oudalan region (near Djibo) -- Burkina Faso</t>
  </si>
  <si>
    <t>en_won_BFA_002</t>
  </si>
  <si>
    <t>wind onshore resource in Gnagna region (near Kaya) -- Burkina Faso</t>
  </si>
  <si>
    <t>en_won_BFA_003</t>
  </si>
  <si>
    <t>wind onshore resource in Banwa region (near Dedougou) -- Burkina Faso</t>
  </si>
  <si>
    <t>en_won_BFA_004</t>
  </si>
  <si>
    <t>wind onshore resource in Sourou region (near Ouahigouya) -- Burkina Faso</t>
  </si>
  <si>
    <t>en_won_BFA_005</t>
  </si>
  <si>
    <t>wind onshore resource in Comoe region (near Banfora) -- Burkina Faso</t>
  </si>
  <si>
    <t>en_won_BFA_006</t>
  </si>
  <si>
    <t>wind onshore resource in Ziro region (near Ouagadougou) -- Burkina Faso</t>
  </si>
  <si>
    <t>en_won_BFA_007</t>
  </si>
  <si>
    <t>wind onshore resource in Tapoa region (near Fada Ngourma) -- Burkina Faso</t>
  </si>
  <si>
    <t>en_won_BGD_001</t>
  </si>
  <si>
    <t>wind onshore resource in Rangpur region (near Rangapukur) -- Bangladesh</t>
  </si>
  <si>
    <t>en_won_BGD_002</t>
  </si>
  <si>
    <t>wind onshore resource in Rajshahi region (near Rajshahi) -- Bangladesh</t>
  </si>
  <si>
    <t>en_won_BGD_003</t>
  </si>
  <si>
    <t>wind onshore resource in Khulna region (near Khulna) -- Bangladesh</t>
  </si>
  <si>
    <t>en_won_BGD_004</t>
  </si>
  <si>
    <t>wind onshore resource in Chattogram region (near Chattogram) -- Bangladesh</t>
  </si>
  <si>
    <t>en_won_BGD_005</t>
  </si>
  <si>
    <t>wind onshore resource in Chattogram region (near Narayanganj) -- Bangladesh</t>
  </si>
  <si>
    <t>en_won_BGR_001</t>
  </si>
  <si>
    <t>wind onshore resource in Olt region (near Pleven) -- Bulgaria</t>
  </si>
  <si>
    <t>en_won_BGR_002</t>
  </si>
  <si>
    <t>wind onshore resource in Ruse region (near Ruse) -- Bulgaria</t>
  </si>
  <si>
    <t>en_won_BGR_003</t>
  </si>
  <si>
    <t>wind onshore resource in Dobrich region (near Dobrich) -- Bulgaria</t>
  </si>
  <si>
    <t>en_won_BGR_004</t>
  </si>
  <si>
    <t>wind onshore resource in Edirne region (near Yambol) -- Bulgaria</t>
  </si>
  <si>
    <t>en_won_BIH_001</t>
  </si>
  <si>
    <t>wind onshore resource in Trebinje region (near Trebinje) -- Bosnia and Herzegovina</t>
  </si>
  <si>
    <t>en_won_BIH_002</t>
  </si>
  <si>
    <t>wind onshore resource in Livno region (near Bugojno) -- Bosnia and Herzegovina</t>
  </si>
  <si>
    <t>en_won_BLR_001</t>
  </si>
  <si>
    <t>wind onshore resource in Minsk region (near Salihorsk) -- Belarus</t>
  </si>
  <si>
    <t>en_won_BLR_002</t>
  </si>
  <si>
    <t>wind onshore resource in Grodno region (near Lida) -- Belarus</t>
  </si>
  <si>
    <t>en_won_BLR_003</t>
  </si>
  <si>
    <t>wind onshore resource in Brest region (near Pinsk) -- Belarus</t>
  </si>
  <si>
    <t>en_won_BLR_004</t>
  </si>
  <si>
    <t>wind onshore resource in Vitebsk region (near Navapolatsk) -- Belarus</t>
  </si>
  <si>
    <t>en_won_BLR_005</t>
  </si>
  <si>
    <t>wind onshore resource in Mahilioŭ region (near Mahilyow) -- Belarus</t>
  </si>
  <si>
    <t>en_won_BLR_006</t>
  </si>
  <si>
    <t>wind onshore resource in Gomel region (near Homyel') -- Belarus</t>
  </si>
  <si>
    <t>en_won_BOL_001</t>
  </si>
  <si>
    <t>wind onshore resource in Beni region (near La Paz) -- Bolivia</t>
  </si>
  <si>
    <t>en_won_BOL_002</t>
  </si>
  <si>
    <t>wind onshore resource in Mato Grosso region (near Santa Cruz de la Sierra) -- Bolivia</t>
  </si>
  <si>
    <t>en_won_BOL_003</t>
  </si>
  <si>
    <t>wind onshore resource in Beni region (near Santa Cruz de la Sierra) -- Bolivia</t>
  </si>
  <si>
    <t>en_won_BOL_004</t>
  </si>
  <si>
    <t>wind onshore resource in Tarija region (near Tarija) -- Bolivia</t>
  </si>
  <si>
    <t>en_won_BOL_005</t>
  </si>
  <si>
    <t>wind onshore resource in Potosi region (near Potosi) -- Bolivia</t>
  </si>
  <si>
    <t>en_won_BOL_006</t>
  </si>
  <si>
    <t>wind onshore resource in Santa Cruz region (near Santa Cruz de la Sierra) -- Bolivia</t>
  </si>
  <si>
    <t>en_won_BOL_007</t>
  </si>
  <si>
    <t>en_won_BRA_001</t>
  </si>
  <si>
    <t>wind onshore resource in Mato Grosso do Sul region (near Corumba) -- Brazil</t>
  </si>
  <si>
    <t>en_won_BRA_002</t>
  </si>
  <si>
    <t>wind onshore resource in Santa Catarina region (near Lajes) -- Brazil</t>
  </si>
  <si>
    <t>en_won_BRA_003</t>
  </si>
  <si>
    <t>wind onshore resource in Rio Grande do Sul region (near Sao Gabriel) -- Brazil</t>
  </si>
  <si>
    <t>en_won_BRA_004</t>
  </si>
  <si>
    <t>wind onshore resource in Sao Paulo region (near Botucatu) -- Brazil</t>
  </si>
  <si>
    <t>en_won_BRA_005</t>
  </si>
  <si>
    <t>wind onshore resource in Minas Gerais region (near Lavras) -- Brazil</t>
  </si>
  <si>
    <t>en_won_BRA_006</t>
  </si>
  <si>
    <t>wind onshore resource in Mato Grosso do Sul region (near Campo Grande) -- Brazil</t>
  </si>
  <si>
    <t>en_won_BRA_007</t>
  </si>
  <si>
    <t>wind onshore resource in Parana region (near Cascavel) -- Brazil</t>
  </si>
  <si>
    <t>en_won_BRA_008</t>
  </si>
  <si>
    <t>wind onshore resource in Bahia region (near Senhor do Bonfim) -- Brazil</t>
  </si>
  <si>
    <t>en_won_BRA_009</t>
  </si>
  <si>
    <t>wind onshore resource in Para region (near Capitao Poco) -- Brazil</t>
  </si>
  <si>
    <t>en_won_BRA_010</t>
  </si>
  <si>
    <t>wind onshore resource in Paraiba region (near Patos) -- Brazil</t>
  </si>
  <si>
    <t>en_won_BRA_011</t>
  </si>
  <si>
    <t>wind onshore resource in Roraima region (near Boa Vista) -- Brazil</t>
  </si>
  <si>
    <t>en_won_BRA_012</t>
  </si>
  <si>
    <t>wind onshore resource in Minas Gerais region (near Colatina) -- Brazil</t>
  </si>
  <si>
    <t>en_won_BRA_013</t>
  </si>
  <si>
    <t>wind onshore resource in Tocantins region (near Barreiras) -- Brazil</t>
  </si>
  <si>
    <t>en_won_BRA_014</t>
  </si>
  <si>
    <t>wind onshore resource in Piaui region (near Floriano) -- Brazil</t>
  </si>
  <si>
    <t>en_won_BRA_015</t>
  </si>
  <si>
    <t>wind onshore resource in Minas Gerais region (near Januaria) -- Brazil</t>
  </si>
  <si>
    <t>en_won_BRA_016</t>
  </si>
  <si>
    <t>wind onshore resource in Goias region (near Paracatu) -- Brazil</t>
  </si>
  <si>
    <t>en_won_BWA_001</t>
  </si>
  <si>
    <t>wind onshore resource in Kgalagadi region (near Kanye) -- Botswana</t>
  </si>
  <si>
    <t>en_won_BWA_002</t>
  </si>
  <si>
    <t>wind onshore resource in Southern region (near Kanye) -- Botswana</t>
  </si>
  <si>
    <t>en_won_BWA_003</t>
  </si>
  <si>
    <t>wind onshore resource in Kweneng region (near Molepolole) -- Botswana</t>
  </si>
  <si>
    <t>en_won_BWA_004</t>
  </si>
  <si>
    <t>wind onshore resource in Central region (near Selibe Phikwe) -- Botswana</t>
  </si>
  <si>
    <t>en_won_BWA_005</t>
  </si>
  <si>
    <t>wind onshore resource in Central region (near Serowe) -- Botswana</t>
  </si>
  <si>
    <t>en_won_BWA_006</t>
  </si>
  <si>
    <t>wind onshore resource in North-West region (near Maun) -- Botswana</t>
  </si>
  <si>
    <t>en_won_BWA_007</t>
  </si>
  <si>
    <t>wind onshore resource in Ghanzi region (near Maun) -- Botswana</t>
  </si>
  <si>
    <t>en_won_BWA_008</t>
  </si>
  <si>
    <t>en_won_BWA_009</t>
  </si>
  <si>
    <t>en_won_CAF_001</t>
  </si>
  <si>
    <t>wind onshore resource in Vakaga Prefecture region (near Bambari) -- Central African Republic</t>
  </si>
  <si>
    <t>en_won_CAF_002</t>
  </si>
  <si>
    <t>wind onshore resource in Moyen-Chari region (near Bambari) -- Central African Republic</t>
  </si>
  <si>
    <t>en_won_CAF_003</t>
  </si>
  <si>
    <t>wind onshore resource in Salamat region (near Bambari) -- Central African Republic</t>
  </si>
  <si>
    <t>en_won_CAN_001</t>
  </si>
  <si>
    <t>wind onshore resource in Alberta region (near Lethbridge) -- Canada</t>
  </si>
  <si>
    <t>en_won_CAN_002</t>
  </si>
  <si>
    <t>wind onshore resource in British Columbia region (near Kamloops) -- Canada</t>
  </si>
  <si>
    <t>en_won_CAN_003</t>
  </si>
  <si>
    <t>wind onshore resource in British Columbia region (near Nanaimo) -- Canada</t>
  </si>
  <si>
    <t>en_won_CAN_004</t>
  </si>
  <si>
    <t>wind onshore resource in Alberta region (near Edmonton) -- Canada</t>
  </si>
  <si>
    <t>en_won_CAN_005</t>
  </si>
  <si>
    <t>en_won_CAN_006</t>
  </si>
  <si>
    <t>en_won_CAN_007</t>
  </si>
  <si>
    <t>en_won_CAN_008</t>
  </si>
  <si>
    <t>wind onshore resource in Quebec region (near Chicoutimi) -- Canada</t>
  </si>
  <si>
    <t>en_won_CAN_009</t>
  </si>
  <si>
    <t>wind onshore resource in Quebec region (near Laval) -- Canada</t>
  </si>
  <si>
    <t>en_won_CAN_010</t>
  </si>
  <si>
    <t>en_won_CAN_011</t>
  </si>
  <si>
    <t>wind onshore resource in Newfoundland and Labrador region (near St. John's) -- Canada</t>
  </si>
  <si>
    <t>en_won_CAN_012</t>
  </si>
  <si>
    <t>en_won_CAN_013</t>
  </si>
  <si>
    <t>en_won_CAN_014</t>
  </si>
  <si>
    <t>wind onshore resource in Manitoba region (near Winnipeg) -- Canada</t>
  </si>
  <si>
    <t>en_won_CAN_015</t>
  </si>
  <si>
    <t>wind onshore resource in Saskatchewan region (near Edmonton) -- Canada</t>
  </si>
  <si>
    <t>en_won_CAN_016</t>
  </si>
  <si>
    <t>wind onshore resource in Saskatchewan region (near Regina) -- Canada</t>
  </si>
  <si>
    <t>en_won_CAN_017</t>
  </si>
  <si>
    <t>wind onshore resource in Saskatchewan region (near Saskatoon) -- Canada</t>
  </si>
  <si>
    <t>en_won_CAN_018</t>
  </si>
  <si>
    <t>wind onshore resource in Ontario region (near Thunder Bay) -- Canada</t>
  </si>
  <si>
    <t>en_won_CAN_019</t>
  </si>
  <si>
    <t>en_won_CAN_020</t>
  </si>
  <si>
    <t>wind onshore resource in Ontario region (near Sudbury) -- Canada</t>
  </si>
  <si>
    <t>en_won_CAN_021</t>
  </si>
  <si>
    <t>en_won_CAN_022</t>
  </si>
  <si>
    <t>en_won_CAN_023</t>
  </si>
  <si>
    <t>en_won_CHE_001</t>
  </si>
  <si>
    <t>wind onshore resource in Aargau region (near Aarau) -- Switzerland</t>
  </si>
  <si>
    <t>en_won_CHE_002</t>
  </si>
  <si>
    <t>wind onshore resource in Doubs region (near La Chaux-de-Fonds) -- Switzerland</t>
  </si>
  <si>
    <t>en_won_CHL_001</t>
  </si>
  <si>
    <t>wind onshore resource in Magellan and the Chilean Antarctic region (near Punta Arenas) -- Chile</t>
  </si>
  <si>
    <t>en_won_CHL_002</t>
  </si>
  <si>
    <t>wind onshore resource in Santa Cruz region (near Puerto Montt) -- Chile</t>
  </si>
  <si>
    <t>en_won_CHL_003</t>
  </si>
  <si>
    <t>wind onshore resource in Aysen region (near Punta Arenas) -- Chile</t>
  </si>
  <si>
    <t>en_won_CHL_004</t>
  </si>
  <si>
    <t>wind onshore resource in Antofagasta region (near Calama) -- Chile</t>
  </si>
  <si>
    <t>en_won_CHL_005</t>
  </si>
  <si>
    <t>wind onshore resource in Nuble region (near Chillan) -- Chile</t>
  </si>
  <si>
    <t>en_won_CHL_006</t>
  </si>
  <si>
    <t>wind onshore resource in near Vina del Mar -- Chile</t>
  </si>
  <si>
    <t>en_won_CHL_007</t>
  </si>
  <si>
    <t>wind onshore resource in Araucania region (near Temuco) -- Chile</t>
  </si>
  <si>
    <t>en_won_CHL_008</t>
  </si>
  <si>
    <t>wind onshore resource in Los Lagos region (near Puerto Montt) -- Chile</t>
  </si>
  <si>
    <t>en_won_CHN_001</t>
  </si>
  <si>
    <t>wind onshore resource in Xinjiang region (near Urumqi) -- China</t>
  </si>
  <si>
    <t>en_won_CHN_002</t>
  </si>
  <si>
    <t>en_won_CHN_003</t>
  </si>
  <si>
    <t>wind onshore resource in Inner Mongolia region (near Yinchuan) -- China</t>
  </si>
  <si>
    <t>en_won_CHN_004</t>
  </si>
  <si>
    <t>en_won_CHN_005</t>
  </si>
  <si>
    <t>wind onshore resource in Qinghai region (near Xining) -- China</t>
  </si>
  <si>
    <t>en_won_CHN_006</t>
  </si>
  <si>
    <t>en_won_CHN_007</t>
  </si>
  <si>
    <t>wind onshore resource in Jiangxi region (near Yichun) -- China</t>
  </si>
  <si>
    <t>en_won_CHN_008</t>
  </si>
  <si>
    <t>wind onshore resource in Jiangsu region (near Zhenjiang) -- China</t>
  </si>
  <si>
    <t>en_won_CHN_009</t>
  </si>
  <si>
    <t>wind onshore resource in Sichuan region (near Guangyuan) -- China</t>
  </si>
  <si>
    <t>en_won_CHN_010</t>
  </si>
  <si>
    <t>wind onshore resource in Hubei region (near Xiaoganzhan) -- China</t>
  </si>
  <si>
    <t>en_won_CHN_011</t>
  </si>
  <si>
    <t>wind onshore resource in Guangdong region (near Guangzhou) -- China</t>
  </si>
  <si>
    <t>en_won_CHN_012</t>
  </si>
  <si>
    <t>wind onshore resource in Guangxi region (near Hechi) -- China</t>
  </si>
  <si>
    <t>en_won_CHN_013</t>
  </si>
  <si>
    <t>wind onshore resource in Guizhou region (near Guiyang) -- China</t>
  </si>
  <si>
    <t>en_won_CHN_014</t>
  </si>
  <si>
    <t>wind onshore resource in Yunnan region (near Kunming) -- China</t>
  </si>
  <si>
    <t>en_won_CHN_015</t>
  </si>
  <si>
    <t>wind onshore resource in Heilongjiang region (near Jiamusi) -- China</t>
  </si>
  <si>
    <t>en_won_CHN_016</t>
  </si>
  <si>
    <t>wind onshore resource in Inner Mongolia region (near Qiqihar) -- China</t>
  </si>
  <si>
    <t>en_won_CHN_017</t>
  </si>
  <si>
    <t>wind onshore resource in Hebei region (near Baoding) -- China</t>
  </si>
  <si>
    <t>en_won_CHN_018</t>
  </si>
  <si>
    <t>wind onshore resource in Ningxia region (near Qinbaling) -- China</t>
  </si>
  <si>
    <t>en_won_CHN_019</t>
  </si>
  <si>
    <t>wind onshore resource in Shaanxi region (near Yulinshi) -- China</t>
  </si>
  <si>
    <t>en_won_CHN_020</t>
  </si>
  <si>
    <t>wind onshore resource in Shandong region (near Shengli) -- China</t>
  </si>
  <si>
    <t>en_won_CHN_021</t>
  </si>
  <si>
    <t>wind onshore resource in Inner Mongolia region (near Zhangjiakou) -- China</t>
  </si>
  <si>
    <t>en_won_CHN_022</t>
  </si>
  <si>
    <t>wind onshore resource in Inner Mongolia region (near Tongliao) -- China</t>
  </si>
  <si>
    <t>en_won_CHN_023</t>
  </si>
  <si>
    <t>wind onshore resource in Liaoning region (near Tieling) -- China</t>
  </si>
  <si>
    <t>en_won_CIV_001</t>
  </si>
  <si>
    <t>wind onshore resource in near San-Pedro -- Ivory Coast</t>
  </si>
  <si>
    <t>en_won_CIV_002</t>
  </si>
  <si>
    <t>wind onshore resource in Zanzan region (near Korhogo) -- Ivory Coast</t>
  </si>
  <si>
    <t>en_won_CIV_003</t>
  </si>
  <si>
    <t>wind onshore resource in Wassoulou region (near Korhogo) -- Ivory Coast</t>
  </si>
  <si>
    <t>en_won_CIV_004</t>
  </si>
  <si>
    <t>wind onshore resource in Savanes region (near Korhogo) -- Ivory Coast</t>
  </si>
  <si>
    <t>en_won_CMR_001</t>
  </si>
  <si>
    <t>wind onshore resource in North region (near Garoua) -- Cameroon</t>
  </si>
  <si>
    <t>en_won_CMR_002</t>
  </si>
  <si>
    <t>wind onshore resource in Far North region (near Maroua) -- Cameroon</t>
  </si>
  <si>
    <t>en_won_CMR_003</t>
  </si>
  <si>
    <t>en_won_CMR_004</t>
  </si>
  <si>
    <t>wind onshore resource in near Douala -- Cameroon</t>
  </si>
  <si>
    <t>en_won_COD_001</t>
  </si>
  <si>
    <t>wind onshore resource in Katanga region (near Lubumbashi) -- Democratic Republic of Congo</t>
  </si>
  <si>
    <t>en_won_COD_002</t>
  </si>
  <si>
    <t>en_won_COD_003</t>
  </si>
  <si>
    <t>en_won_COD_004</t>
  </si>
  <si>
    <t>en_won_COD_005</t>
  </si>
  <si>
    <t>wind onshore resource in Lunda Sul region (near Tshikapa) -- Democratic Republic of Congo</t>
  </si>
  <si>
    <t>en_won_COG_001</t>
  </si>
  <si>
    <t>wind onshore resource in Niari region (near Pointe-Noire) -- Republic of Congo</t>
  </si>
  <si>
    <t>en_won_COG_002</t>
  </si>
  <si>
    <t>wind onshore resource in Haut-Ogooue region (near Brazzaville) -- Republic of Congo</t>
  </si>
  <si>
    <t>en_won_COG_003</t>
  </si>
  <si>
    <t>wind onshore resource in Brazzaville region (near Brazzaville) -- Republic of Congo</t>
  </si>
  <si>
    <t>en_won_COL_001</t>
  </si>
  <si>
    <t>wind onshore resource in Atlantico region (near Sabanalarga) -- Colombia</t>
  </si>
  <si>
    <t>en_won_COL_002</t>
  </si>
  <si>
    <t>wind onshore resource in La Guajira region (near Uripa) -- Colombia</t>
  </si>
  <si>
    <t>en_won_COL_003</t>
  </si>
  <si>
    <t>wind onshore resource in Apure region (near Arauca) -- Colombia</t>
  </si>
  <si>
    <t>en_won_COL_004</t>
  </si>
  <si>
    <t>wind onshore resource in Casanare region (near Yopal) -- Colombia</t>
  </si>
  <si>
    <t>en_won_CRI_001</t>
  </si>
  <si>
    <t>wind onshore resource in Guanacaste region (near Canas) -- Costa Rica</t>
  </si>
  <si>
    <t>en_won_CRI_002</t>
  </si>
  <si>
    <t>wind onshore resource in near Santa Cruz -- Costa Rica</t>
  </si>
  <si>
    <t>en_won_CUB_001</t>
  </si>
  <si>
    <t>wind onshore resource in near Consolacion del Sur -- Cuba</t>
  </si>
  <si>
    <t>en_won_CUB_002</t>
  </si>
  <si>
    <t>wind onshore resource in Mayabeque region (near Guines) -- Cuba</t>
  </si>
  <si>
    <t>en_won_CUB_003</t>
  </si>
  <si>
    <t>wind onshore resource in Villa Clara region (near Placetas) -- Cuba</t>
  </si>
  <si>
    <t>en_won_CUB_004</t>
  </si>
  <si>
    <t>wind onshore resource in Santiago de Cuba region (near Salvador) -- Cuba</t>
  </si>
  <si>
    <t>en_won_CUB_005</t>
  </si>
  <si>
    <t>wind onshore resource in Las Tunas region (near Las Tunas) -- Cuba</t>
  </si>
  <si>
    <t>en_won_CZE_001</t>
  </si>
  <si>
    <t>wind onshore resource in Plzeň- region (near Plzen) -- Czech Republic</t>
  </si>
  <si>
    <t>en_won_CZE_002</t>
  </si>
  <si>
    <t>wind onshore resource in Olomouc region (near Valasske Mezirici) -- Czech Republic</t>
  </si>
  <si>
    <t>en_won_CZE_003</t>
  </si>
  <si>
    <t>wind onshore resource in Hradec Kralove region (near Trutnov) -- Czech Republic</t>
  </si>
  <si>
    <t>en_won_CZE_004</t>
  </si>
  <si>
    <t>wind onshore resource in Vysočina region (near Trebic) -- Czech Republic</t>
  </si>
  <si>
    <t>en_won_DEU_001</t>
  </si>
  <si>
    <t>wind onshore resource in Brandenburg region (near Neuruppin) -- Germany</t>
  </si>
  <si>
    <t>en_won_DEU_002</t>
  </si>
  <si>
    <t>wind onshore resource in Saxony region (near Grimma) -- Germany</t>
  </si>
  <si>
    <t>en_won_DEU_003</t>
  </si>
  <si>
    <t>wind onshore resource in Schleswig-Holstein region (near Neumunster) -- Germany</t>
  </si>
  <si>
    <t>en_won_DEU_004</t>
  </si>
  <si>
    <t>wind onshore resource in North Rhine-Westphalia region (near Witten) -- Germany</t>
  </si>
  <si>
    <t>en_won_DEU_005</t>
  </si>
  <si>
    <t>wind onshore resource in Lower Saxony region (near Burgdorf) -- Germany</t>
  </si>
  <si>
    <t>en_won_DEU_006</t>
  </si>
  <si>
    <t>wind onshore resource in Bavaria region (near Straubing) -- Germany</t>
  </si>
  <si>
    <t>en_won_DEU_007</t>
  </si>
  <si>
    <t>wind onshore resource in Hesse region (near Aschaffenburg) -- Germany</t>
  </si>
  <si>
    <t>en_won_DEU_008</t>
  </si>
  <si>
    <t>wind onshore resource in Baden-Wurttemberg region (near Reutlingen) -- Germany</t>
  </si>
  <si>
    <t>en_won_DJI_001</t>
  </si>
  <si>
    <t>wind onshore resource in Ali Sabieh region (near Djibouti) -- Djibouti</t>
  </si>
  <si>
    <t>en_won_DJI_002</t>
  </si>
  <si>
    <t>wind onshore resource in Tadjourah region (near Djibouti) -- Djibouti</t>
  </si>
  <si>
    <t>en_won_DNK_001</t>
  </si>
  <si>
    <t>wind onshore resource in North Denmark region (near Aalborg) -- Denmark</t>
  </si>
  <si>
    <t>en_won_DNK_002</t>
  </si>
  <si>
    <t>wind onshore resource in Zealand region (near Koge) -- Denmark</t>
  </si>
  <si>
    <t>en_won_DNK_003</t>
  </si>
  <si>
    <t>wind onshore resource in near Odense -- Denmark</t>
  </si>
  <si>
    <t>en_won_DNK_004</t>
  </si>
  <si>
    <t>wind onshore resource in Southern Denmark region (near Vejle) -- Denmark</t>
  </si>
  <si>
    <t>en_won_DOM_001</t>
  </si>
  <si>
    <t>wind onshore resource in El Seibo region (near Consuelito) -- Dominican Republic</t>
  </si>
  <si>
    <t>en_won_DOM_002</t>
  </si>
  <si>
    <t>wind onshore resource in San Juan region (near San Juan) -- Dominican Republic</t>
  </si>
  <si>
    <t>en_won_DOM_003</t>
  </si>
  <si>
    <t>wind onshore resource in Dajabon region (near Mao) -- Dominican Republic</t>
  </si>
  <si>
    <t>en_won_DZA_001</t>
  </si>
  <si>
    <t>wind onshore resource in Batna region (near Batna) -- Algeria</t>
  </si>
  <si>
    <t>en_won_DZA_002</t>
  </si>
  <si>
    <t>wind onshore resource in Naama region (near Mecheria) -- Algeria</t>
  </si>
  <si>
    <t>en_won_DZA_003</t>
  </si>
  <si>
    <t>wind onshore resource in Tiaret region (near Sougueur) -- Algeria</t>
  </si>
  <si>
    <t>en_won_DZA_004</t>
  </si>
  <si>
    <t>wind onshore resource in Illizi region (near Hassi Messaoud) -- Algeria</t>
  </si>
  <si>
    <t>en_won_DZA_005</t>
  </si>
  <si>
    <t>wind onshore resource in Ouargla region (near El Golea) -- Algeria</t>
  </si>
  <si>
    <t>en_won_DZA_006</t>
  </si>
  <si>
    <t>wind onshore resource in Illizi region (near Tamanrasset) -- Algeria</t>
  </si>
  <si>
    <t>en_won_DZA_007</t>
  </si>
  <si>
    <t>wind onshore resource in Tamanghasset region (near Tamanrasset) -- Algeria</t>
  </si>
  <si>
    <t>en_won_DZA_008</t>
  </si>
  <si>
    <t>en_won_DZA_009</t>
  </si>
  <si>
    <t>wind onshore resource in Adrar region (near Adrar) -- Algeria</t>
  </si>
  <si>
    <t>en_won_DZA_010</t>
  </si>
  <si>
    <t>en_won_DZA_011</t>
  </si>
  <si>
    <t>en_won_DZA_012</t>
  </si>
  <si>
    <t>wind onshore resource in Tindouf region (near Tindouf) -- Algeria</t>
  </si>
  <si>
    <t>en_won_DZA_013</t>
  </si>
  <si>
    <t>en_won_DZA_014</t>
  </si>
  <si>
    <t>wind onshore resource in El Bayadh region (near Ain Sefra) -- Algeria</t>
  </si>
  <si>
    <t>en_won_DZA_015</t>
  </si>
  <si>
    <t>wind onshore resource in Laghouat region (near Laghouat) -- Algeria</t>
  </si>
  <si>
    <t>en_won_DZA_016</t>
  </si>
  <si>
    <t>wind onshore resource in Ouargla region (near Hassi Messaoud) -- Algeria</t>
  </si>
  <si>
    <t>en_won_ECU_001</t>
  </si>
  <si>
    <t>wind onshore resource in near Manta -- Ecuador</t>
  </si>
  <si>
    <t>en_won_ECU_002</t>
  </si>
  <si>
    <t>en_won_ECU_003</t>
  </si>
  <si>
    <t>wind onshore resource in Santa Elena region (near Portoviejo) -- Ecuador</t>
  </si>
  <si>
    <t>en_won_ECU_004</t>
  </si>
  <si>
    <t>en_won_EGY_001</t>
  </si>
  <si>
    <t>wind onshore resource in Red Sea region (near Abu Tisht) -- Egypt</t>
  </si>
  <si>
    <t>en_won_EGY_002</t>
  </si>
  <si>
    <t>wind onshore resource in New Valley region (near Abu Tisht) -- Egypt</t>
  </si>
  <si>
    <t>en_won_EGY_003</t>
  </si>
  <si>
    <t>en_won_EGY_004</t>
  </si>
  <si>
    <t>wind onshore resource in New Valley region (near Al Maraghah) -- Egypt</t>
  </si>
  <si>
    <t>en_won_EGY_005</t>
  </si>
  <si>
    <t>wind onshore resource in Red Sea region (near Akhmim) -- Egypt</t>
  </si>
  <si>
    <t>en_won_EGY_006</t>
  </si>
  <si>
    <t>wind onshore resource in Beheira region (near Ashmun) -- Egypt</t>
  </si>
  <si>
    <t>en_won_EGY_007</t>
  </si>
  <si>
    <t>wind onshore resource in South Sinai region (near Suez) -- Egypt</t>
  </si>
  <si>
    <t>en_won_EGY_008</t>
  </si>
  <si>
    <t>wind onshore resource in New Valley region (near Dayrut) -- Egypt</t>
  </si>
  <si>
    <t>en_won_EGY_009</t>
  </si>
  <si>
    <t>wind onshore resource in Matrouh region (near Alexandria) -- Egypt</t>
  </si>
  <si>
    <t>en_won_EGY_010</t>
  </si>
  <si>
    <t>en_won_EGY_011</t>
  </si>
  <si>
    <t>en_won_ERI_001</t>
  </si>
  <si>
    <t>wind onshore resource in Northern Red Sea region (near Keren) -- Eritrea</t>
  </si>
  <si>
    <t>en_won_ERI_002</t>
  </si>
  <si>
    <t>wind onshore resource in Gash-Barka region (near Gwelej) -- Eritrea</t>
  </si>
  <si>
    <t>en_won_ERI_003</t>
  </si>
  <si>
    <t>wind onshore resource in Southern Red Sea region (near Asmara) -- Eritrea</t>
  </si>
  <si>
    <t>en_won_ERI_004</t>
  </si>
  <si>
    <t>wind onshore resource in Debub region (near Keren) -- Eritrea</t>
  </si>
  <si>
    <t>en_won_ERI_005</t>
  </si>
  <si>
    <t>en_won_ESP_001</t>
  </si>
  <si>
    <t>wind onshore resource in Seville region (near Utrera) -- Spain</t>
  </si>
  <si>
    <t>en_won_ESP_002</t>
  </si>
  <si>
    <t>wind onshore resource in Cordoba region (near Cordoba) -- Spain</t>
  </si>
  <si>
    <t>en_won_ESP_003</t>
  </si>
  <si>
    <t>wind onshore resource in Araba / Alava region (near Bilbao) -- Spain</t>
  </si>
  <si>
    <t>en_won_ESP_004</t>
  </si>
  <si>
    <t>wind onshore resource in Ourense region (near Ponferrada) -- Spain</t>
  </si>
  <si>
    <t>en_won_ESP_005</t>
  </si>
  <si>
    <t>wind onshore resource in Tarragona region (near Villanueva y Geltru) -- Spain</t>
  </si>
  <si>
    <t>en_won_ESP_006</t>
  </si>
  <si>
    <t>wind onshore resource in Albacete region (near Molina de Segura) -- Spain</t>
  </si>
  <si>
    <t>en_won_ESP_007</t>
  </si>
  <si>
    <t>wind onshore resource in Alicante region (near Elda) -- Spain</t>
  </si>
  <si>
    <t>en_won_ESP_008</t>
  </si>
  <si>
    <t>wind onshore resource in Community of Madrid region (near Madrid) -- Spain</t>
  </si>
  <si>
    <t>en_won_EST_001</t>
  </si>
  <si>
    <t>wind onshore resource in near Tallinn -- Estonia</t>
  </si>
  <si>
    <t>en_won_EST_002</t>
  </si>
  <si>
    <t>wind onshore resource in Jogeva region (near Tartu) -- Estonia</t>
  </si>
  <si>
    <t>en_won_EST_003</t>
  </si>
  <si>
    <t>wind onshore resource in Valmiera region (near Tartu) -- Estonia</t>
  </si>
  <si>
    <t>en_won_EST_004</t>
  </si>
  <si>
    <t>wind onshore resource in Rapla region (near Tallinn) -- Estonia</t>
  </si>
  <si>
    <t>en_won_ETH_001</t>
  </si>
  <si>
    <t>wind onshore resource in Oromia region (near Sodo) -- Ethiopia</t>
  </si>
  <si>
    <t>en_won_ETH_002</t>
  </si>
  <si>
    <t>wind onshore resource in Somali region (near Jijiga) -- Ethiopia</t>
  </si>
  <si>
    <t>en_won_ETH_003</t>
  </si>
  <si>
    <t>wind onshore resource in Oromia region (near Gode) -- Ethiopia</t>
  </si>
  <si>
    <t>en_won_ETH_004</t>
  </si>
  <si>
    <t>wind onshore resource in Somali region (near Awasa) -- Ethiopia</t>
  </si>
  <si>
    <t>en_won_ETH_005</t>
  </si>
  <si>
    <t>wind onshore resource in Somali region (near K'ebri Dehar) -- Ethiopia</t>
  </si>
  <si>
    <t>en_won_ETH_006</t>
  </si>
  <si>
    <t>wind onshore resource in Afar region (near Mekele) -- Ethiopia</t>
  </si>
  <si>
    <t>en_won_ETH_007</t>
  </si>
  <si>
    <t>wind onshore resource in Afar region (near Mersa) -- Ethiopia</t>
  </si>
  <si>
    <t>en_won_ETH_008</t>
  </si>
  <si>
    <t>wind onshore resource in Al Qadarif region (near Bahir Dar) -- Ethiopia</t>
  </si>
  <si>
    <t>en_won_ETH_009</t>
  </si>
  <si>
    <t>wind onshore resource in Somali region (near Dire Dawa) -- Ethiopia</t>
  </si>
  <si>
    <t>en_won_FIN_001</t>
  </si>
  <si>
    <t>wind onshore resource in Northern Savonia region (near Kajaani) -- Finland</t>
  </si>
  <si>
    <t>en_won_FIN_002</t>
  </si>
  <si>
    <t>wind onshore resource in Kymenlaakso region (near Kouvola) -- Finland</t>
  </si>
  <si>
    <t>en_won_FIN_003</t>
  </si>
  <si>
    <t>wind onshore resource in Tavastia Proper region (near Salo) -- Finland</t>
  </si>
  <si>
    <t>en_won_FIN_004</t>
  </si>
  <si>
    <t>wind onshore resource in Southern Ostrobothnia region (near Seinajoki) -- Finland</t>
  </si>
  <si>
    <t>en_won_FIN_005</t>
  </si>
  <si>
    <t>wind onshore resource in Lapland region (near Rovaniemi) -- Finland</t>
  </si>
  <si>
    <t>en_won_FIN_006</t>
  </si>
  <si>
    <t>wind onshore resource in Finnmark region (near Rovaniemi) -- Finland</t>
  </si>
  <si>
    <t>en_won_FIN_007</t>
  </si>
  <si>
    <t>wind onshore resource in Northern Ostrobothnia region (near Oulu) -- Finland</t>
  </si>
  <si>
    <t>en_won_FIN_008</t>
  </si>
  <si>
    <t>en_won_FRA_001</t>
  </si>
  <si>
    <t>wind onshore resource in near Saint-Raphael -- France</t>
  </si>
  <si>
    <t>en_won_FRA_002</t>
  </si>
  <si>
    <t>wind onshore resource in Gard region (near Ales) -- France</t>
  </si>
  <si>
    <t>en_won_FRA_003</t>
  </si>
  <si>
    <t>wind onshore resource in Puy-de-Dome region (near Saint-Etienne) -- France</t>
  </si>
  <si>
    <t>en_won_FRA_004</t>
  </si>
  <si>
    <t>wind onshore resource in Gers region (near Agen) -- France</t>
  </si>
  <si>
    <t>en_won_FRA_005</t>
  </si>
  <si>
    <t>wind onshore resource in Somme region (near Compiegne) -- France</t>
  </si>
  <si>
    <t>en_won_FRA_006</t>
  </si>
  <si>
    <t>wind onshore resource in Ille-et-Vilaine region (near Rennes) -- France</t>
  </si>
  <si>
    <t>en_won_FRA_007</t>
  </si>
  <si>
    <t>wind onshore resource in Vosges region (near Epinal) -- France</t>
  </si>
  <si>
    <t>en_won_FRA_008</t>
  </si>
  <si>
    <t>wind onshore resource in Nievre region (near Auxerre) -- France</t>
  </si>
  <si>
    <t>en_won_FRA_009</t>
  </si>
  <si>
    <t>wind onshore resource in Charente region (near Angouleme) -- France</t>
  </si>
  <si>
    <t>en_won_GAB_001</t>
  </si>
  <si>
    <t>wind onshore resource in Ogooue-Maritime region (near Port-Gentil) -- Gabon</t>
  </si>
  <si>
    <t>en_won_GAB_002</t>
  </si>
  <si>
    <t>wind onshore resource in near Port-Gentil -- Gabon</t>
  </si>
  <si>
    <t>en_won_GBR_001</t>
  </si>
  <si>
    <t>wind onshore resource in Lancashire region (near Skelmersdale) -- United Kingdom</t>
  </si>
  <si>
    <t>en_won_GBR_002</t>
  </si>
  <si>
    <t>wind onshore resource in Surrey region (near Horsham) -- United Kingdom</t>
  </si>
  <si>
    <t>en_won_GBR_003</t>
  </si>
  <si>
    <t>wind onshore resource in near Port Talbot -- United Kingdom</t>
  </si>
  <si>
    <t>en_won_GBR_004</t>
  </si>
  <si>
    <t>wind onshore resource in Highland region (near Inverness) -- United Kingdom</t>
  </si>
  <si>
    <t>en_won_GBR_005</t>
  </si>
  <si>
    <t>wind onshore resource in Dungannon and South Tyrone region (near Lisburn) -- United Kingdom</t>
  </si>
  <si>
    <t>en_won_GBR_006</t>
  </si>
  <si>
    <t>en_won_GBR_007</t>
  </si>
  <si>
    <t>wind onshore resource in Edinburgh region (near Edinburgh) -- United Kingdom</t>
  </si>
  <si>
    <t>en_won_GEO_001</t>
  </si>
  <si>
    <t>wind onshore resource in Shida Kartli region (near Tbilisi) -- Georgia</t>
  </si>
  <si>
    <t>en_won_GEO_002</t>
  </si>
  <si>
    <t>wind onshore resource in Samegrelo-Zemo Svaneti region (near Kutaisi) -- Georgia</t>
  </si>
  <si>
    <t>en_won_GHA_001</t>
  </si>
  <si>
    <t>wind onshore resource in Greater Accra region (near Accra) -- Ghana</t>
  </si>
  <si>
    <t>en_won_GHA_002</t>
  </si>
  <si>
    <t>wind onshore resource in Upper East region (near Tamale) -- Ghana</t>
  </si>
  <si>
    <t>en_won_GHA_003</t>
  </si>
  <si>
    <t>wind onshore resource in Brong-Ahafo region (near Sunyani) -- Ghana</t>
  </si>
  <si>
    <t>en_won_GHA_004</t>
  </si>
  <si>
    <t>wind onshore resource in Northern region (near Tamale) -- Ghana</t>
  </si>
  <si>
    <t>en_won_GIN_001</t>
  </si>
  <si>
    <t>wind onshore resource in Koundara Prefecture region (near Mamou) -- Guinea</t>
  </si>
  <si>
    <t>en_won_GIN_002</t>
  </si>
  <si>
    <t>wind onshore resource in Mandiana Prefecture region (near Siguiri) -- Guinea</t>
  </si>
  <si>
    <t>en_won_GIN_003</t>
  </si>
  <si>
    <t>wind onshore resource in Koulikoro region (near Siguiri) -- Guinea</t>
  </si>
  <si>
    <t>en_won_GNB_001</t>
  </si>
  <si>
    <t>wind onshore resource in Gabu region (near Gabu) -- Guinea-Bissau</t>
  </si>
  <si>
    <t>en_won_GNB_002</t>
  </si>
  <si>
    <t>wind onshore resource in Cacheu region (near Bissau) -- Guinea-Bissau</t>
  </si>
  <si>
    <t>en_won_GNB_003</t>
  </si>
  <si>
    <t>wind onshore resource in Tombali region (near Bissau) -- Guinea-Bissau</t>
  </si>
  <si>
    <t>en_won_GNQ_001</t>
  </si>
  <si>
    <t>wind onshore resource in Bioko Sur region (near Malabo) -- Equatorial Guinea</t>
  </si>
  <si>
    <t>en_won_GNQ_002</t>
  </si>
  <si>
    <t>wind onshore resource in Kie-Ntem region (near Sevilla de Niefang) -- Equatorial Guinea</t>
  </si>
  <si>
    <t>en_won_GRC_001</t>
  </si>
  <si>
    <t>wind onshore resource in near Pyrgos -- Greece</t>
  </si>
  <si>
    <t>en_won_GRC_002</t>
  </si>
  <si>
    <t>wind onshore resource in Peloponnese region (near Glyfada) -- Greece</t>
  </si>
  <si>
    <t>en_won_GRC_003</t>
  </si>
  <si>
    <t>wind onshore resource in near Kavala -- Greece</t>
  </si>
  <si>
    <t>en_won_GRC_004</t>
  </si>
  <si>
    <t>wind onshore resource in East Macedonia and Thrace region (near Xanthi) -- Greece</t>
  </si>
  <si>
    <t>en_won_GRC_005</t>
  </si>
  <si>
    <t>wind onshore resource in near Chania -- Greece</t>
  </si>
  <si>
    <t>en_won_GRC_006</t>
  </si>
  <si>
    <t>wind onshore resource in near Pallini -- Greece</t>
  </si>
  <si>
    <t>en_won_GTM_001</t>
  </si>
  <si>
    <t>wind onshore resource in Peten region (near Flores) -- Guatemala</t>
  </si>
  <si>
    <t>en_won_GTM_002</t>
  </si>
  <si>
    <t>wind onshore resource in Jutiapa region (near Asuncion Mita) -- Guatemala</t>
  </si>
  <si>
    <t>en_won_GUY_001</t>
  </si>
  <si>
    <t>wind onshore resource in East Berbice-Corentyne region (near Georgetown) -- Guyana</t>
  </si>
  <si>
    <t>en_won_GUY_002</t>
  </si>
  <si>
    <t>wind onshore resource in Upper Demerara-Berbice region (near Linden) -- Guyana</t>
  </si>
  <si>
    <t>en_won_GUY_003</t>
  </si>
  <si>
    <t>wind onshore resource in Roraima region (near Linden) -- Guyana</t>
  </si>
  <si>
    <t>en_won_HKG_001</t>
  </si>
  <si>
    <t>wind onshore resource in near Hong Kong -- Hong Kong SAR, China</t>
  </si>
  <si>
    <t>en_won_HKG_002</t>
  </si>
  <si>
    <t>wind onshore resource in Yuen Long region (near Sha Tin) -- Hong Kong SAR, China</t>
  </si>
  <si>
    <t>en_won_HKG_003</t>
  </si>
  <si>
    <t>wind onshore resource in Sai Kung region (near Sha Tin) -- Hong Kong SAR, China</t>
  </si>
  <si>
    <t>en_won_HKG_004</t>
  </si>
  <si>
    <t>wind onshore resource in near Kowloon -- Hong Kong SAR, China</t>
  </si>
  <si>
    <t>en_won_HND_001</t>
  </si>
  <si>
    <t>wind onshore resource in El Paraiso region (near Ciudad Choluteca) -- Honduras</t>
  </si>
  <si>
    <t>en_won_HND_002</t>
  </si>
  <si>
    <t>wind onshore resource in near La Ceiba -- Honduras</t>
  </si>
  <si>
    <t>en_won_HND_003</t>
  </si>
  <si>
    <t>wind onshore resource in near Catacamas -- Honduras</t>
  </si>
  <si>
    <t>en_won_HRV_001</t>
  </si>
  <si>
    <t>wind onshore resource in Split-Dalmatia region (near Solin) -- Croatia</t>
  </si>
  <si>
    <t>en_won_HRV_002</t>
  </si>
  <si>
    <t>wind onshore resource in Istria region (near Pula) -- Croatia</t>
  </si>
  <si>
    <t>en_won_HRV_003</t>
  </si>
  <si>
    <t>wind onshore resource in Zadar region (near Sibenik) -- Croatia</t>
  </si>
  <si>
    <t>en_won_HRV_004</t>
  </si>
  <si>
    <t>wind onshore resource in Osijek-Baranja region (near Osijek) -- Croatia</t>
  </si>
  <si>
    <t>en_won_HRV_005</t>
  </si>
  <si>
    <t>wind onshore resource in Koprivnica-Križevci region (near Koprivnica) -- Croatia</t>
  </si>
  <si>
    <t>en_won_HTI_001</t>
  </si>
  <si>
    <t>wind onshore resource in Nord-Ouest region (near Jean-Rabel) -- Haiti</t>
  </si>
  <si>
    <t>en_won_HTI_002</t>
  </si>
  <si>
    <t>wind onshore resource in near Saint-Marc -- Haiti</t>
  </si>
  <si>
    <t>en_won_HUN_001</t>
  </si>
  <si>
    <t>wind onshore resource in Fejer region (near Dunaujvaros) -- Hungary</t>
  </si>
  <si>
    <t>en_won_HUN_002</t>
  </si>
  <si>
    <t>wind onshore resource in Bekes region (near Oroshaza) -- Hungary</t>
  </si>
  <si>
    <t>en_won_HUN_003</t>
  </si>
  <si>
    <t>wind onshore resource in Heves region (near Jaszbereny) -- Hungary</t>
  </si>
  <si>
    <t>en_won_HUN_004</t>
  </si>
  <si>
    <t>wind onshore resource in Debrecen region (near Hajduboszormeny) -- Hungary</t>
  </si>
  <si>
    <t>en_won_IDN_001</t>
  </si>
  <si>
    <t>wind onshore resource in near Ambon -- Indonesia</t>
  </si>
  <si>
    <t>en_won_IDN_002</t>
  </si>
  <si>
    <t>wind onshore resource in Viqueque region (near Kupang) -- Indonesia</t>
  </si>
  <si>
    <t>en_won_IDN_003</t>
  </si>
  <si>
    <t>wind onshore resource in Papua region (near Jayapura) -- Indonesia</t>
  </si>
  <si>
    <t>en_won_IDN_004</t>
  </si>
  <si>
    <t>wind onshore resource in near Batam Centre -- Indonesia</t>
  </si>
  <si>
    <t>en_won_IDN_005</t>
  </si>
  <si>
    <t>wind onshore resource in near Palembang -- Indonesia</t>
  </si>
  <si>
    <t>en_won_IDN_006</t>
  </si>
  <si>
    <t>wind onshore resource in North Sulawesi region (near Manado) -- Indonesia</t>
  </si>
  <si>
    <t>en_won_IDN_007</t>
  </si>
  <si>
    <t>wind onshore resource in near Bandar Lampung -- Indonesia</t>
  </si>
  <si>
    <t>en_won_IDN_008</t>
  </si>
  <si>
    <t>wind onshore resource in near Mataram -- Indonesia</t>
  </si>
  <si>
    <t>en_won_IDN_009</t>
  </si>
  <si>
    <t>wind onshore resource in East Nusa Tenggara region (near Lembok) -- Indonesia</t>
  </si>
  <si>
    <t>en_won_IDN_010</t>
  </si>
  <si>
    <t>wind onshore resource in near Semarang -- Indonesia</t>
  </si>
  <si>
    <t>en_won_IND_001</t>
  </si>
  <si>
    <t>wind onshore resource in Uttar Pradesh region (near Sambhal) -- India</t>
  </si>
  <si>
    <t>en_won_IND_002</t>
  </si>
  <si>
    <t>wind onshore resource in Haryana region (near Hisar) -- India</t>
  </si>
  <si>
    <t>en_won_IND_003</t>
  </si>
  <si>
    <t>wind onshore resource in West Bengal region (near Contai) -- India</t>
  </si>
  <si>
    <t>en_won_IND_004</t>
  </si>
  <si>
    <t>wind onshore resource in Jharkhand region (near Sahibganj) -- India</t>
  </si>
  <si>
    <t>en_won_IND_005</t>
  </si>
  <si>
    <t>wind onshore resource in Madhya Pradesh region (near Katri) -- India</t>
  </si>
  <si>
    <t>en_won_IND_006</t>
  </si>
  <si>
    <t>wind onshore resource in Uttar Pradesh region (near Bara Banki) -- India</t>
  </si>
  <si>
    <t>en_won_IND_007</t>
  </si>
  <si>
    <t>wind onshore resource in Bihar region (near Arrah) -- India</t>
  </si>
  <si>
    <t>en_won_IND_008</t>
  </si>
  <si>
    <t>wind onshore resource in Telangana region (near Paloncha) -- India</t>
  </si>
  <si>
    <t>en_won_IND_009</t>
  </si>
  <si>
    <t>wind onshore resource in Maharashtra region (near Osmanabad) -- India</t>
  </si>
  <si>
    <t>en_won_IND_010</t>
  </si>
  <si>
    <t>wind onshore resource in Karnataka region (near Hindupur) -- India</t>
  </si>
  <si>
    <t>en_won_IND_011</t>
  </si>
  <si>
    <t>wind onshore resource in near Puducherry -- India</t>
  </si>
  <si>
    <t>en_won_IND_012</t>
  </si>
  <si>
    <t>wind onshore resource in Rajasthan region (near Jodhpur) -- India</t>
  </si>
  <si>
    <t>en_won_IND_013</t>
  </si>
  <si>
    <t>wind onshore resource in Rajasthan region (near Kota) -- India</t>
  </si>
  <si>
    <t>en_won_IND_014</t>
  </si>
  <si>
    <t>wind onshore resource in Gujarat region (near Botad) -- India</t>
  </si>
  <si>
    <t>en_won_IND_015</t>
  </si>
  <si>
    <t>wind onshore resource in Chhattisgarh region (near Dhamtari) -- India</t>
  </si>
  <si>
    <t>en_won_IND_016</t>
  </si>
  <si>
    <t>wind onshore resource in Madhya Pradesh region (near Harda Khas) -- India</t>
  </si>
  <si>
    <t>en_won_IRL_001</t>
  </si>
  <si>
    <t>wind onshore resource in Limerick region (near Limerick) -- Ireland</t>
  </si>
  <si>
    <t>en_won_IRL_002</t>
  </si>
  <si>
    <t>wind onshore resource in Carlow region (near Carlow) -- Ireland</t>
  </si>
  <si>
    <t>en_won_IRL_003</t>
  </si>
  <si>
    <t>wind onshore resource in Leitrim region (near Mullingar) -- Ireland</t>
  </si>
  <si>
    <t>en_won_IRL_004</t>
  </si>
  <si>
    <t>wind onshore resource in Mayo region (near Galway) -- Ireland</t>
  </si>
  <si>
    <t>en_won_IRN_001</t>
  </si>
  <si>
    <t>wind onshore resource in Zanjan region (near Khodabandeh) -- Iran</t>
  </si>
  <si>
    <t>en_won_IRN_002</t>
  </si>
  <si>
    <t>wind onshore resource in Isfahan region (near Esfahan) -- Iran</t>
  </si>
  <si>
    <t>en_won_IRN_003</t>
  </si>
  <si>
    <t>wind onshore resource in Kerman region (near Yazd) -- Iran</t>
  </si>
  <si>
    <t>en_won_IRN_004</t>
  </si>
  <si>
    <t>wind onshore resource in Sistan and Baluchestan region (near Zahedan) -- Iran</t>
  </si>
  <si>
    <t>en_won_IRN_005</t>
  </si>
  <si>
    <t>wind onshore resource in Sistan and Baluchestan region (near Bandar `Abbas) -- Iran</t>
  </si>
  <si>
    <t>en_won_IRN_006</t>
  </si>
  <si>
    <t>en_won_IRN_007</t>
  </si>
  <si>
    <t>wind onshore resource in South Khorasan region (near Birjand) -- Iran</t>
  </si>
  <si>
    <t>en_won_IRN_008</t>
  </si>
  <si>
    <t>wind onshore resource in Khuzestan region (near Borvayeh-ye Al Bu `Aziz) -- Iran</t>
  </si>
  <si>
    <t>en_won_IRN_009</t>
  </si>
  <si>
    <t>wind onshore resource in Razavi Khorasan region (near Sabzevar) -- Iran</t>
  </si>
  <si>
    <t>en_won_IRN_010</t>
  </si>
  <si>
    <t>wind onshore resource in Razavi Khorasan region (near Mashhad) -- Iran</t>
  </si>
  <si>
    <t>en_won_IRN_011</t>
  </si>
  <si>
    <t>wind onshore resource in Yazd region (near Birjand) -- Iran</t>
  </si>
  <si>
    <t>en_won_IRN_012</t>
  </si>
  <si>
    <t>wind onshore resource in Isfahan region (near Kashan) -- Iran</t>
  </si>
  <si>
    <t>en_won_IRQ_001</t>
  </si>
  <si>
    <t>wind onshore resource in Al Anbar region (near Ar Ramadi) -- Iraq</t>
  </si>
  <si>
    <t>en_won_IRQ_002</t>
  </si>
  <si>
    <t>wind onshore resource in Al Anbar region (near An Najaf) -- Iraq</t>
  </si>
  <si>
    <t>en_won_IRQ_003</t>
  </si>
  <si>
    <t>wind onshore resource in Basra region (near Al Qurnah) -- Iraq</t>
  </si>
  <si>
    <t>en_won_IRQ_004</t>
  </si>
  <si>
    <t>wind onshore resource in Al Muthanna region (near An Nasiriyah) -- Iraq</t>
  </si>
  <si>
    <t>en_won_IRQ_005</t>
  </si>
  <si>
    <t>wind onshore resource in Saladin region (near Ar Ramadi) -- Iraq</t>
  </si>
  <si>
    <t>en_won_IRQ_006</t>
  </si>
  <si>
    <t>en_won_IRQ_007</t>
  </si>
  <si>
    <t>wind onshore resource in Nineveh region (near Mosul) -- Iraq</t>
  </si>
  <si>
    <t>en_won_IRQ_008</t>
  </si>
  <si>
    <t>wind onshore resource in Diyala region (near Ba`qubah) -- Iraq</t>
  </si>
  <si>
    <t>en_won_ISR_001</t>
  </si>
  <si>
    <t>wind onshore resource in Southern region (near Beersheba) -- Israel</t>
  </si>
  <si>
    <t>en_won_ISR_002</t>
  </si>
  <si>
    <t>wind onshore resource in Jerusalem region (near Bet Shemesh) -- Israel</t>
  </si>
  <si>
    <t>en_won_ITA_001</t>
  </si>
  <si>
    <t>wind onshore resource in near Lido di Iesolo -- Italy</t>
  </si>
  <si>
    <t>en_won_ITA_002</t>
  </si>
  <si>
    <t>wind onshore resource in Grosseto region (near Grosseto) -- Italy</t>
  </si>
  <si>
    <t>en_won_ITA_003</t>
  </si>
  <si>
    <t>wind onshore resource in Pesaro and Urbino region (near Citta di Castello) -- Italy</t>
  </si>
  <si>
    <t>en_won_ITA_004</t>
  </si>
  <si>
    <t>wind onshore resource in Barletta-Andria-Trani region (near Gravina in Puglia) -- Italy</t>
  </si>
  <si>
    <t>en_won_ITA_005</t>
  </si>
  <si>
    <t>wind onshore resource in Avellino region (near Ariano Irpino) -- Italy</t>
  </si>
  <si>
    <t>en_won_ITA_006</t>
  </si>
  <si>
    <t>wind onshore resource in Nuoro region (near Nuoro) -- Italy</t>
  </si>
  <si>
    <t>en_won_ITA_007</t>
  </si>
  <si>
    <t>wind onshore resource in Enna region (near Enna) -- Italy</t>
  </si>
  <si>
    <t>en_won_JAM_001</t>
  </si>
  <si>
    <t>wind onshore resource in Manchester region (near Montego Bay) -- Jamaica</t>
  </si>
  <si>
    <t>en_won_JAM_002</t>
  </si>
  <si>
    <t>wind onshore resource in near Spanish Town -- Jamaica</t>
  </si>
  <si>
    <t>en_won_JOR_001</t>
  </si>
  <si>
    <t>wind onshore resource in Aqaba region (near Amman) -- Jordan</t>
  </si>
  <si>
    <t>en_won_JOR_002</t>
  </si>
  <si>
    <t>wind onshore resource in Amman region (near Amman) -- Jordan</t>
  </si>
  <si>
    <t>en_won_JOR_003</t>
  </si>
  <si>
    <t>wind onshore resource in Mafraq region (near Al Mafraq) -- Jordan</t>
  </si>
  <si>
    <t>en_won_JOR_004</t>
  </si>
  <si>
    <t>wind onshore resource in Ma'an region (near Amman) -- Jordan</t>
  </si>
  <si>
    <t>en_won_JPN_001</t>
  </si>
  <si>
    <t>wind onshore resource in near Okinawa -- Japan</t>
  </si>
  <si>
    <t>en_won_JPN_002</t>
  </si>
  <si>
    <t>wind onshore resource in near Shunan -- Japan</t>
  </si>
  <si>
    <t>en_won_JPN_003</t>
  </si>
  <si>
    <t>wind onshore resource in Ōsaka Prefecture region (near Daiwanishi) -- Japan</t>
  </si>
  <si>
    <t>en_won_JPN_004</t>
  </si>
  <si>
    <t>wind onshore resource in Tokyo region (near Shibuya-ku) -- Japan</t>
  </si>
  <si>
    <t>en_won_JPN_005</t>
  </si>
  <si>
    <t>en_won_JPN_006</t>
  </si>
  <si>
    <t>wind onshore resource in Fukushima Prefecture region (near Fukushima) -- Japan</t>
  </si>
  <si>
    <t>en_won_JPN_007</t>
  </si>
  <si>
    <t>wind onshore resource in Tochigi Prefecture region (near Utsunomiya) -- Japan</t>
  </si>
  <si>
    <t>en_won_JPN_008</t>
  </si>
  <si>
    <t>wind onshore resource in Yamagata Prefecture region (near Yamagata) -- Japan</t>
  </si>
  <si>
    <t>en_won_JPN_009</t>
  </si>
  <si>
    <t>wind onshore resource in near Hakodate -- Japan</t>
  </si>
  <si>
    <t>en_won_JPN_010</t>
  </si>
  <si>
    <t>wind onshore resource in Hokkaidō region (near Asahikawa) -- Japan</t>
  </si>
  <si>
    <t>en_won_KAZ_001</t>
  </si>
  <si>
    <t>wind onshore resource in East Kazakhstan region (near Oskemen) -- Kazakhstan</t>
  </si>
  <si>
    <t>en_won_KAZ_002</t>
  </si>
  <si>
    <t>wind onshore resource in Karaganda region (near Qaraghandy) -- Kazakhstan</t>
  </si>
  <si>
    <t>en_won_KAZ_003</t>
  </si>
  <si>
    <t>wind onshore resource in Kostanay region (near Aqtobe) -- Kazakhstan</t>
  </si>
  <si>
    <t>en_won_KAZ_004</t>
  </si>
  <si>
    <t>wind onshore resource in Kostanay region (near Qostanay) -- Kazakhstan</t>
  </si>
  <si>
    <t>en_won_KAZ_005</t>
  </si>
  <si>
    <t>wind onshore resource in Akmola region (near Astana) -- Kazakhstan</t>
  </si>
  <si>
    <t>en_won_KAZ_006</t>
  </si>
  <si>
    <t>wind onshore resource in North Kazakhstan region (near Ekibastuz) -- Kazakhstan</t>
  </si>
  <si>
    <t>en_won_KAZ_007</t>
  </si>
  <si>
    <t>wind onshore resource in Mangystau region (near Zhangaozen) -- Kazakhstan</t>
  </si>
  <si>
    <t>en_won_KAZ_008</t>
  </si>
  <si>
    <t>wind onshore resource in West Kazakhstan region (near Oral) -- Kazakhstan</t>
  </si>
  <si>
    <t>en_won_KAZ_009</t>
  </si>
  <si>
    <t>wind onshore resource in Aktobe region (near Aqtobe) -- Kazakhstan</t>
  </si>
  <si>
    <t>en_won_KAZ_010</t>
  </si>
  <si>
    <t>wind onshore resource in Kyzylorda region (near Qyzylorda) -- Kazakhstan</t>
  </si>
  <si>
    <t>en_won_KAZ_011</t>
  </si>
  <si>
    <t>wind onshore resource in Turkistan region (near Turkistan) -- Kazakhstan</t>
  </si>
  <si>
    <t>en_won_KAZ_012</t>
  </si>
  <si>
    <t>wind onshore resource in Jambyl region (near Taraz) -- Kazakhstan</t>
  </si>
  <si>
    <t>en_won_KAZ_013</t>
  </si>
  <si>
    <t>wind onshore resource in Karaganda region (near Qyzylorda) -- Kazakhstan</t>
  </si>
  <si>
    <t>en_won_KAZ_014</t>
  </si>
  <si>
    <t>wind onshore resource in Xinjiang region (near Oskemen) -- Kazakhstan</t>
  </si>
  <si>
    <t>en_won_KAZ_015</t>
  </si>
  <si>
    <t>en_won_KAZ_016</t>
  </si>
  <si>
    <t>en_won_KAZ_017</t>
  </si>
  <si>
    <t>wind onshore resource in Almaty region (near Almaty) -- Kazakhstan</t>
  </si>
  <si>
    <t>en_won_KEN_001</t>
  </si>
  <si>
    <t>wind onshore resource in Eastern region (near Kitenkela) -- Kenya</t>
  </si>
  <si>
    <t>en_won_KEN_002</t>
  </si>
  <si>
    <t>wind onshore resource in Coast region (near Mombasa) -- Kenya</t>
  </si>
  <si>
    <t>en_won_KEN_003</t>
  </si>
  <si>
    <t>wind onshore resource in Eastern region (near Habaswein) -- Kenya</t>
  </si>
  <si>
    <t>en_won_KEN_004</t>
  </si>
  <si>
    <t>wind onshore resource in North Eastern region (near Habaswein) -- Kenya</t>
  </si>
  <si>
    <t>en_won_KEN_005</t>
  </si>
  <si>
    <t>wind onshore resource in Eastern region (near Kakuma) -- Kenya</t>
  </si>
  <si>
    <t>en_won_KEN_006</t>
  </si>
  <si>
    <t>wind onshore resource in Rift Valley region (near Kakuma) -- Kenya</t>
  </si>
  <si>
    <t>en_won_KEN_007</t>
  </si>
  <si>
    <t>en_won_KEN_008</t>
  </si>
  <si>
    <t>wind onshore resource in Rift Valley region (near Nakuru) -- Kenya</t>
  </si>
  <si>
    <t>en_won_KGZ_001</t>
  </si>
  <si>
    <t>wind onshore resource in Naryn region (near Naryn) -- Kyrgyz Republic</t>
  </si>
  <si>
    <t>en_won_KGZ_002</t>
  </si>
  <si>
    <t>wind onshore resource in Khujand region (near Batken) -- Kyrgyz Republic</t>
  </si>
  <si>
    <t>en_won_KGZ_003</t>
  </si>
  <si>
    <t>wind onshore resource in Xinjiang region (near Karakol) -- Kyrgyz Republic</t>
  </si>
  <si>
    <t>en_won_KGZ_004</t>
  </si>
  <si>
    <t>en_won_KGZ_005</t>
  </si>
  <si>
    <t>wind onshore resource in Almaty region (near Karakol) -- Kyrgyz Republic</t>
  </si>
  <si>
    <t>en_won_KHM_001</t>
  </si>
  <si>
    <t>wind onshore resource in Mondulkiri region (near Kampong Cham) -- Cambodia</t>
  </si>
  <si>
    <t>en_won_KHM_002</t>
  </si>
  <si>
    <t>wind onshore resource in Banteay Meanchey region (near Sisophon) -- Cambodia</t>
  </si>
  <si>
    <t>en_won_KHM_003</t>
  </si>
  <si>
    <t>wind onshore resource in Prey Veng region (near Kampong Cham) -- Cambodia</t>
  </si>
  <si>
    <t>en_won_KHM_004</t>
  </si>
  <si>
    <t>wind onshore resource in An Giang region (near Phnom Penh) -- Cambodia</t>
  </si>
  <si>
    <t>en_won_KOR_001</t>
  </si>
  <si>
    <t>wind onshore resource in Gangwon region (near Yanggok) -- South Korea</t>
  </si>
  <si>
    <t>en_won_KOR_002</t>
  </si>
  <si>
    <t>wind onshore resource in North Gyeongsang region (near Daejeon) -- South Korea</t>
  </si>
  <si>
    <t>en_won_KOR_003</t>
  </si>
  <si>
    <t>wind onshore resource in South Chungcheong region (near Hwasu-dong) -- South Korea</t>
  </si>
  <si>
    <t>en_won_KOR_004</t>
  </si>
  <si>
    <t>wind onshore resource in South Jeolla region (near Gwangju) -- South Korea</t>
  </si>
  <si>
    <t>en_won_KOR_005</t>
  </si>
  <si>
    <t>wind onshore resource in North Gyeongsang region (near Daegu) -- South Korea</t>
  </si>
  <si>
    <t>en_won_KWT_001</t>
  </si>
  <si>
    <t>wind onshore resource in Al Jahra region (near Al Jahra') -- Kuwait</t>
  </si>
  <si>
    <t>en_won_KWT_002</t>
  </si>
  <si>
    <t>wind onshore resource in Al Farwaniyah region (near Kuwait City) -- Kuwait</t>
  </si>
  <si>
    <t>en_won_LAO_001</t>
  </si>
  <si>
    <t>wind onshore resource in Khammouane region (near Salavan) -- Laos</t>
  </si>
  <si>
    <t>en_won_LAO_002</t>
  </si>
  <si>
    <t>wind onshore resource in Ubon Ratchathani region (near Pakxe) -- Laos</t>
  </si>
  <si>
    <t>en_won_LAO_003</t>
  </si>
  <si>
    <t>wind onshore resource in Savannakhet region (near Savannakhet) -- Laos</t>
  </si>
  <si>
    <t>en_won_LBN_001</t>
  </si>
  <si>
    <t>wind onshore resource in near Jounie -- Lebanon</t>
  </si>
  <si>
    <t>en_won_LBN_002</t>
  </si>
  <si>
    <t>wind onshore resource in Beqaa region (near Zahle) -- Lebanon</t>
  </si>
  <si>
    <t>en_won_LBR_001</t>
  </si>
  <si>
    <t>wind onshore resource in Margibi region (near New Kru Town) -- Liberia</t>
  </si>
  <si>
    <t>en_won_LBR_002</t>
  </si>
  <si>
    <t>wind onshore resource in Sinoe region (near Yeebo Town) -- Liberia</t>
  </si>
  <si>
    <t>en_won_LBR_003</t>
  </si>
  <si>
    <t>wind onshore resource in Nzerekore Prefecture region (near New Kru Town) -- Liberia</t>
  </si>
  <si>
    <t>en_won_LBR_004</t>
  </si>
  <si>
    <t>wind onshore resource in Nimba region (near Yeebo Town) -- Liberia</t>
  </si>
  <si>
    <t>en_won_LBY_001</t>
  </si>
  <si>
    <t>wind onshore resource in Jufra region (near Ajdabiya) -- Libya</t>
  </si>
  <si>
    <t>en_won_LBY_002</t>
  </si>
  <si>
    <t>wind onshore resource in Mizdah region (near Gharyan) -- Libya</t>
  </si>
  <si>
    <t>en_won_LBY_003</t>
  </si>
  <si>
    <t>wind onshore resource in Misrata region (near Misratah) -- Libya</t>
  </si>
  <si>
    <t>en_won_LBY_004</t>
  </si>
  <si>
    <t>wind onshore resource in Butnan region (near Tobruk) -- Libya</t>
  </si>
  <si>
    <t>en_won_LBY_005</t>
  </si>
  <si>
    <t>wind onshore resource in Ajdabiya region (near Tobruk) -- Libya</t>
  </si>
  <si>
    <t>en_won_LBY_006</t>
  </si>
  <si>
    <t>wind onshore resource in Ajdabiya region (near Ajdabiya) -- Libya</t>
  </si>
  <si>
    <t>en_won_LBY_007</t>
  </si>
  <si>
    <t>en_won_LBY_008</t>
  </si>
  <si>
    <t>wind onshore resource in Ash Shati region (near Sabha) -- Libya</t>
  </si>
  <si>
    <t>en_won_LBY_009</t>
  </si>
  <si>
    <t>wind onshore resource in Wadi al Hayaa region (near Sabha) -- Libya</t>
  </si>
  <si>
    <t>en_won_LBY_010</t>
  </si>
  <si>
    <t>wind onshore resource in Kufra region (near Ajdabiya) -- Libya</t>
  </si>
  <si>
    <t>en_won_LBY_011</t>
  </si>
  <si>
    <t>wind onshore resource in Murzuq region (near Sabha) -- Libya</t>
  </si>
  <si>
    <t>en_won_LBY_012</t>
  </si>
  <si>
    <t>en_won_LBY_013</t>
  </si>
  <si>
    <t>en_won_LBY_014</t>
  </si>
  <si>
    <t>en_won_LKA_001</t>
  </si>
  <si>
    <t>wind onshore resource in Anuradhapura region (near Kilinochchi) -- Sri Lanka</t>
  </si>
  <si>
    <t>en_won_LKA_002</t>
  </si>
  <si>
    <t>wind onshore resource in Badulla region (near Kotmale) -- Sri Lanka</t>
  </si>
  <si>
    <t>en_won_LKA_003</t>
  </si>
  <si>
    <t>wind onshore resource in Anuradhapura region (near Dambulla) -- Sri Lanka</t>
  </si>
  <si>
    <t>en_won_LSO_001</t>
  </si>
  <si>
    <t>wind onshore resource in Thaba-Tseka region (near Ratau) -- Lesotho</t>
  </si>
  <si>
    <t>en_won_LSO_002</t>
  </si>
  <si>
    <t>wind onshore resource in Mafeteng region (near Mohale's Hoek) -- Lesotho</t>
  </si>
  <si>
    <t>en_won_LTU_001</t>
  </si>
  <si>
    <t>wind onshore resource in Panevėžys region (near Utena) -- Lithuania</t>
  </si>
  <si>
    <t>en_won_LTU_002</t>
  </si>
  <si>
    <t>wind onshore resource in Vilnius region (near Vilnius) -- Lithuania</t>
  </si>
  <si>
    <t>en_won_LTU_003</t>
  </si>
  <si>
    <t>wind onshore resource in Marijampolė region (near Marijampole) -- Lithuania</t>
  </si>
  <si>
    <t>en_won_LTU_004</t>
  </si>
  <si>
    <t>wind onshore resource in Tauragė region (near Siauliai) -- Lithuania</t>
  </si>
  <si>
    <t>en_won_LUX_001</t>
  </si>
  <si>
    <t>wind onshore resource in Diekirch region (near Luxembourg) -- Luxembourg</t>
  </si>
  <si>
    <t>en_won_LUX_002</t>
  </si>
  <si>
    <t>wind onshore resource in Grevenmacher region (near Luxembourg) -- Luxembourg</t>
  </si>
  <si>
    <t>en_won_LUX_003</t>
  </si>
  <si>
    <t>en_won_LUX_004</t>
  </si>
  <si>
    <t>en_won_LUX_005</t>
  </si>
  <si>
    <t>en_won_LUX_006</t>
  </si>
  <si>
    <t>wind onshore resource in Luxembourg region (near Esch-sur-Alzette) -- Luxembourg</t>
  </si>
  <si>
    <t>en_won_LVA_001</t>
  </si>
  <si>
    <t>wind onshore resource in Saldus region (near Jelgava) -- Latvia</t>
  </si>
  <si>
    <t>en_won_LVA_002</t>
  </si>
  <si>
    <t>wind onshore resource in Kārsava region (near Daugavpils) -- Latvia</t>
  </si>
  <si>
    <t>en_won_LVA_003</t>
  </si>
  <si>
    <t>wind onshore resource in Jēkabpils region (near Daugavpils) -- Latvia</t>
  </si>
  <si>
    <t>en_won_LVA_004</t>
  </si>
  <si>
    <t>wind onshore resource in Valmiera region (near Riga) -- Latvia</t>
  </si>
  <si>
    <t>en_won_MAR_001</t>
  </si>
  <si>
    <t>wind onshore resource in Tangier-Tetouan region (near Zoumi) -- Morocco</t>
  </si>
  <si>
    <t>en_won_MAR_002</t>
  </si>
  <si>
    <t>wind onshore resource in Fes-meknas-boulmane region (near Midalt) -- Morocco</t>
  </si>
  <si>
    <t>en_won_MAR_003</t>
  </si>
  <si>
    <t>wind onshore resource in Oriental region (near Bou Arfa) -- Morocco</t>
  </si>
  <si>
    <t>en_won_MAR_004</t>
  </si>
  <si>
    <t>wind onshore resource in Bechar region (near Errachidia) -- Morocco</t>
  </si>
  <si>
    <t>en_won_MAR_005</t>
  </si>
  <si>
    <t>wind onshore resource in Guelmim-Es Semara region (near Tabount) -- Morocco</t>
  </si>
  <si>
    <t>en_won_MAR_006</t>
  </si>
  <si>
    <t>wind onshore resource in Marrakesh-Tensift-El Haouz region (near Sidi Bennour) -- Morocco</t>
  </si>
  <si>
    <t>en_won_MAR_007</t>
  </si>
  <si>
    <t>wind onshore resource in Guelmim-Es Semara region (near Guelmim) -- Morocco</t>
  </si>
  <si>
    <t>en_won_MDA_001</t>
  </si>
  <si>
    <t>wind onshore resource in Fălești region (near Balti) -- Moldova</t>
  </si>
  <si>
    <t>en_won_MDA_002</t>
  </si>
  <si>
    <t>wind onshore resource in Odessa region (near Ceadir-Lunga) -- Moldova</t>
  </si>
  <si>
    <t>en_won_MDA_003</t>
  </si>
  <si>
    <t>wind onshore resource in Transnistria region (near Dubasari) -- Moldova</t>
  </si>
  <si>
    <t>en_won_MDG_001</t>
  </si>
  <si>
    <t>wind onshore resource in Toamasina region (near Miarinarivo) -- Madagascar</t>
  </si>
  <si>
    <t>en_won_MDG_002</t>
  </si>
  <si>
    <t>wind onshore resource in Betsiboka region (near Maevatanana) -- Madagascar</t>
  </si>
  <si>
    <t>en_won_MDG_003</t>
  </si>
  <si>
    <t>wind onshore resource in Betsiboka region (near Tsaratanana) -- Madagascar</t>
  </si>
  <si>
    <t>en_won_MDG_004</t>
  </si>
  <si>
    <t>wind onshore resource in Atsimo-Andrefana region (near Behisatse) -- Madagascar</t>
  </si>
  <si>
    <t>en_won_MDG_005</t>
  </si>
  <si>
    <t>wind onshore resource in Melaky region (near Andranomavo) -- Madagascar</t>
  </si>
  <si>
    <t>en_won_MDG_006</t>
  </si>
  <si>
    <t>wind onshore resource in Anosy region (near Analamary) -- Madagascar</t>
  </si>
  <si>
    <t>en_won_MDG_007</t>
  </si>
  <si>
    <t>wind onshore resource in Atsimo-Andrefana region (near Fotadrevo) -- Madagascar</t>
  </si>
  <si>
    <t>en_won_MDG_008</t>
  </si>
  <si>
    <t>wind onshore resource in Ihorombe region (near Ihosy) -- Madagascar</t>
  </si>
  <si>
    <t>en_won_MEX_001</t>
  </si>
  <si>
    <t>wind onshore resource in Durango region (near Durango) -- Mexico</t>
  </si>
  <si>
    <t>en_won_MEX_002</t>
  </si>
  <si>
    <t>wind onshore resource in Chihuahua region (near Cuauhtemoc) -- Mexico</t>
  </si>
  <si>
    <t>en_won_MEX_003</t>
  </si>
  <si>
    <t>wind onshore resource in Chihuahua region (near Chihuahua) -- Mexico</t>
  </si>
  <si>
    <t>en_won_MEX_004</t>
  </si>
  <si>
    <t>wind onshore resource in Coahuila region (near Monclova) -- Mexico</t>
  </si>
  <si>
    <t>en_won_MEX_005</t>
  </si>
  <si>
    <t>wind onshore resource in Zacatecas region (near Fresnillo) -- Mexico</t>
  </si>
  <si>
    <t>en_won_MEX_006</t>
  </si>
  <si>
    <t>wind onshore resource in near Guaymas -- Mexico</t>
  </si>
  <si>
    <t>en_won_MEX_007</t>
  </si>
  <si>
    <t>wind onshore resource in Sonora region (near Nogales) -- Mexico</t>
  </si>
  <si>
    <t>en_won_MEX_008</t>
  </si>
  <si>
    <t>wind onshore resource in near San Luis Rio Colorado -- Mexico</t>
  </si>
  <si>
    <t>en_won_MEX_009</t>
  </si>
  <si>
    <t>wind onshore resource in Baja California Sur region (near Guaymas) -- Mexico</t>
  </si>
  <si>
    <t>en_won_MEX_010</t>
  </si>
  <si>
    <t>wind onshore resource in Nuevo Leon region (near Nuevo Laredo) -- Mexico</t>
  </si>
  <si>
    <t>en_won_MEX_011</t>
  </si>
  <si>
    <t>wind onshore resource in Campeche region (near Carmen) -- Mexico</t>
  </si>
  <si>
    <t>en_won_MEX_012</t>
  </si>
  <si>
    <t>wind onshore resource in Oaxaca region (near Tuxtepec) -- Mexico</t>
  </si>
  <si>
    <t>en_won_MKD_001</t>
  </si>
  <si>
    <t>wind onshore resource in Drugovo region (near Ohrid) -- North Macedonia</t>
  </si>
  <si>
    <t>en_won_MKD_002</t>
  </si>
  <si>
    <t>wind onshore resource in Štip region (near Stip) -- North Macedonia</t>
  </si>
  <si>
    <t>en_won_MKD_003</t>
  </si>
  <si>
    <t>wind onshore resource in Brvenica region (near Tetovo) -- North Macedonia</t>
  </si>
  <si>
    <t>en_won_MKD_004</t>
  </si>
  <si>
    <t>wind onshore resource in Gradsko region (near Veles) -- North Macedonia</t>
  </si>
  <si>
    <t>en_won_MLI_001</t>
  </si>
  <si>
    <t>wind onshore resource in Segou region (near Somasso) -- Mali</t>
  </si>
  <si>
    <t>en_won_MLI_002</t>
  </si>
  <si>
    <t>wind onshore resource in Wassoulou region (near Massigui) -- Mali</t>
  </si>
  <si>
    <t>en_won_MLI_003</t>
  </si>
  <si>
    <t>wind onshore resource in Mopti region (near Ngorkou) -- Mali</t>
  </si>
  <si>
    <t>en_won_MLI_004</t>
  </si>
  <si>
    <t>wind onshore resource in Kayes region (near Diema) -- Mali</t>
  </si>
  <si>
    <t>en_won_MLI_005</t>
  </si>
  <si>
    <t>wind onshore resource in Kayes region (near Sebekoro) -- Mali</t>
  </si>
  <si>
    <t>en_won_MLI_006</t>
  </si>
  <si>
    <t>wind onshore resource in Tombouctou region (near Timbuktu) -- Mali</t>
  </si>
  <si>
    <t>en_won_MLI_007</t>
  </si>
  <si>
    <t>en_won_MLI_008</t>
  </si>
  <si>
    <t>wind onshore resource in Gao region (near Ansongo) -- Mali</t>
  </si>
  <si>
    <t>en_won_MLI_009</t>
  </si>
  <si>
    <t>wind onshore resource in Kidal region (near Bourem) -- Mali</t>
  </si>
  <si>
    <t>en_won_MLI_010</t>
  </si>
  <si>
    <t>wind onshore resource in Tombouctou region (near Bamba) -- Mali</t>
  </si>
  <si>
    <t>en_won_MLI_011</t>
  </si>
  <si>
    <t>en_won_MLI_012</t>
  </si>
  <si>
    <t>en_won_MMR_001</t>
  </si>
  <si>
    <t>wind onshore resource in Chumphon region (near Myeik) -- Myanmar</t>
  </si>
  <si>
    <t>en_won_MMR_002</t>
  </si>
  <si>
    <t>wind onshore resource in Magway region (near Magway) -- Myanmar</t>
  </si>
  <si>
    <t>en_won_MMR_003</t>
  </si>
  <si>
    <t>wind onshore resource in Mandalay region (near Natogyi) -- Myanmar</t>
  </si>
  <si>
    <t>en_won_MMR_004</t>
  </si>
  <si>
    <t>wind onshore resource in Rakhine State region (near Maungdaw) -- Myanmar</t>
  </si>
  <si>
    <t>en_won_MMR_005</t>
  </si>
  <si>
    <t>wind onshore resource in Ayeyarwady region (near Pathein) -- Myanmar</t>
  </si>
  <si>
    <t>en_won_MMR_006</t>
  </si>
  <si>
    <t>wind onshore resource in Yangon region (near Thingangyun) -- Myanmar</t>
  </si>
  <si>
    <t>en_won_MNE_001</t>
  </si>
  <si>
    <t>wind onshore resource in Šavnik region (near Niksic) -- Montenegro</t>
  </si>
  <si>
    <t>en_won_MNE_002</t>
  </si>
  <si>
    <t>wind onshore resource in Danilovgrad region (near Podgorica) -- Montenegro</t>
  </si>
  <si>
    <t>en_won_MNE_003</t>
  </si>
  <si>
    <t>wind onshore resource in Kotor region (near Herceg Novi) -- Montenegro</t>
  </si>
  <si>
    <t>en_won_MNG_001</t>
  </si>
  <si>
    <t>wind onshore resource in Omnogovi region (near Ulaanbaatar) -- Mongolia</t>
  </si>
  <si>
    <t>en_won_MNG_002</t>
  </si>
  <si>
    <t>wind onshore resource in Khentii region (near Ulaanbaatar) -- Mongolia</t>
  </si>
  <si>
    <t>en_won_MNG_003</t>
  </si>
  <si>
    <t>wind onshore resource in Sukhbaatar region (near Ulaanbaatar) -- Mongolia</t>
  </si>
  <si>
    <t>en_won_MNG_004</t>
  </si>
  <si>
    <t>wind onshore resource in Inner Mongolia region (near Ulaanbaatar) -- Mongolia</t>
  </si>
  <si>
    <t>en_won_MNG_005</t>
  </si>
  <si>
    <t>wind onshore resource in Bayan-Olgii region (near Moron) -- Mongolia</t>
  </si>
  <si>
    <t>en_won_MNG_006</t>
  </si>
  <si>
    <t>wind onshore resource in Govi-Altai region (near Moron) -- Mongolia</t>
  </si>
  <si>
    <t>en_won_MNG_007</t>
  </si>
  <si>
    <t>wind onshore resource in Uvs region (near Moron) -- Mongolia</t>
  </si>
  <si>
    <t>en_won_MNG_008</t>
  </si>
  <si>
    <t>wind onshore resource in Omnogovi region (near Erdenet) -- Mongolia</t>
  </si>
  <si>
    <t>en_won_MNG_009</t>
  </si>
  <si>
    <t>en_won_MNG_010</t>
  </si>
  <si>
    <t>wind onshore resource in Selenge region (near Erdenet) -- Mongolia</t>
  </si>
  <si>
    <t>en_won_MNG_011</t>
  </si>
  <si>
    <t>wind onshore resource in Bulgan region (near Erdenet) -- Mongolia</t>
  </si>
  <si>
    <t>en_won_MNG_012</t>
  </si>
  <si>
    <t>wind onshore resource in Bayankhongor region (near Moron) -- Mongolia</t>
  </si>
  <si>
    <t>en_won_MNG_013</t>
  </si>
  <si>
    <t>wind onshore resource in Khovsgol region (near Moron) -- Mongolia</t>
  </si>
  <si>
    <t>en_won_MOZ_001</t>
  </si>
  <si>
    <t>wind onshore resource in Maputo region (near Matola) -- Mozambique</t>
  </si>
  <si>
    <t>en_won_MOZ_002</t>
  </si>
  <si>
    <t>wind onshore resource in Gaza region (near Maputo) -- Mozambique</t>
  </si>
  <si>
    <t>en_won_MOZ_003</t>
  </si>
  <si>
    <t>wind onshore resource in Nampula region (near Cidade de Nacala) -- Mozambique</t>
  </si>
  <si>
    <t>en_won_MOZ_004</t>
  </si>
  <si>
    <t>wind onshore resource in Cabo Delgado region (near Nampula) -- Mozambique</t>
  </si>
  <si>
    <t>en_won_MOZ_005</t>
  </si>
  <si>
    <t>wind onshore resource in near Quelimane -- Mozambique</t>
  </si>
  <si>
    <t>en_won_MOZ_006</t>
  </si>
  <si>
    <t>wind onshore resource in Niassa region (near Vila Junqueiro) -- Mozambique</t>
  </si>
  <si>
    <t>en_won_MOZ_007</t>
  </si>
  <si>
    <t>wind onshore resource in Tete region (near Tete) -- Mozambique</t>
  </si>
  <si>
    <t>en_won_MOZ_008</t>
  </si>
  <si>
    <t>wind onshore resource in Inhambane region (near Beira) -- Mozambique</t>
  </si>
  <si>
    <t>en_won_MOZ_009</t>
  </si>
  <si>
    <t>wind onshore resource in Sofala region (near Quelimane) -- Mozambique</t>
  </si>
  <si>
    <t>en_won_MRT_001</t>
  </si>
  <si>
    <t>wind onshore resource in Tiris Zemmour region (near Nouadhibou) -- Mauritania</t>
  </si>
  <si>
    <t>en_won_MRT_002</t>
  </si>
  <si>
    <t>en_won_MRT_003</t>
  </si>
  <si>
    <t>en_won_MRT_004</t>
  </si>
  <si>
    <t>wind onshore resource in Adrar region (near Nouadhibou) -- Mauritania</t>
  </si>
  <si>
    <t>en_won_MRT_005</t>
  </si>
  <si>
    <t>wind onshore resource in Hodh Ech Chargui region (near Dar Naim) -- Mauritania</t>
  </si>
  <si>
    <t>en_won_MRT_006</t>
  </si>
  <si>
    <t>en_won_MRT_007</t>
  </si>
  <si>
    <t>wind onshore resource in Tagant region (near Dar Naim) -- Mauritania</t>
  </si>
  <si>
    <t>en_won_MRT_008</t>
  </si>
  <si>
    <t>wind onshore resource in Adrar region (near Dar Naim) -- Mauritania</t>
  </si>
  <si>
    <t>en_won_MRT_009</t>
  </si>
  <si>
    <t>wind onshore resource in Inchiri region (near Nouadhibou) -- Mauritania</t>
  </si>
  <si>
    <t>en_won_MRT_010</t>
  </si>
  <si>
    <t>wind onshore resource in Trarza region (near Dar Naim) -- Mauritania</t>
  </si>
  <si>
    <t>en_won_MRT_011</t>
  </si>
  <si>
    <t>wind onshore resource in Assaba region (near Dar Naim) -- Mauritania</t>
  </si>
  <si>
    <t>en_won_MWI_001</t>
  </si>
  <si>
    <t>wind onshore resource in Niassa region (near Lilongwe) -- Malawi</t>
  </si>
  <si>
    <t>en_won_MWI_002</t>
  </si>
  <si>
    <t>wind onshore resource in Kasungu region (near Lilongwe) -- Malawi</t>
  </si>
  <si>
    <t>en_won_MWI_003</t>
  </si>
  <si>
    <t>wind onshore resource in Tete region (near Blantyre) -- Malawi</t>
  </si>
  <si>
    <t>en_won_MWI_004</t>
  </si>
  <si>
    <t>en_won_MYS_001</t>
  </si>
  <si>
    <t>wind onshore resource in Sabah region (near Kota Kinabalu) -- Malaysia</t>
  </si>
  <si>
    <t>en_won_MYS_002</t>
  </si>
  <si>
    <t>wind onshore resource in near Johor Bahru -- Malaysia</t>
  </si>
  <si>
    <t>en_won_MYS_003</t>
  </si>
  <si>
    <t>wind onshore resource in Perak region (near Sungai Petani) -- Malaysia</t>
  </si>
  <si>
    <t>en_won_NAM_001</t>
  </si>
  <si>
    <t>wind onshore resource in Kunene region (near Oshakati) -- Namibia</t>
  </si>
  <si>
    <t>en_won_NAM_002</t>
  </si>
  <si>
    <t>wind onshore resource in Erongo region (near Swakopmund) -- Namibia</t>
  </si>
  <si>
    <t>en_won_NAM_003</t>
  </si>
  <si>
    <t>wind onshore resource in Hardap region (near Rehoboth) -- Namibia</t>
  </si>
  <si>
    <t>en_won_NAM_004</t>
  </si>
  <si>
    <t>wind onshore resource in Hardap region (near Walvisbaai) -- Namibia</t>
  </si>
  <si>
    <t>en_won_NAM_005</t>
  </si>
  <si>
    <t>wind onshore resource in Karas region (near Rehoboth) -- Namibia</t>
  </si>
  <si>
    <t>en_won_NAM_006</t>
  </si>
  <si>
    <t>en_won_NAM_007</t>
  </si>
  <si>
    <t>wind onshore resource in Kunene region (near Tsumeb) -- Namibia</t>
  </si>
  <si>
    <t>en_won_NAM_008</t>
  </si>
  <si>
    <t>wind onshore resource in Omaheke region (near Windhoek) -- Namibia</t>
  </si>
  <si>
    <t>en_won_NAM_009</t>
  </si>
  <si>
    <t>wind onshore resource in North-West region (near Rundu) -- Namibia</t>
  </si>
  <si>
    <t>en_won_NAM_010</t>
  </si>
  <si>
    <t>wind onshore resource in Kavango region (near Rundu) -- Namibia</t>
  </si>
  <si>
    <t>en_won_NCL_001</t>
  </si>
  <si>
    <t>wind onshore resource in North region (near Dumbea) -- New Caledonia</t>
  </si>
  <si>
    <t>en_won_NCL_002</t>
  </si>
  <si>
    <t>wind onshore resource in South region (near Dumbea) -- New Caledonia</t>
  </si>
  <si>
    <t>en_won_NCL_003</t>
  </si>
  <si>
    <t>en_won_NER_001</t>
  </si>
  <si>
    <t>wind onshore resource in Agadez region (near Agadez) -- Niger</t>
  </si>
  <si>
    <t>en_won_NER_002</t>
  </si>
  <si>
    <t>en_won_NER_003</t>
  </si>
  <si>
    <t>en_won_NER_004</t>
  </si>
  <si>
    <t>en_won_NER_005</t>
  </si>
  <si>
    <t>en_won_NER_006</t>
  </si>
  <si>
    <t>wind onshore resource in Diffa region (near Zinder) -- Niger</t>
  </si>
  <si>
    <t>en_won_NER_007</t>
  </si>
  <si>
    <t>wind onshore resource in Tahoua region (near Tahoua) -- Niger</t>
  </si>
  <si>
    <t>en_won_NER_008</t>
  </si>
  <si>
    <t>wind onshore resource in Zinder region (near Zinder) -- Niger</t>
  </si>
  <si>
    <t>en_won_NER_009</t>
  </si>
  <si>
    <t>en_won_NER_010</t>
  </si>
  <si>
    <t>wind onshore resource in Tillaberi region (near Niamey) -- Niger</t>
  </si>
  <si>
    <t>en_won_NER_011</t>
  </si>
  <si>
    <t>en_won_NER_012</t>
  </si>
  <si>
    <t>en_won_NGA_001</t>
  </si>
  <si>
    <t>wind onshore resource in Taraba State region (near Jalingo) -- Nigeria</t>
  </si>
  <si>
    <t>en_won_NGA_002</t>
  </si>
  <si>
    <t>wind onshore resource in Kogi State region (near Ikare) -- Nigeria</t>
  </si>
  <si>
    <t>en_won_NGA_003</t>
  </si>
  <si>
    <t>wind onshore resource in Kaduna State region (near Kaduna) -- Nigeria</t>
  </si>
  <si>
    <t>en_won_NGA_004</t>
  </si>
  <si>
    <t>wind onshore resource in Niger State region (near Kaduna) -- Nigeria</t>
  </si>
  <si>
    <t>en_won_NGA_005</t>
  </si>
  <si>
    <t>wind onshore resource in Sokoto State region (near Kaduna) -- Nigeria</t>
  </si>
  <si>
    <t>en_won_NGA_006</t>
  </si>
  <si>
    <t>wind onshore resource in Borno State region (near Maiduguri) -- Nigeria</t>
  </si>
  <si>
    <t>en_won_NGA_007</t>
  </si>
  <si>
    <t>wind onshore resource in Katsina State region (near Kano) -- Nigeria</t>
  </si>
  <si>
    <t>en_won_NGA_008</t>
  </si>
  <si>
    <t>wind onshore resource in Kano State region (near Kano) -- Nigeria</t>
  </si>
  <si>
    <t>en_won_NGA_009</t>
  </si>
  <si>
    <t>wind onshore resource in Gombe State region (near Jalingo) -- Nigeria</t>
  </si>
  <si>
    <t>en_won_NIC_001</t>
  </si>
  <si>
    <t>wind onshore resource in South Caribbean Coast region (near El Rama) -- Nicaragua</t>
  </si>
  <si>
    <t>en_won_NIC_002</t>
  </si>
  <si>
    <t>wind onshore resource in Chontales region (near Juigalpa) -- Nicaragua</t>
  </si>
  <si>
    <t>en_won_NIC_003</t>
  </si>
  <si>
    <t>wind onshore resource in Jinotega region (near Jinotega) -- Nicaragua</t>
  </si>
  <si>
    <t>en_won_NIC_004</t>
  </si>
  <si>
    <t>wind onshore resource in Leon region (near Leon) -- Nicaragua</t>
  </si>
  <si>
    <t>en_won_NLD_001</t>
  </si>
  <si>
    <t>wind onshore resource in Friesland region (near Sneek) -- Netherlands</t>
  </si>
  <si>
    <t>en_won_NLD_002</t>
  </si>
  <si>
    <t>wind onshore resource in North Brabant region (near Eindhoven) -- Netherlands</t>
  </si>
  <si>
    <t>en_won_NLD_003</t>
  </si>
  <si>
    <t>wind onshore resource in Overijssel region (near Raalte) -- Netherlands</t>
  </si>
  <si>
    <t>en_won_NOR_001</t>
  </si>
  <si>
    <t>wind onshore resource in Telemark region (near Kongsberg) -- Norway</t>
  </si>
  <si>
    <t>en_won_NOR_002</t>
  </si>
  <si>
    <t>wind onshore resource in Aust-Agder region (near Arendal) -- Norway</t>
  </si>
  <si>
    <t>en_won_NOR_003</t>
  </si>
  <si>
    <t>wind onshore resource in near Haugesund -- Norway</t>
  </si>
  <si>
    <t>en_won_NOR_004</t>
  </si>
  <si>
    <t>wind onshore resource in near Porsgrunn -- Norway</t>
  </si>
  <si>
    <t>en_won_NPL_001</t>
  </si>
  <si>
    <t>wind onshore resource in Uttar Pradesh region (near Ghorahi) -- Nepal</t>
  </si>
  <si>
    <t>en_won_NPL_002</t>
  </si>
  <si>
    <t>wind onshore resource in Sagarmatha Zone region (near Lahan) -- Nepal</t>
  </si>
  <si>
    <t>en_won_NZL_001</t>
  </si>
  <si>
    <t>wind onshore resource in Manawatū-Whanganui region (near Palmerston North) -- New Zealand</t>
  </si>
  <si>
    <t>en_won_NZL_002</t>
  </si>
  <si>
    <t>wind onshore resource in Auckland region (near Northcote) -- New Zealand</t>
  </si>
  <si>
    <t>en_won_NZL_003</t>
  </si>
  <si>
    <t>wind onshore resource in Waikato region (near Tauranga) -- New Zealand</t>
  </si>
  <si>
    <t>en_won_NZL_004</t>
  </si>
  <si>
    <t>wind onshore resource in Otago region (near Christchurch) -- New Zealand</t>
  </si>
  <si>
    <t>en_won_NZL_005</t>
  </si>
  <si>
    <t>wind onshore resource in Canterbury region (near Christchurch) -- New Zealand</t>
  </si>
  <si>
    <t>en_won_NZL_006</t>
  </si>
  <si>
    <t>en_won_OMN_001</t>
  </si>
  <si>
    <t>wind onshore resource in Ad Dakhiliyah region (near Bawshar) -- Oman</t>
  </si>
  <si>
    <t>en_won_OMN_002</t>
  </si>
  <si>
    <t>wind onshore resource in Al Buraimi region (near Bawshar) -- Oman</t>
  </si>
  <si>
    <t>en_won_OMN_003</t>
  </si>
  <si>
    <t>wind onshore resource in Ad Dhahirah region (near Bawshar) -- Oman</t>
  </si>
  <si>
    <t>en_won_OMN_004</t>
  </si>
  <si>
    <t>wind onshore resource in Al Wusta region (near Bawshar) -- Oman</t>
  </si>
  <si>
    <t>en_won_OMN_005</t>
  </si>
  <si>
    <t>wind onshore resource in Dhofar region (near Salalah) -- Oman</t>
  </si>
  <si>
    <t>en_won_OMN_006</t>
  </si>
  <si>
    <t>en_won_OMN_007</t>
  </si>
  <si>
    <t>wind onshore resource in Al Wusta region (near Salalah) -- Oman</t>
  </si>
  <si>
    <t>en_won_PAK_001</t>
  </si>
  <si>
    <t>wind onshore resource in Punjab region (near Rahimyar Khan) -- Pakistan</t>
  </si>
  <si>
    <t>en_won_PAK_002</t>
  </si>
  <si>
    <t>wind onshore resource in Sindh region (near Khipro) -- Pakistan</t>
  </si>
  <si>
    <t>en_won_PAK_003</t>
  </si>
  <si>
    <t>wind onshore resource in Sindh region (near Hyderabad City) -- Pakistan</t>
  </si>
  <si>
    <t>en_won_PAK_004</t>
  </si>
  <si>
    <t>wind onshore resource in Balochistan region (near Quetta) -- Pakistan</t>
  </si>
  <si>
    <t>en_won_PAK_005</t>
  </si>
  <si>
    <t>en_won_PAK_006</t>
  </si>
  <si>
    <t>wind onshore resource in Balochistan region (near Karachi) -- Pakistan</t>
  </si>
  <si>
    <t>en_won_PAK_007</t>
  </si>
  <si>
    <t>en_won_PAK_008</t>
  </si>
  <si>
    <t>en_won_PAN_001</t>
  </si>
  <si>
    <t>wind onshore resource in Panama region (near La Chorrera) -- Panama</t>
  </si>
  <si>
    <t>en_won_PAN_002</t>
  </si>
  <si>
    <t>wind onshore resource in Veraguas region (near La Chorrera) -- Panama</t>
  </si>
  <si>
    <t>en_won_PAN_003</t>
  </si>
  <si>
    <t>wind onshore resource in near Tocumen -- Panama</t>
  </si>
  <si>
    <t>en_won_PER_001</t>
  </si>
  <si>
    <t>wind onshore resource in Ica region (near Ica) -- Peru</t>
  </si>
  <si>
    <t>en_won_PER_002</t>
  </si>
  <si>
    <t>wind onshore resource in Piura region (near Piura) -- Peru</t>
  </si>
  <si>
    <t>en_won_PER_003</t>
  </si>
  <si>
    <t>wind onshore resource in near Chimbote -- Peru</t>
  </si>
  <si>
    <t>en_won_PER_004</t>
  </si>
  <si>
    <t>wind onshore resource in Lambayeque region (near Chiclayo) -- Peru</t>
  </si>
  <si>
    <t>en_won_PHL_001</t>
  </si>
  <si>
    <t>wind onshore resource in near Aparri -- Philippines</t>
  </si>
  <si>
    <t>en_won_PHL_002</t>
  </si>
  <si>
    <t>wind onshore resource in Mountain region (near Roxas) -- Philippines</t>
  </si>
  <si>
    <t>en_won_PHL_003</t>
  </si>
  <si>
    <t>wind onshore resource in Palawan region (near Roxas) -- Philippines</t>
  </si>
  <si>
    <t>en_won_PHL_004</t>
  </si>
  <si>
    <t>wind onshore resource in near Sablayan -- Philippines</t>
  </si>
  <si>
    <t>en_won_PHL_005</t>
  </si>
  <si>
    <t>wind onshore resource in Bohol region (near Ubay) -- Philippines</t>
  </si>
  <si>
    <t>en_won_PHL_006</t>
  </si>
  <si>
    <t>wind onshore resource in near Mauban -- Philippines</t>
  </si>
  <si>
    <t>en_won_PHL_007</t>
  </si>
  <si>
    <t>wind onshore resource in Masbate region (near Masbate) -- Philippines</t>
  </si>
  <si>
    <t>en_won_PHL_008</t>
  </si>
  <si>
    <t>wind onshore resource in Negros Occidental region (near La Carlota) -- Philippines</t>
  </si>
  <si>
    <t>en_won_PNG_001</t>
  </si>
  <si>
    <t>wind onshore resource in Western region (near Mendi) -- Papua New Guinea</t>
  </si>
  <si>
    <t>en_won_PNG_002</t>
  </si>
  <si>
    <t>wind onshore resource in West New Britain region (near Kimbe) -- Papua New Guinea</t>
  </si>
  <si>
    <t>en_won_PNG_003</t>
  </si>
  <si>
    <t>wind onshore resource in near Popondetta -- Papua New Guinea</t>
  </si>
  <si>
    <t>en_won_PNG_004</t>
  </si>
  <si>
    <t>wind onshore resource in near Port Moresby -- Papua New Guinea</t>
  </si>
  <si>
    <t>en_won_POL_001</t>
  </si>
  <si>
    <t>wind onshore resource in Lublin Voivodeship region (near Swidnik) -- Poland</t>
  </si>
  <si>
    <t>en_won_POL_002</t>
  </si>
  <si>
    <t>wind onshore resource in Podlaskie Voivodeship region (near Elk) -- Poland</t>
  </si>
  <si>
    <t>en_won_POL_003</t>
  </si>
  <si>
    <t>wind onshore resource in Warmian-Masurian Voivodeship region (near Olsztyn) -- Poland</t>
  </si>
  <si>
    <t>en_won_POL_004</t>
  </si>
  <si>
    <t>wind onshore resource in Pomeranian Voivodeship region (near Slupsk) -- Poland</t>
  </si>
  <si>
    <t>en_won_POL_005</t>
  </si>
  <si>
    <t>wind onshore resource in Lubusz Voivodeship region (near Zielona Gora) -- Poland</t>
  </si>
  <si>
    <t>en_won_POL_006</t>
  </si>
  <si>
    <t>wind onshore resource in Podkarpackie Voivodeship region (near Krosno) -- Poland</t>
  </si>
  <si>
    <t>en_won_POL_007</t>
  </si>
  <si>
    <t>wind onshore resource in Opole Voivodeship region (near Nysa) -- Poland</t>
  </si>
  <si>
    <t>en_won_PRI_001</t>
  </si>
  <si>
    <t>wind onshore resource in Puerto Rico region (near Aguadilla) -- Puerto Rico</t>
  </si>
  <si>
    <t>en_won_PRI_002</t>
  </si>
  <si>
    <t>en_won_PRI_003</t>
  </si>
  <si>
    <t>wind onshore resource in Puerto Rico region (near Arecibo) -- Puerto Rico</t>
  </si>
  <si>
    <t>en_won_PRK_001</t>
  </si>
  <si>
    <t>wind onshore resource in North Hwanghae region (near Sariwon) -- Dem. People^s Rep. Korea</t>
  </si>
  <si>
    <t>en_won_PRK_002</t>
  </si>
  <si>
    <t>wind onshore resource in North Pyongan region (near Sinuiju) -- Dem. People^s Rep. Korea</t>
  </si>
  <si>
    <t>en_won_PRK_003</t>
  </si>
  <si>
    <t>wind onshore resource in North Hamgyong region (near Ch'ongjin) -- Dem. People^s Rep. Korea</t>
  </si>
  <si>
    <t>en_won_PRK_004</t>
  </si>
  <si>
    <t>wind onshore resource in Kangwon region (near Wonsan) -- Dem. People^s Rep. Korea</t>
  </si>
  <si>
    <t>en_won_PRK_005</t>
  </si>
  <si>
    <t>wind onshore resource in Jilin region (near Kanggye) -- Dem. People^s Rep. Korea</t>
  </si>
  <si>
    <t>en_won_PRT_001</t>
  </si>
  <si>
    <t>wind onshore resource in Guarda region (near Guarda) -- Portugal</t>
  </si>
  <si>
    <t>en_won_PRT_002</t>
  </si>
  <si>
    <t>wind onshore resource in Vila Real region (near Chaves) -- Portugal</t>
  </si>
  <si>
    <t>en_won_PRT_003</t>
  </si>
  <si>
    <t>wind onshore resource in near Angra do Heroismo -- Portugal</t>
  </si>
  <si>
    <t>en_won_PRT_004</t>
  </si>
  <si>
    <t>wind onshore resource in Santarem region (near Torres Novas) -- Portugal</t>
  </si>
  <si>
    <t>en_won_PRT_005</t>
  </si>
  <si>
    <t>wind onshore resource in Beja region (near Beja) -- Portugal</t>
  </si>
  <si>
    <t>en_won_PRY_001</t>
  </si>
  <si>
    <t>wind onshore resource in Presidente Hayes region (near Villa Hayes) -- Paraguay</t>
  </si>
  <si>
    <t>en_won_PRY_002</t>
  </si>
  <si>
    <t>wind onshore resource in Paraguari region (near Ita) -- Paraguay</t>
  </si>
  <si>
    <t>en_won_PRY_003</t>
  </si>
  <si>
    <t>wind onshore resource in Caazapa region (near Villarrica) -- Paraguay</t>
  </si>
  <si>
    <t>en_won_PRY_004</t>
  </si>
  <si>
    <t>wind onshore resource in Concepcion region (near Horqueta) -- Paraguay</t>
  </si>
  <si>
    <t>en_won_PRY_005</t>
  </si>
  <si>
    <t>wind onshore resource in Boqueron region (near Horqueta) -- Paraguay</t>
  </si>
  <si>
    <t>en_won_PRY_006</t>
  </si>
  <si>
    <t>en_won_PRY_007</t>
  </si>
  <si>
    <t>wind onshore resource in Alto Paraguay region (near Horqueta) -- Paraguay</t>
  </si>
  <si>
    <t>en_won_PRY_008</t>
  </si>
  <si>
    <t>en_won_QAT_001</t>
  </si>
  <si>
    <t>wind onshore resource in Al Rayyan region (near Ar Rayyan) -- Qatar</t>
  </si>
  <si>
    <t>en_won_QAT_002</t>
  </si>
  <si>
    <t>en_won_ROU_001</t>
  </si>
  <si>
    <t>wind onshore resource in Suceava region (near Suceava) -- Romania</t>
  </si>
  <si>
    <t>en_won_ROU_002</t>
  </si>
  <si>
    <t>wind onshore resource in Galați region (near Barlad) -- Romania</t>
  </si>
  <si>
    <t>en_won_ROU_003</t>
  </si>
  <si>
    <t>wind onshore resource in Arad region (near Arad) -- Romania</t>
  </si>
  <si>
    <t>en_won_ROU_004</t>
  </si>
  <si>
    <t>wind onshore resource in Sălaj region (near Zalau) -- Romania</t>
  </si>
  <si>
    <t>en_won_ROU_005</t>
  </si>
  <si>
    <t>wind onshore resource in Dolj region (near Craiova) -- Romania</t>
  </si>
  <si>
    <t>en_won_ROU_006</t>
  </si>
  <si>
    <t>wind onshore resource in Giurgiu region (near Bragadiru) -- Romania</t>
  </si>
  <si>
    <t>en_won_RUS_001</t>
  </si>
  <si>
    <t>wind onshore resource in Sakha Republic region (near Yakutsk) -- Russia</t>
  </si>
  <si>
    <t>en_won_RUS_002</t>
  </si>
  <si>
    <t>wind onshore resource in Zabaykalsky Krai region (near Chita) -- Russia</t>
  </si>
  <si>
    <t>en_won_RUS_003</t>
  </si>
  <si>
    <t>en_won_RUS_004</t>
  </si>
  <si>
    <t>wind onshore resource in Kamchatka Krai region (near Petropavlovsk-Kamchatskiy) -- Russia</t>
  </si>
  <si>
    <t>en_won_RUS_005</t>
  </si>
  <si>
    <t>wind onshore resource in Khabarovsk Krai region (near Yakutsk) -- Russia</t>
  </si>
  <si>
    <t>en_won_RUS_006</t>
  </si>
  <si>
    <t>wind onshore resource in Amur region (near Blagoveshchensk) -- Russia</t>
  </si>
  <si>
    <t>en_won_RUS_007</t>
  </si>
  <si>
    <t>wind onshore resource in Khabarovsk Krai region (near Komsomol'sk-na-Amure) -- Russia</t>
  </si>
  <si>
    <t>en_won_RUS_008</t>
  </si>
  <si>
    <t>wind onshore resource in near Yakutsk -- Russia</t>
  </si>
  <si>
    <t>en_won_RUS_009</t>
  </si>
  <si>
    <t>en_won_RUS_010</t>
  </si>
  <si>
    <t>wind onshore resource in Jewish region (near Khabarovsk) -- Russia</t>
  </si>
  <si>
    <t>en_won_RUS_011</t>
  </si>
  <si>
    <t>wind onshore resource in Yaroslavl region (near Shchelkovo) -- Russia</t>
  </si>
  <si>
    <t>en_won_RUS_012</t>
  </si>
  <si>
    <t>wind onshore resource in Bryansk region (near Bryansk) -- Russia</t>
  </si>
  <si>
    <t>en_won_RUS_013</t>
  </si>
  <si>
    <t>wind onshore resource in Stavropol Krai region (near Stavropol) -- Russia</t>
  </si>
  <si>
    <t>en_won_RUS_014</t>
  </si>
  <si>
    <t>wind onshore resource in Volgograd region (near Voronezh) -- Russia</t>
  </si>
  <si>
    <t>en_won_RUS_015</t>
  </si>
  <si>
    <t>wind onshore resource in Bashkortostan region (near Magnitogorsk) -- Russia</t>
  </si>
  <si>
    <t>en_won_RUS_016</t>
  </si>
  <si>
    <t>wind onshore resource in Samara region (near Tolyatti) -- Russia</t>
  </si>
  <si>
    <t>en_won_RUS_017</t>
  </si>
  <si>
    <t>wind onshore resource in Republic of Buryatia region (near Ulan-Ude) -- Russia</t>
  </si>
  <si>
    <t>en_won_RUS_018</t>
  </si>
  <si>
    <t>wind onshore resource in Irkutsk region (near Bratsk) -- Russia</t>
  </si>
  <si>
    <t>en_won_RUS_019</t>
  </si>
  <si>
    <t>wind onshore resource in Altai Republic region (near Barnaul) -- Russia</t>
  </si>
  <si>
    <t>en_won_RUS_020</t>
  </si>
  <si>
    <t>wind onshore resource in Tomsk region (near Tomsk) -- Russia</t>
  </si>
  <si>
    <t>en_won_RUS_021</t>
  </si>
  <si>
    <t>wind onshore resource in Republic of Khakassia region (near Abakan) -- Russia</t>
  </si>
  <si>
    <t>en_won_RUS_022</t>
  </si>
  <si>
    <t>wind onshore resource in Tyumen region (near Tyumen) -- Russia</t>
  </si>
  <si>
    <t>en_won_RUS_023</t>
  </si>
  <si>
    <t>wind onshore resource in Omsk region (near Omsk) -- Russia</t>
  </si>
  <si>
    <t>en_won_RWA_001</t>
  </si>
  <si>
    <t>wind onshore resource in Western region (near Ruhengeri) -- Rwanda</t>
  </si>
  <si>
    <t>en_won_RWA_002</t>
  </si>
  <si>
    <t>wind onshore resource in North Kivu region (near Gisenyi) -- Rwanda</t>
  </si>
  <si>
    <t>en_won_SAU_001</t>
  </si>
  <si>
    <t>wind onshore resource in Eastern region (near Al Hufuf) -- Saudi Arabia</t>
  </si>
  <si>
    <t>en_won_SAU_002</t>
  </si>
  <si>
    <t>wind onshore resource in Eastern region (near Riyadh) -- Saudi Arabia</t>
  </si>
  <si>
    <t>en_won_SAU_003</t>
  </si>
  <si>
    <t>en_won_SAU_004</t>
  </si>
  <si>
    <t>en_won_SAU_005</t>
  </si>
  <si>
    <t>en_won_SAU_006</t>
  </si>
  <si>
    <t>wind onshore resource in Makkah region (near At Ta'if) -- Saudi Arabia</t>
  </si>
  <si>
    <t>en_won_SAU_007</t>
  </si>
  <si>
    <t>wind onshore resource in Al Madinah region (near Medina) -- Saudi Arabia</t>
  </si>
  <si>
    <t>en_won_SAU_008</t>
  </si>
  <si>
    <t>wind onshore resource in near Medina -- Saudi Arabia</t>
  </si>
  <si>
    <t>en_won_SAU_009</t>
  </si>
  <si>
    <t>wind onshore resource in Riyadh region (near Riyadh) -- Saudi Arabia</t>
  </si>
  <si>
    <t>en_won_SAU_010</t>
  </si>
  <si>
    <t>wind onshore resource in Najran region (near At Ta'if) -- Saudi Arabia</t>
  </si>
  <si>
    <t>en_won_SAU_011</t>
  </si>
  <si>
    <t>en_won_SAU_012</t>
  </si>
  <si>
    <t>wind onshore resource in Al-Jowf region (near Tabuk) -- Saudi Arabia</t>
  </si>
  <si>
    <t>en_won_SAU_013</t>
  </si>
  <si>
    <t>wind onshore resource in Northern Borders region (near Tabuk) -- Saudi Arabia</t>
  </si>
  <si>
    <t>en_won_SAU_014</t>
  </si>
  <si>
    <t>wind onshore resource in Al-Qassim region (near Medina) -- Saudi Arabia</t>
  </si>
  <si>
    <t>en_won_SDN_001</t>
  </si>
  <si>
    <t>wind onshore resource in South Kordofan region (near Khartoum) -- Sudan</t>
  </si>
  <si>
    <t>en_won_SDN_002</t>
  </si>
  <si>
    <t>wind onshore resource in East Darfur region (near El Geneina) -- Sudan</t>
  </si>
  <si>
    <t>en_won_SDN_003</t>
  </si>
  <si>
    <t>wind onshore resource in Northern region (near Omdurman) -- Sudan</t>
  </si>
  <si>
    <t>en_won_SDN_004</t>
  </si>
  <si>
    <t>wind onshore resource in North Darfur region (near El Geneina) -- Sudan</t>
  </si>
  <si>
    <t>en_won_SDN_005</t>
  </si>
  <si>
    <t>en_won_SDN_006</t>
  </si>
  <si>
    <t>wind onshore resource in Red Sea region (near Port Sudan) -- Sudan</t>
  </si>
  <si>
    <t>en_won_SDN_007</t>
  </si>
  <si>
    <t>en_won_SDN_008</t>
  </si>
  <si>
    <t>en_won_SDN_009</t>
  </si>
  <si>
    <t>en_won_SDN_010</t>
  </si>
  <si>
    <t>wind onshore resource in North Kordofan region (near Omdurman) -- Sudan</t>
  </si>
  <si>
    <t>en_won_SDN_011</t>
  </si>
  <si>
    <t>en_won_SDN_012</t>
  </si>
  <si>
    <t>en_won_SDN_013</t>
  </si>
  <si>
    <t>wind onshore resource in Blue Nile region (near Khartoum North) -- Sudan</t>
  </si>
  <si>
    <t>en_won_SDN_014</t>
  </si>
  <si>
    <t>wind onshore resource in Kassala region (near Kassala) -- Sudan</t>
  </si>
  <si>
    <t>en_won_SEN_001</t>
  </si>
  <si>
    <t>wind onshore resource in Matam region (near Touba) -- Senegal</t>
  </si>
  <si>
    <t>en_won_SEN_002</t>
  </si>
  <si>
    <t>wind onshore resource in Louga region (near Touba) -- Senegal</t>
  </si>
  <si>
    <t>en_won_SEN_003</t>
  </si>
  <si>
    <t>wind onshore resource in Tambacounda region (near Kaolack) -- Senegal</t>
  </si>
  <si>
    <t>en_won_SEN_004</t>
  </si>
  <si>
    <t>wind onshore resource in Kaolack region (near Kaolack) -- Senegal</t>
  </si>
  <si>
    <t>en_won_SEN_005</t>
  </si>
  <si>
    <t>wind onshore resource in Kolda region (near Kaolack) -- Senegal</t>
  </si>
  <si>
    <t>en_won_SEN_006</t>
  </si>
  <si>
    <t>wind onshore resource in Tambacounda region (near Touba) -- Senegal</t>
  </si>
  <si>
    <t>en_won_SGP_001</t>
  </si>
  <si>
    <t>wind onshore resource in Central Singapore Community Development Council region (near Singapore) -- Singapore</t>
  </si>
  <si>
    <t>en_won_SGP_002</t>
  </si>
  <si>
    <t>wind onshore resource in South East Community Development Council region (near Singapore) -- Singapore</t>
  </si>
  <si>
    <t>en_won_SLE_001</t>
  </si>
  <si>
    <t>wind onshore resource in Northern region (near Koidu) -- Sierra Leone</t>
  </si>
  <si>
    <t>en_won_SLE_002</t>
  </si>
  <si>
    <t>wind onshore resource in Forecariah Prefecture region (near Freetown) -- Sierra Leone</t>
  </si>
  <si>
    <t>en_won_SLV_001</t>
  </si>
  <si>
    <t>wind onshore resource in La Libertad region (near San Marcos) -- El Salvador</t>
  </si>
  <si>
    <t>en_won_SLV_002</t>
  </si>
  <si>
    <t>wind onshore resource in Chalatenango region (near Ilobasco) -- El Salvador</t>
  </si>
  <si>
    <t>en_won_SOM_001</t>
  </si>
  <si>
    <t>wind onshore resource in Somaliland region (near Burco) -- Somalia</t>
  </si>
  <si>
    <t>en_won_SOM_002</t>
  </si>
  <si>
    <t>wind onshore resource in Somaliland region (near Berbera) -- Somalia</t>
  </si>
  <si>
    <t>en_won_SOM_003</t>
  </si>
  <si>
    <t>wind onshore resource in Bari region (near Boosaaso) -- Somalia</t>
  </si>
  <si>
    <t>en_won_SOM_004</t>
  </si>
  <si>
    <t>wind onshore resource in Lower Juba region (near Baardheere) -- Somalia</t>
  </si>
  <si>
    <t>en_won_SOM_005</t>
  </si>
  <si>
    <t>wind onshore resource in Bay region (near Baidoa) -- Somalia</t>
  </si>
  <si>
    <t>en_won_SOM_006</t>
  </si>
  <si>
    <t>wind onshore resource in Somaliland region (near Hargeysa) -- Somalia</t>
  </si>
  <si>
    <t>en_won_SOM_007</t>
  </si>
  <si>
    <t>wind onshore resource in Bakool region (near Baidoa) -- Somalia</t>
  </si>
  <si>
    <t>en_won_SOM_008</t>
  </si>
  <si>
    <t>wind onshore resource in Mudug region (near Gaalkacyo) -- Somalia</t>
  </si>
  <si>
    <t>en_won_SOM_009</t>
  </si>
  <si>
    <t>wind onshore resource in Somali region (near Garoowe) -- Somalia</t>
  </si>
  <si>
    <t>en_won_SRB_001</t>
  </si>
  <si>
    <t>wind onshore resource in South Banat region (near Kovin) -- Serbia</t>
  </si>
  <si>
    <t>en_won_SRB_002</t>
  </si>
  <si>
    <t>wind onshore resource in Srem region (near Sabac) -- Serbia</t>
  </si>
  <si>
    <t>en_won_SRB_003</t>
  </si>
  <si>
    <t>wind onshore resource in South Bačka region (near Kula) -- Serbia</t>
  </si>
  <si>
    <t>en_won_SRB_004</t>
  </si>
  <si>
    <t>wind onshore resource in Bor region (near Negotin) -- Serbia</t>
  </si>
  <si>
    <t>en_won_SRB_005</t>
  </si>
  <si>
    <t>wind onshore resource in Podujevo/Podujeva region (near Prokuplje) -- Serbia</t>
  </si>
  <si>
    <t>en_won_SRB_006</t>
  </si>
  <si>
    <t>wind onshore resource in Pomoravski region (near Jagodina) -- Serbia</t>
  </si>
  <si>
    <t>en_won_SSD_001</t>
  </si>
  <si>
    <t>wind onshore resource in Eastern Equatoria region (near Magwe) -- South Sudan</t>
  </si>
  <si>
    <t>en_won_SSD_002</t>
  </si>
  <si>
    <t>en_won_SSD_003</t>
  </si>
  <si>
    <t>wind onshore resource in East Darfur region (near Wau) -- South Sudan</t>
  </si>
  <si>
    <t>en_won_SSD_004</t>
  </si>
  <si>
    <t>wind onshore resource in Upper Nile region (near Malakal) -- South Sudan</t>
  </si>
  <si>
    <t>en_won_SSD_005</t>
  </si>
  <si>
    <t>en_won_SSD_006</t>
  </si>
  <si>
    <t>wind onshore resource in Unity region (near Malakal) -- South Sudan</t>
  </si>
  <si>
    <t>en_won_SUR_001</t>
  </si>
  <si>
    <t>wind onshore resource in Nickerie region (near Koewarasan) -- Suriname</t>
  </si>
  <si>
    <t>en_won_SUR_002</t>
  </si>
  <si>
    <t>wind onshore resource in Saramacca region (near Koewarasan) -- Suriname</t>
  </si>
  <si>
    <t>en_won_SVK_001</t>
  </si>
  <si>
    <t>wind onshore resource in Košice region (near Kosice) -- Slovak Republic</t>
  </si>
  <si>
    <t>en_won_SVK_002</t>
  </si>
  <si>
    <t>wind onshore resource in Banska Bystrica region (near Lucenec) -- Slovak Republic</t>
  </si>
  <si>
    <t>en_won_SVK_003</t>
  </si>
  <si>
    <t>wind onshore resource in Žilina region (near Ruzomberok) -- Slovak Republic</t>
  </si>
  <si>
    <t>en_won_SVN_001</t>
  </si>
  <si>
    <t>wind onshore resource in Carinthia region (near Ravne na Koroskem) -- Slovenia</t>
  </si>
  <si>
    <t>en_won_SVN_002</t>
  </si>
  <si>
    <t>wind onshore resource in Litija region (near Zagorje) -- Slovenia</t>
  </si>
  <si>
    <t>en_won_SWE_001</t>
  </si>
  <si>
    <t>wind onshore resource in near Vastervik -- Sweden</t>
  </si>
  <si>
    <t>en_won_SWE_002</t>
  </si>
  <si>
    <t>wind onshore resource in Kronoberg region (near Halmstad) -- Sweden</t>
  </si>
  <si>
    <t>en_won_SWE_003</t>
  </si>
  <si>
    <t>wind onshore resource in Vastmanland region (near Vasteras) -- Sweden</t>
  </si>
  <si>
    <t>en_won_SWE_004</t>
  </si>
  <si>
    <t>wind onshore resource in Varmland region (near Karlstad) -- Sweden</t>
  </si>
  <si>
    <t>en_won_SWE_005</t>
  </si>
  <si>
    <t>wind onshore resource in Vastra Gotaland region (near Skovde) -- Sweden</t>
  </si>
  <si>
    <t>en_won_SYR_001</t>
  </si>
  <si>
    <t>wind onshore resource in Rif Dimashq region (near Duma) -- Syrian Arab Republic</t>
  </si>
  <si>
    <t>en_won_SYR_002</t>
  </si>
  <si>
    <t>wind onshore resource in Latakia region (near Jablah) -- Syrian Arab Republic</t>
  </si>
  <si>
    <t>en_won_SYR_003</t>
  </si>
  <si>
    <t>wind onshore resource in Hama region (near As Salamiyah) -- Syrian Arab Republic</t>
  </si>
  <si>
    <t>en_won_SYR_004</t>
  </si>
  <si>
    <t>wind onshore resource in Al-Hasakah region (near Al Qamishli) -- Syrian Arab Republic</t>
  </si>
  <si>
    <t>en_won_SYR_005</t>
  </si>
  <si>
    <t>wind onshore resource in Al-Hasakah region (near Dayr az Zawr) -- Syrian Arab Republic</t>
  </si>
  <si>
    <t>en_won_SYR_006</t>
  </si>
  <si>
    <t>wind onshore resource in Homs region (near Dayr az Zawr) -- Syrian Arab Republic</t>
  </si>
  <si>
    <t>en_won_TCD_001</t>
  </si>
  <si>
    <t>wind onshore resource in Tibesti region (near Faya) -- Chad</t>
  </si>
  <si>
    <t>en_won_TCD_002</t>
  </si>
  <si>
    <t>en_won_TCD_003</t>
  </si>
  <si>
    <t>en_won_TCD_004</t>
  </si>
  <si>
    <t>wind onshore resource in Mayo-Kebbi Est region (near Deressia) -- Chad</t>
  </si>
  <si>
    <t>en_won_TCD_005</t>
  </si>
  <si>
    <t>wind onshore resource in Chari-Baguirmi region (near Yao) -- Chad</t>
  </si>
  <si>
    <t>en_won_TCD_006</t>
  </si>
  <si>
    <t>wind onshore resource in Salamat region (near Goz-Beida) -- Chad</t>
  </si>
  <si>
    <t>en_won_TCD_007</t>
  </si>
  <si>
    <t>wind onshore resource in Guera region (near Sarh) -- Chad</t>
  </si>
  <si>
    <t>en_won_TCD_008</t>
  </si>
  <si>
    <t>wind onshore resource in Borkou region (near Mao) -- Chad</t>
  </si>
  <si>
    <t>en_won_TCD_009</t>
  </si>
  <si>
    <t>wind onshore resource in Ennedi region (near Faya) -- Chad</t>
  </si>
  <si>
    <t>en_won_TCD_010</t>
  </si>
  <si>
    <t>wind onshore resource in Sila region (near Goz-Beida) -- Chad</t>
  </si>
  <si>
    <t>en_won_TCD_011</t>
  </si>
  <si>
    <t>wind onshore resource in Batha region (near Yao) -- Chad</t>
  </si>
  <si>
    <t>en_won_TCD_012</t>
  </si>
  <si>
    <t>en_won_TGO_001</t>
  </si>
  <si>
    <t>wind onshore resource in Savanes region (near Sokode) -- Togo</t>
  </si>
  <si>
    <t>en_won_TGO_002</t>
  </si>
  <si>
    <t>wind onshore resource in Maritime region (near Lome) -- Togo</t>
  </si>
  <si>
    <t>en_won_THA_001</t>
  </si>
  <si>
    <t>wind onshore resource in Yasothon region (near Mukdahan) -- Thailand</t>
  </si>
  <si>
    <t>en_won_THA_002</t>
  </si>
  <si>
    <t>wind onshore resource in Si Sa Ket region (near Mukdahan) -- Thailand</t>
  </si>
  <si>
    <t>en_won_THA_003</t>
  </si>
  <si>
    <t>wind onshore resource in Nakhon Ratchasima region (near Nakhon Ratchasima) -- Thailand</t>
  </si>
  <si>
    <t>en_won_THA_004</t>
  </si>
  <si>
    <t>wind onshore resource in Phra Nakhon Si Ayutthaya region (near Pak Kret) -- Thailand</t>
  </si>
  <si>
    <t>en_won_THA_005</t>
  </si>
  <si>
    <t>wind onshore resource in near Phatthaya -- Thailand</t>
  </si>
  <si>
    <t>en_won_THA_006</t>
  </si>
  <si>
    <t>wind onshore resource in Chumphon region (near Surat Thani) -- Thailand</t>
  </si>
  <si>
    <t>en_won_TJK_001</t>
  </si>
  <si>
    <t>wind onshore resource in Osh region (near Isfara) -- Tajikistan</t>
  </si>
  <si>
    <t>en_won_TJK_002</t>
  </si>
  <si>
    <t>wind onshore resource in Gorno-Badakhshan region (near Kulob) -- Tajikistan</t>
  </si>
  <si>
    <t>en_won_TJK_003</t>
  </si>
  <si>
    <t>wind onshore resource in districts of Republican Subordination region (near Roghun) -- Tajikistan</t>
  </si>
  <si>
    <t>en_won_TJK_004</t>
  </si>
  <si>
    <t>wind onshore resource in Khujand region (near Istaravshan) -- Tajikistan</t>
  </si>
  <si>
    <t>en_won_TKM_001</t>
  </si>
  <si>
    <t>wind onshore resource in Ahal region (near Mary) -- Turkmenistan</t>
  </si>
  <si>
    <t>en_won_TKM_002</t>
  </si>
  <si>
    <t>wind onshore resource in Lebap region (near Atamyrat) -- Turkmenistan</t>
  </si>
  <si>
    <t>en_won_TKM_003</t>
  </si>
  <si>
    <t>wind onshore resource in Balkan region (near Balkanabat) -- Turkmenistan</t>
  </si>
  <si>
    <t>en_won_TKM_004</t>
  </si>
  <si>
    <t>en_won_TKM_005</t>
  </si>
  <si>
    <t>en_won_TKM_006</t>
  </si>
  <si>
    <t>wind onshore resource in Mary region (near Mary) -- Turkmenistan</t>
  </si>
  <si>
    <t>en_won_TKM_007</t>
  </si>
  <si>
    <t>wind onshore resource in Lebap region (near Dasoguz) -- Turkmenistan</t>
  </si>
  <si>
    <t>en_won_TKM_008</t>
  </si>
  <si>
    <t>wind onshore resource in Daşoguz region (near Dasoguz) -- Turkmenistan</t>
  </si>
  <si>
    <t>en_won_TTO_001</t>
  </si>
  <si>
    <t>wind onshore resource in Sangre Grande Regional Corporation region (near Arima) -- Trinidad and Tobago</t>
  </si>
  <si>
    <t>en_won_TTO_002</t>
  </si>
  <si>
    <t>wind onshore resource in near Couva -- Trinidad and Tobago</t>
  </si>
  <si>
    <t>en_won_TUN_001</t>
  </si>
  <si>
    <t>wind onshore resource in Kef region (near El Kef) -- Tunisia</t>
  </si>
  <si>
    <t>en_won_TUN_002</t>
  </si>
  <si>
    <t>wind onshore resource in Kairouan region (near Kairouan) -- Tunisia</t>
  </si>
  <si>
    <t>en_won_TUN_003</t>
  </si>
  <si>
    <t>wind onshore resource in Tataouine region (near Tataouine) -- Tunisia</t>
  </si>
  <si>
    <t>en_won_TUN_004</t>
  </si>
  <si>
    <t>en_won_TUN_005</t>
  </si>
  <si>
    <t>wind onshore resource in Sidi Bouzid region (near Sidi Bouzid) -- Tunisia</t>
  </si>
  <si>
    <t>en_won_TUR_001</t>
  </si>
  <si>
    <t>wind onshore resource in Konya region (near Selcuklu) -- Turkey</t>
  </si>
  <si>
    <t>en_won_TUR_002</t>
  </si>
  <si>
    <t>wind onshore resource in Adana region (near Melikgazi) -- Turkey</t>
  </si>
  <si>
    <t>en_won_TUR_003</t>
  </si>
  <si>
    <t>wind onshore resource in Sivas region (near Sivas) -- Turkey</t>
  </si>
  <si>
    <t>en_won_TUR_004</t>
  </si>
  <si>
    <t>wind onshore resource in Şanlıurfa region (near Viransehir) -- Turkey</t>
  </si>
  <si>
    <t>en_won_TUR_005</t>
  </si>
  <si>
    <t>wind onshore resource in Canakkale region (near Tekirdag) -- Turkey</t>
  </si>
  <si>
    <t>en_won_TUR_006</t>
  </si>
  <si>
    <t>wind onshore resource in near Mezitli -- Turkey</t>
  </si>
  <si>
    <t>en_won_TUR_007</t>
  </si>
  <si>
    <t>wind onshore resource in Eskişehir region (near Afyonkarahisar) -- Turkey</t>
  </si>
  <si>
    <t>en_won_TWN_001</t>
  </si>
  <si>
    <t>wind onshore resource in Yunlin region (near Douliu) -- Taiwan</t>
  </si>
  <si>
    <t>en_won_TWN_002</t>
  </si>
  <si>
    <t>wind onshore resource in Taitung region (near Taitung) -- Taiwan</t>
  </si>
  <si>
    <t>en_won_TWN_003</t>
  </si>
  <si>
    <t>wind onshore resource in near Changhua -- Taiwan</t>
  </si>
  <si>
    <t>en_won_TZA_001</t>
  </si>
  <si>
    <t>wind onshore resource in Tabora region (near Kahama) -- Tanzania</t>
  </si>
  <si>
    <t>en_won_TZA_002</t>
  </si>
  <si>
    <t>wind onshore resource in Mara region (near Arusha) -- Tanzania</t>
  </si>
  <si>
    <t>en_won_TZA_003</t>
  </si>
  <si>
    <t>wind onshore resource in Singida region (near Tabora) -- Tanzania</t>
  </si>
  <si>
    <t>en_won_TZA_004</t>
  </si>
  <si>
    <t>wind onshore resource in Tanga region (near Tanga) -- Tanzania</t>
  </si>
  <si>
    <t>en_won_TZA_005</t>
  </si>
  <si>
    <t>wind onshore resource in Manyara region (near Dodoma) -- Tanzania</t>
  </si>
  <si>
    <t>en_won_TZA_006</t>
  </si>
  <si>
    <t>wind onshore resource in Singida region (near Dodoma) -- Tanzania</t>
  </si>
  <si>
    <t>en_won_TZA_007</t>
  </si>
  <si>
    <t>wind onshore resource in Mbeya region (near Mbeya) -- Tanzania</t>
  </si>
  <si>
    <t>en_won_UGA_001</t>
  </si>
  <si>
    <t>wind onshore resource in Kotido region (near Kitgum) -- Uganda</t>
  </si>
  <si>
    <t>en_won_UGA_002</t>
  </si>
  <si>
    <t>wind onshore resource in Moroto region (near Soroti) -- Uganda</t>
  </si>
  <si>
    <t>en_won_UKR_001</t>
  </si>
  <si>
    <t>wind onshore resource in Khmelnytskyi region (near Khmelnytskyi) -- Ukraine</t>
  </si>
  <si>
    <t>en_won_UKR_002</t>
  </si>
  <si>
    <t>wind onshore resource in Zakarpattia region (near Mukacheve) -- Ukraine</t>
  </si>
  <si>
    <t>en_won_UKR_003</t>
  </si>
  <si>
    <t>wind onshore resource in Lviv region (near Chervonohrad) -- Ukraine</t>
  </si>
  <si>
    <t>en_won_UKR_004</t>
  </si>
  <si>
    <t>wind onshore resource in Odessa region (near Odesa) -- Ukraine</t>
  </si>
  <si>
    <t>en_won_UKR_005</t>
  </si>
  <si>
    <t>wind onshore resource in near Melitopol -- Ukraine</t>
  </si>
  <si>
    <t>en_won_UKR_006</t>
  </si>
  <si>
    <t>wind onshore resource in Kherson region (near Kryvyi Rih) -- Ukraine</t>
  </si>
  <si>
    <t>en_won_UKR_007</t>
  </si>
  <si>
    <t>wind onshore resource in Donetsk region (near Druzhkivka) -- Ukraine</t>
  </si>
  <si>
    <t>en_won_UKR_008</t>
  </si>
  <si>
    <t>wind onshore resource in Chernihiv region (near Nizhyn) -- Ukraine</t>
  </si>
  <si>
    <t>en_won_UKR_009</t>
  </si>
  <si>
    <t>wind onshore resource in Poltava region (near Kremenchuk) -- Ukraine</t>
  </si>
  <si>
    <t>en_won_URY_001</t>
  </si>
  <si>
    <t>wind onshore resource in Lavalleja region (near Melo) -- Uruguay</t>
  </si>
  <si>
    <t>en_won_URY_002</t>
  </si>
  <si>
    <t>wind onshore resource in Tacuarembo region (near Melo) -- Uruguay</t>
  </si>
  <si>
    <t>en_won_URY_003</t>
  </si>
  <si>
    <t>wind onshore resource in Florida region (near Las Piedras) -- Uruguay</t>
  </si>
  <si>
    <t>en_won_URY_004</t>
  </si>
  <si>
    <t>wind onshore resource in Artigas region (near Salto) -- Uruguay</t>
  </si>
  <si>
    <t>en_won_URY_005</t>
  </si>
  <si>
    <t>wind onshore resource in Rio Negro region (near Tacuarembo) -- Uruguay</t>
  </si>
  <si>
    <t>en_won_USA_001</t>
  </si>
  <si>
    <t>wind onshore resource in Washington region (near Pasco) -- United States</t>
  </si>
  <si>
    <t>en_won_USA_002</t>
  </si>
  <si>
    <t>wind onshore resource in Oregon region (near Bend) -- United States</t>
  </si>
  <si>
    <t>en_won_USA_003</t>
  </si>
  <si>
    <t>wind onshore resource in Idaho region (near Boise) -- United States</t>
  </si>
  <si>
    <t>en_won_USA_004</t>
  </si>
  <si>
    <t>wind onshore resource in Nevada region (near Sparks) -- United States</t>
  </si>
  <si>
    <t>en_won_USA_005</t>
  </si>
  <si>
    <t>wind onshore resource in New Mexico region (near Albuquerque) -- United States</t>
  </si>
  <si>
    <t>en_won_USA_006</t>
  </si>
  <si>
    <t>wind onshore resource in Nevada region (near North Las Vegas) -- United States</t>
  </si>
  <si>
    <t>en_won_USA_007</t>
  </si>
  <si>
    <t>wind onshore resource in Arizona region (near Buckeye) -- United States</t>
  </si>
  <si>
    <t>en_won_USA_008</t>
  </si>
  <si>
    <t>wind onshore resource in Utah region (near Grand Junction) -- United States</t>
  </si>
  <si>
    <t>en_won_USA_009</t>
  </si>
  <si>
    <t>wind onshore resource in Texas region (near Mansfield) -- United States</t>
  </si>
  <si>
    <t>en_won_USA_010</t>
  </si>
  <si>
    <t>wind onshore resource in Texas region (near Lubbock) -- United States</t>
  </si>
  <si>
    <t>en_won_USA_011</t>
  </si>
  <si>
    <t>wind onshore resource in Montana region (near Great Falls) -- United States</t>
  </si>
  <si>
    <t>en_won_USA_012</t>
  </si>
  <si>
    <t>wind onshore resource in Wyoming region (near Casper) -- United States</t>
  </si>
  <si>
    <t>en_won_USA_013</t>
  </si>
  <si>
    <t>wind onshore resource in Alaska region (near Anchorage) -- United States</t>
  </si>
  <si>
    <t>en_won_USA_014</t>
  </si>
  <si>
    <t>wind onshore resource in near Anchorage -- United States</t>
  </si>
  <si>
    <t>en_won_USA_015</t>
  </si>
  <si>
    <t>wind onshore resource in South Dakota region (near Sioux Falls) -- United States</t>
  </si>
  <si>
    <t>en_won_USA_016</t>
  </si>
  <si>
    <t>wind onshore resource in Montana region (near Billings) -- United States</t>
  </si>
  <si>
    <t>en_won_USA_017</t>
  </si>
  <si>
    <t>wind onshore resource in Nebraska region (near Rapid City) -- United States</t>
  </si>
  <si>
    <t>en_won_USA_018</t>
  </si>
  <si>
    <t>wind onshore resource in Florida region (near Sebring) -- United States</t>
  </si>
  <si>
    <t>en_won_USA_019</t>
  </si>
  <si>
    <t>wind onshore resource in North Carolina region (near Gastonia) -- United States</t>
  </si>
  <si>
    <t>en_won_USA_020</t>
  </si>
  <si>
    <t>wind onshore resource in Massachusetts region (near Springfield) -- United States</t>
  </si>
  <si>
    <t>en_won_USA_021</t>
  </si>
  <si>
    <t>wind onshore resource in Pennsylvania region (near Harrisburg) -- United States</t>
  </si>
  <si>
    <t>en_won_USA_022</t>
  </si>
  <si>
    <t>wind onshore resource in Missouri region (near Jonesboro) -- United States</t>
  </si>
  <si>
    <t>en_won_USA_023</t>
  </si>
  <si>
    <t>wind onshore resource in Alabama region (near Tuscaloosa) -- United States</t>
  </si>
  <si>
    <t>en_won_USA_024</t>
  </si>
  <si>
    <t>wind onshore resource in Ohio region (near Dayton) -- United States</t>
  </si>
  <si>
    <t>en_won_USA_025</t>
  </si>
  <si>
    <t>wind onshore resource in Wisconsin region (near Green Bay) -- United States</t>
  </si>
  <si>
    <t>en_won_USA_026</t>
  </si>
  <si>
    <t>wind onshore resource in Missouri region (near Columbia) -- United States</t>
  </si>
  <si>
    <t>en_won_UZB_001</t>
  </si>
  <si>
    <t>wind onshore resource in Karakalpakstan region (near Xo`jayli Shahri) -- Uzbekistan</t>
  </si>
  <si>
    <t>en_won_UZB_002</t>
  </si>
  <si>
    <t>wind onshore resource in Navoiy region (near Zarafshon Shahri) -- Uzbekistan</t>
  </si>
  <si>
    <t>en_won_UZB_003</t>
  </si>
  <si>
    <t>wind onshore resource in Karakalpakstan region (near Nukus) -- Uzbekistan</t>
  </si>
  <si>
    <t>en_won_UZB_004</t>
  </si>
  <si>
    <t>wind onshore resource in Surxondaryo region (near Termiz) -- Uzbekistan</t>
  </si>
  <si>
    <t>en_won_UZB_005</t>
  </si>
  <si>
    <t>wind onshore resource in Samarqand region (near Samarkand) -- Uzbekistan</t>
  </si>
  <si>
    <t>en_won_UZB_006</t>
  </si>
  <si>
    <t>en_won_UZB_007</t>
  </si>
  <si>
    <t>wind onshore resource in Bukhara region (near Kattagan) -- Uzbekistan</t>
  </si>
  <si>
    <t>en_won_UZB_008</t>
  </si>
  <si>
    <t>wind onshore resource in Samarqand region (near Kattaqo'rg'on Shahri) -- Uzbekistan</t>
  </si>
  <si>
    <t>en_won_VEN_001</t>
  </si>
  <si>
    <t>wind onshore resource in Apure region (near Barinas) -- Venezuela</t>
  </si>
  <si>
    <t>en_won_VEN_002</t>
  </si>
  <si>
    <t>wind onshore resource in Zulia region (near Maracaibo) -- Venezuela</t>
  </si>
  <si>
    <t>en_won_VEN_003</t>
  </si>
  <si>
    <t>wind onshore resource in Guarico State region (near Santa Teresa del Tuy) -- Venezuela</t>
  </si>
  <si>
    <t>en_won_VEN_004</t>
  </si>
  <si>
    <t>wind onshore resource in Monagas region (near Ciudad Guayana) -- Venezuela</t>
  </si>
  <si>
    <t>en_won_VEN_005</t>
  </si>
  <si>
    <t>wind onshore resource in Falcon region (near Coro) -- Venezuela</t>
  </si>
  <si>
    <t>en_won_VEN_006</t>
  </si>
  <si>
    <t>en_won_VEN_007</t>
  </si>
  <si>
    <t>wind onshore resource in Anzoategui region (near Ciudad Bolivar) -- Venezuela</t>
  </si>
  <si>
    <t>en_won_VNM_001</t>
  </si>
  <si>
    <t>wind onshore resource in Lạng Sơn region (near Bac Giang) -- Vietnam</t>
  </si>
  <si>
    <t>en_won_VNM_002</t>
  </si>
  <si>
    <t>wind onshore resource in Bến Tre region (near My Tho) -- Vietnam</t>
  </si>
  <si>
    <t>en_won_VNM_003</t>
  </si>
  <si>
    <t>wind onshore resource in Cần Thơ region (near Long Xuyen) -- Vietnam</t>
  </si>
  <si>
    <t>en_won_VNM_004</t>
  </si>
  <si>
    <t>wind onshore resource in Đắk Lắk region (near Buon Ma Thuot) -- Vietnam</t>
  </si>
  <si>
    <t>en_won_VNM_005</t>
  </si>
  <si>
    <t>wind onshore resource in Quảng Binh region (near Ha Tinh) -- Vietnam</t>
  </si>
  <si>
    <t>en_won_VNM_006</t>
  </si>
  <si>
    <t>wind onshore resource in Quảng Ngai region (near Quang Ngai) -- Vietnam</t>
  </si>
  <si>
    <t>en_won_YEM_001</t>
  </si>
  <si>
    <t>wind onshore resource in Ta'izz region (near Ta`izz) -- Yemen</t>
  </si>
  <si>
    <t>en_won_YEM_002</t>
  </si>
  <si>
    <t>wind onshore resource in Hadhramaut region (near Al Mukalla) -- Yemen</t>
  </si>
  <si>
    <t>en_won_YEM_003</t>
  </si>
  <si>
    <t>en_won_YEM_004</t>
  </si>
  <si>
    <t>en_won_YEM_005</t>
  </si>
  <si>
    <t>wind onshore resource in Al Mahrah region (near Al Mukalla) -- Yemen</t>
  </si>
  <si>
    <t>en_won_YEM_006</t>
  </si>
  <si>
    <t>wind onshore resource in Shabwah region (near Al Mukalla) -- Yemen</t>
  </si>
  <si>
    <t>en_won_YEM_007</t>
  </si>
  <si>
    <t>wind onshore resource in Al Jawf region (near Sanaa) -- Yemen</t>
  </si>
  <si>
    <t>en_won_YEM_008</t>
  </si>
  <si>
    <t>en_won_ZAF_001</t>
  </si>
  <si>
    <t>wind onshore resource in Western Cape region (near Bethelsdorp) -- South Africa</t>
  </si>
  <si>
    <t>en_won_ZAF_002</t>
  </si>
  <si>
    <t>wind onshore resource in Eastern Cape region (near Pietermaritzburg) -- South Africa</t>
  </si>
  <si>
    <t>en_won_ZAF_003</t>
  </si>
  <si>
    <t>wind onshore resource in Mpumalanga region (near Newcastle) -- South Africa</t>
  </si>
  <si>
    <t>en_won_ZAF_004</t>
  </si>
  <si>
    <t>wind onshore resource in Eastern Cape region (near Bethelsdorp) -- South Africa</t>
  </si>
  <si>
    <t>en_won_ZAF_005</t>
  </si>
  <si>
    <t>wind onshore resource in KwaZulu-Natal region (near Nqutu) -- South Africa</t>
  </si>
  <si>
    <t>en_won_ZAF_006</t>
  </si>
  <si>
    <t>wind onshore resource in Mpumalanga region (near Zebediela) -- South Africa</t>
  </si>
  <si>
    <t>en_won_ZAF_007</t>
  </si>
  <si>
    <t>wind onshore resource in Limpopo region (near Zebediela) -- South Africa</t>
  </si>
  <si>
    <t>en_won_ZAF_008</t>
  </si>
  <si>
    <t>wind onshore resource in Free State region (near Klerksdorp) -- South Africa</t>
  </si>
  <si>
    <t>en_won_ZAF_009</t>
  </si>
  <si>
    <t>wind onshore resource in Northern Cape region (near Mahikeng) -- South Africa</t>
  </si>
  <si>
    <t>en_won_ZAF_010</t>
  </si>
  <si>
    <t>wind onshore resource in Northern Cape region (near Paarl) -- South Africa</t>
  </si>
  <si>
    <t>en_won_ZAF_011</t>
  </si>
  <si>
    <t>wind onshore resource in Northern Cape region (near Bloemfontein) -- South Africa</t>
  </si>
  <si>
    <t>en_won_ZAF_012</t>
  </si>
  <si>
    <t>en_won_ZMB_001</t>
  </si>
  <si>
    <t>wind onshore resource in Western region (near Mongu) -- Zambia</t>
  </si>
  <si>
    <t>en_won_ZMB_002</t>
  </si>
  <si>
    <t>wind onshore resource in Northern region (near Mufulira) -- Zambia</t>
  </si>
  <si>
    <t>en_won_ZMB_003</t>
  </si>
  <si>
    <t>wind onshore resource in Southern region (near Kafue) -- Zambia</t>
  </si>
  <si>
    <t>en_won_ZMB_004</t>
  </si>
  <si>
    <t>wind onshore resource in Mashonaland West region (near Kafue) -- Zambia</t>
  </si>
  <si>
    <t>en_won_ZMB_005</t>
  </si>
  <si>
    <t>wind onshore resource in Central region (near Kabwe) -- Zambia</t>
  </si>
  <si>
    <t>en_won_ZMB_006</t>
  </si>
  <si>
    <t>wind onshore resource in Muchinga region (near Chipata) -- Zambia</t>
  </si>
  <si>
    <t>en_won_ZMB_007</t>
  </si>
  <si>
    <t>wind onshore resource in Luapula region (near Ndola) -- Zambia</t>
  </si>
  <si>
    <t>en_won_ZMB_008</t>
  </si>
  <si>
    <t>en_won_ZMB_009</t>
  </si>
  <si>
    <t>wind onshore resource in Central region (near Lusaka) -- Zambia</t>
  </si>
  <si>
    <t>en_won_ZWE_001</t>
  </si>
  <si>
    <t>wind onshore resource in Matabeleland South region (near Bulawayo) -- Zimbabwe</t>
  </si>
  <si>
    <t>en_won_ZWE_002</t>
  </si>
  <si>
    <t>wind onshore resource in Masvingo region (near Gweru) -- Zimbabwe</t>
  </si>
  <si>
    <t>en_won_ZWE_003</t>
  </si>
  <si>
    <t>en_won_ZWE_004</t>
  </si>
  <si>
    <t>wind onshore resource in Mashonaland West region (near Harare) -- Zimbabwe</t>
  </si>
  <si>
    <t>en_won_ZWE_005</t>
  </si>
  <si>
    <t>wind onshore resource in Mashonaland Central region (near Harare) -- Zimbabwe</t>
  </si>
  <si>
    <t>en_won_ZWE_006</t>
  </si>
  <si>
    <t>wind onshore resource in Matabeleland North region (near Bulawayo) -- Zimbabwe</t>
  </si>
  <si>
    <t>en_won_ZWE_007</t>
  </si>
  <si>
    <t>wind onshore resource in Matabeleland North region (near Nkayi) -- Zimbabwe</t>
  </si>
  <si>
    <t>elc_won_AFG_001</t>
  </si>
  <si>
    <t>elc_won_AFG_002</t>
  </si>
  <si>
    <t>elc_won_AFG_003</t>
  </si>
  <si>
    <t>elc_won_AFG_004</t>
  </si>
  <si>
    <t>elc_won_AFG_005</t>
  </si>
  <si>
    <t>elc_won_AFG_006</t>
  </si>
  <si>
    <t>elc_won_AFG_007</t>
  </si>
  <si>
    <t>elc_won_AGO_001</t>
  </si>
  <si>
    <t>elc_won_AGO_002</t>
  </si>
  <si>
    <t>elc_won_AGO_003</t>
  </si>
  <si>
    <t>elc_won_AGO_004</t>
  </si>
  <si>
    <t>elc_won_AGO_005</t>
  </si>
  <si>
    <t>elc_won_AGO_006</t>
  </si>
  <si>
    <t>elc_won_AGO_007</t>
  </si>
  <si>
    <t>elc_won_AGO_008</t>
  </si>
  <si>
    <t>elc_won_AGO_009</t>
  </si>
  <si>
    <t>elc_won_ALB_001</t>
  </si>
  <si>
    <t>elc_won_ALB_002</t>
  </si>
  <si>
    <t>elc_won_ARE_001</t>
  </si>
  <si>
    <t>elc_won_ARE_002</t>
  </si>
  <si>
    <t>elc_won_ARE_003</t>
  </si>
  <si>
    <t>elc_won_ARE_004</t>
  </si>
  <si>
    <t>elc_won_ARG_001</t>
  </si>
  <si>
    <t>elc_won_ARG_002</t>
  </si>
  <si>
    <t>elc_won_ARG_003</t>
  </si>
  <si>
    <t>elc_won_ARG_004</t>
  </si>
  <si>
    <t>elc_won_ARG_005</t>
  </si>
  <si>
    <t>elc_won_ARG_006</t>
  </si>
  <si>
    <t>elc_won_ARG_007</t>
  </si>
  <si>
    <t>elc_won_ARG_008</t>
  </si>
  <si>
    <t>elc_won_ARG_009</t>
  </si>
  <si>
    <t>elc_won_ARG_010</t>
  </si>
  <si>
    <t>elc_won_ARG_011</t>
  </si>
  <si>
    <t>elc_won_ARG_012</t>
  </si>
  <si>
    <t>elc_won_ARG_013</t>
  </si>
  <si>
    <t>elc_won_ARG_014</t>
  </si>
  <si>
    <t>elc_won_ARM_001</t>
  </si>
  <si>
    <t>elc_won_ARM_002</t>
  </si>
  <si>
    <t>elc_won_ARM_003</t>
  </si>
  <si>
    <t>elc_won_AUS_001</t>
  </si>
  <si>
    <t>elc_won_AUS_002</t>
  </si>
  <si>
    <t>elc_won_AUS_003</t>
  </si>
  <si>
    <t>elc_won_AUS_004</t>
  </si>
  <si>
    <t>elc_won_AUS_005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</si>
  <si>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</si>
  <si>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</si>
  <si>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</si>
  <si>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</si>
  <si>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</si>
  <si>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</si>
  <si>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</si>
  <si>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</si>
  <si>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</si>
  <si>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</si>
  <si>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</si>
  <si>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</si>
  <si>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</si>
  <si>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</si>
  <si>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elc_won_AUS_020</t>
  </si>
  <si>
    <t>elc_won_AUS_021</t>
  </si>
  <si>
    <t>elc_won_AUT_001</t>
  </si>
  <si>
    <t>elc_won_AUT_002</t>
  </si>
  <si>
    <t>elc_won_AUT_003</t>
  </si>
  <si>
    <t>elc_won_AZE_001</t>
  </si>
  <si>
    <t>elc_won_AZE_002</t>
  </si>
  <si>
    <t>elc_won_BDI_001</t>
  </si>
  <si>
    <t>elc_won_BDI_002</t>
  </si>
  <si>
    <t>elc_won_BEL_001</t>
  </si>
  <si>
    <t>elc_won_BEL_002</t>
  </si>
  <si>
    <t>elc_won_BEL_003</t>
  </si>
  <si>
    <t>elc_won_BEN_001</t>
  </si>
  <si>
    <t>elc_won_BEN_002</t>
  </si>
  <si>
    <t>elc_won_BEN_003</t>
  </si>
  <si>
    <t>elc_won_BEN_004</t>
  </si>
  <si>
    <t>elc_won_BFA_001</t>
  </si>
  <si>
    <t>elc_won_BFA_002</t>
  </si>
  <si>
    <t>elc_won_BFA_003</t>
  </si>
  <si>
    <t>elc_won_BFA_004</t>
  </si>
  <si>
    <t>elc_won_BFA_005</t>
  </si>
  <si>
    <t>elc_won_BFA_006</t>
  </si>
  <si>
    <t>elc_won_BFA_007</t>
  </si>
  <si>
    <t>elc_won_BGD_001</t>
  </si>
  <si>
    <t>elc_won_BGD_002</t>
  </si>
  <si>
    <t>elc_won_BGD_003</t>
  </si>
  <si>
    <t>elc_won_BGD_004</t>
  </si>
  <si>
    <t>elc_won_BGD_005</t>
  </si>
  <si>
    <t>elc_won_BGR_001</t>
  </si>
  <si>
    <t>elc_won_BGR_002</t>
  </si>
  <si>
    <t>elc_won_BGR_003</t>
  </si>
  <si>
    <t>elc_won_BGR_004</t>
  </si>
  <si>
    <t>elc_won_BIH_001</t>
  </si>
  <si>
    <t>elc_won_BIH_002</t>
  </si>
  <si>
    <t>elc_won_BLR_001</t>
  </si>
  <si>
    <t>elc_won_BLR_002</t>
  </si>
  <si>
    <t>elc_won_BLR_003</t>
  </si>
  <si>
    <t>elc_won_BLR_004</t>
  </si>
  <si>
    <t>elc_won_BLR_005</t>
  </si>
  <si>
    <t>elc_won_BLR_006</t>
  </si>
  <si>
    <t>elc_won_BOL_001</t>
  </si>
  <si>
    <t>elc_won_BOL_002</t>
  </si>
  <si>
    <t>elc_won_BOL_003</t>
  </si>
  <si>
    <t>elc_won_BOL_004</t>
  </si>
  <si>
    <t>elc_won_BOL_005</t>
  </si>
  <si>
    <t>elc_won_BOL_006</t>
  </si>
  <si>
    <t>elc_won_BOL_007</t>
  </si>
  <si>
    <t>elc_won_BRA_001</t>
  </si>
  <si>
    <t>elc_won_BRA_002</t>
  </si>
  <si>
    <t>elc_won_BRA_003</t>
  </si>
  <si>
    <t>elc_won_BRA_004</t>
  </si>
  <si>
    <t>elc_won_BRA_005</t>
  </si>
  <si>
    <t>elc_won_BRA_006</t>
  </si>
  <si>
    <t>elc_won_BRA_007</t>
  </si>
  <si>
    <t>elc_won_BRA_008</t>
  </si>
  <si>
    <t>elc_won_BRA_009</t>
  </si>
  <si>
    <t>elc_won_BRA_010</t>
  </si>
  <si>
    <t>elc_won_BRA_011</t>
  </si>
  <si>
    <t>elc_won_BRA_012</t>
  </si>
  <si>
    <t>elc_won_BRA_013</t>
  </si>
  <si>
    <t>elc_won_BRA_014</t>
  </si>
  <si>
    <t>elc_won_BRA_015</t>
  </si>
  <si>
    <t>elc_won_BRA_016</t>
  </si>
  <si>
    <t>elc_won_BWA_001</t>
  </si>
  <si>
    <t>elc_won_BWA_002</t>
  </si>
  <si>
    <t>elc_won_BWA_003</t>
  </si>
  <si>
    <t>elc_won_BWA_004</t>
  </si>
  <si>
    <t>elc_won_BWA_005</t>
  </si>
  <si>
    <t>elc_won_BWA_006</t>
  </si>
  <si>
    <t>elc_won_BWA_007</t>
  </si>
  <si>
    <t>elc_won_BWA_008</t>
  </si>
  <si>
    <t>elc_won_BWA_009</t>
  </si>
  <si>
    <t>elc_won_CAF_001</t>
  </si>
  <si>
    <t>elc_won_CAF_002</t>
  </si>
  <si>
    <t>elc_won_CAF_003</t>
  </si>
  <si>
    <t>elc_won_CAN_001</t>
  </si>
  <si>
    <t>elc_won_CAN_002</t>
  </si>
  <si>
    <t>elc_won_CAN_003</t>
  </si>
  <si>
    <t>elc_won_CAN_004</t>
  </si>
  <si>
    <t>elc_won_CAN_005</t>
  </si>
  <si>
    <t>elc_won_CAN_006</t>
  </si>
  <si>
    <t>elc_won_CAN_007</t>
  </si>
  <si>
    <t>elc_won_CAN_008</t>
  </si>
  <si>
    <t>elc_won_CAN_009</t>
  </si>
  <si>
    <t>elc_won_CAN_010</t>
  </si>
  <si>
    <t>elc_won_CAN_011</t>
  </si>
  <si>
    <t>elc_won_CAN_012</t>
  </si>
  <si>
    <t>elc_won_CAN_013</t>
  </si>
  <si>
    <t>elc_won_CAN_014</t>
  </si>
  <si>
    <t>elc_won_CAN_015</t>
  </si>
  <si>
    <t>elc_won_CAN_016</t>
  </si>
  <si>
    <t>elc_won_CAN_017</t>
  </si>
  <si>
    <t>elc_won_CAN_018</t>
  </si>
  <si>
    <t>elc_won_CAN_019</t>
  </si>
  <si>
    <t>elc_won_CAN_020</t>
  </si>
  <si>
    <t>elc_won_CAN_021</t>
  </si>
  <si>
    <t>elc_won_CAN_022</t>
  </si>
  <si>
    <t>elc_won_CAN_023</t>
  </si>
  <si>
    <t>elc_won_CHE_001</t>
  </si>
  <si>
    <t>elc_won_CHE_002</t>
  </si>
  <si>
    <t>elc_won_CHL_001</t>
  </si>
  <si>
    <t>elc_won_CHL_002</t>
  </si>
  <si>
    <t>elc_won_CHL_003</t>
  </si>
  <si>
    <t>elc_won_CHL_004</t>
  </si>
  <si>
    <t>elc_won_CHL_005</t>
  </si>
  <si>
    <t>elc_won_CHL_006</t>
  </si>
  <si>
    <t>elc_won_CHL_007</t>
  </si>
  <si>
    <t>elc_won_CHL_008</t>
  </si>
  <si>
    <t>elc_won_CHN_001</t>
  </si>
  <si>
    <t>elc_won_CHN_002</t>
  </si>
  <si>
    <t>elc_won_CHN_003</t>
  </si>
  <si>
    <t>elc_won_CHN_004</t>
  </si>
  <si>
    <t>elc_won_CHN_005</t>
  </si>
  <si>
    <t>elc_won_CHN_006</t>
  </si>
  <si>
    <t>elc_won_CHN_007</t>
  </si>
  <si>
    <t>elc_won_CHN_008</t>
  </si>
  <si>
    <t>elc_won_CHN_009</t>
  </si>
  <si>
    <t>elc_won_CHN_010</t>
  </si>
  <si>
    <t>elc_won_CHN_011</t>
  </si>
  <si>
    <t>elc_won_CHN_012</t>
  </si>
  <si>
    <t>elc_won_CHN_013</t>
  </si>
  <si>
    <t>elc_won_CHN_014</t>
  </si>
  <si>
    <t>elc_won_CHN_015</t>
  </si>
  <si>
    <t>elc_won_CHN_016</t>
  </si>
  <si>
    <t>elc_won_CHN_017</t>
  </si>
  <si>
    <t>elc_won_CHN_018</t>
  </si>
  <si>
    <t>elc_won_CHN_019</t>
  </si>
  <si>
    <t>elc_won_CHN_020</t>
  </si>
  <si>
    <t>elc_won_CHN_021</t>
  </si>
  <si>
    <t>elc_won_CHN_022</t>
  </si>
  <si>
    <t>elc_won_CHN_023</t>
  </si>
  <si>
    <t>elc_won_CIV_001</t>
  </si>
  <si>
    <t>elc_won_CIV_002</t>
  </si>
  <si>
    <t>elc_won_CIV_003</t>
  </si>
  <si>
    <t>elc_won_CIV_004</t>
  </si>
  <si>
    <t>elc_won_CMR_001</t>
  </si>
  <si>
    <t>elc_won_CMR_002</t>
  </si>
  <si>
    <t>elc_won_CMR_003</t>
  </si>
  <si>
    <t>elc_won_CMR_004</t>
  </si>
  <si>
    <t>elc_won_COD_001</t>
  </si>
  <si>
    <t>elc_won_COD_002</t>
  </si>
  <si>
    <t>elc_won_COD_003</t>
  </si>
  <si>
    <t>elc_won_COD_004</t>
  </si>
  <si>
    <t>elc_won_COD_005</t>
  </si>
  <si>
    <t>elc_won_COG_001</t>
  </si>
  <si>
    <t>elc_won_COG_002</t>
  </si>
  <si>
    <t>elc_won_COG_003</t>
  </si>
  <si>
    <t>elc_won_COL_001</t>
  </si>
  <si>
    <t>elc_won_COL_002</t>
  </si>
  <si>
    <t>elc_won_COL_003</t>
  </si>
  <si>
    <t>elc_won_COL_004</t>
  </si>
  <si>
    <t>elc_won_CRI_001</t>
  </si>
  <si>
    <t>elc_won_CRI_002</t>
  </si>
  <si>
    <t>elc_won_CUB_001</t>
  </si>
  <si>
    <t>elc_won_CUB_002</t>
  </si>
  <si>
    <t>elc_won_CUB_003</t>
  </si>
  <si>
    <t>elc_won_CUB_004</t>
  </si>
  <si>
    <t>elc_won_CUB_005</t>
  </si>
  <si>
    <t>elc_won_CZE_001</t>
  </si>
  <si>
    <t>elc_won_CZE_002</t>
  </si>
  <si>
    <t>elc_won_CZE_003</t>
  </si>
  <si>
    <t>elc_won_CZE_004</t>
  </si>
  <si>
    <t>elc_won_DEU_001</t>
  </si>
  <si>
    <t>elc_won_DEU_002</t>
  </si>
  <si>
    <t>elc_won_DEU_003</t>
  </si>
  <si>
    <t>elc_won_DEU_004</t>
  </si>
  <si>
    <t>elc_won_DEU_005</t>
  </si>
  <si>
    <t>elc_won_DEU_006</t>
  </si>
  <si>
    <t>elc_won_DEU_007</t>
  </si>
  <si>
    <t>elc_won_DEU_008</t>
  </si>
  <si>
    <t>elc_won_DJI_001</t>
  </si>
  <si>
    <t>elc_won_DJI_002</t>
  </si>
  <si>
    <t>elc_won_DNK_001</t>
  </si>
  <si>
    <t>elc_won_DNK_002</t>
  </si>
  <si>
    <t>elc_won_DNK_003</t>
  </si>
  <si>
    <t>elc_won_DNK_004</t>
  </si>
  <si>
    <t>elc_won_DOM_001</t>
  </si>
  <si>
    <t>elc_won_DOM_002</t>
  </si>
  <si>
    <t>elc_won_DOM_003</t>
  </si>
  <si>
    <t>elc_won_DZA_001</t>
  </si>
  <si>
    <t>elc_won_DZA_002</t>
  </si>
  <si>
    <t>elc_won_DZA_003</t>
  </si>
  <si>
    <t>elc_won_DZA_004</t>
  </si>
  <si>
    <t>elc_won_DZA_005</t>
  </si>
  <si>
    <t>elc_won_DZA_006</t>
  </si>
  <si>
    <t>elc_won_DZA_007</t>
  </si>
  <si>
    <t>elc_won_DZA_008</t>
  </si>
  <si>
    <t>elc_won_DZA_009</t>
  </si>
  <si>
    <t>elc_won_DZA_010</t>
  </si>
  <si>
    <t>elc_won_DZA_011</t>
  </si>
  <si>
    <t>elc_won_DZA_012</t>
  </si>
  <si>
    <t>elc_won_DZA_013</t>
  </si>
  <si>
    <t>elc_won_DZA_014</t>
  </si>
  <si>
    <t>elc_won_DZA_015</t>
  </si>
  <si>
    <t>elc_won_DZA_016</t>
  </si>
  <si>
    <t>elc_won_ECU_001</t>
  </si>
  <si>
    <t>elc_won_ECU_002</t>
  </si>
  <si>
    <t>elc_won_ECU_003</t>
  </si>
  <si>
    <t>elc_won_ECU_004</t>
  </si>
  <si>
    <t>elc_won_EGY_001</t>
  </si>
  <si>
    <t>elc_won_EGY_002</t>
  </si>
  <si>
    <t>elc_won_EGY_003</t>
  </si>
  <si>
    <t>elc_won_EGY_004</t>
  </si>
  <si>
    <t>elc_won_EGY_005</t>
  </si>
  <si>
    <t>elc_won_EGY_006</t>
  </si>
  <si>
    <t>elc_won_EGY_007</t>
  </si>
  <si>
    <t>elc_won_EGY_008</t>
  </si>
  <si>
    <t>elc_won_EGY_009</t>
  </si>
  <si>
    <t>elc_won_EGY_010</t>
  </si>
  <si>
    <t>elc_won_EGY_011</t>
  </si>
  <si>
    <t>elc_won_ERI_001</t>
  </si>
  <si>
    <t>elc_won_ERI_002</t>
  </si>
  <si>
    <t>elc_won_ERI_003</t>
  </si>
  <si>
    <t>elc_won_ERI_004</t>
  </si>
  <si>
    <t>elc_won_ERI_005</t>
  </si>
  <si>
    <t>elc_won_ESP_001</t>
  </si>
  <si>
    <t>elc_won_ESP_002</t>
  </si>
  <si>
    <t>elc_won_ESP_003</t>
  </si>
  <si>
    <t>elc_won_ESP_004</t>
  </si>
  <si>
    <t>elc_won_ESP_005</t>
  </si>
  <si>
    <t>elc_won_ESP_006</t>
  </si>
  <si>
    <t>elc_won_ESP_007</t>
  </si>
  <si>
    <t>elc_won_ESP_008</t>
  </si>
  <si>
    <t>elc_won_EST_001</t>
  </si>
  <si>
    <t>elc_won_EST_002</t>
  </si>
  <si>
    <t>elc_won_EST_003</t>
  </si>
  <si>
    <t>elc_won_EST_004</t>
  </si>
  <si>
    <t>elc_won_ETH_001</t>
  </si>
  <si>
    <t>elc_won_ETH_002</t>
  </si>
  <si>
    <t>elc_won_ETH_003</t>
  </si>
  <si>
    <t>elc_won_ETH_004</t>
  </si>
  <si>
    <t>elc_won_ETH_005</t>
  </si>
  <si>
    <t>elc_won_ETH_006</t>
  </si>
  <si>
    <t>elc_won_ETH_007</t>
  </si>
  <si>
    <t>elc_won_ETH_008</t>
  </si>
  <si>
    <t>elc_won_ETH_009</t>
  </si>
  <si>
    <t>elc_won_FIN_001</t>
  </si>
  <si>
    <t>elc_won_FIN_002</t>
  </si>
  <si>
    <t>elc_won_FIN_003</t>
  </si>
  <si>
    <t>elc_won_FIN_004</t>
  </si>
  <si>
    <t>elc_won_FIN_005</t>
  </si>
  <si>
    <t>elc_won_FIN_006</t>
  </si>
  <si>
    <t>elc_won_FIN_007</t>
  </si>
  <si>
    <t>elc_won_FIN_008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</si>
  <si>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</si>
  <si>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</si>
  <si>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</si>
  <si>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</si>
  <si>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</si>
  <si>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</si>
  <si>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</si>
  <si>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</si>
  <si>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</si>
  <si>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elc_won_GAB_001</t>
  </si>
  <si>
    <t>elc_won_GAB_002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</si>
  <si>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</si>
  <si>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</si>
  <si>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</si>
  <si>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</si>
  <si>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</si>
  <si>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</si>
  <si>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</si>
  <si>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elc_won_GEO_001</t>
  </si>
  <si>
    <t>elc_won_GEO_002</t>
  </si>
  <si>
    <t>elc_won_GHA_001</t>
  </si>
  <si>
    <t>elc_won_GHA_002</t>
  </si>
  <si>
    <t>elc_won_GHA_003</t>
  </si>
  <si>
    <t>elc_won_GHA_004</t>
  </si>
  <si>
    <t>elc_won_GIN_001</t>
  </si>
  <si>
    <t>elc_won_GIN_002</t>
  </si>
  <si>
    <t>elc_won_GIN_003</t>
  </si>
  <si>
    <t>elc_won_GNB_001</t>
  </si>
  <si>
    <t>elc_won_GNB_002</t>
  </si>
  <si>
    <t>elc_won_GNB_003</t>
  </si>
  <si>
    <t>elc_won_GNQ_001</t>
  </si>
  <si>
    <t>elc_won_GNQ_002</t>
  </si>
  <si>
    <t>elc_won_GRC_001</t>
  </si>
  <si>
    <t>elc_won_GRC_002</t>
  </si>
  <si>
    <t>elc_won_GRC_003</t>
  </si>
  <si>
    <t>elc_won_GRC_004</t>
  </si>
  <si>
    <t>elc_won_GRC_005</t>
  </si>
  <si>
    <t>elc_won_GRC_006</t>
  </si>
  <si>
    <t>elc_won_GTM_001</t>
  </si>
  <si>
    <t>elc_won_GTM_002</t>
  </si>
  <si>
    <t>elc_won_GUY_001</t>
  </si>
  <si>
    <t>elc_won_GUY_002</t>
  </si>
  <si>
    <t>elc_won_GUY_003</t>
  </si>
  <si>
    <t>elc_won_HKG_001</t>
  </si>
  <si>
    <t>elc_won_HKG_002</t>
  </si>
  <si>
    <t>elc_won_HKG_003</t>
  </si>
  <si>
    <t>elc_won_HKG_004</t>
  </si>
  <si>
    <t>elc_won_HND_001</t>
  </si>
  <si>
    <t>elc_won_HND_002</t>
  </si>
  <si>
    <t>elc_won_HND_003</t>
  </si>
  <si>
    <t>elc_won_HRV_001</t>
  </si>
  <si>
    <t>elc_won_HRV_002</t>
  </si>
  <si>
    <t>elc_won_HRV_003</t>
  </si>
  <si>
    <t>elc_won_HRV_004</t>
  </si>
  <si>
    <t>elc_won_HRV_005</t>
  </si>
  <si>
    <t>elc_won_HTI_001</t>
  </si>
  <si>
    <t>elc_won_HTI_002</t>
  </si>
  <si>
    <t>elc_won_HUN_001</t>
  </si>
  <si>
    <t>elc_won_HUN_002</t>
  </si>
  <si>
    <t>elc_won_HUN_003</t>
  </si>
  <si>
    <t>elc_won_HUN_004</t>
  </si>
  <si>
    <t>elc_won_IDN_001</t>
  </si>
  <si>
    <t>elc_won_IDN_002</t>
  </si>
  <si>
    <t>elc_won_IDN_003</t>
  </si>
  <si>
    <t>elc_won_IDN_004</t>
  </si>
  <si>
    <t>elc_won_IDN_005</t>
  </si>
  <si>
    <t>elc_won_IDN_006</t>
  </si>
  <si>
    <t>elc_won_IDN_007</t>
  </si>
  <si>
    <t>elc_won_IDN_008</t>
  </si>
  <si>
    <t>elc_won_IDN_009</t>
  </si>
  <si>
    <t>elc_won_IDN_010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</si>
  <si>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</si>
  <si>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</si>
  <si>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</si>
  <si>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</si>
  <si>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</si>
  <si>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</si>
  <si>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</si>
  <si>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</si>
  <si>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</si>
  <si>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</si>
  <si>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</si>
  <si>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</si>
  <si>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</si>
  <si>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</si>
  <si>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</si>
  <si>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</si>
  <si>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elc_won_IRL_001</t>
  </si>
  <si>
    <t>elc_won_IRL_002</t>
  </si>
  <si>
    <t>elc_won_IRL_003</t>
  </si>
  <si>
    <t>elc_won_IRL_004</t>
  </si>
  <si>
    <t>elc_won_IRN_001</t>
  </si>
  <si>
    <t>elc_won_IRN_002</t>
  </si>
  <si>
    <t>elc_won_IRN_003</t>
  </si>
  <si>
    <t>elc_won_IRN_004</t>
  </si>
  <si>
    <t>elc_won_IRN_005</t>
  </si>
  <si>
    <t>elc_won_IRN_006</t>
  </si>
  <si>
    <t>elc_won_IRN_007</t>
  </si>
  <si>
    <t>elc_won_IRN_008</t>
  </si>
  <si>
    <t>elc_won_IRN_009</t>
  </si>
  <si>
    <t>elc_won_IRN_010</t>
  </si>
  <si>
    <t>elc_won_IRN_011</t>
  </si>
  <si>
    <t>elc_won_IRN_012</t>
  </si>
  <si>
    <t>elc_won_IRQ_001</t>
  </si>
  <si>
    <t>elc_won_IRQ_002</t>
  </si>
  <si>
    <t>elc_won_IRQ_003</t>
  </si>
  <si>
    <t>elc_won_IRQ_004</t>
  </si>
  <si>
    <t>elc_won_IRQ_005</t>
  </si>
  <si>
    <t>elc_won_IRQ_006</t>
  </si>
  <si>
    <t>elc_won_IRQ_007</t>
  </si>
  <si>
    <t>elc_won_IRQ_008</t>
  </si>
  <si>
    <t>elc_won_ISR_001</t>
  </si>
  <si>
    <t>elc_won_ISR_002</t>
  </si>
  <si>
    <t>elc_won_ITA_001</t>
  </si>
  <si>
    <t>elc_won_ITA_002</t>
  </si>
  <si>
    <t>elc_won_ITA_003</t>
  </si>
  <si>
    <t>elc_won_ITA_004</t>
  </si>
  <si>
    <t>elc_won_ITA_005</t>
  </si>
  <si>
    <t>elc_won_ITA_006</t>
  </si>
  <si>
    <t>elc_won_ITA_007</t>
  </si>
  <si>
    <t>elc_won_JAM_001</t>
  </si>
  <si>
    <t>elc_won_JAM_002</t>
  </si>
  <si>
    <t>elc_won_JOR_001</t>
  </si>
  <si>
    <t>elc_won_JOR_002</t>
  </si>
  <si>
    <t>elc_won_JOR_003</t>
  </si>
  <si>
    <t>elc_won_JOR_004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</si>
  <si>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</si>
  <si>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</si>
  <si>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</si>
  <si>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</si>
  <si>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</si>
  <si>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</si>
  <si>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</si>
  <si>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</si>
  <si>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</si>
  <si>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</si>
  <si>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elc_won_KAZ_001</t>
  </si>
  <si>
    <t>elc_won_KAZ_002</t>
  </si>
  <si>
    <t>elc_won_KAZ_003</t>
  </si>
  <si>
    <t>elc_won_KAZ_004</t>
  </si>
  <si>
    <t>elc_won_KAZ_005</t>
  </si>
  <si>
    <t>elc_won_KAZ_006</t>
  </si>
  <si>
    <t>elc_won_KAZ_007</t>
  </si>
  <si>
    <t>elc_won_KAZ_008</t>
  </si>
  <si>
    <t>elc_won_KAZ_009</t>
  </si>
  <si>
    <t>elc_won_KAZ_010</t>
  </si>
  <si>
    <t>elc_won_KAZ_011</t>
  </si>
  <si>
    <t>elc_won_KAZ_012</t>
  </si>
  <si>
    <t>elc_won_KAZ_013</t>
  </si>
  <si>
    <t>elc_won_KAZ_014</t>
  </si>
  <si>
    <t>elc_won_KAZ_015</t>
  </si>
  <si>
    <t>elc_won_KAZ_016</t>
  </si>
  <si>
    <t>elc_won_KAZ_017</t>
  </si>
  <si>
    <t>elc_won_KEN_001</t>
  </si>
  <si>
    <t>elc_won_KEN_002</t>
  </si>
  <si>
    <t>elc_won_KEN_003</t>
  </si>
  <si>
    <t>elc_won_KEN_004</t>
  </si>
  <si>
    <t>elc_won_KEN_005</t>
  </si>
  <si>
    <t>elc_won_KEN_006</t>
  </si>
  <si>
    <t>elc_won_KEN_007</t>
  </si>
  <si>
    <t>elc_won_KEN_008</t>
  </si>
  <si>
    <t>elc_won_KGZ_001</t>
  </si>
  <si>
    <t>elc_won_KGZ_002</t>
  </si>
  <si>
    <t>elc_won_KGZ_003</t>
  </si>
  <si>
    <t>elc_won_KGZ_004</t>
  </si>
  <si>
    <t>elc_won_KGZ_005</t>
  </si>
  <si>
    <t>elc_won_KHM_001</t>
  </si>
  <si>
    <t>elc_won_KHM_002</t>
  </si>
  <si>
    <t>elc_won_KHM_003</t>
  </si>
  <si>
    <t>elc_won_KHM_004</t>
  </si>
  <si>
    <t>elc_won_KOR_001</t>
  </si>
  <si>
    <t>elc_won_KOR_002</t>
  </si>
  <si>
    <t>elc_won_KOR_003</t>
  </si>
  <si>
    <t>elc_won_KOR_004</t>
  </si>
  <si>
    <t>elc_won_KOR_005</t>
  </si>
  <si>
    <t>elc_won_KWT_001</t>
  </si>
  <si>
    <t>elc_won_KWT_002</t>
  </si>
  <si>
    <t>elc_won_LAO_001</t>
  </si>
  <si>
    <t>elc_won_LAO_002</t>
  </si>
  <si>
    <t>elc_won_LAO_003</t>
  </si>
  <si>
    <t>elc_won_LBN_001</t>
  </si>
  <si>
    <t>elc_won_LBN_002</t>
  </si>
  <si>
    <t>elc_won_LBR_001</t>
  </si>
  <si>
    <t>elc_won_LBR_002</t>
  </si>
  <si>
    <t>elc_won_LBR_003</t>
  </si>
  <si>
    <t>elc_won_LBR_004</t>
  </si>
  <si>
    <t>elc_won_LBY_001</t>
  </si>
  <si>
    <t>elc_won_LBY_002</t>
  </si>
  <si>
    <t>elc_won_LBY_003</t>
  </si>
  <si>
    <t>elc_won_LBY_004</t>
  </si>
  <si>
    <t>elc_won_LBY_005</t>
  </si>
  <si>
    <t>elc_won_LBY_006</t>
  </si>
  <si>
    <t>elc_won_LBY_007</t>
  </si>
  <si>
    <t>elc_won_LBY_008</t>
  </si>
  <si>
    <t>elc_won_LBY_009</t>
  </si>
  <si>
    <t>elc_won_LBY_010</t>
  </si>
  <si>
    <t>elc_won_LBY_011</t>
  </si>
  <si>
    <t>elc_won_LBY_012</t>
  </si>
  <si>
    <t>elc_won_LBY_013</t>
  </si>
  <si>
    <t>elc_won_LBY_014</t>
  </si>
  <si>
    <t>elc_won_LKA_001</t>
  </si>
  <si>
    <t>elc_won_LKA_002</t>
  </si>
  <si>
    <t>elc_won_LKA_003</t>
  </si>
  <si>
    <t>elc_won_LSO_001</t>
  </si>
  <si>
    <t>elc_won_LSO_002</t>
  </si>
  <si>
    <t>elc_won_LTU_001</t>
  </si>
  <si>
    <t>elc_won_LTU_002</t>
  </si>
  <si>
    <t>elc_won_LTU_003</t>
  </si>
  <si>
    <t>elc_won_LTU_004</t>
  </si>
  <si>
    <t>elc_won_LUX_001</t>
  </si>
  <si>
    <t>elc_won_LUX_002</t>
  </si>
  <si>
    <t>elc_won_LUX_003</t>
  </si>
  <si>
    <t>elc_won_LUX_004</t>
  </si>
  <si>
    <t>elc_won_LUX_005</t>
  </si>
  <si>
    <t>elc_won_LUX_006</t>
  </si>
  <si>
    <t>elc_won_LVA_001</t>
  </si>
  <si>
    <t>elc_won_LVA_002</t>
  </si>
  <si>
    <t>elc_won_LVA_003</t>
  </si>
  <si>
    <t>elc_won_LVA_004</t>
  </si>
  <si>
    <t>elc_won_MAR_001</t>
  </si>
  <si>
    <t>elc_won_MAR_002</t>
  </si>
  <si>
    <t>elc_won_MAR_003</t>
  </si>
  <si>
    <t>elc_won_MAR_004</t>
  </si>
  <si>
    <t>elc_won_MAR_005</t>
  </si>
  <si>
    <t>elc_won_MAR_006</t>
  </si>
  <si>
    <t>elc_won_MAR_007</t>
  </si>
  <si>
    <t>elc_won_MDA_001</t>
  </si>
  <si>
    <t>elc_won_MDA_002</t>
  </si>
  <si>
    <t>elc_won_MDA_003</t>
  </si>
  <si>
    <t>elc_won_MDG_001</t>
  </si>
  <si>
    <t>elc_won_MDG_002</t>
  </si>
  <si>
    <t>elc_won_MDG_003</t>
  </si>
  <si>
    <t>elc_won_MDG_004</t>
  </si>
  <si>
    <t>elc_won_MDG_005</t>
  </si>
  <si>
    <t>elc_won_MDG_006</t>
  </si>
  <si>
    <t>elc_won_MDG_007</t>
  </si>
  <si>
    <t>elc_won_MDG_008</t>
  </si>
  <si>
    <t>elc_won_MEX_001</t>
  </si>
  <si>
    <t>elc_won_MEX_002</t>
  </si>
  <si>
    <t>elc_won_MEX_003</t>
  </si>
  <si>
    <t>elc_won_MEX_004</t>
  </si>
  <si>
    <t>elc_won_MEX_005</t>
  </si>
  <si>
    <t>elc_won_MEX_006</t>
  </si>
  <si>
    <t>elc_won_MEX_007</t>
  </si>
  <si>
    <t>elc_won_MEX_008</t>
  </si>
  <si>
    <t>elc_won_MEX_009</t>
  </si>
  <si>
    <t>elc_won_MEX_010</t>
  </si>
  <si>
    <t>elc_won_MEX_011</t>
  </si>
  <si>
    <t>elc_won_MEX_012</t>
  </si>
  <si>
    <t>elc_won_MKD_001</t>
  </si>
  <si>
    <t>elc_won_MKD_002</t>
  </si>
  <si>
    <t>elc_won_MKD_003</t>
  </si>
  <si>
    <t>elc_won_MKD_004</t>
  </si>
  <si>
    <t>elc_won_MLI_001</t>
  </si>
  <si>
    <t>elc_won_MLI_002</t>
  </si>
  <si>
    <t>elc_won_MLI_003</t>
  </si>
  <si>
    <t>elc_won_MLI_004</t>
  </si>
  <si>
    <t>elc_won_MLI_005</t>
  </si>
  <si>
    <t>elc_won_MLI_006</t>
  </si>
  <si>
    <t>elc_won_MLI_007</t>
  </si>
  <si>
    <t>elc_won_MLI_008</t>
  </si>
  <si>
    <t>elc_won_MLI_009</t>
  </si>
  <si>
    <t>elc_won_MLI_010</t>
  </si>
  <si>
    <t>elc_won_MLI_011</t>
  </si>
  <si>
    <t>elc_won_MLI_012</t>
  </si>
  <si>
    <t>elc_won_MMR_001</t>
  </si>
  <si>
    <t>elc_won_MMR_002</t>
  </si>
  <si>
    <t>elc_won_MMR_003</t>
  </si>
  <si>
    <t>elc_won_MMR_004</t>
  </si>
  <si>
    <t>elc_won_MMR_005</t>
  </si>
  <si>
    <t>elc_won_MMR_006</t>
  </si>
  <si>
    <t>elc_won_MNE_001</t>
  </si>
  <si>
    <t>elc_won_MNE_002</t>
  </si>
  <si>
    <t>elc_won_MNE_003</t>
  </si>
  <si>
    <t>elc_won_MNG_001</t>
  </si>
  <si>
    <t>elc_won_MNG_002</t>
  </si>
  <si>
    <t>elc_won_MNG_003</t>
  </si>
  <si>
    <t>elc_won_MNG_004</t>
  </si>
  <si>
    <t>elc_won_MNG_005</t>
  </si>
  <si>
    <t>elc_won_MNG_006</t>
  </si>
  <si>
    <t>elc_won_MNG_007</t>
  </si>
  <si>
    <t>elc_won_MNG_008</t>
  </si>
  <si>
    <t>elc_won_MNG_009</t>
  </si>
  <si>
    <t>elc_won_MNG_010</t>
  </si>
  <si>
    <t>elc_won_MNG_011</t>
  </si>
  <si>
    <t>elc_won_MNG_012</t>
  </si>
  <si>
    <t>elc_won_MNG_013</t>
  </si>
  <si>
    <t>elc_won_MOZ_001</t>
  </si>
  <si>
    <t>elc_won_MOZ_002</t>
  </si>
  <si>
    <t>elc_won_MOZ_003</t>
  </si>
  <si>
    <t>elc_won_MOZ_004</t>
  </si>
  <si>
    <t>elc_won_MOZ_005</t>
  </si>
  <si>
    <t>elc_won_MOZ_006</t>
  </si>
  <si>
    <t>elc_won_MOZ_007</t>
  </si>
  <si>
    <t>elc_won_MOZ_008</t>
  </si>
  <si>
    <t>elc_won_MOZ_009</t>
  </si>
  <si>
    <t>elc_won_MRT_001</t>
  </si>
  <si>
    <t>elc_won_MRT_002</t>
  </si>
  <si>
    <t>elc_won_MRT_003</t>
  </si>
  <si>
    <t>elc_won_MRT_004</t>
  </si>
  <si>
    <t>elc_won_MRT_005</t>
  </si>
  <si>
    <t>elc_won_MRT_006</t>
  </si>
  <si>
    <t>elc_won_MRT_007</t>
  </si>
  <si>
    <t>elc_won_MRT_008</t>
  </si>
  <si>
    <t>elc_won_MRT_009</t>
  </si>
  <si>
    <t>elc_won_MRT_010</t>
  </si>
  <si>
    <t>elc_won_MRT_011</t>
  </si>
  <si>
    <t>elc_won_MWI_001</t>
  </si>
  <si>
    <t>elc_won_MWI_002</t>
  </si>
  <si>
    <t>elc_won_MWI_003</t>
  </si>
  <si>
    <t>elc_won_MWI_004</t>
  </si>
  <si>
    <t>elc_won_MYS_001</t>
  </si>
  <si>
    <t>elc_won_MYS_002</t>
  </si>
  <si>
    <t>elc_won_MYS_003</t>
  </si>
  <si>
    <t>elc_won_NAM_001</t>
  </si>
  <si>
    <t>elc_won_NAM_002</t>
  </si>
  <si>
    <t>elc_won_NAM_003</t>
  </si>
  <si>
    <t>elc_won_NAM_004</t>
  </si>
  <si>
    <t>elc_won_NAM_005</t>
  </si>
  <si>
    <t>elc_won_NAM_006</t>
  </si>
  <si>
    <t>elc_won_NAM_007</t>
  </si>
  <si>
    <t>elc_won_NAM_008</t>
  </si>
  <si>
    <t>elc_won_NAM_009</t>
  </si>
  <si>
    <t>elc_won_NAM_010</t>
  </si>
  <si>
    <t>elc_won_NCL_001</t>
  </si>
  <si>
    <t>elc_won_NCL_002</t>
  </si>
  <si>
    <t>elc_won_NCL_003</t>
  </si>
  <si>
    <t>elc_won_NER_001</t>
  </si>
  <si>
    <t>elc_won_NER_002</t>
  </si>
  <si>
    <t>elc_won_NER_003</t>
  </si>
  <si>
    <t>elc_won_NER_004</t>
  </si>
  <si>
    <t>elc_won_NER_005</t>
  </si>
  <si>
    <t>elc_won_NER_006</t>
  </si>
  <si>
    <t>elc_won_NER_007</t>
  </si>
  <si>
    <t>elc_won_NER_008</t>
  </si>
  <si>
    <t>elc_won_NER_009</t>
  </si>
  <si>
    <t>elc_won_NER_010</t>
  </si>
  <si>
    <t>elc_won_NER_011</t>
  </si>
  <si>
    <t>elc_won_NER_012</t>
  </si>
  <si>
    <t>elc_won_NGA_001</t>
  </si>
  <si>
    <t>elc_won_NGA_002</t>
  </si>
  <si>
    <t>elc_won_NGA_003</t>
  </si>
  <si>
    <t>elc_won_NGA_004</t>
  </si>
  <si>
    <t>elc_won_NGA_005</t>
  </si>
  <si>
    <t>elc_won_NGA_006</t>
  </si>
  <si>
    <t>elc_won_NGA_007</t>
  </si>
  <si>
    <t>elc_won_NGA_008</t>
  </si>
  <si>
    <t>elc_won_NGA_009</t>
  </si>
  <si>
    <t>elc_won_NIC_001</t>
  </si>
  <si>
    <t>elc_won_NIC_002</t>
  </si>
  <si>
    <t>elc_won_NIC_003</t>
  </si>
  <si>
    <t>elc_won_NIC_004</t>
  </si>
  <si>
    <t>elc_won_NLD_001</t>
  </si>
  <si>
    <t>elc_won_NLD_002</t>
  </si>
  <si>
    <t>elc_won_NLD_003</t>
  </si>
  <si>
    <t>elc_won_NOR_001</t>
  </si>
  <si>
    <t>elc_won_NOR_002</t>
  </si>
  <si>
    <t>elc_won_NOR_003</t>
  </si>
  <si>
    <t>elc_won_NOR_004</t>
  </si>
  <si>
    <t>elc_won_NPL_001</t>
  </si>
  <si>
    <t>elc_won_NPL_002</t>
  </si>
  <si>
    <t>elc_won_NZL_001</t>
  </si>
  <si>
    <t>elc_won_NZL_002</t>
  </si>
  <si>
    <t>elc_won_NZL_003</t>
  </si>
  <si>
    <t>elc_won_NZL_004</t>
  </si>
  <si>
    <t>elc_won_NZL_005</t>
  </si>
  <si>
    <t>elc_won_NZL_006</t>
  </si>
  <si>
    <t>elc_won_OMN_001</t>
  </si>
  <si>
    <t>elc_won_OMN_002</t>
  </si>
  <si>
    <t>elc_won_OMN_003</t>
  </si>
  <si>
    <t>elc_won_OMN_004</t>
  </si>
  <si>
    <t>elc_won_OMN_005</t>
  </si>
  <si>
    <t>elc_won_OMN_006</t>
  </si>
  <si>
    <t>elc_won_OMN_007</t>
  </si>
  <si>
    <t>elc_won_PAK_001</t>
  </si>
  <si>
    <t>elc_won_PAK_002</t>
  </si>
  <si>
    <t>elc_won_PAK_003</t>
  </si>
  <si>
    <t>elc_won_PAK_004</t>
  </si>
  <si>
    <t>elc_won_PAK_005</t>
  </si>
  <si>
    <t>elc_won_PAK_006</t>
  </si>
  <si>
    <t>elc_won_PAK_007</t>
  </si>
  <si>
    <t>elc_won_PAK_008</t>
  </si>
  <si>
    <t>elc_won_PAN_001</t>
  </si>
  <si>
    <t>elc_won_PAN_002</t>
  </si>
  <si>
    <t>elc_won_PAN_003</t>
  </si>
  <si>
    <t>elc_won_PER_001</t>
  </si>
  <si>
    <t>elc_won_PER_002</t>
  </si>
  <si>
    <t>elc_won_PER_003</t>
  </si>
  <si>
    <t>elc_won_PER_004</t>
  </si>
  <si>
    <t>elc_won_PHL_001</t>
  </si>
  <si>
    <t>elc_won_PHL_002</t>
  </si>
  <si>
    <t>elc_won_PHL_003</t>
  </si>
  <si>
    <t>elc_won_PHL_004</t>
  </si>
  <si>
    <t>elc_won_PHL_005</t>
  </si>
  <si>
    <t>elc_won_PHL_006</t>
  </si>
  <si>
    <t>elc_won_PHL_007</t>
  </si>
  <si>
    <t>elc_won_PHL_008</t>
  </si>
  <si>
    <t>elc_won_PNG_001</t>
  </si>
  <si>
    <t>elc_won_PNG_002</t>
  </si>
  <si>
    <t>elc_won_PNG_003</t>
  </si>
  <si>
    <t>elc_won_PNG_004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</si>
  <si>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</si>
  <si>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</si>
  <si>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</si>
  <si>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</si>
  <si>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</si>
  <si>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</si>
  <si>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</si>
  <si>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elc_won_PRI_001</t>
  </si>
  <si>
    <t>elc_won_PRI_002</t>
  </si>
  <si>
    <t>elc_won_PRI_003</t>
  </si>
  <si>
    <t>elc_won_PRK_001</t>
  </si>
  <si>
    <t>elc_won_PRK_002</t>
  </si>
  <si>
    <t>elc_won_PRK_003</t>
  </si>
  <si>
    <t>elc_won_PRK_004</t>
  </si>
  <si>
    <t>elc_won_PRK_005</t>
  </si>
  <si>
    <t>elc_won_PRT_001</t>
  </si>
  <si>
    <t>elc_won_PRT_002</t>
  </si>
  <si>
    <t>elc_won_PRT_003</t>
  </si>
  <si>
    <t>elc_won_PRT_004</t>
  </si>
  <si>
    <t>elc_won_PRT_005</t>
  </si>
  <si>
    <t>elc_won_PRY_001</t>
  </si>
  <si>
    <t>elc_won_PRY_002</t>
  </si>
  <si>
    <t>elc_won_PRY_003</t>
  </si>
  <si>
    <t>elc_won_PRY_004</t>
  </si>
  <si>
    <t>elc_won_PRY_005</t>
  </si>
  <si>
    <t>elc_won_PRY_006</t>
  </si>
  <si>
    <t>elc_won_PRY_007</t>
  </si>
  <si>
    <t>elc_won_PRY_008</t>
  </si>
  <si>
    <t>elc_won_QAT_001</t>
  </si>
  <si>
    <t>elc_won_QAT_002</t>
  </si>
  <si>
    <t>elc_won_ROU_001</t>
  </si>
  <si>
    <t>elc_won_ROU_002</t>
  </si>
  <si>
    <t>elc_won_ROU_003</t>
  </si>
  <si>
    <t>elc_won_ROU_004</t>
  </si>
  <si>
    <t>elc_won_ROU_005</t>
  </si>
  <si>
    <t>elc_won_ROU_006</t>
  </si>
  <si>
    <t>elc_won_RUS_001</t>
  </si>
  <si>
    <t>elc_won_RUS_002</t>
  </si>
  <si>
    <t>elc_won_RUS_003</t>
  </si>
  <si>
    <t>elc_won_RUS_004</t>
  </si>
  <si>
    <t>elc_won_RUS_005</t>
  </si>
  <si>
    <t>elc_won_RUS_006</t>
  </si>
  <si>
    <t>elc_won_RUS_007</t>
  </si>
  <si>
    <t>elc_won_RUS_008</t>
  </si>
  <si>
    <t>elc_won_RUS_009</t>
  </si>
  <si>
    <t>elc_won_RUS_010</t>
  </si>
  <si>
    <t>elc_won_RUS_011</t>
  </si>
  <si>
    <t>elc_won_RUS_012</t>
  </si>
  <si>
    <t>elc_won_RUS_013</t>
  </si>
  <si>
    <t>elc_won_RUS_014</t>
  </si>
  <si>
    <t>elc_won_RUS_015</t>
  </si>
  <si>
    <t>elc_won_RUS_016</t>
  </si>
  <si>
    <t>elc_won_RUS_017</t>
  </si>
  <si>
    <t>elc_won_RUS_018</t>
  </si>
  <si>
    <t>elc_won_RUS_019</t>
  </si>
  <si>
    <t>elc_won_RUS_020</t>
  </si>
  <si>
    <t>elc_won_RUS_021</t>
  </si>
  <si>
    <t>elc_won_RUS_022</t>
  </si>
  <si>
    <t>elc_won_RUS_023</t>
  </si>
  <si>
    <t>elc_won_RWA_001</t>
  </si>
  <si>
    <t>elc_won_RWA_002</t>
  </si>
  <si>
    <t>elc_won_SAU_001</t>
  </si>
  <si>
    <t>elc_won_SAU_002</t>
  </si>
  <si>
    <t>elc_won_SAU_003</t>
  </si>
  <si>
    <t>elc_won_SAU_004</t>
  </si>
  <si>
    <t>elc_won_SAU_005</t>
  </si>
  <si>
    <t>elc_won_SAU_006</t>
  </si>
  <si>
    <t>elc_won_SAU_007</t>
  </si>
  <si>
    <t>elc_won_SAU_008</t>
  </si>
  <si>
    <t>elc_won_SAU_009</t>
  </si>
  <si>
    <t>elc_won_SAU_010</t>
  </si>
  <si>
    <t>elc_won_SAU_011</t>
  </si>
  <si>
    <t>elc_won_SAU_012</t>
  </si>
  <si>
    <t>elc_won_SAU_013</t>
  </si>
  <si>
    <t>elc_won_SAU_014</t>
  </si>
  <si>
    <t>elc_won_SDN_001</t>
  </si>
  <si>
    <t>elc_won_SDN_002</t>
  </si>
  <si>
    <t>elc_won_SDN_003</t>
  </si>
  <si>
    <t>elc_won_SDN_004</t>
  </si>
  <si>
    <t>elc_won_SDN_005</t>
  </si>
  <si>
    <t>elc_won_SDN_006</t>
  </si>
  <si>
    <t>elc_won_SDN_007</t>
  </si>
  <si>
    <t>elc_won_SDN_008</t>
  </si>
  <si>
    <t>elc_won_SDN_009</t>
  </si>
  <si>
    <t>elc_won_SDN_010</t>
  </si>
  <si>
    <t>elc_won_SDN_011</t>
  </si>
  <si>
    <t>elc_won_SDN_012</t>
  </si>
  <si>
    <t>elc_won_SDN_013</t>
  </si>
  <si>
    <t>elc_won_SDN_014</t>
  </si>
  <si>
    <t>elc_won_SEN_001</t>
  </si>
  <si>
    <t>elc_won_SEN_002</t>
  </si>
  <si>
    <t>elc_won_SEN_003</t>
  </si>
  <si>
    <t>elc_won_SEN_004</t>
  </si>
  <si>
    <t>elc_won_SEN_005</t>
  </si>
  <si>
    <t>elc_won_SEN_006</t>
  </si>
  <si>
    <t>elc_won_SGP_001</t>
  </si>
  <si>
    <t>elc_won_SGP_002</t>
  </si>
  <si>
    <t>elc_won_SLE_001</t>
  </si>
  <si>
    <t>elc_won_SLE_002</t>
  </si>
  <si>
    <t>elc_won_SLV_001</t>
  </si>
  <si>
    <t>elc_won_SLV_002</t>
  </si>
  <si>
    <t>elc_won_SOM_001</t>
  </si>
  <si>
    <t>elc_won_SOM_002</t>
  </si>
  <si>
    <t>elc_won_SOM_003</t>
  </si>
  <si>
    <t>elc_won_SOM_004</t>
  </si>
  <si>
    <t>elc_won_SOM_005</t>
  </si>
  <si>
    <t>elc_won_SOM_006</t>
  </si>
  <si>
    <t>elc_won_SOM_007</t>
  </si>
  <si>
    <t>elc_won_SOM_008</t>
  </si>
  <si>
    <t>elc_won_SOM_009</t>
  </si>
  <si>
    <t>elc_won_SRB_001</t>
  </si>
  <si>
    <t>elc_won_SRB_002</t>
  </si>
  <si>
    <t>elc_won_SRB_003</t>
  </si>
  <si>
    <t>elc_won_SRB_004</t>
  </si>
  <si>
    <t>elc_won_SRB_005</t>
  </si>
  <si>
    <t>elc_won_SRB_006</t>
  </si>
  <si>
    <t>elc_won_SSD_001</t>
  </si>
  <si>
    <t>elc_won_SSD_002</t>
  </si>
  <si>
    <t>elc_won_SSD_003</t>
  </si>
  <si>
    <t>elc_won_SSD_004</t>
  </si>
  <si>
    <t>elc_won_SSD_005</t>
  </si>
  <si>
    <t>elc_won_SSD_006</t>
  </si>
  <si>
    <t>elc_won_SUR_001</t>
  </si>
  <si>
    <t>elc_won_SUR_002</t>
  </si>
  <si>
    <t>elc_won_SVK_001</t>
  </si>
  <si>
    <t>elc_won_SVK_002</t>
  </si>
  <si>
    <t>elc_won_SVK_003</t>
  </si>
  <si>
    <t>elc_won_SVN_001</t>
  </si>
  <si>
    <t>elc_won_SVN_002</t>
  </si>
  <si>
    <t>elc_won_SWE_001</t>
  </si>
  <si>
    <t>elc_won_SWE_002</t>
  </si>
  <si>
    <t>elc_won_SWE_003</t>
  </si>
  <si>
    <t>elc_won_SWE_004</t>
  </si>
  <si>
    <t>elc_won_SWE_005</t>
  </si>
  <si>
    <t>elc_won_SYR_001</t>
  </si>
  <si>
    <t>elc_won_SYR_002</t>
  </si>
  <si>
    <t>elc_won_SYR_003</t>
  </si>
  <si>
    <t>elc_won_SYR_004</t>
  </si>
  <si>
    <t>elc_won_SYR_005</t>
  </si>
  <si>
    <t>elc_won_SYR_006</t>
  </si>
  <si>
    <t>elc_won_TCD_001</t>
  </si>
  <si>
    <t>elc_won_TCD_002</t>
  </si>
  <si>
    <t>elc_won_TCD_003</t>
  </si>
  <si>
    <t>elc_won_TCD_004</t>
  </si>
  <si>
    <t>elc_won_TCD_005</t>
  </si>
  <si>
    <t>elc_won_TCD_006</t>
  </si>
  <si>
    <t>elc_won_TCD_007</t>
  </si>
  <si>
    <t>elc_won_TCD_008</t>
  </si>
  <si>
    <t>elc_won_TCD_009</t>
  </si>
  <si>
    <t>elc_won_TCD_010</t>
  </si>
  <si>
    <t>elc_won_TCD_011</t>
  </si>
  <si>
    <t>elc_won_TCD_012</t>
  </si>
  <si>
    <t>elc_won_TGO_001</t>
  </si>
  <si>
    <t>elc_won_TGO_002</t>
  </si>
  <si>
    <t>elc_won_THA_001</t>
  </si>
  <si>
    <t>elc_won_THA_002</t>
  </si>
  <si>
    <t>elc_won_THA_003</t>
  </si>
  <si>
    <t>elc_won_THA_004</t>
  </si>
  <si>
    <t>elc_won_THA_005</t>
  </si>
  <si>
    <t>elc_won_THA_006</t>
  </si>
  <si>
    <t>elc_won_TJK_001</t>
  </si>
  <si>
    <t>elc_won_TJK_002</t>
  </si>
  <si>
    <t>elc_won_TJK_003</t>
  </si>
  <si>
    <t>elc_won_TJK_004</t>
  </si>
  <si>
    <t>elc_won_TKM_001</t>
  </si>
  <si>
    <t>elc_won_TKM_002</t>
  </si>
  <si>
    <t>elc_won_TKM_003</t>
  </si>
  <si>
    <t>elc_won_TKM_004</t>
  </si>
  <si>
    <t>elc_won_TKM_005</t>
  </si>
  <si>
    <t>elc_won_TKM_006</t>
  </si>
  <si>
    <t>elc_won_TKM_007</t>
  </si>
  <si>
    <t>elc_won_TKM_008</t>
  </si>
  <si>
    <t>elc_won_TTO_001</t>
  </si>
  <si>
    <t>elc_won_TTO_002</t>
  </si>
  <si>
    <t>elc_won_TUN_001</t>
  </si>
  <si>
    <t>elc_won_TUN_002</t>
  </si>
  <si>
    <t>elc_won_TUN_003</t>
  </si>
  <si>
    <t>elc_won_TUN_004</t>
  </si>
  <si>
    <t>elc_won_TUN_005</t>
  </si>
  <si>
    <t>elc_won_TUR_001</t>
  </si>
  <si>
    <t>elc_won_TUR_002</t>
  </si>
  <si>
    <t>elc_won_TUR_003</t>
  </si>
  <si>
    <t>elc_won_TUR_004</t>
  </si>
  <si>
    <t>elc_won_TUR_005</t>
  </si>
  <si>
    <t>elc_won_TUR_006</t>
  </si>
  <si>
    <t>elc_won_TUR_007</t>
  </si>
  <si>
    <t>elc_won_TWN_001</t>
  </si>
  <si>
    <t>elc_won_TWN_002</t>
  </si>
  <si>
    <t>elc_won_TWN_003</t>
  </si>
  <si>
    <t>elc_won_TZA_001</t>
  </si>
  <si>
    <t>elc_won_TZA_002</t>
  </si>
  <si>
    <t>elc_won_TZA_003</t>
  </si>
  <si>
    <t>elc_won_TZA_004</t>
  </si>
  <si>
    <t>elc_won_TZA_005</t>
  </si>
  <si>
    <t>elc_won_TZA_006</t>
  </si>
  <si>
    <t>elc_won_TZA_007</t>
  </si>
  <si>
    <t>elc_won_UGA_001</t>
  </si>
  <si>
    <t>elc_won_UGA_002</t>
  </si>
  <si>
    <t>elc_won_UKR_001</t>
  </si>
  <si>
    <t>elc_won_UKR_002</t>
  </si>
  <si>
    <t>elc_won_UKR_003</t>
  </si>
  <si>
    <t>elc_won_UKR_004</t>
  </si>
  <si>
    <t>elc_won_UKR_005</t>
  </si>
  <si>
    <t>elc_won_UKR_006</t>
  </si>
  <si>
    <t>elc_won_UKR_007</t>
  </si>
  <si>
    <t>elc_won_UKR_008</t>
  </si>
  <si>
    <t>elc_won_UKR_009</t>
  </si>
  <si>
    <t>elc_won_URY_001</t>
  </si>
  <si>
    <t>elc_won_URY_002</t>
  </si>
  <si>
    <t>elc_won_URY_003</t>
  </si>
  <si>
    <t>elc_won_URY_004</t>
  </si>
  <si>
    <t>elc_won_URY_005</t>
  </si>
  <si>
    <t>elc_won_USA_001</t>
  </si>
  <si>
    <t>elc_won_USA_002</t>
  </si>
  <si>
    <t>elc_won_USA_003</t>
  </si>
  <si>
    <t>elc_won_USA_004</t>
  </si>
  <si>
    <t>elc_won_USA_005</t>
  </si>
  <si>
    <t>elc_won_USA_006</t>
  </si>
  <si>
    <t>elc_won_USA_007</t>
  </si>
  <si>
    <t>elc_won_USA_008</t>
  </si>
  <si>
    <t>elc_won_USA_009</t>
  </si>
  <si>
    <t>elc_won_USA_010</t>
  </si>
  <si>
    <t>elc_won_USA_011</t>
  </si>
  <si>
    <t>elc_won_USA_012</t>
  </si>
  <si>
    <t>elc_won_USA_013</t>
  </si>
  <si>
    <t>elc_won_USA_014</t>
  </si>
  <si>
    <t>elc_won_USA_015</t>
  </si>
  <si>
    <t>elc_won_USA_016</t>
  </si>
  <si>
    <t>elc_won_USA_017</t>
  </si>
  <si>
    <t>elc_won_USA_018</t>
  </si>
  <si>
    <t>elc_won_USA_019</t>
  </si>
  <si>
    <t>elc_won_USA_020</t>
  </si>
  <si>
    <t>elc_won_USA_021</t>
  </si>
  <si>
    <t>elc_won_USA_022</t>
  </si>
  <si>
    <t>elc_won_USA_023</t>
  </si>
  <si>
    <t>elc_won_USA_024</t>
  </si>
  <si>
    <t>elc_won_USA_025</t>
  </si>
  <si>
    <t>elc_won_USA_026</t>
  </si>
  <si>
    <t>elc_won_UZB_001</t>
  </si>
  <si>
    <t>elc_won_UZB_002</t>
  </si>
  <si>
    <t>elc_won_UZB_003</t>
  </si>
  <si>
    <t>elc_won_UZB_004</t>
  </si>
  <si>
    <t>elc_won_UZB_005</t>
  </si>
  <si>
    <t>elc_won_UZB_006</t>
  </si>
  <si>
    <t>elc_won_UZB_007</t>
  </si>
  <si>
    <t>elc_won_UZB_008</t>
  </si>
  <si>
    <t>elc_won_VEN_001</t>
  </si>
  <si>
    <t>elc_won_VEN_002</t>
  </si>
  <si>
    <t>elc_won_VEN_003</t>
  </si>
  <si>
    <t>elc_won_VEN_004</t>
  </si>
  <si>
    <t>elc_won_VEN_005</t>
  </si>
  <si>
    <t>elc_won_VEN_006</t>
  </si>
  <si>
    <t>elc_won_VEN_007</t>
  </si>
  <si>
    <t>elc_won_VNM_001</t>
  </si>
  <si>
    <t>elc_won_VNM_002</t>
  </si>
  <si>
    <t>elc_won_VNM_003</t>
  </si>
  <si>
    <t>elc_won_VNM_004</t>
  </si>
  <si>
    <t>elc_won_VNM_005</t>
  </si>
  <si>
    <t>elc_won_VNM_006</t>
  </si>
  <si>
    <t>elc_won_YEM_001</t>
  </si>
  <si>
    <t>elc_won_YEM_002</t>
  </si>
  <si>
    <t>elc_won_YEM_003</t>
  </si>
  <si>
    <t>elc_won_YEM_004</t>
  </si>
  <si>
    <t>elc_won_YEM_005</t>
  </si>
  <si>
    <t>elc_won_YEM_006</t>
  </si>
  <si>
    <t>elc_won_YEM_007</t>
  </si>
  <si>
    <t>elc_won_YEM_008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</si>
  <si>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</si>
  <si>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</si>
  <si>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</si>
  <si>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</si>
  <si>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</si>
  <si>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</si>
  <si>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</si>
  <si>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</si>
  <si>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</si>
  <si>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</si>
  <si>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</si>
  <si>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</si>
  <si>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elc_won_ZMB_001</t>
  </si>
  <si>
    <t>elc_won_ZMB_002</t>
  </si>
  <si>
    <t>elc_won_ZMB_003</t>
  </si>
  <si>
    <t>elc_won_ZMB_004</t>
  </si>
  <si>
    <t>elc_won_ZMB_005</t>
  </si>
  <si>
    <t>elc_won_ZMB_006</t>
  </si>
  <si>
    <t>elc_won_ZMB_007</t>
  </si>
  <si>
    <t>elc_won_ZMB_008</t>
  </si>
  <si>
    <t>elc_won_ZMB_009</t>
  </si>
  <si>
    <t>elc_won_ZWE_001</t>
  </si>
  <si>
    <t>elc_won_ZWE_002</t>
  </si>
  <si>
    <t>elc_won_ZWE_003</t>
  </si>
  <si>
    <t>elc_won_ZWE_004</t>
  </si>
  <si>
    <t>elc_won_ZWE_005</t>
  </si>
  <si>
    <t>elc_won_ZWE_006</t>
  </si>
  <si>
    <t>elc_won_ZWE_007</t>
  </si>
  <si>
    <t>elcagg_won_AFG</t>
  </si>
  <si>
    <t>wind onshore aggregator to grid -- Afghanistan</t>
  </si>
  <si>
    <t>elcagg_won_AGO</t>
  </si>
  <si>
    <t>wind onshore aggregator to grid -- Angola</t>
  </si>
  <si>
    <t>elcagg_won_ALB</t>
  </si>
  <si>
    <t>wind onshore aggregator to grid -- Albania</t>
  </si>
  <si>
    <t>elcagg_won_ARE</t>
  </si>
  <si>
    <t>wind onshore aggregator to grid -- United Arab Emirates</t>
  </si>
  <si>
    <t>elcagg_won_ARG</t>
  </si>
  <si>
    <t>wind onshore aggregator to grid -- Argentina</t>
  </si>
  <si>
    <t>elcagg_won_ARM</t>
  </si>
  <si>
    <t>wind onshore aggregator to grid -- Armenia</t>
  </si>
  <si>
    <t>elcagg_won_AUS</t>
  </si>
  <si>
    <t>wind onshore aggregator to grid -- Australia</t>
  </si>
  <si>
    <t>elcagg_won_AUT</t>
  </si>
  <si>
    <t>wind onshore aggregator to grid -- Austria</t>
  </si>
  <si>
    <t>elcagg_won_AZE</t>
  </si>
  <si>
    <t>wind onshore aggregator to grid -- Azerbaijan</t>
  </si>
  <si>
    <t>elcagg_won_BDI</t>
  </si>
  <si>
    <t>wind onshore aggregator to grid -- Burundi</t>
  </si>
  <si>
    <t>elcagg_won_BEL</t>
  </si>
  <si>
    <t>wind onshore aggregator to grid -- Belgium</t>
  </si>
  <si>
    <t>elcagg_won_BEN</t>
  </si>
  <si>
    <t>wind onshore aggregator to grid -- Benin</t>
  </si>
  <si>
    <t>elcagg_won_BFA</t>
  </si>
  <si>
    <t>wind onshore aggregator to grid -- Burkina Faso</t>
  </si>
  <si>
    <t>elcagg_won_BGD</t>
  </si>
  <si>
    <t>wind onshore aggregator to grid -- Bangladesh</t>
  </si>
  <si>
    <t>elcagg_won_BGR</t>
  </si>
  <si>
    <t>wind onshore aggregator to grid -- Bulgaria</t>
  </si>
  <si>
    <t>elcagg_won_BIH</t>
  </si>
  <si>
    <t>wind onshore aggregator to grid -- Bosnia and Herzegovina</t>
  </si>
  <si>
    <t>elcagg_won_BLR</t>
  </si>
  <si>
    <t>wind onshore aggregator to grid -- Belarus</t>
  </si>
  <si>
    <t>elcagg_won_BOL</t>
  </si>
  <si>
    <t>wind onshore aggregator to grid -- Bolivia</t>
  </si>
  <si>
    <t>elcagg_won_BRA</t>
  </si>
  <si>
    <t>wind onshore aggregator to grid -- Brazil</t>
  </si>
  <si>
    <t>elcagg_won_BWA</t>
  </si>
  <si>
    <t>wind onshore aggregator to grid -- Botswana</t>
  </si>
  <si>
    <t>elcagg_won_CAF</t>
  </si>
  <si>
    <t>wind onshore aggregator to grid -- Central African Republic</t>
  </si>
  <si>
    <t>elcagg_won_CAN</t>
  </si>
  <si>
    <t>wind onshore aggregator to grid -- Canada</t>
  </si>
  <si>
    <t>elcagg_won_CHE</t>
  </si>
  <si>
    <t>wind onshore aggregator to grid -- Switzerland</t>
  </si>
  <si>
    <t>elcagg_won_CHL</t>
  </si>
  <si>
    <t>wind onshore aggregator to grid -- Chile</t>
  </si>
  <si>
    <t>elcagg_won_CHN</t>
  </si>
  <si>
    <t>wind onshore aggregator to grid -- China</t>
  </si>
  <si>
    <t>elcagg_won_CIV</t>
  </si>
  <si>
    <t>wind onshore aggregator to grid -- Ivory Coast</t>
  </si>
  <si>
    <t>elcagg_won_CMR</t>
  </si>
  <si>
    <t>wind onshore aggregator to grid -- Cameroon</t>
  </si>
  <si>
    <t>elcagg_won_COD</t>
  </si>
  <si>
    <t>wind onshore aggregator to grid -- Democratic Republic of Congo</t>
  </si>
  <si>
    <t>elcagg_won_COG</t>
  </si>
  <si>
    <t>wind onshore aggregator to grid -- Republic of Congo</t>
  </si>
  <si>
    <t>elcagg_won_COL</t>
  </si>
  <si>
    <t>wind onshore aggregator to grid -- Colombia</t>
  </si>
  <si>
    <t>elcagg_won_CRI</t>
  </si>
  <si>
    <t>wind onshore aggregator to grid -- Costa Rica</t>
  </si>
  <si>
    <t>elcagg_won_CUB</t>
  </si>
  <si>
    <t>wind onshore aggregator to grid -- Cuba</t>
  </si>
  <si>
    <t>elcagg_won_CZE</t>
  </si>
  <si>
    <t>wind onshore aggregator to grid -- Czech Republic</t>
  </si>
  <si>
    <t>elcagg_won_DEU</t>
  </si>
  <si>
    <t>wind onshore aggregator to grid -- Germany</t>
  </si>
  <si>
    <t>elcagg_won_DJI</t>
  </si>
  <si>
    <t>wind onshore aggregator to grid -- Djibouti</t>
  </si>
  <si>
    <t>elcagg_won_DNK</t>
  </si>
  <si>
    <t>wind onshore aggregator to grid -- Denmark</t>
  </si>
  <si>
    <t>elcagg_won_DOM</t>
  </si>
  <si>
    <t>wind onshore aggregator to grid -- Dominican Republic</t>
  </si>
  <si>
    <t>elcagg_won_DZA</t>
  </si>
  <si>
    <t>wind onshore aggregator to grid -- Algeria</t>
  </si>
  <si>
    <t>elcagg_won_ECU</t>
  </si>
  <si>
    <t>wind onshore aggregator to grid -- Ecuador</t>
  </si>
  <si>
    <t>elcagg_won_EGY</t>
  </si>
  <si>
    <t>wind onshore aggregator to grid -- Egypt</t>
  </si>
  <si>
    <t>elcagg_won_ERI</t>
  </si>
  <si>
    <t>wind onshore aggregator to grid -- Eritrea</t>
  </si>
  <si>
    <t>elcagg_won_ESP</t>
  </si>
  <si>
    <t>wind onshore aggregator to grid -- Spain</t>
  </si>
  <si>
    <t>elcagg_won_EST</t>
  </si>
  <si>
    <t>wind onshore aggregator to grid -- Estonia</t>
  </si>
  <si>
    <t>elcagg_won_ETH</t>
  </si>
  <si>
    <t>wind onshore aggregator to grid -- Ethiopia</t>
  </si>
  <si>
    <t>elcagg_won_FIN</t>
  </si>
  <si>
    <t>wind onshore aggregator to grid -- Finland</t>
  </si>
  <si>
    <t>elcagg_won_FRA</t>
  </si>
  <si>
    <t>wind onshore aggregator to grid -- France</t>
  </si>
  <si>
    <t>elcagg_won_GAB</t>
  </si>
  <si>
    <t>wind onshore aggregator to grid -- Gabon</t>
  </si>
  <si>
    <t>elcagg_won_GBR</t>
  </si>
  <si>
    <t>wind onshore aggregator to grid -- United Kingdom</t>
  </si>
  <si>
    <t>elcagg_won_GEO</t>
  </si>
  <si>
    <t>wind onshore aggregator to grid -- Georgia</t>
  </si>
  <si>
    <t>elcagg_won_GHA</t>
  </si>
  <si>
    <t>wind onshore aggregator to grid -- Ghana</t>
  </si>
  <si>
    <t>elcagg_won_GIN</t>
  </si>
  <si>
    <t>wind onshore aggregator to grid -- Guinea</t>
  </si>
  <si>
    <t>elcagg_won_GNB</t>
  </si>
  <si>
    <t>wind onshore aggregator to grid -- Guinea-Bissau</t>
  </si>
  <si>
    <t>elcagg_won_GNQ</t>
  </si>
  <si>
    <t>wind onshore aggregator to grid -- Equatorial Guinea</t>
  </si>
  <si>
    <t>elcagg_won_GRC</t>
  </si>
  <si>
    <t>wind onshore aggregator to grid -- Greece</t>
  </si>
  <si>
    <t>elcagg_won_GTM</t>
  </si>
  <si>
    <t>wind onshore aggregator to grid -- Guatemala</t>
  </si>
  <si>
    <t>elcagg_won_GUY</t>
  </si>
  <si>
    <t>wind onshore aggregator to grid -- Guyana</t>
  </si>
  <si>
    <t>elcagg_won_HKG</t>
  </si>
  <si>
    <t>wind onshore aggregator to grid -- Hong Kong SAR, China</t>
  </si>
  <si>
    <t>elcagg_won_HND</t>
  </si>
  <si>
    <t>wind onshore aggregator to grid -- Honduras</t>
  </si>
  <si>
    <t>elcagg_won_HRV</t>
  </si>
  <si>
    <t>wind onshore aggregator to grid -- Croatia</t>
  </si>
  <si>
    <t>elcagg_won_HTI</t>
  </si>
  <si>
    <t>wind onshore aggregator to grid -- Haiti</t>
  </si>
  <si>
    <t>elcagg_won_HUN</t>
  </si>
  <si>
    <t>wind onshore aggregator to grid -- Hungary</t>
  </si>
  <si>
    <t>elcagg_won_IDN</t>
  </si>
  <si>
    <t>wind onshore aggregator to grid -- Indonesia</t>
  </si>
  <si>
    <t>elcagg_won_IND</t>
  </si>
  <si>
    <t>wind onshore aggregator to grid -- India</t>
  </si>
  <si>
    <t>elcagg_won_IRL</t>
  </si>
  <si>
    <t>wind onshore aggregator to grid -- Ireland</t>
  </si>
  <si>
    <t>elcagg_won_IRN</t>
  </si>
  <si>
    <t>wind onshore aggregator to grid -- Iran</t>
  </si>
  <si>
    <t>elcagg_won_IRQ</t>
  </si>
  <si>
    <t>wind onshore aggregator to grid -- Iraq</t>
  </si>
  <si>
    <t>elcagg_won_ISR</t>
  </si>
  <si>
    <t>wind onshore aggregator to grid -- Israel</t>
  </si>
  <si>
    <t>elcagg_won_ITA</t>
  </si>
  <si>
    <t>wind onshore aggregator to grid -- Italy</t>
  </si>
  <si>
    <t>elcagg_won_JAM</t>
  </si>
  <si>
    <t>wind onshore aggregator to grid -- Jamaica</t>
  </si>
  <si>
    <t>elcagg_won_JOR</t>
  </si>
  <si>
    <t>wind onshore aggregator to grid -- Jordan</t>
  </si>
  <si>
    <t>elcagg_won_JPN</t>
  </si>
  <si>
    <t>wind onshore aggregator to grid -- Japan</t>
  </si>
  <si>
    <t>elcagg_won_KAZ</t>
  </si>
  <si>
    <t>wind onshore aggregator to grid -- Kazakhstan</t>
  </si>
  <si>
    <t>elcagg_won_KEN</t>
  </si>
  <si>
    <t>wind onshore aggregator to grid -- Kenya</t>
  </si>
  <si>
    <t>elcagg_won_KGZ</t>
  </si>
  <si>
    <t>wind onshore aggregator to grid -- Kyrgyz Republic</t>
  </si>
  <si>
    <t>elcagg_won_KHM</t>
  </si>
  <si>
    <t>wind onshore aggregator to grid -- Cambodia</t>
  </si>
  <si>
    <t>elcagg_won_KOR</t>
  </si>
  <si>
    <t>wind onshore aggregator to grid -- South Korea</t>
  </si>
  <si>
    <t>elcagg_won_KWT</t>
  </si>
  <si>
    <t>wind onshore aggregator to grid -- Kuwait</t>
  </si>
  <si>
    <t>elcagg_won_LAO</t>
  </si>
  <si>
    <t>wind onshore aggregator to grid -- Laos</t>
  </si>
  <si>
    <t>elcagg_won_LBN</t>
  </si>
  <si>
    <t>wind onshore aggregator to grid -- Lebanon</t>
  </si>
  <si>
    <t>elcagg_won_LBR</t>
  </si>
  <si>
    <t>wind onshore aggregator to grid -- Liberia</t>
  </si>
  <si>
    <t>elcagg_won_LBY</t>
  </si>
  <si>
    <t>wind onshore aggregator to grid -- Libya</t>
  </si>
  <si>
    <t>elcagg_won_LKA</t>
  </si>
  <si>
    <t>wind onshore aggregator to grid -- Sri Lanka</t>
  </si>
  <si>
    <t>elcagg_won_LSO</t>
  </si>
  <si>
    <t>wind onshore aggregator to grid -- Lesotho</t>
  </si>
  <si>
    <t>elcagg_won_LTU</t>
  </si>
  <si>
    <t>wind onshore aggregator to grid -- Lithuania</t>
  </si>
  <si>
    <t>elcagg_won_LUX</t>
  </si>
  <si>
    <t>wind onshore aggregator to grid -- Luxembourg</t>
  </si>
  <si>
    <t>elcagg_won_LVA</t>
  </si>
  <si>
    <t>wind onshore aggregator to grid -- Latvia</t>
  </si>
  <si>
    <t>elcagg_won_MAR</t>
  </si>
  <si>
    <t>wind onshore aggregator to grid -- Morocco</t>
  </si>
  <si>
    <t>elcagg_won_MDA</t>
  </si>
  <si>
    <t>wind onshore aggregator to grid -- Moldova</t>
  </si>
  <si>
    <t>elcagg_won_MDG</t>
  </si>
  <si>
    <t>wind onshore aggregator to grid -- Madagascar</t>
  </si>
  <si>
    <t>elcagg_won_MEX</t>
  </si>
  <si>
    <t>wind onshore aggregator to grid -- Mexico</t>
  </si>
  <si>
    <t>elcagg_won_MKD</t>
  </si>
  <si>
    <t>wind onshore aggregator to grid -- North Macedonia</t>
  </si>
  <si>
    <t>elcagg_won_MLI</t>
  </si>
  <si>
    <t>wind onshore aggregator to grid -- Mali</t>
  </si>
  <si>
    <t>elcagg_won_MMR</t>
  </si>
  <si>
    <t>wind onshore aggregator to grid -- Myanmar</t>
  </si>
  <si>
    <t>elcagg_won_MNE</t>
  </si>
  <si>
    <t>wind onshore aggregator to grid -- Montenegro</t>
  </si>
  <si>
    <t>elcagg_won_MNG</t>
  </si>
  <si>
    <t>wind onshore aggregator to grid -- Mongolia</t>
  </si>
  <si>
    <t>elcagg_won_MOZ</t>
  </si>
  <si>
    <t>wind onshore aggregator to grid -- Mozambique</t>
  </si>
  <si>
    <t>elcagg_won_MRT</t>
  </si>
  <si>
    <t>wind onshore aggregator to grid -- Mauritania</t>
  </si>
  <si>
    <t>elcagg_won_MWI</t>
  </si>
  <si>
    <t>wind onshore aggregator to grid -- Malawi</t>
  </si>
  <si>
    <t>elcagg_won_MYS</t>
  </si>
  <si>
    <t>wind onshore aggregator to grid -- Malaysia</t>
  </si>
  <si>
    <t>elcagg_won_NAM</t>
  </si>
  <si>
    <t>wind onshore aggregator to grid -- Namibia</t>
  </si>
  <si>
    <t>elcagg_won_NCL</t>
  </si>
  <si>
    <t>wind onshore aggregator to grid -- New Caledonia</t>
  </si>
  <si>
    <t>elcagg_won_NER</t>
  </si>
  <si>
    <t>wind onshore aggregator to grid -- Niger</t>
  </si>
  <si>
    <t>elcagg_won_NGA</t>
  </si>
  <si>
    <t>wind onshore aggregator to grid -- Nigeria</t>
  </si>
  <si>
    <t>elcagg_won_NIC</t>
  </si>
  <si>
    <t>wind onshore aggregator to grid -- Nicaragua</t>
  </si>
  <si>
    <t>elcagg_won_NLD</t>
  </si>
  <si>
    <t>wind onshore aggregator to grid -- Netherlands</t>
  </si>
  <si>
    <t>elcagg_won_NOR</t>
  </si>
  <si>
    <t>wind onshore aggregator to grid -- Norway</t>
  </si>
  <si>
    <t>elcagg_won_NPL</t>
  </si>
  <si>
    <t>wind onshore aggregator to grid -- Nepal</t>
  </si>
  <si>
    <t>elcagg_won_NZL</t>
  </si>
  <si>
    <t>wind onshore aggregator to grid -- New Zealand</t>
  </si>
  <si>
    <t>elcagg_won_OMN</t>
  </si>
  <si>
    <t>wind onshore aggregator to grid -- Oman</t>
  </si>
  <si>
    <t>elcagg_won_PAK</t>
  </si>
  <si>
    <t>wind onshore aggregator to grid -- Pakistan</t>
  </si>
  <si>
    <t>elcagg_won_PAN</t>
  </si>
  <si>
    <t>wind onshore aggregator to grid -- Panama</t>
  </si>
  <si>
    <t>elcagg_won_PER</t>
  </si>
  <si>
    <t>wind onshore aggregator to grid -- Peru</t>
  </si>
  <si>
    <t>elcagg_won_PHL</t>
  </si>
  <si>
    <t>wind onshore aggregator to grid -- Philippines</t>
  </si>
  <si>
    <t>elcagg_won_PNG</t>
  </si>
  <si>
    <t>wind onshore aggregator to grid -- Papua New Guinea</t>
  </si>
  <si>
    <t>elcagg_won_POL</t>
  </si>
  <si>
    <t>wind onshore aggregator to grid -- Poland</t>
  </si>
  <si>
    <t>elcagg_won_PRI</t>
  </si>
  <si>
    <t>wind onshore aggregator to grid -- Puerto Rico</t>
  </si>
  <si>
    <t>elcagg_won_PRK</t>
  </si>
  <si>
    <t>wind onshore aggregator to grid -- Dem. People^s Rep. Korea</t>
  </si>
  <si>
    <t>elcagg_won_PRT</t>
  </si>
  <si>
    <t>wind onshore aggregator to grid -- Portugal</t>
  </si>
  <si>
    <t>elcagg_won_PRY</t>
  </si>
  <si>
    <t>wind onshore aggregator to grid -- Paraguay</t>
  </si>
  <si>
    <t>elcagg_won_QAT</t>
  </si>
  <si>
    <t>wind onshore aggregator to grid -- Qatar</t>
  </si>
  <si>
    <t>elcagg_won_ROU</t>
  </si>
  <si>
    <t>wind onshore aggregator to grid -- Romania</t>
  </si>
  <si>
    <t>elcagg_won_RUS</t>
  </si>
  <si>
    <t>wind onshore aggregator to grid -- Russia</t>
  </si>
  <si>
    <t>elcagg_won_RWA</t>
  </si>
  <si>
    <t>wind onshore aggregator to grid -- Rwanda</t>
  </si>
  <si>
    <t>elcagg_won_SAU</t>
  </si>
  <si>
    <t>wind onshore aggregator to grid -- Saudi Arabia</t>
  </si>
  <si>
    <t>elcagg_won_SDN</t>
  </si>
  <si>
    <t>wind onshore aggregator to grid -- Sudan</t>
  </si>
  <si>
    <t>elcagg_won_SEN</t>
  </si>
  <si>
    <t>wind onshore aggregator to grid -- Senegal</t>
  </si>
  <si>
    <t>elcagg_won_SGP</t>
  </si>
  <si>
    <t>wind onshore aggregator to grid -- Singapore</t>
  </si>
  <si>
    <t>elcagg_won_SLE</t>
  </si>
  <si>
    <t>wind onshore aggregator to grid -- Sierra Leone</t>
  </si>
  <si>
    <t>elcagg_won_SLV</t>
  </si>
  <si>
    <t>wind onshore aggregator to grid -- El Salvador</t>
  </si>
  <si>
    <t>elcagg_won_SOM</t>
  </si>
  <si>
    <t>wind onshore aggregator to grid -- Somalia</t>
  </si>
  <si>
    <t>elcagg_won_SRB</t>
  </si>
  <si>
    <t>wind onshore aggregator to grid -- Serbia</t>
  </si>
  <si>
    <t>elcagg_won_SSD</t>
  </si>
  <si>
    <t>wind onshore aggregator to grid -- South Sudan</t>
  </si>
  <si>
    <t>elcagg_won_SUR</t>
  </si>
  <si>
    <t>wind onshore aggregator to grid -- Suriname</t>
  </si>
  <si>
    <t>elcagg_won_SVK</t>
  </si>
  <si>
    <t>wind onshore aggregator to grid -- Slovak Republic</t>
  </si>
  <si>
    <t>elcagg_won_SVN</t>
  </si>
  <si>
    <t>wind onshore aggregator to grid -- Slovenia</t>
  </si>
  <si>
    <t>elcagg_won_SWE</t>
  </si>
  <si>
    <t>wind onshore aggregator to grid -- Sweden</t>
  </si>
  <si>
    <t>elcagg_won_SYR</t>
  </si>
  <si>
    <t>wind onshore aggregator to grid -- Syrian Arab Republic</t>
  </si>
  <si>
    <t>elcagg_won_TCD</t>
  </si>
  <si>
    <t>wind onshore aggregator to grid -- Chad</t>
  </si>
  <si>
    <t>elcagg_won_TGO</t>
  </si>
  <si>
    <t>wind onshore aggregator to grid -- Togo</t>
  </si>
  <si>
    <t>elcagg_won_THA</t>
  </si>
  <si>
    <t>wind onshore aggregator to grid -- Thailand</t>
  </si>
  <si>
    <t>elcagg_won_TJK</t>
  </si>
  <si>
    <t>wind onshore aggregator to grid -- Tajikistan</t>
  </si>
  <si>
    <t>elcagg_won_TKM</t>
  </si>
  <si>
    <t>wind onshore aggregator to grid -- Turkmenistan</t>
  </si>
  <si>
    <t>elcagg_won_TTO</t>
  </si>
  <si>
    <t>wind onshore aggregator to grid -- Trinidad and Tobago</t>
  </si>
  <si>
    <t>elcagg_won_TUN</t>
  </si>
  <si>
    <t>wind onshore aggregator to grid -- Tunisia</t>
  </si>
  <si>
    <t>elcagg_won_TUR</t>
  </si>
  <si>
    <t>wind onshore aggregator to grid -- Turkey</t>
  </si>
  <si>
    <t>elcagg_won_TWN</t>
  </si>
  <si>
    <t>wind onshore aggregator to grid -- Taiwan</t>
  </si>
  <si>
    <t>elcagg_won_TZA</t>
  </si>
  <si>
    <t>wind onshore aggregator to grid -- Tanzania</t>
  </si>
  <si>
    <t>elcagg_won_UGA</t>
  </si>
  <si>
    <t>wind onshore aggregator to grid -- Uganda</t>
  </si>
  <si>
    <t>elcagg_won_UKR</t>
  </si>
  <si>
    <t>wind onshore aggregator to grid -- Ukraine</t>
  </si>
  <si>
    <t>elcagg_won_URY</t>
  </si>
  <si>
    <t>wind onshore aggregator to grid -- Uruguay</t>
  </si>
  <si>
    <t>elcagg_won_USA</t>
  </si>
  <si>
    <t>wind onshore aggregator to grid -- United States</t>
  </si>
  <si>
    <t>elcagg_won_UZB</t>
  </si>
  <si>
    <t>wind onshore aggregator to grid -- Uzbekistan</t>
  </si>
  <si>
    <t>elcagg_won_VEN</t>
  </si>
  <si>
    <t>wind onshore aggregator to grid -- Venezuela</t>
  </si>
  <si>
    <t>elcagg_won_VNM</t>
  </si>
  <si>
    <t>wind onshore aggregator to grid -- Vietnam</t>
  </si>
  <si>
    <t>elcagg_won_YEM</t>
  </si>
  <si>
    <t>wind onshore aggregator to grid -- Yemen</t>
  </si>
  <si>
    <t>elcagg_won_ZAF</t>
  </si>
  <si>
    <t>wind onshore aggregator to grid -- South Africa</t>
  </si>
  <si>
    <t>elcagg_won_ZMB</t>
  </si>
  <si>
    <t>wind onshore aggregator to grid -- Zambia</t>
  </si>
  <si>
    <t>elcagg_won_ZWE</t>
  </si>
  <si>
    <t>wind onshore aggregator to grid -- Zimbabwe</t>
  </si>
  <si>
    <t>en_wof_AGO_001</t>
  </si>
  <si>
    <t>wind offshore resource in near Mocamedes -- Angola</t>
  </si>
  <si>
    <t>en_wof_AGO_002</t>
  </si>
  <si>
    <t>en_wof_ALB_001</t>
  </si>
  <si>
    <t>wind offshore resource in near Vlore -- Albania</t>
  </si>
  <si>
    <t>en_wof_ALB_002</t>
  </si>
  <si>
    <t>wind offshore resource in near Durres -- Albania</t>
  </si>
  <si>
    <t>en_wof_ARE_001</t>
  </si>
  <si>
    <t>wind offshore resource in near Abu Dhabi -- United Arab Emirates</t>
  </si>
  <si>
    <t>en_wof_ARE_002</t>
  </si>
  <si>
    <t>en_wof_ARG_001</t>
  </si>
  <si>
    <t>wind offshore resource in near Rio Gallegos -- Argentina</t>
  </si>
  <si>
    <t>en_wof_ARG_002</t>
  </si>
  <si>
    <t>wind offshore resource in near Rio Grande -- Argentina</t>
  </si>
  <si>
    <t>en_wof_ARG_003</t>
  </si>
  <si>
    <t>en_wof_ARG_004</t>
  </si>
  <si>
    <t>wind offshore resource in near Necochea -- Argentina</t>
  </si>
  <si>
    <t>en_wof_ARG_005</t>
  </si>
  <si>
    <t>wind offshore resource in near Mar del Plata -- Argentina</t>
  </si>
  <si>
    <t>en_wof_ARG_006</t>
  </si>
  <si>
    <t>wind offshore resource in near Comodoro Rivadavia -- Argentina</t>
  </si>
  <si>
    <t>en_wof_ARG_007</t>
  </si>
  <si>
    <t>en_wof_ARG_008</t>
  </si>
  <si>
    <t>wind offshore resource in near Puerto Madryn -- Argentina</t>
  </si>
  <si>
    <t>en_wof_ARG_009</t>
  </si>
  <si>
    <t>en_wof_AUS_001</t>
  </si>
  <si>
    <t>wind offshore resource in near Perth -- Australia</t>
  </si>
  <si>
    <t>en_wof_AUS_002</t>
  </si>
  <si>
    <t>wind offshore resource in near Adelaide -- Australia</t>
  </si>
  <si>
    <t>en_wof_AUS_003</t>
  </si>
  <si>
    <t>wind offshore resource in Western Australia region (near Perth) -- Australia</t>
  </si>
  <si>
    <t>en_wof_AUS_004</t>
  </si>
  <si>
    <t>wind offshore resource in near Melbourne -- Australia</t>
  </si>
  <si>
    <t>en_wof_AUS_005</t>
  </si>
  <si>
    <t>en_wof_AUS_006</t>
  </si>
  <si>
    <t>en_wof_AUS_007</t>
  </si>
  <si>
    <t>wind offshore resource in near Brisbane -- Australia</t>
  </si>
  <si>
    <t>en_wof_AUS_008</t>
  </si>
  <si>
    <t>wind offshore resource in near Sydney -- Australia</t>
  </si>
  <si>
    <t>en_wof_AUS_009</t>
  </si>
  <si>
    <t>en_wof_AUS_010</t>
  </si>
  <si>
    <t>en_wof_AUS_011</t>
  </si>
  <si>
    <t>en_wof_AUS_012</t>
  </si>
  <si>
    <t>en_wof_AUS_013</t>
  </si>
  <si>
    <t>en_wof_AZE_001</t>
  </si>
  <si>
    <t>wind offshore resource in near Hovsan -- Azerbaijan</t>
  </si>
  <si>
    <t>en_wof_AZE_002</t>
  </si>
  <si>
    <t>wind offshore resource in near Xacmaz -- Azerbaijan</t>
  </si>
  <si>
    <t>en_wof_AZE_003</t>
  </si>
  <si>
    <t>en_wof_AZE_004</t>
  </si>
  <si>
    <t>wind offshore resource in near Mastaga -- Azerbaijan</t>
  </si>
  <si>
    <t>en_wof_BEN_001</t>
  </si>
  <si>
    <t>wind offshore resource in near Ekpe -- Benin</t>
  </si>
  <si>
    <t>en_wof_BEN_002</t>
  </si>
  <si>
    <t>wind offshore resource in near Ouidah -- Benin</t>
  </si>
  <si>
    <t>en_wof_BGD_001</t>
  </si>
  <si>
    <t>wind offshore resource in near Khulna -- Bangladesh</t>
  </si>
  <si>
    <t>en_wof_BGD_002</t>
  </si>
  <si>
    <t>wind offshore resource in near Chattogram -- Bangladesh</t>
  </si>
  <si>
    <t>en_wof_BGD_003</t>
  </si>
  <si>
    <t>en_wof_BGR_001</t>
  </si>
  <si>
    <t>wind offshore resource in near Dobrich -- Bulgaria</t>
  </si>
  <si>
    <t>en_wof_BGR_002</t>
  </si>
  <si>
    <t>wind offshore resource in near Burgas -- Bulgaria</t>
  </si>
  <si>
    <t>en_wof_BGR_003</t>
  </si>
  <si>
    <t>en_wof_BRA_001</t>
  </si>
  <si>
    <t>wind offshore resource in near Rio Grande -- Brazil</t>
  </si>
  <si>
    <t>en_wof_BRA_002</t>
  </si>
  <si>
    <t>wind offshore resource in near Ubatuba -- Brazil</t>
  </si>
  <si>
    <t>en_wof_BRA_003</t>
  </si>
  <si>
    <t>wind offshore resource in near Tubarao -- Brazil</t>
  </si>
  <si>
    <t>en_wof_BRA_004</t>
  </si>
  <si>
    <t>wind offshore resource in near Sao Francisco do Sul -- Brazil</t>
  </si>
  <si>
    <t>en_wof_BRA_005</t>
  </si>
  <si>
    <t>wind offshore resource in near Macapa -- Brazil</t>
  </si>
  <si>
    <t>en_wof_BRA_006</t>
  </si>
  <si>
    <t>wind offshore resource in near Sao Mateus -- Brazil</t>
  </si>
  <si>
    <t>en_wof_BRA_007</t>
  </si>
  <si>
    <t>wind offshore resource in near Macae -- Brazil</t>
  </si>
  <si>
    <t>en_wof_BRA_008</t>
  </si>
  <si>
    <t>wind offshore resource in near Viseu -- Brazil</t>
  </si>
  <si>
    <t>en_wof_BRA_009</t>
  </si>
  <si>
    <t>wind offshore resource in near Marituba -- Brazil</t>
  </si>
  <si>
    <t>en_wof_BRA_010</t>
  </si>
  <si>
    <t>wind offshore resource in near Aracati -- Brazil</t>
  </si>
  <si>
    <t>en_wof_CAN_001</t>
  </si>
  <si>
    <t>wind offshore resource in near Chicoutimi -- Canada</t>
  </si>
  <si>
    <t>en_wof_CAN_002</t>
  </si>
  <si>
    <t>wind offshore resource in near Winnipeg -- Canada</t>
  </si>
  <si>
    <t>en_wof_CAN_003</t>
  </si>
  <si>
    <t>wind offshore resource in near Thunder Bay -- Canada</t>
  </si>
  <si>
    <t>en_wof_CAN_004</t>
  </si>
  <si>
    <t>en_wof_CAN_005</t>
  </si>
  <si>
    <t>wind offshore resource in near Edmonton -- Canada</t>
  </si>
  <si>
    <t>en_wof_CAN_006</t>
  </si>
  <si>
    <t>en_wof_CAN_007</t>
  </si>
  <si>
    <t>en_wof_CAN_008</t>
  </si>
  <si>
    <t>wind offshore resource in near Saskatoon -- Canada</t>
  </si>
  <si>
    <t>en_wof_CAN_009</t>
  </si>
  <si>
    <t>en_wof_CAN_010</t>
  </si>
  <si>
    <t>en_wof_CAN_011</t>
  </si>
  <si>
    <t>en_wof_CAN_012</t>
  </si>
  <si>
    <t>en_wof_CAN_013</t>
  </si>
  <si>
    <t>en_wof_CAN_014</t>
  </si>
  <si>
    <t>en_wof_CAN_015</t>
  </si>
  <si>
    <t>en_wof_CAN_016</t>
  </si>
  <si>
    <t>wind offshore resource in near St. John's -- Canada</t>
  </si>
  <si>
    <t>en_wof_CAN_017</t>
  </si>
  <si>
    <t>en_wof_CAN_018</t>
  </si>
  <si>
    <t>en_wof_CAN_019</t>
  </si>
  <si>
    <t>wind offshore resource in near Nanaimo -- Canada</t>
  </si>
  <si>
    <t>en_wof_CAN_020</t>
  </si>
  <si>
    <t>wind offshore resource in near Moncton -- Canada</t>
  </si>
  <si>
    <t>en_wof_CAN_021</t>
  </si>
  <si>
    <t>en_wof_CAN_022</t>
  </si>
  <si>
    <t>en_wof_CHL_001</t>
  </si>
  <si>
    <t>wind offshore resource in near Puerto Montt -- Chile</t>
  </si>
  <si>
    <t>en_wof_CHL_002</t>
  </si>
  <si>
    <t>wind offshore resource in near Punta Arenas -- Chile</t>
  </si>
  <si>
    <t>en_wof_CHL_003</t>
  </si>
  <si>
    <t>en_wof_CHL_004</t>
  </si>
  <si>
    <t>en_wof_CHL_005</t>
  </si>
  <si>
    <t>wind offshore resource in near Copiapo -- Chile</t>
  </si>
  <si>
    <t>en_wof_CHL_006</t>
  </si>
  <si>
    <t>wind offshore resource in near Valparaiso -- Chile</t>
  </si>
  <si>
    <t>en_wof_CHL_007</t>
  </si>
  <si>
    <t>wind offshore resource in near Talcahuano -- Chile</t>
  </si>
  <si>
    <t>en_wof_CHL_008</t>
  </si>
  <si>
    <t>wind offshore resource in near Valdivia -- Chile</t>
  </si>
  <si>
    <t>en_wof_CHN_001</t>
  </si>
  <si>
    <t>wind offshore resource in near Haikou -- China</t>
  </si>
  <si>
    <t>en_wof_CHN_002</t>
  </si>
  <si>
    <t>wind offshore resource in near Putian -- China</t>
  </si>
  <si>
    <t>en_wof_CHN_003</t>
  </si>
  <si>
    <t>wind offshore resource in near Shanwei -- China</t>
  </si>
  <si>
    <t>en_wof_CHN_004</t>
  </si>
  <si>
    <t>en_wof_CHN_005</t>
  </si>
  <si>
    <t>en_wof_CHN_006</t>
  </si>
  <si>
    <t>en_wof_CHN_007</t>
  </si>
  <si>
    <t>wind offshore resource in near Wenzhou -- China</t>
  </si>
  <si>
    <t>en_wof_CHN_008</t>
  </si>
  <si>
    <t>wind offshore resource in near Ningbo -- China</t>
  </si>
  <si>
    <t>en_wof_CHN_009</t>
  </si>
  <si>
    <t>wind offshore resource in near Weihai -- China</t>
  </si>
  <si>
    <t>en_wof_CHN_010</t>
  </si>
  <si>
    <t>en_wof_CIV_001</t>
  </si>
  <si>
    <t>wind offshore resource in near San-Pedro -- Ivory Coast</t>
  </si>
  <si>
    <t>en_wof_CIV_002</t>
  </si>
  <si>
    <t>wind offshore resource in near Port-Bouet -- Ivory Coast</t>
  </si>
  <si>
    <t>en_wof_CIV_003</t>
  </si>
  <si>
    <t>wind offshore resource in near Divo -- Ivory Coast</t>
  </si>
  <si>
    <t>en_wof_COD_001</t>
  </si>
  <si>
    <t>wind offshore resource in Kongo Central region (near Kinshasa) -- Democratic Republic of Congo</t>
  </si>
  <si>
    <t>en_wof_COD_002</t>
  </si>
  <si>
    <t>wind offshore resource in near Kinshasa -- Democratic Republic of Congo</t>
  </si>
  <si>
    <t>en_wof_COG_001</t>
  </si>
  <si>
    <t>wind offshore resource in near Pointe-Noire -- Republic of Congo</t>
  </si>
  <si>
    <t>en_wof_COG_002</t>
  </si>
  <si>
    <t>wind offshore resource in near Tchibota -- Republic of Congo</t>
  </si>
  <si>
    <t>en_wof_COL_001</t>
  </si>
  <si>
    <t>wind offshore resource in near Cartagena -- Colombia</t>
  </si>
  <si>
    <t>en_wof_COL_002</t>
  </si>
  <si>
    <t>wind offshore resource in near Santa Marta -- Colombia</t>
  </si>
  <si>
    <t>en_wof_COL_003</t>
  </si>
  <si>
    <t>wind offshore resource in near San Andres -- Colombia</t>
  </si>
  <si>
    <t>en_wof_COL_004</t>
  </si>
  <si>
    <t>wind offshore resource in near Manaure -- Colombia</t>
  </si>
  <si>
    <t>en_wof_CRI_001</t>
  </si>
  <si>
    <t>wind offshore resource in near Liberia -- Costa Rica</t>
  </si>
  <si>
    <t>en_wof_CRI_002</t>
  </si>
  <si>
    <t>wind offshore resource in near Santa Cruz -- Costa Rica</t>
  </si>
  <si>
    <t>en_wof_CUB_001</t>
  </si>
  <si>
    <t>wind offshore resource in near Pinar del Rio -- Cuba</t>
  </si>
  <si>
    <t>en_wof_CUB_002</t>
  </si>
  <si>
    <t>wind offshore resource in near Consolacion del Sur -- Cuba</t>
  </si>
  <si>
    <t>en_wof_CUB_003</t>
  </si>
  <si>
    <t>wind offshore resource in near Havana -- Cuba</t>
  </si>
  <si>
    <t>en_wof_CUB_004</t>
  </si>
  <si>
    <t>wind offshore resource in near Vertientes -- Cuba</t>
  </si>
  <si>
    <t>en_wof_CUB_005</t>
  </si>
  <si>
    <t>wind offshore resource in near Remedios -- Cuba</t>
  </si>
  <si>
    <t>en_wof_CUB_006</t>
  </si>
  <si>
    <t>wind offshore resource in near Moa -- Cuba</t>
  </si>
  <si>
    <t>en_wof_CYP_001</t>
  </si>
  <si>
    <t>wind offshore resource in near Nicosia -- Cyprus</t>
  </si>
  <si>
    <t>en_wof_CYP_002</t>
  </si>
  <si>
    <t>wind offshore resource in near Larnaca -- Cyprus</t>
  </si>
  <si>
    <t>en_wof_CYP_003</t>
  </si>
  <si>
    <t>wind offshore resource in near Limassol -- Cyprus</t>
  </si>
  <si>
    <t>en_wof_DEU_001</t>
  </si>
  <si>
    <t>wind offshore resource in near Norden -- Germany</t>
  </si>
  <si>
    <t>en_wof_DEU_002</t>
  </si>
  <si>
    <t>wind offshore resource in near Stralsund -- Germany</t>
  </si>
  <si>
    <t>en_wof_DEU_003</t>
  </si>
  <si>
    <t>wind offshore resource in Lower Saxony region (near Itzehoe) -- Germany</t>
  </si>
  <si>
    <t>en_wof_DEU_004</t>
  </si>
  <si>
    <t>wind offshore resource in near Wismar -- Germany</t>
  </si>
  <si>
    <t>en_wof_DJI_001</t>
  </si>
  <si>
    <t>wind offshore resource in near Djibouti -- Djibouti</t>
  </si>
  <si>
    <t>en_wof_DJI_002</t>
  </si>
  <si>
    <t>wind offshore resource in Tadjourah region (near Djibouti) -- Djibouti</t>
  </si>
  <si>
    <t>en_wof_DNK_001</t>
  </si>
  <si>
    <t>wind offshore resource in Southern Denmark region (near Odense) -- Denmark</t>
  </si>
  <si>
    <t>en_wof_DNK_002</t>
  </si>
  <si>
    <t>wind offshore resource in near Copenhagen -- Denmark</t>
  </si>
  <si>
    <t>en_wof_DNK_003</t>
  </si>
  <si>
    <t>wind offshore resource in near Aalborg -- Denmark</t>
  </si>
  <si>
    <t>en_wof_DNK_004</t>
  </si>
  <si>
    <t>wind offshore resource in near Holstebro -- Denmark</t>
  </si>
  <si>
    <t>en_wof_DOM_001</t>
  </si>
  <si>
    <t>wind offshore resource in near Pantanal -- Dominican Republic</t>
  </si>
  <si>
    <t>en_wof_DOM_002</t>
  </si>
  <si>
    <t>wind offshore resource in near Nagua -- Dominican Republic</t>
  </si>
  <si>
    <t>en_wof_DOM_003</t>
  </si>
  <si>
    <t>wind offshore resource in near Barahona -- Dominican Republic</t>
  </si>
  <si>
    <t>en_wof_DOM_004</t>
  </si>
  <si>
    <t>wind offshore resource in near Puerto Plata -- Dominican Republic</t>
  </si>
  <si>
    <t>en_wof_DZA_001</t>
  </si>
  <si>
    <t>wind offshore resource in near Annaba -- Algeria</t>
  </si>
  <si>
    <t>en_wof_DZA_002</t>
  </si>
  <si>
    <t>wind offshore resource in near Fouka -- Algeria</t>
  </si>
  <si>
    <t>en_wof_DZA_003</t>
  </si>
  <si>
    <t>wind offshore resource in near Beni Saf -- Algeria</t>
  </si>
  <si>
    <t>en_wof_ECU_001</t>
  </si>
  <si>
    <t>wind offshore resource in near Machala -- Ecuador</t>
  </si>
  <si>
    <t>en_wof_ECU_002</t>
  </si>
  <si>
    <t>en_wof_EGY_001</t>
  </si>
  <si>
    <t>wind offshore resource in near Abu Tisht -- Egypt</t>
  </si>
  <si>
    <t>en_wof_EGY_002</t>
  </si>
  <si>
    <t>en_wof_EGY_003</t>
  </si>
  <si>
    <t>wind offshore resource in near Port Said -- Egypt</t>
  </si>
  <si>
    <t>en_wof_EGY_004</t>
  </si>
  <si>
    <t>wind offshore resource in near Alexandria -- Egypt</t>
  </si>
  <si>
    <t>en_wof_EGY_005</t>
  </si>
  <si>
    <t>en_wof_ERI_001</t>
  </si>
  <si>
    <t>wind offshore resource in near Keren -- Eritrea</t>
  </si>
  <si>
    <t>en_wof_ERI_002</t>
  </si>
  <si>
    <t>wind offshore resource in near Asmara -- Eritrea</t>
  </si>
  <si>
    <t>en_wof_ERI_003</t>
  </si>
  <si>
    <t>en_wof_ESP_001</t>
  </si>
  <si>
    <t>wind offshore resource in near Ibiza -- Spain</t>
  </si>
  <si>
    <t>en_wof_ESP_002</t>
  </si>
  <si>
    <t>wind offshore resource in near Palma -- Spain</t>
  </si>
  <si>
    <t>en_wof_ESP_003</t>
  </si>
  <si>
    <t>wind offshore resource in near Motril -- Spain</t>
  </si>
  <si>
    <t>en_wof_ESP_004</t>
  </si>
  <si>
    <t>wind offshore resource in near Cadiz -- Spain</t>
  </si>
  <si>
    <t>en_wof_ESP_005</t>
  </si>
  <si>
    <t>wind offshore resource in near Santander -- Spain</t>
  </si>
  <si>
    <t>en_wof_ESP_006</t>
  </si>
  <si>
    <t>wind offshore resource in near Figueras -- Spain</t>
  </si>
  <si>
    <t>en_wof_ESP_007</t>
  </si>
  <si>
    <t>wind offshore resource in A Coruna region (near A Coruna) -- Spain</t>
  </si>
  <si>
    <t>en_wof_EST_001</t>
  </si>
  <si>
    <t>wind offshore resource in near Tallinn -- Estonia</t>
  </si>
  <si>
    <t>en_wof_EST_002</t>
  </si>
  <si>
    <t>en_wof_EST_003</t>
  </si>
  <si>
    <t>en_wof_FIN_001</t>
  </si>
  <si>
    <t>wind offshore resource in near Vaasa -- Finland</t>
  </si>
  <si>
    <t>en_wof_FIN_002</t>
  </si>
  <si>
    <t>wind offshore resource in near Helsinki -- Finland</t>
  </si>
  <si>
    <t>en_wof_FIN_003</t>
  </si>
  <si>
    <t>wind offshore resource in near Rauma -- Finland</t>
  </si>
  <si>
    <t>en_wof_FIN_004</t>
  </si>
  <si>
    <t>wind offshore resource in near Kaarina -- Finland</t>
  </si>
  <si>
    <t>en_wof_FRA_001</t>
  </si>
  <si>
    <t>wind offshore resource in near Sete -- France</t>
  </si>
  <si>
    <t>en_wof_FRA_002</t>
  </si>
  <si>
    <t>wind offshore resource in near Bastia -- France</t>
  </si>
  <si>
    <t>en_wof_FRA_003</t>
  </si>
  <si>
    <t>wind offshore resource in near La Teste-de-Buch -- France</t>
  </si>
  <si>
    <t>en_wof_FRA_004</t>
  </si>
  <si>
    <t>wind offshore resource in near Saint-Nazaire -- France</t>
  </si>
  <si>
    <t>en_wof_FRA_005</t>
  </si>
  <si>
    <t>wind offshore resource in near Cherbourg -- France</t>
  </si>
  <si>
    <t>en_wof_FRA_006</t>
  </si>
  <si>
    <t>wind offshore resource in near Brest -- France</t>
  </si>
  <si>
    <t>en_wof_GAB_001</t>
  </si>
  <si>
    <t>wind offshore resource in near Port-Gentil -- Gabon</t>
  </si>
  <si>
    <t>en_wof_GAB_002</t>
  </si>
  <si>
    <t>en_wof_GAB_003</t>
  </si>
  <si>
    <t>wind offshore resource in Nyanga region (near Port-Gentil) -- Gabon</t>
  </si>
  <si>
    <t>en_wof_GAB_004</t>
  </si>
  <si>
    <t>en_wof_GBR_001</t>
  </si>
  <si>
    <t>wind offshore resource in near Weymouth -- United Kingdom</t>
  </si>
  <si>
    <t>en_wof_GBR_002</t>
  </si>
  <si>
    <t>wind offshore resource in near Lisburn -- United Kingdom</t>
  </si>
  <si>
    <t>en_wof_GBR_003</t>
  </si>
  <si>
    <t>wind offshore resource in near Plymouth -- United Kingdom</t>
  </si>
  <si>
    <t>en_wof_GBR_004</t>
  </si>
  <si>
    <t>wind offshore resource in near Greenock -- United Kingdom</t>
  </si>
  <si>
    <t>en_wof_GBR_005</t>
  </si>
  <si>
    <t>wind offshore resource in near Derry -- United Kingdom</t>
  </si>
  <si>
    <t>en_wof_GBR_006</t>
  </si>
  <si>
    <t>wind offshore resource in near Inverness -- United Kingdom</t>
  </si>
  <si>
    <t>en_wof_GBR_007</t>
  </si>
  <si>
    <t>en_wof_GBR_008</t>
  </si>
  <si>
    <t>wind offshore resource in near Aberdeen -- United Kingdom</t>
  </si>
  <si>
    <t>en_wof_GBR_009</t>
  </si>
  <si>
    <t>wind offshore resource in near Blyth -- United Kingdom</t>
  </si>
  <si>
    <t>en_wof_GBR_010</t>
  </si>
  <si>
    <t>en_wof_GEO_001</t>
  </si>
  <si>
    <t>wind offshore resource in near Batumi -- Georgia</t>
  </si>
  <si>
    <t>en_wof_GEO_002</t>
  </si>
  <si>
    <t>en_wof_GHA_001</t>
  </si>
  <si>
    <t>wind offshore resource in near Accra -- Ghana</t>
  </si>
  <si>
    <t>en_wof_GHA_002</t>
  </si>
  <si>
    <t>wind offshore resource in near Ashaiman -- Ghana</t>
  </si>
  <si>
    <t>en_wof_GHA_003</t>
  </si>
  <si>
    <t>en_wof_GIN_001</t>
  </si>
  <si>
    <t>wind offshore resource in near Conakry -- Guinea</t>
  </si>
  <si>
    <t>en_wof_GIN_002</t>
  </si>
  <si>
    <t>en_wof_GIN_003</t>
  </si>
  <si>
    <t>en_wof_GNB_001</t>
  </si>
  <si>
    <t>wind offshore resource in near Bissau -- Guinea-Bissau</t>
  </si>
  <si>
    <t>en_wof_GNB_002</t>
  </si>
  <si>
    <t>en_wof_GNB_003</t>
  </si>
  <si>
    <t>en_wof_GNQ_001</t>
  </si>
  <si>
    <t>wind offshore resource in near Bata -- Equatorial Guinea</t>
  </si>
  <si>
    <t>en_wof_GNQ_002</t>
  </si>
  <si>
    <t>en_wof_GNQ_003</t>
  </si>
  <si>
    <t>wind offshore resource in near Malabo -- Equatorial Guinea</t>
  </si>
  <si>
    <t>en_wof_GRC_001</t>
  </si>
  <si>
    <t>wind offshore resource in near Ioannina -- Greece</t>
  </si>
  <si>
    <t>en_wof_GRC_002</t>
  </si>
  <si>
    <t>wind offshore resource in near Kavala -- Greece</t>
  </si>
  <si>
    <t>en_wof_GRC_003</t>
  </si>
  <si>
    <t>wind offshore resource in near Pallini -- Greece</t>
  </si>
  <si>
    <t>en_wof_GRC_004</t>
  </si>
  <si>
    <t>wind offshore resource in near Chania -- Greece</t>
  </si>
  <si>
    <t>en_wof_GRC_005</t>
  </si>
  <si>
    <t>wind offshore resource in near Irakleio -- Greece</t>
  </si>
  <si>
    <t>en_wof_GRC_006</t>
  </si>
  <si>
    <t>wind offshore resource in near Rodos -- Greece</t>
  </si>
  <si>
    <t>en_wof_GTM_001</t>
  </si>
  <si>
    <t>wind offshore resource in near Chiquimulilla -- Guatemala</t>
  </si>
  <si>
    <t>en_wof_GTM_002</t>
  </si>
  <si>
    <t>wind offshore resource in Santa Rosa region (near Chiquimulilla) -- Guatemala</t>
  </si>
  <si>
    <t>en_wof_GTM_003</t>
  </si>
  <si>
    <t>wind offshore resource in Izabal region (near Livingston) -- Guatemala</t>
  </si>
  <si>
    <t>en_wof_GTM_004</t>
  </si>
  <si>
    <t>wind offshore resource in near Livingston -- Guatemala</t>
  </si>
  <si>
    <t>en_wof_GUY_001</t>
  </si>
  <si>
    <t>wind offshore resource in near Georgetown -- Guyana</t>
  </si>
  <si>
    <t>en_wof_GUY_002</t>
  </si>
  <si>
    <t>wind offshore resource in near New Amsterdam -- Guyana</t>
  </si>
  <si>
    <t>en_wof_GUY_003</t>
  </si>
  <si>
    <t>en_wof_HND_001</t>
  </si>
  <si>
    <t>wind offshore resource in near Catacamas -- Honduras</t>
  </si>
  <si>
    <t>en_wof_HND_002</t>
  </si>
  <si>
    <t>wind offshore resource in near La Ceiba -- Honduras</t>
  </si>
  <si>
    <t>en_wof_HND_003</t>
  </si>
  <si>
    <t>en_wof_HND_004</t>
  </si>
  <si>
    <t>en_wof_HRV_001</t>
  </si>
  <si>
    <t>wind offshore resource in near Pula -- Croatia</t>
  </si>
  <si>
    <t>en_wof_HRV_002</t>
  </si>
  <si>
    <t>wind offshore resource in near Dubrovnik -- Croatia</t>
  </si>
  <si>
    <t>en_wof_HRV_003</t>
  </si>
  <si>
    <t>wind offshore resource in near Zadar -- Croatia</t>
  </si>
  <si>
    <t>en_wof_HRV_004</t>
  </si>
  <si>
    <t>wind offshore resource in Split-Dalmatia region (near Split) -- Croatia</t>
  </si>
  <si>
    <t>en_wof_HRV_005</t>
  </si>
  <si>
    <t>wind offshore resource in near Kastel Stari -- Croatia</t>
  </si>
  <si>
    <t>en_wof_HTI_001</t>
  </si>
  <si>
    <t>wind offshore resource in Nord-Ouest region (near Saint-Louis du Nord) -- Haiti</t>
  </si>
  <si>
    <t>en_wof_HTI_002</t>
  </si>
  <si>
    <t>wind offshore resource in near Torbeck -- Haiti</t>
  </si>
  <si>
    <t>en_wof_IDN_001</t>
  </si>
  <si>
    <t>wind offshore resource in near Kupang -- Indonesia</t>
  </si>
  <si>
    <t>en_wof_IDN_002</t>
  </si>
  <si>
    <t>wind offshore resource in near Ambon -- Indonesia</t>
  </si>
  <si>
    <t>en_wof_IDN_003</t>
  </si>
  <si>
    <t>en_wof_IDN_004</t>
  </si>
  <si>
    <t>en_wof_IDN_005</t>
  </si>
  <si>
    <t>wind offshore resource in near Pontianak -- Indonesia</t>
  </si>
  <si>
    <t>en_wof_IDN_006</t>
  </si>
  <si>
    <t>wind offshore resource in near Banjarmasin -- Indonesia</t>
  </si>
  <si>
    <t>en_wof_IDN_007</t>
  </si>
  <si>
    <t>wind offshore resource in near Medan -- Indonesia</t>
  </si>
  <si>
    <t>en_wof_IDN_008</t>
  </si>
  <si>
    <t>wind offshore resource in near Yogyakarta -- Indonesia</t>
  </si>
  <si>
    <t>en_wof_IDN_009</t>
  </si>
  <si>
    <t>wind offshore resource in near Manado -- Indonesia</t>
  </si>
  <si>
    <t>en_wof_IDN_010</t>
  </si>
  <si>
    <t>wind offshore resource in near Bandar Lampung -- Indonesia</t>
  </si>
  <si>
    <t>en_wof_IND_001</t>
  </si>
  <si>
    <t>wind offshore resource in near Udipi -- India</t>
  </si>
  <si>
    <t>en_wof_IND_002</t>
  </si>
  <si>
    <t>wind offshore resource in near Marmagao -- India</t>
  </si>
  <si>
    <t>en_wof_IND_003</t>
  </si>
  <si>
    <t>wind offshore resource in near Mandvi -- India</t>
  </si>
  <si>
    <t>en_wof_IND_004</t>
  </si>
  <si>
    <t>wind offshore resource in near Veraval -- India</t>
  </si>
  <si>
    <t>en_wof_IND_005</t>
  </si>
  <si>
    <t>wind offshore resource in near Chidambaram -- India</t>
  </si>
  <si>
    <t>en_wof_IND_006</t>
  </si>
  <si>
    <t>wind offshore resource in near Nagercoil -- India</t>
  </si>
  <si>
    <t>en_wof_IND_007</t>
  </si>
  <si>
    <t>wind offshore resource in near Kakinada -- India</t>
  </si>
  <si>
    <t>en_wof_IND_008</t>
  </si>
  <si>
    <t>wind offshore resource in near Aul -- India</t>
  </si>
  <si>
    <t>en_wof_IRL_001</t>
  </si>
  <si>
    <t>wind offshore resource in near Douglas -- Ireland</t>
  </si>
  <si>
    <t>en_wof_IRL_002</t>
  </si>
  <si>
    <t>wind offshore resource in Kerry region (near Tralee) -- Ireland</t>
  </si>
  <si>
    <t>en_wof_IRL_003</t>
  </si>
  <si>
    <t>wind offshore resource in near Waterford -- Ireland</t>
  </si>
  <si>
    <t>en_wof_IRL_004</t>
  </si>
  <si>
    <t>wind offshore resource in near Dun Dealgan -- Ireland</t>
  </si>
  <si>
    <t>en_wof_IRL_005</t>
  </si>
  <si>
    <t>wind offshore resource in near Galway -- Ireland</t>
  </si>
  <si>
    <t>en_wof_IRL_006</t>
  </si>
  <si>
    <t>wind offshore resource in near Tralee -- Ireland</t>
  </si>
  <si>
    <t>en_wof_IRN_001</t>
  </si>
  <si>
    <t>wind offshore resource in near Bandar-e Bushehr -- Iran</t>
  </si>
  <si>
    <t>en_wof_IRN_002</t>
  </si>
  <si>
    <t>en_wof_IRN_003</t>
  </si>
  <si>
    <t>wind offshore resource in near Bandar `Abbas -- Iran</t>
  </si>
  <si>
    <t>en_wof_IRN_004</t>
  </si>
  <si>
    <t>en_wof_ITA_001</t>
  </si>
  <si>
    <t>wind offshore resource in near Ortona -- Italy</t>
  </si>
  <si>
    <t>en_wof_ITA_002</t>
  </si>
  <si>
    <t>wind offshore resource in near Ostuni -- Italy</t>
  </si>
  <si>
    <t>en_wof_ITA_003</t>
  </si>
  <si>
    <t>wind offshore resource in Olbia-Tempio region (near Olbia) -- Italy</t>
  </si>
  <si>
    <t>en_wof_ITA_004</t>
  </si>
  <si>
    <t>wind offshore resource in near Piombino -- Italy</t>
  </si>
  <si>
    <t>en_wof_ITA_005</t>
  </si>
  <si>
    <t>wind offshore resource in near Ischia -- Italy</t>
  </si>
  <si>
    <t>en_wof_ITA_006</t>
  </si>
  <si>
    <t>wind offshore resource in near Quartu Sant'Elena -- Italy</t>
  </si>
  <si>
    <t>en_wof_ITA_007</t>
  </si>
  <si>
    <t>wind offshore resource in near Licata -- Italy</t>
  </si>
  <si>
    <t>en_wof_JAM_001</t>
  </si>
  <si>
    <t>wind offshore resource in near Montego Bay -- Jamaica</t>
  </si>
  <si>
    <t>en_wof_JAM_002</t>
  </si>
  <si>
    <t>wind offshore resource in near Spanish Town -- Jamaica</t>
  </si>
  <si>
    <t>en_wof_JAM_003</t>
  </si>
  <si>
    <t>wind offshore resource in near Kingston -- Jamaica</t>
  </si>
  <si>
    <t>en_wof_JAM_004</t>
  </si>
  <si>
    <t>en_wof_JPN_001</t>
  </si>
  <si>
    <t>wind offshore resource in near Naha -- Japan</t>
  </si>
  <si>
    <t>en_wof_JPN_002</t>
  </si>
  <si>
    <t>wind offshore resource in near Okinawa -- Japan</t>
  </si>
  <si>
    <t>en_wof_JPN_003</t>
  </si>
  <si>
    <t>wind offshore resource in near Kochi -- Japan</t>
  </si>
  <si>
    <t>en_wof_JPN_004</t>
  </si>
  <si>
    <t>wind offshore resource in near Kagoshima -- Japan</t>
  </si>
  <si>
    <t>en_wof_JPN_005</t>
  </si>
  <si>
    <t>wind offshore resource in near Hakodate -- Japan</t>
  </si>
  <si>
    <t>en_wof_JPN_006</t>
  </si>
  <si>
    <t>wind offshore resource in Hokkaidō region (near Asahikawa) -- Japan</t>
  </si>
  <si>
    <t>en_wof_JPN_007</t>
  </si>
  <si>
    <t>wind offshore resource in near Niigata -- Japan</t>
  </si>
  <si>
    <t>en_wof_JPN_008</t>
  </si>
  <si>
    <t>wind offshore resource in near Izumo -- Japan</t>
  </si>
  <si>
    <t>en_wof_JPN_009</t>
  </si>
  <si>
    <t>wind offshore resource in near Yokosuka -- Japan</t>
  </si>
  <si>
    <t>en_wof_JPN_010</t>
  </si>
  <si>
    <t>wind offshore resource in near Iwata -- Japan</t>
  </si>
  <si>
    <t>en_wof_JPN_011</t>
  </si>
  <si>
    <t>wind offshore resource in near Fujita -- Japan</t>
  </si>
  <si>
    <t>en_wof_JPN_012</t>
  </si>
  <si>
    <t>wind offshore resource in near Iwaki -- Japan</t>
  </si>
  <si>
    <t>en_wof_KAZ_001</t>
  </si>
  <si>
    <t>wind offshore resource in near Zhangaozen -- Kazakhstan</t>
  </si>
  <si>
    <t>en_wof_KAZ_002</t>
  </si>
  <si>
    <t>wind offshore resource in near Aqtau -- Kazakhstan</t>
  </si>
  <si>
    <t>en_wof_KAZ_003</t>
  </si>
  <si>
    <t>en_wof_KAZ_004</t>
  </si>
  <si>
    <t>en_wof_KEN_001</t>
  </si>
  <si>
    <t>wind offshore resource in near Mombasa -- Kenya</t>
  </si>
  <si>
    <t>en_wof_KEN_002</t>
  </si>
  <si>
    <t>en_wof_KEN_003</t>
  </si>
  <si>
    <t>en_wof_KHM_001</t>
  </si>
  <si>
    <t>wind offshore resource in near Battambang -- Cambodia</t>
  </si>
  <si>
    <t>en_wof_KHM_002</t>
  </si>
  <si>
    <t>wind offshore resource in Kien Giang region (near Phnom Penh) -- Cambodia</t>
  </si>
  <si>
    <t>en_wof_KOR_001</t>
  </si>
  <si>
    <t>wind offshore resource in near Incheon -- South Korea</t>
  </si>
  <si>
    <t>en_wof_KOR_002</t>
  </si>
  <si>
    <t>wind offshore resource in near Gwangju -- South Korea</t>
  </si>
  <si>
    <t>en_wof_KOR_003</t>
  </si>
  <si>
    <t>en_wof_KOR_004</t>
  </si>
  <si>
    <t>wind offshore resource in near Busan -- South Korea</t>
  </si>
  <si>
    <t>en_wof_KOR_005</t>
  </si>
  <si>
    <t>en_wof_KOR_006</t>
  </si>
  <si>
    <t>en_wof_KOR_007</t>
  </si>
  <si>
    <t>wind offshore resource in near Ulsan -- South Korea</t>
  </si>
  <si>
    <t>en_wof_KOR_008</t>
  </si>
  <si>
    <t>wind offshore resource in near Daegu -- South Korea</t>
  </si>
  <si>
    <t>en_wof_KWT_001</t>
  </si>
  <si>
    <t>wind offshore resource in Al Jahra region (near Al Jahra') -- Kuwait</t>
  </si>
  <si>
    <t>en_wof_KWT_002</t>
  </si>
  <si>
    <t>wind offshore resource in Hawally region (near Kuwait City) -- Kuwait</t>
  </si>
  <si>
    <t>en_wof_LBN_001</t>
  </si>
  <si>
    <t>wind offshore resource in near Sidon -- Lebanon</t>
  </si>
  <si>
    <t>en_wof_LBN_002</t>
  </si>
  <si>
    <t>wind offshore resource in near Beirut -- Lebanon</t>
  </si>
  <si>
    <t>en_wof_LBN_003</t>
  </si>
  <si>
    <t>wind offshore resource in Mount Lebanon region (near Jounie) -- Lebanon</t>
  </si>
  <si>
    <t>en_wof_LBN_004</t>
  </si>
  <si>
    <t>wind offshore resource in near El Minie -- Lebanon</t>
  </si>
  <si>
    <t>en_wof_LBR_001</t>
  </si>
  <si>
    <t>wind offshore resource in near Yeebo Town -- Liberia</t>
  </si>
  <si>
    <t>en_wof_LBR_002</t>
  </si>
  <si>
    <t>wind offshore resource in near Monrovia -- Liberia</t>
  </si>
  <si>
    <t>en_wof_LBR_003</t>
  </si>
  <si>
    <t>en_wof_LBY_001</t>
  </si>
  <si>
    <t>wind offshore resource in near Tripoli -- Libya</t>
  </si>
  <si>
    <t>en_wof_LBY_002</t>
  </si>
  <si>
    <t>wind offshore resource in near Al Khums -- Libya</t>
  </si>
  <si>
    <t>en_wof_LBY_003</t>
  </si>
  <si>
    <t>wind offshore resource in near Misratah -- Libya</t>
  </si>
  <si>
    <t>en_wof_LBY_004</t>
  </si>
  <si>
    <t>wind offshore resource in near Tobruk -- Libya</t>
  </si>
  <si>
    <t>en_wof_LBY_005</t>
  </si>
  <si>
    <t>wind offshore resource in near Ajdabiya -- Libya</t>
  </si>
  <si>
    <t>en_wof_LBY_006</t>
  </si>
  <si>
    <t>wind offshore resource in near Benghazi -- Libya</t>
  </si>
  <si>
    <t>en_wof_LKA_001</t>
  </si>
  <si>
    <t>wind offshore resource in Hambantota region (near Tangalla) -- Sri Lanka</t>
  </si>
  <si>
    <t>en_wof_LKA_002</t>
  </si>
  <si>
    <t>wind offshore resource in near Jaffna -- Sri Lanka</t>
  </si>
  <si>
    <t>en_wof_LKA_003</t>
  </si>
  <si>
    <t>wind offshore resource in near Trincomalee -- Sri Lanka</t>
  </si>
  <si>
    <t>en_wof_LKA_004</t>
  </si>
  <si>
    <t>wind offshore resource in near Kalpitiya -- Sri Lanka</t>
  </si>
  <si>
    <t>en_wof_LTU_001</t>
  </si>
  <si>
    <t>wind offshore resource in near Klaipeda -- Lithuania</t>
  </si>
  <si>
    <t>en_wof_LTU_002</t>
  </si>
  <si>
    <t>en_wof_LVA_001</t>
  </si>
  <si>
    <t>wind offshore resource in near Jurmala -- Latvia</t>
  </si>
  <si>
    <t>en_wof_LVA_002</t>
  </si>
  <si>
    <t>wind offshore resource in near Liepaja -- Latvia</t>
  </si>
  <si>
    <t>en_wof_MAR_001</t>
  </si>
  <si>
    <t>wind offshore resource in near Essaouira -- Morocco</t>
  </si>
  <si>
    <t>en_wof_MAR_002</t>
  </si>
  <si>
    <t>wind offshore resource in near Tan-Tan -- Morocco</t>
  </si>
  <si>
    <t>en_wof_MAR_003</t>
  </si>
  <si>
    <t>wind offshore resource in near Beni Enzar -- Morocco</t>
  </si>
  <si>
    <t>en_wof_MAR_004</t>
  </si>
  <si>
    <t>wind offshore resource in near Larache -- Morocco</t>
  </si>
  <si>
    <t>en_wof_MAR_005</t>
  </si>
  <si>
    <t>wind offshore resource in near Dabouziya -- Morocco</t>
  </si>
  <si>
    <t>en_wof_MDG_001</t>
  </si>
  <si>
    <t>wind offshore resource in Atsimo-Andrefana region (near Morombe) -- Madagascar</t>
  </si>
  <si>
    <t>en_wof_MDG_002</t>
  </si>
  <si>
    <t>wind offshore resource in near Manompana -- Madagascar</t>
  </si>
  <si>
    <t>en_wof_MDG_003</t>
  </si>
  <si>
    <t>wind offshore resource in Diana region (near Ambilobe) -- Madagascar</t>
  </si>
  <si>
    <t>en_wof_MDG_004</t>
  </si>
  <si>
    <t>wind offshore resource in near Manambondro -- Madagascar</t>
  </si>
  <si>
    <t>en_wof_MDG_005</t>
  </si>
  <si>
    <t>wind offshore resource in near Betanty -- Madagascar</t>
  </si>
  <si>
    <t>en_wof_MEX_001</t>
  </si>
  <si>
    <t>wind offshore resource in near Ensenada -- Mexico</t>
  </si>
  <si>
    <t>en_wof_MEX_002</t>
  </si>
  <si>
    <t>wind offshore resource in near Guaymas -- Mexico</t>
  </si>
  <si>
    <t>en_wof_MEX_003</t>
  </si>
  <si>
    <t>wind offshore resource in near Hermosillo -- Mexico</t>
  </si>
  <si>
    <t>en_wof_MEX_004</t>
  </si>
  <si>
    <t>en_wof_MEX_005</t>
  </si>
  <si>
    <t>wind offshore resource in near Cancun -- Mexico</t>
  </si>
  <si>
    <t>en_wof_MEX_006</t>
  </si>
  <si>
    <t>wind offshore resource in near Merida -- Mexico</t>
  </si>
  <si>
    <t>en_wof_MEX_007</t>
  </si>
  <si>
    <t>wind offshore resource in near Ciudad Madero -- Mexico</t>
  </si>
  <si>
    <t>en_wof_MEX_008</t>
  </si>
  <si>
    <t>wind offshore resource in near Tuxtla -- Mexico</t>
  </si>
  <si>
    <t>en_wof_MEX_009</t>
  </si>
  <si>
    <t>wind offshore resource in near San Andres Tuxtla -- Mexico</t>
  </si>
  <si>
    <t>en_wof_MLT_001</t>
  </si>
  <si>
    <t>wind offshore resource in near Marsaskala -- Malta</t>
  </si>
  <si>
    <t>en_wof_MLT_002</t>
  </si>
  <si>
    <t>wind offshore resource in near Saint Paul's Bay -- Malta</t>
  </si>
  <si>
    <t>en_wof_MLT_003</t>
  </si>
  <si>
    <t>en_wof_MMR_001</t>
  </si>
  <si>
    <t>wind offshore resource in near Myeik -- Myanmar</t>
  </si>
  <si>
    <t>en_wof_MMR_002</t>
  </si>
  <si>
    <t>wind offshore resource in near Maungdaw -- Myanmar</t>
  </si>
  <si>
    <t>en_wof_MMR_003</t>
  </si>
  <si>
    <t>wind offshore resource in near Pathein -- Myanmar</t>
  </si>
  <si>
    <t>en_wof_MMR_004</t>
  </si>
  <si>
    <t>en_wof_MNE_001</t>
  </si>
  <si>
    <t>wind offshore resource in near Bar -- Montenegro</t>
  </si>
  <si>
    <t>en_wof_MNE_002</t>
  </si>
  <si>
    <t>wind offshore resource in Cetinje region (near Budva) -- Montenegro</t>
  </si>
  <si>
    <t>en_wof_MOZ_001</t>
  </si>
  <si>
    <t>wind offshore resource in near Maputo -- Mozambique</t>
  </si>
  <si>
    <t>en_wof_MOZ_002</t>
  </si>
  <si>
    <t>en_wof_MOZ_003</t>
  </si>
  <si>
    <t>wind offshore resource in near Cidade de Nacala -- Mozambique</t>
  </si>
  <si>
    <t>en_wof_MOZ_004</t>
  </si>
  <si>
    <t>wind offshore resource in near Antonio Enes -- Mozambique</t>
  </si>
  <si>
    <t>en_wof_MOZ_005</t>
  </si>
  <si>
    <t>wind offshore resource in near Beira -- Mozambique</t>
  </si>
  <si>
    <t>en_wof_MRT_001</t>
  </si>
  <si>
    <t>wind offshore resource in near Nouadhibou -- Mauritania</t>
  </si>
  <si>
    <t>en_wof_MRT_002</t>
  </si>
  <si>
    <t>wind offshore resource in near Nouakchott -- Mauritania</t>
  </si>
  <si>
    <t>en_wof_MRT_003</t>
  </si>
  <si>
    <t>wind offshore resource in near Arafat -- Mauritania</t>
  </si>
  <si>
    <t>en_wof_MRT_004</t>
  </si>
  <si>
    <t>en_wof_MYS_001</t>
  </si>
  <si>
    <t>wind offshore resource in near Kuching -- Malaysia</t>
  </si>
  <si>
    <t>en_wof_MYS_002</t>
  </si>
  <si>
    <t>wind offshore resource in near Kota Bharu -- Malaysia</t>
  </si>
  <si>
    <t>en_wof_MYS_003</t>
  </si>
  <si>
    <t>wind offshore resource in near Kota Kinabalu -- Malaysia</t>
  </si>
  <si>
    <t>en_wof_MYS_004</t>
  </si>
  <si>
    <t>en_wof_NAM_001</t>
  </si>
  <si>
    <t>wind offshore resource in near Oshakati -- Namibia</t>
  </si>
  <si>
    <t>en_wof_NAM_002</t>
  </si>
  <si>
    <t>wind offshore resource in near Walvisbaai -- Namibia</t>
  </si>
  <si>
    <t>en_wof_NAM_003</t>
  </si>
  <si>
    <t>wind offshore resource in near Swakopmund -- Namibia</t>
  </si>
  <si>
    <t>en_wof_NAM_004</t>
  </si>
  <si>
    <t>wind offshore resource in near Rehoboth -- Namibia</t>
  </si>
  <si>
    <t>en_wof_NAM_005</t>
  </si>
  <si>
    <t>en_wof_NAM_006</t>
  </si>
  <si>
    <t>en_wof_NCL_001</t>
  </si>
  <si>
    <t>wind offshore resource in near Dumbea -- New Caledonia</t>
  </si>
  <si>
    <t>en_wof_NCL_002</t>
  </si>
  <si>
    <t>wind offshore resource in near Noumea -- New Caledonia</t>
  </si>
  <si>
    <t>en_wof_NCL_003</t>
  </si>
  <si>
    <t>en_wof_NGA_001</t>
  </si>
  <si>
    <t>wind offshore resource in near Lagos -- Nigeria</t>
  </si>
  <si>
    <t>en_wof_NGA_002</t>
  </si>
  <si>
    <t>wind offshore resource in near Benin City -- Nigeria</t>
  </si>
  <si>
    <t>en_wof_NGA_003</t>
  </si>
  <si>
    <t>wind offshore resource in near Port Harcourt -- Nigeria</t>
  </si>
  <si>
    <t>en_wof_NGA_004</t>
  </si>
  <si>
    <t>en_wof_NIC_001</t>
  </si>
  <si>
    <t>wind offshore resource in near Rivas -- Nicaragua</t>
  </si>
  <si>
    <t>en_wof_NIC_002</t>
  </si>
  <si>
    <t>wind offshore resource in near San Rafael del Sur -- Nicaragua</t>
  </si>
  <si>
    <t>en_wof_NIC_003</t>
  </si>
  <si>
    <t>wind offshore resource in near Prinzapolka -- Nicaragua</t>
  </si>
  <si>
    <t>en_wof_NIC_004</t>
  </si>
  <si>
    <t>wind offshore resource in near Bilwi -- Nicaragua</t>
  </si>
  <si>
    <t>en_wof_NIC_005</t>
  </si>
  <si>
    <t>en_wof_NLD_001</t>
  </si>
  <si>
    <t>wind offshore resource in near Den Helder -- Netherlands</t>
  </si>
  <si>
    <t>en_wof_NLD_002</t>
  </si>
  <si>
    <t>wind offshore resource in near Scheveningen -- Netherlands</t>
  </si>
  <si>
    <t>en_wof_NOR_001</t>
  </si>
  <si>
    <t>wind offshore resource in near Tromso -- Norway</t>
  </si>
  <si>
    <t>en_wof_NOR_002</t>
  </si>
  <si>
    <t>wind offshore resource in Finnmark region (near Tromso) -- Norway</t>
  </si>
  <si>
    <t>en_wof_NOR_003</t>
  </si>
  <si>
    <t>en_wof_NOR_004</t>
  </si>
  <si>
    <t>en_wof_NOR_005</t>
  </si>
  <si>
    <t>wind offshore resource in near Askoy -- Norway</t>
  </si>
  <si>
    <t>en_wof_NOR_006</t>
  </si>
  <si>
    <t>wind offshore resource in near Arendal -- Norway</t>
  </si>
  <si>
    <t>en_wof_NOR_007</t>
  </si>
  <si>
    <t>wind offshore resource in near Helleland -- Norway</t>
  </si>
  <si>
    <t>en_wof_NOR_008</t>
  </si>
  <si>
    <t>wind offshore resource in near Harstad -- Norway</t>
  </si>
  <si>
    <t>en_wof_NOR_009</t>
  </si>
  <si>
    <t>wind offshore resource in near Bodo -- Norway</t>
  </si>
  <si>
    <t>en_wof_NOR_010</t>
  </si>
  <si>
    <t>wind offshore resource in near Molde -- Norway</t>
  </si>
  <si>
    <t>en_wof_NZL_001</t>
  </si>
  <si>
    <t>wind offshore resource in Northland region (near Northcote) -- New Zealand</t>
  </si>
  <si>
    <t>en_wof_NZL_002</t>
  </si>
  <si>
    <t>wind offshore resource in near Tauranga -- New Zealand</t>
  </si>
  <si>
    <t>en_wof_NZL_003</t>
  </si>
  <si>
    <t>en_wof_NZL_004</t>
  </si>
  <si>
    <t>wind offshore resource in near Hamilton -- New Zealand</t>
  </si>
  <si>
    <t>en_wof_NZL_005</t>
  </si>
  <si>
    <t>wind offshore resource in near Christchurch -- New Zealand</t>
  </si>
  <si>
    <t>en_wof_NZL_006</t>
  </si>
  <si>
    <t>en_wof_NZL_007</t>
  </si>
  <si>
    <t>en_wof_NZL_008</t>
  </si>
  <si>
    <t>en_wof_NZL_009</t>
  </si>
  <si>
    <t>en_wof_NZL_010</t>
  </si>
  <si>
    <t>wind offshore resource in near Wellington -- New Zealand</t>
  </si>
  <si>
    <t>en_wof_OMN_001</t>
  </si>
  <si>
    <t>wind offshore resource in near Salalah -- Oman</t>
  </si>
  <si>
    <t>en_wof_OMN_002</t>
  </si>
  <si>
    <t>wind offshore resource in near Bawshar -- Oman</t>
  </si>
  <si>
    <t>en_wof_OMN_003</t>
  </si>
  <si>
    <t>wind offshore resource in near Muscat -- Oman</t>
  </si>
  <si>
    <t>en_wof_OMN_004</t>
  </si>
  <si>
    <t>en_wof_PAK_001</t>
  </si>
  <si>
    <t>wind offshore resource in near Karachi -- Pakistan</t>
  </si>
  <si>
    <t>en_wof_PAK_002</t>
  </si>
  <si>
    <t>en_wof_PAK_003</t>
  </si>
  <si>
    <t>en_wof_PAN_001</t>
  </si>
  <si>
    <t>wind offshore resource in near La Chorrera -- Panama</t>
  </si>
  <si>
    <t>en_wof_PAN_002</t>
  </si>
  <si>
    <t>wind offshore resource in near Tocumen -- Panama</t>
  </si>
  <si>
    <t>en_wof_PER_001</t>
  </si>
  <si>
    <t>wind offshore resource in near Piura -- Peru</t>
  </si>
  <si>
    <t>en_wof_PER_002</t>
  </si>
  <si>
    <t>en_wof_PER_003</t>
  </si>
  <si>
    <t>wind offshore resource in near Trujillo -- Peru</t>
  </si>
  <si>
    <t>en_wof_PER_004</t>
  </si>
  <si>
    <t>wind offshore resource in near Ica -- Peru</t>
  </si>
  <si>
    <t>en_wof_PER_005</t>
  </si>
  <si>
    <t>wind offshore resource in near Chimbote -- Peru</t>
  </si>
  <si>
    <t>en_wof_PHL_001</t>
  </si>
  <si>
    <t>wind offshore resource in near Batarasa -- Philippines</t>
  </si>
  <si>
    <t>en_wof_PHL_002</t>
  </si>
  <si>
    <t>wind offshore resource in near Quezon -- Philippines</t>
  </si>
  <si>
    <t>en_wof_PHL_003</t>
  </si>
  <si>
    <t>wind offshore resource in near Taytay -- Philippines</t>
  </si>
  <si>
    <t>en_wof_PHL_004</t>
  </si>
  <si>
    <t>wind offshore resource in near Laoag -- Philippines</t>
  </si>
  <si>
    <t>en_wof_PHL_005</t>
  </si>
  <si>
    <t>wind offshore resource in near Aparri -- Philippines</t>
  </si>
  <si>
    <t>en_wof_PHL_006</t>
  </si>
  <si>
    <t>wind offshore resource in near Daet -- Philippines</t>
  </si>
  <si>
    <t>en_wof_PHL_007</t>
  </si>
  <si>
    <t>wind offshore resource in near Cawayan -- Philippines</t>
  </si>
  <si>
    <t>en_wof_PHL_008</t>
  </si>
  <si>
    <t>wind offshore resource in near San Jose -- Philippines</t>
  </si>
  <si>
    <t>en_wof_PNG_001</t>
  </si>
  <si>
    <t>wind offshore resource in near Lae -- Papua New Guinea</t>
  </si>
  <si>
    <t>en_wof_PNG_002</t>
  </si>
  <si>
    <t>wind offshore resource in near Arawa -- Papua New Guinea</t>
  </si>
  <si>
    <t>en_wof_PNG_003</t>
  </si>
  <si>
    <t>wind offshore resource in near Popondetta -- Papua New Guinea</t>
  </si>
  <si>
    <t>en_wof_PNG_004</t>
  </si>
  <si>
    <t>en_wof_PNG_005</t>
  </si>
  <si>
    <t>wind offshore resource in near Mendi -- Papua New Guinea</t>
  </si>
  <si>
    <t>en_wof_PNG_006</t>
  </si>
  <si>
    <t>wind offshore resource in near Port Moresby -- Papua New Guinea</t>
  </si>
  <si>
    <t>en_wof_POL_001</t>
  </si>
  <si>
    <t>wind offshore resource in near Gdynia -- Poland</t>
  </si>
  <si>
    <t>en_wof_POL_002</t>
  </si>
  <si>
    <t>wind offshore resource in near Wejherowo -- Poland</t>
  </si>
  <si>
    <t>en_wof_POL_003</t>
  </si>
  <si>
    <t>wind offshore resource in near Koszalin -- Poland</t>
  </si>
  <si>
    <t>en_wof_PRI_001</t>
  </si>
  <si>
    <t>wind offshore resource in near Bayamon -- Puerto Rico</t>
  </si>
  <si>
    <t>en_wof_PRI_002</t>
  </si>
  <si>
    <t>wind offshore resource in Puerto Rico region (near Carolina) -- Puerto Rico</t>
  </si>
  <si>
    <t>en_wof_PRI_003</t>
  </si>
  <si>
    <t>wind offshore resource in near Aguadilla -- Puerto Rico</t>
  </si>
  <si>
    <t>en_wof_PRI_004</t>
  </si>
  <si>
    <t>en_wof_PRK_001</t>
  </si>
  <si>
    <t>wind offshore resource in near Nampo -- Dem. People^s Rep. Korea</t>
  </si>
  <si>
    <t>en_wof_PRK_002</t>
  </si>
  <si>
    <t>wind offshore resource in near Wonsan -- Dem. People^s Rep. Korea</t>
  </si>
  <si>
    <t>en_wof_PRK_003</t>
  </si>
  <si>
    <t>wind offshore resource in near Tanch'on -- Dem. People^s Rep. Korea</t>
  </si>
  <si>
    <t>en_wof_PRT_001</t>
  </si>
  <si>
    <t>wind offshore resource in near Olhao -- Portugal</t>
  </si>
  <si>
    <t>en_wof_PRT_002</t>
  </si>
  <si>
    <t>wind offshore resource in near Figueira da Foz -- Portugal</t>
  </si>
  <si>
    <t>en_wof_PRT_003</t>
  </si>
  <si>
    <t>wind offshore resource in near Cascais -- Portugal</t>
  </si>
  <si>
    <t>en_wof_PRT_004</t>
  </si>
  <si>
    <t>wind offshore resource in near Lagos -- Portugal</t>
  </si>
  <si>
    <t>en_wof_QAT_001</t>
  </si>
  <si>
    <t>wind offshore resource in near Laqtah -- Qatar</t>
  </si>
  <si>
    <t>en_wof_QAT_002</t>
  </si>
  <si>
    <t>en_wof_RUS_001</t>
  </si>
  <si>
    <t>wind offshore resource in near Petropavlovsk-Kamchatskiy -- Russia</t>
  </si>
  <si>
    <t>en_wof_RUS_002</t>
  </si>
  <si>
    <t>en_wof_RUS_003</t>
  </si>
  <si>
    <t>wind offshore resource in near Komsomol'sk-na-Amure -- Russia</t>
  </si>
  <si>
    <t>en_wof_RUS_004</t>
  </si>
  <si>
    <t>en_wof_RUS_005</t>
  </si>
  <si>
    <t>wind offshore resource in near Yuzhno-Sakhalinsk -- Russia</t>
  </si>
  <si>
    <t>en_wof_RUS_006</t>
  </si>
  <si>
    <t>en_wof_RUS_007</t>
  </si>
  <si>
    <t>en_wof_RUS_008</t>
  </si>
  <si>
    <t>wind offshore resource in Inner Mongolia region (near Blagoveshchensk) -- Russia</t>
  </si>
  <si>
    <t>en_wof_RUS_009</t>
  </si>
  <si>
    <t>wind offshore resource in near Norilsk -- Russia</t>
  </si>
  <si>
    <t>en_wof_RUS_010</t>
  </si>
  <si>
    <t>en_wof_RUS_011</t>
  </si>
  <si>
    <t>wind offshore resource in near Murmansk -- Russia</t>
  </si>
  <si>
    <t>en_wof_RUS_012</t>
  </si>
  <si>
    <t>en_wof_RUS_013</t>
  </si>
  <si>
    <t>en_wof_RUS_014</t>
  </si>
  <si>
    <t>en_wof_RUS_015</t>
  </si>
  <si>
    <t>en_wof_RUS_016</t>
  </si>
  <si>
    <t>en_wof_SAU_001</t>
  </si>
  <si>
    <t>wind offshore resource in near At Ta'if -- Saudi Arabia</t>
  </si>
  <si>
    <t>en_wof_SAU_002</t>
  </si>
  <si>
    <t>en_wof_SAU_003</t>
  </si>
  <si>
    <t>wind offshore resource in near Al Qatif -- Saudi Arabia</t>
  </si>
  <si>
    <t>en_wof_SAU_004</t>
  </si>
  <si>
    <t>wind offshore resource in near Jeddah -- Saudi Arabia</t>
  </si>
  <si>
    <t>en_wof_SAU_005</t>
  </si>
  <si>
    <t>en_wof_SAU_006</t>
  </si>
  <si>
    <t>wind offshore resource in near Tabuk -- Saudi Arabia</t>
  </si>
  <si>
    <t>en_wof_SDN_001</t>
  </si>
  <si>
    <t>wind offshore resource in near Port Sudan -- Sudan</t>
  </si>
  <si>
    <t>en_wof_SDN_002</t>
  </si>
  <si>
    <t>en_wof_SDN_003</t>
  </si>
  <si>
    <t>en_wof_SDN_004</t>
  </si>
  <si>
    <t>en_wof_SEN_001</t>
  </si>
  <si>
    <t>wind offshore resource in near Thies -- Senegal</t>
  </si>
  <si>
    <t>en_wof_SEN_002</t>
  </si>
  <si>
    <t>wind offshore resource in near Dakar -- Senegal</t>
  </si>
  <si>
    <t>en_wof_SEN_003</t>
  </si>
  <si>
    <t>wind offshore resource in near Mbour -- Senegal</t>
  </si>
  <si>
    <t>en_wof_SGP_001</t>
  </si>
  <si>
    <t>wind offshore resource in near Singapore -- Singapore</t>
  </si>
  <si>
    <t>en_wof_SGP_002</t>
  </si>
  <si>
    <t>en_wof_SLE_001</t>
  </si>
  <si>
    <t>wind offshore resource in near Bo -- Sierra Leone</t>
  </si>
  <si>
    <t>en_wof_SLE_002</t>
  </si>
  <si>
    <t>wind offshore resource in near Freetown -- Sierra Leone</t>
  </si>
  <si>
    <t>en_wof_SLE_003</t>
  </si>
  <si>
    <t>en_wof_SLV_001</t>
  </si>
  <si>
    <t>wind offshore resource in near San Francisco Menendez -- El Salvador</t>
  </si>
  <si>
    <t>en_wof_SLV_002</t>
  </si>
  <si>
    <t>wind offshore resource in near La Union -- El Salvador</t>
  </si>
  <si>
    <t>en_wof_SOM_001</t>
  </si>
  <si>
    <t>wind offshore resource in near Berbera -- Somalia</t>
  </si>
  <si>
    <t>en_wof_SOM_002</t>
  </si>
  <si>
    <t>en_wof_SOM_003</t>
  </si>
  <si>
    <t>en_wof_SOM_004</t>
  </si>
  <si>
    <t>wind offshore resource in near Boosaaso -- Somalia</t>
  </si>
  <si>
    <t>en_wof_SOM_005</t>
  </si>
  <si>
    <t>wind offshore resource in near Gaalkacyo -- Somalia</t>
  </si>
  <si>
    <t>en_wof_SOM_006</t>
  </si>
  <si>
    <t>wind offshore resource in near Mogadishu -- Somalia</t>
  </si>
  <si>
    <t>en_wof_SUR_001</t>
  </si>
  <si>
    <t>wind offshore resource in near Paramaribo -- Suriname</t>
  </si>
  <si>
    <t>en_wof_SUR_002</t>
  </si>
  <si>
    <t>en_wof_SUR_003</t>
  </si>
  <si>
    <t>en_wof_SWE_001</t>
  </si>
  <si>
    <t>wind offshore resource in near Skelleftea -- Sweden</t>
  </si>
  <si>
    <t>en_wof_SWE_002</t>
  </si>
  <si>
    <t>wind offshore resource in near Sundsvall -- Sweden</t>
  </si>
  <si>
    <t>en_wof_SWE_003</t>
  </si>
  <si>
    <t>wind offshore resource in near Uddevalla -- Sweden</t>
  </si>
  <si>
    <t>en_wof_SWE_004</t>
  </si>
  <si>
    <t>wind offshore resource in near Lidingo -- Sweden</t>
  </si>
  <si>
    <t>en_wof_SWE_005</t>
  </si>
  <si>
    <t>wind offshore resource in near Karlskrona -- Sweden</t>
  </si>
  <si>
    <t>en_wof_SWE_006</t>
  </si>
  <si>
    <t>wind offshore resource in near Vastervik -- Sweden</t>
  </si>
  <si>
    <t>en_wof_SYR_001</t>
  </si>
  <si>
    <t>wind offshore resource in near Latakia -- Syrian Arab Republic</t>
  </si>
  <si>
    <t>en_wof_SYR_002</t>
  </si>
  <si>
    <t>wind offshore resource in Latakia region (near Jablah) -- Syrian Arab Republic</t>
  </si>
  <si>
    <t>en_wof_TGO_001</t>
  </si>
  <si>
    <t>wind offshore resource in near Lome -- Togo</t>
  </si>
  <si>
    <t>en_wof_TGO_002</t>
  </si>
  <si>
    <t>en_wof_TGO_003</t>
  </si>
  <si>
    <t>en_wof_TGO_004</t>
  </si>
  <si>
    <t>wind offshore resource in Maritime region (near Lome) -- Togo</t>
  </si>
  <si>
    <t>en_wof_THA_001</t>
  </si>
  <si>
    <t>wind offshore resource in near Phatthaya -- Thailand</t>
  </si>
  <si>
    <t>en_wof_THA_002</t>
  </si>
  <si>
    <t>wind offshore resource in near Surat Thani -- Thailand</t>
  </si>
  <si>
    <t>en_wof_THA_003</t>
  </si>
  <si>
    <t>en_wof_THA_004</t>
  </si>
  <si>
    <t>en_wof_TKM_001</t>
  </si>
  <si>
    <t>wind offshore resource in near Turkmenbasy -- Turkmenistan</t>
  </si>
  <si>
    <t>en_wof_TKM_002</t>
  </si>
  <si>
    <t>en_wof_TKM_003</t>
  </si>
  <si>
    <t>en_wof_TTO_001</t>
  </si>
  <si>
    <t>wind offshore resource in near Arima -- Trinidad and Tobago</t>
  </si>
  <si>
    <t>en_wof_TTO_002</t>
  </si>
  <si>
    <t>wind offshore resource in near Diego Martin -- Trinidad and Tobago</t>
  </si>
  <si>
    <t>en_wof_TTO_003</t>
  </si>
  <si>
    <t>en_wof_TUN_001</t>
  </si>
  <si>
    <t>wind offshore resource in near Beja -- Tunisia</t>
  </si>
  <si>
    <t>en_wof_TUN_002</t>
  </si>
  <si>
    <t>wind offshore resource in near Bizerte -- Tunisia</t>
  </si>
  <si>
    <t>en_wof_TUN_003</t>
  </si>
  <si>
    <t>wind offshore resource in near Midoun -- Tunisia</t>
  </si>
  <si>
    <t>en_wof_TUN_004</t>
  </si>
  <si>
    <t>wind offshore resource in near Monastir -- Tunisia</t>
  </si>
  <si>
    <t>en_wof_TUN_005</t>
  </si>
  <si>
    <t>wind offshore resource in near Mahdia -- Tunisia</t>
  </si>
  <si>
    <t>en_wof_TUR_001</t>
  </si>
  <si>
    <t>wind offshore resource in Tekirdağ region (near Cerkezkoy) -- Turkey</t>
  </si>
  <si>
    <t>en_wof_TUR_002</t>
  </si>
  <si>
    <t>wind offshore resource in near Bodrum -- Turkey</t>
  </si>
  <si>
    <t>en_wof_TUR_003</t>
  </si>
  <si>
    <t>wind offshore resource in İzmir region (near Cigli) -- Turkey</t>
  </si>
  <si>
    <t>en_wof_TUR_004</t>
  </si>
  <si>
    <t>wind offshore resource in near Mezitli -- Turkey</t>
  </si>
  <si>
    <t>en_wof_TUR_005</t>
  </si>
  <si>
    <t>wind offshore resource in near Samsun -- Turkey</t>
  </si>
  <si>
    <t>en_wof_TWN_001</t>
  </si>
  <si>
    <t>wind offshore resource in near Kaohsiung -- Taiwan</t>
  </si>
  <si>
    <t>en_wof_TWN_002</t>
  </si>
  <si>
    <t>wind offshore resource in near Pingtung -- Taiwan</t>
  </si>
  <si>
    <t>en_wof_TWN_003</t>
  </si>
  <si>
    <t>wind offshore resource in near Taitung -- Taiwan</t>
  </si>
  <si>
    <t>en_wof_TWN_004</t>
  </si>
  <si>
    <t>wind offshore resource in near Changhua -- Taiwan</t>
  </si>
  <si>
    <t>en_wof_TWN_005</t>
  </si>
  <si>
    <t>wind offshore resource in near Keelung -- Taiwan</t>
  </si>
  <si>
    <t>en_wof_TWN_006</t>
  </si>
  <si>
    <t>wind offshore resource in near Tainan -- Taiwan</t>
  </si>
  <si>
    <t>en_wof_TZA_001</t>
  </si>
  <si>
    <t>wind offshore resource in near Dar es Salaam -- Tanzania</t>
  </si>
  <si>
    <t>en_wof_TZA_002</t>
  </si>
  <si>
    <t>wind offshore resource in near Tanga -- Tanzania</t>
  </si>
  <si>
    <t>en_wof_TZA_003</t>
  </si>
  <si>
    <t>en_wof_UKR_001</t>
  </si>
  <si>
    <t>wind offshore resource in near Yevpatoriia -- Ukraine</t>
  </si>
  <si>
    <t>en_wof_UKR_002</t>
  </si>
  <si>
    <t>wind offshore resource in near Yalta -- Ukraine</t>
  </si>
  <si>
    <t>en_wof_UKR_003</t>
  </si>
  <si>
    <t>wind offshore resource in near Fedosiia -- Ukraine</t>
  </si>
  <si>
    <t>en_wof_URY_001</t>
  </si>
  <si>
    <t>wind offshore resource in near Maldonado -- Uruguay</t>
  </si>
  <si>
    <t>en_wof_URY_002</t>
  </si>
  <si>
    <t>en_wof_URY_003</t>
  </si>
  <si>
    <t>en_wof_USA_001</t>
  </si>
  <si>
    <t>wind offshore resource in Michigan region (near Duluth) -- United States</t>
  </si>
  <si>
    <t>en_wof_USA_002</t>
  </si>
  <si>
    <t>wind offshore resource in Michigan region (near Green Bay) -- United States</t>
  </si>
  <si>
    <t>en_wof_USA_003</t>
  </si>
  <si>
    <t>wind offshore resource in near Port Arthur -- United States</t>
  </si>
  <si>
    <t>en_wof_USA_004</t>
  </si>
  <si>
    <t>wind offshore resource in Kentucky region (near Knoxville) -- United States</t>
  </si>
  <si>
    <t>en_wof_USA_005</t>
  </si>
  <si>
    <t>wind offshore resource in New York region (near Greece) -- United States</t>
  </si>
  <si>
    <t>en_wof_USA_006</t>
  </si>
  <si>
    <t>wind offshore resource in near Lynn -- United States</t>
  </si>
  <si>
    <t>en_wof_VEN_001</t>
  </si>
  <si>
    <t>wind offshore resource in near Coro -- Venezuela</t>
  </si>
  <si>
    <t>en_wof_VEN_002</t>
  </si>
  <si>
    <t>wind offshore resource in near Catia La Mar -- Venezuela</t>
  </si>
  <si>
    <t>en_wof_VEN_003</t>
  </si>
  <si>
    <t>wind offshore resource in near Puerto La Cruz -- Venezuela</t>
  </si>
  <si>
    <t>en_wof_VEN_004</t>
  </si>
  <si>
    <t>wind offshore resource in near Carupano -- Venezuela</t>
  </si>
  <si>
    <t>en_wof_VEN_005</t>
  </si>
  <si>
    <t>wind offshore resource in near Ciudad Guayana -- Venezuela</t>
  </si>
  <si>
    <t>en_wof_VEN_006</t>
  </si>
  <si>
    <t>en_wof_VNM_001</t>
  </si>
  <si>
    <t>wind offshore resource in near Rach Gia -- Vietnam</t>
  </si>
  <si>
    <t>en_wof_VNM_002</t>
  </si>
  <si>
    <t>wind offshore resource in near Nha Trang -- Vietnam</t>
  </si>
  <si>
    <t>en_wof_VNM_003</t>
  </si>
  <si>
    <t>wind offshore resource in near Vung Tau -- Vietnam</t>
  </si>
  <si>
    <t>en_wof_VNM_004</t>
  </si>
  <si>
    <t>wind offshore resource in near Tuy Hoa -- Vietnam</t>
  </si>
  <si>
    <t>en_wof_VNM_005</t>
  </si>
  <si>
    <t>wind offshore resource in near Quang Ngai -- Vietnam</t>
  </si>
  <si>
    <t>en_wof_VNM_006</t>
  </si>
  <si>
    <t>wind offshore resource in near Hue -- Vietnam</t>
  </si>
  <si>
    <t>en_wof_VNM_007</t>
  </si>
  <si>
    <t>wind offshore resource in near Nghi Son -- Vietnam</t>
  </si>
  <si>
    <t>en_wof_VNM_008</t>
  </si>
  <si>
    <t>en_wof_YEM_001</t>
  </si>
  <si>
    <t>wind offshore resource in near Al Hudaydah -- Yemen</t>
  </si>
  <si>
    <t>en_wof_YEM_002</t>
  </si>
  <si>
    <t>en_wof_YEM_003</t>
  </si>
  <si>
    <t>wind offshore resource in near Aden -- Yemen</t>
  </si>
  <si>
    <t>en_wof_YEM_004</t>
  </si>
  <si>
    <t>wind offshore resource in near Al Mukalla -- Yemen</t>
  </si>
  <si>
    <t>en_wof_YEM_005</t>
  </si>
  <si>
    <t>en_wof_ZAF_001</t>
  </si>
  <si>
    <t>wind offshore resource in near Cape Town -- South Africa</t>
  </si>
  <si>
    <t>en_wof_ZAF_002</t>
  </si>
  <si>
    <t>en_wof_ZAF_003</t>
  </si>
  <si>
    <t>wind offshore resource in near East London -- South Africa</t>
  </si>
  <si>
    <t>en_wof_ZAF_004</t>
  </si>
  <si>
    <t>wind offshore resource in near Nqutu -- South Africa</t>
  </si>
  <si>
    <t>en_wof_ZAF_005</t>
  </si>
  <si>
    <t>wind offshore resource in near Khayelitsha -- South Africa</t>
  </si>
  <si>
    <t>en_wof_ZAF_006</t>
  </si>
  <si>
    <t>wind offshore resource in near Gqeberha -- South Africa</t>
  </si>
  <si>
    <t>en_wof_ZAF_007</t>
  </si>
  <si>
    <t>wind offshore resource in near Bethelsdorp -- South Africa</t>
  </si>
  <si>
    <t>elc_wof_AGO_001</t>
  </si>
  <si>
    <t>elc_wof_AGO_002</t>
  </si>
  <si>
    <t>elc_wof_ALB_001</t>
  </si>
  <si>
    <t>elc_wof_ALB_002</t>
  </si>
  <si>
    <t>elc_wof_ARE_001</t>
  </si>
  <si>
    <t>elc_wof_ARE_002</t>
  </si>
  <si>
    <t>elc_wof_ARG_001</t>
  </si>
  <si>
    <t>elc_wof_ARG_002</t>
  </si>
  <si>
    <t>elc_wof_ARG_003</t>
  </si>
  <si>
    <t>elc_wof_ARG_004</t>
  </si>
  <si>
    <t>elc_wof_ARG_005</t>
  </si>
  <si>
    <t>elc_wof_ARG_006</t>
  </si>
  <si>
    <t>elc_wof_ARG_007</t>
  </si>
  <si>
    <t>elc_wof_ARG_008</t>
  </si>
  <si>
    <t>elc_wof_ARG_009</t>
  </si>
  <si>
    <t>elc_wof_AUS_001</t>
  </si>
  <si>
    <t>elc_wof_AUS_002</t>
  </si>
  <si>
    <t>elc_wof_AUS_003</t>
  </si>
  <si>
    <t>elc_wof_AUS_004</t>
  </si>
  <si>
    <t>elc_wof_AUS_005</t>
  </si>
  <si>
    <t>elc_wof_AUS_006</t>
  </si>
  <si>
    <t>elc_wof_AUS_007</t>
  </si>
  <si>
    <t>elc_wof_AUS_008</t>
  </si>
  <si>
    <t>elc_wof_AUS_009</t>
  </si>
  <si>
    <t>elc_wof_AUS_010</t>
  </si>
  <si>
    <t>elc_wof_AUS_011</t>
  </si>
  <si>
    <t>elc_wof_AUS_012</t>
  </si>
  <si>
    <t>elc_wof_AUS_013</t>
  </si>
  <si>
    <t>elc_wof_AZE_001</t>
  </si>
  <si>
    <t>elc_wof_AZE_002</t>
  </si>
  <si>
    <t>elc_wof_AZE_003</t>
  </si>
  <si>
    <t>elc_wof_AZE_004</t>
  </si>
  <si>
    <t>elc_wof_BEN_001</t>
  </si>
  <si>
    <t>elc_wof_BEN_002</t>
  </si>
  <si>
    <t>elc_wof_BGD_001</t>
  </si>
  <si>
    <t>elc_wof_BGD_002</t>
  </si>
  <si>
    <t>elc_wof_BGD_003</t>
  </si>
  <si>
    <t>elc_wof_BGR_001</t>
  </si>
  <si>
    <t>elc_wof_BGR_002</t>
  </si>
  <si>
    <t>elc_wof_BGR_003</t>
  </si>
  <si>
    <t>elc_wof_BRA_001</t>
  </si>
  <si>
    <t>elc_wof_BRA_002</t>
  </si>
  <si>
    <t>elc_wof_BRA_003</t>
  </si>
  <si>
    <t>elc_wof_BRA_004</t>
  </si>
  <si>
    <t>elc_wof_BRA_005</t>
  </si>
  <si>
    <t>elc_wof_BRA_006</t>
  </si>
  <si>
    <t>elc_wof_BRA_007</t>
  </si>
  <si>
    <t>elc_wof_BRA_008</t>
  </si>
  <si>
    <t>elc_wof_BRA_009</t>
  </si>
  <si>
    <t>elc_wof_BRA_010</t>
  </si>
  <si>
    <t>elc_wof_CAN_001</t>
  </si>
  <si>
    <t>elc_wof_CAN_002</t>
  </si>
  <si>
    <t>elc_wof_CAN_003</t>
  </si>
  <si>
    <t>elc_wof_CAN_004</t>
  </si>
  <si>
    <t>elc_wof_CAN_005</t>
  </si>
  <si>
    <t>elc_wof_CAN_006</t>
  </si>
  <si>
    <t>elc_wof_CAN_007</t>
  </si>
  <si>
    <t>elc_wof_CAN_008</t>
  </si>
  <si>
    <t>elc_wof_CAN_009</t>
  </si>
  <si>
    <t>elc_wof_CAN_010</t>
  </si>
  <si>
    <t>elc_wof_CAN_011</t>
  </si>
  <si>
    <t>elc_wof_CAN_012</t>
  </si>
  <si>
    <t>elc_wof_CAN_013</t>
  </si>
  <si>
    <t>elc_wof_CAN_014</t>
  </si>
  <si>
    <t>elc_wof_CAN_015</t>
  </si>
  <si>
    <t>elc_wof_CAN_016</t>
  </si>
  <si>
    <t>elc_wof_CAN_017</t>
  </si>
  <si>
    <t>elc_wof_CAN_018</t>
  </si>
  <si>
    <t>elc_wof_CAN_019</t>
  </si>
  <si>
    <t>elc_wof_CAN_020</t>
  </si>
  <si>
    <t>elc_wof_CAN_021</t>
  </si>
  <si>
    <t>elc_wof_CAN_022</t>
  </si>
  <si>
    <t>elc_wof_CHL_001</t>
  </si>
  <si>
    <t>elc_wof_CHL_002</t>
  </si>
  <si>
    <t>elc_wof_CHL_003</t>
  </si>
  <si>
    <t>elc_wof_CHL_004</t>
  </si>
  <si>
    <t>elc_wof_CHL_005</t>
  </si>
  <si>
    <t>elc_wof_CHL_006</t>
  </si>
  <si>
    <t>elc_wof_CHL_007</t>
  </si>
  <si>
    <t>elc_wof_CHL_008</t>
  </si>
  <si>
    <t>elc_wof_CHN_001</t>
  </si>
  <si>
    <t>elc_wof_CHN_002</t>
  </si>
  <si>
    <t>elc_wof_CHN_003</t>
  </si>
  <si>
    <t>elc_wof_CHN_004</t>
  </si>
  <si>
    <t>elc_wof_CHN_005</t>
  </si>
  <si>
    <t>elc_wof_CHN_006</t>
  </si>
  <si>
    <t>elc_wof_CHN_007</t>
  </si>
  <si>
    <t>elc_wof_CHN_008</t>
  </si>
  <si>
    <t>elc_wof_CHN_009</t>
  </si>
  <si>
    <t>elc_wof_CHN_010</t>
  </si>
  <si>
    <t>elc_wof_CIV_001</t>
  </si>
  <si>
    <t>elc_wof_CIV_002</t>
  </si>
  <si>
    <t>elc_wof_CIV_003</t>
  </si>
  <si>
    <t>elc_wof_COD_001</t>
  </si>
  <si>
    <t>elc_wof_COD_002</t>
  </si>
  <si>
    <t>elc_wof_COG_001</t>
  </si>
  <si>
    <t>elc_wof_COG_002</t>
  </si>
  <si>
    <t>elc_wof_COL_001</t>
  </si>
  <si>
    <t>elc_wof_COL_002</t>
  </si>
  <si>
    <t>elc_wof_COL_003</t>
  </si>
  <si>
    <t>elc_wof_COL_004</t>
  </si>
  <si>
    <t>elc_wof_CRI_001</t>
  </si>
  <si>
    <t>elc_wof_CRI_002</t>
  </si>
  <si>
    <t>elc_wof_CUB_001</t>
  </si>
  <si>
    <t>elc_wof_CUB_002</t>
  </si>
  <si>
    <t>elc_wof_CUB_003</t>
  </si>
  <si>
    <t>elc_wof_CUB_004</t>
  </si>
  <si>
    <t>elc_wof_CUB_005</t>
  </si>
  <si>
    <t>elc_wof_CUB_006</t>
  </si>
  <si>
    <t>elc_wof_CYP_001</t>
  </si>
  <si>
    <t>elc_wof_CYP_002</t>
  </si>
  <si>
    <t>elc_wof_CYP_003</t>
  </si>
  <si>
    <t>elc_wof_DEU_001</t>
  </si>
  <si>
    <t>elc_wof_DEU_002</t>
  </si>
  <si>
    <t>elc_wof_DEU_003</t>
  </si>
  <si>
    <t>elc_wof_DEU_004</t>
  </si>
  <si>
    <t>elc_wof_DJI_001</t>
  </si>
  <si>
    <t>elc_wof_DJI_002</t>
  </si>
  <si>
    <t>elc_wof_DNK_001</t>
  </si>
  <si>
    <t>elc_wof_DNK_002</t>
  </si>
  <si>
    <t>elc_wof_DNK_003</t>
  </si>
  <si>
    <t>elc_wof_DNK_004</t>
  </si>
  <si>
    <t>elc_wof_DOM_001</t>
  </si>
  <si>
    <t>elc_wof_DOM_002</t>
  </si>
  <si>
    <t>elc_wof_DOM_003</t>
  </si>
  <si>
    <t>elc_wof_DOM_004</t>
  </si>
  <si>
    <t>elc_wof_DZA_001</t>
  </si>
  <si>
    <t>elc_wof_DZA_002</t>
  </si>
  <si>
    <t>elc_wof_DZA_003</t>
  </si>
  <si>
    <t>elc_wof_ECU_001</t>
  </si>
  <si>
    <t>elc_wof_ECU_002</t>
  </si>
  <si>
    <t>elc_wof_EGY_001</t>
  </si>
  <si>
    <t>elc_wof_EGY_002</t>
  </si>
  <si>
    <t>elc_wof_EGY_003</t>
  </si>
  <si>
    <t>elc_wof_EGY_004</t>
  </si>
  <si>
    <t>elc_wof_EGY_005</t>
  </si>
  <si>
    <t>elc_wof_ERI_001</t>
  </si>
  <si>
    <t>elc_wof_ERI_002</t>
  </si>
  <si>
    <t>elc_wof_ERI_003</t>
  </si>
  <si>
    <t>elc_wof_ESP_001</t>
  </si>
  <si>
    <t>elc_wof_ESP_002</t>
  </si>
  <si>
    <t>elc_wof_ESP_003</t>
  </si>
  <si>
    <t>elc_wof_ESP_004</t>
  </si>
  <si>
    <t>elc_wof_ESP_005</t>
  </si>
  <si>
    <t>elc_wof_ESP_006</t>
  </si>
  <si>
    <t>elc_wof_ESP_007</t>
  </si>
  <si>
    <t>elc_wof_EST_001</t>
  </si>
  <si>
    <t>elc_wof_EST_002</t>
  </si>
  <si>
    <t>elc_wof_EST_003</t>
  </si>
  <si>
    <t>elc_wof_FIN_001</t>
  </si>
  <si>
    <t>elc_wof_FIN_002</t>
  </si>
  <si>
    <t>elc_wof_FIN_003</t>
  </si>
  <si>
    <t>elc_wof_FIN_004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</si>
  <si>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</si>
  <si>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</si>
  <si>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</si>
  <si>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</si>
  <si>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</si>
  <si>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</si>
  <si>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elc_wof_GAB_001</t>
  </si>
  <si>
    <t>elc_wof_GAB_002</t>
  </si>
  <si>
    <t>elc_wof_GAB_003</t>
  </si>
  <si>
    <t>elc_wof_GAB_004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</si>
  <si>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</si>
  <si>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</si>
  <si>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</si>
  <si>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</si>
  <si>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</si>
  <si>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</si>
  <si>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</si>
  <si>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</si>
  <si>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</si>
  <si>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</si>
  <si>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elc_wof_GEO_001</t>
  </si>
  <si>
    <t>elc_wof_GEO_002</t>
  </si>
  <si>
    <t>elc_wof_GHA_001</t>
  </si>
  <si>
    <t>elc_wof_GHA_002</t>
  </si>
  <si>
    <t>elc_wof_GHA_003</t>
  </si>
  <si>
    <t>elc_wof_GIN_001</t>
  </si>
  <si>
    <t>elc_wof_GIN_002</t>
  </si>
  <si>
    <t>elc_wof_GIN_003</t>
  </si>
  <si>
    <t>elc_wof_GNB_001</t>
  </si>
  <si>
    <t>elc_wof_GNB_002</t>
  </si>
  <si>
    <t>elc_wof_GNB_003</t>
  </si>
  <si>
    <t>elc_wof_GNQ_001</t>
  </si>
  <si>
    <t>elc_wof_GNQ_002</t>
  </si>
  <si>
    <t>elc_wof_GNQ_003</t>
  </si>
  <si>
    <t>elc_wof_GRC_001</t>
  </si>
  <si>
    <t>elc_wof_GRC_002</t>
  </si>
  <si>
    <t>elc_wof_GRC_003</t>
  </si>
  <si>
    <t>elc_wof_GRC_004</t>
  </si>
  <si>
    <t>elc_wof_GRC_005</t>
  </si>
  <si>
    <t>elc_wof_GRC_006</t>
  </si>
  <si>
    <t>elc_wof_GTM_001</t>
  </si>
  <si>
    <t>elc_wof_GTM_002</t>
  </si>
  <si>
    <t>elc_wof_GTM_003</t>
  </si>
  <si>
    <t>elc_wof_GTM_004</t>
  </si>
  <si>
    <t>elc_wof_GUY_001</t>
  </si>
  <si>
    <t>elc_wof_GUY_002</t>
  </si>
  <si>
    <t>elc_wof_GUY_003</t>
  </si>
  <si>
    <t>elc_wof_HND_001</t>
  </si>
  <si>
    <t>elc_wof_HND_002</t>
  </si>
  <si>
    <t>elc_wof_HND_003</t>
  </si>
  <si>
    <t>elc_wof_HND_004</t>
  </si>
  <si>
    <t>elc_wof_HRV_001</t>
  </si>
  <si>
    <t>elc_wof_HRV_002</t>
  </si>
  <si>
    <t>elc_wof_HRV_003</t>
  </si>
  <si>
    <t>elc_wof_HRV_004</t>
  </si>
  <si>
    <t>elc_wof_HRV_005</t>
  </si>
  <si>
    <t>elc_wof_HTI_001</t>
  </si>
  <si>
    <t>elc_wof_HTI_002</t>
  </si>
  <si>
    <t>elc_wof_IDN_001</t>
  </si>
  <si>
    <t>elc_wof_IDN_002</t>
  </si>
  <si>
    <t>elc_wof_IDN_003</t>
  </si>
  <si>
    <t>elc_wof_IDN_004</t>
  </si>
  <si>
    <t>elc_wof_IDN_005</t>
  </si>
  <si>
    <t>elc_wof_IDN_006</t>
  </si>
  <si>
    <t>elc_wof_IDN_007</t>
  </si>
  <si>
    <t>elc_wof_IDN_008</t>
  </si>
  <si>
    <t>elc_wof_IDN_009</t>
  </si>
  <si>
    <t>elc_wof_IDN_010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</si>
  <si>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</si>
  <si>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</si>
  <si>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</si>
  <si>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</si>
  <si>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</si>
  <si>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</si>
  <si>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</si>
  <si>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</si>
  <si>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elc_wof_IRL_001</t>
  </si>
  <si>
    <t>elc_wof_IRL_002</t>
  </si>
  <si>
    <t>elc_wof_IRL_003</t>
  </si>
  <si>
    <t>elc_wof_IRL_004</t>
  </si>
  <si>
    <t>elc_wof_IRL_005</t>
  </si>
  <si>
    <t>elc_wof_IRL_006</t>
  </si>
  <si>
    <t>elc_wof_IRN_001</t>
  </si>
  <si>
    <t>elc_wof_IRN_002</t>
  </si>
  <si>
    <t>elc_wof_IRN_003</t>
  </si>
  <si>
    <t>elc_wof_IRN_004</t>
  </si>
  <si>
    <t>elc_wof_ITA_001</t>
  </si>
  <si>
    <t>elc_wof_ITA_002</t>
  </si>
  <si>
    <t>elc_wof_ITA_003</t>
  </si>
  <si>
    <t>elc_wof_ITA_004</t>
  </si>
  <si>
    <t>elc_wof_ITA_005</t>
  </si>
  <si>
    <t>elc_wof_ITA_006</t>
  </si>
  <si>
    <t>elc_wof_ITA_007</t>
  </si>
  <si>
    <t>elc_wof_JAM_001</t>
  </si>
  <si>
    <t>elc_wof_JAM_002</t>
  </si>
  <si>
    <t>elc_wof_JAM_003</t>
  </si>
  <si>
    <t>elc_wof_JAM_004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</si>
  <si>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</si>
  <si>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</si>
  <si>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</si>
  <si>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</si>
  <si>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</si>
  <si>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</si>
  <si>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</si>
  <si>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</si>
  <si>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</si>
  <si>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</si>
  <si>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</si>
  <si>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</si>
  <si>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elc_wof_KAZ_001</t>
  </si>
  <si>
    <t>elc_wof_KAZ_002</t>
  </si>
  <si>
    <t>elc_wof_KAZ_003</t>
  </si>
  <si>
    <t>elc_wof_KAZ_004</t>
  </si>
  <si>
    <t>elc_wof_KEN_001</t>
  </si>
  <si>
    <t>elc_wof_KEN_002</t>
  </si>
  <si>
    <t>elc_wof_KEN_003</t>
  </si>
  <si>
    <t>elc_wof_KHM_001</t>
  </si>
  <si>
    <t>elc_wof_KHM_002</t>
  </si>
  <si>
    <t>elc_wof_KOR_001</t>
  </si>
  <si>
    <t>elc_wof_KOR_002</t>
  </si>
  <si>
    <t>elc_wof_KOR_003</t>
  </si>
  <si>
    <t>elc_wof_KOR_004</t>
  </si>
  <si>
    <t>elc_wof_KOR_005</t>
  </si>
  <si>
    <t>elc_wof_KOR_006</t>
  </si>
  <si>
    <t>elc_wof_KOR_007</t>
  </si>
  <si>
    <t>elc_wof_KOR_008</t>
  </si>
  <si>
    <t>elc_wof_KWT_001</t>
  </si>
  <si>
    <t>elc_wof_KWT_002</t>
  </si>
  <si>
    <t>elc_wof_LBN_001</t>
  </si>
  <si>
    <t>elc_wof_LBN_002</t>
  </si>
  <si>
    <t>elc_wof_LBN_003</t>
  </si>
  <si>
    <t>elc_wof_LBN_004</t>
  </si>
  <si>
    <t>elc_wof_LBR_001</t>
  </si>
  <si>
    <t>elc_wof_LBR_002</t>
  </si>
  <si>
    <t>elc_wof_LBR_003</t>
  </si>
  <si>
    <t>elc_wof_LBY_001</t>
  </si>
  <si>
    <t>elc_wof_LBY_002</t>
  </si>
  <si>
    <t>elc_wof_LBY_003</t>
  </si>
  <si>
    <t>elc_wof_LBY_004</t>
  </si>
  <si>
    <t>elc_wof_LBY_005</t>
  </si>
  <si>
    <t>elc_wof_LBY_006</t>
  </si>
  <si>
    <t>elc_wof_LKA_001</t>
  </si>
  <si>
    <t>elc_wof_LKA_002</t>
  </si>
  <si>
    <t>elc_wof_LKA_003</t>
  </si>
  <si>
    <t>elc_wof_LKA_004</t>
  </si>
  <si>
    <t>elc_wof_LTU_001</t>
  </si>
  <si>
    <t>elc_wof_LTU_002</t>
  </si>
  <si>
    <t>elc_wof_LVA_001</t>
  </si>
  <si>
    <t>elc_wof_LVA_002</t>
  </si>
  <si>
    <t>elc_wof_MAR_001</t>
  </si>
  <si>
    <t>elc_wof_MAR_002</t>
  </si>
  <si>
    <t>elc_wof_MAR_003</t>
  </si>
  <si>
    <t>elc_wof_MAR_004</t>
  </si>
  <si>
    <t>elc_wof_MAR_005</t>
  </si>
  <si>
    <t>elc_wof_MDG_001</t>
  </si>
  <si>
    <t>elc_wof_MDG_002</t>
  </si>
  <si>
    <t>elc_wof_MDG_003</t>
  </si>
  <si>
    <t>elc_wof_MDG_004</t>
  </si>
  <si>
    <t>elc_wof_MDG_005</t>
  </si>
  <si>
    <t>elc_wof_MEX_001</t>
  </si>
  <si>
    <t>elc_wof_MEX_002</t>
  </si>
  <si>
    <t>elc_wof_MEX_003</t>
  </si>
  <si>
    <t>elc_wof_MEX_004</t>
  </si>
  <si>
    <t>elc_wof_MEX_005</t>
  </si>
  <si>
    <t>elc_wof_MEX_006</t>
  </si>
  <si>
    <t>elc_wof_MEX_007</t>
  </si>
  <si>
    <t>elc_wof_MEX_008</t>
  </si>
  <si>
    <t>elc_wof_MEX_009</t>
  </si>
  <si>
    <t>elc_wof_MLT_001</t>
  </si>
  <si>
    <t>elc_wof_MLT_002</t>
  </si>
  <si>
    <t>elc_wof_MLT_003</t>
  </si>
  <si>
    <t>elc_wof_MMR_001</t>
  </si>
  <si>
    <t>elc_wof_MMR_002</t>
  </si>
  <si>
    <t>elc_wof_MMR_003</t>
  </si>
  <si>
    <t>elc_wof_MMR_004</t>
  </si>
  <si>
    <t>elc_wof_MNE_001</t>
  </si>
  <si>
    <t>elc_wof_MNE_002</t>
  </si>
  <si>
    <t>elc_wof_MOZ_001</t>
  </si>
  <si>
    <t>elc_wof_MOZ_002</t>
  </si>
  <si>
    <t>elc_wof_MOZ_003</t>
  </si>
  <si>
    <t>elc_wof_MOZ_004</t>
  </si>
  <si>
    <t>elc_wof_MOZ_005</t>
  </si>
  <si>
    <t>elc_wof_MRT_001</t>
  </si>
  <si>
    <t>elc_wof_MRT_002</t>
  </si>
  <si>
    <t>elc_wof_MRT_003</t>
  </si>
  <si>
    <t>elc_wof_MRT_004</t>
  </si>
  <si>
    <t>elc_wof_MYS_001</t>
  </si>
  <si>
    <t>elc_wof_MYS_002</t>
  </si>
  <si>
    <t>elc_wof_MYS_003</t>
  </si>
  <si>
    <t>elc_wof_MYS_004</t>
  </si>
  <si>
    <t>elc_wof_NAM_001</t>
  </si>
  <si>
    <t>elc_wof_NAM_002</t>
  </si>
  <si>
    <t>elc_wof_NAM_003</t>
  </si>
  <si>
    <t>elc_wof_NAM_004</t>
  </si>
  <si>
    <t>elc_wof_NAM_005</t>
  </si>
  <si>
    <t>elc_wof_NAM_006</t>
  </si>
  <si>
    <t>elc_wof_NCL_001</t>
  </si>
  <si>
    <t>elc_wof_NCL_002</t>
  </si>
  <si>
    <t>elc_wof_NCL_003</t>
  </si>
  <si>
    <t>elc_wof_NGA_001</t>
  </si>
  <si>
    <t>elc_wof_NGA_002</t>
  </si>
  <si>
    <t>elc_wof_NGA_003</t>
  </si>
  <si>
    <t>elc_wof_NGA_004</t>
  </si>
  <si>
    <t>elc_wof_NIC_001</t>
  </si>
  <si>
    <t>elc_wof_NIC_002</t>
  </si>
  <si>
    <t>elc_wof_NIC_003</t>
  </si>
  <si>
    <t>elc_wof_NIC_004</t>
  </si>
  <si>
    <t>elc_wof_NIC_005</t>
  </si>
  <si>
    <t>elc_wof_NLD_001</t>
  </si>
  <si>
    <t>elc_wof_NLD_002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</si>
  <si>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</si>
  <si>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</si>
  <si>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</si>
  <si>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</si>
  <si>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</si>
  <si>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</si>
  <si>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</si>
  <si>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</si>
  <si>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</si>
  <si>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</si>
  <si>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elc_wof_NZL_001</t>
  </si>
  <si>
    <t>elc_wof_NZL_002</t>
  </si>
  <si>
    <t>elc_wof_NZL_003</t>
  </si>
  <si>
    <t>elc_wof_NZL_004</t>
  </si>
  <si>
    <t>elc_wof_NZL_005</t>
  </si>
  <si>
    <t>elc_wof_NZL_006</t>
  </si>
  <si>
    <t>elc_wof_NZL_007</t>
  </si>
  <si>
    <t>elc_wof_NZL_008</t>
  </si>
  <si>
    <t>elc_wof_NZL_009</t>
  </si>
  <si>
    <t>elc_wof_NZL_010</t>
  </si>
  <si>
    <t>elc_wof_OMN_001</t>
  </si>
  <si>
    <t>elc_wof_OMN_002</t>
  </si>
  <si>
    <t>elc_wof_OMN_003</t>
  </si>
  <si>
    <t>elc_wof_OMN_004</t>
  </si>
  <si>
    <t>elc_wof_PAK_001</t>
  </si>
  <si>
    <t>elc_wof_PAK_002</t>
  </si>
  <si>
    <t>elc_wof_PAK_003</t>
  </si>
  <si>
    <t>elc_wof_PAN_001</t>
  </si>
  <si>
    <t>elc_wof_PAN_002</t>
  </si>
  <si>
    <t>elc_wof_PER_001</t>
  </si>
  <si>
    <t>elc_wof_PER_002</t>
  </si>
  <si>
    <t>elc_wof_PER_003</t>
  </si>
  <si>
    <t>elc_wof_PER_004</t>
  </si>
  <si>
    <t>elc_wof_PER_005</t>
  </si>
  <si>
    <t>elc_wof_PHL_001</t>
  </si>
  <si>
    <t>elc_wof_PHL_002</t>
  </si>
  <si>
    <t>elc_wof_PHL_003</t>
  </si>
  <si>
    <t>elc_wof_PHL_004</t>
  </si>
  <si>
    <t>elc_wof_PHL_005</t>
  </si>
  <si>
    <t>elc_wof_PHL_006</t>
  </si>
  <si>
    <t>elc_wof_PHL_007</t>
  </si>
  <si>
    <t>elc_wof_PHL_008</t>
  </si>
  <si>
    <t>elc_wof_PNG_001</t>
  </si>
  <si>
    <t>elc_wof_PNG_002</t>
  </si>
  <si>
    <t>elc_wof_PNG_003</t>
  </si>
  <si>
    <t>elc_wof_PNG_004</t>
  </si>
  <si>
    <t>elc_wof_PNG_005</t>
  </si>
  <si>
    <t>elc_wof_PNG_006</t>
  </si>
  <si>
    <t>elc_wof_POL_001</t>
  </si>
  <si>
    <t>elc_wof_POL_002</t>
  </si>
  <si>
    <t>elc_wof_POL_003</t>
  </si>
  <si>
    <t>elc_wof_PRI_001</t>
  </si>
  <si>
    <t>elc_wof_PRI_002</t>
  </si>
  <si>
    <t>elc_wof_PRI_003</t>
  </si>
  <si>
    <t>elc_wof_PRI_004</t>
  </si>
  <si>
    <t>elc_wof_PRK_001</t>
  </si>
  <si>
    <t>elc_wof_PRK_002</t>
  </si>
  <si>
    <t>elc_wof_PRK_003</t>
  </si>
  <si>
    <t>elc_wof_PRT_001</t>
  </si>
  <si>
    <t>elc_wof_PRT_002</t>
  </si>
  <si>
    <t>elc_wof_PRT_003</t>
  </si>
  <si>
    <t>elc_wof_PRT_004</t>
  </si>
  <si>
    <t>elc_wof_QAT_001</t>
  </si>
  <si>
    <t>elc_wof_QAT_002</t>
  </si>
  <si>
    <t>elc_wof_RUS_001</t>
  </si>
  <si>
    <t>elc_wof_RUS_002</t>
  </si>
  <si>
    <t>elc_wof_RUS_003</t>
  </si>
  <si>
    <t>elc_wof_RUS_004</t>
  </si>
  <si>
    <t>elc_wof_RUS_005</t>
  </si>
  <si>
    <t>elc_wof_RUS_006</t>
  </si>
  <si>
    <t>elc_wof_RUS_007</t>
  </si>
  <si>
    <t>elc_wof_RUS_008</t>
  </si>
  <si>
    <t>elc_wof_RUS_009</t>
  </si>
  <si>
    <t>elc_wof_RUS_010</t>
  </si>
  <si>
    <t>elc_wof_RUS_011</t>
  </si>
  <si>
    <t>elc_wof_RUS_012</t>
  </si>
  <si>
    <t>elc_wof_RUS_013</t>
  </si>
  <si>
    <t>elc_wof_RUS_014</t>
  </si>
  <si>
    <t>elc_wof_RUS_015</t>
  </si>
  <si>
    <t>elc_wof_RUS_016</t>
  </si>
  <si>
    <t>elc_wof_SAU_001</t>
  </si>
  <si>
    <t>elc_wof_SAU_002</t>
  </si>
  <si>
    <t>elc_wof_SAU_003</t>
  </si>
  <si>
    <t>elc_wof_SAU_004</t>
  </si>
  <si>
    <t>elc_wof_SAU_005</t>
  </si>
  <si>
    <t>elc_wof_SAU_006</t>
  </si>
  <si>
    <t>elc_wof_SDN_001</t>
  </si>
  <si>
    <t>elc_wof_SDN_002</t>
  </si>
  <si>
    <t>elc_wof_SDN_003</t>
  </si>
  <si>
    <t>elc_wof_SDN_004</t>
  </si>
  <si>
    <t>elc_wof_SEN_001</t>
  </si>
  <si>
    <t>elc_wof_SEN_002</t>
  </si>
  <si>
    <t>elc_wof_SEN_003</t>
  </si>
  <si>
    <t>elc_wof_SGP_001</t>
  </si>
  <si>
    <t>elc_wof_SGP_002</t>
  </si>
  <si>
    <t>elc_wof_SLE_001</t>
  </si>
  <si>
    <t>elc_wof_SLE_002</t>
  </si>
  <si>
    <t>elc_wof_SLE_003</t>
  </si>
  <si>
    <t>elc_wof_SLV_001</t>
  </si>
  <si>
    <t>elc_wof_SLV_002</t>
  </si>
  <si>
    <t>elc_wof_SOM_001</t>
  </si>
  <si>
    <t>elc_wof_SOM_002</t>
  </si>
  <si>
    <t>elc_wof_SOM_003</t>
  </si>
  <si>
    <t>elc_wof_SOM_004</t>
  </si>
  <si>
    <t>elc_wof_SOM_005</t>
  </si>
  <si>
    <t>elc_wof_SOM_006</t>
  </si>
  <si>
    <t>elc_wof_SUR_001</t>
  </si>
  <si>
    <t>elc_wof_SUR_002</t>
  </si>
  <si>
    <t>elc_wof_SUR_003</t>
  </si>
  <si>
    <t>elc_wof_SWE_001</t>
  </si>
  <si>
    <t>elc_wof_SWE_002</t>
  </si>
  <si>
    <t>elc_wof_SWE_003</t>
  </si>
  <si>
    <t>elc_wof_SWE_004</t>
  </si>
  <si>
    <t>elc_wof_SWE_005</t>
  </si>
  <si>
    <t>elc_wof_SWE_006</t>
  </si>
  <si>
    <t>elc_wof_SYR_001</t>
  </si>
  <si>
    <t>elc_wof_SYR_002</t>
  </si>
  <si>
    <t>elc_wof_TGO_001</t>
  </si>
  <si>
    <t>elc_wof_TGO_002</t>
  </si>
  <si>
    <t>elc_wof_TGO_003</t>
  </si>
  <si>
    <t>elc_wof_TGO_004</t>
  </si>
  <si>
    <t>elc_wof_THA_001</t>
  </si>
  <si>
    <t>elc_wof_THA_002</t>
  </si>
  <si>
    <t>elc_wof_THA_003</t>
  </si>
  <si>
    <t>elc_wof_THA_004</t>
  </si>
  <si>
    <t>elc_wof_TKM_001</t>
  </si>
  <si>
    <t>elc_wof_TKM_002</t>
  </si>
  <si>
    <t>elc_wof_TKM_003</t>
  </si>
  <si>
    <t>elc_wof_TTO_001</t>
  </si>
  <si>
    <t>elc_wof_TTO_002</t>
  </si>
  <si>
    <t>elc_wof_TTO_003</t>
  </si>
  <si>
    <t>elc_wof_TUN_001</t>
  </si>
  <si>
    <t>elc_wof_TUN_002</t>
  </si>
  <si>
    <t>elc_wof_TUN_003</t>
  </si>
  <si>
    <t>elc_wof_TUN_004</t>
  </si>
  <si>
    <t>elc_wof_TUN_005</t>
  </si>
  <si>
    <t>elc_wof_TUR_001</t>
  </si>
  <si>
    <t>elc_wof_TUR_002</t>
  </si>
  <si>
    <t>elc_wof_TUR_003</t>
  </si>
  <si>
    <t>elc_wof_TUR_004</t>
  </si>
  <si>
    <t>elc_wof_TUR_005</t>
  </si>
  <si>
    <t>elc_wof_TWN_001</t>
  </si>
  <si>
    <t>elc_wof_TWN_002</t>
  </si>
  <si>
    <t>elc_wof_TWN_003</t>
  </si>
  <si>
    <t>elc_wof_TWN_004</t>
  </si>
  <si>
    <t>elc_wof_TWN_005</t>
  </si>
  <si>
    <t>elc_wof_TWN_006</t>
  </si>
  <si>
    <t>elc_wof_TZA_001</t>
  </si>
  <si>
    <t>elc_wof_TZA_002</t>
  </si>
  <si>
    <t>elc_wof_TZA_003</t>
  </si>
  <si>
    <t>elc_wof_UKR_001</t>
  </si>
  <si>
    <t>elc_wof_UKR_002</t>
  </si>
  <si>
    <t>elc_wof_UKR_003</t>
  </si>
  <si>
    <t>elc_wof_URY_001</t>
  </si>
  <si>
    <t>elc_wof_URY_002</t>
  </si>
  <si>
    <t>elc_wof_URY_003</t>
  </si>
  <si>
    <t>elc_wof_USA_001</t>
  </si>
  <si>
    <t>elc_wof_USA_002</t>
  </si>
  <si>
    <t>elc_wof_USA_003</t>
  </si>
  <si>
    <t>elc_wof_USA_004</t>
  </si>
  <si>
    <t>elc_wof_USA_005</t>
  </si>
  <si>
    <t>elc_wof_USA_006</t>
  </si>
  <si>
    <t>elc_wof_VEN_001</t>
  </si>
  <si>
    <t>elc_wof_VEN_002</t>
  </si>
  <si>
    <t>elc_wof_VEN_003</t>
  </si>
  <si>
    <t>elc_wof_VEN_004</t>
  </si>
  <si>
    <t>elc_wof_VEN_005</t>
  </si>
  <si>
    <t>elc_wof_VEN_006</t>
  </si>
  <si>
    <t>elc_wof_VNM_001</t>
  </si>
  <si>
    <t>elc_wof_VNM_002</t>
  </si>
  <si>
    <t>elc_wof_VNM_003</t>
  </si>
  <si>
    <t>elc_wof_VNM_004</t>
  </si>
  <si>
    <t>elc_wof_VNM_005</t>
  </si>
  <si>
    <t>elc_wof_VNM_006</t>
  </si>
  <si>
    <t>elc_wof_VNM_007</t>
  </si>
  <si>
    <t>elc_wof_VNM_008</t>
  </si>
  <si>
    <t>elc_wof_YEM_001</t>
  </si>
  <si>
    <t>elc_wof_YEM_002</t>
  </si>
  <si>
    <t>elc_wof_YEM_003</t>
  </si>
  <si>
    <t>elc_wof_YEM_004</t>
  </si>
  <si>
    <t>elc_wof_YEM_005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</si>
  <si>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</si>
  <si>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</si>
  <si>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</si>
  <si>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</si>
  <si>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</si>
  <si>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</si>
  <si>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</si>
  <si>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elcagg_wof_AGO</t>
  </si>
  <si>
    <t>wind offshore aggregator to grid -- Angola</t>
  </si>
  <si>
    <t>elcagg_wof_ALB</t>
  </si>
  <si>
    <t>wind offshore aggregator to grid -- Albania</t>
  </si>
  <si>
    <t>elcagg_wof_ARE</t>
  </si>
  <si>
    <t>wind offshore aggregator to grid -- United Arab Emirates</t>
  </si>
  <si>
    <t>elcagg_wof_ARG</t>
  </si>
  <si>
    <t>wind offshore aggregator to grid -- Argentina</t>
  </si>
  <si>
    <t>elcagg_wof_AUS</t>
  </si>
  <si>
    <t>wind offshore aggregator to grid -- Australia</t>
  </si>
  <si>
    <t>elcagg_wof_AZE</t>
  </si>
  <si>
    <t>wind offshore aggregator to grid -- Azerbaijan</t>
  </si>
  <si>
    <t>elcagg_wof_BEN</t>
  </si>
  <si>
    <t>wind offshore aggregator to grid -- Benin</t>
  </si>
  <si>
    <t>elcagg_wof_BGD</t>
  </si>
  <si>
    <t>wind offshore aggregator to grid -- Bangladesh</t>
  </si>
  <si>
    <t>elcagg_wof_BGR</t>
  </si>
  <si>
    <t>wind offshore aggregator to grid -- Bulgaria</t>
  </si>
  <si>
    <t>elcagg_wof_BRA</t>
  </si>
  <si>
    <t>wind offshore aggregator to grid -- Brazil</t>
  </si>
  <si>
    <t>elcagg_wof_CAN</t>
  </si>
  <si>
    <t>wind offshore aggregator to grid -- Canada</t>
  </si>
  <si>
    <t>elcagg_wof_CHL</t>
  </si>
  <si>
    <t>wind offshore aggregator to grid -- Chile</t>
  </si>
  <si>
    <t>elcagg_wof_CHN</t>
  </si>
  <si>
    <t>wind offshore aggregator to grid -- China</t>
  </si>
  <si>
    <t>elcagg_wof_CIV</t>
  </si>
  <si>
    <t>wind offshore aggregator to grid -- Ivory Coast</t>
  </si>
  <si>
    <t>elcagg_wof_COD</t>
  </si>
  <si>
    <t>wind offshore aggregator to grid -- Democratic Republic of Congo</t>
  </si>
  <si>
    <t>elcagg_wof_COG</t>
  </si>
  <si>
    <t>wind offshore aggregator to grid -- Republic of Congo</t>
  </si>
  <si>
    <t>elcagg_wof_COL</t>
  </si>
  <si>
    <t>wind offshore aggregator to grid -- Colombia</t>
  </si>
  <si>
    <t>elcagg_wof_CRI</t>
  </si>
  <si>
    <t>wind offshore aggregator to grid -- Costa Rica</t>
  </si>
  <si>
    <t>elcagg_wof_CUB</t>
  </si>
  <si>
    <t>wind offshore aggregator to grid -- Cuba</t>
  </si>
  <si>
    <t>elcagg_wof_CYP</t>
  </si>
  <si>
    <t>wind offshore aggregator to grid -- Cyprus</t>
  </si>
  <si>
    <t>elcagg_wof_DEU</t>
  </si>
  <si>
    <t>wind offshore aggregator to grid -- Germany</t>
  </si>
  <si>
    <t>elcagg_wof_DJI</t>
  </si>
  <si>
    <t>wind offshore aggregator to grid -- Djibouti</t>
  </si>
  <si>
    <t>elcagg_wof_DNK</t>
  </si>
  <si>
    <t>wind offshore aggregator to grid -- Denmark</t>
  </si>
  <si>
    <t>elcagg_wof_DOM</t>
  </si>
  <si>
    <t>wind offshore aggregator to grid -- Dominican Republic</t>
  </si>
  <si>
    <t>elcagg_wof_DZA</t>
  </si>
  <si>
    <t>wind offshore aggregator to grid -- Algeria</t>
  </si>
  <si>
    <t>elcagg_wof_ECU</t>
  </si>
  <si>
    <t>wind offshore aggregator to grid -- Ecuador</t>
  </si>
  <si>
    <t>elcagg_wof_EGY</t>
  </si>
  <si>
    <t>wind offshore aggregator to grid -- Egypt</t>
  </si>
  <si>
    <t>elcagg_wof_ERI</t>
  </si>
  <si>
    <t>wind offshore aggregator to grid -- Eritrea</t>
  </si>
  <si>
    <t>elcagg_wof_ESP</t>
  </si>
  <si>
    <t>wind offshore aggregator to grid -- Spain</t>
  </si>
  <si>
    <t>elcagg_wof_EST</t>
  </si>
  <si>
    <t>wind offshore aggregator to grid -- Estonia</t>
  </si>
  <si>
    <t>elcagg_wof_FIN</t>
  </si>
  <si>
    <t>wind offshore aggregator to grid -- Finland</t>
  </si>
  <si>
    <t>elcagg_wof_FRA</t>
  </si>
  <si>
    <t>wind offshore aggregator to grid -- France</t>
  </si>
  <si>
    <t>elcagg_wof_GAB</t>
  </si>
  <si>
    <t>wind offshore aggregator to grid -- Gabon</t>
  </si>
  <si>
    <t>elcagg_wof_GBR</t>
  </si>
  <si>
    <t>wind offshore aggregator to grid -- United Kingdom</t>
  </si>
  <si>
    <t>elcagg_wof_GEO</t>
  </si>
  <si>
    <t>wind offshore aggregator to grid -- Georgia</t>
  </si>
  <si>
    <t>elcagg_wof_GHA</t>
  </si>
  <si>
    <t>wind offshore aggregator to grid -- Ghana</t>
  </si>
  <si>
    <t>elcagg_wof_GIN</t>
  </si>
  <si>
    <t>wind offshore aggregator to grid -- Guinea</t>
  </si>
  <si>
    <t>elcagg_wof_GNB</t>
  </si>
  <si>
    <t>wind offshore aggregator to grid -- Guinea-Bissau</t>
  </si>
  <si>
    <t>elcagg_wof_GNQ</t>
  </si>
  <si>
    <t>wind offshore aggregator to grid -- Equatorial Guinea</t>
  </si>
  <si>
    <t>elcagg_wof_GRC</t>
  </si>
  <si>
    <t>wind offshore aggregator to grid -- Greece</t>
  </si>
  <si>
    <t>elcagg_wof_GTM</t>
  </si>
  <si>
    <t>wind offshore aggregator to grid -- Guatemala</t>
  </si>
  <si>
    <t>elcagg_wof_GUY</t>
  </si>
  <si>
    <t>wind offshore aggregator to grid -- Guyana</t>
  </si>
  <si>
    <t>elcagg_wof_HND</t>
  </si>
  <si>
    <t>wind offshore aggregator to grid -- Honduras</t>
  </si>
  <si>
    <t>elcagg_wof_HRV</t>
  </si>
  <si>
    <t>wind offshore aggregator to grid -- Croatia</t>
  </si>
  <si>
    <t>elcagg_wof_HTI</t>
  </si>
  <si>
    <t>wind offshore aggregator to grid -- Haiti</t>
  </si>
  <si>
    <t>elcagg_wof_IDN</t>
  </si>
  <si>
    <t>wind offshore aggregator to grid -- Indonesia</t>
  </si>
  <si>
    <t>elcagg_wof_IND</t>
  </si>
  <si>
    <t>wind offshore aggregator to grid -- India</t>
  </si>
  <si>
    <t>elcagg_wof_IRL</t>
  </si>
  <si>
    <t>wind offshore aggregator to grid -- Ireland</t>
  </si>
  <si>
    <t>elcagg_wof_IRN</t>
  </si>
  <si>
    <t>wind offshore aggregator to grid -- Iran</t>
  </si>
  <si>
    <t>elcagg_wof_ITA</t>
  </si>
  <si>
    <t>wind offshore aggregator to grid -- Italy</t>
  </si>
  <si>
    <t>elcagg_wof_JAM</t>
  </si>
  <si>
    <t>wind offshore aggregator to grid -- Jamaica</t>
  </si>
  <si>
    <t>elcagg_wof_JPN</t>
  </si>
  <si>
    <t>wind offshore aggregator to grid -- Japan</t>
  </si>
  <si>
    <t>elcagg_wof_KAZ</t>
  </si>
  <si>
    <t>wind offshore aggregator to grid -- Kazakhstan</t>
  </si>
  <si>
    <t>elcagg_wof_KEN</t>
  </si>
  <si>
    <t>wind offshore aggregator to grid -- Kenya</t>
  </si>
  <si>
    <t>elcagg_wof_KHM</t>
  </si>
  <si>
    <t>wind offshore aggregator to grid -- Cambodia</t>
  </si>
  <si>
    <t>elcagg_wof_KOR</t>
  </si>
  <si>
    <t>wind offshore aggregator to grid -- South Korea</t>
  </si>
  <si>
    <t>elcagg_wof_KWT</t>
  </si>
  <si>
    <t>wind offshore aggregator to grid -- Kuwait</t>
  </si>
  <si>
    <t>elcagg_wof_LBN</t>
  </si>
  <si>
    <t>wind offshore aggregator to grid -- Lebanon</t>
  </si>
  <si>
    <t>elcagg_wof_LBR</t>
  </si>
  <si>
    <t>wind offshore aggregator to grid -- Liberia</t>
  </si>
  <si>
    <t>elcagg_wof_LBY</t>
  </si>
  <si>
    <t>wind offshore aggregator to grid -- Libya</t>
  </si>
  <si>
    <t>elcagg_wof_LKA</t>
  </si>
  <si>
    <t>wind offshore aggregator to grid -- Sri Lanka</t>
  </si>
  <si>
    <t>elcagg_wof_LTU</t>
  </si>
  <si>
    <t>wind offshore aggregator to grid -- Lithuania</t>
  </si>
  <si>
    <t>elcagg_wof_LVA</t>
  </si>
  <si>
    <t>wind offshore aggregator to grid -- Latvia</t>
  </si>
  <si>
    <t>elcagg_wof_MAR</t>
  </si>
  <si>
    <t>wind offshore aggregator to grid -- Morocco</t>
  </si>
  <si>
    <t>elcagg_wof_MDG</t>
  </si>
  <si>
    <t>wind offshore aggregator to grid -- Madagascar</t>
  </si>
  <si>
    <t>elcagg_wof_MEX</t>
  </si>
  <si>
    <t>wind offshore aggregator to grid -- Mexico</t>
  </si>
  <si>
    <t>elcagg_wof_MLT</t>
  </si>
  <si>
    <t>wind offshore aggregator to grid -- Malta</t>
  </si>
  <si>
    <t>elcagg_wof_MMR</t>
  </si>
  <si>
    <t>wind offshore aggregator to grid -- Myanmar</t>
  </si>
  <si>
    <t>elcagg_wof_MNE</t>
  </si>
  <si>
    <t>wind offshore aggregator to grid -- Montenegro</t>
  </si>
  <si>
    <t>elcagg_wof_MOZ</t>
  </si>
  <si>
    <t>wind offshore aggregator to grid -- Mozambique</t>
  </si>
  <si>
    <t>elcagg_wof_MRT</t>
  </si>
  <si>
    <t>wind offshore aggregator to grid -- Mauritania</t>
  </si>
  <si>
    <t>elcagg_wof_MYS</t>
  </si>
  <si>
    <t>wind offshore aggregator to grid -- Malaysia</t>
  </si>
  <si>
    <t>elcagg_wof_NAM</t>
  </si>
  <si>
    <t>wind offshore aggregator to grid -- Namibia</t>
  </si>
  <si>
    <t>elcagg_wof_NCL</t>
  </si>
  <si>
    <t>wind offshore aggregator to grid -- New Caledonia</t>
  </si>
  <si>
    <t>elcagg_wof_NGA</t>
  </si>
  <si>
    <t>wind offshore aggregator to grid -- Nigeria</t>
  </si>
  <si>
    <t>elcagg_wof_NIC</t>
  </si>
  <si>
    <t>wind offshore aggregator to grid -- Nicaragua</t>
  </si>
  <si>
    <t>elcagg_wof_NLD</t>
  </si>
  <si>
    <t>wind offshore aggregator to grid -- Netherlands</t>
  </si>
  <si>
    <t>elcagg_wof_NOR</t>
  </si>
  <si>
    <t>wind offshore aggregator to grid -- Norway</t>
  </si>
  <si>
    <t>elcagg_wof_NZL</t>
  </si>
  <si>
    <t>wind offshore aggregator to grid -- New Zealand</t>
  </si>
  <si>
    <t>elcagg_wof_OMN</t>
  </si>
  <si>
    <t>wind offshore aggregator to grid -- Oman</t>
  </si>
  <si>
    <t>elcagg_wof_PAK</t>
  </si>
  <si>
    <t>wind offshore aggregator to grid -- Pakistan</t>
  </si>
  <si>
    <t>elcagg_wof_PAN</t>
  </si>
  <si>
    <t>wind offshore aggregator to grid -- Panama</t>
  </si>
  <si>
    <t>elcagg_wof_PER</t>
  </si>
  <si>
    <t>wind offshore aggregator to grid -- Peru</t>
  </si>
  <si>
    <t>elcagg_wof_PHL</t>
  </si>
  <si>
    <t>wind offshore aggregator to grid -- Philippines</t>
  </si>
  <si>
    <t>elcagg_wof_PNG</t>
  </si>
  <si>
    <t>wind offshore aggregator to grid -- Papua New Guinea</t>
  </si>
  <si>
    <t>elcagg_wof_POL</t>
  </si>
  <si>
    <t>wind offshore aggregator to grid -- Poland</t>
  </si>
  <si>
    <t>elcagg_wof_PRI</t>
  </si>
  <si>
    <t>wind offshore aggregator to grid -- Puerto Rico</t>
  </si>
  <si>
    <t>elcagg_wof_PRK</t>
  </si>
  <si>
    <t>wind offshore aggregator to grid -- Dem. People^s Rep. Korea</t>
  </si>
  <si>
    <t>elcagg_wof_PRT</t>
  </si>
  <si>
    <t>wind offshore aggregator to grid -- Portugal</t>
  </si>
  <si>
    <t>elcagg_wof_QAT</t>
  </si>
  <si>
    <t>wind offshore aggregator to grid -- Qatar</t>
  </si>
  <si>
    <t>elcagg_wof_RUS</t>
  </si>
  <si>
    <t>wind offshore aggregator to grid -- Russia</t>
  </si>
  <si>
    <t>elcagg_wof_SAU</t>
  </si>
  <si>
    <t>wind offshore aggregator to grid -- Saudi Arabia</t>
  </si>
  <si>
    <t>elcagg_wof_SDN</t>
  </si>
  <si>
    <t>wind offshore aggregator to grid -- Sudan</t>
  </si>
  <si>
    <t>elcagg_wof_SEN</t>
  </si>
  <si>
    <t>wind offshore aggregator to grid -- Senegal</t>
  </si>
  <si>
    <t>elcagg_wof_SGP</t>
  </si>
  <si>
    <t>wind offshore aggregator to grid -- Singapore</t>
  </si>
  <si>
    <t>elcagg_wof_SLE</t>
  </si>
  <si>
    <t>wind offshore aggregator to grid -- Sierra Leone</t>
  </si>
  <si>
    <t>elcagg_wof_SLV</t>
  </si>
  <si>
    <t>wind offshore aggregator to grid -- El Salvador</t>
  </si>
  <si>
    <t>elcagg_wof_SOM</t>
  </si>
  <si>
    <t>wind offshore aggregator to grid -- Somalia</t>
  </si>
  <si>
    <t>elcagg_wof_SUR</t>
  </si>
  <si>
    <t>wind offshore aggregator to grid -- Suriname</t>
  </si>
  <si>
    <t>elcagg_wof_SWE</t>
  </si>
  <si>
    <t>wind offshore aggregator to grid -- Sweden</t>
  </si>
  <si>
    <t>elcagg_wof_SYR</t>
  </si>
  <si>
    <t>wind offshore aggregator to grid -- Syrian Arab Republic</t>
  </si>
  <si>
    <t>elcagg_wof_TGO</t>
  </si>
  <si>
    <t>wind offshore aggregator to grid -- Togo</t>
  </si>
  <si>
    <t>elcagg_wof_THA</t>
  </si>
  <si>
    <t>wind offshore aggregator to grid -- Thailand</t>
  </si>
  <si>
    <t>elcagg_wof_TKM</t>
  </si>
  <si>
    <t>wind offshore aggregator to grid -- Turkmenistan</t>
  </si>
  <si>
    <t>elcagg_wof_TTO</t>
  </si>
  <si>
    <t>wind offshore aggregator to grid -- Trinidad and Tobago</t>
  </si>
  <si>
    <t>elcagg_wof_TUN</t>
  </si>
  <si>
    <t>wind offshore aggregator to grid -- Tunisia</t>
  </si>
  <si>
    <t>elcagg_wof_TUR</t>
  </si>
  <si>
    <t>wind offshore aggregator to grid -- Turkey</t>
  </si>
  <si>
    <t>elcagg_wof_TWN</t>
  </si>
  <si>
    <t>wind offshore aggregator to grid -- Taiwan</t>
  </si>
  <si>
    <t>elcagg_wof_TZA</t>
  </si>
  <si>
    <t>wind offshore aggregator to grid -- Tanzania</t>
  </si>
  <si>
    <t>elcagg_wof_UKR</t>
  </si>
  <si>
    <t>wind offshore aggregator to grid -- Ukraine</t>
  </si>
  <si>
    <t>elcagg_wof_URY</t>
  </si>
  <si>
    <t>wind offshore aggregator to grid -- Uruguay</t>
  </si>
  <si>
    <t>elcagg_wof_USA</t>
  </si>
  <si>
    <t>wind offshore aggregator to grid -- United States</t>
  </si>
  <si>
    <t>elcagg_wof_VEN</t>
  </si>
  <si>
    <t>wind offshore aggregator to grid -- Venezuela</t>
  </si>
  <si>
    <t>elcagg_wof_VNM</t>
  </si>
  <si>
    <t>wind offshore aggregator to grid -- Vietnam</t>
  </si>
  <si>
    <t>elcagg_wof_YEM</t>
  </si>
  <si>
    <t>wind offshore aggregator to grid -- Yemen</t>
  </si>
  <si>
    <t>elcagg_wof_ZAF</t>
  </si>
  <si>
    <t>wind offshore aggregator to grid -- South Africa</t>
  </si>
  <si>
    <t>~fi_comm</t>
  </si>
  <si>
    <t>commodity</t>
  </si>
  <si>
    <t>unit</t>
  </si>
  <si>
    <t>region</t>
  </si>
  <si>
    <t>nrg</t>
  </si>
  <si>
    <t>ROW</t>
  </si>
  <si>
    <t>Africa_Other</t>
  </si>
  <si>
    <t>WestBalkans</t>
  </si>
  <si>
    <t>MidEast</t>
  </si>
  <si>
    <t>LatAm</t>
  </si>
  <si>
    <t>BeNeLux</t>
  </si>
  <si>
    <t>HunRomBul</t>
  </si>
  <si>
    <t>NorthAm</t>
  </si>
  <si>
    <t>CzechSlovak</t>
  </si>
  <si>
    <t>SweFinDen</t>
  </si>
  <si>
    <t>Africa_North</t>
  </si>
  <si>
    <t>SpainPor</t>
  </si>
  <si>
    <t>Baltics</t>
  </si>
  <si>
    <t>UK</t>
  </si>
  <si>
    <t>GreeceCyp</t>
  </si>
  <si>
    <t>CroSloven</t>
  </si>
  <si>
    <t>ItalyMal</t>
  </si>
  <si>
    <t>SaudiArabia</t>
  </si>
  <si>
    <t>Turkey</t>
  </si>
  <si>
    <t>SouthAfrica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</si>
</sst>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8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</borders>
  <cellStyleXfs count="5">
    <xf numFmtId="0" fontId="0" fillId="0" borderId="0"/>
    <xf numFmtId="0" fontId="2" fillId="0" borderId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2" applyNumberFormat="0" applyFill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2" xfId="2"/>
    <xf numFmtId="0" fontId="4" fillId="0" borderId="3" xfId="3"/>
    <xf numFmtId="2" fontId="2" fillId="0" borderId="0" xfId="1" applyNumberFormat="1"/>
    <xf numFmtId="0" fontId="7" fillId="0" borderId="0" xfId="0" applyFont="1"/>
    <xf numFmtId="0" fontId="5" fillId="0" borderId="2" xfId="4"/>
    <xf numFmtId="0" fontId="6" fillId="0" borderId="0" xfId="0" applyFon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5">
    <cellStyle name="Heading 2" xfId="4" builtinId="17"/>
    <cellStyle name="Heading 2 2" xfId="2" xr:uid="{A160A026-CC94-4020-8346-393D66C0B4A2}"/>
    <cellStyle name="Heading 3 2" xfId="3" xr:uid="{BDA07CD2-A868-496B-B430-E6815A7C6BFA}"/>
    <cellStyle name="Normal" xfId="0" builtinId="0"/>
    <cellStyle name="Normal 2" xfId="1" xr:uid="{8DC18CCE-914F-47E5-B191-0FC5CD641E5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122A-2BF6-447B-BA66-3AC3C01DF05B}">
  <dimension ref="A1:B53"/>
  <sheetViews>
    <sheetView workbookViewId="0"/>
  </sheetViews>
  <sheetFormatPr defaultRowHeight="14.25"/>
  <sheetData>
    <row r="1" spans="1:2">
      <c r="A1" t="s">
        <v>135</v>
      </c>
    </row>
    <row r="3" spans="1:2">
      <c r="A3" t="s">
        <v>136</v>
      </c>
    </row>
    <row r="4" spans="1:2">
      <c r="A4" t="s">
        <v>137</v>
      </c>
      <c r="B4" t="s">
        <v>138</v>
      </c>
    </row>
    <row r="5" spans="1:2">
      <c r="A5" t="s">
        <v>139</v>
      </c>
      <c r="B5" t="s">
        <v>140</v>
      </c>
    </row>
    <row r="6" spans="1:2">
      <c r="A6" t="s">
        <v>599</v>
      </c>
      <c r="B6" t="s">
        <v>600</v>
      </c>
    </row>
    <row r="7" spans="1:2">
      <c r="A7" t="s">
        <v>141</v>
      </c>
      <c r="B7" t="s">
        <v>142</v>
      </c>
    </row>
    <row r="9" spans="1:2">
      <c r="A9" t="s">
        <v>143</v>
      </c>
    </row>
    <row r="10" spans="1:2">
      <c r="A10" t="s">
        <v>144</v>
      </c>
      <c r="B10" t="s">
        <v>145</v>
      </c>
    </row>
    <row r="11" spans="1:2">
      <c r="A11" t="s">
        <v>146</v>
      </c>
      <c r="B11" t="s">
        <v>147</v>
      </c>
    </row>
    <row r="12" spans="1:2">
      <c r="A12" t="s">
        <v>148</v>
      </c>
      <c r="B12" t="s">
        <v>149</v>
      </c>
    </row>
    <row r="13" spans="1:2">
      <c r="A13" t="s">
        <v>150</v>
      </c>
      <c r="B13" t="s">
        <v>151</v>
      </c>
    </row>
    <row r="14" spans="1:2">
      <c r="A14" t="s">
        <v>152</v>
      </c>
      <c r="B14" t="s">
        <v>153</v>
      </c>
    </row>
    <row r="16" spans="1:2">
      <c r="A16" t="s">
        <v>601</v>
      </c>
    </row>
    <row r="17" spans="1:2">
      <c r="A17" t="s">
        <v>602</v>
      </c>
      <c r="B17" t="s">
        <v>603</v>
      </c>
    </row>
    <row r="18" spans="1:2">
      <c r="A18" t="s">
        <v>604</v>
      </c>
      <c r="B18" t="s">
        <v>605</v>
      </c>
    </row>
    <row r="19" spans="1:2">
      <c r="A19" t="s">
        <v>606</v>
      </c>
      <c r="B19" t="s">
        <v>607</v>
      </c>
    </row>
    <row r="20" spans="1:2">
      <c r="A20" t="s">
        <v>608</v>
      </c>
      <c r="B20" t="s">
        <v>609</v>
      </c>
    </row>
    <row r="21" spans="1:2">
      <c r="A21" t="s">
        <v>610</v>
      </c>
      <c r="B21" t="s">
        <v>611</v>
      </c>
    </row>
    <row r="23" spans="1:2">
      <c r="A23" t="s">
        <v>612</v>
      </c>
    </row>
    <row r="24" spans="1:2">
      <c r="A24" t="s">
        <v>613</v>
      </c>
      <c r="B24" t="s">
        <v>614</v>
      </c>
    </row>
    <row r="25" spans="1:2">
      <c r="A25" t="s">
        <v>615</v>
      </c>
      <c r="B25" t="s">
        <v>616</v>
      </c>
    </row>
    <row r="26" spans="1:2">
      <c r="A26" t="s">
        <v>617</v>
      </c>
      <c r="B26" t="s">
        <v>618</v>
      </c>
    </row>
    <row r="27" spans="1:2">
      <c r="A27" t="s">
        <v>619</v>
      </c>
      <c r="B27" t="s">
        <v>620</v>
      </c>
    </row>
    <row r="28" spans="1:2">
      <c r="A28" t="s">
        <v>621</v>
      </c>
      <c r="B28" t="s">
        <v>622</v>
      </c>
    </row>
    <row r="29" spans="1:2">
      <c r="A29" t="s">
        <v>623</v>
      </c>
      <c r="B29" t="s">
        <v>624</v>
      </c>
    </row>
    <row r="30" spans="1:2">
      <c r="A30" t="s">
        <v>625</v>
      </c>
      <c r="B30" t="s">
        <v>626</v>
      </c>
    </row>
    <row r="31" spans="1:2">
      <c r="A31" t="s">
        <v>627</v>
      </c>
      <c r="B31" t="s">
        <v>628</v>
      </c>
    </row>
    <row r="32" spans="1:2">
      <c r="A32" t="s">
        <v>629</v>
      </c>
      <c r="B32" t="s">
        <v>630</v>
      </c>
    </row>
    <row r="33" spans="1:2">
      <c r="A33" t="s">
        <v>631</v>
      </c>
      <c r="B33" t="s">
        <v>632</v>
      </c>
    </row>
    <row r="35" spans="1:2">
      <c r="A35" t="s">
        <v>154</v>
      </c>
    </row>
    <row r="36" spans="1:2">
      <c r="A36" t="s">
        <v>155</v>
      </c>
      <c r="B36" t="s">
        <v>633</v>
      </c>
    </row>
    <row r="37" spans="1:2">
      <c r="A37" t="s">
        <v>156</v>
      </c>
      <c r="B37" t="s">
        <v>634</v>
      </c>
    </row>
    <row r="38" spans="1:2">
      <c r="A38" t="s">
        <v>157</v>
      </c>
      <c r="B38" t="s">
        <v>158</v>
      </c>
    </row>
    <row r="40" spans="1:2">
      <c r="A40" t="s">
        <v>159</v>
      </c>
    </row>
    <row r="41" spans="1:2">
      <c r="A41" t="s">
        <v>160</v>
      </c>
      <c r="B41" t="s">
        <v>161</v>
      </c>
    </row>
    <row r="42" spans="1:2">
      <c r="A42" t="s">
        <v>162</v>
      </c>
      <c r="B42" t="s">
        <v>163</v>
      </c>
    </row>
    <row r="44" spans="1:2">
      <c r="A44" t="s">
        <v>164</v>
      </c>
    </row>
    <row r="45" spans="1:2">
      <c r="A45" t="s">
        <v>165</v>
      </c>
      <c r="B45" t="s">
        <v>166</v>
      </c>
    </row>
    <row r="46" spans="1:2">
      <c r="A46" t="s">
        <v>167</v>
      </c>
      <c r="B46" t="s">
        <v>168</v>
      </c>
    </row>
    <row r="47" spans="1:2">
      <c r="A47" t="s">
        <v>169</v>
      </c>
      <c r="B47" t="s">
        <v>170</v>
      </c>
    </row>
    <row r="49" spans="1:2">
      <c r="A49" t="s">
        <v>171</v>
      </c>
    </row>
    <row r="50" spans="1:2">
      <c r="A50" t="s">
        <v>172</v>
      </c>
      <c r="B50" t="s">
        <v>173</v>
      </c>
    </row>
    <row r="51" spans="1:2">
      <c r="A51" t="s">
        <v>174</v>
      </c>
      <c r="B51" t="s">
        <v>175</v>
      </c>
    </row>
    <row r="52" spans="1:2">
      <c r="A52" t="s">
        <v>176</v>
      </c>
      <c r="B52" t="s">
        <v>635</v>
      </c>
    </row>
    <row r="53" spans="1:2">
      <c r="A53" t="s">
        <v>177</v>
      </c>
      <c r="B53" t="s">
        <v>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B189-DFD3-42DE-94CE-D70395ADF2EE}">
  <dimension ref="B3:N208"/>
  <sheetViews>
    <sheetView workbookViewId="0"/>
  </sheetViews>
  <sheetFormatPr defaultRowHeight="14.25"/>
  <cols>
    <col min="2" max="2" width="15.73046875" bestFit="1" customWidth="1"/>
    <col min="3" max="3" width="7.6640625" bestFit="1" customWidth="1"/>
    <col min="4" max="4" width="8.86328125" bestFit="1" customWidth="1"/>
    <col min="5" max="5" width="7.3984375" bestFit="1" customWidth="1"/>
    <col min="6" max="6" width="15.59765625" bestFit="1" customWidth="1"/>
    <col min="8" max="8" width="9.53125" bestFit="1" customWidth="1"/>
    <col min="9" max="9" width="15.73046875" bestFit="1" customWidth="1"/>
    <col min="10" max="10" width="24.33203125" bestFit="1" customWidth="1"/>
    <col min="11" max="11" width="11.265625" bestFit="1" customWidth="1"/>
    <col min="12" max="12" width="10.53125" bestFit="1" customWidth="1"/>
    <col min="13" max="13" width="11.3984375" bestFit="1" customWidth="1"/>
    <col min="14" max="14" width="6.53125" bestFit="1" customWidth="1"/>
  </cols>
  <sheetData>
    <row r="3" spans="2:14">
      <c r="B3" t="s">
        <v>1</v>
      </c>
      <c r="H3" t="s">
        <v>0</v>
      </c>
    </row>
    <row r="4" spans="2:14">
      <c r="B4" t="s">
        <v>3</v>
      </c>
      <c r="C4" t="s">
        <v>450</v>
      </c>
      <c r="D4" t="s">
        <v>9</v>
      </c>
      <c r="E4" t="s">
        <v>10</v>
      </c>
      <c r="F4" t="s">
        <v>14</v>
      </c>
      <c r="H4" t="s">
        <v>2</v>
      </c>
      <c r="I4" t="s">
        <v>3</v>
      </c>
      <c r="J4" t="s">
        <v>4</v>
      </c>
      <c r="K4" t="s">
        <v>5</v>
      </c>
      <c r="L4" t="s">
        <v>6</v>
      </c>
      <c r="M4" t="s">
        <v>7</v>
      </c>
      <c r="N4" t="s">
        <v>8</v>
      </c>
    </row>
    <row r="5" spans="2:14">
      <c r="B5" t="str">
        <f>SupplyCurves_High!A2</f>
        <v>EN_Hydro_BRA_T1</v>
      </c>
      <c r="C5" t="s">
        <v>451</v>
      </c>
      <c r="D5" t="s">
        <v>76</v>
      </c>
      <c r="E5">
        <f>SupplyCurves_High!F2</f>
        <v>13.2</v>
      </c>
      <c r="F5">
        <f>SupplyCurves_High!H2</f>
        <v>0</v>
      </c>
      <c r="H5" t="s">
        <v>452</v>
      </c>
      <c r="I5" t="str">
        <f>B5</f>
        <v>EN_Hydro_BRA_T1</v>
      </c>
      <c r="J5" t="str">
        <f>SupplyCurves_High!C2&amp;" -- "&amp;SupplyCurves_High!E2&amp;" -- "&amp;SupplyCurves_High!K2</f>
        <v>Brazil -- T1 -- $0.04-0.06/kWh</v>
      </c>
      <c r="K5" t="s">
        <v>11</v>
      </c>
      <c r="L5" t="s">
        <v>13</v>
      </c>
      <c r="M5" t="s">
        <v>75</v>
      </c>
      <c r="N5" t="s">
        <v>12</v>
      </c>
    </row>
    <row r="6" spans="2:14">
      <c r="B6" t="str">
        <f>SupplyCurves_High!A3</f>
        <v>EN_Hydro_BRA_T2</v>
      </c>
      <c r="C6" t="s">
        <v>451</v>
      </c>
      <c r="D6" t="s">
        <v>76</v>
      </c>
      <c r="E6">
        <f>SupplyCurves_High!F3</f>
        <v>23.1</v>
      </c>
      <c r="F6">
        <f>SupplyCurves_High!H3</f>
        <v>307</v>
      </c>
      <c r="H6" t="s">
        <v>452</v>
      </c>
      <c r="I6" t="str">
        <f t="shared" ref="I6:I69" si="0">B6</f>
        <v>EN_Hydro_BRA_T2</v>
      </c>
      <c r="J6" t="str">
        <f>SupplyCurves_High!C3&amp;" -- "&amp;SupplyCurves_High!E3&amp;" -- "&amp;SupplyCurves_High!K3</f>
        <v>Brazil -- T2 -- $0.06-0.08/kWh</v>
      </c>
      <c r="K6" t="s">
        <v>11</v>
      </c>
      <c r="L6" t="s">
        <v>13</v>
      </c>
      <c r="M6" t="s">
        <v>75</v>
      </c>
      <c r="N6" t="s">
        <v>12</v>
      </c>
    </row>
    <row r="7" spans="2:14">
      <c r="B7" t="str">
        <f>SupplyCurves_High!A4</f>
        <v>EN_Hydro_BRA_T3</v>
      </c>
      <c r="C7" t="s">
        <v>451</v>
      </c>
      <c r="D7" t="s">
        <v>76</v>
      </c>
      <c r="E7">
        <f>SupplyCurves_High!F4</f>
        <v>19.8</v>
      </c>
      <c r="F7">
        <f>SupplyCurves_High!H4</f>
        <v>768</v>
      </c>
      <c r="H7" t="s">
        <v>452</v>
      </c>
      <c r="I7" t="str">
        <f t="shared" si="0"/>
        <v>EN_Hydro_BRA_T3</v>
      </c>
      <c r="J7" t="str">
        <f>SupplyCurves_High!C4&amp;" -- "&amp;SupplyCurves_High!E4&amp;" -- "&amp;SupplyCurves_High!K4</f>
        <v>Brazil -- T3 -- $0.08-0.10/kWh</v>
      </c>
      <c r="K7" t="s">
        <v>11</v>
      </c>
      <c r="L7" t="s">
        <v>13</v>
      </c>
      <c r="M7" t="s">
        <v>75</v>
      </c>
      <c r="N7" t="s">
        <v>12</v>
      </c>
    </row>
    <row r="8" spans="2:14">
      <c r="B8" t="str">
        <f>SupplyCurves_High!A5</f>
        <v>EN_Hydro_BRA_T4</v>
      </c>
      <c r="C8" t="s">
        <v>451</v>
      </c>
      <c r="D8" t="s">
        <v>76</v>
      </c>
      <c r="E8">
        <f>SupplyCurves_High!F5</f>
        <v>9.9</v>
      </c>
      <c r="F8">
        <f>SupplyCurves_High!H5</f>
        <v>1383</v>
      </c>
      <c r="H8" t="s">
        <v>452</v>
      </c>
      <c r="I8" t="str">
        <f t="shared" si="0"/>
        <v>EN_Hydro_BRA_T4</v>
      </c>
      <c r="J8" t="str">
        <f>SupplyCurves_High!C5&amp;" -- "&amp;SupplyCurves_High!E5&amp;" -- "&amp;SupplyCurves_High!K5</f>
        <v>Brazil -- T4 -- $0.10-0.14/kWh</v>
      </c>
      <c r="K8" t="s">
        <v>11</v>
      </c>
      <c r="L8" t="s">
        <v>13</v>
      </c>
      <c r="M8" t="s">
        <v>75</v>
      </c>
      <c r="N8" t="s">
        <v>12</v>
      </c>
    </row>
    <row r="9" spans="2:14">
      <c r="B9" t="str">
        <f>SupplyCurves_High!A6</f>
        <v>EN_Hydro_RUS_T1</v>
      </c>
      <c r="C9" t="s">
        <v>451</v>
      </c>
      <c r="D9" t="s">
        <v>76</v>
      </c>
      <c r="E9">
        <f>SupplyCurves_High!F6</f>
        <v>17.100000000000001</v>
      </c>
      <c r="F9">
        <f>SupplyCurves_High!H6</f>
        <v>0</v>
      </c>
      <c r="H9" t="s">
        <v>452</v>
      </c>
      <c r="I9" t="str">
        <f t="shared" si="0"/>
        <v>EN_Hydro_RUS_T1</v>
      </c>
      <c r="J9" t="str">
        <f>SupplyCurves_High!C6&amp;" -- "&amp;SupplyCurves_High!E6&amp;" -- "&amp;SupplyCurves_High!K6</f>
        <v>Russia -- T1 -- $0.04-0.06/kWh</v>
      </c>
      <c r="K9" t="s">
        <v>11</v>
      </c>
      <c r="L9" t="s">
        <v>13</v>
      </c>
      <c r="M9" t="s">
        <v>75</v>
      </c>
      <c r="N9" t="s">
        <v>12</v>
      </c>
    </row>
    <row r="10" spans="2:14">
      <c r="B10" t="str">
        <f>SupplyCurves_High!A7</f>
        <v>EN_Hydro_RUS_T2</v>
      </c>
      <c r="C10" t="s">
        <v>451</v>
      </c>
      <c r="D10" t="s">
        <v>76</v>
      </c>
      <c r="E10">
        <f>SupplyCurves_High!F7</f>
        <v>29.925000000000001</v>
      </c>
      <c r="F10">
        <f>SupplyCurves_High!H7</f>
        <v>286</v>
      </c>
      <c r="H10" t="s">
        <v>452</v>
      </c>
      <c r="I10" t="str">
        <f t="shared" si="0"/>
        <v>EN_Hydro_RUS_T2</v>
      </c>
      <c r="J10" t="str">
        <f>SupplyCurves_High!C7&amp;" -- "&amp;SupplyCurves_High!E7&amp;" -- "&amp;SupplyCurves_High!K7</f>
        <v>Russia -- T2 -- $0.06-0.08/kWh</v>
      </c>
      <c r="K10" t="s">
        <v>11</v>
      </c>
      <c r="L10" t="s">
        <v>13</v>
      </c>
      <c r="M10" t="s">
        <v>75</v>
      </c>
      <c r="N10" t="s">
        <v>12</v>
      </c>
    </row>
    <row r="11" spans="2:14">
      <c r="B11" t="str">
        <f>SupplyCurves_High!A8</f>
        <v>EN_Hydro_RUS_T3</v>
      </c>
      <c r="C11" t="s">
        <v>451</v>
      </c>
      <c r="D11" t="s">
        <v>76</v>
      </c>
      <c r="E11">
        <f>SupplyCurves_High!F8</f>
        <v>25.65</v>
      </c>
      <c r="F11">
        <f>SupplyCurves_High!H8</f>
        <v>715</v>
      </c>
      <c r="H11" t="s">
        <v>452</v>
      </c>
      <c r="I11" t="str">
        <f t="shared" si="0"/>
        <v>EN_Hydro_RUS_T3</v>
      </c>
      <c r="J11" t="str">
        <f>SupplyCurves_High!C8&amp;" -- "&amp;SupplyCurves_High!E8&amp;" -- "&amp;SupplyCurves_High!K8</f>
        <v>Russia -- T3 -- $0.08-0.10/kWh</v>
      </c>
      <c r="K11" t="s">
        <v>11</v>
      </c>
      <c r="L11" t="s">
        <v>13</v>
      </c>
      <c r="M11" t="s">
        <v>75</v>
      </c>
      <c r="N11" t="s">
        <v>12</v>
      </c>
    </row>
    <row r="12" spans="2:14">
      <c r="B12" t="str">
        <f>SupplyCurves_High!A9</f>
        <v>EN_Hydro_RUS_T4</v>
      </c>
      <c r="C12" t="s">
        <v>451</v>
      </c>
      <c r="D12" t="s">
        <v>76</v>
      </c>
      <c r="E12">
        <f>SupplyCurves_High!F9</f>
        <v>12.824999999999999</v>
      </c>
      <c r="F12">
        <f>SupplyCurves_High!H9</f>
        <v>1287</v>
      </c>
      <c r="H12" t="s">
        <v>452</v>
      </c>
      <c r="I12" t="str">
        <f t="shared" si="0"/>
        <v>EN_Hydro_RUS_T4</v>
      </c>
      <c r="J12" t="str">
        <f>SupplyCurves_High!C9&amp;" -- "&amp;SupplyCurves_High!E9&amp;" -- "&amp;SupplyCurves_High!K9</f>
        <v>Russia -- T4 -- $0.10-0.14/kWh</v>
      </c>
      <c r="K12" t="s">
        <v>11</v>
      </c>
      <c r="L12" t="s">
        <v>13</v>
      </c>
      <c r="M12" t="s">
        <v>75</v>
      </c>
      <c r="N12" t="s">
        <v>12</v>
      </c>
    </row>
    <row r="13" spans="2:14">
      <c r="B13" t="str">
        <f>SupplyCurves_High!A10</f>
        <v>EN_Hydro_CAN_T1</v>
      </c>
      <c r="C13" t="s">
        <v>451</v>
      </c>
      <c r="D13" t="s">
        <v>76</v>
      </c>
      <c r="E13">
        <f>SupplyCurves_High!F10</f>
        <v>6.1</v>
      </c>
      <c r="F13">
        <f>SupplyCurves_High!H10</f>
        <v>0</v>
      </c>
      <c r="H13" t="s">
        <v>452</v>
      </c>
      <c r="I13" t="str">
        <f t="shared" si="0"/>
        <v>EN_Hydro_CAN_T1</v>
      </c>
      <c r="J13" t="str">
        <f>SupplyCurves_High!C10&amp;" -- "&amp;SupplyCurves_High!E10&amp;" -- "&amp;SupplyCurves_High!K10</f>
        <v>Canada -- T1 -- $0.04-0.06/kWh</v>
      </c>
      <c r="K13" t="s">
        <v>11</v>
      </c>
      <c r="L13" t="s">
        <v>13</v>
      </c>
      <c r="M13" t="s">
        <v>75</v>
      </c>
      <c r="N13" t="s">
        <v>12</v>
      </c>
    </row>
    <row r="14" spans="2:14">
      <c r="B14" t="str">
        <f>SupplyCurves_High!A11</f>
        <v>EN_Hydro_CAN_T2</v>
      </c>
      <c r="C14" t="s">
        <v>451</v>
      </c>
      <c r="D14" t="s">
        <v>76</v>
      </c>
      <c r="E14">
        <f>SupplyCurves_High!F11</f>
        <v>10.675000000000001</v>
      </c>
      <c r="F14">
        <f>SupplyCurves_High!H11</f>
        <v>285</v>
      </c>
      <c r="H14" t="s">
        <v>452</v>
      </c>
      <c r="I14" t="str">
        <f t="shared" si="0"/>
        <v>EN_Hydro_CAN_T2</v>
      </c>
      <c r="J14" t="str">
        <f>SupplyCurves_High!C11&amp;" -- "&amp;SupplyCurves_High!E11&amp;" -- "&amp;SupplyCurves_High!K11</f>
        <v>Canada -- T2 -- $0.06-0.08/kWh</v>
      </c>
      <c r="K14" t="s">
        <v>11</v>
      </c>
      <c r="L14" t="s">
        <v>13</v>
      </c>
      <c r="M14" t="s">
        <v>75</v>
      </c>
      <c r="N14" t="s">
        <v>12</v>
      </c>
    </row>
    <row r="15" spans="2:14">
      <c r="B15" t="str">
        <f>SupplyCurves_High!A12</f>
        <v>EN_Hydro_CAN_T3</v>
      </c>
      <c r="C15" t="s">
        <v>451</v>
      </c>
      <c r="D15" t="s">
        <v>76</v>
      </c>
      <c r="E15">
        <f>SupplyCurves_High!F12</f>
        <v>9.15</v>
      </c>
      <c r="F15">
        <f>SupplyCurves_High!H12</f>
        <v>713</v>
      </c>
      <c r="H15" t="s">
        <v>452</v>
      </c>
      <c r="I15" t="str">
        <f t="shared" si="0"/>
        <v>EN_Hydro_CAN_T3</v>
      </c>
      <c r="J15" t="str">
        <f>SupplyCurves_High!C12&amp;" -- "&amp;SupplyCurves_High!E12&amp;" -- "&amp;SupplyCurves_High!K12</f>
        <v>Canada -- T3 -- $0.08-0.10/kWh</v>
      </c>
      <c r="K15" t="s">
        <v>11</v>
      </c>
      <c r="L15" t="s">
        <v>13</v>
      </c>
      <c r="M15" t="s">
        <v>75</v>
      </c>
      <c r="N15" t="s">
        <v>12</v>
      </c>
    </row>
    <row r="16" spans="2:14">
      <c r="B16" t="str">
        <f>SupplyCurves_High!A13</f>
        <v>EN_Hydro_CAN_T4</v>
      </c>
      <c r="C16" t="s">
        <v>451</v>
      </c>
      <c r="D16" t="s">
        <v>76</v>
      </c>
      <c r="E16">
        <f>SupplyCurves_High!F13</f>
        <v>4.5750000000000002</v>
      </c>
      <c r="F16">
        <f>SupplyCurves_High!H13</f>
        <v>1284</v>
      </c>
      <c r="H16" t="s">
        <v>452</v>
      </c>
      <c r="I16" t="str">
        <f t="shared" si="0"/>
        <v>EN_Hydro_CAN_T4</v>
      </c>
      <c r="J16" t="str">
        <f>SupplyCurves_High!C13&amp;" -- "&amp;SupplyCurves_High!E13&amp;" -- "&amp;SupplyCurves_High!K13</f>
        <v>Canada -- T4 -- $0.10-0.14/kWh</v>
      </c>
      <c r="K16" t="s">
        <v>11</v>
      </c>
      <c r="L16" t="s">
        <v>13</v>
      </c>
      <c r="M16" t="s">
        <v>75</v>
      </c>
      <c r="N16" t="s">
        <v>12</v>
      </c>
    </row>
    <row r="17" spans="2:14">
      <c r="B17" t="str">
        <f>SupplyCurves_High!A14</f>
        <v>EN_Hydro_IND_T1</v>
      </c>
      <c r="C17" t="s">
        <v>451</v>
      </c>
      <c r="D17" t="s">
        <v>76</v>
      </c>
      <c r="E17">
        <f>SupplyCurves_High!F14</f>
        <v>4.5999999999999996</v>
      </c>
      <c r="F17">
        <f>SupplyCurves_High!H14</f>
        <v>0</v>
      </c>
      <c r="H17" t="s">
        <v>452</v>
      </c>
      <c r="I17" t="str">
        <f t="shared" si="0"/>
        <v>EN_Hydro_IND_T1</v>
      </c>
      <c r="J17" t="str">
        <f>SupplyCurves_High!C14&amp;" -- "&amp;SupplyCurves_High!E14&amp;" -- "&amp;SupplyCurves_High!K14</f>
        <v>India -- T1 -- $0.04-0.06/kWh</v>
      </c>
      <c r="K17" t="s">
        <v>11</v>
      </c>
      <c r="L17" t="s">
        <v>13</v>
      </c>
      <c r="M17" t="s">
        <v>75</v>
      </c>
      <c r="N17" t="s">
        <v>12</v>
      </c>
    </row>
    <row r="18" spans="2:14">
      <c r="B18" t="str">
        <f>SupplyCurves_High!A15</f>
        <v>EN_Hydro_IND_T2</v>
      </c>
      <c r="C18" t="s">
        <v>451</v>
      </c>
      <c r="D18" t="s">
        <v>76</v>
      </c>
      <c r="E18">
        <f>SupplyCurves_High!F15</f>
        <v>8.0500000000000007</v>
      </c>
      <c r="F18">
        <f>SupplyCurves_High!H15</f>
        <v>259</v>
      </c>
      <c r="H18" t="s">
        <v>452</v>
      </c>
      <c r="I18" t="str">
        <f t="shared" si="0"/>
        <v>EN_Hydro_IND_T2</v>
      </c>
      <c r="J18" t="str">
        <f>SupplyCurves_High!C15&amp;" -- "&amp;SupplyCurves_High!E15&amp;" -- "&amp;SupplyCurves_High!K15</f>
        <v>India -- T2 -- $0.06-0.08/kWh</v>
      </c>
      <c r="K18" t="s">
        <v>11</v>
      </c>
      <c r="L18" t="s">
        <v>13</v>
      </c>
      <c r="M18" t="s">
        <v>75</v>
      </c>
      <c r="N18" t="s">
        <v>12</v>
      </c>
    </row>
    <row r="19" spans="2:14">
      <c r="B19" t="str">
        <f>SupplyCurves_High!A16</f>
        <v>EN_Hydro_IND_T3</v>
      </c>
      <c r="C19" t="s">
        <v>451</v>
      </c>
      <c r="D19" t="s">
        <v>76</v>
      </c>
      <c r="E19">
        <f>SupplyCurves_High!F16</f>
        <v>6.9</v>
      </c>
      <c r="F19">
        <f>SupplyCurves_High!H16</f>
        <v>646</v>
      </c>
      <c r="H19" t="s">
        <v>452</v>
      </c>
      <c r="I19" t="str">
        <f t="shared" si="0"/>
        <v>EN_Hydro_IND_T3</v>
      </c>
      <c r="J19" t="str">
        <f>SupplyCurves_High!C16&amp;" -- "&amp;SupplyCurves_High!E16&amp;" -- "&amp;SupplyCurves_High!K16</f>
        <v>India -- T3 -- $0.08-0.10/kWh</v>
      </c>
      <c r="K19" t="s">
        <v>11</v>
      </c>
      <c r="L19" t="s">
        <v>13</v>
      </c>
      <c r="M19" t="s">
        <v>75</v>
      </c>
      <c r="N19" t="s">
        <v>12</v>
      </c>
    </row>
    <row r="20" spans="2:14">
      <c r="B20" t="str">
        <f>SupplyCurves_High!A17</f>
        <v>EN_Hydro_IND_T4</v>
      </c>
      <c r="C20" t="s">
        <v>451</v>
      </c>
      <c r="D20" t="s">
        <v>76</v>
      </c>
      <c r="E20">
        <f>SupplyCurves_High!F17</f>
        <v>3.45</v>
      </c>
      <c r="F20">
        <f>SupplyCurves_High!H17</f>
        <v>1163</v>
      </c>
      <c r="H20" t="s">
        <v>452</v>
      </c>
      <c r="I20" t="str">
        <f t="shared" si="0"/>
        <v>EN_Hydro_IND_T4</v>
      </c>
      <c r="J20" t="str">
        <f>SupplyCurves_High!C17&amp;" -- "&amp;SupplyCurves_High!E17&amp;" -- "&amp;SupplyCurves_High!K17</f>
        <v>India -- T4 -- $0.10-0.14/kWh</v>
      </c>
      <c r="K20" t="s">
        <v>11</v>
      </c>
      <c r="L20" t="s">
        <v>13</v>
      </c>
      <c r="M20" t="s">
        <v>75</v>
      </c>
      <c r="N20" t="s">
        <v>12</v>
      </c>
    </row>
    <row r="21" spans="2:14">
      <c r="B21" t="str">
        <f>SupplyCurves_High!A18</f>
        <v>EN_Hydro_COD_T1</v>
      </c>
      <c r="C21" t="s">
        <v>451</v>
      </c>
      <c r="D21" t="s">
        <v>76</v>
      </c>
      <c r="E21">
        <f>SupplyCurves_High!F18</f>
        <v>13.16</v>
      </c>
      <c r="F21">
        <f>SupplyCurves_High!H18</f>
        <v>0</v>
      </c>
      <c r="H21" t="s">
        <v>452</v>
      </c>
      <c r="I21" t="str">
        <f t="shared" si="0"/>
        <v>EN_Hydro_COD_T1</v>
      </c>
      <c r="J21" t="str">
        <f>SupplyCurves_High!C18&amp;" -- "&amp;SupplyCurves_High!E18&amp;" -- "&amp;SupplyCurves_High!K18</f>
        <v>DR Congo -- T1 -- $0.04-0.06/kWh</v>
      </c>
      <c r="K21" t="s">
        <v>11</v>
      </c>
      <c r="L21" t="s">
        <v>13</v>
      </c>
      <c r="M21" t="s">
        <v>75</v>
      </c>
      <c r="N21" t="s">
        <v>12</v>
      </c>
    </row>
    <row r="22" spans="2:14">
      <c r="B22" t="str">
        <f>SupplyCurves_High!A19</f>
        <v>EN_Hydro_COD_T2</v>
      </c>
      <c r="C22" t="s">
        <v>451</v>
      </c>
      <c r="D22" t="s">
        <v>76</v>
      </c>
      <c r="E22">
        <f>SupplyCurves_High!F19</f>
        <v>23.03</v>
      </c>
      <c r="F22">
        <f>SupplyCurves_High!H19</f>
        <v>269</v>
      </c>
      <c r="H22" t="s">
        <v>452</v>
      </c>
      <c r="I22" t="str">
        <f t="shared" si="0"/>
        <v>EN_Hydro_COD_T2</v>
      </c>
      <c r="J22" t="str">
        <f>SupplyCurves_High!C19&amp;" -- "&amp;SupplyCurves_High!E19&amp;" -- "&amp;SupplyCurves_High!K19</f>
        <v>DR Congo -- T2 -- $0.06-0.08/kWh</v>
      </c>
      <c r="K22" t="s">
        <v>11</v>
      </c>
      <c r="L22" t="s">
        <v>13</v>
      </c>
      <c r="M22" t="s">
        <v>75</v>
      </c>
      <c r="N22" t="s">
        <v>12</v>
      </c>
    </row>
    <row r="23" spans="2:14">
      <c r="B23" t="str">
        <f>SupplyCurves_High!A20</f>
        <v>EN_Hydro_COD_T3</v>
      </c>
      <c r="C23" t="s">
        <v>451</v>
      </c>
      <c r="D23" t="s">
        <v>76</v>
      </c>
      <c r="E23">
        <f>SupplyCurves_High!F20</f>
        <v>19.739999999999998</v>
      </c>
      <c r="F23">
        <f>SupplyCurves_High!H20</f>
        <v>672</v>
      </c>
      <c r="H23" t="s">
        <v>452</v>
      </c>
      <c r="I23" t="str">
        <f t="shared" si="0"/>
        <v>EN_Hydro_COD_T3</v>
      </c>
      <c r="J23" t="str">
        <f>SupplyCurves_High!C20&amp;" -- "&amp;SupplyCurves_High!E20&amp;" -- "&amp;SupplyCurves_High!K20</f>
        <v>DR Congo -- T3 -- $0.08-0.10/kWh</v>
      </c>
      <c r="K23" t="s">
        <v>11</v>
      </c>
      <c r="L23" t="s">
        <v>13</v>
      </c>
      <c r="M23" t="s">
        <v>75</v>
      </c>
      <c r="N23" t="s">
        <v>12</v>
      </c>
    </row>
    <row r="24" spans="2:14">
      <c r="B24" t="str">
        <f>SupplyCurves_High!A21</f>
        <v>EN_Hydro_COD_T4</v>
      </c>
      <c r="C24" t="s">
        <v>451</v>
      </c>
      <c r="D24" t="s">
        <v>76</v>
      </c>
      <c r="E24">
        <f>SupplyCurves_High!F21</f>
        <v>9.8699999999999992</v>
      </c>
      <c r="F24">
        <f>SupplyCurves_High!H21</f>
        <v>1210</v>
      </c>
      <c r="H24" t="s">
        <v>452</v>
      </c>
      <c r="I24" t="str">
        <f t="shared" si="0"/>
        <v>EN_Hydro_COD_T4</v>
      </c>
      <c r="J24" t="str">
        <f>SupplyCurves_High!C21&amp;" -- "&amp;SupplyCurves_High!E21&amp;" -- "&amp;SupplyCurves_High!K21</f>
        <v>DR Congo -- T4 -- $0.10-0.14/kWh</v>
      </c>
      <c r="K24" t="s">
        <v>11</v>
      </c>
      <c r="L24" t="s">
        <v>13</v>
      </c>
      <c r="M24" t="s">
        <v>75</v>
      </c>
      <c r="N24" t="s">
        <v>12</v>
      </c>
    </row>
    <row r="25" spans="2:14">
      <c r="B25" t="str">
        <f>SupplyCurves_High!A22</f>
        <v>EN_Hydro_IDN_T1</v>
      </c>
      <c r="C25" t="s">
        <v>451</v>
      </c>
      <c r="D25" t="s">
        <v>76</v>
      </c>
      <c r="E25">
        <f>SupplyCurves_High!F22</f>
        <v>8.6</v>
      </c>
      <c r="F25">
        <f>SupplyCurves_High!H22</f>
        <v>0</v>
      </c>
      <c r="H25" t="s">
        <v>452</v>
      </c>
      <c r="I25" t="str">
        <f t="shared" si="0"/>
        <v>EN_Hydro_IDN_T1</v>
      </c>
      <c r="J25" t="str">
        <f>SupplyCurves_High!C22&amp;" -- "&amp;SupplyCurves_High!E22&amp;" -- "&amp;SupplyCurves_High!K22</f>
        <v>Indonesia -- T1 -- $0.04-0.06/kWh</v>
      </c>
      <c r="K25" t="s">
        <v>11</v>
      </c>
      <c r="L25" t="s">
        <v>13</v>
      </c>
      <c r="M25" t="s">
        <v>75</v>
      </c>
      <c r="N25" t="s">
        <v>12</v>
      </c>
    </row>
    <row r="26" spans="2:14">
      <c r="B26" t="str">
        <f>SupplyCurves_High!A23</f>
        <v>EN_Hydro_IDN_T2</v>
      </c>
      <c r="C26" t="s">
        <v>451</v>
      </c>
      <c r="D26" t="s">
        <v>76</v>
      </c>
      <c r="E26">
        <f>SupplyCurves_High!F23</f>
        <v>15.05</v>
      </c>
      <c r="F26">
        <f>SupplyCurves_High!H23</f>
        <v>286</v>
      </c>
      <c r="H26" t="s">
        <v>452</v>
      </c>
      <c r="I26" t="str">
        <f t="shared" si="0"/>
        <v>EN_Hydro_IDN_T2</v>
      </c>
      <c r="J26" t="str">
        <f>SupplyCurves_High!C23&amp;" -- "&amp;SupplyCurves_High!E23&amp;" -- "&amp;SupplyCurves_High!K23</f>
        <v>Indonesia -- T2 -- $0.06-0.08/kWh</v>
      </c>
      <c r="K26" t="s">
        <v>11</v>
      </c>
      <c r="L26" t="s">
        <v>13</v>
      </c>
      <c r="M26" t="s">
        <v>75</v>
      </c>
      <c r="N26" t="s">
        <v>12</v>
      </c>
    </row>
    <row r="27" spans="2:14">
      <c r="B27" t="str">
        <f>SupplyCurves_High!A24</f>
        <v>EN_Hydro_IDN_T3</v>
      </c>
      <c r="C27" t="s">
        <v>451</v>
      </c>
      <c r="D27" t="s">
        <v>76</v>
      </c>
      <c r="E27">
        <f>SupplyCurves_High!F24</f>
        <v>12.9</v>
      </c>
      <c r="F27">
        <f>SupplyCurves_High!H24</f>
        <v>716</v>
      </c>
      <c r="H27" t="s">
        <v>452</v>
      </c>
      <c r="I27" t="str">
        <f t="shared" si="0"/>
        <v>EN_Hydro_IDN_T3</v>
      </c>
      <c r="J27" t="str">
        <f>SupplyCurves_High!C24&amp;" -- "&amp;SupplyCurves_High!E24&amp;" -- "&amp;SupplyCurves_High!K24</f>
        <v>Indonesia -- T3 -- $0.08-0.10/kWh</v>
      </c>
      <c r="K27" t="s">
        <v>11</v>
      </c>
      <c r="L27" t="s">
        <v>13</v>
      </c>
      <c r="M27" t="s">
        <v>75</v>
      </c>
      <c r="N27" t="s">
        <v>12</v>
      </c>
    </row>
    <row r="28" spans="2:14">
      <c r="B28" t="str">
        <f>SupplyCurves_High!A25</f>
        <v>EN_Hydro_IDN_T4</v>
      </c>
      <c r="C28" t="s">
        <v>451</v>
      </c>
      <c r="D28" t="s">
        <v>76</v>
      </c>
      <c r="E28">
        <f>SupplyCurves_High!F25</f>
        <v>6.45</v>
      </c>
      <c r="F28">
        <f>SupplyCurves_High!H25</f>
        <v>1289</v>
      </c>
      <c r="H28" t="s">
        <v>452</v>
      </c>
      <c r="I28" t="str">
        <f t="shared" si="0"/>
        <v>EN_Hydro_IDN_T4</v>
      </c>
      <c r="J28" t="str">
        <f>SupplyCurves_High!C25&amp;" -- "&amp;SupplyCurves_High!E25&amp;" -- "&amp;SupplyCurves_High!K25</f>
        <v>Indonesia -- T4 -- $0.10-0.14/kWh</v>
      </c>
      <c r="K28" t="s">
        <v>11</v>
      </c>
      <c r="L28" t="s">
        <v>13</v>
      </c>
      <c r="M28" t="s">
        <v>75</v>
      </c>
      <c r="N28" t="s">
        <v>12</v>
      </c>
    </row>
    <row r="29" spans="2:14">
      <c r="B29" t="str">
        <f>SupplyCurves_High!A26</f>
        <v>EN_Hydro_PER_T1</v>
      </c>
      <c r="C29" t="s">
        <v>451</v>
      </c>
      <c r="D29" t="s">
        <v>76</v>
      </c>
      <c r="E29">
        <f>SupplyCurves_High!F26</f>
        <v>7.76</v>
      </c>
      <c r="F29">
        <f>SupplyCurves_High!H26</f>
        <v>0</v>
      </c>
      <c r="H29" t="s">
        <v>452</v>
      </c>
      <c r="I29" t="str">
        <f t="shared" si="0"/>
        <v>EN_Hydro_PER_T1</v>
      </c>
      <c r="J29" t="str">
        <f>SupplyCurves_High!C26&amp;" -- "&amp;SupplyCurves_High!E26&amp;" -- "&amp;SupplyCurves_High!K26</f>
        <v>Peru -- T1 -- $0.04-0.06/kWh</v>
      </c>
      <c r="K29" t="s">
        <v>11</v>
      </c>
      <c r="L29" t="s">
        <v>13</v>
      </c>
      <c r="M29" t="s">
        <v>75</v>
      </c>
      <c r="N29" t="s">
        <v>12</v>
      </c>
    </row>
    <row r="30" spans="2:14">
      <c r="B30" t="str">
        <f>SupplyCurves_High!A27</f>
        <v>EN_Hydro_PER_T2</v>
      </c>
      <c r="C30" t="s">
        <v>451</v>
      </c>
      <c r="D30" t="s">
        <v>76</v>
      </c>
      <c r="E30">
        <f>SupplyCurves_High!F27</f>
        <v>13.58</v>
      </c>
      <c r="F30">
        <f>SupplyCurves_High!H27</f>
        <v>307</v>
      </c>
      <c r="H30" t="s">
        <v>452</v>
      </c>
      <c r="I30" t="str">
        <f t="shared" si="0"/>
        <v>EN_Hydro_PER_T2</v>
      </c>
      <c r="J30" t="str">
        <f>SupplyCurves_High!C27&amp;" -- "&amp;SupplyCurves_High!E27&amp;" -- "&amp;SupplyCurves_High!K27</f>
        <v>Peru -- T2 -- $0.06-0.08/kWh</v>
      </c>
      <c r="K30" t="s">
        <v>11</v>
      </c>
      <c r="L30" t="s">
        <v>13</v>
      </c>
      <c r="M30" t="s">
        <v>75</v>
      </c>
      <c r="N30" t="s">
        <v>12</v>
      </c>
    </row>
    <row r="31" spans="2:14">
      <c r="B31" t="str">
        <f>SupplyCurves_High!A28</f>
        <v>EN_Hydro_PER_T3</v>
      </c>
      <c r="C31" t="s">
        <v>451</v>
      </c>
      <c r="D31" t="s">
        <v>76</v>
      </c>
      <c r="E31">
        <f>SupplyCurves_High!F28</f>
        <v>11.64</v>
      </c>
      <c r="F31">
        <f>SupplyCurves_High!H28</f>
        <v>768</v>
      </c>
      <c r="H31" t="s">
        <v>452</v>
      </c>
      <c r="I31" t="str">
        <f t="shared" si="0"/>
        <v>EN_Hydro_PER_T3</v>
      </c>
      <c r="J31" t="str">
        <f>SupplyCurves_High!C28&amp;" -- "&amp;SupplyCurves_High!E28&amp;" -- "&amp;SupplyCurves_High!K28</f>
        <v>Peru -- T3 -- $0.08-0.10/kWh</v>
      </c>
      <c r="K31" t="s">
        <v>11</v>
      </c>
      <c r="L31" t="s">
        <v>13</v>
      </c>
      <c r="M31" t="s">
        <v>75</v>
      </c>
      <c r="N31" t="s">
        <v>12</v>
      </c>
    </row>
    <row r="32" spans="2:14">
      <c r="B32" t="str">
        <f>SupplyCurves_High!A29</f>
        <v>EN_Hydro_PER_T4</v>
      </c>
      <c r="C32" t="s">
        <v>451</v>
      </c>
      <c r="D32" t="s">
        <v>76</v>
      </c>
      <c r="E32">
        <f>SupplyCurves_High!F29</f>
        <v>5.82</v>
      </c>
      <c r="F32">
        <f>SupplyCurves_High!H29</f>
        <v>1383</v>
      </c>
      <c r="H32" t="s">
        <v>452</v>
      </c>
      <c r="I32" t="str">
        <f t="shared" si="0"/>
        <v>EN_Hydro_PER_T4</v>
      </c>
      <c r="J32" t="str">
        <f>SupplyCurves_High!C29&amp;" -- "&amp;SupplyCurves_High!E29&amp;" -- "&amp;SupplyCurves_High!K29</f>
        <v>Peru -- T4 -- $0.10-0.14/kWh</v>
      </c>
      <c r="K32" t="s">
        <v>11</v>
      </c>
      <c r="L32" t="s">
        <v>13</v>
      </c>
      <c r="M32" t="s">
        <v>75</v>
      </c>
      <c r="N32" t="s">
        <v>12</v>
      </c>
    </row>
    <row r="33" spans="2:14">
      <c r="B33" t="str">
        <f>SupplyCurves_High!A30</f>
        <v>EN_Hydro_COL_T1</v>
      </c>
      <c r="C33" t="s">
        <v>451</v>
      </c>
      <c r="D33" t="s">
        <v>76</v>
      </c>
      <c r="E33">
        <f>SupplyCurves_High!F30</f>
        <v>5.72</v>
      </c>
      <c r="F33">
        <f>SupplyCurves_High!H30</f>
        <v>0</v>
      </c>
      <c r="H33" t="s">
        <v>452</v>
      </c>
      <c r="I33" t="str">
        <f t="shared" si="0"/>
        <v>EN_Hydro_COL_T1</v>
      </c>
      <c r="J33" t="str">
        <f>SupplyCurves_High!C30&amp;" -- "&amp;SupplyCurves_High!E30&amp;" -- "&amp;SupplyCurves_High!K30</f>
        <v>Colombia -- T1 -- $0.04-0.06/kWh</v>
      </c>
      <c r="K33" t="s">
        <v>11</v>
      </c>
      <c r="L33" t="s">
        <v>13</v>
      </c>
      <c r="M33" t="s">
        <v>75</v>
      </c>
      <c r="N33" t="s">
        <v>12</v>
      </c>
    </row>
    <row r="34" spans="2:14">
      <c r="B34" t="str">
        <f>SupplyCurves_High!A31</f>
        <v>EN_Hydro_COL_T2</v>
      </c>
      <c r="C34" t="s">
        <v>451</v>
      </c>
      <c r="D34" t="s">
        <v>76</v>
      </c>
      <c r="E34">
        <f>SupplyCurves_High!F31</f>
        <v>10.01</v>
      </c>
      <c r="F34">
        <f>SupplyCurves_High!H31</f>
        <v>307</v>
      </c>
      <c r="H34" t="s">
        <v>452</v>
      </c>
      <c r="I34" t="str">
        <f t="shared" si="0"/>
        <v>EN_Hydro_COL_T2</v>
      </c>
      <c r="J34" t="str">
        <f>SupplyCurves_High!C31&amp;" -- "&amp;SupplyCurves_High!E31&amp;" -- "&amp;SupplyCurves_High!K31</f>
        <v>Colombia -- T2 -- $0.06-0.08/kWh</v>
      </c>
      <c r="K34" t="s">
        <v>11</v>
      </c>
      <c r="L34" t="s">
        <v>13</v>
      </c>
      <c r="M34" t="s">
        <v>75</v>
      </c>
      <c r="N34" t="s">
        <v>12</v>
      </c>
    </row>
    <row r="35" spans="2:14">
      <c r="B35" t="str">
        <f>SupplyCurves_High!A32</f>
        <v>EN_Hydro_COL_T3</v>
      </c>
      <c r="C35" t="s">
        <v>451</v>
      </c>
      <c r="D35" t="s">
        <v>76</v>
      </c>
      <c r="E35">
        <f>SupplyCurves_High!F32</f>
        <v>8.58</v>
      </c>
      <c r="F35">
        <f>SupplyCurves_High!H32</f>
        <v>768</v>
      </c>
      <c r="H35" t="s">
        <v>452</v>
      </c>
      <c r="I35" t="str">
        <f t="shared" si="0"/>
        <v>EN_Hydro_COL_T3</v>
      </c>
      <c r="J35" t="str">
        <f>SupplyCurves_High!C32&amp;" -- "&amp;SupplyCurves_High!E32&amp;" -- "&amp;SupplyCurves_High!K32</f>
        <v>Colombia -- T3 -- $0.08-0.10/kWh</v>
      </c>
      <c r="K35" t="s">
        <v>11</v>
      </c>
      <c r="L35" t="s">
        <v>13</v>
      </c>
      <c r="M35" t="s">
        <v>75</v>
      </c>
      <c r="N35" t="s">
        <v>12</v>
      </c>
    </row>
    <row r="36" spans="2:14">
      <c r="B36" t="str">
        <f>SupplyCurves_High!A33</f>
        <v>EN_Hydro_COL_T4</v>
      </c>
      <c r="C36" t="s">
        <v>451</v>
      </c>
      <c r="D36" t="s">
        <v>76</v>
      </c>
      <c r="E36">
        <f>SupplyCurves_High!F33</f>
        <v>4.29</v>
      </c>
      <c r="F36">
        <f>SupplyCurves_High!H33</f>
        <v>1383</v>
      </c>
      <c r="H36" t="s">
        <v>452</v>
      </c>
      <c r="I36" t="str">
        <f t="shared" si="0"/>
        <v>EN_Hydro_COL_T4</v>
      </c>
      <c r="J36" t="str">
        <f>SupplyCurves_High!C33&amp;" -- "&amp;SupplyCurves_High!E33&amp;" -- "&amp;SupplyCurves_High!K33</f>
        <v>Colombia -- T4 -- $0.10-0.14/kWh</v>
      </c>
      <c r="K36" t="s">
        <v>11</v>
      </c>
      <c r="L36" t="s">
        <v>13</v>
      </c>
      <c r="M36" t="s">
        <v>75</v>
      </c>
      <c r="N36" t="s">
        <v>12</v>
      </c>
    </row>
    <row r="37" spans="2:14">
      <c r="B37" t="str">
        <f>SupplyCurves_High!A34</f>
        <v>EN_Hydro_VEN_T1</v>
      </c>
      <c r="C37" t="s">
        <v>451</v>
      </c>
      <c r="D37" t="s">
        <v>76</v>
      </c>
      <c r="E37">
        <f>SupplyCurves_High!F34</f>
        <v>4.0999999999999996</v>
      </c>
      <c r="F37">
        <f>SupplyCurves_High!H34</f>
        <v>0</v>
      </c>
      <c r="H37" t="s">
        <v>452</v>
      </c>
      <c r="I37" t="str">
        <f t="shared" si="0"/>
        <v>EN_Hydro_VEN_T1</v>
      </c>
      <c r="J37" t="str">
        <f>SupplyCurves_High!C34&amp;" -- "&amp;SupplyCurves_High!E34&amp;" -- "&amp;SupplyCurves_High!K34</f>
        <v>Venezuela -- T1 -- $0.04-0.06/kWh</v>
      </c>
      <c r="K37" t="s">
        <v>11</v>
      </c>
      <c r="L37" t="s">
        <v>13</v>
      </c>
      <c r="M37" t="s">
        <v>75</v>
      </c>
      <c r="N37" t="s">
        <v>12</v>
      </c>
    </row>
    <row r="38" spans="2:14">
      <c r="B38" t="str">
        <f>SupplyCurves_High!A35</f>
        <v>EN_Hydro_VEN_T2</v>
      </c>
      <c r="C38" t="s">
        <v>451</v>
      </c>
      <c r="D38" t="s">
        <v>76</v>
      </c>
      <c r="E38">
        <f>SupplyCurves_High!F35</f>
        <v>7.1749999999999998</v>
      </c>
      <c r="F38">
        <f>SupplyCurves_High!H35</f>
        <v>307</v>
      </c>
      <c r="H38" t="s">
        <v>452</v>
      </c>
      <c r="I38" t="str">
        <f t="shared" si="0"/>
        <v>EN_Hydro_VEN_T2</v>
      </c>
      <c r="J38" t="str">
        <f>SupplyCurves_High!C35&amp;" -- "&amp;SupplyCurves_High!E35&amp;" -- "&amp;SupplyCurves_High!K35</f>
        <v>Venezuela -- T2 -- $0.06-0.08/kWh</v>
      </c>
      <c r="K38" t="s">
        <v>11</v>
      </c>
      <c r="L38" t="s">
        <v>13</v>
      </c>
      <c r="M38" t="s">
        <v>75</v>
      </c>
      <c r="N38" t="s">
        <v>12</v>
      </c>
    </row>
    <row r="39" spans="2:14">
      <c r="B39" t="str">
        <f>SupplyCurves_High!A36</f>
        <v>EN_Hydro_VEN_T3</v>
      </c>
      <c r="C39" t="s">
        <v>451</v>
      </c>
      <c r="D39" t="s">
        <v>76</v>
      </c>
      <c r="E39">
        <f>SupplyCurves_High!F36</f>
        <v>6.15</v>
      </c>
      <c r="F39">
        <f>SupplyCurves_High!H36</f>
        <v>768</v>
      </c>
      <c r="H39" t="s">
        <v>452</v>
      </c>
      <c r="I39" t="str">
        <f t="shared" si="0"/>
        <v>EN_Hydro_VEN_T3</v>
      </c>
      <c r="J39" t="str">
        <f>SupplyCurves_High!C36&amp;" -- "&amp;SupplyCurves_High!E36&amp;" -- "&amp;SupplyCurves_High!K36</f>
        <v>Venezuela -- T3 -- $0.08-0.10/kWh</v>
      </c>
      <c r="K39" t="s">
        <v>11</v>
      </c>
      <c r="L39" t="s">
        <v>13</v>
      </c>
      <c r="M39" t="s">
        <v>75</v>
      </c>
      <c r="N39" t="s">
        <v>12</v>
      </c>
    </row>
    <row r="40" spans="2:14">
      <c r="B40" t="str">
        <f>SupplyCurves_High!A37</f>
        <v>EN_Hydro_VEN_T4</v>
      </c>
      <c r="C40" t="s">
        <v>451</v>
      </c>
      <c r="D40" t="s">
        <v>76</v>
      </c>
      <c r="E40">
        <f>SupplyCurves_High!F37</f>
        <v>3.0750000000000002</v>
      </c>
      <c r="F40">
        <f>SupplyCurves_High!H37</f>
        <v>1383</v>
      </c>
      <c r="H40" t="s">
        <v>452</v>
      </c>
      <c r="I40" t="str">
        <f t="shared" si="0"/>
        <v>EN_Hydro_VEN_T4</v>
      </c>
      <c r="J40" t="str">
        <f>SupplyCurves_High!C37&amp;" -- "&amp;SupplyCurves_High!E37&amp;" -- "&amp;SupplyCurves_High!K37</f>
        <v>Venezuela -- T4 -- $0.10-0.14/kWh</v>
      </c>
      <c r="K40" t="s">
        <v>11</v>
      </c>
      <c r="L40" t="s">
        <v>13</v>
      </c>
      <c r="M40" t="s">
        <v>75</v>
      </c>
      <c r="N40" t="s">
        <v>12</v>
      </c>
    </row>
    <row r="41" spans="2:14">
      <c r="B41" t="str">
        <f>SupplyCurves_High!A38</f>
        <v>EN_Hydro_MMR_T1</v>
      </c>
      <c r="C41" t="s">
        <v>451</v>
      </c>
      <c r="D41" t="s">
        <v>76</v>
      </c>
      <c r="E41">
        <f>SupplyCurves_High!F38</f>
        <v>6.08</v>
      </c>
      <c r="F41">
        <f>SupplyCurves_High!H38</f>
        <v>0</v>
      </c>
      <c r="H41" t="s">
        <v>452</v>
      </c>
      <c r="I41" t="str">
        <f t="shared" si="0"/>
        <v>EN_Hydro_MMR_T1</v>
      </c>
      <c r="J41" t="str">
        <f>SupplyCurves_High!C38&amp;" -- "&amp;SupplyCurves_High!E38&amp;" -- "&amp;SupplyCurves_High!K38</f>
        <v>Myanmar -- T1 -- $0.04-0.06/kWh</v>
      </c>
      <c r="K41" t="s">
        <v>11</v>
      </c>
      <c r="L41" t="s">
        <v>13</v>
      </c>
      <c r="M41" t="s">
        <v>75</v>
      </c>
      <c r="N41" t="s">
        <v>12</v>
      </c>
    </row>
    <row r="42" spans="2:14">
      <c r="B42" t="str">
        <f>SupplyCurves_High!A39</f>
        <v>EN_Hydro_MMR_T2</v>
      </c>
      <c r="C42" t="s">
        <v>451</v>
      </c>
      <c r="D42" t="s">
        <v>76</v>
      </c>
      <c r="E42">
        <f>SupplyCurves_High!F39</f>
        <v>10.64</v>
      </c>
      <c r="F42">
        <f>SupplyCurves_High!H39</f>
        <v>227</v>
      </c>
      <c r="H42" t="s">
        <v>452</v>
      </c>
      <c r="I42" t="str">
        <f t="shared" si="0"/>
        <v>EN_Hydro_MMR_T2</v>
      </c>
      <c r="J42" t="str">
        <f>SupplyCurves_High!C39&amp;" -- "&amp;SupplyCurves_High!E39&amp;" -- "&amp;SupplyCurves_High!K39</f>
        <v>Myanmar -- T2 -- $0.06-0.08/kWh</v>
      </c>
      <c r="K42" t="s">
        <v>11</v>
      </c>
      <c r="L42" t="s">
        <v>13</v>
      </c>
      <c r="M42" t="s">
        <v>75</v>
      </c>
      <c r="N42" t="s">
        <v>12</v>
      </c>
    </row>
    <row r="43" spans="2:14">
      <c r="B43" t="str">
        <f>SupplyCurves_High!A40</f>
        <v>EN_Hydro_MMR_T3</v>
      </c>
      <c r="C43" t="s">
        <v>451</v>
      </c>
      <c r="D43" t="s">
        <v>76</v>
      </c>
      <c r="E43">
        <f>SupplyCurves_High!F40</f>
        <v>9.1199999999999992</v>
      </c>
      <c r="F43">
        <f>SupplyCurves_High!H40</f>
        <v>568</v>
      </c>
      <c r="H43" t="s">
        <v>452</v>
      </c>
      <c r="I43" t="str">
        <f t="shared" si="0"/>
        <v>EN_Hydro_MMR_T3</v>
      </c>
      <c r="J43" t="str">
        <f>SupplyCurves_High!C40&amp;" -- "&amp;SupplyCurves_High!E40&amp;" -- "&amp;SupplyCurves_High!K40</f>
        <v>Myanmar -- T3 -- $0.08-0.10/kWh</v>
      </c>
      <c r="K43" t="s">
        <v>11</v>
      </c>
      <c r="L43" t="s">
        <v>13</v>
      </c>
      <c r="M43" t="s">
        <v>75</v>
      </c>
      <c r="N43" t="s">
        <v>12</v>
      </c>
    </row>
    <row r="44" spans="2:14">
      <c r="B44" t="str">
        <f>SupplyCurves_High!A41</f>
        <v>EN_Hydro_MMR_T4</v>
      </c>
      <c r="C44" t="s">
        <v>451</v>
      </c>
      <c r="D44" t="s">
        <v>76</v>
      </c>
      <c r="E44">
        <f>SupplyCurves_High!F41</f>
        <v>4.5599999999999996</v>
      </c>
      <c r="F44">
        <f>SupplyCurves_High!H41</f>
        <v>1023</v>
      </c>
      <c r="H44" t="s">
        <v>452</v>
      </c>
      <c r="I44" t="str">
        <f t="shared" si="0"/>
        <v>EN_Hydro_MMR_T4</v>
      </c>
      <c r="J44" t="str">
        <f>SupplyCurves_High!C41&amp;" -- "&amp;SupplyCurves_High!E41&amp;" -- "&amp;SupplyCurves_High!K41</f>
        <v>Myanmar -- T4 -- $0.10-0.14/kWh</v>
      </c>
      <c r="K44" t="s">
        <v>11</v>
      </c>
      <c r="L44" t="s">
        <v>13</v>
      </c>
      <c r="M44" t="s">
        <v>75</v>
      </c>
      <c r="N44" t="s">
        <v>12</v>
      </c>
    </row>
    <row r="45" spans="2:14">
      <c r="B45" t="str">
        <f>SupplyCurves_High!A42</f>
        <v>EN_Hydro_NPL_T1</v>
      </c>
      <c r="C45" t="s">
        <v>451</v>
      </c>
      <c r="D45" t="s">
        <v>76</v>
      </c>
      <c r="E45">
        <f>SupplyCurves_High!F42</f>
        <v>5.64</v>
      </c>
      <c r="F45">
        <f>SupplyCurves_High!H42</f>
        <v>0</v>
      </c>
      <c r="H45" t="s">
        <v>452</v>
      </c>
      <c r="I45" t="str">
        <f t="shared" si="0"/>
        <v>EN_Hydro_NPL_T1</v>
      </c>
      <c r="J45" t="str">
        <f>SupplyCurves_High!C42&amp;" -- "&amp;SupplyCurves_High!E42&amp;" -- "&amp;SupplyCurves_High!K42</f>
        <v>Nepal -- T1 -- $0.04-0.06/kWh</v>
      </c>
      <c r="K45" t="s">
        <v>11</v>
      </c>
      <c r="L45" t="s">
        <v>13</v>
      </c>
      <c r="M45" t="s">
        <v>75</v>
      </c>
      <c r="N45" t="s">
        <v>12</v>
      </c>
    </row>
    <row r="46" spans="2:14">
      <c r="B46" t="str">
        <f>SupplyCurves_High!A43</f>
        <v>EN_Hydro_NPL_T2</v>
      </c>
      <c r="C46" t="s">
        <v>451</v>
      </c>
      <c r="D46" t="s">
        <v>76</v>
      </c>
      <c r="E46">
        <f>SupplyCurves_High!F43</f>
        <v>9.8699999999999992</v>
      </c>
      <c r="F46">
        <f>SupplyCurves_High!H43</f>
        <v>259</v>
      </c>
      <c r="H46" t="s">
        <v>452</v>
      </c>
      <c r="I46" t="str">
        <f t="shared" si="0"/>
        <v>EN_Hydro_NPL_T2</v>
      </c>
      <c r="J46" t="str">
        <f>SupplyCurves_High!C43&amp;" -- "&amp;SupplyCurves_High!E43&amp;" -- "&amp;SupplyCurves_High!K43</f>
        <v>Nepal -- T2 -- $0.06-0.08/kWh</v>
      </c>
      <c r="K46" t="s">
        <v>11</v>
      </c>
      <c r="L46" t="s">
        <v>13</v>
      </c>
      <c r="M46" t="s">
        <v>75</v>
      </c>
      <c r="N46" t="s">
        <v>12</v>
      </c>
    </row>
    <row r="47" spans="2:14">
      <c r="B47" t="str">
        <f>SupplyCurves_High!A44</f>
        <v>EN_Hydro_NPL_T3</v>
      </c>
      <c r="C47" t="s">
        <v>451</v>
      </c>
      <c r="D47" t="s">
        <v>76</v>
      </c>
      <c r="E47">
        <f>SupplyCurves_High!F44</f>
        <v>8.4600000000000009</v>
      </c>
      <c r="F47">
        <f>SupplyCurves_High!H44</f>
        <v>646</v>
      </c>
      <c r="H47" t="s">
        <v>452</v>
      </c>
      <c r="I47" t="str">
        <f t="shared" si="0"/>
        <v>EN_Hydro_NPL_T3</v>
      </c>
      <c r="J47" t="str">
        <f>SupplyCurves_High!C44&amp;" -- "&amp;SupplyCurves_High!E44&amp;" -- "&amp;SupplyCurves_High!K44</f>
        <v>Nepal -- T3 -- $0.08-0.10/kWh</v>
      </c>
      <c r="K47" t="s">
        <v>11</v>
      </c>
      <c r="L47" t="s">
        <v>13</v>
      </c>
      <c r="M47" t="s">
        <v>75</v>
      </c>
      <c r="N47" t="s">
        <v>12</v>
      </c>
    </row>
    <row r="48" spans="2:14">
      <c r="B48" t="str">
        <f>SupplyCurves_High!A45</f>
        <v>EN_Hydro_NPL_T4</v>
      </c>
      <c r="C48" t="s">
        <v>451</v>
      </c>
      <c r="D48" t="s">
        <v>76</v>
      </c>
      <c r="E48">
        <f>SupplyCurves_High!F45</f>
        <v>4.2300000000000004</v>
      </c>
      <c r="F48">
        <f>SupplyCurves_High!H45</f>
        <v>1163</v>
      </c>
      <c r="H48" t="s">
        <v>452</v>
      </c>
      <c r="I48" t="str">
        <f t="shared" si="0"/>
        <v>EN_Hydro_NPL_T4</v>
      </c>
      <c r="J48" t="str">
        <f>SupplyCurves_High!C45&amp;" -- "&amp;SupplyCurves_High!E45&amp;" -- "&amp;SupplyCurves_High!K45</f>
        <v>Nepal -- T4 -- $0.10-0.14/kWh</v>
      </c>
      <c r="K48" t="s">
        <v>11</v>
      </c>
      <c r="L48" t="s">
        <v>13</v>
      </c>
      <c r="M48" t="s">
        <v>75</v>
      </c>
      <c r="N48" t="s">
        <v>12</v>
      </c>
    </row>
    <row r="49" spans="2:14">
      <c r="B49" t="str">
        <f>SupplyCurves_High!A46</f>
        <v>EN_Hydro_PAK_T1</v>
      </c>
      <c r="C49" t="s">
        <v>451</v>
      </c>
      <c r="D49" t="s">
        <v>76</v>
      </c>
      <c r="E49">
        <f>SupplyCurves_High!F46</f>
        <v>4</v>
      </c>
      <c r="F49">
        <f>SupplyCurves_High!H46</f>
        <v>0</v>
      </c>
      <c r="H49" t="s">
        <v>452</v>
      </c>
      <c r="I49" t="str">
        <f t="shared" si="0"/>
        <v>EN_Hydro_PAK_T1</v>
      </c>
      <c r="J49" t="str">
        <f>SupplyCurves_High!C46&amp;" -- "&amp;SupplyCurves_High!E46&amp;" -- "&amp;SupplyCurves_High!K46</f>
        <v>Pakistan -- T1 -- $0.04-0.06/kWh</v>
      </c>
      <c r="K49" t="s">
        <v>11</v>
      </c>
      <c r="L49" t="s">
        <v>13</v>
      </c>
      <c r="M49" t="s">
        <v>75</v>
      </c>
      <c r="N49" t="s">
        <v>12</v>
      </c>
    </row>
    <row r="50" spans="2:14">
      <c r="B50" t="str">
        <f>SupplyCurves_High!A47</f>
        <v>EN_Hydro_PAK_T2</v>
      </c>
      <c r="C50" t="s">
        <v>451</v>
      </c>
      <c r="D50" t="s">
        <v>76</v>
      </c>
      <c r="E50">
        <f>SupplyCurves_High!F47</f>
        <v>7</v>
      </c>
      <c r="F50">
        <f>SupplyCurves_High!H47</f>
        <v>259</v>
      </c>
      <c r="H50" t="s">
        <v>452</v>
      </c>
      <c r="I50" t="str">
        <f t="shared" si="0"/>
        <v>EN_Hydro_PAK_T2</v>
      </c>
      <c r="J50" t="str">
        <f>SupplyCurves_High!C47&amp;" -- "&amp;SupplyCurves_High!E47&amp;" -- "&amp;SupplyCurves_High!K47</f>
        <v>Pakistan -- T2 -- $0.06-0.08/kWh</v>
      </c>
      <c r="K50" t="s">
        <v>11</v>
      </c>
      <c r="L50" t="s">
        <v>13</v>
      </c>
      <c r="M50" t="s">
        <v>75</v>
      </c>
      <c r="N50" t="s">
        <v>12</v>
      </c>
    </row>
    <row r="51" spans="2:14">
      <c r="B51" t="str">
        <f>SupplyCurves_High!A48</f>
        <v>EN_Hydro_PAK_T3</v>
      </c>
      <c r="C51" t="s">
        <v>451</v>
      </c>
      <c r="D51" t="s">
        <v>76</v>
      </c>
      <c r="E51">
        <f>SupplyCurves_High!F48</f>
        <v>6</v>
      </c>
      <c r="F51">
        <f>SupplyCurves_High!H48</f>
        <v>646</v>
      </c>
      <c r="H51" t="s">
        <v>452</v>
      </c>
      <c r="I51" t="str">
        <f t="shared" si="0"/>
        <v>EN_Hydro_PAK_T3</v>
      </c>
      <c r="J51" t="str">
        <f>SupplyCurves_High!C48&amp;" -- "&amp;SupplyCurves_High!E48&amp;" -- "&amp;SupplyCurves_High!K48</f>
        <v>Pakistan -- T3 -- $0.08-0.10/kWh</v>
      </c>
      <c r="K51" t="s">
        <v>11</v>
      </c>
      <c r="L51" t="s">
        <v>13</v>
      </c>
      <c r="M51" t="s">
        <v>75</v>
      </c>
      <c r="N51" t="s">
        <v>12</v>
      </c>
    </row>
    <row r="52" spans="2:14">
      <c r="B52" t="str">
        <f>SupplyCurves_High!A49</f>
        <v>EN_Hydro_PAK_T4</v>
      </c>
      <c r="C52" t="s">
        <v>451</v>
      </c>
      <c r="D52" t="s">
        <v>76</v>
      </c>
      <c r="E52">
        <f>SupplyCurves_High!F49</f>
        <v>3</v>
      </c>
      <c r="F52">
        <f>SupplyCurves_High!H49</f>
        <v>1163</v>
      </c>
      <c r="H52" t="s">
        <v>452</v>
      </c>
      <c r="I52" t="str">
        <f t="shared" si="0"/>
        <v>EN_Hydro_PAK_T4</v>
      </c>
      <c r="J52" t="str">
        <f>SupplyCurves_High!C49&amp;" -- "&amp;SupplyCurves_High!E49&amp;" -- "&amp;SupplyCurves_High!K49</f>
        <v>Pakistan -- T4 -- $0.10-0.14/kWh</v>
      </c>
      <c r="K52" t="s">
        <v>11</v>
      </c>
      <c r="L52" t="s">
        <v>13</v>
      </c>
      <c r="M52" t="s">
        <v>75</v>
      </c>
      <c r="N52" t="s">
        <v>12</v>
      </c>
    </row>
    <row r="53" spans="2:14">
      <c r="B53" t="str">
        <f>SupplyCurves_High!A50</f>
        <v>EN_Hydro_ARG_T1</v>
      </c>
      <c r="C53" t="s">
        <v>451</v>
      </c>
      <c r="D53" t="s">
        <v>76</v>
      </c>
      <c r="E53">
        <f>SupplyCurves_High!F50</f>
        <v>3.42</v>
      </c>
      <c r="F53">
        <f>SupplyCurves_High!H50</f>
        <v>0</v>
      </c>
      <c r="H53" t="s">
        <v>452</v>
      </c>
      <c r="I53" t="str">
        <f t="shared" si="0"/>
        <v>EN_Hydro_ARG_T1</v>
      </c>
      <c r="J53" t="str">
        <f>SupplyCurves_High!C50&amp;" -- "&amp;SupplyCurves_High!E50&amp;" -- "&amp;SupplyCurves_High!K50</f>
        <v>Argentina -- T1 -- $0.04-0.06/kWh</v>
      </c>
      <c r="K53" t="s">
        <v>11</v>
      </c>
      <c r="L53" t="s">
        <v>13</v>
      </c>
      <c r="M53" t="s">
        <v>75</v>
      </c>
      <c r="N53" t="s">
        <v>12</v>
      </c>
    </row>
    <row r="54" spans="2:14">
      <c r="B54" t="str">
        <f>SupplyCurves_High!A51</f>
        <v>EN_Hydro_ARG_T2</v>
      </c>
      <c r="C54" t="s">
        <v>451</v>
      </c>
      <c r="D54" t="s">
        <v>76</v>
      </c>
      <c r="E54">
        <f>SupplyCurves_High!F51</f>
        <v>5.9850000000000003</v>
      </c>
      <c r="F54">
        <f>SupplyCurves_High!H51</f>
        <v>307</v>
      </c>
      <c r="H54" t="s">
        <v>452</v>
      </c>
      <c r="I54" t="str">
        <f t="shared" si="0"/>
        <v>EN_Hydro_ARG_T2</v>
      </c>
      <c r="J54" t="str">
        <f>SupplyCurves_High!C51&amp;" -- "&amp;SupplyCurves_High!E51&amp;" -- "&amp;SupplyCurves_High!K51</f>
        <v>Argentina -- T2 -- $0.06-0.08/kWh</v>
      </c>
      <c r="K54" t="s">
        <v>11</v>
      </c>
      <c r="L54" t="s">
        <v>13</v>
      </c>
      <c r="M54" t="s">
        <v>75</v>
      </c>
      <c r="N54" t="s">
        <v>12</v>
      </c>
    </row>
    <row r="55" spans="2:14">
      <c r="B55" t="str">
        <f>SupplyCurves_High!A52</f>
        <v>EN_Hydro_ARG_T3</v>
      </c>
      <c r="C55" t="s">
        <v>451</v>
      </c>
      <c r="D55" t="s">
        <v>76</v>
      </c>
      <c r="E55">
        <f>SupplyCurves_High!F52</f>
        <v>5.13</v>
      </c>
      <c r="F55">
        <f>SupplyCurves_High!H52</f>
        <v>768</v>
      </c>
      <c r="H55" t="s">
        <v>452</v>
      </c>
      <c r="I55" t="str">
        <f t="shared" si="0"/>
        <v>EN_Hydro_ARG_T3</v>
      </c>
      <c r="J55" t="str">
        <f>SupplyCurves_High!C52&amp;" -- "&amp;SupplyCurves_High!E52&amp;" -- "&amp;SupplyCurves_High!K52</f>
        <v>Argentina -- T3 -- $0.08-0.10/kWh</v>
      </c>
      <c r="K55" t="s">
        <v>11</v>
      </c>
      <c r="L55" t="s">
        <v>13</v>
      </c>
      <c r="M55" t="s">
        <v>75</v>
      </c>
      <c r="N55" t="s">
        <v>12</v>
      </c>
    </row>
    <row r="56" spans="2:14">
      <c r="B56" t="str">
        <f>SupplyCurves_High!A53</f>
        <v>EN_Hydro_ARG_T4</v>
      </c>
      <c r="C56" t="s">
        <v>451</v>
      </c>
      <c r="D56" t="s">
        <v>76</v>
      </c>
      <c r="E56">
        <f>SupplyCurves_High!F53</f>
        <v>2.5649999999999999</v>
      </c>
      <c r="F56">
        <f>SupplyCurves_High!H53</f>
        <v>1383</v>
      </c>
      <c r="H56" t="s">
        <v>452</v>
      </c>
      <c r="I56" t="str">
        <f t="shared" si="0"/>
        <v>EN_Hydro_ARG_T4</v>
      </c>
      <c r="J56" t="str">
        <f>SupplyCurves_High!C53&amp;" -- "&amp;SupplyCurves_High!E53&amp;" -- "&amp;SupplyCurves_High!K53</f>
        <v>Argentina -- T4 -- $0.10-0.14/kWh</v>
      </c>
      <c r="K56" t="s">
        <v>11</v>
      </c>
      <c r="L56" t="s">
        <v>13</v>
      </c>
      <c r="M56" t="s">
        <v>75</v>
      </c>
      <c r="N56" t="s">
        <v>12</v>
      </c>
    </row>
    <row r="57" spans="2:14">
      <c r="B57" t="str">
        <f>SupplyCurves_High!A54</f>
        <v>EN_Hydro_MEX_T1</v>
      </c>
      <c r="C57" t="s">
        <v>451</v>
      </c>
      <c r="D57" t="s">
        <v>76</v>
      </c>
      <c r="E57">
        <f>SupplyCurves_High!F54</f>
        <v>2.4</v>
      </c>
      <c r="F57">
        <f>SupplyCurves_High!H54</f>
        <v>0</v>
      </c>
      <c r="H57" t="s">
        <v>452</v>
      </c>
      <c r="I57" t="str">
        <f t="shared" si="0"/>
        <v>EN_Hydro_MEX_T1</v>
      </c>
      <c r="J57" t="str">
        <f>SupplyCurves_High!C54&amp;" -- "&amp;SupplyCurves_High!E54&amp;" -- "&amp;SupplyCurves_High!K54</f>
        <v>Mexico -- T1 -- $0.04-0.06/kWh</v>
      </c>
      <c r="K57" t="s">
        <v>11</v>
      </c>
      <c r="L57" t="s">
        <v>13</v>
      </c>
      <c r="M57" t="s">
        <v>75</v>
      </c>
      <c r="N57" t="s">
        <v>12</v>
      </c>
    </row>
    <row r="58" spans="2:14">
      <c r="B58" t="str">
        <f>SupplyCurves_High!A55</f>
        <v>EN_Hydro_MEX_T2</v>
      </c>
      <c r="C58" t="s">
        <v>451</v>
      </c>
      <c r="D58" t="s">
        <v>76</v>
      </c>
      <c r="E58">
        <f>SupplyCurves_High!F55</f>
        <v>4.2</v>
      </c>
      <c r="F58">
        <f>SupplyCurves_High!H55</f>
        <v>307</v>
      </c>
      <c r="H58" t="s">
        <v>452</v>
      </c>
      <c r="I58" t="str">
        <f t="shared" si="0"/>
        <v>EN_Hydro_MEX_T2</v>
      </c>
      <c r="J58" t="str">
        <f>SupplyCurves_High!C55&amp;" -- "&amp;SupplyCurves_High!E55&amp;" -- "&amp;SupplyCurves_High!K55</f>
        <v>Mexico -- T2 -- $0.06-0.08/kWh</v>
      </c>
      <c r="K58" t="s">
        <v>11</v>
      </c>
      <c r="L58" t="s">
        <v>13</v>
      </c>
      <c r="M58" t="s">
        <v>75</v>
      </c>
      <c r="N58" t="s">
        <v>12</v>
      </c>
    </row>
    <row r="59" spans="2:14">
      <c r="B59" t="str">
        <f>SupplyCurves_High!A56</f>
        <v>EN_Hydro_MEX_T3</v>
      </c>
      <c r="C59" t="s">
        <v>451</v>
      </c>
      <c r="D59" t="s">
        <v>76</v>
      </c>
      <c r="E59">
        <f>SupplyCurves_High!F56</f>
        <v>3.6</v>
      </c>
      <c r="F59">
        <f>SupplyCurves_High!H56</f>
        <v>768</v>
      </c>
      <c r="H59" t="s">
        <v>452</v>
      </c>
      <c r="I59" t="str">
        <f t="shared" si="0"/>
        <v>EN_Hydro_MEX_T3</v>
      </c>
      <c r="J59" t="str">
        <f>SupplyCurves_High!C56&amp;" -- "&amp;SupplyCurves_High!E56&amp;" -- "&amp;SupplyCurves_High!K56</f>
        <v>Mexico -- T3 -- $0.08-0.10/kWh</v>
      </c>
      <c r="K59" t="s">
        <v>11</v>
      </c>
      <c r="L59" t="s">
        <v>13</v>
      </c>
      <c r="M59" t="s">
        <v>75</v>
      </c>
      <c r="N59" t="s">
        <v>12</v>
      </c>
    </row>
    <row r="60" spans="2:14">
      <c r="B60" t="str">
        <f>SupplyCurves_High!A57</f>
        <v>EN_Hydro_MEX_T4</v>
      </c>
      <c r="C60" t="s">
        <v>451</v>
      </c>
      <c r="D60" t="s">
        <v>76</v>
      </c>
      <c r="E60">
        <f>SupplyCurves_High!F57</f>
        <v>1.8</v>
      </c>
      <c r="F60">
        <f>SupplyCurves_High!H57</f>
        <v>1383</v>
      </c>
      <c r="H60" t="s">
        <v>452</v>
      </c>
      <c r="I60" t="str">
        <f t="shared" si="0"/>
        <v>EN_Hydro_MEX_T4</v>
      </c>
      <c r="J60" t="str">
        <f>SupplyCurves_High!C57&amp;" -- "&amp;SupplyCurves_High!E57&amp;" -- "&amp;SupplyCurves_High!K57</f>
        <v>Mexico -- T4 -- $0.10-0.14/kWh</v>
      </c>
      <c r="K60" t="s">
        <v>11</v>
      </c>
      <c r="L60" t="s">
        <v>13</v>
      </c>
      <c r="M60" t="s">
        <v>75</v>
      </c>
      <c r="N60" t="s">
        <v>12</v>
      </c>
    </row>
    <row r="61" spans="2:14">
      <c r="B61" t="str">
        <f>SupplyCurves_High!A58</f>
        <v>EN_Hydro_ETH_T1</v>
      </c>
      <c r="C61" t="s">
        <v>451</v>
      </c>
      <c r="D61" t="s">
        <v>76</v>
      </c>
      <c r="E61">
        <f>SupplyCurves_High!F58</f>
        <v>2.5</v>
      </c>
      <c r="F61">
        <f>SupplyCurves_High!H58</f>
        <v>0</v>
      </c>
      <c r="H61" t="s">
        <v>452</v>
      </c>
      <c r="I61" t="str">
        <f t="shared" si="0"/>
        <v>EN_Hydro_ETH_T1</v>
      </c>
      <c r="J61" t="str">
        <f>SupplyCurves_High!C58&amp;" -- "&amp;SupplyCurves_High!E58&amp;" -- "&amp;SupplyCurves_High!K58</f>
        <v>Ethiopia -- T1 -- $0.04-0.06/kWh</v>
      </c>
      <c r="K61" t="s">
        <v>11</v>
      </c>
      <c r="L61" t="s">
        <v>13</v>
      </c>
      <c r="M61" t="s">
        <v>75</v>
      </c>
      <c r="N61" t="s">
        <v>12</v>
      </c>
    </row>
    <row r="62" spans="2:14">
      <c r="B62" t="str">
        <f>SupplyCurves_High!A59</f>
        <v>EN_Hydro_ETH_T2</v>
      </c>
      <c r="C62" t="s">
        <v>451</v>
      </c>
      <c r="D62" t="s">
        <v>76</v>
      </c>
      <c r="E62">
        <f>SupplyCurves_High!F59</f>
        <v>4.375</v>
      </c>
      <c r="F62">
        <f>SupplyCurves_High!H59</f>
        <v>269</v>
      </c>
      <c r="H62" t="s">
        <v>452</v>
      </c>
      <c r="I62" t="str">
        <f t="shared" si="0"/>
        <v>EN_Hydro_ETH_T2</v>
      </c>
      <c r="J62" t="str">
        <f>SupplyCurves_High!C59&amp;" -- "&amp;SupplyCurves_High!E59&amp;" -- "&amp;SupplyCurves_High!K59</f>
        <v>Ethiopia -- T2 -- $0.06-0.08/kWh</v>
      </c>
      <c r="K62" t="s">
        <v>11</v>
      </c>
      <c r="L62" t="s">
        <v>13</v>
      </c>
      <c r="M62" t="s">
        <v>75</v>
      </c>
      <c r="N62" t="s">
        <v>12</v>
      </c>
    </row>
    <row r="63" spans="2:14">
      <c r="B63" t="str">
        <f>SupplyCurves_High!A60</f>
        <v>EN_Hydro_ETH_T3</v>
      </c>
      <c r="C63" t="s">
        <v>451</v>
      </c>
      <c r="D63" t="s">
        <v>76</v>
      </c>
      <c r="E63">
        <f>SupplyCurves_High!F60</f>
        <v>3.75</v>
      </c>
      <c r="F63">
        <f>SupplyCurves_High!H60</f>
        <v>672</v>
      </c>
      <c r="H63" t="s">
        <v>452</v>
      </c>
      <c r="I63" t="str">
        <f t="shared" si="0"/>
        <v>EN_Hydro_ETH_T3</v>
      </c>
      <c r="J63" t="str">
        <f>SupplyCurves_High!C60&amp;" -- "&amp;SupplyCurves_High!E60&amp;" -- "&amp;SupplyCurves_High!K60</f>
        <v>Ethiopia -- T3 -- $0.08-0.10/kWh</v>
      </c>
      <c r="K63" t="s">
        <v>11</v>
      </c>
      <c r="L63" t="s">
        <v>13</v>
      </c>
      <c r="M63" t="s">
        <v>75</v>
      </c>
      <c r="N63" t="s">
        <v>12</v>
      </c>
    </row>
    <row r="64" spans="2:14">
      <c r="B64" t="str">
        <f>SupplyCurves_High!A61</f>
        <v>EN_Hydro_ETH_T4</v>
      </c>
      <c r="C64" t="s">
        <v>451</v>
      </c>
      <c r="D64" t="s">
        <v>76</v>
      </c>
      <c r="E64">
        <f>SupplyCurves_High!F61</f>
        <v>1.875</v>
      </c>
      <c r="F64">
        <f>SupplyCurves_High!H61</f>
        <v>1210</v>
      </c>
      <c r="H64" t="s">
        <v>452</v>
      </c>
      <c r="I64" t="str">
        <f t="shared" si="0"/>
        <v>EN_Hydro_ETH_T4</v>
      </c>
      <c r="J64" t="str">
        <f>SupplyCurves_High!C61&amp;" -- "&amp;SupplyCurves_High!E61&amp;" -- "&amp;SupplyCurves_High!K61</f>
        <v>Ethiopia -- T4 -- $0.10-0.14/kWh</v>
      </c>
      <c r="K64" t="s">
        <v>11</v>
      </c>
      <c r="L64" t="s">
        <v>13</v>
      </c>
      <c r="M64" t="s">
        <v>75</v>
      </c>
      <c r="N64" t="s">
        <v>12</v>
      </c>
    </row>
    <row r="65" spans="2:14">
      <c r="B65" t="str">
        <f>SupplyCurves_High!A62</f>
        <v>EN_Hydro_BOL_T1</v>
      </c>
      <c r="C65" t="s">
        <v>451</v>
      </c>
      <c r="D65" t="s">
        <v>76</v>
      </c>
      <c r="E65">
        <f>SupplyCurves_High!F62</f>
        <v>3.04</v>
      </c>
      <c r="F65">
        <f>SupplyCurves_High!H62</f>
        <v>0</v>
      </c>
      <c r="H65" t="s">
        <v>452</v>
      </c>
      <c r="I65" t="str">
        <f t="shared" si="0"/>
        <v>EN_Hydro_BOL_T1</v>
      </c>
      <c r="J65" t="str">
        <f>SupplyCurves_High!C62&amp;" -- "&amp;SupplyCurves_High!E62&amp;" -- "&amp;SupplyCurves_High!K62</f>
        <v>Bolivia -- T1 -- $0.04-0.06/kWh</v>
      </c>
      <c r="K65" t="s">
        <v>11</v>
      </c>
      <c r="L65" t="s">
        <v>13</v>
      </c>
      <c r="M65" t="s">
        <v>75</v>
      </c>
      <c r="N65" t="s">
        <v>12</v>
      </c>
    </row>
    <row r="66" spans="2:14">
      <c r="B66" t="str">
        <f>SupplyCurves_High!A63</f>
        <v>EN_Hydro_BOL_T2</v>
      </c>
      <c r="C66" t="s">
        <v>451</v>
      </c>
      <c r="D66" t="s">
        <v>76</v>
      </c>
      <c r="E66">
        <f>SupplyCurves_High!F63</f>
        <v>5.32</v>
      </c>
      <c r="F66">
        <f>SupplyCurves_High!H63</f>
        <v>307</v>
      </c>
      <c r="H66" t="s">
        <v>452</v>
      </c>
      <c r="I66" t="str">
        <f t="shared" si="0"/>
        <v>EN_Hydro_BOL_T2</v>
      </c>
      <c r="J66" t="str">
        <f>SupplyCurves_High!C63&amp;" -- "&amp;SupplyCurves_High!E63&amp;" -- "&amp;SupplyCurves_High!K63</f>
        <v>Bolivia -- T2 -- $0.06-0.08/kWh</v>
      </c>
      <c r="K66" t="s">
        <v>11</v>
      </c>
      <c r="L66" t="s">
        <v>13</v>
      </c>
      <c r="M66" t="s">
        <v>75</v>
      </c>
      <c r="N66" t="s">
        <v>12</v>
      </c>
    </row>
    <row r="67" spans="2:14">
      <c r="B67" t="str">
        <f>SupplyCurves_High!A64</f>
        <v>EN_Hydro_BOL_T3</v>
      </c>
      <c r="C67" t="s">
        <v>451</v>
      </c>
      <c r="D67" t="s">
        <v>76</v>
      </c>
      <c r="E67">
        <f>SupplyCurves_High!F64</f>
        <v>4.5599999999999996</v>
      </c>
      <c r="F67">
        <f>SupplyCurves_High!H64</f>
        <v>768</v>
      </c>
      <c r="H67" t="s">
        <v>452</v>
      </c>
      <c r="I67" t="str">
        <f t="shared" si="0"/>
        <v>EN_Hydro_BOL_T3</v>
      </c>
      <c r="J67" t="str">
        <f>SupplyCurves_High!C64&amp;" -- "&amp;SupplyCurves_High!E64&amp;" -- "&amp;SupplyCurves_High!K64</f>
        <v>Bolivia -- T3 -- $0.08-0.10/kWh</v>
      </c>
      <c r="K67" t="s">
        <v>11</v>
      </c>
      <c r="L67" t="s">
        <v>13</v>
      </c>
      <c r="M67" t="s">
        <v>75</v>
      </c>
      <c r="N67" t="s">
        <v>12</v>
      </c>
    </row>
    <row r="68" spans="2:14">
      <c r="B68" t="str">
        <f>SupplyCurves_High!A65</f>
        <v>EN_Hydro_BOL_T4</v>
      </c>
      <c r="C68" t="s">
        <v>451</v>
      </c>
      <c r="D68" t="s">
        <v>76</v>
      </c>
      <c r="E68">
        <f>SupplyCurves_High!F65</f>
        <v>2.2799999999999998</v>
      </c>
      <c r="F68">
        <f>SupplyCurves_High!H65</f>
        <v>1383</v>
      </c>
      <c r="H68" t="s">
        <v>452</v>
      </c>
      <c r="I68" t="str">
        <f t="shared" si="0"/>
        <v>EN_Hydro_BOL_T4</v>
      </c>
      <c r="J68" t="str">
        <f>SupplyCurves_High!C65&amp;" -- "&amp;SupplyCurves_High!E65&amp;" -- "&amp;SupplyCurves_High!K65</f>
        <v>Bolivia -- T4 -- $0.10-0.14/kWh</v>
      </c>
      <c r="K68" t="s">
        <v>11</v>
      </c>
      <c r="L68" t="s">
        <v>13</v>
      </c>
      <c r="M68" t="s">
        <v>75</v>
      </c>
      <c r="N68" t="s">
        <v>12</v>
      </c>
    </row>
    <row r="69" spans="2:14">
      <c r="B69" t="str">
        <f>SupplyCurves_High!A66</f>
        <v>EN_Hydro_ECU_T1</v>
      </c>
      <c r="C69" t="s">
        <v>451</v>
      </c>
      <c r="D69" t="s">
        <v>76</v>
      </c>
      <c r="E69">
        <f>SupplyCurves_High!F66</f>
        <v>2.2000000000000002</v>
      </c>
      <c r="F69">
        <f>SupplyCurves_High!H66</f>
        <v>0</v>
      </c>
      <c r="H69" t="s">
        <v>452</v>
      </c>
      <c r="I69" t="str">
        <f t="shared" si="0"/>
        <v>EN_Hydro_ECU_T1</v>
      </c>
      <c r="J69" t="str">
        <f>SupplyCurves_High!C66&amp;" -- "&amp;SupplyCurves_High!E66&amp;" -- "&amp;SupplyCurves_High!K66</f>
        <v>Ecuador -- T1 -- $0.04-0.06/kWh</v>
      </c>
      <c r="K69" t="s">
        <v>11</v>
      </c>
      <c r="L69" t="s">
        <v>13</v>
      </c>
      <c r="M69" t="s">
        <v>75</v>
      </c>
      <c r="N69" t="s">
        <v>12</v>
      </c>
    </row>
    <row r="70" spans="2:14">
      <c r="B70" t="str">
        <f>SupplyCurves_High!A67</f>
        <v>EN_Hydro_ECU_T2</v>
      </c>
      <c r="C70" t="s">
        <v>451</v>
      </c>
      <c r="D70" t="s">
        <v>76</v>
      </c>
      <c r="E70">
        <f>SupplyCurves_High!F67</f>
        <v>3.85</v>
      </c>
      <c r="F70">
        <f>SupplyCurves_High!H67</f>
        <v>307</v>
      </c>
      <c r="H70" t="s">
        <v>452</v>
      </c>
      <c r="I70" t="str">
        <f t="shared" ref="I70:I133" si="1">B70</f>
        <v>EN_Hydro_ECU_T2</v>
      </c>
      <c r="J70" t="str">
        <f>SupplyCurves_High!C67&amp;" -- "&amp;SupplyCurves_High!E67&amp;" -- "&amp;SupplyCurves_High!K67</f>
        <v>Ecuador -- T2 -- $0.06-0.08/kWh</v>
      </c>
      <c r="K70" t="s">
        <v>11</v>
      </c>
      <c r="L70" t="s">
        <v>13</v>
      </c>
      <c r="M70" t="s">
        <v>75</v>
      </c>
      <c r="N70" t="s">
        <v>12</v>
      </c>
    </row>
    <row r="71" spans="2:14">
      <c r="B71" t="str">
        <f>SupplyCurves_High!A68</f>
        <v>EN_Hydro_ECU_T3</v>
      </c>
      <c r="C71" t="s">
        <v>451</v>
      </c>
      <c r="D71" t="s">
        <v>76</v>
      </c>
      <c r="E71">
        <f>SupplyCurves_High!F68</f>
        <v>3.3</v>
      </c>
      <c r="F71">
        <f>SupplyCurves_High!H68</f>
        <v>768</v>
      </c>
      <c r="H71" t="s">
        <v>452</v>
      </c>
      <c r="I71" t="str">
        <f t="shared" si="1"/>
        <v>EN_Hydro_ECU_T3</v>
      </c>
      <c r="J71" t="str">
        <f>SupplyCurves_High!C68&amp;" -- "&amp;SupplyCurves_High!E68&amp;" -- "&amp;SupplyCurves_High!K68</f>
        <v>Ecuador -- T3 -- $0.08-0.10/kWh</v>
      </c>
      <c r="K71" t="s">
        <v>11</v>
      </c>
      <c r="L71" t="s">
        <v>13</v>
      </c>
      <c r="M71" t="s">
        <v>75</v>
      </c>
      <c r="N71" t="s">
        <v>12</v>
      </c>
    </row>
    <row r="72" spans="2:14">
      <c r="B72" t="str">
        <f>SupplyCurves_High!A69</f>
        <v>EN_Hydro_ECU_T4</v>
      </c>
      <c r="C72" t="s">
        <v>451</v>
      </c>
      <c r="D72" t="s">
        <v>76</v>
      </c>
      <c r="E72">
        <f>SupplyCurves_High!F69</f>
        <v>1.65</v>
      </c>
      <c r="F72">
        <f>SupplyCurves_High!H69</f>
        <v>1383</v>
      </c>
      <c r="H72" t="s">
        <v>452</v>
      </c>
      <c r="I72" t="str">
        <f t="shared" si="1"/>
        <v>EN_Hydro_ECU_T4</v>
      </c>
      <c r="J72" t="str">
        <f>SupplyCurves_High!C69&amp;" -- "&amp;SupplyCurves_High!E69&amp;" -- "&amp;SupplyCurves_High!K69</f>
        <v>Ecuador -- T4 -- $0.10-0.14/kWh</v>
      </c>
      <c r="K72" t="s">
        <v>11</v>
      </c>
      <c r="L72" t="s">
        <v>13</v>
      </c>
      <c r="M72" t="s">
        <v>75</v>
      </c>
      <c r="N72" t="s">
        <v>12</v>
      </c>
    </row>
    <row r="73" spans="2:14">
      <c r="B73" t="str">
        <f>SupplyCurves_High!A70</f>
        <v>EN_Hydro_LAO_T1</v>
      </c>
      <c r="C73" t="s">
        <v>451</v>
      </c>
      <c r="D73" t="s">
        <v>76</v>
      </c>
      <c r="E73">
        <f>SupplyCurves_High!F70</f>
        <v>0.96</v>
      </c>
      <c r="F73">
        <f>SupplyCurves_High!H70</f>
        <v>0</v>
      </c>
      <c r="H73" t="s">
        <v>452</v>
      </c>
      <c r="I73" t="str">
        <f t="shared" si="1"/>
        <v>EN_Hydro_LAO_T1</v>
      </c>
      <c r="J73" t="str">
        <f>SupplyCurves_High!C70&amp;" -- "&amp;SupplyCurves_High!E70&amp;" -- "&amp;SupplyCurves_High!K70</f>
        <v>Laos -- T1 -- $0.04-0.06/kWh</v>
      </c>
      <c r="K73" t="s">
        <v>11</v>
      </c>
      <c r="L73" t="s">
        <v>13</v>
      </c>
      <c r="M73" t="s">
        <v>75</v>
      </c>
      <c r="N73" t="s">
        <v>12</v>
      </c>
    </row>
    <row r="74" spans="2:14">
      <c r="B74" t="str">
        <f>SupplyCurves_High!A71</f>
        <v>EN_Hydro_LAO_T2</v>
      </c>
      <c r="C74" t="s">
        <v>451</v>
      </c>
      <c r="D74" t="s">
        <v>76</v>
      </c>
      <c r="E74">
        <f>SupplyCurves_High!F71</f>
        <v>1.68</v>
      </c>
      <c r="F74">
        <f>SupplyCurves_High!H71</f>
        <v>227</v>
      </c>
      <c r="H74" t="s">
        <v>452</v>
      </c>
      <c r="I74" t="str">
        <f t="shared" si="1"/>
        <v>EN_Hydro_LAO_T2</v>
      </c>
      <c r="J74" t="str">
        <f>SupplyCurves_High!C71&amp;" -- "&amp;SupplyCurves_High!E71&amp;" -- "&amp;SupplyCurves_High!K71</f>
        <v>Laos -- T2 -- $0.06-0.08/kWh</v>
      </c>
      <c r="K74" t="s">
        <v>11</v>
      </c>
      <c r="L74" t="s">
        <v>13</v>
      </c>
      <c r="M74" t="s">
        <v>75</v>
      </c>
      <c r="N74" t="s">
        <v>12</v>
      </c>
    </row>
    <row r="75" spans="2:14">
      <c r="B75" t="str">
        <f>SupplyCurves_High!A72</f>
        <v>EN_Hydro_LAO_T3</v>
      </c>
      <c r="C75" t="s">
        <v>451</v>
      </c>
      <c r="D75" t="s">
        <v>76</v>
      </c>
      <c r="E75">
        <f>SupplyCurves_High!F72</f>
        <v>1.44</v>
      </c>
      <c r="F75">
        <f>SupplyCurves_High!H72</f>
        <v>568</v>
      </c>
      <c r="H75" t="s">
        <v>452</v>
      </c>
      <c r="I75" t="str">
        <f t="shared" si="1"/>
        <v>EN_Hydro_LAO_T3</v>
      </c>
      <c r="J75" t="str">
        <f>SupplyCurves_High!C72&amp;" -- "&amp;SupplyCurves_High!E72&amp;" -- "&amp;SupplyCurves_High!K72</f>
        <v>Laos -- T3 -- $0.08-0.10/kWh</v>
      </c>
      <c r="K75" t="s">
        <v>11</v>
      </c>
      <c r="L75" t="s">
        <v>13</v>
      </c>
      <c r="M75" t="s">
        <v>75</v>
      </c>
      <c r="N75" t="s">
        <v>12</v>
      </c>
    </row>
    <row r="76" spans="2:14">
      <c r="B76" t="str">
        <f>SupplyCurves_High!A73</f>
        <v>EN_Hydro_LAO_T4</v>
      </c>
      <c r="C76" t="s">
        <v>451</v>
      </c>
      <c r="D76" t="s">
        <v>76</v>
      </c>
      <c r="E76">
        <f>SupplyCurves_High!F73</f>
        <v>0.72</v>
      </c>
      <c r="F76">
        <f>SupplyCurves_High!H73</f>
        <v>1023</v>
      </c>
      <c r="H76" t="s">
        <v>452</v>
      </c>
      <c r="I76" t="str">
        <f t="shared" si="1"/>
        <v>EN_Hydro_LAO_T4</v>
      </c>
      <c r="J76" t="str">
        <f>SupplyCurves_High!C73&amp;" -- "&amp;SupplyCurves_High!E73&amp;" -- "&amp;SupplyCurves_High!K73</f>
        <v>Laos -- T4 -- $0.10-0.14/kWh</v>
      </c>
      <c r="K76" t="s">
        <v>11</v>
      </c>
      <c r="L76" t="s">
        <v>13</v>
      </c>
      <c r="M76" t="s">
        <v>75</v>
      </c>
      <c r="N76" t="s">
        <v>12</v>
      </c>
    </row>
    <row r="77" spans="2:14">
      <c r="B77" t="str">
        <f>SupplyCurves_High!A74</f>
        <v>EN_Hydro_NGA_T1</v>
      </c>
      <c r="C77" t="s">
        <v>451</v>
      </c>
      <c r="D77" t="s">
        <v>76</v>
      </c>
      <c r="E77">
        <f>SupplyCurves_High!F74</f>
        <v>1.9</v>
      </c>
      <c r="F77">
        <f>SupplyCurves_High!H74</f>
        <v>0</v>
      </c>
      <c r="H77" t="s">
        <v>452</v>
      </c>
      <c r="I77" t="str">
        <f t="shared" si="1"/>
        <v>EN_Hydro_NGA_T1</v>
      </c>
      <c r="J77" t="str">
        <f>SupplyCurves_High!C74&amp;" -- "&amp;SupplyCurves_High!E74&amp;" -- "&amp;SupplyCurves_High!K74</f>
        <v>Nigeria -- T1 -- $0.04-0.06/kWh</v>
      </c>
      <c r="K77" t="s">
        <v>11</v>
      </c>
      <c r="L77" t="s">
        <v>13</v>
      </c>
      <c r="M77" t="s">
        <v>75</v>
      </c>
      <c r="N77" t="s">
        <v>12</v>
      </c>
    </row>
    <row r="78" spans="2:14">
      <c r="B78" t="str">
        <f>SupplyCurves_High!A75</f>
        <v>EN_Hydro_NGA_T2</v>
      </c>
      <c r="C78" t="s">
        <v>451</v>
      </c>
      <c r="D78" t="s">
        <v>76</v>
      </c>
      <c r="E78">
        <f>SupplyCurves_High!F75</f>
        <v>3.3250000000000002</v>
      </c>
      <c r="F78">
        <f>SupplyCurves_High!H75</f>
        <v>269</v>
      </c>
      <c r="H78" t="s">
        <v>452</v>
      </c>
      <c r="I78" t="str">
        <f t="shared" si="1"/>
        <v>EN_Hydro_NGA_T2</v>
      </c>
      <c r="J78" t="str">
        <f>SupplyCurves_High!C75&amp;" -- "&amp;SupplyCurves_High!E75&amp;" -- "&amp;SupplyCurves_High!K75</f>
        <v>Nigeria -- T2 -- $0.06-0.08/kWh</v>
      </c>
      <c r="K78" t="s">
        <v>11</v>
      </c>
      <c r="L78" t="s">
        <v>13</v>
      </c>
      <c r="M78" t="s">
        <v>75</v>
      </c>
      <c r="N78" t="s">
        <v>12</v>
      </c>
    </row>
    <row r="79" spans="2:14">
      <c r="B79" t="str">
        <f>SupplyCurves_High!A76</f>
        <v>EN_Hydro_NGA_T3</v>
      </c>
      <c r="C79" t="s">
        <v>451</v>
      </c>
      <c r="D79" t="s">
        <v>76</v>
      </c>
      <c r="E79">
        <f>SupplyCurves_High!F76</f>
        <v>2.85</v>
      </c>
      <c r="F79">
        <f>SupplyCurves_High!H76</f>
        <v>672</v>
      </c>
      <c r="H79" t="s">
        <v>452</v>
      </c>
      <c r="I79" t="str">
        <f t="shared" si="1"/>
        <v>EN_Hydro_NGA_T3</v>
      </c>
      <c r="J79" t="str">
        <f>SupplyCurves_High!C76&amp;" -- "&amp;SupplyCurves_High!E76&amp;" -- "&amp;SupplyCurves_High!K76</f>
        <v>Nigeria -- T3 -- $0.08-0.10/kWh</v>
      </c>
      <c r="K79" t="s">
        <v>11</v>
      </c>
      <c r="L79" t="s">
        <v>13</v>
      </c>
      <c r="M79" t="s">
        <v>75</v>
      </c>
      <c r="N79" t="s">
        <v>12</v>
      </c>
    </row>
    <row r="80" spans="2:14">
      <c r="B80" t="str">
        <f>SupplyCurves_High!A77</f>
        <v>EN_Hydro_NGA_T4</v>
      </c>
      <c r="C80" t="s">
        <v>451</v>
      </c>
      <c r="D80" t="s">
        <v>76</v>
      </c>
      <c r="E80">
        <f>SupplyCurves_High!F77</f>
        <v>1.425</v>
      </c>
      <c r="F80">
        <f>SupplyCurves_High!H77</f>
        <v>1210</v>
      </c>
      <c r="H80" t="s">
        <v>452</v>
      </c>
      <c r="I80" t="str">
        <f t="shared" si="1"/>
        <v>EN_Hydro_NGA_T4</v>
      </c>
      <c r="J80" t="str">
        <f>SupplyCurves_High!C77&amp;" -- "&amp;SupplyCurves_High!E77&amp;" -- "&amp;SupplyCurves_High!K77</f>
        <v>Nigeria -- T4 -- $0.10-0.14/kWh</v>
      </c>
      <c r="K80" t="s">
        <v>11</v>
      </c>
      <c r="L80" t="s">
        <v>13</v>
      </c>
      <c r="M80" t="s">
        <v>75</v>
      </c>
      <c r="N80" t="s">
        <v>12</v>
      </c>
    </row>
    <row r="81" spans="2:14">
      <c r="B81" t="str">
        <f>SupplyCurves_High!A78</f>
        <v>EN_Hydro_PHL_T1</v>
      </c>
      <c r="C81" t="s">
        <v>451</v>
      </c>
      <c r="D81" t="s">
        <v>76</v>
      </c>
      <c r="E81">
        <f>SupplyCurves_High!F78</f>
        <v>1.44</v>
      </c>
      <c r="F81">
        <f>SupplyCurves_High!H78</f>
        <v>0</v>
      </c>
      <c r="H81" t="s">
        <v>452</v>
      </c>
      <c r="I81" t="str">
        <f t="shared" si="1"/>
        <v>EN_Hydro_PHL_T1</v>
      </c>
      <c r="J81" t="str">
        <f>SupplyCurves_High!C78&amp;" -- "&amp;SupplyCurves_High!E78&amp;" -- "&amp;SupplyCurves_High!K78</f>
        <v>Philippines -- T1 -- $0.04-0.06/kWh</v>
      </c>
      <c r="K81" t="s">
        <v>11</v>
      </c>
      <c r="L81" t="s">
        <v>13</v>
      </c>
      <c r="M81" t="s">
        <v>75</v>
      </c>
      <c r="N81" t="s">
        <v>12</v>
      </c>
    </row>
    <row r="82" spans="2:14">
      <c r="B82" t="str">
        <f>SupplyCurves_High!A79</f>
        <v>EN_Hydro_PHL_T2</v>
      </c>
      <c r="C82" t="s">
        <v>451</v>
      </c>
      <c r="D82" t="s">
        <v>76</v>
      </c>
      <c r="E82">
        <f>SupplyCurves_High!F79</f>
        <v>2.52</v>
      </c>
      <c r="F82">
        <f>SupplyCurves_High!H79</f>
        <v>286</v>
      </c>
      <c r="H82" t="s">
        <v>452</v>
      </c>
      <c r="I82" t="str">
        <f t="shared" si="1"/>
        <v>EN_Hydro_PHL_T2</v>
      </c>
      <c r="J82" t="str">
        <f>SupplyCurves_High!C79&amp;" -- "&amp;SupplyCurves_High!E79&amp;" -- "&amp;SupplyCurves_High!K79</f>
        <v>Philippines -- T2 -- $0.06-0.08/kWh</v>
      </c>
      <c r="K82" t="s">
        <v>11</v>
      </c>
      <c r="L82" t="s">
        <v>13</v>
      </c>
      <c r="M82" t="s">
        <v>75</v>
      </c>
      <c r="N82" t="s">
        <v>12</v>
      </c>
    </row>
    <row r="83" spans="2:14">
      <c r="B83" t="str">
        <f>SupplyCurves_High!A80</f>
        <v>EN_Hydro_PHL_T3</v>
      </c>
      <c r="C83" t="s">
        <v>451</v>
      </c>
      <c r="D83" t="s">
        <v>76</v>
      </c>
      <c r="E83">
        <f>SupplyCurves_High!F80</f>
        <v>2.16</v>
      </c>
      <c r="F83">
        <f>SupplyCurves_High!H80</f>
        <v>716</v>
      </c>
      <c r="H83" t="s">
        <v>452</v>
      </c>
      <c r="I83" t="str">
        <f t="shared" si="1"/>
        <v>EN_Hydro_PHL_T3</v>
      </c>
      <c r="J83" t="str">
        <f>SupplyCurves_High!C80&amp;" -- "&amp;SupplyCurves_High!E80&amp;" -- "&amp;SupplyCurves_High!K80</f>
        <v>Philippines -- T3 -- $0.08-0.10/kWh</v>
      </c>
      <c r="K83" t="s">
        <v>11</v>
      </c>
      <c r="L83" t="s">
        <v>13</v>
      </c>
      <c r="M83" t="s">
        <v>75</v>
      </c>
      <c r="N83" t="s">
        <v>12</v>
      </c>
    </row>
    <row r="84" spans="2:14">
      <c r="B84" t="str">
        <f>SupplyCurves_High!A81</f>
        <v>EN_Hydro_PHL_T4</v>
      </c>
      <c r="C84" t="s">
        <v>451</v>
      </c>
      <c r="D84" t="s">
        <v>76</v>
      </c>
      <c r="E84">
        <f>SupplyCurves_High!F81</f>
        <v>1.08</v>
      </c>
      <c r="F84">
        <f>SupplyCurves_High!H81</f>
        <v>1289</v>
      </c>
      <c r="H84" t="s">
        <v>452</v>
      </c>
      <c r="I84" t="str">
        <f t="shared" si="1"/>
        <v>EN_Hydro_PHL_T4</v>
      </c>
      <c r="J84" t="str">
        <f>SupplyCurves_High!C81&amp;" -- "&amp;SupplyCurves_High!E81&amp;" -- "&amp;SupplyCurves_High!K81</f>
        <v>Philippines -- T4 -- $0.10-0.14/kWh</v>
      </c>
      <c r="K84" t="s">
        <v>11</v>
      </c>
      <c r="L84" t="s">
        <v>13</v>
      </c>
      <c r="M84" t="s">
        <v>75</v>
      </c>
      <c r="N84" t="s">
        <v>12</v>
      </c>
    </row>
    <row r="85" spans="2:14">
      <c r="B85" t="str">
        <f>SupplyCurves_High!A82</f>
        <v>EN_Hydro_CMR_T1</v>
      </c>
      <c r="C85" t="s">
        <v>451</v>
      </c>
      <c r="D85" t="s">
        <v>76</v>
      </c>
      <c r="E85">
        <f>SupplyCurves_High!F82</f>
        <v>1.92</v>
      </c>
      <c r="F85">
        <f>SupplyCurves_High!H82</f>
        <v>0</v>
      </c>
      <c r="H85" t="s">
        <v>452</v>
      </c>
      <c r="I85" t="str">
        <f t="shared" si="1"/>
        <v>EN_Hydro_CMR_T1</v>
      </c>
      <c r="J85" t="str">
        <f>SupplyCurves_High!C82&amp;" -- "&amp;SupplyCurves_High!E82&amp;" -- "&amp;SupplyCurves_High!K82</f>
        <v>Cameroon -- T1 -- $0.04-0.06/kWh</v>
      </c>
      <c r="K85" t="s">
        <v>11</v>
      </c>
      <c r="L85" t="s">
        <v>13</v>
      </c>
      <c r="M85" t="s">
        <v>75</v>
      </c>
      <c r="N85" t="s">
        <v>12</v>
      </c>
    </row>
    <row r="86" spans="2:14">
      <c r="B86" t="str">
        <f>SupplyCurves_High!A83</f>
        <v>EN_Hydro_CMR_T2</v>
      </c>
      <c r="C86" t="s">
        <v>451</v>
      </c>
      <c r="D86" t="s">
        <v>76</v>
      </c>
      <c r="E86">
        <f>SupplyCurves_High!F83</f>
        <v>3.36</v>
      </c>
      <c r="F86">
        <f>SupplyCurves_High!H83</f>
        <v>269</v>
      </c>
      <c r="H86" t="s">
        <v>452</v>
      </c>
      <c r="I86" t="str">
        <f t="shared" si="1"/>
        <v>EN_Hydro_CMR_T2</v>
      </c>
      <c r="J86" t="str">
        <f>SupplyCurves_High!C83&amp;" -- "&amp;SupplyCurves_High!E83&amp;" -- "&amp;SupplyCurves_High!K83</f>
        <v>Cameroon -- T2 -- $0.06-0.08/kWh</v>
      </c>
      <c r="K86" t="s">
        <v>11</v>
      </c>
      <c r="L86" t="s">
        <v>13</v>
      </c>
      <c r="M86" t="s">
        <v>75</v>
      </c>
      <c r="N86" t="s">
        <v>12</v>
      </c>
    </row>
    <row r="87" spans="2:14">
      <c r="B87" t="str">
        <f>SupplyCurves_High!A84</f>
        <v>EN_Hydro_CMR_T3</v>
      </c>
      <c r="C87" t="s">
        <v>451</v>
      </c>
      <c r="D87" t="s">
        <v>76</v>
      </c>
      <c r="E87">
        <f>SupplyCurves_High!F84</f>
        <v>2.88</v>
      </c>
      <c r="F87">
        <f>SupplyCurves_High!H84</f>
        <v>672</v>
      </c>
      <c r="H87" t="s">
        <v>452</v>
      </c>
      <c r="I87" t="str">
        <f t="shared" si="1"/>
        <v>EN_Hydro_CMR_T3</v>
      </c>
      <c r="J87" t="str">
        <f>SupplyCurves_High!C84&amp;" -- "&amp;SupplyCurves_High!E84&amp;" -- "&amp;SupplyCurves_High!K84</f>
        <v>Cameroon -- T3 -- $0.08-0.10/kWh</v>
      </c>
      <c r="K87" t="s">
        <v>11</v>
      </c>
      <c r="L87" t="s">
        <v>13</v>
      </c>
      <c r="M87" t="s">
        <v>75</v>
      </c>
      <c r="N87" t="s">
        <v>12</v>
      </c>
    </row>
    <row r="88" spans="2:14">
      <c r="B88" t="str">
        <f>SupplyCurves_High!A85</f>
        <v>EN_Hydro_CMR_T4</v>
      </c>
      <c r="C88" t="s">
        <v>451</v>
      </c>
      <c r="D88" t="s">
        <v>76</v>
      </c>
      <c r="E88">
        <f>SupplyCurves_High!F85</f>
        <v>1.44</v>
      </c>
      <c r="F88">
        <f>SupplyCurves_High!H85</f>
        <v>1210</v>
      </c>
      <c r="H88" t="s">
        <v>452</v>
      </c>
      <c r="I88" t="str">
        <f t="shared" si="1"/>
        <v>EN_Hydro_CMR_T4</v>
      </c>
      <c r="J88" t="str">
        <f>SupplyCurves_High!C85&amp;" -- "&amp;SupplyCurves_High!E85&amp;" -- "&amp;SupplyCurves_High!K85</f>
        <v>Cameroon -- T4 -- $0.10-0.14/kWh</v>
      </c>
      <c r="K88" t="s">
        <v>11</v>
      </c>
      <c r="L88" t="s">
        <v>13</v>
      </c>
      <c r="M88" t="s">
        <v>75</v>
      </c>
      <c r="N88" t="s">
        <v>12</v>
      </c>
    </row>
    <row r="89" spans="2:14">
      <c r="B89" t="str">
        <f>SupplyCurves_High!A86</f>
        <v>EN_Hydro_AGO_T1</v>
      </c>
      <c r="C89" t="s">
        <v>451</v>
      </c>
      <c r="D89" t="s">
        <v>76</v>
      </c>
      <c r="E89">
        <f>SupplyCurves_High!F86</f>
        <v>1.4</v>
      </c>
      <c r="F89">
        <f>SupplyCurves_High!H86</f>
        <v>0</v>
      </c>
      <c r="H89" t="s">
        <v>452</v>
      </c>
      <c r="I89" t="str">
        <f t="shared" si="1"/>
        <v>EN_Hydro_AGO_T1</v>
      </c>
      <c r="J89" t="str">
        <f>SupplyCurves_High!C86&amp;" -- "&amp;SupplyCurves_High!E86&amp;" -- "&amp;SupplyCurves_High!K86</f>
        <v>Angola -- T1 -- $0.04-0.06/kWh</v>
      </c>
      <c r="K89" t="s">
        <v>11</v>
      </c>
      <c r="L89" t="s">
        <v>13</v>
      </c>
      <c r="M89" t="s">
        <v>75</v>
      </c>
      <c r="N89" t="s">
        <v>12</v>
      </c>
    </row>
    <row r="90" spans="2:14">
      <c r="B90" t="str">
        <f>SupplyCurves_High!A87</f>
        <v>EN_Hydro_AGO_T2</v>
      </c>
      <c r="C90" t="s">
        <v>451</v>
      </c>
      <c r="D90" t="s">
        <v>76</v>
      </c>
      <c r="E90">
        <f>SupplyCurves_High!F87</f>
        <v>2.4500000000000002</v>
      </c>
      <c r="F90">
        <f>SupplyCurves_High!H87</f>
        <v>269</v>
      </c>
      <c r="H90" t="s">
        <v>452</v>
      </c>
      <c r="I90" t="str">
        <f t="shared" si="1"/>
        <v>EN_Hydro_AGO_T2</v>
      </c>
      <c r="J90" t="str">
        <f>SupplyCurves_High!C87&amp;" -- "&amp;SupplyCurves_High!E87&amp;" -- "&amp;SupplyCurves_High!K87</f>
        <v>Angola -- T2 -- $0.06-0.08/kWh</v>
      </c>
      <c r="K90" t="s">
        <v>11</v>
      </c>
      <c r="L90" t="s">
        <v>13</v>
      </c>
      <c r="M90" t="s">
        <v>75</v>
      </c>
      <c r="N90" t="s">
        <v>12</v>
      </c>
    </row>
    <row r="91" spans="2:14">
      <c r="B91" t="str">
        <f>SupplyCurves_High!A88</f>
        <v>EN_Hydro_AGO_T3</v>
      </c>
      <c r="C91" t="s">
        <v>451</v>
      </c>
      <c r="D91" t="s">
        <v>76</v>
      </c>
      <c r="E91">
        <f>SupplyCurves_High!F88</f>
        <v>2.1</v>
      </c>
      <c r="F91">
        <f>SupplyCurves_High!H88</f>
        <v>672</v>
      </c>
      <c r="H91" t="s">
        <v>452</v>
      </c>
      <c r="I91" t="str">
        <f t="shared" si="1"/>
        <v>EN_Hydro_AGO_T3</v>
      </c>
      <c r="J91" t="str">
        <f>SupplyCurves_High!C88&amp;" -- "&amp;SupplyCurves_High!E88&amp;" -- "&amp;SupplyCurves_High!K88</f>
        <v>Angola -- T3 -- $0.08-0.10/kWh</v>
      </c>
      <c r="K91" t="s">
        <v>11</v>
      </c>
      <c r="L91" t="s">
        <v>13</v>
      </c>
      <c r="M91" t="s">
        <v>75</v>
      </c>
      <c r="N91" t="s">
        <v>12</v>
      </c>
    </row>
    <row r="92" spans="2:14">
      <c r="B92" t="str">
        <f>SupplyCurves_High!A89</f>
        <v>EN_Hydro_AGO_T4</v>
      </c>
      <c r="C92" t="s">
        <v>451</v>
      </c>
      <c r="D92" t="s">
        <v>76</v>
      </c>
      <c r="E92">
        <f>SupplyCurves_High!F89</f>
        <v>1.05</v>
      </c>
      <c r="F92">
        <f>SupplyCurves_High!H89</f>
        <v>1210</v>
      </c>
      <c r="H92" t="s">
        <v>452</v>
      </c>
      <c r="I92" t="str">
        <f t="shared" si="1"/>
        <v>EN_Hydro_AGO_T4</v>
      </c>
      <c r="J92" t="str">
        <f>SupplyCurves_High!C89&amp;" -- "&amp;SupplyCurves_High!E89&amp;" -- "&amp;SupplyCurves_High!K89</f>
        <v>Angola -- T4 -- $0.10-0.14/kWh</v>
      </c>
      <c r="K92" t="s">
        <v>11</v>
      </c>
      <c r="L92" t="s">
        <v>13</v>
      </c>
      <c r="M92" t="s">
        <v>75</v>
      </c>
      <c r="N92" t="s">
        <v>12</v>
      </c>
    </row>
    <row r="93" spans="2:14">
      <c r="B93" t="str">
        <f>SupplyCurves_High!A90</f>
        <v>EN_Hydro_TZA_T1</v>
      </c>
      <c r="C93" t="s">
        <v>451</v>
      </c>
      <c r="D93" t="s">
        <v>76</v>
      </c>
      <c r="E93">
        <f>SupplyCurves_High!F90</f>
        <v>1.68</v>
      </c>
      <c r="F93">
        <f>SupplyCurves_High!H90</f>
        <v>0</v>
      </c>
      <c r="H93" t="s">
        <v>452</v>
      </c>
      <c r="I93" t="str">
        <f t="shared" si="1"/>
        <v>EN_Hydro_TZA_T1</v>
      </c>
      <c r="J93" t="str">
        <f>SupplyCurves_High!C90&amp;" -- "&amp;SupplyCurves_High!E90&amp;" -- "&amp;SupplyCurves_High!K90</f>
        <v>Tanzania -- T1 -- $0.04-0.06/kWh</v>
      </c>
      <c r="K93" t="s">
        <v>11</v>
      </c>
      <c r="L93" t="s">
        <v>13</v>
      </c>
      <c r="M93" t="s">
        <v>75</v>
      </c>
      <c r="N93" t="s">
        <v>12</v>
      </c>
    </row>
    <row r="94" spans="2:14">
      <c r="B94" t="str">
        <f>SupplyCurves_High!A91</f>
        <v>EN_Hydro_TZA_T2</v>
      </c>
      <c r="C94" t="s">
        <v>451</v>
      </c>
      <c r="D94" t="s">
        <v>76</v>
      </c>
      <c r="E94">
        <f>SupplyCurves_High!F91</f>
        <v>2.94</v>
      </c>
      <c r="F94">
        <f>SupplyCurves_High!H91</f>
        <v>269</v>
      </c>
      <c r="H94" t="s">
        <v>452</v>
      </c>
      <c r="I94" t="str">
        <f t="shared" si="1"/>
        <v>EN_Hydro_TZA_T2</v>
      </c>
      <c r="J94" t="str">
        <f>SupplyCurves_High!C91&amp;" -- "&amp;SupplyCurves_High!E91&amp;" -- "&amp;SupplyCurves_High!K91</f>
        <v>Tanzania -- T2 -- $0.06-0.08/kWh</v>
      </c>
      <c r="K94" t="s">
        <v>11</v>
      </c>
      <c r="L94" t="s">
        <v>13</v>
      </c>
      <c r="M94" t="s">
        <v>75</v>
      </c>
      <c r="N94" t="s">
        <v>12</v>
      </c>
    </row>
    <row r="95" spans="2:14">
      <c r="B95" t="str">
        <f>SupplyCurves_High!A92</f>
        <v>EN_Hydro_TZA_T3</v>
      </c>
      <c r="C95" t="s">
        <v>451</v>
      </c>
      <c r="D95" t="s">
        <v>76</v>
      </c>
      <c r="E95">
        <f>SupplyCurves_High!F92</f>
        <v>2.52</v>
      </c>
      <c r="F95">
        <f>SupplyCurves_High!H92</f>
        <v>672</v>
      </c>
      <c r="H95" t="s">
        <v>452</v>
      </c>
      <c r="I95" t="str">
        <f t="shared" si="1"/>
        <v>EN_Hydro_TZA_T3</v>
      </c>
      <c r="J95" t="str">
        <f>SupplyCurves_High!C92&amp;" -- "&amp;SupplyCurves_High!E92&amp;" -- "&amp;SupplyCurves_High!K92</f>
        <v>Tanzania -- T3 -- $0.08-0.10/kWh</v>
      </c>
      <c r="K95" t="s">
        <v>11</v>
      </c>
      <c r="L95" t="s">
        <v>13</v>
      </c>
      <c r="M95" t="s">
        <v>75</v>
      </c>
      <c r="N95" t="s">
        <v>12</v>
      </c>
    </row>
    <row r="96" spans="2:14">
      <c r="B96" t="str">
        <f>SupplyCurves_High!A93</f>
        <v>EN_Hydro_TZA_T4</v>
      </c>
      <c r="C96" t="s">
        <v>451</v>
      </c>
      <c r="D96" t="s">
        <v>76</v>
      </c>
      <c r="E96">
        <f>SupplyCurves_High!F93</f>
        <v>1.26</v>
      </c>
      <c r="F96">
        <f>SupplyCurves_High!H93</f>
        <v>1210</v>
      </c>
      <c r="H96" t="s">
        <v>452</v>
      </c>
      <c r="I96" t="str">
        <f t="shared" si="1"/>
        <v>EN_Hydro_TZA_T4</v>
      </c>
      <c r="J96" t="str">
        <f>SupplyCurves_High!C93&amp;" -- "&amp;SupplyCurves_High!E93&amp;" -- "&amp;SupplyCurves_High!K93</f>
        <v>Tanzania -- T4 -- $0.10-0.14/kWh</v>
      </c>
      <c r="K96" t="s">
        <v>11</v>
      </c>
      <c r="L96" t="s">
        <v>13</v>
      </c>
      <c r="M96" t="s">
        <v>75</v>
      </c>
      <c r="N96" t="s">
        <v>12</v>
      </c>
    </row>
    <row r="97" spans="2:14">
      <c r="B97" t="str">
        <f>SupplyCurves_High!A94</f>
        <v>EN_Hydro_MOZ_T1</v>
      </c>
      <c r="C97" t="s">
        <v>451</v>
      </c>
      <c r="D97" t="s">
        <v>76</v>
      </c>
      <c r="E97">
        <f>SupplyCurves_High!F94</f>
        <v>1.36</v>
      </c>
      <c r="F97">
        <f>SupplyCurves_High!H94</f>
        <v>0</v>
      </c>
      <c r="H97" t="s">
        <v>452</v>
      </c>
      <c r="I97" t="str">
        <f t="shared" si="1"/>
        <v>EN_Hydro_MOZ_T1</v>
      </c>
      <c r="J97" t="str">
        <f>SupplyCurves_High!C94&amp;" -- "&amp;SupplyCurves_High!E94&amp;" -- "&amp;SupplyCurves_High!K94</f>
        <v>Mozambique -- T1 -- $0.04-0.06/kWh</v>
      </c>
      <c r="K97" t="s">
        <v>11</v>
      </c>
      <c r="L97" t="s">
        <v>13</v>
      </c>
      <c r="M97" t="s">
        <v>75</v>
      </c>
      <c r="N97" t="s">
        <v>12</v>
      </c>
    </row>
    <row r="98" spans="2:14">
      <c r="B98" t="str">
        <f>SupplyCurves_High!A95</f>
        <v>EN_Hydro_MOZ_T2</v>
      </c>
      <c r="C98" t="s">
        <v>451</v>
      </c>
      <c r="D98" t="s">
        <v>76</v>
      </c>
      <c r="E98">
        <f>SupplyCurves_High!F95</f>
        <v>2.38</v>
      </c>
      <c r="F98">
        <f>SupplyCurves_High!H95</f>
        <v>269</v>
      </c>
      <c r="H98" t="s">
        <v>452</v>
      </c>
      <c r="I98" t="str">
        <f t="shared" si="1"/>
        <v>EN_Hydro_MOZ_T2</v>
      </c>
      <c r="J98" t="str">
        <f>SupplyCurves_High!C95&amp;" -- "&amp;SupplyCurves_High!E95&amp;" -- "&amp;SupplyCurves_High!K95</f>
        <v>Mozambique -- T2 -- $0.06-0.08/kWh</v>
      </c>
      <c r="K98" t="s">
        <v>11</v>
      </c>
      <c r="L98" t="s">
        <v>13</v>
      </c>
      <c r="M98" t="s">
        <v>75</v>
      </c>
      <c r="N98" t="s">
        <v>12</v>
      </c>
    </row>
    <row r="99" spans="2:14">
      <c r="B99" t="str">
        <f>SupplyCurves_High!A96</f>
        <v>EN_Hydro_MOZ_T3</v>
      </c>
      <c r="C99" t="s">
        <v>451</v>
      </c>
      <c r="D99" t="s">
        <v>76</v>
      </c>
      <c r="E99">
        <f>SupplyCurves_High!F96</f>
        <v>2.04</v>
      </c>
      <c r="F99">
        <f>SupplyCurves_High!H96</f>
        <v>672</v>
      </c>
      <c r="H99" t="s">
        <v>452</v>
      </c>
      <c r="I99" t="str">
        <f t="shared" si="1"/>
        <v>EN_Hydro_MOZ_T3</v>
      </c>
      <c r="J99" t="str">
        <f>SupplyCurves_High!C96&amp;" -- "&amp;SupplyCurves_High!E96&amp;" -- "&amp;SupplyCurves_High!K96</f>
        <v>Mozambique -- T3 -- $0.08-0.10/kWh</v>
      </c>
      <c r="K99" t="s">
        <v>11</v>
      </c>
      <c r="L99" t="s">
        <v>13</v>
      </c>
      <c r="M99" t="s">
        <v>75</v>
      </c>
      <c r="N99" t="s">
        <v>12</v>
      </c>
    </row>
    <row r="100" spans="2:14">
      <c r="B100" t="str">
        <f>SupplyCurves_High!A97</f>
        <v>EN_Hydro_MOZ_T4</v>
      </c>
      <c r="C100" t="s">
        <v>451</v>
      </c>
      <c r="D100" t="s">
        <v>76</v>
      </c>
      <c r="E100">
        <f>SupplyCurves_High!F97</f>
        <v>1.02</v>
      </c>
      <c r="F100">
        <f>SupplyCurves_High!H97</f>
        <v>1210</v>
      </c>
      <c r="H100" t="s">
        <v>452</v>
      </c>
      <c r="I100" t="str">
        <f t="shared" si="1"/>
        <v>EN_Hydro_MOZ_T4</v>
      </c>
      <c r="J100" t="str">
        <f>SupplyCurves_High!C97&amp;" -- "&amp;SupplyCurves_High!E97&amp;" -- "&amp;SupplyCurves_High!K97</f>
        <v>Mozambique -- T4 -- $0.10-0.14/kWh</v>
      </c>
      <c r="K100" t="s">
        <v>11</v>
      </c>
      <c r="L100" t="s">
        <v>13</v>
      </c>
      <c r="M100" t="s">
        <v>75</v>
      </c>
      <c r="N100" t="s">
        <v>12</v>
      </c>
    </row>
    <row r="101" spans="2:14">
      <c r="B101" t="str">
        <f>SupplyCurves_High!A98</f>
        <v>EN_Hydro_ZMB_T1</v>
      </c>
      <c r="C101" t="s">
        <v>451</v>
      </c>
      <c r="D101" t="s">
        <v>76</v>
      </c>
      <c r="E101">
        <f>SupplyCurves_High!F98</f>
        <v>1.02</v>
      </c>
      <c r="F101">
        <f>SupplyCurves_High!H98</f>
        <v>0</v>
      </c>
      <c r="H101" t="s">
        <v>452</v>
      </c>
      <c r="I101" t="str">
        <f t="shared" si="1"/>
        <v>EN_Hydro_ZMB_T1</v>
      </c>
      <c r="J101" t="str">
        <f>SupplyCurves_High!C98&amp;" -- "&amp;SupplyCurves_High!E98&amp;" -- "&amp;SupplyCurves_High!K98</f>
        <v>Zambia -- T1 -- $0.04-0.06/kWh</v>
      </c>
      <c r="K101" t="s">
        <v>11</v>
      </c>
      <c r="L101" t="s">
        <v>13</v>
      </c>
      <c r="M101" t="s">
        <v>75</v>
      </c>
      <c r="N101" t="s">
        <v>12</v>
      </c>
    </row>
    <row r="102" spans="2:14">
      <c r="B102" t="str">
        <f>SupplyCurves_High!A99</f>
        <v>EN_Hydro_ZMB_T2</v>
      </c>
      <c r="C102" t="s">
        <v>451</v>
      </c>
      <c r="D102" t="s">
        <v>76</v>
      </c>
      <c r="E102">
        <f>SupplyCurves_High!F99</f>
        <v>1.7849999999999999</v>
      </c>
      <c r="F102">
        <f>SupplyCurves_High!H99</f>
        <v>269</v>
      </c>
      <c r="H102" t="s">
        <v>452</v>
      </c>
      <c r="I102" t="str">
        <f t="shared" si="1"/>
        <v>EN_Hydro_ZMB_T2</v>
      </c>
      <c r="J102" t="str">
        <f>SupplyCurves_High!C99&amp;" -- "&amp;SupplyCurves_High!E99&amp;" -- "&amp;SupplyCurves_High!K99</f>
        <v>Zambia -- T2 -- $0.06-0.08/kWh</v>
      </c>
      <c r="K102" t="s">
        <v>11</v>
      </c>
      <c r="L102" t="s">
        <v>13</v>
      </c>
      <c r="M102" t="s">
        <v>75</v>
      </c>
      <c r="N102" t="s">
        <v>12</v>
      </c>
    </row>
    <row r="103" spans="2:14">
      <c r="B103" t="str">
        <f>SupplyCurves_High!A100</f>
        <v>EN_Hydro_ZMB_T3</v>
      </c>
      <c r="C103" t="s">
        <v>451</v>
      </c>
      <c r="D103" t="s">
        <v>76</v>
      </c>
      <c r="E103">
        <f>SupplyCurves_High!F100</f>
        <v>1.53</v>
      </c>
      <c r="F103">
        <f>SupplyCurves_High!H100</f>
        <v>672</v>
      </c>
      <c r="H103" t="s">
        <v>452</v>
      </c>
      <c r="I103" t="str">
        <f t="shared" si="1"/>
        <v>EN_Hydro_ZMB_T3</v>
      </c>
      <c r="J103" t="str">
        <f>SupplyCurves_High!C100&amp;" -- "&amp;SupplyCurves_High!E100&amp;" -- "&amp;SupplyCurves_High!K100</f>
        <v>Zambia -- T3 -- $0.08-0.10/kWh</v>
      </c>
      <c r="K103" t="s">
        <v>11</v>
      </c>
      <c r="L103" t="s">
        <v>13</v>
      </c>
      <c r="M103" t="s">
        <v>75</v>
      </c>
      <c r="N103" t="s">
        <v>12</v>
      </c>
    </row>
    <row r="104" spans="2:14">
      <c r="B104" t="str">
        <f>SupplyCurves_High!A101</f>
        <v>EN_Hydro_ZMB_T4</v>
      </c>
      <c r="C104" t="s">
        <v>451</v>
      </c>
      <c r="D104" t="s">
        <v>76</v>
      </c>
      <c r="E104">
        <f>SupplyCurves_High!F101</f>
        <v>0.76500000000000001</v>
      </c>
      <c r="F104">
        <f>SupplyCurves_High!H101</f>
        <v>1210</v>
      </c>
      <c r="H104" t="s">
        <v>452</v>
      </c>
      <c r="I104" t="str">
        <f t="shared" si="1"/>
        <v>EN_Hydro_ZMB_T4</v>
      </c>
      <c r="J104" t="str">
        <f>SupplyCurves_High!C101&amp;" -- "&amp;SupplyCurves_High!E101&amp;" -- "&amp;SupplyCurves_High!K101</f>
        <v>Zambia -- T4 -- $0.10-0.14/kWh</v>
      </c>
      <c r="K104" t="s">
        <v>11</v>
      </c>
      <c r="L104" t="s">
        <v>13</v>
      </c>
      <c r="M104" t="s">
        <v>75</v>
      </c>
      <c r="N104" t="s">
        <v>12</v>
      </c>
    </row>
    <row r="105" spans="2:14">
      <c r="B105" t="str">
        <f>SupplyCurves_High!A102</f>
        <v>EN_Hydro_CHL_T1</v>
      </c>
      <c r="C105" t="s">
        <v>451</v>
      </c>
      <c r="D105" t="s">
        <v>76</v>
      </c>
      <c r="E105">
        <f>SupplyCurves_High!F102</f>
        <v>0.1</v>
      </c>
      <c r="F105">
        <f>SupplyCurves_High!H102</f>
        <v>0</v>
      </c>
      <c r="H105" t="s">
        <v>452</v>
      </c>
      <c r="I105" t="str">
        <f t="shared" si="1"/>
        <v>EN_Hydro_CHL_T1</v>
      </c>
      <c r="J105" t="str">
        <f>SupplyCurves_High!C102&amp;" -- "&amp;SupplyCurves_High!E102&amp;" -- "&amp;SupplyCurves_High!K102</f>
        <v>Chile -- T1 -- $0.04-0.06/kWh</v>
      </c>
      <c r="K105" t="s">
        <v>11</v>
      </c>
      <c r="L105" t="s">
        <v>13</v>
      </c>
      <c r="M105" t="s">
        <v>75</v>
      </c>
      <c r="N105" t="s">
        <v>12</v>
      </c>
    </row>
    <row r="106" spans="2:14">
      <c r="B106" t="str">
        <f>SupplyCurves_High!A103</f>
        <v>EN_Hydro_CHL_T2</v>
      </c>
      <c r="C106" t="s">
        <v>451</v>
      </c>
      <c r="D106" t="s">
        <v>76</v>
      </c>
      <c r="E106">
        <f>SupplyCurves_High!F103</f>
        <v>0.17499999999999999</v>
      </c>
      <c r="F106">
        <f>SupplyCurves_High!H103</f>
        <v>307</v>
      </c>
      <c r="H106" t="s">
        <v>452</v>
      </c>
      <c r="I106" t="str">
        <f t="shared" si="1"/>
        <v>EN_Hydro_CHL_T2</v>
      </c>
      <c r="J106" t="str">
        <f>SupplyCurves_High!C103&amp;" -- "&amp;SupplyCurves_High!E103&amp;" -- "&amp;SupplyCurves_High!K103</f>
        <v>Chile -- T2 -- $0.06-0.08/kWh</v>
      </c>
      <c r="K106" t="s">
        <v>11</v>
      </c>
      <c r="L106" t="s">
        <v>13</v>
      </c>
      <c r="M106" t="s">
        <v>75</v>
      </c>
      <c r="N106" t="s">
        <v>12</v>
      </c>
    </row>
    <row r="107" spans="2:14">
      <c r="B107" t="str">
        <f>SupplyCurves_High!A104</f>
        <v>EN_Hydro_CHL_T3</v>
      </c>
      <c r="C107" t="s">
        <v>451</v>
      </c>
      <c r="D107" t="s">
        <v>76</v>
      </c>
      <c r="E107">
        <f>SupplyCurves_High!F104</f>
        <v>0.15</v>
      </c>
      <c r="F107">
        <f>SupplyCurves_High!H104</f>
        <v>768</v>
      </c>
      <c r="H107" t="s">
        <v>452</v>
      </c>
      <c r="I107" t="str">
        <f t="shared" si="1"/>
        <v>EN_Hydro_CHL_T3</v>
      </c>
      <c r="J107" t="str">
        <f>SupplyCurves_High!C104&amp;" -- "&amp;SupplyCurves_High!E104&amp;" -- "&amp;SupplyCurves_High!K104</f>
        <v>Chile -- T3 -- $0.08-0.10/kWh</v>
      </c>
      <c r="K107" t="s">
        <v>11</v>
      </c>
      <c r="L107" t="s">
        <v>13</v>
      </c>
      <c r="M107" t="s">
        <v>75</v>
      </c>
      <c r="N107" t="s">
        <v>12</v>
      </c>
    </row>
    <row r="108" spans="2:14">
      <c r="B108" t="str">
        <f>SupplyCurves_High!A105</f>
        <v>EN_Hydro_CHL_T4</v>
      </c>
      <c r="C108" t="s">
        <v>451</v>
      </c>
      <c r="D108" t="s">
        <v>76</v>
      </c>
      <c r="E108">
        <f>SupplyCurves_High!F105</f>
        <v>7.4999999999999997E-2</v>
      </c>
      <c r="F108">
        <f>SupplyCurves_High!H105</f>
        <v>1383</v>
      </c>
      <c r="H108" t="s">
        <v>452</v>
      </c>
      <c r="I108" t="str">
        <f t="shared" si="1"/>
        <v>EN_Hydro_CHL_T4</v>
      </c>
      <c r="J108" t="str">
        <f>SupplyCurves_High!C105&amp;" -- "&amp;SupplyCurves_High!E105&amp;" -- "&amp;SupplyCurves_High!K105</f>
        <v>Chile -- T4 -- $0.10-0.14/kWh</v>
      </c>
      <c r="K108" t="s">
        <v>11</v>
      </c>
      <c r="L108" t="s">
        <v>13</v>
      </c>
      <c r="M108" t="s">
        <v>75</v>
      </c>
      <c r="N108" t="s">
        <v>12</v>
      </c>
    </row>
    <row r="109" spans="2:14">
      <c r="B109" t="str">
        <f>SupplyCurves_High!A106</f>
        <v>EN_Hydro_BTN_T1</v>
      </c>
      <c r="C109" t="s">
        <v>451</v>
      </c>
      <c r="D109" t="s">
        <v>76</v>
      </c>
      <c r="E109">
        <f>SupplyCurves_High!F106</f>
        <v>1.1000000000000001</v>
      </c>
      <c r="F109">
        <f>SupplyCurves_High!H106</f>
        <v>0</v>
      </c>
      <c r="H109" t="s">
        <v>452</v>
      </c>
      <c r="I109" t="str">
        <f t="shared" si="1"/>
        <v>EN_Hydro_BTN_T1</v>
      </c>
      <c r="J109" t="str">
        <f>SupplyCurves_High!C106&amp;" -- "&amp;SupplyCurves_High!E106&amp;" -- "&amp;SupplyCurves_High!K106</f>
        <v>Bhutan -- T1 -- $0.04-0.06/kWh</v>
      </c>
      <c r="K109" t="s">
        <v>11</v>
      </c>
      <c r="L109" t="s">
        <v>13</v>
      </c>
      <c r="M109" t="s">
        <v>75</v>
      </c>
      <c r="N109" t="s">
        <v>12</v>
      </c>
    </row>
    <row r="110" spans="2:14">
      <c r="B110" t="str">
        <f>SupplyCurves_High!A107</f>
        <v>EN_Hydro_BTN_T2</v>
      </c>
      <c r="C110" t="s">
        <v>451</v>
      </c>
      <c r="D110" t="s">
        <v>76</v>
      </c>
      <c r="E110">
        <f>SupplyCurves_High!F107</f>
        <v>1.925</v>
      </c>
      <c r="F110">
        <f>SupplyCurves_High!H107</f>
        <v>259</v>
      </c>
      <c r="H110" t="s">
        <v>452</v>
      </c>
      <c r="I110" t="str">
        <f t="shared" si="1"/>
        <v>EN_Hydro_BTN_T2</v>
      </c>
      <c r="J110" t="str">
        <f>SupplyCurves_High!C107&amp;" -- "&amp;SupplyCurves_High!E107&amp;" -- "&amp;SupplyCurves_High!K107</f>
        <v>Bhutan -- T2 -- $0.06-0.08/kWh</v>
      </c>
      <c r="K110" t="s">
        <v>11</v>
      </c>
      <c r="L110" t="s">
        <v>13</v>
      </c>
      <c r="M110" t="s">
        <v>75</v>
      </c>
      <c r="N110" t="s">
        <v>12</v>
      </c>
    </row>
    <row r="111" spans="2:14">
      <c r="B111" t="str">
        <f>SupplyCurves_High!A108</f>
        <v>EN_Hydro_BTN_T3</v>
      </c>
      <c r="C111" t="s">
        <v>451</v>
      </c>
      <c r="D111" t="s">
        <v>76</v>
      </c>
      <c r="E111">
        <f>SupplyCurves_High!F108</f>
        <v>1.65</v>
      </c>
      <c r="F111">
        <f>SupplyCurves_High!H108</f>
        <v>646</v>
      </c>
      <c r="H111" t="s">
        <v>452</v>
      </c>
      <c r="I111" t="str">
        <f t="shared" si="1"/>
        <v>EN_Hydro_BTN_T3</v>
      </c>
      <c r="J111" t="str">
        <f>SupplyCurves_High!C108&amp;" -- "&amp;SupplyCurves_High!E108&amp;" -- "&amp;SupplyCurves_High!K108</f>
        <v>Bhutan -- T3 -- $0.08-0.10/kWh</v>
      </c>
      <c r="K111" t="s">
        <v>11</v>
      </c>
      <c r="L111" t="s">
        <v>13</v>
      </c>
      <c r="M111" t="s">
        <v>75</v>
      </c>
      <c r="N111" t="s">
        <v>12</v>
      </c>
    </row>
    <row r="112" spans="2:14">
      <c r="B112" t="str">
        <f>SupplyCurves_High!A109</f>
        <v>EN_Hydro_BTN_T4</v>
      </c>
      <c r="C112" t="s">
        <v>451</v>
      </c>
      <c r="D112" t="s">
        <v>76</v>
      </c>
      <c r="E112">
        <f>SupplyCurves_High!F109</f>
        <v>0.82499999999999996</v>
      </c>
      <c r="F112">
        <f>SupplyCurves_High!H109</f>
        <v>1163</v>
      </c>
      <c r="H112" t="s">
        <v>452</v>
      </c>
      <c r="I112" t="str">
        <f t="shared" si="1"/>
        <v>EN_Hydro_BTN_T4</v>
      </c>
      <c r="J112" t="str">
        <f>SupplyCurves_High!C109&amp;" -- "&amp;SupplyCurves_High!E109&amp;" -- "&amp;SupplyCurves_High!K109</f>
        <v>Bhutan -- T4 -- $0.10-0.14/kWh</v>
      </c>
      <c r="K112" t="s">
        <v>11</v>
      </c>
      <c r="L112" t="s">
        <v>13</v>
      </c>
      <c r="M112" t="s">
        <v>75</v>
      </c>
      <c r="N112" t="s">
        <v>12</v>
      </c>
    </row>
    <row r="113" spans="2:14">
      <c r="B113" t="str">
        <f>SupplyCurves_High!A110</f>
        <v>EN_Hydro_UGA_T1</v>
      </c>
      <c r="C113" t="s">
        <v>451</v>
      </c>
      <c r="D113" t="s">
        <v>76</v>
      </c>
      <c r="E113">
        <f>SupplyCurves_High!F110</f>
        <v>1.18</v>
      </c>
      <c r="F113">
        <f>SupplyCurves_High!H110</f>
        <v>0</v>
      </c>
      <c r="H113" t="s">
        <v>452</v>
      </c>
      <c r="I113" t="str">
        <f t="shared" si="1"/>
        <v>EN_Hydro_UGA_T1</v>
      </c>
      <c r="J113" t="str">
        <f>SupplyCurves_High!C110&amp;" -- "&amp;SupplyCurves_High!E110&amp;" -- "&amp;SupplyCurves_High!K110</f>
        <v>Uganda -- T1 -- $0.04-0.06/kWh</v>
      </c>
      <c r="K113" t="s">
        <v>11</v>
      </c>
      <c r="L113" t="s">
        <v>13</v>
      </c>
      <c r="M113" t="s">
        <v>75</v>
      </c>
      <c r="N113" t="s">
        <v>12</v>
      </c>
    </row>
    <row r="114" spans="2:14">
      <c r="B114" t="str">
        <f>SupplyCurves_High!A111</f>
        <v>EN_Hydro_UGA_T2</v>
      </c>
      <c r="C114" t="s">
        <v>451</v>
      </c>
      <c r="D114" t="s">
        <v>76</v>
      </c>
      <c r="E114">
        <f>SupplyCurves_High!F111</f>
        <v>2.0649999999999999</v>
      </c>
      <c r="F114">
        <f>SupplyCurves_High!H111</f>
        <v>269</v>
      </c>
      <c r="H114" t="s">
        <v>452</v>
      </c>
      <c r="I114" t="str">
        <f t="shared" si="1"/>
        <v>EN_Hydro_UGA_T2</v>
      </c>
      <c r="J114" t="str">
        <f>SupplyCurves_High!C111&amp;" -- "&amp;SupplyCurves_High!E111&amp;" -- "&amp;SupplyCurves_High!K111</f>
        <v>Uganda -- T2 -- $0.06-0.08/kWh</v>
      </c>
      <c r="K114" t="s">
        <v>11</v>
      </c>
      <c r="L114" t="s">
        <v>13</v>
      </c>
      <c r="M114" t="s">
        <v>75</v>
      </c>
      <c r="N114" t="s">
        <v>12</v>
      </c>
    </row>
    <row r="115" spans="2:14">
      <c r="B115" t="str">
        <f>SupplyCurves_High!A112</f>
        <v>EN_Hydro_UGA_T3</v>
      </c>
      <c r="C115" t="s">
        <v>451</v>
      </c>
      <c r="D115" t="s">
        <v>76</v>
      </c>
      <c r="E115">
        <f>SupplyCurves_High!F112</f>
        <v>1.77</v>
      </c>
      <c r="F115">
        <f>SupplyCurves_High!H112</f>
        <v>672</v>
      </c>
      <c r="H115" t="s">
        <v>452</v>
      </c>
      <c r="I115" t="str">
        <f t="shared" si="1"/>
        <v>EN_Hydro_UGA_T3</v>
      </c>
      <c r="J115" t="str">
        <f>SupplyCurves_High!C112&amp;" -- "&amp;SupplyCurves_High!E112&amp;" -- "&amp;SupplyCurves_High!K112</f>
        <v>Uganda -- T3 -- $0.08-0.10/kWh</v>
      </c>
      <c r="K115" t="s">
        <v>11</v>
      </c>
      <c r="L115" t="s">
        <v>13</v>
      </c>
      <c r="M115" t="s">
        <v>75</v>
      </c>
      <c r="N115" t="s">
        <v>12</v>
      </c>
    </row>
    <row r="116" spans="2:14">
      <c r="B116" t="str">
        <f>SupplyCurves_High!A113</f>
        <v>EN_Hydro_UGA_T4</v>
      </c>
      <c r="C116" t="s">
        <v>451</v>
      </c>
      <c r="D116" t="s">
        <v>76</v>
      </c>
      <c r="E116">
        <f>SupplyCurves_High!F113</f>
        <v>0.88500000000000001</v>
      </c>
      <c r="F116">
        <f>SupplyCurves_High!H113</f>
        <v>1210</v>
      </c>
      <c r="H116" t="s">
        <v>452</v>
      </c>
      <c r="I116" t="str">
        <f t="shared" si="1"/>
        <v>EN_Hydro_UGA_T4</v>
      </c>
      <c r="J116" t="str">
        <f>SupplyCurves_High!C113&amp;" -- "&amp;SupplyCurves_High!E113&amp;" -- "&amp;SupplyCurves_High!K113</f>
        <v>Uganda -- T4 -- $0.10-0.14/kWh</v>
      </c>
      <c r="K116" t="s">
        <v>11</v>
      </c>
      <c r="L116" t="s">
        <v>13</v>
      </c>
      <c r="M116" t="s">
        <v>75</v>
      </c>
      <c r="N116" t="s">
        <v>12</v>
      </c>
    </row>
    <row r="117" spans="2:14">
      <c r="B117" t="str">
        <f>SupplyCurves_High!A114</f>
        <v>EN_Hydro_PNG_T1</v>
      </c>
      <c r="C117" t="s">
        <v>451</v>
      </c>
      <c r="D117" t="s">
        <v>76</v>
      </c>
      <c r="E117">
        <f>SupplyCurves_High!F114</f>
        <v>1.1599999999999999</v>
      </c>
      <c r="F117">
        <f>SupplyCurves_High!H114</f>
        <v>0</v>
      </c>
      <c r="H117" t="s">
        <v>452</v>
      </c>
      <c r="I117" t="str">
        <f t="shared" si="1"/>
        <v>EN_Hydro_PNG_T1</v>
      </c>
      <c r="J117" t="str">
        <f>SupplyCurves_High!C114&amp;" -- "&amp;SupplyCurves_High!E114&amp;" -- "&amp;SupplyCurves_High!K114</f>
        <v>Papua New Guinea -- T1 -- $0.04-0.06/kWh</v>
      </c>
      <c r="K117" t="s">
        <v>11</v>
      </c>
      <c r="L117" t="s">
        <v>13</v>
      </c>
      <c r="M117" t="s">
        <v>75</v>
      </c>
      <c r="N117" t="s">
        <v>12</v>
      </c>
    </row>
    <row r="118" spans="2:14">
      <c r="B118" t="str">
        <f>SupplyCurves_High!A115</f>
        <v>EN_Hydro_PNG_T2</v>
      </c>
      <c r="C118" t="s">
        <v>451</v>
      </c>
      <c r="D118" t="s">
        <v>76</v>
      </c>
      <c r="E118">
        <f>SupplyCurves_High!F115</f>
        <v>2.0299999999999998</v>
      </c>
      <c r="F118">
        <f>SupplyCurves_High!H115</f>
        <v>286</v>
      </c>
      <c r="H118" t="s">
        <v>452</v>
      </c>
      <c r="I118" t="str">
        <f t="shared" si="1"/>
        <v>EN_Hydro_PNG_T2</v>
      </c>
      <c r="J118" t="str">
        <f>SupplyCurves_High!C115&amp;" -- "&amp;SupplyCurves_High!E115&amp;" -- "&amp;SupplyCurves_High!K115</f>
        <v>Papua New Guinea -- T2 -- $0.06-0.08/kWh</v>
      </c>
      <c r="K118" t="s">
        <v>11</v>
      </c>
      <c r="L118" t="s">
        <v>13</v>
      </c>
      <c r="M118" t="s">
        <v>75</v>
      </c>
      <c r="N118" t="s">
        <v>12</v>
      </c>
    </row>
    <row r="119" spans="2:14">
      <c r="B119" t="str">
        <f>SupplyCurves_High!A116</f>
        <v>EN_Hydro_PNG_T3</v>
      </c>
      <c r="C119" t="s">
        <v>451</v>
      </c>
      <c r="D119" t="s">
        <v>76</v>
      </c>
      <c r="E119">
        <f>SupplyCurves_High!F116</f>
        <v>1.74</v>
      </c>
      <c r="F119">
        <f>SupplyCurves_High!H116</f>
        <v>716</v>
      </c>
      <c r="H119" t="s">
        <v>452</v>
      </c>
      <c r="I119" t="str">
        <f t="shared" si="1"/>
        <v>EN_Hydro_PNG_T3</v>
      </c>
      <c r="J119" t="str">
        <f>SupplyCurves_High!C116&amp;" -- "&amp;SupplyCurves_High!E116&amp;" -- "&amp;SupplyCurves_High!K116</f>
        <v>Papua New Guinea -- T3 -- $0.08-0.10/kWh</v>
      </c>
      <c r="K119" t="s">
        <v>11</v>
      </c>
      <c r="L119" t="s">
        <v>13</v>
      </c>
      <c r="M119" t="s">
        <v>75</v>
      </c>
      <c r="N119" t="s">
        <v>12</v>
      </c>
    </row>
    <row r="120" spans="2:14">
      <c r="B120" t="str">
        <f>SupplyCurves_High!A117</f>
        <v>EN_Hydro_PNG_T4</v>
      </c>
      <c r="C120" t="s">
        <v>451</v>
      </c>
      <c r="D120" t="s">
        <v>76</v>
      </c>
      <c r="E120">
        <f>SupplyCurves_High!F117</f>
        <v>0.87</v>
      </c>
      <c r="F120">
        <f>SupplyCurves_High!H117</f>
        <v>1289</v>
      </c>
      <c r="H120" t="s">
        <v>452</v>
      </c>
      <c r="I120" t="str">
        <f t="shared" si="1"/>
        <v>EN_Hydro_PNG_T4</v>
      </c>
      <c r="J120" t="str">
        <f>SupplyCurves_High!C117&amp;" -- "&amp;SupplyCurves_High!E117&amp;" -- "&amp;SupplyCurves_High!K117</f>
        <v>Papua New Guinea -- T4 -- $0.10-0.14/kWh</v>
      </c>
      <c r="K120" t="s">
        <v>11</v>
      </c>
      <c r="L120" t="s">
        <v>13</v>
      </c>
      <c r="M120" t="s">
        <v>75</v>
      </c>
      <c r="N120" t="s">
        <v>12</v>
      </c>
    </row>
    <row r="121" spans="2:14">
      <c r="B121" t="str">
        <f>SupplyCurves_High!A118</f>
        <v>EN_Hydro_TJK_T1</v>
      </c>
      <c r="C121" t="s">
        <v>451</v>
      </c>
      <c r="D121" t="s">
        <v>76</v>
      </c>
      <c r="E121">
        <f>SupplyCurves_High!F118</f>
        <v>0.04</v>
      </c>
      <c r="F121">
        <f>SupplyCurves_High!H118</f>
        <v>0</v>
      </c>
      <c r="H121" t="s">
        <v>452</v>
      </c>
      <c r="I121" t="str">
        <f t="shared" si="1"/>
        <v>EN_Hydro_TJK_T1</v>
      </c>
      <c r="J121" t="str">
        <f>SupplyCurves_High!C118&amp;" -- "&amp;SupplyCurves_High!E118&amp;" -- "&amp;SupplyCurves_High!K118</f>
        <v>Tajikistan -- T1 -- $0.04-0.06/kWh</v>
      </c>
      <c r="K121" t="s">
        <v>11</v>
      </c>
      <c r="L121" t="s">
        <v>13</v>
      </c>
      <c r="M121" t="s">
        <v>75</v>
      </c>
      <c r="N121" t="s">
        <v>12</v>
      </c>
    </row>
    <row r="122" spans="2:14">
      <c r="B122" t="str">
        <f>SupplyCurves_High!A119</f>
        <v>EN_Hydro_TJK_T2</v>
      </c>
      <c r="C122" t="s">
        <v>451</v>
      </c>
      <c r="D122" t="s">
        <v>76</v>
      </c>
      <c r="E122">
        <f>SupplyCurves_High!F119</f>
        <v>7.0000000000000007E-2</v>
      </c>
      <c r="F122">
        <f>SupplyCurves_High!H119</f>
        <v>286</v>
      </c>
      <c r="H122" t="s">
        <v>452</v>
      </c>
      <c r="I122" t="str">
        <f t="shared" si="1"/>
        <v>EN_Hydro_TJK_T2</v>
      </c>
      <c r="J122" t="str">
        <f>SupplyCurves_High!C119&amp;" -- "&amp;SupplyCurves_High!E119&amp;" -- "&amp;SupplyCurves_High!K119</f>
        <v>Tajikistan -- T2 -- $0.06-0.08/kWh</v>
      </c>
      <c r="K122" t="s">
        <v>11</v>
      </c>
      <c r="L122" t="s">
        <v>13</v>
      </c>
      <c r="M122" t="s">
        <v>75</v>
      </c>
      <c r="N122" t="s">
        <v>12</v>
      </c>
    </row>
    <row r="123" spans="2:14">
      <c r="B123" t="str">
        <f>SupplyCurves_High!A120</f>
        <v>EN_Hydro_TJK_T3</v>
      </c>
      <c r="C123" t="s">
        <v>451</v>
      </c>
      <c r="D123" t="s">
        <v>76</v>
      </c>
      <c r="E123">
        <f>SupplyCurves_High!F120</f>
        <v>0.06</v>
      </c>
      <c r="F123">
        <f>SupplyCurves_High!H120</f>
        <v>715</v>
      </c>
      <c r="H123" t="s">
        <v>452</v>
      </c>
      <c r="I123" t="str">
        <f t="shared" si="1"/>
        <v>EN_Hydro_TJK_T3</v>
      </c>
      <c r="J123" t="str">
        <f>SupplyCurves_High!C120&amp;" -- "&amp;SupplyCurves_High!E120&amp;" -- "&amp;SupplyCurves_High!K120</f>
        <v>Tajikistan -- T3 -- $0.08-0.10/kWh</v>
      </c>
      <c r="K123" t="s">
        <v>11</v>
      </c>
      <c r="L123" t="s">
        <v>13</v>
      </c>
      <c r="M123" t="s">
        <v>75</v>
      </c>
      <c r="N123" t="s">
        <v>12</v>
      </c>
    </row>
    <row r="124" spans="2:14">
      <c r="B124" t="str">
        <f>SupplyCurves_High!A121</f>
        <v>EN_Hydro_TJK_T4</v>
      </c>
      <c r="C124" t="s">
        <v>451</v>
      </c>
      <c r="D124" t="s">
        <v>76</v>
      </c>
      <c r="E124">
        <f>SupplyCurves_High!F121</f>
        <v>0.03</v>
      </c>
      <c r="F124">
        <f>SupplyCurves_High!H121</f>
        <v>1287</v>
      </c>
      <c r="H124" t="s">
        <v>452</v>
      </c>
      <c r="I124" t="str">
        <f t="shared" si="1"/>
        <v>EN_Hydro_TJK_T4</v>
      </c>
      <c r="J124" t="str">
        <f>SupplyCurves_High!C121&amp;" -- "&amp;SupplyCurves_High!E121&amp;" -- "&amp;SupplyCurves_High!K121</f>
        <v>Tajikistan -- T4 -- $0.10-0.14/kWh</v>
      </c>
      <c r="K124" t="s">
        <v>11</v>
      </c>
      <c r="L124" t="s">
        <v>13</v>
      </c>
      <c r="M124" t="s">
        <v>75</v>
      </c>
      <c r="N124" t="s">
        <v>12</v>
      </c>
    </row>
    <row r="125" spans="2:14">
      <c r="B125" t="str">
        <f>SupplyCurves_High!A122</f>
        <v>EN_Hydro_ZWE_T1</v>
      </c>
      <c r="C125" t="s">
        <v>451</v>
      </c>
      <c r="D125" t="s">
        <v>76</v>
      </c>
      <c r="E125">
        <f>SupplyCurves_High!F122</f>
        <v>0.72</v>
      </c>
      <c r="F125">
        <f>SupplyCurves_High!H122</f>
        <v>0</v>
      </c>
      <c r="H125" t="s">
        <v>452</v>
      </c>
      <c r="I125" t="str">
        <f t="shared" si="1"/>
        <v>EN_Hydro_ZWE_T1</v>
      </c>
      <c r="J125" t="str">
        <f>SupplyCurves_High!C122&amp;" -- "&amp;SupplyCurves_High!E122&amp;" -- "&amp;SupplyCurves_High!K122</f>
        <v>Zimbabwe -- T1 -- $0.04-0.06/kWh</v>
      </c>
      <c r="K125" t="s">
        <v>11</v>
      </c>
      <c r="L125" t="s">
        <v>13</v>
      </c>
      <c r="M125" t="s">
        <v>75</v>
      </c>
      <c r="N125" t="s">
        <v>12</v>
      </c>
    </row>
    <row r="126" spans="2:14">
      <c r="B126" t="str">
        <f>SupplyCurves_High!A123</f>
        <v>EN_Hydro_ZWE_T2</v>
      </c>
      <c r="C126" t="s">
        <v>451</v>
      </c>
      <c r="D126" t="s">
        <v>76</v>
      </c>
      <c r="E126">
        <f>SupplyCurves_High!F123</f>
        <v>1.26</v>
      </c>
      <c r="F126">
        <f>SupplyCurves_High!H123</f>
        <v>269</v>
      </c>
      <c r="H126" t="s">
        <v>452</v>
      </c>
      <c r="I126" t="str">
        <f t="shared" si="1"/>
        <v>EN_Hydro_ZWE_T2</v>
      </c>
      <c r="J126" t="str">
        <f>SupplyCurves_High!C123&amp;" -- "&amp;SupplyCurves_High!E123&amp;" -- "&amp;SupplyCurves_High!K123</f>
        <v>Zimbabwe -- T2 -- $0.06-0.08/kWh</v>
      </c>
      <c r="K126" t="s">
        <v>11</v>
      </c>
      <c r="L126" t="s">
        <v>13</v>
      </c>
      <c r="M126" t="s">
        <v>75</v>
      </c>
      <c r="N126" t="s">
        <v>12</v>
      </c>
    </row>
    <row r="127" spans="2:14">
      <c r="B127" t="str">
        <f>SupplyCurves_High!A124</f>
        <v>EN_Hydro_ZWE_T3</v>
      </c>
      <c r="C127" t="s">
        <v>451</v>
      </c>
      <c r="D127" t="s">
        <v>76</v>
      </c>
      <c r="E127">
        <f>SupplyCurves_High!F124</f>
        <v>1.08</v>
      </c>
      <c r="F127">
        <f>SupplyCurves_High!H124</f>
        <v>672</v>
      </c>
      <c r="H127" t="s">
        <v>452</v>
      </c>
      <c r="I127" t="str">
        <f t="shared" si="1"/>
        <v>EN_Hydro_ZWE_T3</v>
      </c>
      <c r="J127" t="str">
        <f>SupplyCurves_High!C124&amp;" -- "&amp;SupplyCurves_High!E124&amp;" -- "&amp;SupplyCurves_High!K124</f>
        <v>Zimbabwe -- T3 -- $0.08-0.10/kWh</v>
      </c>
      <c r="K127" t="s">
        <v>11</v>
      </c>
      <c r="L127" t="s">
        <v>13</v>
      </c>
      <c r="M127" t="s">
        <v>75</v>
      </c>
      <c r="N127" t="s">
        <v>12</v>
      </c>
    </row>
    <row r="128" spans="2:14">
      <c r="B128" t="str">
        <f>SupplyCurves_High!A125</f>
        <v>EN_Hydro_ZWE_T4</v>
      </c>
      <c r="C128" t="s">
        <v>451</v>
      </c>
      <c r="D128" t="s">
        <v>76</v>
      </c>
      <c r="E128">
        <f>SupplyCurves_High!F125</f>
        <v>0.54</v>
      </c>
      <c r="F128">
        <f>SupplyCurves_High!H125</f>
        <v>1210</v>
      </c>
      <c r="H128" t="s">
        <v>452</v>
      </c>
      <c r="I128" t="str">
        <f t="shared" si="1"/>
        <v>EN_Hydro_ZWE_T4</v>
      </c>
      <c r="J128" t="str">
        <f>SupplyCurves_High!C125&amp;" -- "&amp;SupplyCurves_High!E125&amp;" -- "&amp;SupplyCurves_High!K125</f>
        <v>Zimbabwe -- T4 -- $0.10-0.14/kWh</v>
      </c>
      <c r="K128" t="s">
        <v>11</v>
      </c>
      <c r="L128" t="s">
        <v>13</v>
      </c>
      <c r="M128" t="s">
        <v>75</v>
      </c>
      <c r="N128" t="s">
        <v>12</v>
      </c>
    </row>
    <row r="129" spans="2:14">
      <c r="B129" t="str">
        <f>SupplyCurves_High!A126</f>
        <v>EN_Hydro_KGZ_T1</v>
      </c>
      <c r="C129" t="s">
        <v>451</v>
      </c>
      <c r="D129" t="s">
        <v>76</v>
      </c>
      <c r="E129">
        <f>SupplyCurves_High!F126</f>
        <v>0.4</v>
      </c>
      <c r="F129">
        <f>SupplyCurves_High!H126</f>
        <v>0</v>
      </c>
      <c r="H129" t="s">
        <v>452</v>
      </c>
      <c r="I129" t="str">
        <f t="shared" si="1"/>
        <v>EN_Hydro_KGZ_T1</v>
      </c>
      <c r="J129" t="str">
        <f>SupplyCurves_High!C126&amp;" -- "&amp;SupplyCurves_High!E126&amp;" -- "&amp;SupplyCurves_High!K126</f>
        <v>Kyrgyzstan -- T1 -- $0.04-0.06/kWh</v>
      </c>
      <c r="K129" t="s">
        <v>11</v>
      </c>
      <c r="L129" t="s">
        <v>13</v>
      </c>
      <c r="M129" t="s">
        <v>75</v>
      </c>
      <c r="N129" t="s">
        <v>12</v>
      </c>
    </row>
    <row r="130" spans="2:14">
      <c r="B130" t="str">
        <f>SupplyCurves_High!A127</f>
        <v>EN_Hydro_KGZ_T2</v>
      </c>
      <c r="C130" t="s">
        <v>451</v>
      </c>
      <c r="D130" t="s">
        <v>76</v>
      </c>
      <c r="E130">
        <f>SupplyCurves_High!F127</f>
        <v>0.7</v>
      </c>
      <c r="F130">
        <f>SupplyCurves_High!H127</f>
        <v>286</v>
      </c>
      <c r="H130" t="s">
        <v>452</v>
      </c>
      <c r="I130" t="str">
        <f t="shared" si="1"/>
        <v>EN_Hydro_KGZ_T2</v>
      </c>
      <c r="J130" t="str">
        <f>SupplyCurves_High!C127&amp;" -- "&amp;SupplyCurves_High!E127&amp;" -- "&amp;SupplyCurves_High!K127</f>
        <v>Kyrgyzstan -- T2 -- $0.06-0.08/kWh</v>
      </c>
      <c r="K130" t="s">
        <v>11</v>
      </c>
      <c r="L130" t="s">
        <v>13</v>
      </c>
      <c r="M130" t="s">
        <v>75</v>
      </c>
      <c r="N130" t="s">
        <v>12</v>
      </c>
    </row>
    <row r="131" spans="2:14">
      <c r="B131" t="str">
        <f>SupplyCurves_High!A128</f>
        <v>EN_Hydro_KGZ_T3</v>
      </c>
      <c r="C131" t="s">
        <v>451</v>
      </c>
      <c r="D131" t="s">
        <v>76</v>
      </c>
      <c r="E131">
        <f>SupplyCurves_High!F128</f>
        <v>0.6</v>
      </c>
      <c r="F131">
        <f>SupplyCurves_High!H128</f>
        <v>715</v>
      </c>
      <c r="H131" t="s">
        <v>452</v>
      </c>
      <c r="I131" t="str">
        <f t="shared" si="1"/>
        <v>EN_Hydro_KGZ_T3</v>
      </c>
      <c r="J131" t="str">
        <f>SupplyCurves_High!C128&amp;" -- "&amp;SupplyCurves_High!E128&amp;" -- "&amp;SupplyCurves_High!K128</f>
        <v>Kyrgyzstan -- T3 -- $0.08-0.10/kWh</v>
      </c>
      <c r="K131" t="s">
        <v>11</v>
      </c>
      <c r="L131" t="s">
        <v>13</v>
      </c>
      <c r="M131" t="s">
        <v>75</v>
      </c>
      <c r="N131" t="s">
        <v>12</v>
      </c>
    </row>
    <row r="132" spans="2:14">
      <c r="B132" t="str">
        <f>SupplyCurves_High!A129</f>
        <v>EN_Hydro_KGZ_T4</v>
      </c>
      <c r="C132" t="s">
        <v>451</v>
      </c>
      <c r="D132" t="s">
        <v>76</v>
      </c>
      <c r="E132">
        <f>SupplyCurves_High!F129</f>
        <v>0.3</v>
      </c>
      <c r="F132">
        <f>SupplyCurves_High!H129</f>
        <v>1287</v>
      </c>
      <c r="H132" t="s">
        <v>452</v>
      </c>
      <c r="I132" t="str">
        <f t="shared" si="1"/>
        <v>EN_Hydro_KGZ_T4</v>
      </c>
      <c r="J132" t="str">
        <f>SupplyCurves_High!C129&amp;" -- "&amp;SupplyCurves_High!E129&amp;" -- "&amp;SupplyCurves_High!K129</f>
        <v>Kyrgyzstan -- T4 -- $0.10-0.14/kWh</v>
      </c>
      <c r="K132" t="s">
        <v>11</v>
      </c>
      <c r="L132" t="s">
        <v>13</v>
      </c>
      <c r="M132" t="s">
        <v>75</v>
      </c>
      <c r="N132" t="s">
        <v>12</v>
      </c>
    </row>
    <row r="133" spans="2:14">
      <c r="B133" t="str">
        <f>SupplyCurves_High!A130</f>
        <v>EN_Hydro_KEN_T1</v>
      </c>
      <c r="C133" t="s">
        <v>451</v>
      </c>
      <c r="D133" t="s">
        <v>76</v>
      </c>
      <c r="E133">
        <f>SupplyCurves_High!F130</f>
        <v>0.8</v>
      </c>
      <c r="F133">
        <f>SupplyCurves_High!H130</f>
        <v>0</v>
      </c>
      <c r="H133" t="s">
        <v>452</v>
      </c>
      <c r="I133" t="str">
        <f t="shared" si="1"/>
        <v>EN_Hydro_KEN_T1</v>
      </c>
      <c r="J133" t="str">
        <f>SupplyCurves_High!C130&amp;" -- "&amp;SupplyCurves_High!E130&amp;" -- "&amp;SupplyCurves_High!K130</f>
        <v>Kenya -- T1 -- $0.04-0.06/kWh</v>
      </c>
      <c r="K133" t="s">
        <v>11</v>
      </c>
      <c r="L133" t="s">
        <v>13</v>
      </c>
      <c r="M133" t="s">
        <v>75</v>
      </c>
      <c r="N133" t="s">
        <v>12</v>
      </c>
    </row>
    <row r="134" spans="2:14">
      <c r="B134" t="str">
        <f>SupplyCurves_High!A131</f>
        <v>EN_Hydro_KEN_T2</v>
      </c>
      <c r="C134" t="s">
        <v>451</v>
      </c>
      <c r="D134" t="s">
        <v>76</v>
      </c>
      <c r="E134">
        <f>SupplyCurves_High!F131</f>
        <v>1.4</v>
      </c>
      <c r="F134">
        <f>SupplyCurves_High!H131</f>
        <v>269</v>
      </c>
      <c r="H134" t="s">
        <v>452</v>
      </c>
      <c r="I134" t="str">
        <f t="shared" ref="I134:I197" si="2">B134</f>
        <v>EN_Hydro_KEN_T2</v>
      </c>
      <c r="J134" t="str">
        <f>SupplyCurves_High!C131&amp;" -- "&amp;SupplyCurves_High!E131&amp;" -- "&amp;SupplyCurves_High!K131</f>
        <v>Kenya -- T2 -- $0.06-0.08/kWh</v>
      </c>
      <c r="K134" t="s">
        <v>11</v>
      </c>
      <c r="L134" t="s">
        <v>13</v>
      </c>
      <c r="M134" t="s">
        <v>75</v>
      </c>
      <c r="N134" t="s">
        <v>12</v>
      </c>
    </row>
    <row r="135" spans="2:14">
      <c r="B135" t="str">
        <f>SupplyCurves_High!A132</f>
        <v>EN_Hydro_KEN_T3</v>
      </c>
      <c r="C135" t="s">
        <v>451</v>
      </c>
      <c r="D135" t="s">
        <v>76</v>
      </c>
      <c r="E135">
        <f>SupplyCurves_High!F132</f>
        <v>1.2</v>
      </c>
      <c r="F135">
        <f>SupplyCurves_High!H132</f>
        <v>672</v>
      </c>
      <c r="H135" t="s">
        <v>452</v>
      </c>
      <c r="I135" t="str">
        <f t="shared" si="2"/>
        <v>EN_Hydro_KEN_T3</v>
      </c>
      <c r="J135" t="str">
        <f>SupplyCurves_High!C132&amp;" -- "&amp;SupplyCurves_High!E132&amp;" -- "&amp;SupplyCurves_High!K132</f>
        <v>Kenya -- T3 -- $0.08-0.10/kWh</v>
      </c>
      <c r="K135" t="s">
        <v>11</v>
      </c>
      <c r="L135" t="s">
        <v>13</v>
      </c>
      <c r="M135" t="s">
        <v>75</v>
      </c>
      <c r="N135" t="s">
        <v>12</v>
      </c>
    </row>
    <row r="136" spans="2:14">
      <c r="B136" t="str">
        <f>SupplyCurves_High!A133</f>
        <v>EN_Hydro_KEN_T4</v>
      </c>
      <c r="C136" t="s">
        <v>451</v>
      </c>
      <c r="D136" t="s">
        <v>76</v>
      </c>
      <c r="E136">
        <f>SupplyCurves_High!F133</f>
        <v>0.6</v>
      </c>
      <c r="F136">
        <f>SupplyCurves_High!H133</f>
        <v>1210</v>
      </c>
      <c r="H136" t="s">
        <v>452</v>
      </c>
      <c r="I136" t="str">
        <f t="shared" si="2"/>
        <v>EN_Hydro_KEN_T4</v>
      </c>
      <c r="J136" t="str">
        <f>SupplyCurves_High!C133&amp;" -- "&amp;SupplyCurves_High!E133&amp;" -- "&amp;SupplyCurves_High!K133</f>
        <v>Kenya -- T4 -- $0.10-0.14/kWh</v>
      </c>
      <c r="K136" t="s">
        <v>11</v>
      </c>
      <c r="L136" t="s">
        <v>13</v>
      </c>
      <c r="M136" t="s">
        <v>75</v>
      </c>
      <c r="N136" t="s">
        <v>12</v>
      </c>
    </row>
    <row r="137" spans="2:14">
      <c r="B137" t="str">
        <f>SupplyCurves_High!A134</f>
        <v>EN_Hydro_KHM_T1</v>
      </c>
      <c r="C137" t="s">
        <v>451</v>
      </c>
      <c r="D137" t="s">
        <v>76</v>
      </c>
      <c r="E137">
        <f>SupplyCurves_High!F134</f>
        <v>0.1</v>
      </c>
      <c r="F137">
        <f>SupplyCurves_High!H134</f>
        <v>0</v>
      </c>
      <c r="H137" t="s">
        <v>452</v>
      </c>
      <c r="I137" t="str">
        <f t="shared" si="2"/>
        <v>EN_Hydro_KHM_T1</v>
      </c>
      <c r="J137" t="str">
        <f>SupplyCurves_High!C134&amp;" -- "&amp;SupplyCurves_High!E134&amp;" -- "&amp;SupplyCurves_High!K134</f>
        <v>Cambodia -- T1 -- $0.04-0.06/kWh</v>
      </c>
      <c r="K137" t="s">
        <v>11</v>
      </c>
      <c r="L137" t="s">
        <v>13</v>
      </c>
      <c r="M137" t="s">
        <v>75</v>
      </c>
      <c r="N137" t="s">
        <v>12</v>
      </c>
    </row>
    <row r="138" spans="2:14">
      <c r="B138" t="str">
        <f>SupplyCurves_High!A135</f>
        <v>EN_Hydro_KHM_T2</v>
      </c>
      <c r="C138" t="s">
        <v>451</v>
      </c>
      <c r="D138" t="s">
        <v>76</v>
      </c>
      <c r="E138">
        <f>SupplyCurves_High!F135</f>
        <v>0.17499999999999999</v>
      </c>
      <c r="F138">
        <f>SupplyCurves_High!H135</f>
        <v>227</v>
      </c>
      <c r="H138" t="s">
        <v>452</v>
      </c>
      <c r="I138" t="str">
        <f t="shared" si="2"/>
        <v>EN_Hydro_KHM_T2</v>
      </c>
      <c r="J138" t="str">
        <f>SupplyCurves_High!C135&amp;" -- "&amp;SupplyCurves_High!E135&amp;" -- "&amp;SupplyCurves_High!K135</f>
        <v>Cambodia -- T2 -- $0.06-0.08/kWh</v>
      </c>
      <c r="K138" t="s">
        <v>11</v>
      </c>
      <c r="L138" t="s">
        <v>13</v>
      </c>
      <c r="M138" t="s">
        <v>75</v>
      </c>
      <c r="N138" t="s">
        <v>12</v>
      </c>
    </row>
    <row r="139" spans="2:14">
      <c r="B139" t="str">
        <f>SupplyCurves_High!A136</f>
        <v>EN_Hydro_KHM_T3</v>
      </c>
      <c r="C139" t="s">
        <v>451</v>
      </c>
      <c r="D139" t="s">
        <v>76</v>
      </c>
      <c r="E139">
        <f>SupplyCurves_High!F136</f>
        <v>0.15</v>
      </c>
      <c r="F139">
        <f>SupplyCurves_High!H136</f>
        <v>568</v>
      </c>
      <c r="H139" t="s">
        <v>452</v>
      </c>
      <c r="I139" t="str">
        <f t="shared" si="2"/>
        <v>EN_Hydro_KHM_T3</v>
      </c>
      <c r="J139" t="str">
        <f>SupplyCurves_High!C136&amp;" -- "&amp;SupplyCurves_High!E136&amp;" -- "&amp;SupplyCurves_High!K136</f>
        <v>Cambodia -- T3 -- $0.08-0.10/kWh</v>
      </c>
      <c r="K139" t="s">
        <v>11</v>
      </c>
      <c r="L139" t="s">
        <v>13</v>
      </c>
      <c r="M139" t="s">
        <v>75</v>
      </c>
      <c r="N139" t="s">
        <v>12</v>
      </c>
    </row>
    <row r="140" spans="2:14">
      <c r="B140" t="str">
        <f>SupplyCurves_High!A137</f>
        <v>EN_Hydro_KHM_T4</v>
      </c>
      <c r="C140" t="s">
        <v>451</v>
      </c>
      <c r="D140" t="s">
        <v>76</v>
      </c>
      <c r="E140">
        <f>SupplyCurves_High!F137</f>
        <v>7.4999999999999997E-2</v>
      </c>
      <c r="F140">
        <f>SupplyCurves_High!H137</f>
        <v>1023</v>
      </c>
      <c r="H140" t="s">
        <v>452</v>
      </c>
      <c r="I140" t="str">
        <f t="shared" si="2"/>
        <v>EN_Hydro_KHM_T4</v>
      </c>
      <c r="J140" t="str">
        <f>SupplyCurves_High!C137&amp;" -- "&amp;SupplyCurves_High!E137&amp;" -- "&amp;SupplyCurves_High!K137</f>
        <v>Cambodia -- T4 -- $0.10-0.14/kWh</v>
      </c>
      <c r="K140" t="s">
        <v>11</v>
      </c>
      <c r="L140" t="s">
        <v>13</v>
      </c>
      <c r="M140" t="s">
        <v>75</v>
      </c>
      <c r="N140" t="s">
        <v>12</v>
      </c>
    </row>
    <row r="141" spans="2:14">
      <c r="B141" t="str">
        <f>SupplyCurves_High!A138</f>
        <v>EN_Hydro_GUY_T1</v>
      </c>
      <c r="C141" t="s">
        <v>451</v>
      </c>
      <c r="D141" t="s">
        <v>76</v>
      </c>
      <c r="E141">
        <f>SupplyCurves_High!F138</f>
        <v>0.48</v>
      </c>
      <c r="F141">
        <f>SupplyCurves_High!H138</f>
        <v>0</v>
      </c>
      <c r="H141" t="s">
        <v>452</v>
      </c>
      <c r="I141" t="str">
        <f t="shared" si="2"/>
        <v>EN_Hydro_GUY_T1</v>
      </c>
      <c r="J141" t="str">
        <f>SupplyCurves_High!C138&amp;" -- "&amp;SupplyCurves_High!E138&amp;" -- "&amp;SupplyCurves_High!K138</f>
        <v>Guyana -- T1 -- $0.04-0.06/kWh</v>
      </c>
      <c r="K141" t="s">
        <v>11</v>
      </c>
      <c r="L141" t="s">
        <v>13</v>
      </c>
      <c r="M141" t="s">
        <v>75</v>
      </c>
      <c r="N141" t="s">
        <v>12</v>
      </c>
    </row>
    <row r="142" spans="2:14">
      <c r="B142" t="str">
        <f>SupplyCurves_High!A139</f>
        <v>EN_Hydro_GUY_T2</v>
      </c>
      <c r="C142" t="s">
        <v>451</v>
      </c>
      <c r="D142" t="s">
        <v>76</v>
      </c>
      <c r="E142">
        <f>SupplyCurves_High!F139</f>
        <v>0.84</v>
      </c>
      <c r="F142">
        <f>SupplyCurves_High!H139</f>
        <v>307</v>
      </c>
      <c r="H142" t="s">
        <v>452</v>
      </c>
      <c r="I142" t="str">
        <f t="shared" si="2"/>
        <v>EN_Hydro_GUY_T2</v>
      </c>
      <c r="J142" t="str">
        <f>SupplyCurves_High!C139&amp;" -- "&amp;SupplyCurves_High!E139&amp;" -- "&amp;SupplyCurves_High!K139</f>
        <v>Guyana -- T2 -- $0.06-0.08/kWh</v>
      </c>
      <c r="K142" t="s">
        <v>11</v>
      </c>
      <c r="L142" t="s">
        <v>13</v>
      </c>
      <c r="M142" t="s">
        <v>75</v>
      </c>
      <c r="N142" t="s">
        <v>12</v>
      </c>
    </row>
    <row r="143" spans="2:14">
      <c r="B143" t="str">
        <f>SupplyCurves_High!A140</f>
        <v>EN_Hydro_GUY_T3</v>
      </c>
      <c r="C143" t="s">
        <v>451</v>
      </c>
      <c r="D143" t="s">
        <v>76</v>
      </c>
      <c r="E143">
        <f>SupplyCurves_High!F140</f>
        <v>0.72</v>
      </c>
      <c r="F143">
        <f>SupplyCurves_High!H140</f>
        <v>768</v>
      </c>
      <c r="H143" t="s">
        <v>452</v>
      </c>
      <c r="I143" t="str">
        <f t="shared" si="2"/>
        <v>EN_Hydro_GUY_T3</v>
      </c>
      <c r="J143" t="str">
        <f>SupplyCurves_High!C140&amp;" -- "&amp;SupplyCurves_High!E140&amp;" -- "&amp;SupplyCurves_High!K140</f>
        <v>Guyana -- T3 -- $0.08-0.10/kWh</v>
      </c>
      <c r="K143" t="s">
        <v>11</v>
      </c>
      <c r="L143" t="s">
        <v>13</v>
      </c>
      <c r="M143" t="s">
        <v>75</v>
      </c>
      <c r="N143" t="s">
        <v>12</v>
      </c>
    </row>
    <row r="144" spans="2:14">
      <c r="B144" t="str">
        <f>SupplyCurves_High!A141</f>
        <v>EN_Hydro_GUY_T4</v>
      </c>
      <c r="C144" t="s">
        <v>451</v>
      </c>
      <c r="D144" t="s">
        <v>76</v>
      </c>
      <c r="E144">
        <f>SupplyCurves_High!F141</f>
        <v>0.36</v>
      </c>
      <c r="F144">
        <f>SupplyCurves_High!H141</f>
        <v>1383</v>
      </c>
      <c r="H144" t="s">
        <v>452</v>
      </c>
      <c r="I144" t="str">
        <f t="shared" si="2"/>
        <v>EN_Hydro_GUY_T4</v>
      </c>
      <c r="J144" t="str">
        <f>SupplyCurves_High!C141&amp;" -- "&amp;SupplyCurves_High!E141&amp;" -- "&amp;SupplyCurves_High!K141</f>
        <v>Guyana -- T4 -- $0.10-0.14/kWh</v>
      </c>
      <c r="K144" t="s">
        <v>11</v>
      </c>
      <c r="L144" t="s">
        <v>13</v>
      </c>
      <c r="M144" t="s">
        <v>75</v>
      </c>
      <c r="N144" t="s">
        <v>12</v>
      </c>
    </row>
    <row r="145" spans="2:14">
      <c r="B145" t="str">
        <f>SupplyCurves_High!A142</f>
        <v>EN_Hydro_AFG_T1</v>
      </c>
      <c r="C145" t="s">
        <v>451</v>
      </c>
      <c r="D145" t="s">
        <v>76</v>
      </c>
      <c r="E145">
        <f>SupplyCurves_High!F142</f>
        <v>0.4</v>
      </c>
      <c r="F145">
        <f>SupplyCurves_High!H142</f>
        <v>0</v>
      </c>
      <c r="H145" t="s">
        <v>452</v>
      </c>
      <c r="I145" t="str">
        <f t="shared" si="2"/>
        <v>EN_Hydro_AFG_T1</v>
      </c>
      <c r="J145" t="str">
        <f>SupplyCurves_High!C142&amp;" -- "&amp;SupplyCurves_High!E142&amp;" -- "&amp;SupplyCurves_High!K142</f>
        <v>Afghanistan -- T1 -- $0.04-0.06/kWh</v>
      </c>
      <c r="K145" t="s">
        <v>11</v>
      </c>
      <c r="L145" t="s">
        <v>13</v>
      </c>
      <c r="M145" t="s">
        <v>75</v>
      </c>
      <c r="N145" t="s">
        <v>12</v>
      </c>
    </row>
    <row r="146" spans="2:14">
      <c r="B146" t="str">
        <f>SupplyCurves_High!A143</f>
        <v>EN_Hydro_AFG_T2</v>
      </c>
      <c r="C146" t="s">
        <v>451</v>
      </c>
      <c r="D146" t="s">
        <v>76</v>
      </c>
      <c r="E146">
        <f>SupplyCurves_High!F143</f>
        <v>0.7</v>
      </c>
      <c r="F146">
        <f>SupplyCurves_High!H143</f>
        <v>259</v>
      </c>
      <c r="H146" t="s">
        <v>452</v>
      </c>
      <c r="I146" t="str">
        <f t="shared" si="2"/>
        <v>EN_Hydro_AFG_T2</v>
      </c>
      <c r="J146" t="str">
        <f>SupplyCurves_High!C143&amp;" -- "&amp;SupplyCurves_High!E143&amp;" -- "&amp;SupplyCurves_High!K143</f>
        <v>Afghanistan -- T2 -- $0.06-0.08/kWh</v>
      </c>
      <c r="K146" t="s">
        <v>11</v>
      </c>
      <c r="L146" t="s">
        <v>13</v>
      </c>
      <c r="M146" t="s">
        <v>75</v>
      </c>
      <c r="N146" t="s">
        <v>12</v>
      </c>
    </row>
    <row r="147" spans="2:14">
      <c r="B147" t="str">
        <f>SupplyCurves_High!A144</f>
        <v>EN_Hydro_AFG_T3</v>
      </c>
      <c r="C147" t="s">
        <v>451</v>
      </c>
      <c r="D147" t="s">
        <v>76</v>
      </c>
      <c r="E147">
        <f>SupplyCurves_High!F144</f>
        <v>0.6</v>
      </c>
      <c r="F147">
        <f>SupplyCurves_High!H144</f>
        <v>646</v>
      </c>
      <c r="H147" t="s">
        <v>452</v>
      </c>
      <c r="I147" t="str">
        <f t="shared" si="2"/>
        <v>EN_Hydro_AFG_T3</v>
      </c>
      <c r="J147" t="str">
        <f>SupplyCurves_High!C144&amp;" -- "&amp;SupplyCurves_High!E144&amp;" -- "&amp;SupplyCurves_High!K144</f>
        <v>Afghanistan -- T3 -- $0.08-0.10/kWh</v>
      </c>
      <c r="K147" t="s">
        <v>11</v>
      </c>
      <c r="L147" t="s">
        <v>13</v>
      </c>
      <c r="M147" t="s">
        <v>75</v>
      </c>
      <c r="N147" t="s">
        <v>12</v>
      </c>
    </row>
    <row r="148" spans="2:14">
      <c r="B148" t="str">
        <f>SupplyCurves_High!A145</f>
        <v>EN_Hydro_AFG_T4</v>
      </c>
      <c r="C148" t="s">
        <v>451</v>
      </c>
      <c r="D148" t="s">
        <v>76</v>
      </c>
      <c r="E148">
        <f>SupplyCurves_High!F145</f>
        <v>0.3</v>
      </c>
      <c r="F148">
        <f>SupplyCurves_High!H145</f>
        <v>1163</v>
      </c>
      <c r="H148" t="s">
        <v>452</v>
      </c>
      <c r="I148" t="str">
        <f t="shared" si="2"/>
        <v>EN_Hydro_AFG_T4</v>
      </c>
      <c r="J148" t="str">
        <f>SupplyCurves_High!C145&amp;" -- "&amp;SupplyCurves_High!E145&amp;" -- "&amp;SupplyCurves_High!K145</f>
        <v>Afghanistan -- T4 -- $0.10-0.14/kWh</v>
      </c>
      <c r="K148" t="s">
        <v>11</v>
      </c>
      <c r="L148" t="s">
        <v>13</v>
      </c>
      <c r="M148" t="s">
        <v>75</v>
      </c>
      <c r="N148" t="s">
        <v>12</v>
      </c>
    </row>
    <row r="149" spans="2:14">
      <c r="B149" t="str">
        <f>SupplyCurves_High!A146</f>
        <v>EN_Hydro_COG_T1</v>
      </c>
      <c r="C149" t="s">
        <v>451</v>
      </c>
      <c r="D149" t="s">
        <v>76</v>
      </c>
      <c r="E149">
        <f>SupplyCurves_High!F146</f>
        <v>0.44</v>
      </c>
      <c r="F149">
        <f>SupplyCurves_High!H146</f>
        <v>0</v>
      </c>
      <c r="H149" t="s">
        <v>452</v>
      </c>
      <c r="I149" t="str">
        <f t="shared" si="2"/>
        <v>EN_Hydro_COG_T1</v>
      </c>
      <c r="J149" t="str">
        <f>SupplyCurves_High!C146&amp;" -- "&amp;SupplyCurves_High!E146&amp;" -- "&amp;SupplyCurves_High!K146</f>
        <v>Congo -- T1 -- $0.04-0.06/kWh</v>
      </c>
      <c r="K149" t="s">
        <v>11</v>
      </c>
      <c r="L149" t="s">
        <v>13</v>
      </c>
      <c r="M149" t="s">
        <v>75</v>
      </c>
      <c r="N149" t="s">
        <v>12</v>
      </c>
    </row>
    <row r="150" spans="2:14">
      <c r="B150" t="str">
        <f>SupplyCurves_High!A147</f>
        <v>EN_Hydro_COG_T2</v>
      </c>
      <c r="C150" t="s">
        <v>451</v>
      </c>
      <c r="D150" t="s">
        <v>76</v>
      </c>
      <c r="E150">
        <f>SupplyCurves_High!F147</f>
        <v>0.77</v>
      </c>
      <c r="F150">
        <f>SupplyCurves_High!H147</f>
        <v>269</v>
      </c>
      <c r="H150" t="s">
        <v>452</v>
      </c>
      <c r="I150" t="str">
        <f t="shared" si="2"/>
        <v>EN_Hydro_COG_T2</v>
      </c>
      <c r="J150" t="str">
        <f>SupplyCurves_High!C147&amp;" -- "&amp;SupplyCurves_High!E147&amp;" -- "&amp;SupplyCurves_High!K147</f>
        <v>Congo -- T2 -- $0.06-0.08/kWh</v>
      </c>
      <c r="K150" t="s">
        <v>11</v>
      </c>
      <c r="L150" t="s">
        <v>13</v>
      </c>
      <c r="M150" t="s">
        <v>75</v>
      </c>
      <c r="N150" t="s">
        <v>12</v>
      </c>
    </row>
    <row r="151" spans="2:14">
      <c r="B151" t="str">
        <f>SupplyCurves_High!A148</f>
        <v>EN_Hydro_COG_T3</v>
      </c>
      <c r="C151" t="s">
        <v>451</v>
      </c>
      <c r="D151" t="s">
        <v>76</v>
      </c>
      <c r="E151">
        <f>SupplyCurves_High!F148</f>
        <v>0.66</v>
      </c>
      <c r="F151">
        <f>SupplyCurves_High!H148</f>
        <v>672</v>
      </c>
      <c r="H151" t="s">
        <v>452</v>
      </c>
      <c r="I151" t="str">
        <f t="shared" si="2"/>
        <v>EN_Hydro_COG_T3</v>
      </c>
      <c r="J151" t="str">
        <f>SupplyCurves_High!C148&amp;" -- "&amp;SupplyCurves_High!E148&amp;" -- "&amp;SupplyCurves_High!K148</f>
        <v>Congo -- T3 -- $0.08-0.10/kWh</v>
      </c>
      <c r="K151" t="s">
        <v>11</v>
      </c>
      <c r="L151" t="s">
        <v>13</v>
      </c>
      <c r="M151" t="s">
        <v>75</v>
      </c>
      <c r="N151" t="s">
        <v>12</v>
      </c>
    </row>
    <row r="152" spans="2:14">
      <c r="B152" t="str">
        <f>SupplyCurves_High!A149</f>
        <v>EN_Hydro_COG_T4</v>
      </c>
      <c r="C152" t="s">
        <v>451</v>
      </c>
      <c r="D152" t="s">
        <v>76</v>
      </c>
      <c r="E152">
        <f>SupplyCurves_High!F149</f>
        <v>0.33</v>
      </c>
      <c r="F152">
        <f>SupplyCurves_High!H149</f>
        <v>1210</v>
      </c>
      <c r="H152" t="s">
        <v>452</v>
      </c>
      <c r="I152" t="str">
        <f t="shared" si="2"/>
        <v>EN_Hydro_COG_T4</v>
      </c>
      <c r="J152" t="str">
        <f>SupplyCurves_High!C149&amp;" -- "&amp;SupplyCurves_High!E149&amp;" -- "&amp;SupplyCurves_High!K149</f>
        <v>Congo -- T4 -- $0.10-0.14/kWh</v>
      </c>
      <c r="K152" t="s">
        <v>11</v>
      </c>
      <c r="L152" t="s">
        <v>13</v>
      </c>
      <c r="M152" t="s">
        <v>75</v>
      </c>
      <c r="N152" t="s">
        <v>12</v>
      </c>
    </row>
    <row r="153" spans="2:14">
      <c r="B153" t="str">
        <f>SupplyCurves_High!A150</f>
        <v>EN_Hydro_GIN_T1</v>
      </c>
      <c r="C153" t="s">
        <v>451</v>
      </c>
      <c r="D153" t="s">
        <v>76</v>
      </c>
      <c r="E153">
        <f>SupplyCurves_High!F150</f>
        <v>0.4</v>
      </c>
      <c r="F153">
        <f>SupplyCurves_High!H150</f>
        <v>0</v>
      </c>
      <c r="H153" t="s">
        <v>452</v>
      </c>
      <c r="I153" t="str">
        <f t="shared" si="2"/>
        <v>EN_Hydro_GIN_T1</v>
      </c>
      <c r="J153" t="str">
        <f>SupplyCurves_High!C150&amp;" -- "&amp;SupplyCurves_High!E150&amp;" -- "&amp;SupplyCurves_High!K150</f>
        <v>Guinea -- T1 -- $0.04-0.06/kWh</v>
      </c>
      <c r="K153" t="s">
        <v>11</v>
      </c>
      <c r="L153" t="s">
        <v>13</v>
      </c>
      <c r="M153" t="s">
        <v>75</v>
      </c>
      <c r="N153" t="s">
        <v>12</v>
      </c>
    </row>
    <row r="154" spans="2:14">
      <c r="B154" t="str">
        <f>SupplyCurves_High!A151</f>
        <v>EN_Hydro_GIN_T2</v>
      </c>
      <c r="C154" t="s">
        <v>451</v>
      </c>
      <c r="D154" t="s">
        <v>76</v>
      </c>
      <c r="E154">
        <f>SupplyCurves_High!F151</f>
        <v>0.7</v>
      </c>
      <c r="F154">
        <f>SupplyCurves_High!H151</f>
        <v>269</v>
      </c>
      <c r="H154" t="s">
        <v>452</v>
      </c>
      <c r="I154" t="str">
        <f t="shared" si="2"/>
        <v>EN_Hydro_GIN_T2</v>
      </c>
      <c r="J154" t="str">
        <f>SupplyCurves_High!C151&amp;" -- "&amp;SupplyCurves_High!E151&amp;" -- "&amp;SupplyCurves_High!K151</f>
        <v>Guinea -- T2 -- $0.06-0.08/kWh</v>
      </c>
      <c r="K154" t="s">
        <v>11</v>
      </c>
      <c r="L154" t="s">
        <v>13</v>
      </c>
      <c r="M154" t="s">
        <v>75</v>
      </c>
      <c r="N154" t="s">
        <v>12</v>
      </c>
    </row>
    <row r="155" spans="2:14">
      <c r="B155" t="str">
        <f>SupplyCurves_High!A152</f>
        <v>EN_Hydro_GIN_T3</v>
      </c>
      <c r="C155" t="s">
        <v>451</v>
      </c>
      <c r="D155" t="s">
        <v>76</v>
      </c>
      <c r="E155">
        <f>SupplyCurves_High!F152</f>
        <v>0.6</v>
      </c>
      <c r="F155">
        <f>SupplyCurves_High!H152</f>
        <v>672</v>
      </c>
      <c r="H155" t="s">
        <v>452</v>
      </c>
      <c r="I155" t="str">
        <f t="shared" si="2"/>
        <v>EN_Hydro_GIN_T3</v>
      </c>
      <c r="J155" t="str">
        <f>SupplyCurves_High!C152&amp;" -- "&amp;SupplyCurves_High!E152&amp;" -- "&amp;SupplyCurves_High!K152</f>
        <v>Guinea -- T3 -- $0.08-0.10/kWh</v>
      </c>
      <c r="K155" t="s">
        <v>11</v>
      </c>
      <c r="L155" t="s">
        <v>13</v>
      </c>
      <c r="M155" t="s">
        <v>75</v>
      </c>
      <c r="N155" t="s">
        <v>12</v>
      </c>
    </row>
    <row r="156" spans="2:14">
      <c r="B156" t="str">
        <f>SupplyCurves_High!A153</f>
        <v>EN_Hydro_GIN_T4</v>
      </c>
      <c r="C156" t="s">
        <v>451</v>
      </c>
      <c r="D156" t="s">
        <v>76</v>
      </c>
      <c r="E156">
        <f>SupplyCurves_High!F153</f>
        <v>0.3</v>
      </c>
      <c r="F156">
        <f>SupplyCurves_High!H153</f>
        <v>1210</v>
      </c>
      <c r="H156" t="s">
        <v>452</v>
      </c>
      <c r="I156" t="str">
        <f t="shared" si="2"/>
        <v>EN_Hydro_GIN_T4</v>
      </c>
      <c r="J156" t="str">
        <f>SupplyCurves_High!C153&amp;" -- "&amp;SupplyCurves_High!E153&amp;" -- "&amp;SupplyCurves_High!K153</f>
        <v>Guinea -- T4 -- $0.10-0.14/kWh</v>
      </c>
      <c r="K156" t="s">
        <v>11</v>
      </c>
      <c r="L156" t="s">
        <v>13</v>
      </c>
      <c r="M156" t="s">
        <v>75</v>
      </c>
      <c r="N156" t="s">
        <v>12</v>
      </c>
    </row>
    <row r="157" spans="2:14">
      <c r="B157" t="str">
        <f>SupplyCurves_High!A154</f>
        <v>EN_Hydro_GAB_T1</v>
      </c>
      <c r="C157" t="s">
        <v>451</v>
      </c>
      <c r="D157" t="s">
        <v>76</v>
      </c>
      <c r="E157">
        <f>SupplyCurves_High!F154</f>
        <v>0.34</v>
      </c>
      <c r="F157">
        <f>SupplyCurves_High!H154</f>
        <v>0</v>
      </c>
      <c r="H157" t="s">
        <v>452</v>
      </c>
      <c r="I157" t="str">
        <f t="shared" si="2"/>
        <v>EN_Hydro_GAB_T1</v>
      </c>
      <c r="J157" t="str">
        <f>SupplyCurves_High!C154&amp;" -- "&amp;SupplyCurves_High!E154&amp;" -- "&amp;SupplyCurves_High!K154</f>
        <v>Gabon -- T1 -- $0.04-0.06/kWh</v>
      </c>
      <c r="K157" t="s">
        <v>11</v>
      </c>
      <c r="L157" t="s">
        <v>13</v>
      </c>
      <c r="M157" t="s">
        <v>75</v>
      </c>
      <c r="N157" t="s">
        <v>12</v>
      </c>
    </row>
    <row r="158" spans="2:14">
      <c r="B158" t="str">
        <f>SupplyCurves_High!A155</f>
        <v>EN_Hydro_GAB_T2</v>
      </c>
      <c r="C158" t="s">
        <v>451</v>
      </c>
      <c r="D158" t="s">
        <v>76</v>
      </c>
      <c r="E158">
        <f>SupplyCurves_High!F155</f>
        <v>0.59499999999999997</v>
      </c>
      <c r="F158">
        <f>SupplyCurves_High!H155</f>
        <v>269</v>
      </c>
      <c r="H158" t="s">
        <v>452</v>
      </c>
      <c r="I158" t="str">
        <f t="shared" si="2"/>
        <v>EN_Hydro_GAB_T2</v>
      </c>
      <c r="J158" t="str">
        <f>SupplyCurves_High!C155&amp;" -- "&amp;SupplyCurves_High!E155&amp;" -- "&amp;SupplyCurves_High!K155</f>
        <v>Gabon -- T2 -- $0.06-0.08/kWh</v>
      </c>
      <c r="K158" t="s">
        <v>11</v>
      </c>
      <c r="L158" t="s">
        <v>13</v>
      </c>
      <c r="M158" t="s">
        <v>75</v>
      </c>
      <c r="N158" t="s">
        <v>12</v>
      </c>
    </row>
    <row r="159" spans="2:14">
      <c r="B159" t="str">
        <f>SupplyCurves_High!A156</f>
        <v>EN_Hydro_GAB_T3</v>
      </c>
      <c r="C159" t="s">
        <v>451</v>
      </c>
      <c r="D159" t="s">
        <v>76</v>
      </c>
      <c r="E159">
        <f>SupplyCurves_High!F156</f>
        <v>0.51</v>
      </c>
      <c r="F159">
        <f>SupplyCurves_High!H156</f>
        <v>672</v>
      </c>
      <c r="H159" t="s">
        <v>452</v>
      </c>
      <c r="I159" t="str">
        <f t="shared" si="2"/>
        <v>EN_Hydro_GAB_T3</v>
      </c>
      <c r="J159" t="str">
        <f>SupplyCurves_High!C156&amp;" -- "&amp;SupplyCurves_High!E156&amp;" -- "&amp;SupplyCurves_High!K156</f>
        <v>Gabon -- T3 -- $0.08-0.10/kWh</v>
      </c>
      <c r="K159" t="s">
        <v>11</v>
      </c>
      <c r="L159" t="s">
        <v>13</v>
      </c>
      <c r="M159" t="s">
        <v>75</v>
      </c>
      <c r="N159" t="s">
        <v>12</v>
      </c>
    </row>
    <row r="160" spans="2:14">
      <c r="B160" t="str">
        <f>SupplyCurves_High!A157</f>
        <v>EN_Hydro_GAB_T4</v>
      </c>
      <c r="C160" t="s">
        <v>451</v>
      </c>
      <c r="D160" t="s">
        <v>76</v>
      </c>
      <c r="E160">
        <f>SupplyCurves_High!F157</f>
        <v>0.255</v>
      </c>
      <c r="F160">
        <f>SupplyCurves_High!H157</f>
        <v>1210</v>
      </c>
      <c r="H160" t="s">
        <v>452</v>
      </c>
      <c r="I160" t="str">
        <f t="shared" si="2"/>
        <v>EN_Hydro_GAB_T4</v>
      </c>
      <c r="J160" t="str">
        <f>SupplyCurves_High!C157&amp;" -- "&amp;SupplyCurves_High!E157&amp;" -- "&amp;SupplyCurves_High!K157</f>
        <v>Gabon -- T4 -- $0.10-0.14/kWh</v>
      </c>
      <c r="K160" t="s">
        <v>11</v>
      </c>
      <c r="L160" t="s">
        <v>13</v>
      </c>
      <c r="M160" t="s">
        <v>75</v>
      </c>
      <c r="N160" t="s">
        <v>12</v>
      </c>
    </row>
    <row r="161" spans="2:14">
      <c r="B161" t="str">
        <f>SupplyCurves_High!A158</f>
        <v>EN_Hydro_SDN_T1</v>
      </c>
      <c r="C161" t="s">
        <v>451</v>
      </c>
      <c r="D161" t="s">
        <v>76</v>
      </c>
      <c r="E161">
        <f>SupplyCurves_High!F158</f>
        <v>0.04</v>
      </c>
      <c r="F161">
        <f>SupplyCurves_High!H158</f>
        <v>0</v>
      </c>
      <c r="H161" t="s">
        <v>452</v>
      </c>
      <c r="I161" t="str">
        <f t="shared" si="2"/>
        <v>EN_Hydro_SDN_T1</v>
      </c>
      <c r="J161" t="str">
        <f>SupplyCurves_High!C158&amp;" -- "&amp;SupplyCurves_High!E158&amp;" -- "&amp;SupplyCurves_High!K158</f>
        <v>Sudan -- T1 -- $0.04-0.06/kWh</v>
      </c>
      <c r="K161" t="s">
        <v>11</v>
      </c>
      <c r="L161" t="s">
        <v>13</v>
      </c>
      <c r="M161" t="s">
        <v>75</v>
      </c>
      <c r="N161" t="s">
        <v>12</v>
      </c>
    </row>
    <row r="162" spans="2:14">
      <c r="B162" t="str">
        <f>SupplyCurves_High!A159</f>
        <v>EN_Hydro_SDN_T2</v>
      </c>
      <c r="C162" t="s">
        <v>451</v>
      </c>
      <c r="D162" t="s">
        <v>76</v>
      </c>
      <c r="E162">
        <f>SupplyCurves_High!F159</f>
        <v>7.0000000000000007E-2</v>
      </c>
      <c r="F162">
        <f>SupplyCurves_High!H159</f>
        <v>269</v>
      </c>
      <c r="H162" t="s">
        <v>452</v>
      </c>
      <c r="I162" t="str">
        <f t="shared" si="2"/>
        <v>EN_Hydro_SDN_T2</v>
      </c>
      <c r="J162" t="str">
        <f>SupplyCurves_High!C159&amp;" -- "&amp;SupplyCurves_High!E159&amp;" -- "&amp;SupplyCurves_High!K159</f>
        <v>Sudan -- T2 -- $0.06-0.08/kWh</v>
      </c>
      <c r="K162" t="s">
        <v>11</v>
      </c>
      <c r="L162" t="s">
        <v>13</v>
      </c>
      <c r="M162" t="s">
        <v>75</v>
      </c>
      <c r="N162" t="s">
        <v>12</v>
      </c>
    </row>
    <row r="163" spans="2:14">
      <c r="B163" t="str">
        <f>SupplyCurves_High!A160</f>
        <v>EN_Hydro_SDN_T3</v>
      </c>
      <c r="C163" t="s">
        <v>451</v>
      </c>
      <c r="D163" t="s">
        <v>76</v>
      </c>
      <c r="E163">
        <f>SupplyCurves_High!F160</f>
        <v>0.06</v>
      </c>
      <c r="F163">
        <f>SupplyCurves_High!H160</f>
        <v>672</v>
      </c>
      <c r="H163" t="s">
        <v>452</v>
      </c>
      <c r="I163" t="str">
        <f t="shared" si="2"/>
        <v>EN_Hydro_SDN_T3</v>
      </c>
      <c r="J163" t="str">
        <f>SupplyCurves_High!C160&amp;" -- "&amp;SupplyCurves_High!E160&amp;" -- "&amp;SupplyCurves_High!K160</f>
        <v>Sudan -- T3 -- $0.08-0.10/kWh</v>
      </c>
      <c r="K163" t="s">
        <v>11</v>
      </c>
      <c r="L163" t="s">
        <v>13</v>
      </c>
      <c r="M163" t="s">
        <v>75</v>
      </c>
      <c r="N163" t="s">
        <v>12</v>
      </c>
    </row>
    <row r="164" spans="2:14">
      <c r="B164" t="str">
        <f>SupplyCurves_High!A161</f>
        <v>EN_Hydro_SDN_T4</v>
      </c>
      <c r="C164" t="s">
        <v>451</v>
      </c>
      <c r="D164" t="s">
        <v>76</v>
      </c>
      <c r="E164">
        <f>SupplyCurves_High!F161</f>
        <v>0.03</v>
      </c>
      <c r="F164">
        <f>SupplyCurves_High!H161</f>
        <v>1210</v>
      </c>
      <c r="H164" t="s">
        <v>452</v>
      </c>
      <c r="I164" t="str">
        <f t="shared" si="2"/>
        <v>EN_Hydro_SDN_T4</v>
      </c>
      <c r="J164" t="str">
        <f>SupplyCurves_High!C161&amp;" -- "&amp;SupplyCurves_High!E161&amp;" -- "&amp;SupplyCurves_High!K161</f>
        <v>Sudan -- T4 -- $0.10-0.14/kWh</v>
      </c>
      <c r="K164" t="s">
        <v>11</v>
      </c>
      <c r="L164" t="s">
        <v>13</v>
      </c>
      <c r="M164" t="s">
        <v>75</v>
      </c>
      <c r="N164" t="s">
        <v>12</v>
      </c>
    </row>
    <row r="165" spans="2:14">
      <c r="B165" t="str">
        <f>SupplyCurves_High!A162</f>
        <v>EN_Hydro_GTM_T1</v>
      </c>
      <c r="C165" t="s">
        <v>451</v>
      </c>
      <c r="D165" t="s">
        <v>76</v>
      </c>
      <c r="E165">
        <f>SupplyCurves_High!F162</f>
        <v>0.18</v>
      </c>
      <c r="F165">
        <f>SupplyCurves_High!H162</f>
        <v>0</v>
      </c>
      <c r="H165" t="s">
        <v>452</v>
      </c>
      <c r="I165" t="str">
        <f t="shared" si="2"/>
        <v>EN_Hydro_GTM_T1</v>
      </c>
      <c r="J165" t="str">
        <f>SupplyCurves_High!C162&amp;" -- "&amp;SupplyCurves_High!E162&amp;" -- "&amp;SupplyCurves_High!K162</f>
        <v>Guatemala -- T1 -- $0.04-0.06/kWh</v>
      </c>
      <c r="K165" t="s">
        <v>11</v>
      </c>
      <c r="L165" t="s">
        <v>13</v>
      </c>
      <c r="M165" t="s">
        <v>75</v>
      </c>
      <c r="N165" t="s">
        <v>12</v>
      </c>
    </row>
    <row r="166" spans="2:14">
      <c r="B166" t="str">
        <f>SupplyCurves_High!A163</f>
        <v>EN_Hydro_GTM_T2</v>
      </c>
      <c r="C166" t="s">
        <v>451</v>
      </c>
      <c r="D166" t="s">
        <v>76</v>
      </c>
      <c r="E166">
        <f>SupplyCurves_High!F163</f>
        <v>0.315</v>
      </c>
      <c r="F166">
        <f>SupplyCurves_High!H163</f>
        <v>307</v>
      </c>
      <c r="H166" t="s">
        <v>452</v>
      </c>
      <c r="I166" t="str">
        <f t="shared" si="2"/>
        <v>EN_Hydro_GTM_T2</v>
      </c>
      <c r="J166" t="str">
        <f>SupplyCurves_High!C163&amp;" -- "&amp;SupplyCurves_High!E163&amp;" -- "&amp;SupplyCurves_High!K163</f>
        <v>Guatemala -- T2 -- $0.06-0.08/kWh</v>
      </c>
      <c r="K166" t="s">
        <v>11</v>
      </c>
      <c r="L166" t="s">
        <v>13</v>
      </c>
      <c r="M166" t="s">
        <v>75</v>
      </c>
      <c r="N166" t="s">
        <v>12</v>
      </c>
    </row>
    <row r="167" spans="2:14">
      <c r="B167" t="str">
        <f>SupplyCurves_High!A164</f>
        <v>EN_Hydro_GTM_T3</v>
      </c>
      <c r="C167" t="s">
        <v>451</v>
      </c>
      <c r="D167" t="s">
        <v>76</v>
      </c>
      <c r="E167">
        <f>SupplyCurves_High!F164</f>
        <v>0.27</v>
      </c>
      <c r="F167">
        <f>SupplyCurves_High!H164</f>
        <v>768</v>
      </c>
      <c r="H167" t="s">
        <v>452</v>
      </c>
      <c r="I167" t="str">
        <f t="shared" si="2"/>
        <v>EN_Hydro_GTM_T3</v>
      </c>
      <c r="J167" t="str">
        <f>SupplyCurves_High!C164&amp;" -- "&amp;SupplyCurves_High!E164&amp;" -- "&amp;SupplyCurves_High!K164</f>
        <v>Guatemala -- T3 -- $0.08-0.10/kWh</v>
      </c>
      <c r="K167" t="s">
        <v>11</v>
      </c>
      <c r="L167" t="s">
        <v>13</v>
      </c>
      <c r="M167" t="s">
        <v>75</v>
      </c>
      <c r="N167" t="s">
        <v>12</v>
      </c>
    </row>
    <row r="168" spans="2:14">
      <c r="B168" t="str">
        <f>SupplyCurves_High!A165</f>
        <v>EN_Hydro_GTM_T4</v>
      </c>
      <c r="C168" t="s">
        <v>451</v>
      </c>
      <c r="D168" t="s">
        <v>76</v>
      </c>
      <c r="E168">
        <f>SupplyCurves_High!F165</f>
        <v>0.13500000000000001</v>
      </c>
      <c r="F168">
        <f>SupplyCurves_High!H165</f>
        <v>1383</v>
      </c>
      <c r="H168" t="s">
        <v>452</v>
      </c>
      <c r="I168" t="str">
        <f t="shared" si="2"/>
        <v>EN_Hydro_GTM_T4</v>
      </c>
      <c r="J168" t="str">
        <f>SupplyCurves_High!C165&amp;" -- "&amp;SupplyCurves_High!E165&amp;" -- "&amp;SupplyCurves_High!K165</f>
        <v>Guatemala -- T4 -- $0.10-0.14/kWh</v>
      </c>
      <c r="K168" t="s">
        <v>11</v>
      </c>
      <c r="L168" t="s">
        <v>13</v>
      </c>
      <c r="M168" t="s">
        <v>75</v>
      </c>
      <c r="N168" t="s">
        <v>12</v>
      </c>
    </row>
    <row r="169" spans="2:14">
      <c r="B169" t="str">
        <f>SupplyCurves_High!A166</f>
        <v>EN_Hydro_SUR_T1</v>
      </c>
      <c r="C169" t="s">
        <v>451</v>
      </c>
      <c r="D169" t="s">
        <v>76</v>
      </c>
      <c r="E169">
        <f>SupplyCurves_High!F166</f>
        <v>0.34</v>
      </c>
      <c r="F169">
        <f>SupplyCurves_High!H166</f>
        <v>0</v>
      </c>
      <c r="H169" t="s">
        <v>452</v>
      </c>
      <c r="I169" t="str">
        <f t="shared" si="2"/>
        <v>EN_Hydro_SUR_T1</v>
      </c>
      <c r="J169" t="str">
        <f>SupplyCurves_High!C166&amp;" -- "&amp;SupplyCurves_High!E166&amp;" -- "&amp;SupplyCurves_High!K166</f>
        <v>Suriname -- T1 -- $0.04-0.06/kWh</v>
      </c>
      <c r="K169" t="s">
        <v>11</v>
      </c>
      <c r="L169" t="s">
        <v>13</v>
      </c>
      <c r="M169" t="s">
        <v>75</v>
      </c>
      <c r="N169" t="s">
        <v>12</v>
      </c>
    </row>
    <row r="170" spans="2:14">
      <c r="B170" t="str">
        <f>SupplyCurves_High!A167</f>
        <v>EN_Hydro_SUR_T2</v>
      </c>
      <c r="C170" t="s">
        <v>451</v>
      </c>
      <c r="D170" t="s">
        <v>76</v>
      </c>
      <c r="E170">
        <f>SupplyCurves_High!F167</f>
        <v>0.59499999999999997</v>
      </c>
      <c r="F170">
        <f>SupplyCurves_High!H167</f>
        <v>307</v>
      </c>
      <c r="H170" t="s">
        <v>452</v>
      </c>
      <c r="I170" t="str">
        <f t="shared" si="2"/>
        <v>EN_Hydro_SUR_T2</v>
      </c>
      <c r="J170" t="str">
        <f>SupplyCurves_High!C167&amp;" -- "&amp;SupplyCurves_High!E167&amp;" -- "&amp;SupplyCurves_High!K167</f>
        <v>Suriname -- T2 -- $0.06-0.08/kWh</v>
      </c>
      <c r="K170" t="s">
        <v>11</v>
      </c>
      <c r="L170" t="s">
        <v>13</v>
      </c>
      <c r="M170" t="s">
        <v>75</v>
      </c>
      <c r="N170" t="s">
        <v>12</v>
      </c>
    </row>
    <row r="171" spans="2:14">
      <c r="B171" t="str">
        <f>SupplyCurves_High!A168</f>
        <v>EN_Hydro_SUR_T3</v>
      </c>
      <c r="C171" t="s">
        <v>451</v>
      </c>
      <c r="D171" t="s">
        <v>76</v>
      </c>
      <c r="E171">
        <f>SupplyCurves_High!F168</f>
        <v>0.51</v>
      </c>
      <c r="F171">
        <f>SupplyCurves_High!H168</f>
        <v>768</v>
      </c>
      <c r="H171" t="s">
        <v>452</v>
      </c>
      <c r="I171" t="str">
        <f t="shared" si="2"/>
        <v>EN_Hydro_SUR_T3</v>
      </c>
      <c r="J171" t="str">
        <f>SupplyCurves_High!C168&amp;" -- "&amp;SupplyCurves_High!E168&amp;" -- "&amp;SupplyCurves_High!K168</f>
        <v>Suriname -- T3 -- $0.08-0.10/kWh</v>
      </c>
      <c r="K171" t="s">
        <v>11</v>
      </c>
      <c r="L171" t="s">
        <v>13</v>
      </c>
      <c r="M171" t="s">
        <v>75</v>
      </c>
      <c r="N171" t="s">
        <v>12</v>
      </c>
    </row>
    <row r="172" spans="2:14">
      <c r="B172" t="str">
        <f>SupplyCurves_High!A169</f>
        <v>EN_Hydro_SUR_T4</v>
      </c>
      <c r="C172" t="s">
        <v>451</v>
      </c>
      <c r="D172" t="s">
        <v>76</v>
      </c>
      <c r="E172">
        <f>SupplyCurves_High!F169</f>
        <v>0.255</v>
      </c>
      <c r="F172">
        <f>SupplyCurves_High!H169</f>
        <v>1383</v>
      </c>
      <c r="H172" t="s">
        <v>452</v>
      </c>
      <c r="I172" t="str">
        <f t="shared" si="2"/>
        <v>EN_Hydro_SUR_T4</v>
      </c>
      <c r="J172" t="str">
        <f>SupplyCurves_High!C169&amp;" -- "&amp;SupplyCurves_High!E169&amp;" -- "&amp;SupplyCurves_High!K169</f>
        <v>Suriname -- T4 -- $0.10-0.14/kWh</v>
      </c>
      <c r="K172" t="s">
        <v>11</v>
      </c>
      <c r="L172" t="s">
        <v>13</v>
      </c>
      <c r="M172" t="s">
        <v>75</v>
      </c>
      <c r="N172" t="s">
        <v>12</v>
      </c>
    </row>
    <row r="173" spans="2:14">
      <c r="B173" t="str">
        <f>SupplyCurves_High!A170</f>
        <v>EN_Hydro_MDG_T1</v>
      </c>
      <c r="C173" t="s">
        <v>451</v>
      </c>
      <c r="D173" t="s">
        <v>76</v>
      </c>
      <c r="E173">
        <f>SupplyCurves_High!F170</f>
        <v>0.28000000000000003</v>
      </c>
      <c r="F173">
        <f>SupplyCurves_High!H170</f>
        <v>0</v>
      </c>
      <c r="H173" t="s">
        <v>452</v>
      </c>
      <c r="I173" t="str">
        <f t="shared" si="2"/>
        <v>EN_Hydro_MDG_T1</v>
      </c>
      <c r="J173" t="str">
        <f>SupplyCurves_High!C170&amp;" -- "&amp;SupplyCurves_High!E170&amp;" -- "&amp;SupplyCurves_High!K170</f>
        <v>Madagascar -- T1 -- $0.04-0.06/kWh</v>
      </c>
      <c r="K173" t="s">
        <v>11</v>
      </c>
      <c r="L173" t="s">
        <v>13</v>
      </c>
      <c r="M173" t="s">
        <v>75</v>
      </c>
      <c r="N173" t="s">
        <v>12</v>
      </c>
    </row>
    <row r="174" spans="2:14">
      <c r="B174" t="str">
        <f>SupplyCurves_High!A171</f>
        <v>EN_Hydro_MDG_T2</v>
      </c>
      <c r="C174" t="s">
        <v>451</v>
      </c>
      <c r="D174" t="s">
        <v>76</v>
      </c>
      <c r="E174">
        <f>SupplyCurves_High!F171</f>
        <v>0.49</v>
      </c>
      <c r="F174">
        <f>SupplyCurves_High!H171</f>
        <v>269</v>
      </c>
      <c r="H174" t="s">
        <v>452</v>
      </c>
      <c r="I174" t="str">
        <f t="shared" si="2"/>
        <v>EN_Hydro_MDG_T2</v>
      </c>
      <c r="J174" t="str">
        <f>SupplyCurves_High!C171&amp;" -- "&amp;SupplyCurves_High!E171&amp;" -- "&amp;SupplyCurves_High!K171</f>
        <v>Madagascar -- T2 -- $0.06-0.08/kWh</v>
      </c>
      <c r="K174" t="s">
        <v>11</v>
      </c>
      <c r="L174" t="s">
        <v>13</v>
      </c>
      <c r="M174" t="s">
        <v>75</v>
      </c>
      <c r="N174" t="s">
        <v>12</v>
      </c>
    </row>
    <row r="175" spans="2:14">
      <c r="B175" t="str">
        <f>SupplyCurves_High!A172</f>
        <v>EN_Hydro_MDG_T3</v>
      </c>
      <c r="C175" t="s">
        <v>451</v>
      </c>
      <c r="D175" t="s">
        <v>76</v>
      </c>
      <c r="E175">
        <f>SupplyCurves_High!F172</f>
        <v>0.42</v>
      </c>
      <c r="F175">
        <f>SupplyCurves_High!H172</f>
        <v>672</v>
      </c>
      <c r="H175" t="s">
        <v>452</v>
      </c>
      <c r="I175" t="str">
        <f t="shared" si="2"/>
        <v>EN_Hydro_MDG_T3</v>
      </c>
      <c r="J175" t="str">
        <f>SupplyCurves_High!C172&amp;" -- "&amp;SupplyCurves_High!E172&amp;" -- "&amp;SupplyCurves_High!K172</f>
        <v>Madagascar -- T3 -- $0.08-0.10/kWh</v>
      </c>
      <c r="K175" t="s">
        <v>11</v>
      </c>
      <c r="L175" t="s">
        <v>13</v>
      </c>
      <c r="M175" t="s">
        <v>75</v>
      </c>
      <c r="N175" t="s">
        <v>12</v>
      </c>
    </row>
    <row r="176" spans="2:14">
      <c r="B176" t="str">
        <f>SupplyCurves_High!A173</f>
        <v>EN_Hydro_MDG_T4</v>
      </c>
      <c r="C176" t="s">
        <v>451</v>
      </c>
      <c r="D176" t="s">
        <v>76</v>
      </c>
      <c r="E176">
        <f>SupplyCurves_High!F173</f>
        <v>0.21</v>
      </c>
      <c r="F176">
        <f>SupplyCurves_High!H173</f>
        <v>1210</v>
      </c>
      <c r="H176" t="s">
        <v>452</v>
      </c>
      <c r="I176" t="str">
        <f t="shared" si="2"/>
        <v>EN_Hydro_MDG_T4</v>
      </c>
      <c r="J176" t="str">
        <f>SupplyCurves_High!C173&amp;" -- "&amp;SupplyCurves_High!E173&amp;" -- "&amp;SupplyCurves_High!K173</f>
        <v>Madagascar -- T4 -- $0.10-0.14/kWh</v>
      </c>
      <c r="K176" t="s">
        <v>11</v>
      </c>
      <c r="L176" t="s">
        <v>13</v>
      </c>
      <c r="M176" t="s">
        <v>75</v>
      </c>
      <c r="N176" t="s">
        <v>12</v>
      </c>
    </row>
    <row r="177" spans="2:14">
      <c r="B177" t="str">
        <f>SupplyCurves_High!A174</f>
        <v>EN_Hydro_HND_T1</v>
      </c>
      <c r="C177" t="s">
        <v>451</v>
      </c>
      <c r="D177" t="s">
        <v>76</v>
      </c>
      <c r="E177">
        <f>SupplyCurves_High!F174</f>
        <v>0.12</v>
      </c>
      <c r="F177">
        <f>SupplyCurves_High!H174</f>
        <v>0</v>
      </c>
      <c r="H177" t="s">
        <v>452</v>
      </c>
      <c r="I177" t="str">
        <f t="shared" si="2"/>
        <v>EN_Hydro_HND_T1</v>
      </c>
      <c r="J177" t="str">
        <f>SupplyCurves_High!C174&amp;" -- "&amp;SupplyCurves_High!E174&amp;" -- "&amp;SupplyCurves_High!K174</f>
        <v>Honduras -- T1 -- $0.04-0.06/kWh</v>
      </c>
      <c r="K177" t="s">
        <v>11</v>
      </c>
      <c r="L177" t="s">
        <v>13</v>
      </c>
      <c r="M177" t="s">
        <v>75</v>
      </c>
      <c r="N177" t="s">
        <v>12</v>
      </c>
    </row>
    <row r="178" spans="2:14">
      <c r="B178" t="str">
        <f>SupplyCurves_High!A175</f>
        <v>EN_Hydro_HND_T2</v>
      </c>
      <c r="C178" t="s">
        <v>451</v>
      </c>
      <c r="D178" t="s">
        <v>76</v>
      </c>
      <c r="E178">
        <f>SupplyCurves_High!F175</f>
        <v>0.21</v>
      </c>
      <c r="F178">
        <f>SupplyCurves_High!H175</f>
        <v>307</v>
      </c>
      <c r="H178" t="s">
        <v>452</v>
      </c>
      <c r="I178" t="str">
        <f t="shared" si="2"/>
        <v>EN_Hydro_HND_T2</v>
      </c>
      <c r="J178" t="str">
        <f>SupplyCurves_High!C175&amp;" -- "&amp;SupplyCurves_High!E175&amp;" -- "&amp;SupplyCurves_High!K175</f>
        <v>Honduras -- T2 -- $0.06-0.08/kWh</v>
      </c>
      <c r="K178" t="s">
        <v>11</v>
      </c>
      <c r="L178" t="s">
        <v>13</v>
      </c>
      <c r="M178" t="s">
        <v>75</v>
      </c>
      <c r="N178" t="s">
        <v>12</v>
      </c>
    </row>
    <row r="179" spans="2:14">
      <c r="B179" t="str">
        <f>SupplyCurves_High!A176</f>
        <v>EN_Hydro_HND_T3</v>
      </c>
      <c r="C179" t="s">
        <v>451</v>
      </c>
      <c r="D179" t="s">
        <v>76</v>
      </c>
      <c r="E179">
        <f>SupplyCurves_High!F176</f>
        <v>0.18</v>
      </c>
      <c r="F179">
        <f>SupplyCurves_High!H176</f>
        <v>768</v>
      </c>
      <c r="H179" t="s">
        <v>452</v>
      </c>
      <c r="I179" t="str">
        <f t="shared" si="2"/>
        <v>EN_Hydro_HND_T3</v>
      </c>
      <c r="J179" t="str">
        <f>SupplyCurves_High!C176&amp;" -- "&amp;SupplyCurves_High!E176&amp;" -- "&amp;SupplyCurves_High!K176</f>
        <v>Honduras -- T3 -- $0.08-0.10/kWh</v>
      </c>
      <c r="K179" t="s">
        <v>11</v>
      </c>
      <c r="L179" t="s">
        <v>13</v>
      </c>
      <c r="M179" t="s">
        <v>75</v>
      </c>
      <c r="N179" t="s">
        <v>12</v>
      </c>
    </row>
    <row r="180" spans="2:14">
      <c r="B180" t="str">
        <f>SupplyCurves_High!A177</f>
        <v>EN_Hydro_HND_T4</v>
      </c>
      <c r="C180" t="s">
        <v>451</v>
      </c>
      <c r="D180" t="s">
        <v>76</v>
      </c>
      <c r="E180">
        <f>SupplyCurves_High!F177</f>
        <v>0.09</v>
      </c>
      <c r="F180">
        <f>SupplyCurves_High!H177</f>
        <v>1383</v>
      </c>
      <c r="H180" t="s">
        <v>452</v>
      </c>
      <c r="I180" t="str">
        <f t="shared" si="2"/>
        <v>EN_Hydro_HND_T4</v>
      </c>
      <c r="J180" t="str">
        <f>SupplyCurves_High!C177&amp;" -- "&amp;SupplyCurves_High!E177&amp;" -- "&amp;SupplyCurves_High!K177</f>
        <v>Honduras -- T4 -- $0.10-0.14/kWh</v>
      </c>
      <c r="K180" t="s">
        <v>11</v>
      </c>
      <c r="L180" t="s">
        <v>13</v>
      </c>
      <c r="M180" t="s">
        <v>75</v>
      </c>
      <c r="N180" t="s">
        <v>12</v>
      </c>
    </row>
    <row r="181" spans="2:14">
      <c r="B181" t="str">
        <f>SupplyCurves_High!A178</f>
        <v>EN_Hydro_CIV_T1</v>
      </c>
      <c r="C181" t="s">
        <v>451</v>
      </c>
      <c r="D181" t="s">
        <v>76</v>
      </c>
      <c r="E181">
        <f>SupplyCurves_High!F178</f>
        <v>0.04</v>
      </c>
      <c r="F181">
        <f>SupplyCurves_High!H178</f>
        <v>0</v>
      </c>
      <c r="H181" t="s">
        <v>452</v>
      </c>
      <c r="I181" t="str">
        <f t="shared" si="2"/>
        <v>EN_Hydro_CIV_T1</v>
      </c>
      <c r="J181" t="str">
        <f>SupplyCurves_High!C178&amp;" -- "&amp;SupplyCurves_High!E178&amp;" -- "&amp;SupplyCurves_High!K178</f>
        <v>Cote d'Ivoire -- T1 -- $0.04-0.06/kWh</v>
      </c>
      <c r="K181" t="s">
        <v>11</v>
      </c>
      <c r="L181" t="s">
        <v>13</v>
      </c>
      <c r="M181" t="s">
        <v>75</v>
      </c>
      <c r="N181" t="s">
        <v>12</v>
      </c>
    </row>
    <row r="182" spans="2:14">
      <c r="B182" t="str">
        <f>SupplyCurves_High!A179</f>
        <v>EN_Hydro_CIV_T2</v>
      </c>
      <c r="C182" t="s">
        <v>451</v>
      </c>
      <c r="D182" t="s">
        <v>76</v>
      </c>
      <c r="E182">
        <f>SupplyCurves_High!F179</f>
        <v>7.0000000000000007E-2</v>
      </c>
      <c r="F182">
        <f>SupplyCurves_High!H179</f>
        <v>269</v>
      </c>
      <c r="H182" t="s">
        <v>452</v>
      </c>
      <c r="I182" t="str">
        <f t="shared" si="2"/>
        <v>EN_Hydro_CIV_T2</v>
      </c>
      <c r="J182" t="str">
        <f>SupplyCurves_High!C179&amp;" -- "&amp;SupplyCurves_High!E179&amp;" -- "&amp;SupplyCurves_High!K179</f>
        <v>Cote d'Ivoire -- T2 -- $0.06-0.08/kWh</v>
      </c>
      <c r="K182" t="s">
        <v>11</v>
      </c>
      <c r="L182" t="s">
        <v>13</v>
      </c>
      <c r="M182" t="s">
        <v>75</v>
      </c>
      <c r="N182" t="s">
        <v>12</v>
      </c>
    </row>
    <row r="183" spans="2:14">
      <c r="B183" t="str">
        <f>SupplyCurves_High!A180</f>
        <v>EN_Hydro_CIV_T3</v>
      </c>
      <c r="C183" t="s">
        <v>451</v>
      </c>
      <c r="D183" t="s">
        <v>76</v>
      </c>
      <c r="E183">
        <f>SupplyCurves_High!F180</f>
        <v>0.06</v>
      </c>
      <c r="F183">
        <f>SupplyCurves_High!H180</f>
        <v>672</v>
      </c>
      <c r="H183" t="s">
        <v>452</v>
      </c>
      <c r="I183" t="str">
        <f t="shared" si="2"/>
        <v>EN_Hydro_CIV_T3</v>
      </c>
      <c r="J183" t="str">
        <f>SupplyCurves_High!C180&amp;" -- "&amp;SupplyCurves_High!E180&amp;" -- "&amp;SupplyCurves_High!K180</f>
        <v>Cote d'Ivoire -- T3 -- $0.08-0.10/kWh</v>
      </c>
      <c r="K183" t="s">
        <v>11</v>
      </c>
      <c r="L183" t="s">
        <v>13</v>
      </c>
      <c r="M183" t="s">
        <v>75</v>
      </c>
      <c r="N183" t="s">
        <v>12</v>
      </c>
    </row>
    <row r="184" spans="2:14">
      <c r="B184" t="str">
        <f>SupplyCurves_High!A181</f>
        <v>EN_Hydro_CIV_T4</v>
      </c>
      <c r="C184" t="s">
        <v>451</v>
      </c>
      <c r="D184" t="s">
        <v>76</v>
      </c>
      <c r="E184">
        <f>SupplyCurves_High!F181</f>
        <v>0.03</v>
      </c>
      <c r="F184">
        <f>SupplyCurves_High!H181</f>
        <v>1210</v>
      </c>
      <c r="H184" t="s">
        <v>452</v>
      </c>
      <c r="I184" t="str">
        <f t="shared" si="2"/>
        <v>EN_Hydro_CIV_T4</v>
      </c>
      <c r="J184" t="str">
        <f>SupplyCurves_High!C181&amp;" -- "&amp;SupplyCurves_High!E181&amp;" -- "&amp;SupplyCurves_High!K181</f>
        <v>Cote d'Ivoire -- T4 -- $0.10-0.14/kWh</v>
      </c>
      <c r="K184" t="s">
        <v>11</v>
      </c>
      <c r="L184" t="s">
        <v>13</v>
      </c>
      <c r="M184" t="s">
        <v>75</v>
      </c>
      <c r="N184" t="s">
        <v>12</v>
      </c>
    </row>
    <row r="185" spans="2:14">
      <c r="B185" t="str">
        <f>SupplyCurves_High!A182</f>
        <v>EN_Hydro_CAF_T1</v>
      </c>
      <c r="C185" t="s">
        <v>451</v>
      </c>
      <c r="D185" t="s">
        <v>76</v>
      </c>
      <c r="E185">
        <f>SupplyCurves_High!F182</f>
        <v>0.24</v>
      </c>
      <c r="F185">
        <f>SupplyCurves_High!H182</f>
        <v>0</v>
      </c>
      <c r="H185" t="s">
        <v>452</v>
      </c>
      <c r="I185" t="str">
        <f t="shared" si="2"/>
        <v>EN_Hydro_CAF_T1</v>
      </c>
      <c r="J185" t="str">
        <f>SupplyCurves_High!C182&amp;" -- "&amp;SupplyCurves_High!E182&amp;" -- "&amp;SupplyCurves_High!K182</f>
        <v>Central African Republic -- T1 -- $0.04-0.06/kWh</v>
      </c>
      <c r="K185" t="s">
        <v>11</v>
      </c>
      <c r="L185" t="s">
        <v>13</v>
      </c>
      <c r="M185" t="s">
        <v>75</v>
      </c>
      <c r="N185" t="s">
        <v>12</v>
      </c>
    </row>
    <row r="186" spans="2:14">
      <c r="B186" t="str">
        <f>SupplyCurves_High!A183</f>
        <v>EN_Hydro_CAF_T2</v>
      </c>
      <c r="C186" t="s">
        <v>451</v>
      </c>
      <c r="D186" t="s">
        <v>76</v>
      </c>
      <c r="E186">
        <f>SupplyCurves_High!F183</f>
        <v>0.42</v>
      </c>
      <c r="F186">
        <f>SupplyCurves_High!H183</f>
        <v>269</v>
      </c>
      <c r="H186" t="s">
        <v>452</v>
      </c>
      <c r="I186" t="str">
        <f t="shared" si="2"/>
        <v>EN_Hydro_CAF_T2</v>
      </c>
      <c r="J186" t="str">
        <f>SupplyCurves_High!C183&amp;" -- "&amp;SupplyCurves_High!E183&amp;" -- "&amp;SupplyCurves_High!K183</f>
        <v>Central African Republic -- T2 -- $0.06-0.08/kWh</v>
      </c>
      <c r="K186" t="s">
        <v>11</v>
      </c>
      <c r="L186" t="s">
        <v>13</v>
      </c>
      <c r="M186" t="s">
        <v>75</v>
      </c>
      <c r="N186" t="s">
        <v>12</v>
      </c>
    </row>
    <row r="187" spans="2:14">
      <c r="B187" t="str">
        <f>SupplyCurves_High!A184</f>
        <v>EN_Hydro_CAF_T3</v>
      </c>
      <c r="C187" t="s">
        <v>451</v>
      </c>
      <c r="D187" t="s">
        <v>76</v>
      </c>
      <c r="E187">
        <f>SupplyCurves_High!F184</f>
        <v>0.36</v>
      </c>
      <c r="F187">
        <f>SupplyCurves_High!H184</f>
        <v>672</v>
      </c>
      <c r="H187" t="s">
        <v>452</v>
      </c>
      <c r="I187" t="str">
        <f t="shared" si="2"/>
        <v>EN_Hydro_CAF_T3</v>
      </c>
      <c r="J187" t="str">
        <f>SupplyCurves_High!C184&amp;" -- "&amp;SupplyCurves_High!E184&amp;" -- "&amp;SupplyCurves_High!K184</f>
        <v>Central African Republic -- T3 -- $0.08-0.10/kWh</v>
      </c>
      <c r="K187" t="s">
        <v>11</v>
      </c>
      <c r="L187" t="s">
        <v>13</v>
      </c>
      <c r="M187" t="s">
        <v>75</v>
      </c>
      <c r="N187" t="s">
        <v>12</v>
      </c>
    </row>
    <row r="188" spans="2:14">
      <c r="B188" t="str">
        <f>SupplyCurves_High!A185</f>
        <v>EN_Hydro_CAF_T4</v>
      </c>
      <c r="C188" t="s">
        <v>451</v>
      </c>
      <c r="D188" t="s">
        <v>76</v>
      </c>
      <c r="E188">
        <f>SupplyCurves_High!F185</f>
        <v>0.18</v>
      </c>
      <c r="F188">
        <f>SupplyCurves_High!H185</f>
        <v>1210</v>
      </c>
      <c r="H188" t="s">
        <v>452</v>
      </c>
      <c r="I188" t="str">
        <f t="shared" si="2"/>
        <v>EN_Hydro_CAF_T4</v>
      </c>
      <c r="J188" t="str">
        <f>SupplyCurves_High!C185&amp;" -- "&amp;SupplyCurves_High!E185&amp;" -- "&amp;SupplyCurves_High!K185</f>
        <v>Central African Republic -- T4 -- $0.10-0.14/kWh</v>
      </c>
      <c r="K188" t="s">
        <v>11</v>
      </c>
      <c r="L188" t="s">
        <v>13</v>
      </c>
      <c r="M188" t="s">
        <v>75</v>
      </c>
      <c r="N188" t="s">
        <v>12</v>
      </c>
    </row>
    <row r="189" spans="2:14">
      <c r="B189" t="str">
        <f>SupplyCurves_High!A186</f>
        <v>EN_Hydro_NIC_T1</v>
      </c>
      <c r="C189" t="s">
        <v>451</v>
      </c>
      <c r="D189" t="s">
        <v>76</v>
      </c>
      <c r="E189">
        <f>SupplyCurves_High!F186</f>
        <v>0.14000000000000001</v>
      </c>
      <c r="F189">
        <f>SupplyCurves_High!H186</f>
        <v>0</v>
      </c>
      <c r="H189" t="s">
        <v>452</v>
      </c>
      <c r="I189" t="str">
        <f t="shared" si="2"/>
        <v>EN_Hydro_NIC_T1</v>
      </c>
      <c r="J189" t="str">
        <f>SupplyCurves_High!C186&amp;" -- "&amp;SupplyCurves_High!E186&amp;" -- "&amp;SupplyCurves_High!K186</f>
        <v>Nicaragua -- T1 -- $0.04-0.06/kWh</v>
      </c>
      <c r="K189" t="s">
        <v>11</v>
      </c>
      <c r="L189" t="s">
        <v>13</v>
      </c>
      <c r="M189" t="s">
        <v>75</v>
      </c>
      <c r="N189" t="s">
        <v>12</v>
      </c>
    </row>
    <row r="190" spans="2:14">
      <c r="B190" t="str">
        <f>SupplyCurves_High!A187</f>
        <v>EN_Hydro_NIC_T2</v>
      </c>
      <c r="C190" t="s">
        <v>451</v>
      </c>
      <c r="D190" t="s">
        <v>76</v>
      </c>
      <c r="E190">
        <f>SupplyCurves_High!F187</f>
        <v>0.245</v>
      </c>
      <c r="F190">
        <f>SupplyCurves_High!H187</f>
        <v>307</v>
      </c>
      <c r="H190" t="s">
        <v>452</v>
      </c>
      <c r="I190" t="str">
        <f t="shared" si="2"/>
        <v>EN_Hydro_NIC_T2</v>
      </c>
      <c r="J190" t="str">
        <f>SupplyCurves_High!C187&amp;" -- "&amp;SupplyCurves_High!E187&amp;" -- "&amp;SupplyCurves_High!K187</f>
        <v>Nicaragua -- T2 -- $0.06-0.08/kWh</v>
      </c>
      <c r="K190" t="s">
        <v>11</v>
      </c>
      <c r="L190" t="s">
        <v>13</v>
      </c>
      <c r="M190" t="s">
        <v>75</v>
      </c>
      <c r="N190" t="s">
        <v>12</v>
      </c>
    </row>
    <row r="191" spans="2:14">
      <c r="B191" t="str">
        <f>SupplyCurves_High!A188</f>
        <v>EN_Hydro_NIC_T3</v>
      </c>
      <c r="C191" t="s">
        <v>451</v>
      </c>
      <c r="D191" t="s">
        <v>76</v>
      </c>
      <c r="E191">
        <f>SupplyCurves_High!F188</f>
        <v>0.21</v>
      </c>
      <c r="F191">
        <f>SupplyCurves_High!H188</f>
        <v>768</v>
      </c>
      <c r="H191" t="s">
        <v>452</v>
      </c>
      <c r="I191" t="str">
        <f t="shared" si="2"/>
        <v>EN_Hydro_NIC_T3</v>
      </c>
      <c r="J191" t="str">
        <f>SupplyCurves_High!C188&amp;" -- "&amp;SupplyCurves_High!E188&amp;" -- "&amp;SupplyCurves_High!K188</f>
        <v>Nicaragua -- T3 -- $0.08-0.10/kWh</v>
      </c>
      <c r="K191" t="s">
        <v>11</v>
      </c>
      <c r="L191" t="s">
        <v>13</v>
      </c>
      <c r="M191" t="s">
        <v>75</v>
      </c>
      <c r="N191" t="s">
        <v>12</v>
      </c>
    </row>
    <row r="192" spans="2:14">
      <c r="B192" t="str">
        <f>SupplyCurves_High!A189</f>
        <v>EN_Hydro_NIC_T4</v>
      </c>
      <c r="C192" t="s">
        <v>451</v>
      </c>
      <c r="D192" t="s">
        <v>76</v>
      </c>
      <c r="E192">
        <f>SupplyCurves_High!F189</f>
        <v>0.105</v>
      </c>
      <c r="F192">
        <f>SupplyCurves_High!H189</f>
        <v>1383</v>
      </c>
      <c r="H192" t="s">
        <v>452</v>
      </c>
      <c r="I192" t="str">
        <f t="shared" si="2"/>
        <v>EN_Hydro_NIC_T4</v>
      </c>
      <c r="J192" t="str">
        <f>SupplyCurves_High!C189&amp;" -- "&amp;SupplyCurves_High!E189&amp;" -- "&amp;SupplyCurves_High!K189</f>
        <v>Nicaragua -- T4 -- $0.10-0.14/kWh</v>
      </c>
      <c r="K192" t="s">
        <v>11</v>
      </c>
      <c r="L192" t="s">
        <v>13</v>
      </c>
      <c r="M192" t="s">
        <v>75</v>
      </c>
      <c r="N192" t="s">
        <v>12</v>
      </c>
    </row>
    <row r="193" spans="2:14">
      <c r="B193" t="str">
        <f>SupplyCurves_High!A190</f>
        <v>EN_Hydro_SLE_T1</v>
      </c>
      <c r="C193" t="s">
        <v>451</v>
      </c>
      <c r="D193" t="s">
        <v>76</v>
      </c>
      <c r="E193">
        <f>SupplyCurves_High!F190</f>
        <v>0.16</v>
      </c>
      <c r="F193">
        <f>SupplyCurves_High!H190</f>
        <v>0</v>
      </c>
      <c r="H193" t="s">
        <v>452</v>
      </c>
      <c r="I193" t="str">
        <f t="shared" si="2"/>
        <v>EN_Hydro_SLE_T1</v>
      </c>
      <c r="J193" t="str">
        <f>SupplyCurves_High!C190&amp;" -- "&amp;SupplyCurves_High!E190&amp;" -- "&amp;SupplyCurves_High!K190</f>
        <v>Sierra Leone -- T1 -- $0.04-0.06/kWh</v>
      </c>
      <c r="K193" t="s">
        <v>11</v>
      </c>
      <c r="L193" t="s">
        <v>13</v>
      </c>
      <c r="M193" t="s">
        <v>75</v>
      </c>
      <c r="N193" t="s">
        <v>12</v>
      </c>
    </row>
    <row r="194" spans="2:14">
      <c r="B194" t="str">
        <f>SupplyCurves_High!A191</f>
        <v>EN_Hydro_SLE_T2</v>
      </c>
      <c r="C194" t="s">
        <v>451</v>
      </c>
      <c r="D194" t="s">
        <v>76</v>
      </c>
      <c r="E194">
        <f>SupplyCurves_High!F191</f>
        <v>0.28000000000000003</v>
      </c>
      <c r="F194">
        <f>SupplyCurves_High!H191</f>
        <v>269</v>
      </c>
      <c r="H194" t="s">
        <v>452</v>
      </c>
      <c r="I194" t="str">
        <f t="shared" si="2"/>
        <v>EN_Hydro_SLE_T2</v>
      </c>
      <c r="J194" t="str">
        <f>SupplyCurves_High!C191&amp;" -- "&amp;SupplyCurves_High!E191&amp;" -- "&amp;SupplyCurves_High!K191</f>
        <v>Sierra Leone -- T2 -- $0.06-0.08/kWh</v>
      </c>
      <c r="K194" t="s">
        <v>11</v>
      </c>
      <c r="L194" t="s">
        <v>13</v>
      </c>
      <c r="M194" t="s">
        <v>75</v>
      </c>
      <c r="N194" t="s">
        <v>12</v>
      </c>
    </row>
    <row r="195" spans="2:14">
      <c r="B195" t="str">
        <f>SupplyCurves_High!A192</f>
        <v>EN_Hydro_SLE_T3</v>
      </c>
      <c r="C195" t="s">
        <v>451</v>
      </c>
      <c r="D195" t="s">
        <v>76</v>
      </c>
      <c r="E195">
        <f>SupplyCurves_High!F192</f>
        <v>0.24</v>
      </c>
      <c r="F195">
        <f>SupplyCurves_High!H192</f>
        <v>672</v>
      </c>
      <c r="H195" t="s">
        <v>452</v>
      </c>
      <c r="I195" t="str">
        <f t="shared" si="2"/>
        <v>EN_Hydro_SLE_T3</v>
      </c>
      <c r="J195" t="str">
        <f>SupplyCurves_High!C192&amp;" -- "&amp;SupplyCurves_High!E192&amp;" -- "&amp;SupplyCurves_High!K192</f>
        <v>Sierra Leone -- T3 -- $0.08-0.10/kWh</v>
      </c>
      <c r="K195" t="s">
        <v>11</v>
      </c>
      <c r="L195" t="s">
        <v>13</v>
      </c>
      <c r="M195" t="s">
        <v>75</v>
      </c>
      <c r="N195" t="s">
        <v>12</v>
      </c>
    </row>
    <row r="196" spans="2:14">
      <c r="B196" t="str">
        <f>SupplyCurves_High!A193</f>
        <v>EN_Hydro_SLE_T4</v>
      </c>
      <c r="C196" t="s">
        <v>451</v>
      </c>
      <c r="D196" t="s">
        <v>76</v>
      </c>
      <c r="E196">
        <f>SupplyCurves_High!F193</f>
        <v>0.12</v>
      </c>
      <c r="F196">
        <f>SupplyCurves_High!H193</f>
        <v>1210</v>
      </c>
      <c r="H196" t="s">
        <v>452</v>
      </c>
      <c r="I196" t="str">
        <f t="shared" si="2"/>
        <v>EN_Hydro_SLE_T4</v>
      </c>
      <c r="J196" t="str">
        <f>SupplyCurves_High!C193&amp;" -- "&amp;SupplyCurves_High!E193&amp;" -- "&amp;SupplyCurves_High!K193</f>
        <v>Sierra Leone -- T4 -- $0.10-0.14/kWh</v>
      </c>
      <c r="K196" t="s">
        <v>11</v>
      </c>
      <c r="L196" t="s">
        <v>13</v>
      </c>
      <c r="M196" t="s">
        <v>75</v>
      </c>
      <c r="N196" t="s">
        <v>12</v>
      </c>
    </row>
    <row r="197" spans="2:14">
      <c r="B197" t="str">
        <f>SupplyCurves_High!A194</f>
        <v>EN_Hydro_MWI_T1</v>
      </c>
      <c r="C197" t="s">
        <v>451</v>
      </c>
      <c r="D197" t="s">
        <v>76</v>
      </c>
      <c r="E197">
        <f>SupplyCurves_High!F194</f>
        <v>0.1</v>
      </c>
      <c r="F197">
        <f>SupplyCurves_High!H194</f>
        <v>0</v>
      </c>
      <c r="H197" t="s">
        <v>452</v>
      </c>
      <c r="I197" t="str">
        <f t="shared" si="2"/>
        <v>EN_Hydro_MWI_T1</v>
      </c>
      <c r="J197" t="str">
        <f>SupplyCurves_High!C194&amp;" -- "&amp;SupplyCurves_High!E194&amp;" -- "&amp;SupplyCurves_High!K194</f>
        <v>Malawi -- T1 -- $0.04-0.06/kWh</v>
      </c>
      <c r="K197" t="s">
        <v>11</v>
      </c>
      <c r="L197" t="s">
        <v>13</v>
      </c>
      <c r="M197" t="s">
        <v>75</v>
      </c>
      <c r="N197" t="s">
        <v>12</v>
      </c>
    </row>
    <row r="198" spans="2:14">
      <c r="B198" t="str">
        <f>SupplyCurves_High!A195</f>
        <v>EN_Hydro_MWI_T2</v>
      </c>
      <c r="C198" t="s">
        <v>451</v>
      </c>
      <c r="D198" t="s">
        <v>76</v>
      </c>
      <c r="E198">
        <f>SupplyCurves_High!F195</f>
        <v>0.17499999999999999</v>
      </c>
      <c r="F198">
        <f>SupplyCurves_High!H195</f>
        <v>269</v>
      </c>
      <c r="H198" t="s">
        <v>452</v>
      </c>
      <c r="I198" t="str">
        <f t="shared" ref="I198:I208" si="3">B198</f>
        <v>EN_Hydro_MWI_T2</v>
      </c>
      <c r="J198" t="str">
        <f>SupplyCurves_High!C195&amp;" -- "&amp;SupplyCurves_High!E195&amp;" -- "&amp;SupplyCurves_High!K195</f>
        <v>Malawi -- T2 -- $0.06-0.08/kWh</v>
      </c>
      <c r="K198" t="s">
        <v>11</v>
      </c>
      <c r="L198" t="s">
        <v>13</v>
      </c>
      <c r="M198" t="s">
        <v>75</v>
      </c>
      <c r="N198" t="s">
        <v>12</v>
      </c>
    </row>
    <row r="199" spans="2:14">
      <c r="B199" t="str">
        <f>SupplyCurves_High!A196</f>
        <v>EN_Hydro_MWI_T3</v>
      </c>
      <c r="C199" t="s">
        <v>451</v>
      </c>
      <c r="D199" t="s">
        <v>76</v>
      </c>
      <c r="E199">
        <f>SupplyCurves_High!F196</f>
        <v>0.15</v>
      </c>
      <c r="F199">
        <f>SupplyCurves_High!H196</f>
        <v>672</v>
      </c>
      <c r="H199" t="s">
        <v>452</v>
      </c>
      <c r="I199" t="str">
        <f t="shared" si="3"/>
        <v>EN_Hydro_MWI_T3</v>
      </c>
      <c r="J199" t="str">
        <f>SupplyCurves_High!C196&amp;" -- "&amp;SupplyCurves_High!E196&amp;" -- "&amp;SupplyCurves_High!K196</f>
        <v>Malawi -- T3 -- $0.08-0.10/kWh</v>
      </c>
      <c r="K199" t="s">
        <v>11</v>
      </c>
      <c r="L199" t="s">
        <v>13</v>
      </c>
      <c r="M199" t="s">
        <v>75</v>
      </c>
      <c r="N199" t="s">
        <v>12</v>
      </c>
    </row>
    <row r="200" spans="2:14">
      <c r="B200" t="str">
        <f>SupplyCurves_High!A197</f>
        <v>EN_Hydro_MWI_T4</v>
      </c>
      <c r="C200" t="s">
        <v>451</v>
      </c>
      <c r="D200" t="s">
        <v>76</v>
      </c>
      <c r="E200">
        <f>SupplyCurves_High!F197</f>
        <v>7.4999999999999997E-2</v>
      </c>
      <c r="F200">
        <f>SupplyCurves_High!H197</f>
        <v>1210</v>
      </c>
      <c r="H200" t="s">
        <v>452</v>
      </c>
      <c r="I200" t="str">
        <f t="shared" si="3"/>
        <v>EN_Hydro_MWI_T4</v>
      </c>
      <c r="J200" t="str">
        <f>SupplyCurves_High!C197&amp;" -- "&amp;SupplyCurves_High!E197&amp;" -- "&amp;SupplyCurves_High!K197</f>
        <v>Malawi -- T4 -- $0.10-0.14/kWh</v>
      </c>
      <c r="K200" t="s">
        <v>11</v>
      </c>
      <c r="L200" t="s">
        <v>13</v>
      </c>
      <c r="M200" t="s">
        <v>75</v>
      </c>
      <c r="N200" t="s">
        <v>12</v>
      </c>
    </row>
    <row r="201" spans="2:14">
      <c r="B201" t="str">
        <f>SupplyCurves_High!A198</f>
        <v>EN_Hydro_MNG_T1</v>
      </c>
      <c r="C201" t="s">
        <v>451</v>
      </c>
      <c r="D201" t="s">
        <v>76</v>
      </c>
      <c r="E201">
        <f>SupplyCurves_High!F198</f>
        <v>0.16</v>
      </c>
      <c r="F201">
        <f>SupplyCurves_High!H198</f>
        <v>0</v>
      </c>
      <c r="H201" t="s">
        <v>452</v>
      </c>
      <c r="I201" t="str">
        <f t="shared" si="3"/>
        <v>EN_Hydro_MNG_T1</v>
      </c>
      <c r="J201" t="str">
        <f>SupplyCurves_High!C198&amp;" -- "&amp;SupplyCurves_High!E198&amp;" -- "&amp;SupplyCurves_High!K198</f>
        <v>Mongolia -- T1 -- $0.04-0.06/kWh</v>
      </c>
      <c r="K201" t="s">
        <v>11</v>
      </c>
      <c r="L201" t="s">
        <v>13</v>
      </c>
      <c r="M201" t="s">
        <v>75</v>
      </c>
      <c r="N201" t="s">
        <v>12</v>
      </c>
    </row>
    <row r="202" spans="2:14">
      <c r="B202" t="str">
        <f>SupplyCurves_High!A199</f>
        <v>EN_Hydro_MNG_T2</v>
      </c>
      <c r="C202" t="s">
        <v>451</v>
      </c>
      <c r="D202" t="s">
        <v>76</v>
      </c>
      <c r="E202">
        <f>SupplyCurves_High!F199</f>
        <v>0.28000000000000003</v>
      </c>
      <c r="F202">
        <f>SupplyCurves_High!H199</f>
        <v>227</v>
      </c>
      <c r="H202" t="s">
        <v>452</v>
      </c>
      <c r="I202" t="str">
        <f t="shared" si="3"/>
        <v>EN_Hydro_MNG_T2</v>
      </c>
      <c r="J202" t="str">
        <f>SupplyCurves_High!C199&amp;" -- "&amp;SupplyCurves_High!E199&amp;" -- "&amp;SupplyCurves_High!K199</f>
        <v>Mongolia -- T2 -- $0.06-0.08/kWh</v>
      </c>
      <c r="K202" t="s">
        <v>11</v>
      </c>
      <c r="L202" t="s">
        <v>13</v>
      </c>
      <c r="M202" t="s">
        <v>75</v>
      </c>
      <c r="N202" t="s">
        <v>12</v>
      </c>
    </row>
    <row r="203" spans="2:14">
      <c r="B203" t="str">
        <f>SupplyCurves_High!A200</f>
        <v>EN_Hydro_MNG_T3</v>
      </c>
      <c r="C203" t="s">
        <v>451</v>
      </c>
      <c r="D203" t="s">
        <v>76</v>
      </c>
      <c r="E203">
        <f>SupplyCurves_High!F200</f>
        <v>0.24</v>
      </c>
      <c r="F203">
        <f>SupplyCurves_High!H200</f>
        <v>568</v>
      </c>
      <c r="H203" t="s">
        <v>452</v>
      </c>
      <c r="I203" t="str">
        <f t="shared" si="3"/>
        <v>EN_Hydro_MNG_T3</v>
      </c>
      <c r="J203" t="str">
        <f>SupplyCurves_High!C200&amp;" -- "&amp;SupplyCurves_High!E200&amp;" -- "&amp;SupplyCurves_High!K200</f>
        <v>Mongolia -- T3 -- $0.08-0.10/kWh</v>
      </c>
      <c r="K203" t="s">
        <v>11</v>
      </c>
      <c r="L203" t="s">
        <v>13</v>
      </c>
      <c r="M203" t="s">
        <v>75</v>
      </c>
      <c r="N203" t="s">
        <v>12</v>
      </c>
    </row>
    <row r="204" spans="2:14">
      <c r="B204" t="str">
        <f>SupplyCurves_High!A201</f>
        <v>EN_Hydro_MNG_T4</v>
      </c>
      <c r="C204" t="s">
        <v>451</v>
      </c>
      <c r="D204" t="s">
        <v>76</v>
      </c>
      <c r="E204">
        <f>SupplyCurves_High!F201</f>
        <v>0.12</v>
      </c>
      <c r="F204">
        <f>SupplyCurves_High!H201</f>
        <v>1023</v>
      </c>
      <c r="H204" t="s">
        <v>452</v>
      </c>
      <c r="I204" t="str">
        <f t="shared" si="3"/>
        <v>EN_Hydro_MNG_T4</v>
      </c>
      <c r="J204" t="str">
        <f>SupplyCurves_High!C201&amp;" -- "&amp;SupplyCurves_High!E201&amp;" -- "&amp;SupplyCurves_High!K201</f>
        <v>Mongolia -- T4 -- $0.10-0.14/kWh</v>
      </c>
      <c r="K204" t="s">
        <v>11</v>
      </c>
      <c r="L204" t="s">
        <v>13</v>
      </c>
      <c r="M204" t="s">
        <v>75</v>
      </c>
      <c r="N204" t="s">
        <v>12</v>
      </c>
    </row>
    <row r="205" spans="2:14">
      <c r="B205" t="str">
        <f>SupplyCurves_High!A202</f>
        <v>EN_Hydro_MLI_T1</v>
      </c>
      <c r="C205" t="s">
        <v>451</v>
      </c>
      <c r="D205" t="s">
        <v>76</v>
      </c>
      <c r="E205">
        <f>SupplyCurves_High!F202</f>
        <v>0.12</v>
      </c>
      <c r="F205">
        <f>SupplyCurves_High!H202</f>
        <v>0</v>
      </c>
      <c r="H205" t="s">
        <v>452</v>
      </c>
      <c r="I205" t="str">
        <f t="shared" si="3"/>
        <v>EN_Hydro_MLI_T1</v>
      </c>
      <c r="J205" t="str">
        <f>SupplyCurves_High!C202&amp;" -- "&amp;SupplyCurves_High!E202&amp;" -- "&amp;SupplyCurves_High!K202</f>
        <v>Mali -- T1 -- $0.04-0.06/kWh</v>
      </c>
      <c r="K205" t="s">
        <v>11</v>
      </c>
      <c r="L205" t="s">
        <v>13</v>
      </c>
      <c r="M205" t="s">
        <v>75</v>
      </c>
      <c r="N205" t="s">
        <v>12</v>
      </c>
    </row>
    <row r="206" spans="2:14">
      <c r="B206" t="str">
        <f>SupplyCurves_High!A203</f>
        <v>EN_Hydro_MLI_T2</v>
      </c>
      <c r="C206" t="s">
        <v>451</v>
      </c>
      <c r="D206" t="s">
        <v>76</v>
      </c>
      <c r="E206">
        <f>SupplyCurves_High!F203</f>
        <v>0.21</v>
      </c>
      <c r="F206">
        <f>SupplyCurves_High!H203</f>
        <v>269</v>
      </c>
      <c r="H206" t="s">
        <v>452</v>
      </c>
      <c r="I206" t="str">
        <f t="shared" si="3"/>
        <v>EN_Hydro_MLI_T2</v>
      </c>
      <c r="J206" t="str">
        <f>SupplyCurves_High!C203&amp;" -- "&amp;SupplyCurves_High!E203&amp;" -- "&amp;SupplyCurves_High!K203</f>
        <v>Mali -- T2 -- $0.06-0.08/kWh</v>
      </c>
      <c r="K206" t="s">
        <v>11</v>
      </c>
      <c r="L206" t="s">
        <v>13</v>
      </c>
      <c r="M206" t="s">
        <v>75</v>
      </c>
      <c r="N206" t="s">
        <v>12</v>
      </c>
    </row>
    <row r="207" spans="2:14">
      <c r="B207" t="str">
        <f>SupplyCurves_High!A204</f>
        <v>EN_Hydro_MLI_T3</v>
      </c>
      <c r="C207" t="s">
        <v>451</v>
      </c>
      <c r="D207" t="s">
        <v>76</v>
      </c>
      <c r="E207">
        <f>SupplyCurves_High!F204</f>
        <v>0.18</v>
      </c>
      <c r="F207">
        <f>SupplyCurves_High!H204</f>
        <v>672</v>
      </c>
      <c r="H207" t="s">
        <v>452</v>
      </c>
      <c r="I207" t="str">
        <f t="shared" si="3"/>
        <v>EN_Hydro_MLI_T3</v>
      </c>
      <c r="J207" t="str">
        <f>SupplyCurves_High!C204&amp;" -- "&amp;SupplyCurves_High!E204&amp;" -- "&amp;SupplyCurves_High!K204</f>
        <v>Mali -- T3 -- $0.08-0.10/kWh</v>
      </c>
      <c r="K207" t="s">
        <v>11</v>
      </c>
      <c r="L207" t="s">
        <v>13</v>
      </c>
      <c r="M207" t="s">
        <v>75</v>
      </c>
      <c r="N207" t="s">
        <v>12</v>
      </c>
    </row>
    <row r="208" spans="2:14">
      <c r="B208" t="str">
        <f>SupplyCurves_High!A205</f>
        <v>EN_Hydro_MLI_T4</v>
      </c>
      <c r="C208" t="s">
        <v>451</v>
      </c>
      <c r="D208" t="s">
        <v>76</v>
      </c>
      <c r="E208">
        <f>SupplyCurves_High!F205</f>
        <v>0.09</v>
      </c>
      <c r="F208">
        <f>SupplyCurves_High!H205</f>
        <v>1210</v>
      </c>
      <c r="H208" t="s">
        <v>452</v>
      </c>
      <c r="I208" t="str">
        <f t="shared" si="3"/>
        <v>EN_Hydro_MLI_T4</v>
      </c>
      <c r="J208" t="str">
        <f>SupplyCurves_High!C205&amp;" -- "&amp;SupplyCurves_High!E205&amp;" -- "&amp;SupplyCurves_High!K205</f>
        <v>Mali -- T4 -- $0.10-0.14/kWh</v>
      </c>
      <c r="K208" t="s">
        <v>11</v>
      </c>
      <c r="L208" t="s">
        <v>13</v>
      </c>
      <c r="M208" t="s">
        <v>75</v>
      </c>
      <c r="N208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D511-3115-4501-AE4E-D019BE649F6E}">
  <dimension ref="A1:K205"/>
  <sheetViews>
    <sheetView workbookViewId="0"/>
  </sheetViews>
  <sheetFormatPr defaultRowHeight="14.25"/>
  <cols>
    <col min="1" max="1" width="16.9296875" bestFit="1" customWidth="1"/>
    <col min="2" max="2" width="5.1328125" bestFit="1" customWidth="1"/>
    <col min="3" max="3" width="19.796875" bestFit="1" customWidth="1"/>
    <col min="4" max="4" width="6.33203125" bestFit="1" customWidth="1"/>
    <col min="5" max="5" width="7.19921875" bestFit="1" customWidth="1"/>
    <col min="6" max="6" width="11.9296875" bestFit="1" customWidth="1"/>
    <col min="7" max="7" width="12.3984375" bestFit="1" customWidth="1"/>
    <col min="8" max="8" width="26.796875" bestFit="1" customWidth="1"/>
    <col min="9" max="9" width="24.265625" bestFit="1" customWidth="1"/>
    <col min="10" max="10" width="13.6640625" bestFit="1" customWidth="1"/>
  </cols>
  <sheetData>
    <row r="1" spans="1:11">
      <c r="A1" s="1" t="s">
        <v>77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594</v>
      </c>
      <c r="K1" t="s">
        <v>187</v>
      </c>
    </row>
    <row r="2" spans="1:11">
      <c r="A2" t="s">
        <v>188</v>
      </c>
      <c r="B2" t="s">
        <v>22</v>
      </c>
      <c r="C2" t="s">
        <v>85</v>
      </c>
      <c r="D2" t="s">
        <v>189</v>
      </c>
      <c r="E2" t="s">
        <v>190</v>
      </c>
      <c r="F2">
        <v>4.25</v>
      </c>
      <c r="G2">
        <v>4250</v>
      </c>
      <c r="H2">
        <v>0</v>
      </c>
      <c r="I2">
        <v>2767</v>
      </c>
      <c r="J2">
        <v>3074</v>
      </c>
      <c r="K2" t="s">
        <v>595</v>
      </c>
    </row>
    <row r="3" spans="1:11">
      <c r="A3" t="s">
        <v>191</v>
      </c>
      <c r="B3" t="s">
        <v>22</v>
      </c>
      <c r="C3" t="s">
        <v>85</v>
      </c>
      <c r="D3" t="s">
        <v>189</v>
      </c>
      <c r="E3" t="s">
        <v>192</v>
      </c>
      <c r="F3">
        <v>6.8</v>
      </c>
      <c r="G3">
        <v>6800</v>
      </c>
      <c r="H3">
        <v>307</v>
      </c>
      <c r="I3">
        <v>3074</v>
      </c>
      <c r="J3">
        <v>3074</v>
      </c>
      <c r="K3" t="s">
        <v>596</v>
      </c>
    </row>
    <row r="4" spans="1:11">
      <c r="A4" t="s">
        <v>193</v>
      </c>
      <c r="B4" t="s">
        <v>22</v>
      </c>
      <c r="C4" t="s">
        <v>85</v>
      </c>
      <c r="D4" t="s">
        <v>189</v>
      </c>
      <c r="E4" t="s">
        <v>194</v>
      </c>
      <c r="F4">
        <v>4.25</v>
      </c>
      <c r="G4">
        <v>4250</v>
      </c>
      <c r="H4">
        <v>768</v>
      </c>
      <c r="I4">
        <v>3535</v>
      </c>
      <c r="J4">
        <v>3074</v>
      </c>
      <c r="K4" t="s">
        <v>597</v>
      </c>
    </row>
    <row r="5" spans="1:11">
      <c r="A5" t="s">
        <v>195</v>
      </c>
      <c r="B5" t="s">
        <v>22</v>
      </c>
      <c r="C5" t="s">
        <v>85</v>
      </c>
      <c r="D5" t="s">
        <v>189</v>
      </c>
      <c r="E5" t="s">
        <v>196</v>
      </c>
      <c r="F5">
        <v>1.7</v>
      </c>
      <c r="G5">
        <v>1700</v>
      </c>
      <c r="H5">
        <v>1383</v>
      </c>
      <c r="I5">
        <v>4150</v>
      </c>
      <c r="J5">
        <v>3074</v>
      </c>
      <c r="K5" t="s">
        <v>598</v>
      </c>
    </row>
    <row r="6" spans="1:11">
      <c r="A6" t="s">
        <v>197</v>
      </c>
      <c r="B6" t="s">
        <v>63</v>
      </c>
      <c r="C6" t="s">
        <v>123</v>
      </c>
      <c r="D6" t="s">
        <v>198</v>
      </c>
      <c r="E6" t="s">
        <v>190</v>
      </c>
      <c r="F6">
        <v>11.75</v>
      </c>
      <c r="G6">
        <v>11750</v>
      </c>
      <c r="H6">
        <v>0</v>
      </c>
      <c r="I6">
        <v>2574</v>
      </c>
      <c r="J6">
        <v>2860</v>
      </c>
      <c r="K6" t="s">
        <v>595</v>
      </c>
    </row>
    <row r="7" spans="1:11">
      <c r="A7" t="s">
        <v>199</v>
      </c>
      <c r="B7" t="s">
        <v>63</v>
      </c>
      <c r="C7" t="s">
        <v>123</v>
      </c>
      <c r="D7" t="s">
        <v>198</v>
      </c>
      <c r="E7" t="s">
        <v>192</v>
      </c>
      <c r="F7">
        <v>18.8</v>
      </c>
      <c r="G7">
        <v>18800</v>
      </c>
      <c r="H7">
        <v>286</v>
      </c>
      <c r="I7">
        <v>2860</v>
      </c>
      <c r="J7">
        <v>2860</v>
      </c>
      <c r="K7" t="s">
        <v>596</v>
      </c>
    </row>
    <row r="8" spans="1:11">
      <c r="A8" t="s">
        <v>200</v>
      </c>
      <c r="B8" t="s">
        <v>63</v>
      </c>
      <c r="C8" t="s">
        <v>123</v>
      </c>
      <c r="D8" t="s">
        <v>198</v>
      </c>
      <c r="E8" t="s">
        <v>194</v>
      </c>
      <c r="F8">
        <v>11.75</v>
      </c>
      <c r="G8">
        <v>11750</v>
      </c>
      <c r="H8">
        <v>715</v>
      </c>
      <c r="I8">
        <v>3289</v>
      </c>
      <c r="J8">
        <v>2860</v>
      </c>
      <c r="K8" t="s">
        <v>597</v>
      </c>
    </row>
    <row r="9" spans="1:11">
      <c r="A9" t="s">
        <v>201</v>
      </c>
      <c r="B9" t="s">
        <v>63</v>
      </c>
      <c r="C9" t="s">
        <v>123</v>
      </c>
      <c r="D9" t="s">
        <v>198</v>
      </c>
      <c r="E9" t="s">
        <v>196</v>
      </c>
      <c r="F9">
        <v>4.7</v>
      </c>
      <c r="G9">
        <v>4700</v>
      </c>
      <c r="H9">
        <v>1287</v>
      </c>
      <c r="I9">
        <v>3861</v>
      </c>
      <c r="J9">
        <v>2860</v>
      </c>
      <c r="K9" t="s">
        <v>598</v>
      </c>
    </row>
    <row r="10" spans="1:11">
      <c r="A10" t="s">
        <v>202</v>
      </c>
      <c r="B10" t="s">
        <v>40</v>
      </c>
      <c r="C10" t="s">
        <v>102</v>
      </c>
      <c r="D10" t="s">
        <v>203</v>
      </c>
      <c r="E10" t="s">
        <v>190</v>
      </c>
      <c r="F10">
        <v>0.5</v>
      </c>
      <c r="G10">
        <v>500</v>
      </c>
      <c r="H10">
        <v>0</v>
      </c>
      <c r="I10">
        <v>2327</v>
      </c>
      <c r="J10">
        <v>2585</v>
      </c>
      <c r="K10" t="s">
        <v>595</v>
      </c>
    </row>
    <row r="11" spans="1:11">
      <c r="A11" t="s">
        <v>204</v>
      </c>
      <c r="B11" t="s">
        <v>40</v>
      </c>
      <c r="C11" t="s">
        <v>102</v>
      </c>
      <c r="D11" t="s">
        <v>203</v>
      </c>
      <c r="E11" t="s">
        <v>192</v>
      </c>
      <c r="F11">
        <v>0.8</v>
      </c>
      <c r="G11">
        <v>800</v>
      </c>
      <c r="H11">
        <v>259</v>
      </c>
      <c r="I11">
        <v>2585</v>
      </c>
      <c r="J11">
        <v>2585</v>
      </c>
      <c r="K11" t="s">
        <v>596</v>
      </c>
    </row>
    <row r="12" spans="1:11">
      <c r="A12" t="s">
        <v>205</v>
      </c>
      <c r="B12" t="s">
        <v>40</v>
      </c>
      <c r="C12" t="s">
        <v>102</v>
      </c>
      <c r="D12" t="s">
        <v>203</v>
      </c>
      <c r="E12" t="s">
        <v>194</v>
      </c>
      <c r="F12">
        <v>0.5</v>
      </c>
      <c r="G12">
        <v>500</v>
      </c>
      <c r="H12">
        <v>646</v>
      </c>
      <c r="I12">
        <v>2973</v>
      </c>
      <c r="J12">
        <v>2585</v>
      </c>
      <c r="K12" t="s">
        <v>597</v>
      </c>
    </row>
    <row r="13" spans="1:11">
      <c r="A13" t="s">
        <v>206</v>
      </c>
      <c r="B13" t="s">
        <v>40</v>
      </c>
      <c r="C13" t="s">
        <v>102</v>
      </c>
      <c r="D13" t="s">
        <v>203</v>
      </c>
      <c r="E13" t="s">
        <v>196</v>
      </c>
      <c r="F13">
        <v>0.2</v>
      </c>
      <c r="G13">
        <v>200</v>
      </c>
      <c r="H13">
        <v>1163</v>
      </c>
      <c r="I13">
        <v>3490</v>
      </c>
      <c r="J13">
        <v>2585</v>
      </c>
      <c r="K13" t="s">
        <v>598</v>
      </c>
    </row>
    <row r="14" spans="1:11">
      <c r="A14" t="s">
        <v>207</v>
      </c>
      <c r="B14" t="s">
        <v>28</v>
      </c>
      <c r="C14" t="s">
        <v>208</v>
      </c>
      <c r="D14" t="s">
        <v>209</v>
      </c>
      <c r="E14" t="s">
        <v>190</v>
      </c>
      <c r="F14">
        <v>11.625</v>
      </c>
      <c r="G14">
        <v>11625</v>
      </c>
      <c r="H14">
        <v>0</v>
      </c>
      <c r="I14">
        <v>2420</v>
      </c>
      <c r="J14">
        <v>2689</v>
      </c>
      <c r="K14" t="s">
        <v>595</v>
      </c>
    </row>
    <row r="15" spans="1:11">
      <c r="A15" t="s">
        <v>210</v>
      </c>
      <c r="B15" t="s">
        <v>28</v>
      </c>
      <c r="C15" t="s">
        <v>208</v>
      </c>
      <c r="D15" t="s">
        <v>209</v>
      </c>
      <c r="E15" t="s">
        <v>192</v>
      </c>
      <c r="F15">
        <v>18.600000000000001</v>
      </c>
      <c r="G15">
        <v>18600</v>
      </c>
      <c r="H15">
        <v>269</v>
      </c>
      <c r="I15">
        <v>2689</v>
      </c>
      <c r="J15">
        <v>2689</v>
      </c>
      <c r="K15" t="s">
        <v>596</v>
      </c>
    </row>
    <row r="16" spans="1:11">
      <c r="A16" t="s">
        <v>211</v>
      </c>
      <c r="B16" t="s">
        <v>28</v>
      </c>
      <c r="C16" t="s">
        <v>208</v>
      </c>
      <c r="D16" t="s">
        <v>209</v>
      </c>
      <c r="E16" t="s">
        <v>194</v>
      </c>
      <c r="F16">
        <v>11.625</v>
      </c>
      <c r="G16">
        <v>11625</v>
      </c>
      <c r="H16">
        <v>672</v>
      </c>
      <c r="I16">
        <v>3092</v>
      </c>
      <c r="J16">
        <v>2689</v>
      </c>
      <c r="K16" t="s">
        <v>597</v>
      </c>
    </row>
    <row r="17" spans="1:11">
      <c r="A17" t="s">
        <v>212</v>
      </c>
      <c r="B17" t="s">
        <v>28</v>
      </c>
      <c r="C17" t="s">
        <v>208</v>
      </c>
      <c r="D17" t="s">
        <v>209</v>
      </c>
      <c r="E17" t="s">
        <v>196</v>
      </c>
      <c r="F17">
        <v>4.6500000000000004</v>
      </c>
      <c r="G17">
        <v>4650</v>
      </c>
      <c r="H17">
        <v>1210</v>
      </c>
      <c r="I17">
        <v>3630</v>
      </c>
      <c r="J17">
        <v>2689</v>
      </c>
      <c r="K17" t="s">
        <v>598</v>
      </c>
    </row>
    <row r="18" spans="1:11">
      <c r="A18" t="s">
        <v>213</v>
      </c>
      <c r="B18" t="s">
        <v>39</v>
      </c>
      <c r="C18" t="s">
        <v>101</v>
      </c>
      <c r="D18" t="s">
        <v>214</v>
      </c>
      <c r="E18" t="s">
        <v>190</v>
      </c>
      <c r="F18">
        <v>7.25</v>
      </c>
      <c r="G18">
        <v>7250</v>
      </c>
      <c r="H18">
        <v>0</v>
      </c>
      <c r="I18">
        <v>2578</v>
      </c>
      <c r="J18">
        <v>2864</v>
      </c>
      <c r="K18" t="s">
        <v>595</v>
      </c>
    </row>
    <row r="19" spans="1:11">
      <c r="A19" t="s">
        <v>215</v>
      </c>
      <c r="B19" t="s">
        <v>39</v>
      </c>
      <c r="C19" t="s">
        <v>101</v>
      </c>
      <c r="D19" t="s">
        <v>214</v>
      </c>
      <c r="E19" t="s">
        <v>192</v>
      </c>
      <c r="F19">
        <v>11.6</v>
      </c>
      <c r="G19">
        <v>11600</v>
      </c>
      <c r="H19">
        <v>286</v>
      </c>
      <c r="I19">
        <v>2864</v>
      </c>
      <c r="J19">
        <v>2864</v>
      </c>
      <c r="K19" t="s">
        <v>596</v>
      </c>
    </row>
    <row r="20" spans="1:11">
      <c r="A20" t="s">
        <v>216</v>
      </c>
      <c r="B20" t="s">
        <v>39</v>
      </c>
      <c r="C20" t="s">
        <v>101</v>
      </c>
      <c r="D20" t="s">
        <v>214</v>
      </c>
      <c r="E20" t="s">
        <v>194</v>
      </c>
      <c r="F20">
        <v>7.25</v>
      </c>
      <c r="G20">
        <v>7250</v>
      </c>
      <c r="H20">
        <v>716</v>
      </c>
      <c r="I20">
        <v>3294</v>
      </c>
      <c r="J20">
        <v>2864</v>
      </c>
      <c r="K20" t="s">
        <v>597</v>
      </c>
    </row>
    <row r="21" spans="1:11">
      <c r="A21" t="s">
        <v>217</v>
      </c>
      <c r="B21" t="s">
        <v>39</v>
      </c>
      <c r="C21" t="s">
        <v>101</v>
      </c>
      <c r="D21" t="s">
        <v>214</v>
      </c>
      <c r="E21" t="s">
        <v>196</v>
      </c>
      <c r="F21">
        <v>2.9</v>
      </c>
      <c r="G21">
        <v>2900</v>
      </c>
      <c r="H21">
        <v>1289</v>
      </c>
      <c r="I21">
        <v>3867</v>
      </c>
      <c r="J21">
        <v>2864</v>
      </c>
      <c r="K21" t="s">
        <v>598</v>
      </c>
    </row>
    <row r="22" spans="1:11">
      <c r="A22" t="s">
        <v>218</v>
      </c>
      <c r="B22" t="s">
        <v>60</v>
      </c>
      <c r="C22" t="s">
        <v>120</v>
      </c>
      <c r="D22" t="s">
        <v>189</v>
      </c>
      <c r="E22" t="s">
        <v>190</v>
      </c>
      <c r="F22">
        <v>6.625</v>
      </c>
      <c r="G22">
        <v>6625</v>
      </c>
      <c r="H22">
        <v>0</v>
      </c>
      <c r="I22">
        <v>2767</v>
      </c>
      <c r="J22">
        <v>3074</v>
      </c>
      <c r="K22" t="s">
        <v>595</v>
      </c>
    </row>
    <row r="23" spans="1:11">
      <c r="A23" t="s">
        <v>219</v>
      </c>
      <c r="B23" t="s">
        <v>60</v>
      </c>
      <c r="C23" t="s">
        <v>120</v>
      </c>
      <c r="D23" t="s">
        <v>189</v>
      </c>
      <c r="E23" t="s">
        <v>192</v>
      </c>
      <c r="F23">
        <v>10.6</v>
      </c>
      <c r="G23">
        <v>10600</v>
      </c>
      <c r="H23">
        <v>307</v>
      </c>
      <c r="I23">
        <v>3074</v>
      </c>
      <c r="J23">
        <v>3074</v>
      </c>
      <c r="K23" t="s">
        <v>596</v>
      </c>
    </row>
    <row r="24" spans="1:11">
      <c r="A24" t="s">
        <v>220</v>
      </c>
      <c r="B24" t="s">
        <v>60</v>
      </c>
      <c r="C24" t="s">
        <v>120</v>
      </c>
      <c r="D24" t="s">
        <v>189</v>
      </c>
      <c r="E24" t="s">
        <v>194</v>
      </c>
      <c r="F24">
        <v>6.625</v>
      </c>
      <c r="G24">
        <v>6625</v>
      </c>
      <c r="H24">
        <v>768</v>
      </c>
      <c r="I24">
        <v>3535</v>
      </c>
      <c r="J24">
        <v>3074</v>
      </c>
      <c r="K24" t="s">
        <v>597</v>
      </c>
    </row>
    <row r="25" spans="1:11">
      <c r="A25" t="s">
        <v>221</v>
      </c>
      <c r="B25" t="s">
        <v>60</v>
      </c>
      <c r="C25" t="s">
        <v>120</v>
      </c>
      <c r="D25" t="s">
        <v>189</v>
      </c>
      <c r="E25" t="s">
        <v>196</v>
      </c>
      <c r="F25">
        <v>2.65</v>
      </c>
      <c r="G25">
        <v>2650</v>
      </c>
      <c r="H25">
        <v>1383</v>
      </c>
      <c r="I25">
        <v>4150</v>
      </c>
      <c r="J25">
        <v>3074</v>
      </c>
      <c r="K25" t="s">
        <v>598</v>
      </c>
    </row>
    <row r="26" spans="1:11">
      <c r="A26" t="s">
        <v>222</v>
      </c>
      <c r="B26" t="s">
        <v>30</v>
      </c>
      <c r="C26" t="s">
        <v>92</v>
      </c>
      <c r="D26" t="s">
        <v>189</v>
      </c>
      <c r="E26" t="s">
        <v>190</v>
      </c>
      <c r="F26">
        <v>4.3</v>
      </c>
      <c r="G26">
        <v>4300</v>
      </c>
      <c r="H26">
        <v>0</v>
      </c>
      <c r="I26">
        <v>2767</v>
      </c>
      <c r="J26">
        <v>3074</v>
      </c>
      <c r="K26" t="s">
        <v>595</v>
      </c>
    </row>
    <row r="27" spans="1:11">
      <c r="A27" t="s">
        <v>223</v>
      </c>
      <c r="B27" t="s">
        <v>30</v>
      </c>
      <c r="C27" t="s">
        <v>92</v>
      </c>
      <c r="D27" t="s">
        <v>189</v>
      </c>
      <c r="E27" t="s">
        <v>192</v>
      </c>
      <c r="F27">
        <v>6.88</v>
      </c>
      <c r="G27">
        <v>6880</v>
      </c>
      <c r="H27">
        <v>307</v>
      </c>
      <c r="I27">
        <v>3074</v>
      </c>
      <c r="J27">
        <v>3074</v>
      </c>
      <c r="K27" t="s">
        <v>596</v>
      </c>
    </row>
    <row r="28" spans="1:11">
      <c r="A28" t="s">
        <v>224</v>
      </c>
      <c r="B28" t="s">
        <v>30</v>
      </c>
      <c r="C28" t="s">
        <v>92</v>
      </c>
      <c r="D28" t="s">
        <v>189</v>
      </c>
      <c r="E28" t="s">
        <v>194</v>
      </c>
      <c r="F28">
        <v>4.3</v>
      </c>
      <c r="G28">
        <v>4300</v>
      </c>
      <c r="H28">
        <v>768</v>
      </c>
      <c r="I28">
        <v>3535</v>
      </c>
      <c r="J28">
        <v>3074</v>
      </c>
      <c r="K28" t="s">
        <v>597</v>
      </c>
    </row>
    <row r="29" spans="1:11">
      <c r="A29" t="s">
        <v>225</v>
      </c>
      <c r="B29" t="s">
        <v>30</v>
      </c>
      <c r="C29" t="s">
        <v>92</v>
      </c>
      <c r="D29" t="s">
        <v>189</v>
      </c>
      <c r="E29" t="s">
        <v>196</v>
      </c>
      <c r="F29">
        <v>1.72</v>
      </c>
      <c r="G29">
        <v>1720</v>
      </c>
      <c r="H29">
        <v>1383</v>
      </c>
      <c r="I29">
        <v>4150</v>
      </c>
      <c r="J29">
        <v>3074</v>
      </c>
      <c r="K29" t="s">
        <v>598</v>
      </c>
    </row>
    <row r="30" spans="1:11">
      <c r="A30" t="s">
        <v>226</v>
      </c>
      <c r="B30" t="s">
        <v>72</v>
      </c>
      <c r="C30" t="s">
        <v>132</v>
      </c>
      <c r="D30" t="s">
        <v>189</v>
      </c>
      <c r="E30" t="s">
        <v>190</v>
      </c>
      <c r="F30">
        <v>2.5</v>
      </c>
      <c r="G30">
        <v>2500</v>
      </c>
      <c r="H30">
        <v>0</v>
      </c>
      <c r="I30">
        <v>2767</v>
      </c>
      <c r="J30">
        <v>3074</v>
      </c>
      <c r="K30" t="s">
        <v>595</v>
      </c>
    </row>
    <row r="31" spans="1:11">
      <c r="A31" t="s">
        <v>227</v>
      </c>
      <c r="B31" t="s">
        <v>72</v>
      </c>
      <c r="C31" t="s">
        <v>132</v>
      </c>
      <c r="D31" t="s">
        <v>189</v>
      </c>
      <c r="E31" t="s">
        <v>192</v>
      </c>
      <c r="F31">
        <v>4</v>
      </c>
      <c r="G31">
        <v>4000</v>
      </c>
      <c r="H31">
        <v>307</v>
      </c>
      <c r="I31">
        <v>3074</v>
      </c>
      <c r="J31">
        <v>3074</v>
      </c>
      <c r="K31" t="s">
        <v>596</v>
      </c>
    </row>
    <row r="32" spans="1:11">
      <c r="A32" t="s">
        <v>228</v>
      </c>
      <c r="B32" t="s">
        <v>72</v>
      </c>
      <c r="C32" t="s">
        <v>132</v>
      </c>
      <c r="D32" t="s">
        <v>189</v>
      </c>
      <c r="E32" t="s">
        <v>194</v>
      </c>
      <c r="F32">
        <v>2.5</v>
      </c>
      <c r="G32">
        <v>2500</v>
      </c>
      <c r="H32">
        <v>768</v>
      </c>
      <c r="I32">
        <v>3535</v>
      </c>
      <c r="J32">
        <v>3074</v>
      </c>
      <c r="K32" t="s">
        <v>597</v>
      </c>
    </row>
    <row r="33" spans="1:11">
      <c r="A33" t="s">
        <v>229</v>
      </c>
      <c r="B33" t="s">
        <v>72</v>
      </c>
      <c r="C33" t="s">
        <v>132</v>
      </c>
      <c r="D33" t="s">
        <v>189</v>
      </c>
      <c r="E33" t="s">
        <v>196</v>
      </c>
      <c r="F33">
        <v>1</v>
      </c>
      <c r="G33">
        <v>1000</v>
      </c>
      <c r="H33">
        <v>1383</v>
      </c>
      <c r="I33">
        <v>4150</v>
      </c>
      <c r="J33">
        <v>3074</v>
      </c>
      <c r="K33" t="s">
        <v>598</v>
      </c>
    </row>
    <row r="34" spans="1:11">
      <c r="A34" t="s">
        <v>230</v>
      </c>
      <c r="B34" t="s">
        <v>51</v>
      </c>
      <c r="C34" t="s">
        <v>112</v>
      </c>
      <c r="D34" t="s">
        <v>231</v>
      </c>
      <c r="E34" t="s">
        <v>190</v>
      </c>
      <c r="F34">
        <v>5.2</v>
      </c>
      <c r="G34">
        <v>5200</v>
      </c>
      <c r="H34">
        <v>0</v>
      </c>
      <c r="I34">
        <v>2046</v>
      </c>
      <c r="J34">
        <v>2273</v>
      </c>
      <c r="K34" t="s">
        <v>595</v>
      </c>
    </row>
    <row r="35" spans="1:11">
      <c r="A35" t="s">
        <v>232</v>
      </c>
      <c r="B35" t="s">
        <v>51</v>
      </c>
      <c r="C35" t="s">
        <v>112</v>
      </c>
      <c r="D35" t="s">
        <v>231</v>
      </c>
      <c r="E35" t="s">
        <v>192</v>
      </c>
      <c r="F35">
        <v>8.32</v>
      </c>
      <c r="G35">
        <v>8320</v>
      </c>
      <c r="H35">
        <v>227</v>
      </c>
      <c r="I35">
        <v>2273</v>
      </c>
      <c r="J35">
        <v>2273</v>
      </c>
      <c r="K35" t="s">
        <v>596</v>
      </c>
    </row>
    <row r="36" spans="1:11">
      <c r="A36" t="s">
        <v>233</v>
      </c>
      <c r="B36" t="s">
        <v>51</v>
      </c>
      <c r="C36" t="s">
        <v>112</v>
      </c>
      <c r="D36" t="s">
        <v>231</v>
      </c>
      <c r="E36" t="s">
        <v>194</v>
      </c>
      <c r="F36">
        <v>5.2</v>
      </c>
      <c r="G36">
        <v>5200</v>
      </c>
      <c r="H36">
        <v>568</v>
      </c>
      <c r="I36">
        <v>2614</v>
      </c>
      <c r="J36">
        <v>2273</v>
      </c>
      <c r="K36" t="s">
        <v>597</v>
      </c>
    </row>
    <row r="37" spans="1:11">
      <c r="A37" t="s">
        <v>234</v>
      </c>
      <c r="B37" t="s">
        <v>51</v>
      </c>
      <c r="C37" t="s">
        <v>112</v>
      </c>
      <c r="D37" t="s">
        <v>231</v>
      </c>
      <c r="E37" t="s">
        <v>196</v>
      </c>
      <c r="F37">
        <v>2.08</v>
      </c>
      <c r="G37">
        <v>2080</v>
      </c>
      <c r="H37">
        <v>1023</v>
      </c>
      <c r="I37">
        <v>3068</v>
      </c>
      <c r="J37">
        <v>2273</v>
      </c>
      <c r="K37" t="s">
        <v>598</v>
      </c>
    </row>
    <row r="38" spans="1:11">
      <c r="A38" t="s">
        <v>235</v>
      </c>
      <c r="B38" t="s">
        <v>58</v>
      </c>
      <c r="C38" t="s">
        <v>118</v>
      </c>
      <c r="D38" t="s">
        <v>203</v>
      </c>
      <c r="E38" t="s">
        <v>190</v>
      </c>
      <c r="F38">
        <v>4.875</v>
      </c>
      <c r="G38">
        <v>4875</v>
      </c>
      <c r="H38">
        <v>0</v>
      </c>
      <c r="I38">
        <v>2327</v>
      </c>
      <c r="J38">
        <v>2585</v>
      </c>
      <c r="K38" t="s">
        <v>595</v>
      </c>
    </row>
    <row r="39" spans="1:11">
      <c r="A39" t="s">
        <v>236</v>
      </c>
      <c r="B39" t="s">
        <v>58</v>
      </c>
      <c r="C39" t="s">
        <v>118</v>
      </c>
      <c r="D39" t="s">
        <v>203</v>
      </c>
      <c r="E39" t="s">
        <v>192</v>
      </c>
      <c r="F39">
        <v>7.8</v>
      </c>
      <c r="G39">
        <v>7800</v>
      </c>
      <c r="H39">
        <v>259</v>
      </c>
      <c r="I39">
        <v>2585</v>
      </c>
      <c r="J39">
        <v>2585</v>
      </c>
      <c r="K39" t="s">
        <v>596</v>
      </c>
    </row>
    <row r="40" spans="1:11">
      <c r="A40" t="s">
        <v>237</v>
      </c>
      <c r="B40" t="s">
        <v>58</v>
      </c>
      <c r="C40" t="s">
        <v>118</v>
      </c>
      <c r="D40" t="s">
        <v>203</v>
      </c>
      <c r="E40" t="s">
        <v>194</v>
      </c>
      <c r="F40">
        <v>4.875</v>
      </c>
      <c r="G40">
        <v>4875</v>
      </c>
      <c r="H40">
        <v>646</v>
      </c>
      <c r="I40">
        <v>2973</v>
      </c>
      <c r="J40">
        <v>2585</v>
      </c>
      <c r="K40" t="s">
        <v>597</v>
      </c>
    </row>
    <row r="41" spans="1:11">
      <c r="A41" t="s">
        <v>238</v>
      </c>
      <c r="B41" t="s">
        <v>58</v>
      </c>
      <c r="C41" t="s">
        <v>118</v>
      </c>
      <c r="D41" t="s">
        <v>203</v>
      </c>
      <c r="E41" t="s">
        <v>196</v>
      </c>
      <c r="F41">
        <v>1.95</v>
      </c>
      <c r="G41">
        <v>1950</v>
      </c>
      <c r="H41">
        <v>1163</v>
      </c>
      <c r="I41">
        <v>3490</v>
      </c>
      <c r="J41">
        <v>2585</v>
      </c>
      <c r="K41" t="s">
        <v>598</v>
      </c>
    </row>
    <row r="42" spans="1:11">
      <c r="A42" t="s">
        <v>239</v>
      </c>
      <c r="B42" t="s">
        <v>59</v>
      </c>
      <c r="C42" t="s">
        <v>119</v>
      </c>
      <c r="D42" t="s">
        <v>203</v>
      </c>
      <c r="E42" t="s">
        <v>190</v>
      </c>
      <c r="F42">
        <v>2.9</v>
      </c>
      <c r="G42">
        <v>2900</v>
      </c>
      <c r="H42">
        <v>0</v>
      </c>
      <c r="I42">
        <v>2327</v>
      </c>
      <c r="J42">
        <v>2585</v>
      </c>
      <c r="K42" t="s">
        <v>595</v>
      </c>
    </row>
    <row r="43" spans="1:11">
      <c r="A43" t="s">
        <v>240</v>
      </c>
      <c r="B43" t="s">
        <v>59</v>
      </c>
      <c r="C43" t="s">
        <v>119</v>
      </c>
      <c r="D43" t="s">
        <v>203</v>
      </c>
      <c r="E43" t="s">
        <v>192</v>
      </c>
      <c r="F43">
        <v>4.6399999999999997</v>
      </c>
      <c r="G43">
        <v>4640</v>
      </c>
      <c r="H43">
        <v>259</v>
      </c>
      <c r="I43">
        <v>2585</v>
      </c>
      <c r="J43">
        <v>2585</v>
      </c>
      <c r="K43" t="s">
        <v>596</v>
      </c>
    </row>
    <row r="44" spans="1:11">
      <c r="A44" t="s">
        <v>241</v>
      </c>
      <c r="B44" t="s">
        <v>59</v>
      </c>
      <c r="C44" t="s">
        <v>119</v>
      </c>
      <c r="D44" t="s">
        <v>203</v>
      </c>
      <c r="E44" t="s">
        <v>194</v>
      </c>
      <c r="F44">
        <v>2.9</v>
      </c>
      <c r="G44">
        <v>2900</v>
      </c>
      <c r="H44">
        <v>646</v>
      </c>
      <c r="I44">
        <v>2973</v>
      </c>
      <c r="J44">
        <v>2585</v>
      </c>
      <c r="K44" t="s">
        <v>597</v>
      </c>
    </row>
    <row r="45" spans="1:11">
      <c r="A45" t="s">
        <v>242</v>
      </c>
      <c r="B45" t="s">
        <v>59</v>
      </c>
      <c r="C45" t="s">
        <v>119</v>
      </c>
      <c r="D45" t="s">
        <v>203</v>
      </c>
      <c r="E45" t="s">
        <v>196</v>
      </c>
      <c r="F45">
        <v>1.1599999999999999</v>
      </c>
      <c r="G45">
        <v>1160</v>
      </c>
      <c r="H45">
        <v>1163</v>
      </c>
      <c r="I45">
        <v>3490</v>
      </c>
      <c r="J45">
        <v>2585</v>
      </c>
      <c r="K45" t="s">
        <v>598</v>
      </c>
    </row>
    <row r="46" spans="1:11">
      <c r="A46" t="s">
        <v>243</v>
      </c>
      <c r="B46" t="s">
        <v>17</v>
      </c>
      <c r="C46" t="s">
        <v>80</v>
      </c>
      <c r="D46" t="s">
        <v>189</v>
      </c>
      <c r="E46" t="s">
        <v>190</v>
      </c>
      <c r="F46">
        <v>2.2999999999999998</v>
      </c>
      <c r="G46">
        <v>2300</v>
      </c>
      <c r="H46">
        <v>0</v>
      </c>
      <c r="I46">
        <v>2767</v>
      </c>
      <c r="J46">
        <v>3074</v>
      </c>
      <c r="K46" t="s">
        <v>595</v>
      </c>
    </row>
    <row r="47" spans="1:11">
      <c r="A47" t="s">
        <v>244</v>
      </c>
      <c r="B47" t="s">
        <v>17</v>
      </c>
      <c r="C47" t="s">
        <v>80</v>
      </c>
      <c r="D47" t="s">
        <v>189</v>
      </c>
      <c r="E47" t="s">
        <v>192</v>
      </c>
      <c r="F47">
        <v>3.68</v>
      </c>
      <c r="G47">
        <v>3680</v>
      </c>
      <c r="H47">
        <v>307</v>
      </c>
      <c r="I47">
        <v>3074</v>
      </c>
      <c r="J47">
        <v>3074</v>
      </c>
      <c r="K47" t="s">
        <v>596</v>
      </c>
    </row>
    <row r="48" spans="1:11">
      <c r="A48" t="s">
        <v>245</v>
      </c>
      <c r="B48" t="s">
        <v>17</v>
      </c>
      <c r="C48" t="s">
        <v>80</v>
      </c>
      <c r="D48" t="s">
        <v>189</v>
      </c>
      <c r="E48" t="s">
        <v>194</v>
      </c>
      <c r="F48">
        <v>2.2999999999999998</v>
      </c>
      <c r="G48">
        <v>2300</v>
      </c>
      <c r="H48">
        <v>768</v>
      </c>
      <c r="I48">
        <v>3535</v>
      </c>
      <c r="J48">
        <v>3074</v>
      </c>
      <c r="K48" t="s">
        <v>597</v>
      </c>
    </row>
    <row r="49" spans="1:11">
      <c r="A49" t="s">
        <v>246</v>
      </c>
      <c r="B49" t="s">
        <v>17</v>
      </c>
      <c r="C49" t="s">
        <v>80</v>
      </c>
      <c r="D49" t="s">
        <v>189</v>
      </c>
      <c r="E49" t="s">
        <v>196</v>
      </c>
      <c r="F49">
        <v>0.92</v>
      </c>
      <c r="G49">
        <v>920</v>
      </c>
      <c r="H49">
        <v>1383</v>
      </c>
      <c r="I49">
        <v>4150</v>
      </c>
      <c r="J49">
        <v>3074</v>
      </c>
      <c r="K49" t="s">
        <v>598</v>
      </c>
    </row>
    <row r="50" spans="1:11">
      <c r="A50" t="s">
        <v>247</v>
      </c>
      <c r="B50" t="s">
        <v>49</v>
      </c>
      <c r="C50" t="s">
        <v>110</v>
      </c>
      <c r="D50" t="s">
        <v>189</v>
      </c>
      <c r="E50" t="s">
        <v>190</v>
      </c>
      <c r="F50">
        <v>1.25</v>
      </c>
      <c r="G50">
        <v>1250</v>
      </c>
      <c r="H50">
        <v>0</v>
      </c>
      <c r="I50">
        <v>2767</v>
      </c>
      <c r="J50">
        <v>3074</v>
      </c>
      <c r="K50" t="s">
        <v>595</v>
      </c>
    </row>
    <row r="51" spans="1:11">
      <c r="A51" t="s">
        <v>248</v>
      </c>
      <c r="B51" t="s">
        <v>49</v>
      </c>
      <c r="C51" t="s">
        <v>110</v>
      </c>
      <c r="D51" t="s">
        <v>189</v>
      </c>
      <c r="E51" t="s">
        <v>192</v>
      </c>
      <c r="F51">
        <v>2</v>
      </c>
      <c r="G51">
        <v>2000</v>
      </c>
      <c r="H51">
        <v>307</v>
      </c>
      <c r="I51">
        <v>3074</v>
      </c>
      <c r="J51">
        <v>3074</v>
      </c>
      <c r="K51" t="s">
        <v>596</v>
      </c>
    </row>
    <row r="52" spans="1:11">
      <c r="A52" t="s">
        <v>249</v>
      </c>
      <c r="B52" t="s">
        <v>49</v>
      </c>
      <c r="C52" t="s">
        <v>110</v>
      </c>
      <c r="D52" t="s">
        <v>189</v>
      </c>
      <c r="E52" t="s">
        <v>194</v>
      </c>
      <c r="F52">
        <v>1.25</v>
      </c>
      <c r="G52">
        <v>1250</v>
      </c>
      <c r="H52">
        <v>768</v>
      </c>
      <c r="I52">
        <v>3535</v>
      </c>
      <c r="J52">
        <v>3074</v>
      </c>
      <c r="K52" t="s">
        <v>597</v>
      </c>
    </row>
    <row r="53" spans="1:11">
      <c r="A53" t="s">
        <v>250</v>
      </c>
      <c r="B53" t="s">
        <v>49</v>
      </c>
      <c r="C53" t="s">
        <v>110</v>
      </c>
      <c r="D53" t="s">
        <v>189</v>
      </c>
      <c r="E53" t="s">
        <v>196</v>
      </c>
      <c r="F53">
        <v>0.5</v>
      </c>
      <c r="G53">
        <v>500</v>
      </c>
      <c r="H53">
        <v>1383</v>
      </c>
      <c r="I53">
        <v>4150</v>
      </c>
      <c r="J53">
        <v>3074</v>
      </c>
      <c r="K53" t="s">
        <v>598</v>
      </c>
    </row>
    <row r="54" spans="1:11">
      <c r="A54" t="s">
        <v>251</v>
      </c>
      <c r="B54" t="s">
        <v>32</v>
      </c>
      <c r="C54" t="s">
        <v>94</v>
      </c>
      <c r="D54" t="s">
        <v>209</v>
      </c>
      <c r="E54" t="s">
        <v>190</v>
      </c>
      <c r="F54">
        <v>1.9</v>
      </c>
      <c r="G54">
        <v>1900</v>
      </c>
      <c r="H54">
        <v>0</v>
      </c>
      <c r="I54">
        <v>2420</v>
      </c>
      <c r="J54">
        <v>2689</v>
      </c>
      <c r="K54" t="s">
        <v>595</v>
      </c>
    </row>
    <row r="55" spans="1:11">
      <c r="A55" t="s">
        <v>252</v>
      </c>
      <c r="B55" t="s">
        <v>32</v>
      </c>
      <c r="C55" t="s">
        <v>94</v>
      </c>
      <c r="D55" t="s">
        <v>209</v>
      </c>
      <c r="E55" t="s">
        <v>192</v>
      </c>
      <c r="F55">
        <v>3.04</v>
      </c>
      <c r="G55">
        <v>3040</v>
      </c>
      <c r="H55">
        <v>269</v>
      </c>
      <c r="I55">
        <v>2689</v>
      </c>
      <c r="J55">
        <v>2689</v>
      </c>
      <c r="K55" t="s">
        <v>596</v>
      </c>
    </row>
    <row r="56" spans="1:11">
      <c r="A56" t="s">
        <v>253</v>
      </c>
      <c r="B56" t="s">
        <v>32</v>
      </c>
      <c r="C56" t="s">
        <v>94</v>
      </c>
      <c r="D56" t="s">
        <v>209</v>
      </c>
      <c r="E56" t="s">
        <v>194</v>
      </c>
      <c r="F56">
        <v>1.9</v>
      </c>
      <c r="G56">
        <v>1900</v>
      </c>
      <c r="H56">
        <v>672</v>
      </c>
      <c r="I56">
        <v>3092</v>
      </c>
      <c r="J56">
        <v>2689</v>
      </c>
      <c r="K56" t="s">
        <v>597</v>
      </c>
    </row>
    <row r="57" spans="1:11">
      <c r="A57" t="s">
        <v>254</v>
      </c>
      <c r="B57" t="s">
        <v>32</v>
      </c>
      <c r="C57" t="s">
        <v>94</v>
      </c>
      <c r="D57" t="s">
        <v>209</v>
      </c>
      <c r="E57" t="s">
        <v>196</v>
      </c>
      <c r="F57">
        <v>0.76</v>
      </c>
      <c r="G57">
        <v>760</v>
      </c>
      <c r="H57">
        <v>1210</v>
      </c>
      <c r="I57">
        <v>3630</v>
      </c>
      <c r="J57">
        <v>2689</v>
      </c>
      <c r="K57" t="s">
        <v>598</v>
      </c>
    </row>
    <row r="58" spans="1:11">
      <c r="A58" t="s">
        <v>255</v>
      </c>
      <c r="B58" t="s">
        <v>21</v>
      </c>
      <c r="C58" t="s">
        <v>84</v>
      </c>
      <c r="D58" t="s">
        <v>189</v>
      </c>
      <c r="E58" t="s">
        <v>190</v>
      </c>
      <c r="F58">
        <v>2.6749999999999998</v>
      </c>
      <c r="G58">
        <v>2675</v>
      </c>
      <c r="H58">
        <v>0</v>
      </c>
      <c r="I58">
        <v>2767</v>
      </c>
      <c r="J58">
        <v>3074</v>
      </c>
      <c r="K58" t="s">
        <v>595</v>
      </c>
    </row>
    <row r="59" spans="1:11">
      <c r="A59" t="s">
        <v>256</v>
      </c>
      <c r="B59" t="s">
        <v>21</v>
      </c>
      <c r="C59" t="s">
        <v>84</v>
      </c>
      <c r="D59" t="s">
        <v>189</v>
      </c>
      <c r="E59" t="s">
        <v>192</v>
      </c>
      <c r="F59">
        <v>4.28</v>
      </c>
      <c r="G59">
        <v>4280</v>
      </c>
      <c r="H59">
        <v>307</v>
      </c>
      <c r="I59">
        <v>3074</v>
      </c>
      <c r="J59">
        <v>3074</v>
      </c>
      <c r="K59" t="s">
        <v>596</v>
      </c>
    </row>
    <row r="60" spans="1:11">
      <c r="A60" t="s">
        <v>257</v>
      </c>
      <c r="B60" t="s">
        <v>21</v>
      </c>
      <c r="C60" t="s">
        <v>84</v>
      </c>
      <c r="D60" t="s">
        <v>189</v>
      </c>
      <c r="E60" t="s">
        <v>194</v>
      </c>
      <c r="F60">
        <v>2.6749999999999998</v>
      </c>
      <c r="G60">
        <v>2675</v>
      </c>
      <c r="H60">
        <v>768</v>
      </c>
      <c r="I60">
        <v>3535</v>
      </c>
      <c r="J60">
        <v>3074</v>
      </c>
      <c r="K60" t="s">
        <v>597</v>
      </c>
    </row>
    <row r="61" spans="1:11">
      <c r="A61" t="s">
        <v>258</v>
      </c>
      <c r="B61" t="s">
        <v>21</v>
      </c>
      <c r="C61" t="s">
        <v>84</v>
      </c>
      <c r="D61" t="s">
        <v>189</v>
      </c>
      <c r="E61" t="s">
        <v>196</v>
      </c>
      <c r="F61">
        <v>1.07</v>
      </c>
      <c r="G61">
        <v>1070</v>
      </c>
      <c r="H61">
        <v>1383</v>
      </c>
      <c r="I61">
        <v>4150</v>
      </c>
      <c r="J61">
        <v>3074</v>
      </c>
      <c r="K61" t="s">
        <v>598</v>
      </c>
    </row>
    <row r="62" spans="1:11">
      <c r="A62" t="s">
        <v>259</v>
      </c>
      <c r="B62" t="s">
        <v>31</v>
      </c>
      <c r="C62" t="s">
        <v>93</v>
      </c>
      <c r="D62" t="s">
        <v>189</v>
      </c>
      <c r="E62" t="s">
        <v>190</v>
      </c>
      <c r="F62">
        <v>1.7</v>
      </c>
      <c r="G62">
        <v>1700</v>
      </c>
      <c r="H62">
        <v>0</v>
      </c>
      <c r="I62">
        <v>2767</v>
      </c>
      <c r="J62">
        <v>3074</v>
      </c>
      <c r="K62" t="s">
        <v>595</v>
      </c>
    </row>
    <row r="63" spans="1:11">
      <c r="A63" t="s">
        <v>260</v>
      </c>
      <c r="B63" t="s">
        <v>31</v>
      </c>
      <c r="C63" t="s">
        <v>93</v>
      </c>
      <c r="D63" t="s">
        <v>189</v>
      </c>
      <c r="E63" t="s">
        <v>192</v>
      </c>
      <c r="F63">
        <v>2.72</v>
      </c>
      <c r="G63">
        <v>2720</v>
      </c>
      <c r="H63">
        <v>307</v>
      </c>
      <c r="I63">
        <v>3074</v>
      </c>
      <c r="J63">
        <v>3074</v>
      </c>
      <c r="K63" t="s">
        <v>596</v>
      </c>
    </row>
    <row r="64" spans="1:11">
      <c r="A64" t="s">
        <v>261</v>
      </c>
      <c r="B64" t="s">
        <v>31</v>
      </c>
      <c r="C64" t="s">
        <v>93</v>
      </c>
      <c r="D64" t="s">
        <v>189</v>
      </c>
      <c r="E64" t="s">
        <v>194</v>
      </c>
      <c r="F64">
        <v>1.7</v>
      </c>
      <c r="G64">
        <v>1700</v>
      </c>
      <c r="H64">
        <v>768</v>
      </c>
      <c r="I64">
        <v>3535</v>
      </c>
      <c r="J64">
        <v>3074</v>
      </c>
      <c r="K64" t="s">
        <v>597</v>
      </c>
    </row>
    <row r="65" spans="1:11">
      <c r="A65" t="s">
        <v>262</v>
      </c>
      <c r="B65" t="s">
        <v>31</v>
      </c>
      <c r="C65" t="s">
        <v>93</v>
      </c>
      <c r="D65" t="s">
        <v>189</v>
      </c>
      <c r="E65" t="s">
        <v>196</v>
      </c>
      <c r="F65">
        <v>0.68</v>
      </c>
      <c r="G65">
        <v>680</v>
      </c>
      <c r="H65">
        <v>1383</v>
      </c>
      <c r="I65">
        <v>4150</v>
      </c>
      <c r="J65">
        <v>3074</v>
      </c>
      <c r="K65" t="s">
        <v>598</v>
      </c>
    </row>
    <row r="66" spans="1:11">
      <c r="A66" t="s">
        <v>263</v>
      </c>
      <c r="B66" t="s">
        <v>46</v>
      </c>
      <c r="C66" t="s">
        <v>107</v>
      </c>
      <c r="D66" t="s">
        <v>231</v>
      </c>
      <c r="E66" t="s">
        <v>190</v>
      </c>
      <c r="F66">
        <v>0.22500000000000001</v>
      </c>
      <c r="G66">
        <v>225</v>
      </c>
      <c r="H66">
        <v>0</v>
      </c>
      <c r="I66">
        <v>2046</v>
      </c>
      <c r="J66">
        <v>2273</v>
      </c>
      <c r="K66" t="s">
        <v>595</v>
      </c>
    </row>
    <row r="67" spans="1:11">
      <c r="A67" t="s">
        <v>264</v>
      </c>
      <c r="B67" t="s">
        <v>46</v>
      </c>
      <c r="C67" t="s">
        <v>107</v>
      </c>
      <c r="D67" t="s">
        <v>231</v>
      </c>
      <c r="E67" t="s">
        <v>192</v>
      </c>
      <c r="F67">
        <v>0.36</v>
      </c>
      <c r="G67">
        <v>360</v>
      </c>
      <c r="H67">
        <v>227</v>
      </c>
      <c r="I67">
        <v>2273</v>
      </c>
      <c r="J67">
        <v>2273</v>
      </c>
      <c r="K67" t="s">
        <v>596</v>
      </c>
    </row>
    <row r="68" spans="1:11">
      <c r="A68" t="s">
        <v>265</v>
      </c>
      <c r="B68" t="s">
        <v>46</v>
      </c>
      <c r="C68" t="s">
        <v>107</v>
      </c>
      <c r="D68" t="s">
        <v>231</v>
      </c>
      <c r="E68" t="s">
        <v>194</v>
      </c>
      <c r="F68">
        <v>0.22500000000000001</v>
      </c>
      <c r="G68">
        <v>225</v>
      </c>
      <c r="H68">
        <v>568</v>
      </c>
      <c r="I68">
        <v>2614</v>
      </c>
      <c r="J68">
        <v>2273</v>
      </c>
      <c r="K68" t="s">
        <v>597</v>
      </c>
    </row>
    <row r="69" spans="1:11">
      <c r="A69" t="s">
        <v>266</v>
      </c>
      <c r="B69" t="s">
        <v>46</v>
      </c>
      <c r="C69" t="s">
        <v>107</v>
      </c>
      <c r="D69" t="s">
        <v>231</v>
      </c>
      <c r="E69" t="s">
        <v>196</v>
      </c>
      <c r="F69">
        <v>0.09</v>
      </c>
      <c r="G69">
        <v>90</v>
      </c>
      <c r="H69">
        <v>1023</v>
      </c>
      <c r="I69">
        <v>3068</v>
      </c>
      <c r="J69">
        <v>2273</v>
      </c>
      <c r="K69" t="s">
        <v>598</v>
      </c>
    </row>
    <row r="70" spans="1:11">
      <c r="A70" t="s">
        <v>267</v>
      </c>
      <c r="B70" t="s">
        <v>56</v>
      </c>
      <c r="C70" t="s">
        <v>116</v>
      </c>
      <c r="D70" t="s">
        <v>209</v>
      </c>
      <c r="E70" t="s">
        <v>190</v>
      </c>
      <c r="F70">
        <v>1.5</v>
      </c>
      <c r="G70">
        <v>1500</v>
      </c>
      <c r="H70">
        <v>0</v>
      </c>
      <c r="I70">
        <v>2420</v>
      </c>
      <c r="J70">
        <v>2689</v>
      </c>
      <c r="K70" t="s">
        <v>595</v>
      </c>
    </row>
    <row r="71" spans="1:11">
      <c r="A71" t="s">
        <v>268</v>
      </c>
      <c r="B71" t="s">
        <v>56</v>
      </c>
      <c r="C71" t="s">
        <v>116</v>
      </c>
      <c r="D71" t="s">
        <v>209</v>
      </c>
      <c r="E71" t="s">
        <v>192</v>
      </c>
      <c r="F71">
        <v>2.4</v>
      </c>
      <c r="G71">
        <v>2400</v>
      </c>
      <c r="H71">
        <v>269</v>
      </c>
      <c r="I71">
        <v>2689</v>
      </c>
      <c r="J71">
        <v>2689</v>
      </c>
      <c r="K71" t="s">
        <v>596</v>
      </c>
    </row>
    <row r="72" spans="1:11">
      <c r="A72" t="s">
        <v>269</v>
      </c>
      <c r="B72" t="s">
        <v>56</v>
      </c>
      <c r="C72" t="s">
        <v>116</v>
      </c>
      <c r="D72" t="s">
        <v>209</v>
      </c>
      <c r="E72" t="s">
        <v>194</v>
      </c>
      <c r="F72">
        <v>1.5</v>
      </c>
      <c r="G72">
        <v>1500</v>
      </c>
      <c r="H72">
        <v>672</v>
      </c>
      <c r="I72">
        <v>3092</v>
      </c>
      <c r="J72">
        <v>2689</v>
      </c>
      <c r="K72" t="s">
        <v>597</v>
      </c>
    </row>
    <row r="73" spans="1:11">
      <c r="A73" t="s">
        <v>270</v>
      </c>
      <c r="B73" t="s">
        <v>56</v>
      </c>
      <c r="C73" t="s">
        <v>116</v>
      </c>
      <c r="D73" t="s">
        <v>209</v>
      </c>
      <c r="E73" t="s">
        <v>196</v>
      </c>
      <c r="F73">
        <v>0.6</v>
      </c>
      <c r="G73">
        <v>600</v>
      </c>
      <c r="H73">
        <v>1210</v>
      </c>
      <c r="I73">
        <v>3630</v>
      </c>
      <c r="J73">
        <v>2689</v>
      </c>
      <c r="K73" t="s">
        <v>598</v>
      </c>
    </row>
    <row r="74" spans="1:11">
      <c r="A74" t="s">
        <v>271</v>
      </c>
      <c r="B74" t="s">
        <v>61</v>
      </c>
      <c r="C74" t="s">
        <v>121</v>
      </c>
      <c r="D74" t="s">
        <v>214</v>
      </c>
      <c r="E74" t="s">
        <v>190</v>
      </c>
      <c r="F74">
        <v>1.0249999999999999</v>
      </c>
      <c r="G74">
        <v>1025</v>
      </c>
      <c r="H74">
        <v>0</v>
      </c>
      <c r="I74">
        <v>2578</v>
      </c>
      <c r="J74">
        <v>2864</v>
      </c>
      <c r="K74" t="s">
        <v>595</v>
      </c>
    </row>
    <row r="75" spans="1:11">
      <c r="A75" t="s">
        <v>272</v>
      </c>
      <c r="B75" t="s">
        <v>61</v>
      </c>
      <c r="C75" t="s">
        <v>121</v>
      </c>
      <c r="D75" t="s">
        <v>214</v>
      </c>
      <c r="E75" t="s">
        <v>192</v>
      </c>
      <c r="F75">
        <v>1.64</v>
      </c>
      <c r="G75">
        <v>1640</v>
      </c>
      <c r="H75">
        <v>286</v>
      </c>
      <c r="I75">
        <v>2864</v>
      </c>
      <c r="J75">
        <v>2864</v>
      </c>
      <c r="K75" t="s">
        <v>596</v>
      </c>
    </row>
    <row r="76" spans="1:11">
      <c r="A76" t="s">
        <v>273</v>
      </c>
      <c r="B76" t="s">
        <v>61</v>
      </c>
      <c r="C76" t="s">
        <v>121</v>
      </c>
      <c r="D76" t="s">
        <v>214</v>
      </c>
      <c r="E76" t="s">
        <v>194</v>
      </c>
      <c r="F76">
        <v>1.0249999999999999</v>
      </c>
      <c r="G76">
        <v>1025</v>
      </c>
      <c r="H76">
        <v>716</v>
      </c>
      <c r="I76">
        <v>3294</v>
      </c>
      <c r="J76">
        <v>2864</v>
      </c>
      <c r="K76" t="s">
        <v>597</v>
      </c>
    </row>
    <row r="77" spans="1:11">
      <c r="A77" t="s">
        <v>274</v>
      </c>
      <c r="B77" t="s">
        <v>61</v>
      </c>
      <c r="C77" t="s">
        <v>121</v>
      </c>
      <c r="D77" t="s">
        <v>214</v>
      </c>
      <c r="E77" t="s">
        <v>196</v>
      </c>
      <c r="F77">
        <v>0.41</v>
      </c>
      <c r="G77">
        <v>410</v>
      </c>
      <c r="H77">
        <v>1289</v>
      </c>
      <c r="I77">
        <v>3867</v>
      </c>
      <c r="J77">
        <v>2864</v>
      </c>
      <c r="K77" t="s">
        <v>598</v>
      </c>
    </row>
    <row r="78" spans="1:11">
      <c r="A78" t="s">
        <v>275</v>
      </c>
      <c r="B78" t="s">
        <v>27</v>
      </c>
      <c r="C78" t="s">
        <v>91</v>
      </c>
      <c r="D78" t="s">
        <v>209</v>
      </c>
      <c r="E78" t="s">
        <v>190</v>
      </c>
      <c r="F78">
        <v>1.65</v>
      </c>
      <c r="G78">
        <v>1650</v>
      </c>
      <c r="H78">
        <v>0</v>
      </c>
      <c r="I78">
        <v>2420</v>
      </c>
      <c r="J78">
        <v>2689</v>
      </c>
      <c r="K78" t="s">
        <v>595</v>
      </c>
    </row>
    <row r="79" spans="1:11">
      <c r="A79" t="s">
        <v>276</v>
      </c>
      <c r="B79" t="s">
        <v>27</v>
      </c>
      <c r="C79" t="s">
        <v>91</v>
      </c>
      <c r="D79" t="s">
        <v>209</v>
      </c>
      <c r="E79" t="s">
        <v>192</v>
      </c>
      <c r="F79">
        <v>2.64</v>
      </c>
      <c r="G79">
        <v>2640</v>
      </c>
      <c r="H79">
        <v>269</v>
      </c>
      <c r="I79">
        <v>2689</v>
      </c>
      <c r="J79">
        <v>2689</v>
      </c>
      <c r="K79" t="s">
        <v>596</v>
      </c>
    </row>
    <row r="80" spans="1:11">
      <c r="A80" t="s">
        <v>277</v>
      </c>
      <c r="B80" t="s">
        <v>27</v>
      </c>
      <c r="C80" t="s">
        <v>91</v>
      </c>
      <c r="D80" t="s">
        <v>209</v>
      </c>
      <c r="E80" t="s">
        <v>194</v>
      </c>
      <c r="F80">
        <v>1.65</v>
      </c>
      <c r="G80">
        <v>1650</v>
      </c>
      <c r="H80">
        <v>672</v>
      </c>
      <c r="I80">
        <v>3092</v>
      </c>
      <c r="J80">
        <v>2689</v>
      </c>
      <c r="K80" t="s">
        <v>597</v>
      </c>
    </row>
    <row r="81" spans="1:11">
      <c r="A81" t="s">
        <v>278</v>
      </c>
      <c r="B81" t="s">
        <v>27</v>
      </c>
      <c r="C81" t="s">
        <v>91</v>
      </c>
      <c r="D81" t="s">
        <v>209</v>
      </c>
      <c r="E81" t="s">
        <v>196</v>
      </c>
      <c r="F81">
        <v>0.66</v>
      </c>
      <c r="G81">
        <v>660</v>
      </c>
      <c r="H81">
        <v>1210</v>
      </c>
      <c r="I81">
        <v>3630</v>
      </c>
      <c r="J81">
        <v>2689</v>
      </c>
      <c r="K81" t="s">
        <v>598</v>
      </c>
    </row>
    <row r="82" spans="1:11">
      <c r="A82" t="s">
        <v>279</v>
      </c>
      <c r="B82" t="s">
        <v>16</v>
      </c>
      <c r="C82" t="s">
        <v>79</v>
      </c>
      <c r="D82" t="s">
        <v>209</v>
      </c>
      <c r="E82" t="s">
        <v>190</v>
      </c>
      <c r="F82">
        <v>1.05</v>
      </c>
      <c r="G82">
        <v>1050</v>
      </c>
      <c r="H82">
        <v>0</v>
      </c>
      <c r="I82">
        <v>2420</v>
      </c>
      <c r="J82">
        <v>2689</v>
      </c>
      <c r="K82" t="s">
        <v>595</v>
      </c>
    </row>
    <row r="83" spans="1:11">
      <c r="A83" t="s">
        <v>280</v>
      </c>
      <c r="B83" t="s">
        <v>16</v>
      </c>
      <c r="C83" t="s">
        <v>79</v>
      </c>
      <c r="D83" t="s">
        <v>209</v>
      </c>
      <c r="E83" t="s">
        <v>192</v>
      </c>
      <c r="F83">
        <v>1.68</v>
      </c>
      <c r="G83">
        <v>1680</v>
      </c>
      <c r="H83">
        <v>269</v>
      </c>
      <c r="I83">
        <v>2689</v>
      </c>
      <c r="J83">
        <v>2689</v>
      </c>
      <c r="K83" t="s">
        <v>596</v>
      </c>
    </row>
    <row r="84" spans="1:11">
      <c r="A84" t="s">
        <v>281</v>
      </c>
      <c r="B84" t="s">
        <v>16</v>
      </c>
      <c r="C84" t="s">
        <v>79</v>
      </c>
      <c r="D84" t="s">
        <v>209</v>
      </c>
      <c r="E84" t="s">
        <v>194</v>
      </c>
      <c r="F84">
        <v>1.05</v>
      </c>
      <c r="G84">
        <v>1050</v>
      </c>
      <c r="H84">
        <v>672</v>
      </c>
      <c r="I84">
        <v>3092</v>
      </c>
      <c r="J84">
        <v>2689</v>
      </c>
      <c r="K84" t="s">
        <v>597</v>
      </c>
    </row>
    <row r="85" spans="1:11">
      <c r="A85" t="s">
        <v>282</v>
      </c>
      <c r="B85" t="s">
        <v>16</v>
      </c>
      <c r="C85" t="s">
        <v>79</v>
      </c>
      <c r="D85" t="s">
        <v>209</v>
      </c>
      <c r="E85" t="s">
        <v>196</v>
      </c>
      <c r="F85">
        <v>0.42</v>
      </c>
      <c r="G85">
        <v>420</v>
      </c>
      <c r="H85">
        <v>1210</v>
      </c>
      <c r="I85">
        <v>3630</v>
      </c>
      <c r="J85">
        <v>2689</v>
      </c>
      <c r="K85" t="s">
        <v>598</v>
      </c>
    </row>
    <row r="86" spans="1:11">
      <c r="A86" t="s">
        <v>283</v>
      </c>
      <c r="B86" t="s">
        <v>70</v>
      </c>
      <c r="C86" t="s">
        <v>130</v>
      </c>
      <c r="D86" t="s">
        <v>209</v>
      </c>
      <c r="E86" t="s">
        <v>190</v>
      </c>
      <c r="F86">
        <v>1.45</v>
      </c>
      <c r="G86">
        <v>1450</v>
      </c>
      <c r="H86">
        <v>0</v>
      </c>
      <c r="I86">
        <v>2420</v>
      </c>
      <c r="J86">
        <v>2689</v>
      </c>
      <c r="K86" t="s">
        <v>595</v>
      </c>
    </row>
    <row r="87" spans="1:11">
      <c r="A87" t="s">
        <v>284</v>
      </c>
      <c r="B87" t="s">
        <v>70</v>
      </c>
      <c r="C87" t="s">
        <v>130</v>
      </c>
      <c r="D87" t="s">
        <v>209</v>
      </c>
      <c r="E87" t="s">
        <v>192</v>
      </c>
      <c r="F87">
        <v>2.3199999999999998</v>
      </c>
      <c r="G87">
        <v>2320</v>
      </c>
      <c r="H87">
        <v>269</v>
      </c>
      <c r="I87">
        <v>2689</v>
      </c>
      <c r="J87">
        <v>2689</v>
      </c>
      <c r="K87" t="s">
        <v>596</v>
      </c>
    </row>
    <row r="88" spans="1:11">
      <c r="A88" t="s">
        <v>285</v>
      </c>
      <c r="B88" t="s">
        <v>70</v>
      </c>
      <c r="C88" t="s">
        <v>130</v>
      </c>
      <c r="D88" t="s">
        <v>209</v>
      </c>
      <c r="E88" t="s">
        <v>194</v>
      </c>
      <c r="F88">
        <v>1.45</v>
      </c>
      <c r="G88">
        <v>1450</v>
      </c>
      <c r="H88">
        <v>672</v>
      </c>
      <c r="I88">
        <v>3092</v>
      </c>
      <c r="J88">
        <v>2689</v>
      </c>
      <c r="K88" t="s">
        <v>597</v>
      </c>
    </row>
    <row r="89" spans="1:11">
      <c r="A89" t="s">
        <v>286</v>
      </c>
      <c r="B89" t="s">
        <v>70</v>
      </c>
      <c r="C89" t="s">
        <v>130</v>
      </c>
      <c r="D89" t="s">
        <v>209</v>
      </c>
      <c r="E89" t="s">
        <v>196</v>
      </c>
      <c r="F89">
        <v>0.57999999999999996</v>
      </c>
      <c r="G89">
        <v>580</v>
      </c>
      <c r="H89">
        <v>1210</v>
      </c>
      <c r="I89">
        <v>3630</v>
      </c>
      <c r="J89">
        <v>2689</v>
      </c>
      <c r="K89" t="s">
        <v>598</v>
      </c>
    </row>
    <row r="90" spans="1:11">
      <c r="A90" t="s">
        <v>287</v>
      </c>
      <c r="B90" t="s">
        <v>53</v>
      </c>
      <c r="C90" t="s">
        <v>114</v>
      </c>
      <c r="D90" t="s">
        <v>209</v>
      </c>
      <c r="E90" t="s">
        <v>190</v>
      </c>
      <c r="F90">
        <v>1.075</v>
      </c>
      <c r="G90">
        <v>1075</v>
      </c>
      <c r="H90">
        <v>0</v>
      </c>
      <c r="I90">
        <v>2420</v>
      </c>
      <c r="J90">
        <v>2689</v>
      </c>
      <c r="K90" t="s">
        <v>595</v>
      </c>
    </row>
    <row r="91" spans="1:11">
      <c r="A91" t="s">
        <v>288</v>
      </c>
      <c r="B91" t="s">
        <v>53</v>
      </c>
      <c r="C91" t="s">
        <v>114</v>
      </c>
      <c r="D91" t="s">
        <v>209</v>
      </c>
      <c r="E91" t="s">
        <v>192</v>
      </c>
      <c r="F91">
        <v>1.72</v>
      </c>
      <c r="G91">
        <v>1720</v>
      </c>
      <c r="H91">
        <v>269</v>
      </c>
      <c r="I91">
        <v>2689</v>
      </c>
      <c r="J91">
        <v>2689</v>
      </c>
      <c r="K91" t="s">
        <v>596</v>
      </c>
    </row>
    <row r="92" spans="1:11">
      <c r="A92" t="s">
        <v>289</v>
      </c>
      <c r="B92" t="s">
        <v>53</v>
      </c>
      <c r="C92" t="s">
        <v>114</v>
      </c>
      <c r="D92" t="s">
        <v>209</v>
      </c>
      <c r="E92" t="s">
        <v>194</v>
      </c>
      <c r="F92">
        <v>1.075</v>
      </c>
      <c r="G92">
        <v>1075</v>
      </c>
      <c r="H92">
        <v>672</v>
      </c>
      <c r="I92">
        <v>3092</v>
      </c>
      <c r="J92">
        <v>2689</v>
      </c>
      <c r="K92" t="s">
        <v>597</v>
      </c>
    </row>
    <row r="93" spans="1:11">
      <c r="A93" t="s">
        <v>290</v>
      </c>
      <c r="B93" t="s">
        <v>53</v>
      </c>
      <c r="C93" t="s">
        <v>114</v>
      </c>
      <c r="D93" t="s">
        <v>209</v>
      </c>
      <c r="E93" t="s">
        <v>196</v>
      </c>
      <c r="F93">
        <v>0.43</v>
      </c>
      <c r="G93">
        <v>430</v>
      </c>
      <c r="H93">
        <v>1210</v>
      </c>
      <c r="I93">
        <v>3630</v>
      </c>
      <c r="J93">
        <v>2689</v>
      </c>
      <c r="K93" t="s">
        <v>598</v>
      </c>
    </row>
    <row r="94" spans="1:11">
      <c r="A94" t="s">
        <v>291</v>
      </c>
      <c r="B94" t="s">
        <v>73</v>
      </c>
      <c r="C94" t="s">
        <v>133</v>
      </c>
      <c r="D94" t="s">
        <v>209</v>
      </c>
      <c r="E94" t="s">
        <v>190</v>
      </c>
      <c r="F94">
        <v>0.7</v>
      </c>
      <c r="G94">
        <v>700</v>
      </c>
      <c r="H94">
        <v>0</v>
      </c>
      <c r="I94">
        <v>2420</v>
      </c>
      <c r="J94">
        <v>2689</v>
      </c>
      <c r="K94" t="s">
        <v>595</v>
      </c>
    </row>
    <row r="95" spans="1:11">
      <c r="A95" t="s">
        <v>292</v>
      </c>
      <c r="B95" t="s">
        <v>73</v>
      </c>
      <c r="C95" t="s">
        <v>133</v>
      </c>
      <c r="D95" t="s">
        <v>209</v>
      </c>
      <c r="E95" t="s">
        <v>192</v>
      </c>
      <c r="F95">
        <v>1.1200000000000001</v>
      </c>
      <c r="G95">
        <v>1120</v>
      </c>
      <c r="H95">
        <v>269</v>
      </c>
      <c r="I95">
        <v>2689</v>
      </c>
      <c r="J95">
        <v>2689</v>
      </c>
      <c r="K95" t="s">
        <v>596</v>
      </c>
    </row>
    <row r="96" spans="1:11">
      <c r="A96" t="s">
        <v>293</v>
      </c>
      <c r="B96" t="s">
        <v>73</v>
      </c>
      <c r="C96" t="s">
        <v>133</v>
      </c>
      <c r="D96" t="s">
        <v>209</v>
      </c>
      <c r="E96" t="s">
        <v>194</v>
      </c>
      <c r="F96">
        <v>0.7</v>
      </c>
      <c r="G96">
        <v>700</v>
      </c>
      <c r="H96">
        <v>672</v>
      </c>
      <c r="I96">
        <v>3092</v>
      </c>
      <c r="J96">
        <v>2689</v>
      </c>
      <c r="K96" t="s">
        <v>597</v>
      </c>
    </row>
    <row r="97" spans="1:11">
      <c r="A97" t="s">
        <v>294</v>
      </c>
      <c r="B97" t="s">
        <v>73</v>
      </c>
      <c r="C97" t="s">
        <v>133</v>
      </c>
      <c r="D97" t="s">
        <v>209</v>
      </c>
      <c r="E97" t="s">
        <v>196</v>
      </c>
      <c r="F97">
        <v>0.28000000000000003</v>
      </c>
      <c r="G97">
        <v>280</v>
      </c>
      <c r="H97">
        <v>1210</v>
      </c>
      <c r="I97">
        <v>3630</v>
      </c>
      <c r="J97">
        <v>2689</v>
      </c>
      <c r="K97" t="s">
        <v>598</v>
      </c>
    </row>
    <row r="98" spans="1:11">
      <c r="A98" t="s">
        <v>295</v>
      </c>
      <c r="B98" t="s">
        <v>86</v>
      </c>
      <c r="C98" t="s">
        <v>87</v>
      </c>
      <c r="D98" t="s">
        <v>203</v>
      </c>
      <c r="E98" t="s">
        <v>190</v>
      </c>
      <c r="F98">
        <v>0.85</v>
      </c>
      <c r="G98">
        <v>850</v>
      </c>
      <c r="H98">
        <v>0</v>
      </c>
      <c r="I98">
        <v>2327</v>
      </c>
      <c r="J98">
        <v>2585</v>
      </c>
      <c r="K98" t="s">
        <v>595</v>
      </c>
    </row>
    <row r="99" spans="1:11">
      <c r="A99" t="s">
        <v>296</v>
      </c>
      <c r="B99" t="s">
        <v>86</v>
      </c>
      <c r="C99" t="s">
        <v>87</v>
      </c>
      <c r="D99" t="s">
        <v>203</v>
      </c>
      <c r="E99" t="s">
        <v>192</v>
      </c>
      <c r="F99">
        <v>1.36</v>
      </c>
      <c r="G99">
        <v>1360</v>
      </c>
      <c r="H99">
        <v>259</v>
      </c>
      <c r="I99">
        <v>2585</v>
      </c>
      <c r="J99">
        <v>2585</v>
      </c>
      <c r="K99" t="s">
        <v>596</v>
      </c>
    </row>
    <row r="100" spans="1:11">
      <c r="A100" t="s">
        <v>297</v>
      </c>
      <c r="B100" t="s">
        <v>86</v>
      </c>
      <c r="C100" t="s">
        <v>87</v>
      </c>
      <c r="D100" t="s">
        <v>203</v>
      </c>
      <c r="E100" t="s">
        <v>194</v>
      </c>
      <c r="F100">
        <v>0.85</v>
      </c>
      <c r="G100">
        <v>850</v>
      </c>
      <c r="H100">
        <v>646</v>
      </c>
      <c r="I100">
        <v>2973</v>
      </c>
      <c r="J100">
        <v>2585</v>
      </c>
      <c r="K100" t="s">
        <v>597</v>
      </c>
    </row>
    <row r="101" spans="1:11">
      <c r="A101" t="s">
        <v>298</v>
      </c>
      <c r="B101" t="s">
        <v>86</v>
      </c>
      <c r="C101" t="s">
        <v>87</v>
      </c>
      <c r="D101" t="s">
        <v>203</v>
      </c>
      <c r="E101" t="s">
        <v>196</v>
      </c>
      <c r="F101">
        <v>0.34</v>
      </c>
      <c r="G101">
        <v>340</v>
      </c>
      <c r="H101">
        <v>1163</v>
      </c>
      <c r="I101">
        <v>3490</v>
      </c>
      <c r="J101">
        <v>2585</v>
      </c>
      <c r="K101" t="s">
        <v>598</v>
      </c>
    </row>
    <row r="102" spans="1:11">
      <c r="A102" t="s">
        <v>299</v>
      </c>
      <c r="B102" t="s">
        <v>71</v>
      </c>
      <c r="C102" t="s">
        <v>131</v>
      </c>
      <c r="D102" t="s">
        <v>209</v>
      </c>
      <c r="E102" t="s">
        <v>190</v>
      </c>
      <c r="F102">
        <v>1</v>
      </c>
      <c r="G102">
        <v>1000</v>
      </c>
      <c r="H102">
        <v>0</v>
      </c>
      <c r="I102">
        <v>2420</v>
      </c>
      <c r="J102">
        <v>2689</v>
      </c>
      <c r="K102" t="s">
        <v>595</v>
      </c>
    </row>
    <row r="103" spans="1:11">
      <c r="A103" t="s">
        <v>300</v>
      </c>
      <c r="B103" t="s">
        <v>71</v>
      </c>
      <c r="C103" t="s">
        <v>131</v>
      </c>
      <c r="D103" t="s">
        <v>209</v>
      </c>
      <c r="E103" t="s">
        <v>192</v>
      </c>
      <c r="F103">
        <v>1.6</v>
      </c>
      <c r="G103">
        <v>1600</v>
      </c>
      <c r="H103">
        <v>269</v>
      </c>
      <c r="I103">
        <v>2689</v>
      </c>
      <c r="J103">
        <v>2689</v>
      </c>
      <c r="K103" t="s">
        <v>596</v>
      </c>
    </row>
    <row r="104" spans="1:11">
      <c r="A104" t="s">
        <v>301</v>
      </c>
      <c r="B104" t="s">
        <v>71</v>
      </c>
      <c r="C104" t="s">
        <v>131</v>
      </c>
      <c r="D104" t="s">
        <v>209</v>
      </c>
      <c r="E104" t="s">
        <v>194</v>
      </c>
      <c r="F104">
        <v>1</v>
      </c>
      <c r="G104">
        <v>1000</v>
      </c>
      <c r="H104">
        <v>672</v>
      </c>
      <c r="I104">
        <v>3092</v>
      </c>
      <c r="J104">
        <v>2689</v>
      </c>
      <c r="K104" t="s">
        <v>597</v>
      </c>
    </row>
    <row r="105" spans="1:11">
      <c r="A105" t="s">
        <v>302</v>
      </c>
      <c r="B105" t="s">
        <v>71</v>
      </c>
      <c r="C105" t="s">
        <v>131</v>
      </c>
      <c r="D105" t="s">
        <v>209</v>
      </c>
      <c r="E105" t="s">
        <v>196</v>
      </c>
      <c r="F105">
        <v>0.4</v>
      </c>
      <c r="G105">
        <v>400</v>
      </c>
      <c r="H105">
        <v>1210</v>
      </c>
      <c r="I105">
        <v>3630</v>
      </c>
      <c r="J105">
        <v>2689</v>
      </c>
      <c r="K105" t="s">
        <v>598</v>
      </c>
    </row>
    <row r="106" spans="1:11">
      <c r="A106" t="s">
        <v>303</v>
      </c>
      <c r="B106" t="s">
        <v>62</v>
      </c>
      <c r="C106" t="s">
        <v>122</v>
      </c>
      <c r="D106" t="s">
        <v>214</v>
      </c>
      <c r="E106" t="s">
        <v>190</v>
      </c>
      <c r="F106">
        <v>1</v>
      </c>
      <c r="G106">
        <v>1000</v>
      </c>
      <c r="H106">
        <v>0</v>
      </c>
      <c r="I106">
        <v>2578</v>
      </c>
      <c r="J106">
        <v>2864</v>
      </c>
      <c r="K106" t="s">
        <v>595</v>
      </c>
    </row>
    <row r="107" spans="1:11">
      <c r="A107" t="s">
        <v>304</v>
      </c>
      <c r="B107" t="s">
        <v>62</v>
      </c>
      <c r="C107" t="s">
        <v>122</v>
      </c>
      <c r="D107" t="s">
        <v>214</v>
      </c>
      <c r="E107" t="s">
        <v>192</v>
      </c>
      <c r="F107">
        <v>1.6</v>
      </c>
      <c r="G107">
        <v>1600</v>
      </c>
      <c r="H107">
        <v>286</v>
      </c>
      <c r="I107">
        <v>2864</v>
      </c>
      <c r="J107">
        <v>2864</v>
      </c>
      <c r="K107" t="s">
        <v>596</v>
      </c>
    </row>
    <row r="108" spans="1:11">
      <c r="A108" t="s">
        <v>305</v>
      </c>
      <c r="B108" t="s">
        <v>62</v>
      </c>
      <c r="C108" t="s">
        <v>122</v>
      </c>
      <c r="D108" t="s">
        <v>214</v>
      </c>
      <c r="E108" t="s">
        <v>194</v>
      </c>
      <c r="F108">
        <v>1</v>
      </c>
      <c r="G108">
        <v>1000</v>
      </c>
      <c r="H108">
        <v>716</v>
      </c>
      <c r="I108">
        <v>3294</v>
      </c>
      <c r="J108">
        <v>2864</v>
      </c>
      <c r="K108" t="s">
        <v>597</v>
      </c>
    </row>
    <row r="109" spans="1:11">
      <c r="A109" t="s">
        <v>306</v>
      </c>
      <c r="B109" t="s">
        <v>62</v>
      </c>
      <c r="C109" t="s">
        <v>122</v>
      </c>
      <c r="D109" t="s">
        <v>214</v>
      </c>
      <c r="E109" t="s">
        <v>196</v>
      </c>
      <c r="F109">
        <v>0.4</v>
      </c>
      <c r="G109">
        <v>400</v>
      </c>
      <c r="H109">
        <v>1289</v>
      </c>
      <c r="I109">
        <v>3867</v>
      </c>
      <c r="J109">
        <v>2864</v>
      </c>
      <c r="K109" t="s">
        <v>598</v>
      </c>
    </row>
    <row r="110" spans="1:11">
      <c r="A110" t="s">
        <v>307</v>
      </c>
      <c r="B110" t="s">
        <v>74</v>
      </c>
      <c r="C110" t="s">
        <v>134</v>
      </c>
      <c r="D110" t="s">
        <v>209</v>
      </c>
      <c r="E110" t="s">
        <v>190</v>
      </c>
      <c r="F110">
        <v>0.5</v>
      </c>
      <c r="G110">
        <v>500</v>
      </c>
      <c r="H110">
        <v>0</v>
      </c>
      <c r="I110">
        <v>2420</v>
      </c>
      <c r="J110">
        <v>2689</v>
      </c>
      <c r="K110" t="s">
        <v>595</v>
      </c>
    </row>
    <row r="111" spans="1:11">
      <c r="A111" t="s">
        <v>308</v>
      </c>
      <c r="B111" t="s">
        <v>74</v>
      </c>
      <c r="C111" t="s">
        <v>134</v>
      </c>
      <c r="D111" t="s">
        <v>209</v>
      </c>
      <c r="E111" t="s">
        <v>192</v>
      </c>
      <c r="F111">
        <v>0.8</v>
      </c>
      <c r="G111">
        <v>800</v>
      </c>
      <c r="H111">
        <v>269</v>
      </c>
      <c r="I111">
        <v>2689</v>
      </c>
      <c r="J111">
        <v>2689</v>
      </c>
      <c r="K111" t="s">
        <v>596</v>
      </c>
    </row>
    <row r="112" spans="1:11">
      <c r="A112" t="s">
        <v>309</v>
      </c>
      <c r="B112" t="s">
        <v>74</v>
      </c>
      <c r="C112" t="s">
        <v>134</v>
      </c>
      <c r="D112" t="s">
        <v>209</v>
      </c>
      <c r="E112" t="s">
        <v>194</v>
      </c>
      <c r="F112">
        <v>0.5</v>
      </c>
      <c r="G112">
        <v>500</v>
      </c>
      <c r="H112">
        <v>672</v>
      </c>
      <c r="I112">
        <v>3092</v>
      </c>
      <c r="J112">
        <v>2689</v>
      </c>
      <c r="K112" t="s">
        <v>597</v>
      </c>
    </row>
    <row r="113" spans="1:11">
      <c r="A113" t="s">
        <v>310</v>
      </c>
      <c r="B113" t="s">
        <v>74</v>
      </c>
      <c r="C113" t="s">
        <v>134</v>
      </c>
      <c r="D113" t="s">
        <v>209</v>
      </c>
      <c r="E113" t="s">
        <v>196</v>
      </c>
      <c r="F113">
        <v>0.2</v>
      </c>
      <c r="G113">
        <v>200</v>
      </c>
      <c r="H113">
        <v>1210</v>
      </c>
      <c r="I113">
        <v>3630</v>
      </c>
      <c r="J113">
        <v>2689</v>
      </c>
      <c r="K113" t="s">
        <v>598</v>
      </c>
    </row>
    <row r="114" spans="1:11">
      <c r="A114" t="s">
        <v>311</v>
      </c>
      <c r="B114" t="s">
        <v>44</v>
      </c>
      <c r="C114" t="s">
        <v>312</v>
      </c>
      <c r="D114" t="s">
        <v>198</v>
      </c>
      <c r="E114" t="s">
        <v>190</v>
      </c>
      <c r="F114">
        <v>0.15</v>
      </c>
      <c r="G114">
        <v>150</v>
      </c>
      <c r="H114">
        <v>0</v>
      </c>
      <c r="I114">
        <v>2574</v>
      </c>
      <c r="J114">
        <v>2860</v>
      </c>
      <c r="K114" t="s">
        <v>595</v>
      </c>
    </row>
    <row r="115" spans="1:11">
      <c r="A115" t="s">
        <v>313</v>
      </c>
      <c r="B115" t="s">
        <v>44</v>
      </c>
      <c r="C115" t="s">
        <v>312</v>
      </c>
      <c r="D115" t="s">
        <v>198</v>
      </c>
      <c r="E115" t="s">
        <v>192</v>
      </c>
      <c r="F115">
        <v>0.24</v>
      </c>
      <c r="G115">
        <v>240</v>
      </c>
      <c r="H115">
        <v>286</v>
      </c>
      <c r="I115">
        <v>2860</v>
      </c>
      <c r="J115">
        <v>2860</v>
      </c>
      <c r="K115" t="s">
        <v>596</v>
      </c>
    </row>
    <row r="116" spans="1:11">
      <c r="A116" t="s">
        <v>314</v>
      </c>
      <c r="B116" t="s">
        <v>44</v>
      </c>
      <c r="C116" t="s">
        <v>312</v>
      </c>
      <c r="D116" t="s">
        <v>198</v>
      </c>
      <c r="E116" t="s">
        <v>194</v>
      </c>
      <c r="F116">
        <v>0.15</v>
      </c>
      <c r="G116">
        <v>150</v>
      </c>
      <c r="H116">
        <v>715</v>
      </c>
      <c r="I116">
        <v>3289</v>
      </c>
      <c r="J116">
        <v>2860</v>
      </c>
      <c r="K116" t="s">
        <v>597</v>
      </c>
    </row>
    <row r="117" spans="1:11">
      <c r="A117" t="s">
        <v>315</v>
      </c>
      <c r="B117" t="s">
        <v>44</v>
      </c>
      <c r="C117" t="s">
        <v>312</v>
      </c>
      <c r="D117" t="s">
        <v>198</v>
      </c>
      <c r="E117" t="s">
        <v>196</v>
      </c>
      <c r="F117">
        <v>0.06</v>
      </c>
      <c r="G117">
        <v>60</v>
      </c>
      <c r="H117">
        <v>1287</v>
      </c>
      <c r="I117">
        <v>3861</v>
      </c>
      <c r="J117">
        <v>2860</v>
      </c>
      <c r="K117" t="s">
        <v>598</v>
      </c>
    </row>
    <row r="118" spans="1:11">
      <c r="A118" t="s">
        <v>316</v>
      </c>
      <c r="B118" t="s">
        <v>43</v>
      </c>
      <c r="C118" t="s">
        <v>105</v>
      </c>
      <c r="D118" t="s">
        <v>209</v>
      </c>
      <c r="E118" t="s">
        <v>190</v>
      </c>
      <c r="F118">
        <v>0.65</v>
      </c>
      <c r="G118">
        <v>650</v>
      </c>
      <c r="H118">
        <v>0</v>
      </c>
      <c r="I118">
        <v>2420</v>
      </c>
      <c r="J118">
        <v>2689</v>
      </c>
      <c r="K118" t="s">
        <v>595</v>
      </c>
    </row>
    <row r="119" spans="1:11">
      <c r="A119" t="s">
        <v>317</v>
      </c>
      <c r="B119" t="s">
        <v>43</v>
      </c>
      <c r="C119" t="s">
        <v>105</v>
      </c>
      <c r="D119" t="s">
        <v>209</v>
      </c>
      <c r="E119" t="s">
        <v>192</v>
      </c>
      <c r="F119">
        <v>1.04</v>
      </c>
      <c r="G119">
        <v>1040</v>
      </c>
      <c r="H119">
        <v>269</v>
      </c>
      <c r="I119">
        <v>2689</v>
      </c>
      <c r="J119">
        <v>2689</v>
      </c>
      <c r="K119" t="s">
        <v>596</v>
      </c>
    </row>
    <row r="120" spans="1:11">
      <c r="A120" t="s">
        <v>318</v>
      </c>
      <c r="B120" t="s">
        <v>43</v>
      </c>
      <c r="C120" t="s">
        <v>105</v>
      </c>
      <c r="D120" t="s">
        <v>209</v>
      </c>
      <c r="E120" t="s">
        <v>194</v>
      </c>
      <c r="F120">
        <v>0.65</v>
      </c>
      <c r="G120">
        <v>650</v>
      </c>
      <c r="H120">
        <v>672</v>
      </c>
      <c r="I120">
        <v>3092</v>
      </c>
      <c r="J120">
        <v>2689</v>
      </c>
      <c r="K120" t="s">
        <v>597</v>
      </c>
    </row>
    <row r="121" spans="1:11">
      <c r="A121" t="s">
        <v>319</v>
      </c>
      <c r="B121" t="s">
        <v>43</v>
      </c>
      <c r="C121" t="s">
        <v>105</v>
      </c>
      <c r="D121" t="s">
        <v>209</v>
      </c>
      <c r="E121" t="s">
        <v>196</v>
      </c>
      <c r="F121">
        <v>0.26</v>
      </c>
      <c r="G121">
        <v>260</v>
      </c>
      <c r="H121">
        <v>1210</v>
      </c>
      <c r="I121">
        <v>3630</v>
      </c>
      <c r="J121">
        <v>2689</v>
      </c>
      <c r="K121" t="s">
        <v>598</v>
      </c>
    </row>
    <row r="122" spans="1:11">
      <c r="A122" t="s">
        <v>320</v>
      </c>
      <c r="B122" t="s">
        <v>36</v>
      </c>
      <c r="C122" t="s">
        <v>98</v>
      </c>
      <c r="D122" t="s">
        <v>189</v>
      </c>
      <c r="E122" t="s">
        <v>190</v>
      </c>
      <c r="F122">
        <v>0.42499999999999999</v>
      </c>
      <c r="G122">
        <v>425</v>
      </c>
      <c r="H122">
        <v>0</v>
      </c>
      <c r="I122">
        <v>2767</v>
      </c>
      <c r="J122">
        <v>3074</v>
      </c>
      <c r="K122" t="s">
        <v>595</v>
      </c>
    </row>
    <row r="123" spans="1:11">
      <c r="A123" t="s">
        <v>321</v>
      </c>
      <c r="B123" t="s">
        <v>36</v>
      </c>
      <c r="C123" t="s">
        <v>98</v>
      </c>
      <c r="D123" t="s">
        <v>189</v>
      </c>
      <c r="E123" t="s">
        <v>192</v>
      </c>
      <c r="F123">
        <v>0.68</v>
      </c>
      <c r="G123">
        <v>680</v>
      </c>
      <c r="H123">
        <v>307</v>
      </c>
      <c r="I123">
        <v>3074</v>
      </c>
      <c r="J123">
        <v>3074</v>
      </c>
      <c r="K123" t="s">
        <v>596</v>
      </c>
    </row>
    <row r="124" spans="1:11">
      <c r="A124" t="s">
        <v>322</v>
      </c>
      <c r="B124" t="s">
        <v>36</v>
      </c>
      <c r="C124" t="s">
        <v>98</v>
      </c>
      <c r="D124" t="s">
        <v>189</v>
      </c>
      <c r="E124" t="s">
        <v>194</v>
      </c>
      <c r="F124">
        <v>0.42499999999999999</v>
      </c>
      <c r="G124">
        <v>425</v>
      </c>
      <c r="H124">
        <v>768</v>
      </c>
      <c r="I124">
        <v>3535</v>
      </c>
      <c r="J124">
        <v>3074</v>
      </c>
      <c r="K124" t="s">
        <v>597</v>
      </c>
    </row>
    <row r="125" spans="1:11">
      <c r="A125" t="s">
        <v>323</v>
      </c>
      <c r="B125" t="s">
        <v>36</v>
      </c>
      <c r="C125" t="s">
        <v>98</v>
      </c>
      <c r="D125" t="s">
        <v>189</v>
      </c>
      <c r="E125" t="s">
        <v>196</v>
      </c>
      <c r="F125">
        <v>0.17</v>
      </c>
      <c r="G125">
        <v>170</v>
      </c>
      <c r="H125">
        <v>1383</v>
      </c>
      <c r="I125">
        <v>4150</v>
      </c>
      <c r="J125">
        <v>3074</v>
      </c>
      <c r="K125" t="s">
        <v>598</v>
      </c>
    </row>
    <row r="126" spans="1:11">
      <c r="A126" t="s">
        <v>324</v>
      </c>
      <c r="B126" t="s">
        <v>15</v>
      </c>
      <c r="C126" t="s">
        <v>78</v>
      </c>
      <c r="D126" t="s">
        <v>203</v>
      </c>
      <c r="E126" t="s">
        <v>190</v>
      </c>
      <c r="F126">
        <v>0.32500000000000001</v>
      </c>
      <c r="G126">
        <v>325</v>
      </c>
      <c r="H126">
        <v>0</v>
      </c>
      <c r="I126">
        <v>2327</v>
      </c>
      <c r="J126">
        <v>2585</v>
      </c>
      <c r="K126" t="s">
        <v>595</v>
      </c>
    </row>
    <row r="127" spans="1:11">
      <c r="A127" t="s">
        <v>325</v>
      </c>
      <c r="B127" t="s">
        <v>15</v>
      </c>
      <c r="C127" t="s">
        <v>78</v>
      </c>
      <c r="D127" t="s">
        <v>203</v>
      </c>
      <c r="E127" t="s">
        <v>192</v>
      </c>
      <c r="F127">
        <v>0.52</v>
      </c>
      <c r="G127">
        <v>520</v>
      </c>
      <c r="H127">
        <v>259</v>
      </c>
      <c r="I127">
        <v>2585</v>
      </c>
      <c r="J127">
        <v>2585</v>
      </c>
      <c r="K127" t="s">
        <v>596</v>
      </c>
    </row>
    <row r="128" spans="1:11">
      <c r="A128" t="s">
        <v>326</v>
      </c>
      <c r="B128" t="s">
        <v>15</v>
      </c>
      <c r="C128" t="s">
        <v>78</v>
      </c>
      <c r="D128" t="s">
        <v>203</v>
      </c>
      <c r="E128" t="s">
        <v>194</v>
      </c>
      <c r="F128">
        <v>0.32500000000000001</v>
      </c>
      <c r="G128">
        <v>325</v>
      </c>
      <c r="H128">
        <v>646</v>
      </c>
      <c r="I128">
        <v>2973</v>
      </c>
      <c r="J128">
        <v>2585</v>
      </c>
      <c r="K128" t="s">
        <v>597</v>
      </c>
    </row>
    <row r="129" spans="1:11">
      <c r="A129" t="s">
        <v>327</v>
      </c>
      <c r="B129" t="s">
        <v>15</v>
      </c>
      <c r="C129" t="s">
        <v>78</v>
      </c>
      <c r="D129" t="s">
        <v>203</v>
      </c>
      <c r="E129" t="s">
        <v>196</v>
      </c>
      <c r="F129">
        <v>0.13</v>
      </c>
      <c r="G129">
        <v>130</v>
      </c>
      <c r="H129">
        <v>1163</v>
      </c>
      <c r="I129">
        <v>3490</v>
      </c>
      <c r="J129">
        <v>2585</v>
      </c>
      <c r="K129" t="s">
        <v>598</v>
      </c>
    </row>
    <row r="130" spans="1:11">
      <c r="A130" t="s">
        <v>328</v>
      </c>
      <c r="B130" t="s">
        <v>29</v>
      </c>
      <c r="C130" t="s">
        <v>329</v>
      </c>
      <c r="D130" t="s">
        <v>209</v>
      </c>
      <c r="E130" t="s">
        <v>190</v>
      </c>
      <c r="F130">
        <v>0.375</v>
      </c>
      <c r="G130">
        <v>375</v>
      </c>
      <c r="H130">
        <v>0</v>
      </c>
      <c r="I130">
        <v>2420</v>
      </c>
      <c r="J130">
        <v>2689</v>
      </c>
      <c r="K130" t="s">
        <v>595</v>
      </c>
    </row>
    <row r="131" spans="1:11">
      <c r="A131" t="s">
        <v>330</v>
      </c>
      <c r="B131" t="s">
        <v>29</v>
      </c>
      <c r="C131" t="s">
        <v>329</v>
      </c>
      <c r="D131" t="s">
        <v>209</v>
      </c>
      <c r="E131" t="s">
        <v>192</v>
      </c>
      <c r="F131">
        <v>0.6</v>
      </c>
      <c r="G131">
        <v>600</v>
      </c>
      <c r="H131">
        <v>269</v>
      </c>
      <c r="I131">
        <v>2689</v>
      </c>
      <c r="J131">
        <v>2689</v>
      </c>
      <c r="K131" t="s">
        <v>596</v>
      </c>
    </row>
    <row r="132" spans="1:11">
      <c r="A132" t="s">
        <v>331</v>
      </c>
      <c r="B132" t="s">
        <v>29</v>
      </c>
      <c r="C132" t="s">
        <v>329</v>
      </c>
      <c r="D132" t="s">
        <v>209</v>
      </c>
      <c r="E132" t="s">
        <v>194</v>
      </c>
      <c r="F132">
        <v>0.375</v>
      </c>
      <c r="G132">
        <v>375</v>
      </c>
      <c r="H132">
        <v>672</v>
      </c>
      <c r="I132">
        <v>3092</v>
      </c>
      <c r="J132">
        <v>2689</v>
      </c>
      <c r="K132" t="s">
        <v>597</v>
      </c>
    </row>
    <row r="133" spans="1:11">
      <c r="A133" t="s">
        <v>332</v>
      </c>
      <c r="B133" t="s">
        <v>29</v>
      </c>
      <c r="C133" t="s">
        <v>329</v>
      </c>
      <c r="D133" t="s">
        <v>209</v>
      </c>
      <c r="E133" t="s">
        <v>196</v>
      </c>
      <c r="F133">
        <v>0.15</v>
      </c>
      <c r="G133">
        <v>150</v>
      </c>
      <c r="H133">
        <v>1210</v>
      </c>
      <c r="I133">
        <v>3630</v>
      </c>
      <c r="J133">
        <v>2689</v>
      </c>
      <c r="K133" t="s">
        <v>598</v>
      </c>
    </row>
    <row r="134" spans="1:11">
      <c r="A134" t="s">
        <v>333</v>
      </c>
      <c r="B134" t="s">
        <v>34</v>
      </c>
      <c r="C134" t="s">
        <v>96</v>
      </c>
      <c r="D134" t="s">
        <v>209</v>
      </c>
      <c r="E134" t="s">
        <v>190</v>
      </c>
      <c r="F134">
        <v>0.32500000000000001</v>
      </c>
      <c r="G134">
        <v>325</v>
      </c>
      <c r="H134">
        <v>0</v>
      </c>
      <c r="I134">
        <v>2420</v>
      </c>
      <c r="J134">
        <v>2689</v>
      </c>
      <c r="K134" t="s">
        <v>595</v>
      </c>
    </row>
    <row r="135" spans="1:11">
      <c r="A135" t="s">
        <v>334</v>
      </c>
      <c r="B135" t="s">
        <v>34</v>
      </c>
      <c r="C135" t="s">
        <v>96</v>
      </c>
      <c r="D135" t="s">
        <v>209</v>
      </c>
      <c r="E135" t="s">
        <v>192</v>
      </c>
      <c r="F135">
        <v>0.52</v>
      </c>
      <c r="G135">
        <v>520</v>
      </c>
      <c r="H135">
        <v>269</v>
      </c>
      <c r="I135">
        <v>2689</v>
      </c>
      <c r="J135">
        <v>2689</v>
      </c>
      <c r="K135" t="s">
        <v>596</v>
      </c>
    </row>
    <row r="136" spans="1:11">
      <c r="A136" t="s">
        <v>335</v>
      </c>
      <c r="B136" t="s">
        <v>34</v>
      </c>
      <c r="C136" t="s">
        <v>96</v>
      </c>
      <c r="D136" t="s">
        <v>209</v>
      </c>
      <c r="E136" t="s">
        <v>194</v>
      </c>
      <c r="F136">
        <v>0.32500000000000001</v>
      </c>
      <c r="G136">
        <v>325</v>
      </c>
      <c r="H136">
        <v>672</v>
      </c>
      <c r="I136">
        <v>3092</v>
      </c>
      <c r="J136">
        <v>2689</v>
      </c>
      <c r="K136" t="s">
        <v>597</v>
      </c>
    </row>
    <row r="137" spans="1:11">
      <c r="A137" t="s">
        <v>336</v>
      </c>
      <c r="B137" t="s">
        <v>34</v>
      </c>
      <c r="C137" t="s">
        <v>96</v>
      </c>
      <c r="D137" t="s">
        <v>209</v>
      </c>
      <c r="E137" t="s">
        <v>196</v>
      </c>
      <c r="F137">
        <v>0.13</v>
      </c>
      <c r="G137">
        <v>130</v>
      </c>
      <c r="H137">
        <v>1210</v>
      </c>
      <c r="I137">
        <v>3630</v>
      </c>
      <c r="J137">
        <v>2689</v>
      </c>
      <c r="K137" t="s">
        <v>598</v>
      </c>
    </row>
    <row r="138" spans="1:11">
      <c r="A138" t="s">
        <v>337</v>
      </c>
      <c r="B138" t="s">
        <v>33</v>
      </c>
      <c r="C138" t="s">
        <v>95</v>
      </c>
      <c r="D138" t="s">
        <v>209</v>
      </c>
      <c r="E138" t="s">
        <v>190</v>
      </c>
      <c r="F138">
        <v>0.27500000000000002</v>
      </c>
      <c r="G138">
        <v>275</v>
      </c>
      <c r="H138">
        <v>0</v>
      </c>
      <c r="I138">
        <v>2420</v>
      </c>
      <c r="J138">
        <v>2689</v>
      </c>
      <c r="K138" t="s">
        <v>595</v>
      </c>
    </row>
    <row r="139" spans="1:11">
      <c r="A139" t="s">
        <v>338</v>
      </c>
      <c r="B139" t="s">
        <v>33</v>
      </c>
      <c r="C139" t="s">
        <v>95</v>
      </c>
      <c r="D139" t="s">
        <v>209</v>
      </c>
      <c r="E139" t="s">
        <v>192</v>
      </c>
      <c r="F139">
        <v>0.44</v>
      </c>
      <c r="G139">
        <v>440</v>
      </c>
      <c r="H139">
        <v>269</v>
      </c>
      <c r="I139">
        <v>2689</v>
      </c>
      <c r="J139">
        <v>2689</v>
      </c>
      <c r="K139" t="s">
        <v>596</v>
      </c>
    </row>
    <row r="140" spans="1:11">
      <c r="A140" t="s">
        <v>339</v>
      </c>
      <c r="B140" t="s">
        <v>33</v>
      </c>
      <c r="C140" t="s">
        <v>95</v>
      </c>
      <c r="D140" t="s">
        <v>209</v>
      </c>
      <c r="E140" t="s">
        <v>194</v>
      </c>
      <c r="F140">
        <v>0.27500000000000002</v>
      </c>
      <c r="G140">
        <v>275</v>
      </c>
      <c r="H140">
        <v>672</v>
      </c>
      <c r="I140">
        <v>3092</v>
      </c>
      <c r="J140">
        <v>2689</v>
      </c>
      <c r="K140" t="s">
        <v>597</v>
      </c>
    </row>
    <row r="141" spans="1:11">
      <c r="A141" t="s">
        <v>340</v>
      </c>
      <c r="B141" t="s">
        <v>33</v>
      </c>
      <c r="C141" t="s">
        <v>95</v>
      </c>
      <c r="D141" t="s">
        <v>209</v>
      </c>
      <c r="E141" t="s">
        <v>196</v>
      </c>
      <c r="F141">
        <v>0.11</v>
      </c>
      <c r="G141">
        <v>110</v>
      </c>
      <c r="H141">
        <v>1210</v>
      </c>
      <c r="I141">
        <v>3630</v>
      </c>
      <c r="J141">
        <v>2689</v>
      </c>
      <c r="K141" t="s">
        <v>598</v>
      </c>
    </row>
    <row r="142" spans="1:11">
      <c r="A142" t="s">
        <v>341</v>
      </c>
      <c r="B142" t="s">
        <v>35</v>
      </c>
      <c r="C142" t="s">
        <v>97</v>
      </c>
      <c r="D142" t="s">
        <v>189</v>
      </c>
      <c r="E142" t="s">
        <v>190</v>
      </c>
      <c r="F142">
        <v>7.4999999999999997E-2</v>
      </c>
      <c r="G142">
        <v>75</v>
      </c>
      <c r="H142">
        <v>0</v>
      </c>
      <c r="I142">
        <v>2767</v>
      </c>
      <c r="J142">
        <v>3074</v>
      </c>
      <c r="K142" t="s">
        <v>595</v>
      </c>
    </row>
    <row r="143" spans="1:11">
      <c r="A143" t="s">
        <v>342</v>
      </c>
      <c r="B143" t="s">
        <v>35</v>
      </c>
      <c r="C143" t="s">
        <v>97</v>
      </c>
      <c r="D143" t="s">
        <v>189</v>
      </c>
      <c r="E143" t="s">
        <v>192</v>
      </c>
      <c r="F143">
        <v>0.12</v>
      </c>
      <c r="G143">
        <v>120</v>
      </c>
      <c r="H143">
        <v>307</v>
      </c>
      <c r="I143">
        <v>3074</v>
      </c>
      <c r="J143">
        <v>3074</v>
      </c>
      <c r="K143" t="s">
        <v>596</v>
      </c>
    </row>
    <row r="144" spans="1:11">
      <c r="A144" t="s">
        <v>343</v>
      </c>
      <c r="B144" t="s">
        <v>35</v>
      </c>
      <c r="C144" t="s">
        <v>97</v>
      </c>
      <c r="D144" t="s">
        <v>189</v>
      </c>
      <c r="E144" t="s">
        <v>194</v>
      </c>
      <c r="F144">
        <v>7.4999999999999997E-2</v>
      </c>
      <c r="G144">
        <v>75</v>
      </c>
      <c r="H144">
        <v>768</v>
      </c>
      <c r="I144">
        <v>3535</v>
      </c>
      <c r="J144">
        <v>3074</v>
      </c>
      <c r="K144" t="s">
        <v>597</v>
      </c>
    </row>
    <row r="145" spans="1:11">
      <c r="A145" t="s">
        <v>344</v>
      </c>
      <c r="B145" t="s">
        <v>35</v>
      </c>
      <c r="C145" t="s">
        <v>97</v>
      </c>
      <c r="D145" t="s">
        <v>189</v>
      </c>
      <c r="E145" t="s">
        <v>196</v>
      </c>
      <c r="F145">
        <v>0.03</v>
      </c>
      <c r="G145">
        <v>30</v>
      </c>
      <c r="H145">
        <v>1383</v>
      </c>
      <c r="I145">
        <v>4150</v>
      </c>
      <c r="J145">
        <v>3074</v>
      </c>
      <c r="K145" t="s">
        <v>598</v>
      </c>
    </row>
    <row r="146" spans="1:11">
      <c r="A146" t="s">
        <v>345</v>
      </c>
      <c r="B146" t="s">
        <v>68</v>
      </c>
      <c r="C146" t="s">
        <v>128</v>
      </c>
      <c r="D146" t="s">
        <v>189</v>
      </c>
      <c r="E146" t="s">
        <v>190</v>
      </c>
      <c r="F146">
        <v>0.3</v>
      </c>
      <c r="G146">
        <v>300</v>
      </c>
      <c r="H146">
        <v>0</v>
      </c>
      <c r="I146">
        <v>2767</v>
      </c>
      <c r="J146">
        <v>3074</v>
      </c>
      <c r="K146" t="s">
        <v>595</v>
      </c>
    </row>
    <row r="147" spans="1:11">
      <c r="A147" t="s">
        <v>346</v>
      </c>
      <c r="B147" t="s">
        <v>68</v>
      </c>
      <c r="C147" t="s">
        <v>128</v>
      </c>
      <c r="D147" t="s">
        <v>189</v>
      </c>
      <c r="E147" t="s">
        <v>192</v>
      </c>
      <c r="F147">
        <v>0.48</v>
      </c>
      <c r="G147">
        <v>480</v>
      </c>
      <c r="H147">
        <v>307</v>
      </c>
      <c r="I147">
        <v>3074</v>
      </c>
      <c r="J147">
        <v>3074</v>
      </c>
      <c r="K147" t="s">
        <v>596</v>
      </c>
    </row>
    <row r="148" spans="1:11">
      <c r="A148" t="s">
        <v>347</v>
      </c>
      <c r="B148" t="s">
        <v>68</v>
      </c>
      <c r="C148" t="s">
        <v>128</v>
      </c>
      <c r="D148" t="s">
        <v>189</v>
      </c>
      <c r="E148" t="s">
        <v>194</v>
      </c>
      <c r="F148">
        <v>0.3</v>
      </c>
      <c r="G148">
        <v>300</v>
      </c>
      <c r="H148">
        <v>768</v>
      </c>
      <c r="I148">
        <v>3535</v>
      </c>
      <c r="J148">
        <v>3074</v>
      </c>
      <c r="K148" t="s">
        <v>597</v>
      </c>
    </row>
    <row r="149" spans="1:11">
      <c r="A149" t="s">
        <v>348</v>
      </c>
      <c r="B149" t="s">
        <v>68</v>
      </c>
      <c r="C149" t="s">
        <v>128</v>
      </c>
      <c r="D149" t="s">
        <v>189</v>
      </c>
      <c r="E149" t="s">
        <v>196</v>
      </c>
      <c r="F149">
        <v>0.12</v>
      </c>
      <c r="G149">
        <v>120</v>
      </c>
      <c r="H149">
        <v>1383</v>
      </c>
      <c r="I149">
        <v>4150</v>
      </c>
      <c r="J149">
        <v>3074</v>
      </c>
      <c r="K149" t="s">
        <v>598</v>
      </c>
    </row>
    <row r="150" spans="1:11">
      <c r="A150" t="s">
        <v>349</v>
      </c>
      <c r="B150" t="s">
        <v>48</v>
      </c>
      <c r="C150" t="s">
        <v>109</v>
      </c>
      <c r="D150" t="s">
        <v>209</v>
      </c>
      <c r="E150" t="s">
        <v>190</v>
      </c>
      <c r="F150">
        <v>0.22500000000000001</v>
      </c>
      <c r="G150">
        <v>225</v>
      </c>
      <c r="H150">
        <v>0</v>
      </c>
      <c r="I150">
        <v>2420</v>
      </c>
      <c r="J150">
        <v>2689</v>
      </c>
      <c r="K150" t="s">
        <v>595</v>
      </c>
    </row>
    <row r="151" spans="1:11">
      <c r="A151" t="s">
        <v>350</v>
      </c>
      <c r="B151" t="s">
        <v>48</v>
      </c>
      <c r="C151" t="s">
        <v>109</v>
      </c>
      <c r="D151" t="s">
        <v>209</v>
      </c>
      <c r="E151" t="s">
        <v>192</v>
      </c>
      <c r="F151">
        <v>0.36</v>
      </c>
      <c r="G151">
        <v>360</v>
      </c>
      <c r="H151">
        <v>269</v>
      </c>
      <c r="I151">
        <v>2689</v>
      </c>
      <c r="J151">
        <v>2689</v>
      </c>
      <c r="K151" t="s">
        <v>596</v>
      </c>
    </row>
    <row r="152" spans="1:11">
      <c r="A152" t="s">
        <v>351</v>
      </c>
      <c r="B152" t="s">
        <v>48</v>
      </c>
      <c r="C152" t="s">
        <v>109</v>
      </c>
      <c r="D152" t="s">
        <v>209</v>
      </c>
      <c r="E152" t="s">
        <v>194</v>
      </c>
      <c r="F152">
        <v>0.22500000000000001</v>
      </c>
      <c r="G152">
        <v>225</v>
      </c>
      <c r="H152">
        <v>672</v>
      </c>
      <c r="I152">
        <v>3092</v>
      </c>
      <c r="J152">
        <v>2689</v>
      </c>
      <c r="K152" t="s">
        <v>597</v>
      </c>
    </row>
    <row r="153" spans="1:11">
      <c r="A153" t="s">
        <v>352</v>
      </c>
      <c r="B153" t="s">
        <v>48</v>
      </c>
      <c r="C153" t="s">
        <v>109</v>
      </c>
      <c r="D153" t="s">
        <v>209</v>
      </c>
      <c r="E153" t="s">
        <v>196</v>
      </c>
      <c r="F153">
        <v>0.09</v>
      </c>
      <c r="G153">
        <v>90</v>
      </c>
      <c r="H153">
        <v>1210</v>
      </c>
      <c r="I153">
        <v>3630</v>
      </c>
      <c r="J153">
        <v>2689</v>
      </c>
      <c r="K153" t="s">
        <v>598</v>
      </c>
    </row>
    <row r="154" spans="1:11">
      <c r="A154" t="s">
        <v>353</v>
      </c>
      <c r="B154" t="s">
        <v>37</v>
      </c>
      <c r="C154" t="s">
        <v>99</v>
      </c>
      <c r="D154" t="s">
        <v>189</v>
      </c>
      <c r="E154" t="s">
        <v>190</v>
      </c>
      <c r="F154">
        <v>2.5000000000000001E-2</v>
      </c>
      <c r="G154">
        <v>25</v>
      </c>
      <c r="H154">
        <v>0</v>
      </c>
      <c r="I154">
        <v>2767</v>
      </c>
      <c r="J154">
        <v>3074</v>
      </c>
      <c r="K154" t="s">
        <v>595</v>
      </c>
    </row>
    <row r="155" spans="1:11">
      <c r="A155" t="s">
        <v>354</v>
      </c>
      <c r="B155" t="s">
        <v>37</v>
      </c>
      <c r="C155" t="s">
        <v>99</v>
      </c>
      <c r="D155" t="s">
        <v>189</v>
      </c>
      <c r="E155" t="s">
        <v>192</v>
      </c>
      <c r="F155">
        <v>0.04</v>
      </c>
      <c r="G155">
        <v>40</v>
      </c>
      <c r="H155">
        <v>307</v>
      </c>
      <c r="I155">
        <v>3074</v>
      </c>
      <c r="J155">
        <v>3074</v>
      </c>
      <c r="K155" t="s">
        <v>596</v>
      </c>
    </row>
    <row r="156" spans="1:11">
      <c r="A156" t="s">
        <v>355</v>
      </c>
      <c r="B156" t="s">
        <v>37</v>
      </c>
      <c r="C156" t="s">
        <v>99</v>
      </c>
      <c r="D156" t="s">
        <v>189</v>
      </c>
      <c r="E156" t="s">
        <v>194</v>
      </c>
      <c r="F156">
        <v>2.5000000000000001E-2</v>
      </c>
      <c r="G156">
        <v>25</v>
      </c>
      <c r="H156">
        <v>768</v>
      </c>
      <c r="I156">
        <v>3535</v>
      </c>
      <c r="J156">
        <v>3074</v>
      </c>
      <c r="K156" t="s">
        <v>597</v>
      </c>
    </row>
    <row r="157" spans="1:11">
      <c r="A157" t="s">
        <v>356</v>
      </c>
      <c r="B157" t="s">
        <v>37</v>
      </c>
      <c r="C157" t="s">
        <v>99</v>
      </c>
      <c r="D157" t="s">
        <v>189</v>
      </c>
      <c r="E157" t="s">
        <v>196</v>
      </c>
      <c r="F157">
        <v>0.01</v>
      </c>
      <c r="G157">
        <v>10</v>
      </c>
      <c r="H157">
        <v>1383</v>
      </c>
      <c r="I157">
        <v>4150</v>
      </c>
      <c r="J157">
        <v>3074</v>
      </c>
      <c r="K157" t="s">
        <v>598</v>
      </c>
    </row>
    <row r="158" spans="1:11">
      <c r="A158" t="s">
        <v>357</v>
      </c>
      <c r="B158" t="s">
        <v>23</v>
      </c>
      <c r="C158" t="s">
        <v>88</v>
      </c>
      <c r="D158" t="s">
        <v>209</v>
      </c>
      <c r="E158" t="s">
        <v>190</v>
      </c>
      <c r="F158">
        <v>0.2</v>
      </c>
      <c r="G158">
        <v>200</v>
      </c>
      <c r="H158">
        <v>0</v>
      </c>
      <c r="I158">
        <v>2420</v>
      </c>
      <c r="J158">
        <v>2689</v>
      </c>
      <c r="K158" t="s">
        <v>595</v>
      </c>
    </row>
    <row r="159" spans="1:11">
      <c r="A159" t="s">
        <v>358</v>
      </c>
      <c r="B159" t="s">
        <v>23</v>
      </c>
      <c r="C159" t="s">
        <v>88</v>
      </c>
      <c r="D159" t="s">
        <v>209</v>
      </c>
      <c r="E159" t="s">
        <v>192</v>
      </c>
      <c r="F159">
        <v>0.32</v>
      </c>
      <c r="G159">
        <v>320</v>
      </c>
      <c r="H159">
        <v>269</v>
      </c>
      <c r="I159">
        <v>2689</v>
      </c>
      <c r="J159">
        <v>2689</v>
      </c>
      <c r="K159" t="s">
        <v>596</v>
      </c>
    </row>
    <row r="160" spans="1:11">
      <c r="A160" t="s">
        <v>359</v>
      </c>
      <c r="B160" t="s">
        <v>23</v>
      </c>
      <c r="C160" t="s">
        <v>88</v>
      </c>
      <c r="D160" t="s">
        <v>209</v>
      </c>
      <c r="E160" t="s">
        <v>194</v>
      </c>
      <c r="F160">
        <v>0.2</v>
      </c>
      <c r="G160">
        <v>200</v>
      </c>
      <c r="H160">
        <v>672</v>
      </c>
      <c r="I160">
        <v>3092</v>
      </c>
      <c r="J160">
        <v>2689</v>
      </c>
      <c r="K160" t="s">
        <v>597</v>
      </c>
    </row>
    <row r="161" spans="1:11">
      <c r="A161" t="s">
        <v>360</v>
      </c>
      <c r="B161" t="s">
        <v>23</v>
      </c>
      <c r="C161" t="s">
        <v>88</v>
      </c>
      <c r="D161" t="s">
        <v>209</v>
      </c>
      <c r="E161" t="s">
        <v>196</v>
      </c>
      <c r="F161">
        <v>0.08</v>
      </c>
      <c r="G161">
        <v>80</v>
      </c>
      <c r="H161">
        <v>1210</v>
      </c>
      <c r="I161">
        <v>3630</v>
      </c>
      <c r="J161">
        <v>2689</v>
      </c>
      <c r="K161" t="s">
        <v>598</v>
      </c>
    </row>
    <row r="162" spans="1:11">
      <c r="A162" t="s">
        <v>361</v>
      </c>
      <c r="B162" t="s">
        <v>57</v>
      </c>
      <c r="C162" t="s">
        <v>117</v>
      </c>
      <c r="D162" t="s">
        <v>189</v>
      </c>
      <c r="E162" t="s">
        <v>190</v>
      </c>
      <c r="F162">
        <v>0.125</v>
      </c>
      <c r="G162">
        <v>125</v>
      </c>
      <c r="H162">
        <v>0</v>
      </c>
      <c r="I162">
        <v>2767</v>
      </c>
      <c r="J162">
        <v>3074</v>
      </c>
      <c r="K162" t="s">
        <v>595</v>
      </c>
    </row>
    <row r="163" spans="1:11">
      <c r="A163" t="s">
        <v>362</v>
      </c>
      <c r="B163" t="s">
        <v>57</v>
      </c>
      <c r="C163" t="s">
        <v>117</v>
      </c>
      <c r="D163" t="s">
        <v>189</v>
      </c>
      <c r="E163" t="s">
        <v>192</v>
      </c>
      <c r="F163">
        <v>0.2</v>
      </c>
      <c r="G163">
        <v>200</v>
      </c>
      <c r="H163">
        <v>307</v>
      </c>
      <c r="I163">
        <v>3074</v>
      </c>
      <c r="J163">
        <v>3074</v>
      </c>
      <c r="K163" t="s">
        <v>596</v>
      </c>
    </row>
    <row r="164" spans="1:11">
      <c r="A164" t="s">
        <v>363</v>
      </c>
      <c r="B164" t="s">
        <v>57</v>
      </c>
      <c r="C164" t="s">
        <v>117</v>
      </c>
      <c r="D164" t="s">
        <v>189</v>
      </c>
      <c r="E164" t="s">
        <v>194</v>
      </c>
      <c r="F164">
        <v>0.125</v>
      </c>
      <c r="G164">
        <v>125</v>
      </c>
      <c r="H164">
        <v>768</v>
      </c>
      <c r="I164">
        <v>3535</v>
      </c>
      <c r="J164">
        <v>3074</v>
      </c>
      <c r="K164" t="s">
        <v>597</v>
      </c>
    </row>
    <row r="165" spans="1:11">
      <c r="A165" t="s">
        <v>364</v>
      </c>
      <c r="B165" t="s">
        <v>57</v>
      </c>
      <c r="C165" t="s">
        <v>117</v>
      </c>
      <c r="D165" t="s">
        <v>189</v>
      </c>
      <c r="E165" t="s">
        <v>196</v>
      </c>
      <c r="F165">
        <v>0.05</v>
      </c>
      <c r="G165">
        <v>50</v>
      </c>
      <c r="H165">
        <v>1383</v>
      </c>
      <c r="I165">
        <v>4150</v>
      </c>
      <c r="J165">
        <v>3074</v>
      </c>
      <c r="K165" t="s">
        <v>598</v>
      </c>
    </row>
    <row r="166" spans="1:11">
      <c r="A166" t="s">
        <v>365</v>
      </c>
      <c r="B166" t="s">
        <v>66</v>
      </c>
      <c r="C166" t="s">
        <v>126</v>
      </c>
      <c r="D166" t="s">
        <v>209</v>
      </c>
      <c r="E166" t="s">
        <v>190</v>
      </c>
      <c r="F166">
        <v>0.15</v>
      </c>
      <c r="G166">
        <v>150</v>
      </c>
      <c r="H166">
        <v>0</v>
      </c>
      <c r="I166">
        <v>2420</v>
      </c>
      <c r="J166">
        <v>2689</v>
      </c>
      <c r="K166" t="s">
        <v>595</v>
      </c>
    </row>
    <row r="167" spans="1:11">
      <c r="A167" t="s">
        <v>366</v>
      </c>
      <c r="B167" t="s">
        <v>66</v>
      </c>
      <c r="C167" t="s">
        <v>126</v>
      </c>
      <c r="D167" t="s">
        <v>209</v>
      </c>
      <c r="E167" t="s">
        <v>192</v>
      </c>
      <c r="F167">
        <v>0.24</v>
      </c>
      <c r="G167">
        <v>240</v>
      </c>
      <c r="H167">
        <v>269</v>
      </c>
      <c r="I167">
        <v>2689</v>
      </c>
      <c r="J167">
        <v>2689</v>
      </c>
      <c r="K167" t="s">
        <v>596</v>
      </c>
    </row>
    <row r="168" spans="1:11">
      <c r="A168" t="s">
        <v>367</v>
      </c>
      <c r="B168" t="s">
        <v>66</v>
      </c>
      <c r="C168" t="s">
        <v>126</v>
      </c>
      <c r="D168" t="s">
        <v>209</v>
      </c>
      <c r="E168" t="s">
        <v>194</v>
      </c>
      <c r="F168">
        <v>0.15</v>
      </c>
      <c r="G168">
        <v>150</v>
      </c>
      <c r="H168">
        <v>672</v>
      </c>
      <c r="I168">
        <v>3092</v>
      </c>
      <c r="J168">
        <v>2689</v>
      </c>
      <c r="K168" t="s">
        <v>597</v>
      </c>
    </row>
    <row r="169" spans="1:11">
      <c r="A169" t="s">
        <v>368</v>
      </c>
      <c r="B169" t="s">
        <v>66</v>
      </c>
      <c r="C169" t="s">
        <v>126</v>
      </c>
      <c r="D169" t="s">
        <v>209</v>
      </c>
      <c r="E169" t="s">
        <v>196</v>
      </c>
      <c r="F169">
        <v>0.06</v>
      </c>
      <c r="G169">
        <v>60</v>
      </c>
      <c r="H169">
        <v>1210</v>
      </c>
      <c r="I169">
        <v>3630</v>
      </c>
      <c r="J169">
        <v>2689</v>
      </c>
      <c r="K169" t="s">
        <v>598</v>
      </c>
    </row>
    <row r="170" spans="1:11">
      <c r="A170" t="s">
        <v>369</v>
      </c>
      <c r="B170" t="s">
        <v>54</v>
      </c>
      <c r="C170" t="s">
        <v>115</v>
      </c>
      <c r="D170" t="s">
        <v>209</v>
      </c>
      <c r="E170" t="s">
        <v>190</v>
      </c>
      <c r="F170">
        <v>7.4999999999999997E-2</v>
      </c>
      <c r="G170">
        <v>75</v>
      </c>
      <c r="H170">
        <v>0</v>
      </c>
      <c r="I170">
        <v>2420</v>
      </c>
      <c r="J170">
        <v>2689</v>
      </c>
      <c r="K170" t="s">
        <v>595</v>
      </c>
    </row>
    <row r="171" spans="1:11">
      <c r="A171" t="s">
        <v>370</v>
      </c>
      <c r="B171" t="s">
        <v>54</v>
      </c>
      <c r="C171" t="s">
        <v>115</v>
      </c>
      <c r="D171" t="s">
        <v>209</v>
      </c>
      <c r="E171" t="s">
        <v>192</v>
      </c>
      <c r="F171">
        <v>0.12</v>
      </c>
      <c r="G171">
        <v>120</v>
      </c>
      <c r="H171">
        <v>269</v>
      </c>
      <c r="I171">
        <v>2689</v>
      </c>
      <c r="J171">
        <v>2689</v>
      </c>
      <c r="K171" t="s">
        <v>596</v>
      </c>
    </row>
    <row r="172" spans="1:11">
      <c r="A172" t="s">
        <v>371</v>
      </c>
      <c r="B172" t="s">
        <v>54</v>
      </c>
      <c r="C172" t="s">
        <v>115</v>
      </c>
      <c r="D172" t="s">
        <v>209</v>
      </c>
      <c r="E172" t="s">
        <v>194</v>
      </c>
      <c r="F172">
        <v>7.4999999999999997E-2</v>
      </c>
      <c r="G172">
        <v>75</v>
      </c>
      <c r="H172">
        <v>672</v>
      </c>
      <c r="I172">
        <v>3092</v>
      </c>
      <c r="J172">
        <v>2689</v>
      </c>
      <c r="K172" t="s">
        <v>597</v>
      </c>
    </row>
    <row r="173" spans="1:11">
      <c r="A173" t="s">
        <v>372</v>
      </c>
      <c r="B173" t="s">
        <v>54</v>
      </c>
      <c r="C173" t="s">
        <v>115</v>
      </c>
      <c r="D173" t="s">
        <v>209</v>
      </c>
      <c r="E173" t="s">
        <v>196</v>
      </c>
      <c r="F173">
        <v>0.03</v>
      </c>
      <c r="G173">
        <v>30</v>
      </c>
      <c r="H173">
        <v>1210</v>
      </c>
      <c r="I173">
        <v>3630</v>
      </c>
      <c r="J173">
        <v>2689</v>
      </c>
      <c r="K173" t="s">
        <v>598</v>
      </c>
    </row>
    <row r="174" spans="1:11">
      <c r="A174" t="s">
        <v>373</v>
      </c>
      <c r="B174" t="s">
        <v>52</v>
      </c>
      <c r="C174" t="s">
        <v>113</v>
      </c>
      <c r="D174" t="s">
        <v>231</v>
      </c>
      <c r="E174" t="s">
        <v>190</v>
      </c>
      <c r="F174">
        <v>0.15</v>
      </c>
      <c r="G174">
        <v>150</v>
      </c>
      <c r="H174">
        <v>0</v>
      </c>
      <c r="I174">
        <v>2046</v>
      </c>
      <c r="J174">
        <v>2273</v>
      </c>
      <c r="K174" t="s">
        <v>595</v>
      </c>
    </row>
    <row r="175" spans="1:11">
      <c r="A175" t="s">
        <v>374</v>
      </c>
      <c r="B175" t="s">
        <v>52</v>
      </c>
      <c r="C175" t="s">
        <v>113</v>
      </c>
      <c r="D175" t="s">
        <v>231</v>
      </c>
      <c r="E175" t="s">
        <v>192</v>
      </c>
      <c r="F175">
        <v>0.24</v>
      </c>
      <c r="G175">
        <v>240</v>
      </c>
      <c r="H175">
        <v>227</v>
      </c>
      <c r="I175">
        <v>2273</v>
      </c>
      <c r="J175">
        <v>2273</v>
      </c>
      <c r="K175" t="s">
        <v>596</v>
      </c>
    </row>
    <row r="176" spans="1:11">
      <c r="A176" t="s">
        <v>375</v>
      </c>
      <c r="B176" t="s">
        <v>52</v>
      </c>
      <c r="C176" t="s">
        <v>113</v>
      </c>
      <c r="D176" t="s">
        <v>231</v>
      </c>
      <c r="E176" t="s">
        <v>194</v>
      </c>
      <c r="F176">
        <v>0.15</v>
      </c>
      <c r="G176">
        <v>150</v>
      </c>
      <c r="H176">
        <v>568</v>
      </c>
      <c r="I176">
        <v>2614</v>
      </c>
      <c r="J176">
        <v>2273</v>
      </c>
      <c r="K176" t="s">
        <v>597</v>
      </c>
    </row>
    <row r="177" spans="1:11">
      <c r="A177" t="s">
        <v>376</v>
      </c>
      <c r="B177" t="s">
        <v>52</v>
      </c>
      <c r="C177" t="s">
        <v>113</v>
      </c>
      <c r="D177" t="s">
        <v>231</v>
      </c>
      <c r="E177" t="s">
        <v>196</v>
      </c>
      <c r="F177">
        <v>0.06</v>
      </c>
      <c r="G177">
        <v>60</v>
      </c>
      <c r="H177">
        <v>1023</v>
      </c>
      <c r="I177">
        <v>3068</v>
      </c>
      <c r="J177">
        <v>2273</v>
      </c>
      <c r="K177" t="s">
        <v>598</v>
      </c>
    </row>
    <row r="178" spans="1:11">
      <c r="A178" t="s">
        <v>377</v>
      </c>
      <c r="B178" t="s">
        <v>50</v>
      </c>
      <c r="C178" t="s">
        <v>111</v>
      </c>
      <c r="D178" t="s">
        <v>209</v>
      </c>
      <c r="E178" t="s">
        <v>190</v>
      </c>
      <c r="F178">
        <v>0.1</v>
      </c>
      <c r="G178">
        <v>100</v>
      </c>
      <c r="H178">
        <v>0</v>
      </c>
      <c r="I178">
        <v>2420</v>
      </c>
      <c r="J178">
        <v>2689</v>
      </c>
      <c r="K178" t="s">
        <v>595</v>
      </c>
    </row>
    <row r="179" spans="1:11">
      <c r="A179" t="s">
        <v>378</v>
      </c>
      <c r="B179" t="s">
        <v>50</v>
      </c>
      <c r="C179" t="s">
        <v>111</v>
      </c>
      <c r="D179" t="s">
        <v>209</v>
      </c>
      <c r="E179" t="s">
        <v>192</v>
      </c>
      <c r="F179">
        <v>0.16</v>
      </c>
      <c r="G179">
        <v>160</v>
      </c>
      <c r="H179">
        <v>269</v>
      </c>
      <c r="I179">
        <v>2689</v>
      </c>
      <c r="J179">
        <v>2689</v>
      </c>
      <c r="K179" t="s">
        <v>596</v>
      </c>
    </row>
    <row r="180" spans="1:11">
      <c r="A180" t="s">
        <v>379</v>
      </c>
      <c r="B180" t="s">
        <v>50</v>
      </c>
      <c r="C180" t="s">
        <v>111</v>
      </c>
      <c r="D180" t="s">
        <v>209</v>
      </c>
      <c r="E180" t="s">
        <v>194</v>
      </c>
      <c r="F180">
        <v>0.1</v>
      </c>
      <c r="G180">
        <v>100</v>
      </c>
      <c r="H180">
        <v>672</v>
      </c>
      <c r="I180">
        <v>3092</v>
      </c>
      <c r="J180">
        <v>2689</v>
      </c>
      <c r="K180" t="s">
        <v>597</v>
      </c>
    </row>
    <row r="181" spans="1:11">
      <c r="A181" t="s">
        <v>380</v>
      </c>
      <c r="B181" t="s">
        <v>50</v>
      </c>
      <c r="C181" t="s">
        <v>111</v>
      </c>
      <c r="D181" t="s">
        <v>209</v>
      </c>
      <c r="E181" t="s">
        <v>196</v>
      </c>
      <c r="F181">
        <v>0.04</v>
      </c>
      <c r="G181">
        <v>40</v>
      </c>
      <c r="H181">
        <v>1210</v>
      </c>
      <c r="I181">
        <v>3630</v>
      </c>
      <c r="J181">
        <v>2689</v>
      </c>
      <c r="K181" t="s">
        <v>598</v>
      </c>
    </row>
    <row r="182" spans="1:11">
      <c r="A182" t="s">
        <v>381</v>
      </c>
      <c r="B182" t="s">
        <v>65</v>
      </c>
      <c r="C182" t="s">
        <v>125</v>
      </c>
      <c r="D182" t="s">
        <v>209</v>
      </c>
      <c r="E182" t="s">
        <v>190</v>
      </c>
      <c r="F182">
        <v>2.5000000000000001E-2</v>
      </c>
      <c r="G182">
        <v>25</v>
      </c>
      <c r="H182">
        <v>0</v>
      </c>
      <c r="I182">
        <v>2420</v>
      </c>
      <c r="J182">
        <v>2689</v>
      </c>
      <c r="K182" t="s">
        <v>595</v>
      </c>
    </row>
    <row r="183" spans="1:11">
      <c r="A183" t="s">
        <v>382</v>
      </c>
      <c r="B183" t="s">
        <v>65</v>
      </c>
      <c r="C183" t="s">
        <v>125</v>
      </c>
      <c r="D183" t="s">
        <v>209</v>
      </c>
      <c r="E183" t="s">
        <v>192</v>
      </c>
      <c r="F183">
        <v>0.04</v>
      </c>
      <c r="G183">
        <v>40</v>
      </c>
      <c r="H183">
        <v>269</v>
      </c>
      <c r="I183">
        <v>2689</v>
      </c>
      <c r="J183">
        <v>2689</v>
      </c>
      <c r="K183" t="s">
        <v>596</v>
      </c>
    </row>
    <row r="184" spans="1:11">
      <c r="A184" t="s">
        <v>383</v>
      </c>
      <c r="B184" t="s">
        <v>65</v>
      </c>
      <c r="C184" t="s">
        <v>125</v>
      </c>
      <c r="D184" t="s">
        <v>209</v>
      </c>
      <c r="E184" t="s">
        <v>194</v>
      </c>
      <c r="F184">
        <v>2.5000000000000001E-2</v>
      </c>
      <c r="G184">
        <v>25</v>
      </c>
      <c r="H184">
        <v>672</v>
      </c>
      <c r="I184">
        <v>3092</v>
      </c>
      <c r="J184">
        <v>2689</v>
      </c>
      <c r="K184" t="s">
        <v>597</v>
      </c>
    </row>
    <row r="185" spans="1:11">
      <c r="A185" t="s">
        <v>384</v>
      </c>
      <c r="B185" t="s">
        <v>65</v>
      </c>
      <c r="C185" t="s">
        <v>125</v>
      </c>
      <c r="D185" t="s">
        <v>209</v>
      </c>
      <c r="E185" t="s">
        <v>196</v>
      </c>
      <c r="F185">
        <v>0.01</v>
      </c>
      <c r="G185">
        <v>10</v>
      </c>
      <c r="H185">
        <v>1210</v>
      </c>
      <c r="I185">
        <v>3630</v>
      </c>
      <c r="J185">
        <v>2689</v>
      </c>
      <c r="K185" t="s">
        <v>598</v>
      </c>
    </row>
    <row r="186" spans="1:11">
      <c r="A186" t="s">
        <v>385</v>
      </c>
      <c r="B186" t="s">
        <v>64</v>
      </c>
      <c r="C186" t="s">
        <v>124</v>
      </c>
      <c r="D186" t="s">
        <v>209</v>
      </c>
      <c r="E186" t="s">
        <v>190</v>
      </c>
      <c r="F186">
        <v>0.05</v>
      </c>
      <c r="G186">
        <v>50</v>
      </c>
      <c r="H186">
        <v>0</v>
      </c>
      <c r="I186">
        <v>2420</v>
      </c>
      <c r="J186">
        <v>2689</v>
      </c>
      <c r="K186" t="s">
        <v>595</v>
      </c>
    </row>
    <row r="187" spans="1:11">
      <c r="A187" t="s">
        <v>386</v>
      </c>
      <c r="B187" t="s">
        <v>64</v>
      </c>
      <c r="C187" t="s">
        <v>124</v>
      </c>
      <c r="D187" t="s">
        <v>209</v>
      </c>
      <c r="E187" t="s">
        <v>192</v>
      </c>
      <c r="F187">
        <v>0.08</v>
      </c>
      <c r="G187">
        <v>80</v>
      </c>
      <c r="H187">
        <v>269</v>
      </c>
      <c r="I187">
        <v>2689</v>
      </c>
      <c r="J187">
        <v>2689</v>
      </c>
      <c r="K187" t="s">
        <v>596</v>
      </c>
    </row>
    <row r="188" spans="1:11">
      <c r="A188" t="s">
        <v>387</v>
      </c>
      <c r="B188" t="s">
        <v>64</v>
      </c>
      <c r="C188" t="s">
        <v>124</v>
      </c>
      <c r="D188" t="s">
        <v>209</v>
      </c>
      <c r="E188" t="s">
        <v>194</v>
      </c>
      <c r="F188">
        <v>0.05</v>
      </c>
      <c r="G188">
        <v>50</v>
      </c>
      <c r="H188">
        <v>672</v>
      </c>
      <c r="I188">
        <v>3092</v>
      </c>
      <c r="J188">
        <v>2689</v>
      </c>
      <c r="K188" t="s">
        <v>597</v>
      </c>
    </row>
    <row r="189" spans="1:11">
      <c r="A189" t="s">
        <v>388</v>
      </c>
      <c r="B189" t="s">
        <v>64</v>
      </c>
      <c r="C189" t="s">
        <v>124</v>
      </c>
      <c r="D189" t="s">
        <v>209</v>
      </c>
      <c r="E189" t="s">
        <v>196</v>
      </c>
      <c r="F189">
        <v>0.02</v>
      </c>
      <c r="G189">
        <v>20</v>
      </c>
      <c r="H189">
        <v>1210</v>
      </c>
      <c r="I189">
        <v>3630</v>
      </c>
      <c r="J189">
        <v>2689</v>
      </c>
      <c r="K189" t="s">
        <v>598</v>
      </c>
    </row>
    <row r="190" spans="1:11">
      <c r="A190" t="s">
        <v>389</v>
      </c>
      <c r="B190" t="s">
        <v>47</v>
      </c>
      <c r="C190" t="s">
        <v>108</v>
      </c>
      <c r="D190" t="s">
        <v>209</v>
      </c>
      <c r="E190" t="s">
        <v>190</v>
      </c>
      <c r="F190">
        <v>0.1</v>
      </c>
      <c r="G190">
        <v>100</v>
      </c>
      <c r="H190">
        <v>0</v>
      </c>
      <c r="I190">
        <v>2420</v>
      </c>
      <c r="J190">
        <v>2689</v>
      </c>
      <c r="K190" t="s">
        <v>595</v>
      </c>
    </row>
    <row r="191" spans="1:11">
      <c r="A191" t="s">
        <v>390</v>
      </c>
      <c r="B191" t="s">
        <v>47</v>
      </c>
      <c r="C191" t="s">
        <v>108</v>
      </c>
      <c r="D191" t="s">
        <v>209</v>
      </c>
      <c r="E191" t="s">
        <v>192</v>
      </c>
      <c r="F191">
        <v>0.16</v>
      </c>
      <c r="G191">
        <v>160</v>
      </c>
      <c r="H191">
        <v>269</v>
      </c>
      <c r="I191">
        <v>2689</v>
      </c>
      <c r="J191">
        <v>2689</v>
      </c>
      <c r="K191" t="s">
        <v>596</v>
      </c>
    </row>
    <row r="192" spans="1:11">
      <c r="A192" t="s">
        <v>391</v>
      </c>
      <c r="B192" t="s">
        <v>47</v>
      </c>
      <c r="C192" t="s">
        <v>108</v>
      </c>
      <c r="D192" t="s">
        <v>209</v>
      </c>
      <c r="E192" t="s">
        <v>194</v>
      </c>
      <c r="F192">
        <v>0.1</v>
      </c>
      <c r="G192">
        <v>100</v>
      </c>
      <c r="H192">
        <v>672</v>
      </c>
      <c r="I192">
        <v>3092</v>
      </c>
      <c r="J192">
        <v>2689</v>
      </c>
      <c r="K192" t="s">
        <v>597</v>
      </c>
    </row>
    <row r="193" spans="1:11">
      <c r="A193" t="s">
        <v>392</v>
      </c>
      <c r="B193" t="s">
        <v>47</v>
      </c>
      <c r="C193" t="s">
        <v>108</v>
      </c>
      <c r="D193" t="s">
        <v>209</v>
      </c>
      <c r="E193" t="s">
        <v>196</v>
      </c>
      <c r="F193">
        <v>0.04</v>
      </c>
      <c r="G193">
        <v>40</v>
      </c>
      <c r="H193">
        <v>1210</v>
      </c>
      <c r="I193">
        <v>3630</v>
      </c>
      <c r="J193">
        <v>2689</v>
      </c>
      <c r="K193" t="s">
        <v>598</v>
      </c>
    </row>
    <row r="194" spans="1:11">
      <c r="A194" t="s">
        <v>393</v>
      </c>
      <c r="B194" t="s">
        <v>18</v>
      </c>
      <c r="C194" t="s">
        <v>81</v>
      </c>
      <c r="D194" t="s">
        <v>209</v>
      </c>
      <c r="E194" t="s">
        <v>190</v>
      </c>
      <c r="F194">
        <v>7.4999999999999997E-2</v>
      </c>
      <c r="G194">
        <v>75</v>
      </c>
      <c r="H194">
        <v>0</v>
      </c>
      <c r="I194">
        <v>2420</v>
      </c>
      <c r="J194">
        <v>2689</v>
      </c>
      <c r="K194" t="s">
        <v>595</v>
      </c>
    </row>
    <row r="195" spans="1:11">
      <c r="A195" t="s">
        <v>394</v>
      </c>
      <c r="B195" t="s">
        <v>18</v>
      </c>
      <c r="C195" t="s">
        <v>81</v>
      </c>
      <c r="D195" t="s">
        <v>209</v>
      </c>
      <c r="E195" t="s">
        <v>192</v>
      </c>
      <c r="F195">
        <v>0.12</v>
      </c>
      <c r="G195">
        <v>120</v>
      </c>
      <c r="H195">
        <v>269</v>
      </c>
      <c r="I195">
        <v>2689</v>
      </c>
      <c r="J195">
        <v>2689</v>
      </c>
      <c r="K195" t="s">
        <v>596</v>
      </c>
    </row>
    <row r="196" spans="1:11">
      <c r="A196" t="s">
        <v>395</v>
      </c>
      <c r="B196" t="s">
        <v>18</v>
      </c>
      <c r="C196" t="s">
        <v>81</v>
      </c>
      <c r="D196" t="s">
        <v>209</v>
      </c>
      <c r="E196" t="s">
        <v>194</v>
      </c>
      <c r="F196">
        <v>7.4999999999999997E-2</v>
      </c>
      <c r="G196">
        <v>75</v>
      </c>
      <c r="H196">
        <v>672</v>
      </c>
      <c r="I196">
        <v>3092</v>
      </c>
      <c r="J196">
        <v>2689</v>
      </c>
      <c r="K196" t="s">
        <v>597</v>
      </c>
    </row>
    <row r="197" spans="1:11">
      <c r="A197" t="s">
        <v>396</v>
      </c>
      <c r="B197" t="s">
        <v>18</v>
      </c>
      <c r="C197" t="s">
        <v>81</v>
      </c>
      <c r="D197" t="s">
        <v>209</v>
      </c>
      <c r="E197" t="s">
        <v>196</v>
      </c>
      <c r="F197">
        <v>0.03</v>
      </c>
      <c r="G197">
        <v>30</v>
      </c>
      <c r="H197">
        <v>1210</v>
      </c>
      <c r="I197">
        <v>3630</v>
      </c>
      <c r="J197">
        <v>2689</v>
      </c>
      <c r="K197" t="s">
        <v>598</v>
      </c>
    </row>
    <row r="198" spans="1:11">
      <c r="A198" t="s">
        <v>397</v>
      </c>
      <c r="B198" t="s">
        <v>38</v>
      </c>
      <c r="C198" t="s">
        <v>100</v>
      </c>
      <c r="D198" t="s">
        <v>398</v>
      </c>
      <c r="E198" t="s">
        <v>190</v>
      </c>
      <c r="F198">
        <v>2.5000000000000001E-2</v>
      </c>
      <c r="G198">
        <v>25</v>
      </c>
      <c r="H198">
        <v>0</v>
      </c>
      <c r="I198">
        <v>2477</v>
      </c>
      <c r="J198">
        <v>2752</v>
      </c>
      <c r="K198" t="s">
        <v>595</v>
      </c>
    </row>
    <row r="199" spans="1:11">
      <c r="A199" t="s">
        <v>399</v>
      </c>
      <c r="B199" t="s">
        <v>38</v>
      </c>
      <c r="C199" t="s">
        <v>100</v>
      </c>
      <c r="D199" t="s">
        <v>398</v>
      </c>
      <c r="E199" t="s">
        <v>192</v>
      </c>
      <c r="F199">
        <v>0.04</v>
      </c>
      <c r="G199">
        <v>40</v>
      </c>
      <c r="H199">
        <v>275</v>
      </c>
      <c r="I199">
        <v>2752</v>
      </c>
      <c r="J199">
        <v>2752</v>
      </c>
      <c r="K199" t="s">
        <v>596</v>
      </c>
    </row>
    <row r="200" spans="1:11">
      <c r="A200" t="s">
        <v>400</v>
      </c>
      <c r="B200" t="s">
        <v>38</v>
      </c>
      <c r="C200" t="s">
        <v>100</v>
      </c>
      <c r="D200" t="s">
        <v>398</v>
      </c>
      <c r="E200" t="s">
        <v>194</v>
      </c>
      <c r="F200">
        <v>2.5000000000000001E-2</v>
      </c>
      <c r="G200">
        <v>25</v>
      </c>
      <c r="H200">
        <v>688</v>
      </c>
      <c r="I200">
        <v>3165</v>
      </c>
      <c r="J200">
        <v>2752</v>
      </c>
      <c r="K200" t="s">
        <v>597</v>
      </c>
    </row>
    <row r="201" spans="1:11">
      <c r="A201" t="s">
        <v>401</v>
      </c>
      <c r="B201" t="s">
        <v>38</v>
      </c>
      <c r="C201" t="s">
        <v>100</v>
      </c>
      <c r="D201" t="s">
        <v>398</v>
      </c>
      <c r="E201" t="s">
        <v>196</v>
      </c>
      <c r="F201">
        <v>0.01</v>
      </c>
      <c r="G201">
        <v>10</v>
      </c>
      <c r="H201">
        <v>1238</v>
      </c>
      <c r="I201">
        <v>3715</v>
      </c>
      <c r="J201">
        <v>2752</v>
      </c>
      <c r="K201" t="s">
        <v>598</v>
      </c>
    </row>
    <row r="202" spans="1:11">
      <c r="A202" t="s">
        <v>402</v>
      </c>
      <c r="B202" t="s">
        <v>20</v>
      </c>
      <c r="C202" t="s">
        <v>83</v>
      </c>
      <c r="D202" t="s">
        <v>198</v>
      </c>
      <c r="E202" t="s">
        <v>190</v>
      </c>
      <c r="F202">
        <v>2.5000000000000001E-2</v>
      </c>
      <c r="G202">
        <v>25</v>
      </c>
      <c r="H202">
        <v>0</v>
      </c>
      <c r="I202">
        <v>2574</v>
      </c>
      <c r="J202">
        <v>2860</v>
      </c>
      <c r="K202" t="s">
        <v>595</v>
      </c>
    </row>
    <row r="203" spans="1:11">
      <c r="A203" t="s">
        <v>403</v>
      </c>
      <c r="B203" t="s">
        <v>20</v>
      </c>
      <c r="C203" t="s">
        <v>83</v>
      </c>
      <c r="D203" t="s">
        <v>198</v>
      </c>
      <c r="E203" t="s">
        <v>192</v>
      </c>
      <c r="F203">
        <v>0.04</v>
      </c>
      <c r="G203">
        <v>40</v>
      </c>
      <c r="H203">
        <v>286</v>
      </c>
      <c r="I203">
        <v>2860</v>
      </c>
      <c r="J203">
        <v>2860</v>
      </c>
      <c r="K203" t="s">
        <v>596</v>
      </c>
    </row>
    <row r="204" spans="1:11">
      <c r="A204" t="s">
        <v>404</v>
      </c>
      <c r="B204" t="s">
        <v>20</v>
      </c>
      <c r="C204" t="s">
        <v>83</v>
      </c>
      <c r="D204" t="s">
        <v>198</v>
      </c>
      <c r="E204" t="s">
        <v>194</v>
      </c>
      <c r="F204">
        <v>2.5000000000000001E-2</v>
      </c>
      <c r="G204">
        <v>25</v>
      </c>
      <c r="H204">
        <v>715</v>
      </c>
      <c r="I204">
        <v>3289</v>
      </c>
      <c r="J204">
        <v>2860</v>
      </c>
      <c r="K204" t="s">
        <v>597</v>
      </c>
    </row>
    <row r="205" spans="1:11">
      <c r="A205" t="s">
        <v>405</v>
      </c>
      <c r="B205" t="s">
        <v>20</v>
      </c>
      <c r="C205" t="s">
        <v>83</v>
      </c>
      <c r="D205" t="s">
        <v>198</v>
      </c>
      <c r="E205" t="s">
        <v>196</v>
      </c>
      <c r="F205">
        <v>0.01</v>
      </c>
      <c r="G205">
        <v>10</v>
      </c>
      <c r="H205">
        <v>1287</v>
      </c>
      <c r="I205">
        <v>3861</v>
      </c>
      <c r="J205">
        <v>2860</v>
      </c>
      <c r="K205" t="s">
        <v>598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8563-20A1-4C87-AD3C-A6CBE5B4E261}">
  <dimension ref="A1:K245"/>
  <sheetViews>
    <sheetView workbookViewId="0"/>
  </sheetViews>
  <sheetFormatPr defaultRowHeight="14.25"/>
  <sheetData>
    <row r="1" spans="1:11">
      <c r="A1" s="1" t="s">
        <v>77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594</v>
      </c>
      <c r="K1" t="s">
        <v>187</v>
      </c>
    </row>
    <row r="2" spans="1:11">
      <c r="A2" t="s">
        <v>188</v>
      </c>
      <c r="B2" t="s">
        <v>22</v>
      </c>
      <c r="C2" t="s">
        <v>85</v>
      </c>
      <c r="D2" t="s">
        <v>189</v>
      </c>
      <c r="E2" t="s">
        <v>190</v>
      </c>
      <c r="F2">
        <v>13.2</v>
      </c>
      <c r="G2">
        <v>13200</v>
      </c>
      <c r="H2">
        <v>0</v>
      </c>
      <c r="I2">
        <v>2767</v>
      </c>
      <c r="J2">
        <v>3074</v>
      </c>
      <c r="K2" t="s">
        <v>595</v>
      </c>
    </row>
    <row r="3" spans="1:11">
      <c r="A3" t="s">
        <v>191</v>
      </c>
      <c r="B3" t="s">
        <v>22</v>
      </c>
      <c r="C3" t="s">
        <v>85</v>
      </c>
      <c r="D3" t="s">
        <v>189</v>
      </c>
      <c r="E3" t="s">
        <v>192</v>
      </c>
      <c r="F3">
        <v>23.1</v>
      </c>
      <c r="G3">
        <v>23100</v>
      </c>
      <c r="H3">
        <v>307</v>
      </c>
      <c r="I3">
        <v>3074</v>
      </c>
      <c r="J3">
        <v>3074</v>
      </c>
      <c r="K3" t="s">
        <v>596</v>
      </c>
    </row>
    <row r="4" spans="1:11">
      <c r="A4" t="s">
        <v>193</v>
      </c>
      <c r="B4" t="s">
        <v>22</v>
      </c>
      <c r="C4" t="s">
        <v>85</v>
      </c>
      <c r="D4" t="s">
        <v>189</v>
      </c>
      <c r="E4" t="s">
        <v>194</v>
      </c>
      <c r="F4">
        <v>19.8</v>
      </c>
      <c r="G4">
        <v>19800</v>
      </c>
      <c r="H4">
        <v>768</v>
      </c>
      <c r="I4">
        <v>3535</v>
      </c>
      <c r="J4">
        <v>3074</v>
      </c>
      <c r="K4" t="s">
        <v>597</v>
      </c>
    </row>
    <row r="5" spans="1:11">
      <c r="A5" t="s">
        <v>195</v>
      </c>
      <c r="B5" t="s">
        <v>22</v>
      </c>
      <c r="C5" t="s">
        <v>85</v>
      </c>
      <c r="D5" t="s">
        <v>189</v>
      </c>
      <c r="E5" t="s">
        <v>196</v>
      </c>
      <c r="F5">
        <v>9.9</v>
      </c>
      <c r="G5">
        <v>9900</v>
      </c>
      <c r="H5">
        <v>1383</v>
      </c>
      <c r="I5">
        <v>4150</v>
      </c>
      <c r="J5">
        <v>3074</v>
      </c>
      <c r="K5" t="s">
        <v>598</v>
      </c>
    </row>
    <row r="6" spans="1:11">
      <c r="A6" t="s">
        <v>197</v>
      </c>
      <c r="B6" t="s">
        <v>63</v>
      </c>
      <c r="C6" t="s">
        <v>123</v>
      </c>
      <c r="D6" t="s">
        <v>198</v>
      </c>
      <c r="E6" t="s">
        <v>190</v>
      </c>
      <c r="F6">
        <v>17.100000000000001</v>
      </c>
      <c r="G6">
        <v>17100</v>
      </c>
      <c r="H6">
        <v>0</v>
      </c>
      <c r="I6">
        <v>2574</v>
      </c>
      <c r="J6">
        <v>2860</v>
      </c>
      <c r="K6" t="s">
        <v>595</v>
      </c>
    </row>
    <row r="7" spans="1:11">
      <c r="A7" t="s">
        <v>199</v>
      </c>
      <c r="B7" t="s">
        <v>63</v>
      </c>
      <c r="C7" t="s">
        <v>123</v>
      </c>
      <c r="D7" t="s">
        <v>198</v>
      </c>
      <c r="E7" t="s">
        <v>192</v>
      </c>
      <c r="F7">
        <v>29.925000000000001</v>
      </c>
      <c r="G7">
        <v>29925</v>
      </c>
      <c r="H7">
        <v>286</v>
      </c>
      <c r="I7">
        <v>2860</v>
      </c>
      <c r="J7">
        <v>2860</v>
      </c>
      <c r="K7" t="s">
        <v>596</v>
      </c>
    </row>
    <row r="8" spans="1:11">
      <c r="A8" t="s">
        <v>200</v>
      </c>
      <c r="B8" t="s">
        <v>63</v>
      </c>
      <c r="C8" t="s">
        <v>123</v>
      </c>
      <c r="D8" t="s">
        <v>198</v>
      </c>
      <c r="E8" t="s">
        <v>194</v>
      </c>
      <c r="F8">
        <v>25.65</v>
      </c>
      <c r="G8">
        <v>25650</v>
      </c>
      <c r="H8">
        <v>715</v>
      </c>
      <c r="I8">
        <v>3289</v>
      </c>
      <c r="J8">
        <v>2860</v>
      </c>
      <c r="K8" t="s">
        <v>597</v>
      </c>
    </row>
    <row r="9" spans="1:11">
      <c r="A9" t="s">
        <v>201</v>
      </c>
      <c r="B9" t="s">
        <v>63</v>
      </c>
      <c r="C9" t="s">
        <v>123</v>
      </c>
      <c r="D9" t="s">
        <v>198</v>
      </c>
      <c r="E9" t="s">
        <v>196</v>
      </c>
      <c r="F9">
        <v>12.824999999999999</v>
      </c>
      <c r="G9">
        <v>12825</v>
      </c>
      <c r="H9">
        <v>1287</v>
      </c>
      <c r="I9">
        <v>3861</v>
      </c>
      <c r="J9">
        <v>2860</v>
      </c>
      <c r="K9" t="s">
        <v>598</v>
      </c>
    </row>
    <row r="10" spans="1:11">
      <c r="A10" t="s">
        <v>406</v>
      </c>
      <c r="B10" t="s">
        <v>24</v>
      </c>
      <c r="C10" t="s">
        <v>89</v>
      </c>
      <c r="D10" t="s">
        <v>55</v>
      </c>
      <c r="E10" t="s">
        <v>190</v>
      </c>
      <c r="F10">
        <v>6.1</v>
      </c>
      <c r="G10">
        <v>6100</v>
      </c>
      <c r="H10">
        <v>0</v>
      </c>
      <c r="I10">
        <v>2567</v>
      </c>
      <c r="J10">
        <v>2852</v>
      </c>
      <c r="K10" t="s">
        <v>595</v>
      </c>
    </row>
    <row r="11" spans="1:11">
      <c r="A11" t="s">
        <v>407</v>
      </c>
      <c r="B11" t="s">
        <v>24</v>
      </c>
      <c r="C11" t="s">
        <v>89</v>
      </c>
      <c r="D11" t="s">
        <v>55</v>
      </c>
      <c r="E11" t="s">
        <v>192</v>
      </c>
      <c r="F11">
        <v>10.675000000000001</v>
      </c>
      <c r="G11">
        <v>10675</v>
      </c>
      <c r="H11">
        <v>285</v>
      </c>
      <c r="I11">
        <v>2852</v>
      </c>
      <c r="J11">
        <v>2852</v>
      </c>
      <c r="K11" t="s">
        <v>596</v>
      </c>
    </row>
    <row r="12" spans="1:11">
      <c r="A12" t="s">
        <v>408</v>
      </c>
      <c r="B12" t="s">
        <v>24</v>
      </c>
      <c r="C12" t="s">
        <v>89</v>
      </c>
      <c r="D12" t="s">
        <v>55</v>
      </c>
      <c r="E12" t="s">
        <v>194</v>
      </c>
      <c r="F12">
        <v>9.15</v>
      </c>
      <c r="G12">
        <v>9150</v>
      </c>
      <c r="H12">
        <v>713</v>
      </c>
      <c r="I12">
        <v>3280</v>
      </c>
      <c r="J12">
        <v>2852</v>
      </c>
      <c r="K12" t="s">
        <v>597</v>
      </c>
    </row>
    <row r="13" spans="1:11">
      <c r="A13" t="s">
        <v>409</v>
      </c>
      <c r="B13" t="s">
        <v>24</v>
      </c>
      <c r="C13" t="s">
        <v>89</v>
      </c>
      <c r="D13" t="s">
        <v>55</v>
      </c>
      <c r="E13" t="s">
        <v>196</v>
      </c>
      <c r="F13">
        <v>4.5750000000000002</v>
      </c>
      <c r="G13">
        <v>4575</v>
      </c>
      <c r="H13">
        <v>1284</v>
      </c>
      <c r="I13">
        <v>3851</v>
      </c>
      <c r="J13">
        <v>2852</v>
      </c>
      <c r="K13" t="s">
        <v>598</v>
      </c>
    </row>
    <row r="14" spans="1:11">
      <c r="A14" t="s">
        <v>202</v>
      </c>
      <c r="B14" t="s">
        <v>40</v>
      </c>
      <c r="C14" t="s">
        <v>102</v>
      </c>
      <c r="D14" t="s">
        <v>203</v>
      </c>
      <c r="E14" t="s">
        <v>190</v>
      </c>
      <c r="F14">
        <v>4.5999999999999996</v>
      </c>
      <c r="G14">
        <v>4600</v>
      </c>
      <c r="H14">
        <v>0</v>
      </c>
      <c r="I14">
        <v>2327</v>
      </c>
      <c r="J14">
        <v>2585</v>
      </c>
      <c r="K14" t="s">
        <v>595</v>
      </c>
    </row>
    <row r="15" spans="1:11">
      <c r="A15" t="s">
        <v>204</v>
      </c>
      <c r="B15" t="s">
        <v>40</v>
      </c>
      <c r="C15" t="s">
        <v>102</v>
      </c>
      <c r="D15" t="s">
        <v>203</v>
      </c>
      <c r="E15" t="s">
        <v>192</v>
      </c>
      <c r="F15">
        <v>8.0500000000000007</v>
      </c>
      <c r="G15">
        <v>8050</v>
      </c>
      <c r="H15">
        <v>259</v>
      </c>
      <c r="I15">
        <v>2585</v>
      </c>
      <c r="J15">
        <v>2585</v>
      </c>
      <c r="K15" t="s">
        <v>596</v>
      </c>
    </row>
    <row r="16" spans="1:11">
      <c r="A16" t="s">
        <v>205</v>
      </c>
      <c r="B16" t="s">
        <v>40</v>
      </c>
      <c r="C16" t="s">
        <v>102</v>
      </c>
      <c r="D16" t="s">
        <v>203</v>
      </c>
      <c r="E16" t="s">
        <v>194</v>
      </c>
      <c r="F16">
        <v>6.9</v>
      </c>
      <c r="G16">
        <v>6900</v>
      </c>
      <c r="H16">
        <v>646</v>
      </c>
      <c r="I16">
        <v>2973</v>
      </c>
      <c r="J16">
        <v>2585</v>
      </c>
      <c r="K16" t="s">
        <v>597</v>
      </c>
    </row>
    <row r="17" spans="1:11">
      <c r="A17" t="s">
        <v>206</v>
      </c>
      <c r="B17" t="s">
        <v>40</v>
      </c>
      <c r="C17" t="s">
        <v>102</v>
      </c>
      <c r="D17" t="s">
        <v>203</v>
      </c>
      <c r="E17" t="s">
        <v>196</v>
      </c>
      <c r="F17">
        <v>3.45</v>
      </c>
      <c r="G17">
        <v>3450</v>
      </c>
      <c r="H17">
        <v>1163</v>
      </c>
      <c r="I17">
        <v>3490</v>
      </c>
      <c r="J17">
        <v>2585</v>
      </c>
      <c r="K17" t="s">
        <v>598</v>
      </c>
    </row>
    <row r="18" spans="1:11">
      <c r="A18" t="s">
        <v>207</v>
      </c>
      <c r="B18" t="s">
        <v>28</v>
      </c>
      <c r="C18" t="s">
        <v>208</v>
      </c>
      <c r="D18" t="s">
        <v>209</v>
      </c>
      <c r="E18" t="s">
        <v>190</v>
      </c>
      <c r="F18">
        <v>13.16</v>
      </c>
      <c r="G18">
        <v>13160</v>
      </c>
      <c r="H18">
        <v>0</v>
      </c>
      <c r="I18">
        <v>2420</v>
      </c>
      <c r="J18">
        <v>2689</v>
      </c>
      <c r="K18" t="s">
        <v>595</v>
      </c>
    </row>
    <row r="19" spans="1:11">
      <c r="A19" t="s">
        <v>210</v>
      </c>
      <c r="B19" t="s">
        <v>28</v>
      </c>
      <c r="C19" t="s">
        <v>208</v>
      </c>
      <c r="D19" t="s">
        <v>209</v>
      </c>
      <c r="E19" t="s">
        <v>192</v>
      </c>
      <c r="F19">
        <v>23.03</v>
      </c>
      <c r="G19">
        <v>23030</v>
      </c>
      <c r="H19">
        <v>269</v>
      </c>
      <c r="I19">
        <v>2689</v>
      </c>
      <c r="J19">
        <v>2689</v>
      </c>
      <c r="K19" t="s">
        <v>596</v>
      </c>
    </row>
    <row r="20" spans="1:11">
      <c r="A20" t="s">
        <v>211</v>
      </c>
      <c r="B20" t="s">
        <v>28</v>
      </c>
      <c r="C20" t="s">
        <v>208</v>
      </c>
      <c r="D20" t="s">
        <v>209</v>
      </c>
      <c r="E20" t="s">
        <v>194</v>
      </c>
      <c r="F20">
        <v>19.739999999999998</v>
      </c>
      <c r="G20">
        <v>19740</v>
      </c>
      <c r="H20">
        <v>672</v>
      </c>
      <c r="I20">
        <v>3092</v>
      </c>
      <c r="J20">
        <v>2689</v>
      </c>
      <c r="K20" t="s">
        <v>597</v>
      </c>
    </row>
    <row r="21" spans="1:11">
      <c r="A21" t="s">
        <v>212</v>
      </c>
      <c r="B21" t="s">
        <v>28</v>
      </c>
      <c r="C21" t="s">
        <v>208</v>
      </c>
      <c r="D21" t="s">
        <v>209</v>
      </c>
      <c r="E21" t="s">
        <v>196</v>
      </c>
      <c r="F21">
        <v>9.8699999999999992</v>
      </c>
      <c r="G21">
        <v>9870</v>
      </c>
      <c r="H21">
        <v>1210</v>
      </c>
      <c r="I21">
        <v>3630</v>
      </c>
      <c r="J21">
        <v>2689</v>
      </c>
      <c r="K21" t="s">
        <v>598</v>
      </c>
    </row>
    <row r="22" spans="1:11">
      <c r="A22" t="s">
        <v>213</v>
      </c>
      <c r="B22" t="s">
        <v>39</v>
      </c>
      <c r="C22" t="s">
        <v>101</v>
      </c>
      <c r="D22" t="s">
        <v>214</v>
      </c>
      <c r="E22" t="s">
        <v>190</v>
      </c>
      <c r="F22">
        <v>8.6</v>
      </c>
      <c r="G22">
        <v>8600</v>
      </c>
      <c r="H22">
        <v>0</v>
      </c>
      <c r="I22">
        <v>2578</v>
      </c>
      <c r="J22">
        <v>2864</v>
      </c>
      <c r="K22" t="s">
        <v>595</v>
      </c>
    </row>
    <row r="23" spans="1:11">
      <c r="A23" t="s">
        <v>215</v>
      </c>
      <c r="B23" t="s">
        <v>39</v>
      </c>
      <c r="C23" t="s">
        <v>101</v>
      </c>
      <c r="D23" t="s">
        <v>214</v>
      </c>
      <c r="E23" t="s">
        <v>192</v>
      </c>
      <c r="F23">
        <v>15.05</v>
      </c>
      <c r="G23">
        <v>15050</v>
      </c>
      <c r="H23">
        <v>286</v>
      </c>
      <c r="I23">
        <v>2864</v>
      </c>
      <c r="J23">
        <v>2864</v>
      </c>
      <c r="K23" t="s">
        <v>596</v>
      </c>
    </row>
    <row r="24" spans="1:11">
      <c r="A24" t="s">
        <v>216</v>
      </c>
      <c r="B24" t="s">
        <v>39</v>
      </c>
      <c r="C24" t="s">
        <v>101</v>
      </c>
      <c r="D24" t="s">
        <v>214</v>
      </c>
      <c r="E24" t="s">
        <v>194</v>
      </c>
      <c r="F24">
        <v>12.9</v>
      </c>
      <c r="G24">
        <v>12900</v>
      </c>
      <c r="H24">
        <v>716</v>
      </c>
      <c r="I24">
        <v>3294</v>
      </c>
      <c r="J24">
        <v>2864</v>
      </c>
      <c r="K24" t="s">
        <v>597</v>
      </c>
    </row>
    <row r="25" spans="1:11">
      <c r="A25" t="s">
        <v>217</v>
      </c>
      <c r="B25" t="s">
        <v>39</v>
      </c>
      <c r="C25" t="s">
        <v>101</v>
      </c>
      <c r="D25" t="s">
        <v>214</v>
      </c>
      <c r="E25" t="s">
        <v>196</v>
      </c>
      <c r="F25">
        <v>6.45</v>
      </c>
      <c r="G25">
        <v>6450</v>
      </c>
      <c r="H25">
        <v>1289</v>
      </c>
      <c r="I25">
        <v>3867</v>
      </c>
      <c r="J25">
        <v>2864</v>
      </c>
      <c r="K25" t="s">
        <v>598</v>
      </c>
    </row>
    <row r="26" spans="1:11">
      <c r="A26" t="s">
        <v>218</v>
      </c>
      <c r="B26" t="s">
        <v>60</v>
      </c>
      <c r="C26" t="s">
        <v>120</v>
      </c>
      <c r="D26" t="s">
        <v>189</v>
      </c>
      <c r="E26" t="s">
        <v>190</v>
      </c>
      <c r="F26">
        <v>7.76</v>
      </c>
      <c r="G26">
        <v>7760</v>
      </c>
      <c r="H26">
        <v>0</v>
      </c>
      <c r="I26">
        <v>2767</v>
      </c>
      <c r="J26">
        <v>3074</v>
      </c>
      <c r="K26" t="s">
        <v>595</v>
      </c>
    </row>
    <row r="27" spans="1:11">
      <c r="A27" t="s">
        <v>219</v>
      </c>
      <c r="B27" t="s">
        <v>60</v>
      </c>
      <c r="C27" t="s">
        <v>120</v>
      </c>
      <c r="D27" t="s">
        <v>189</v>
      </c>
      <c r="E27" t="s">
        <v>192</v>
      </c>
      <c r="F27">
        <v>13.58</v>
      </c>
      <c r="G27">
        <v>13580</v>
      </c>
      <c r="H27">
        <v>307</v>
      </c>
      <c r="I27">
        <v>3074</v>
      </c>
      <c r="J27">
        <v>3074</v>
      </c>
      <c r="K27" t="s">
        <v>596</v>
      </c>
    </row>
    <row r="28" spans="1:11">
      <c r="A28" t="s">
        <v>220</v>
      </c>
      <c r="B28" t="s">
        <v>60</v>
      </c>
      <c r="C28" t="s">
        <v>120</v>
      </c>
      <c r="D28" t="s">
        <v>189</v>
      </c>
      <c r="E28" t="s">
        <v>194</v>
      </c>
      <c r="F28">
        <v>11.64</v>
      </c>
      <c r="G28">
        <v>11640</v>
      </c>
      <c r="H28">
        <v>768</v>
      </c>
      <c r="I28">
        <v>3535</v>
      </c>
      <c r="J28">
        <v>3074</v>
      </c>
      <c r="K28" t="s">
        <v>597</v>
      </c>
    </row>
    <row r="29" spans="1:11">
      <c r="A29" t="s">
        <v>221</v>
      </c>
      <c r="B29" t="s">
        <v>60</v>
      </c>
      <c r="C29" t="s">
        <v>120</v>
      </c>
      <c r="D29" t="s">
        <v>189</v>
      </c>
      <c r="E29" t="s">
        <v>196</v>
      </c>
      <c r="F29">
        <v>5.82</v>
      </c>
      <c r="G29">
        <v>5820</v>
      </c>
      <c r="H29">
        <v>1383</v>
      </c>
      <c r="I29">
        <v>4150</v>
      </c>
      <c r="J29">
        <v>3074</v>
      </c>
      <c r="K29" t="s">
        <v>598</v>
      </c>
    </row>
    <row r="30" spans="1:11">
      <c r="A30" t="s">
        <v>222</v>
      </c>
      <c r="B30" t="s">
        <v>30</v>
      </c>
      <c r="C30" t="s">
        <v>92</v>
      </c>
      <c r="D30" t="s">
        <v>189</v>
      </c>
      <c r="E30" t="s">
        <v>190</v>
      </c>
      <c r="F30">
        <v>5.72</v>
      </c>
      <c r="G30">
        <v>5720</v>
      </c>
      <c r="H30">
        <v>0</v>
      </c>
      <c r="I30">
        <v>2767</v>
      </c>
      <c r="J30">
        <v>3074</v>
      </c>
      <c r="K30" t="s">
        <v>595</v>
      </c>
    </row>
    <row r="31" spans="1:11">
      <c r="A31" t="s">
        <v>223</v>
      </c>
      <c r="B31" t="s">
        <v>30</v>
      </c>
      <c r="C31" t="s">
        <v>92</v>
      </c>
      <c r="D31" t="s">
        <v>189</v>
      </c>
      <c r="E31" t="s">
        <v>192</v>
      </c>
      <c r="F31">
        <v>10.01</v>
      </c>
      <c r="G31">
        <v>10010</v>
      </c>
      <c r="H31">
        <v>307</v>
      </c>
      <c r="I31">
        <v>3074</v>
      </c>
      <c r="J31">
        <v>3074</v>
      </c>
      <c r="K31" t="s">
        <v>596</v>
      </c>
    </row>
    <row r="32" spans="1:11">
      <c r="A32" t="s">
        <v>224</v>
      </c>
      <c r="B32" t="s">
        <v>30</v>
      </c>
      <c r="C32" t="s">
        <v>92</v>
      </c>
      <c r="D32" t="s">
        <v>189</v>
      </c>
      <c r="E32" t="s">
        <v>194</v>
      </c>
      <c r="F32">
        <v>8.58</v>
      </c>
      <c r="G32">
        <v>8580</v>
      </c>
      <c r="H32">
        <v>768</v>
      </c>
      <c r="I32">
        <v>3535</v>
      </c>
      <c r="J32">
        <v>3074</v>
      </c>
      <c r="K32" t="s">
        <v>597</v>
      </c>
    </row>
    <row r="33" spans="1:11">
      <c r="A33" t="s">
        <v>225</v>
      </c>
      <c r="B33" t="s">
        <v>30</v>
      </c>
      <c r="C33" t="s">
        <v>92</v>
      </c>
      <c r="D33" t="s">
        <v>189</v>
      </c>
      <c r="E33" t="s">
        <v>196</v>
      </c>
      <c r="F33">
        <v>4.29</v>
      </c>
      <c r="G33">
        <v>4290</v>
      </c>
      <c r="H33">
        <v>1383</v>
      </c>
      <c r="I33">
        <v>4150</v>
      </c>
      <c r="J33">
        <v>3074</v>
      </c>
      <c r="K33" t="s">
        <v>598</v>
      </c>
    </row>
    <row r="34" spans="1:11">
      <c r="A34" t="s">
        <v>226</v>
      </c>
      <c r="B34" t="s">
        <v>72</v>
      </c>
      <c r="C34" t="s">
        <v>132</v>
      </c>
      <c r="D34" t="s">
        <v>189</v>
      </c>
      <c r="E34" t="s">
        <v>190</v>
      </c>
      <c r="F34">
        <v>4.0999999999999996</v>
      </c>
      <c r="G34">
        <v>4100</v>
      </c>
      <c r="H34">
        <v>0</v>
      </c>
      <c r="I34">
        <v>2767</v>
      </c>
      <c r="J34">
        <v>3074</v>
      </c>
      <c r="K34" t="s">
        <v>595</v>
      </c>
    </row>
    <row r="35" spans="1:11">
      <c r="A35" t="s">
        <v>227</v>
      </c>
      <c r="B35" t="s">
        <v>72</v>
      </c>
      <c r="C35" t="s">
        <v>132</v>
      </c>
      <c r="D35" t="s">
        <v>189</v>
      </c>
      <c r="E35" t="s">
        <v>192</v>
      </c>
      <c r="F35">
        <v>7.1749999999999998</v>
      </c>
      <c r="G35">
        <v>7175</v>
      </c>
      <c r="H35">
        <v>307</v>
      </c>
      <c r="I35">
        <v>3074</v>
      </c>
      <c r="J35">
        <v>3074</v>
      </c>
      <c r="K35" t="s">
        <v>596</v>
      </c>
    </row>
    <row r="36" spans="1:11">
      <c r="A36" t="s">
        <v>228</v>
      </c>
      <c r="B36" t="s">
        <v>72</v>
      </c>
      <c r="C36" t="s">
        <v>132</v>
      </c>
      <c r="D36" t="s">
        <v>189</v>
      </c>
      <c r="E36" t="s">
        <v>194</v>
      </c>
      <c r="F36">
        <v>6.15</v>
      </c>
      <c r="G36">
        <v>6150</v>
      </c>
      <c r="H36">
        <v>768</v>
      </c>
      <c r="I36">
        <v>3535</v>
      </c>
      <c r="J36">
        <v>3074</v>
      </c>
      <c r="K36" t="s">
        <v>597</v>
      </c>
    </row>
    <row r="37" spans="1:11">
      <c r="A37" t="s">
        <v>229</v>
      </c>
      <c r="B37" t="s">
        <v>72</v>
      </c>
      <c r="C37" t="s">
        <v>132</v>
      </c>
      <c r="D37" t="s">
        <v>189</v>
      </c>
      <c r="E37" t="s">
        <v>196</v>
      </c>
      <c r="F37">
        <v>3.0750000000000002</v>
      </c>
      <c r="G37">
        <v>3075</v>
      </c>
      <c r="H37">
        <v>1383</v>
      </c>
      <c r="I37">
        <v>4150</v>
      </c>
      <c r="J37">
        <v>3074</v>
      </c>
      <c r="K37" t="s">
        <v>598</v>
      </c>
    </row>
    <row r="38" spans="1:11">
      <c r="A38" t="s">
        <v>230</v>
      </c>
      <c r="B38" t="s">
        <v>51</v>
      </c>
      <c r="C38" t="s">
        <v>112</v>
      </c>
      <c r="D38" t="s">
        <v>231</v>
      </c>
      <c r="E38" t="s">
        <v>190</v>
      </c>
      <c r="F38">
        <v>6.08</v>
      </c>
      <c r="G38">
        <v>6080</v>
      </c>
      <c r="H38">
        <v>0</v>
      </c>
      <c r="I38">
        <v>2046</v>
      </c>
      <c r="J38">
        <v>2273</v>
      </c>
      <c r="K38" t="s">
        <v>595</v>
      </c>
    </row>
    <row r="39" spans="1:11">
      <c r="A39" t="s">
        <v>232</v>
      </c>
      <c r="B39" t="s">
        <v>51</v>
      </c>
      <c r="C39" t="s">
        <v>112</v>
      </c>
      <c r="D39" t="s">
        <v>231</v>
      </c>
      <c r="E39" t="s">
        <v>192</v>
      </c>
      <c r="F39">
        <v>10.64</v>
      </c>
      <c r="G39">
        <v>10640</v>
      </c>
      <c r="H39">
        <v>227</v>
      </c>
      <c r="I39">
        <v>2273</v>
      </c>
      <c r="J39">
        <v>2273</v>
      </c>
      <c r="K39" t="s">
        <v>596</v>
      </c>
    </row>
    <row r="40" spans="1:11">
      <c r="A40" t="s">
        <v>233</v>
      </c>
      <c r="B40" t="s">
        <v>51</v>
      </c>
      <c r="C40" t="s">
        <v>112</v>
      </c>
      <c r="D40" t="s">
        <v>231</v>
      </c>
      <c r="E40" t="s">
        <v>194</v>
      </c>
      <c r="F40">
        <v>9.1199999999999992</v>
      </c>
      <c r="G40">
        <v>9120</v>
      </c>
      <c r="H40">
        <v>568</v>
      </c>
      <c r="I40">
        <v>2614</v>
      </c>
      <c r="J40">
        <v>2273</v>
      </c>
      <c r="K40" t="s">
        <v>597</v>
      </c>
    </row>
    <row r="41" spans="1:11">
      <c r="A41" t="s">
        <v>234</v>
      </c>
      <c r="B41" t="s">
        <v>51</v>
      </c>
      <c r="C41" t="s">
        <v>112</v>
      </c>
      <c r="D41" t="s">
        <v>231</v>
      </c>
      <c r="E41" t="s">
        <v>196</v>
      </c>
      <c r="F41">
        <v>4.5599999999999996</v>
      </c>
      <c r="G41">
        <v>4560</v>
      </c>
      <c r="H41">
        <v>1023</v>
      </c>
      <c r="I41">
        <v>3068</v>
      </c>
      <c r="J41">
        <v>2273</v>
      </c>
      <c r="K41" t="s">
        <v>598</v>
      </c>
    </row>
    <row r="42" spans="1:11">
      <c r="A42" t="s">
        <v>235</v>
      </c>
      <c r="B42" t="s">
        <v>58</v>
      </c>
      <c r="C42" t="s">
        <v>118</v>
      </c>
      <c r="D42" t="s">
        <v>203</v>
      </c>
      <c r="E42" t="s">
        <v>190</v>
      </c>
      <c r="F42">
        <v>5.64</v>
      </c>
      <c r="G42">
        <v>5640</v>
      </c>
      <c r="H42">
        <v>0</v>
      </c>
      <c r="I42">
        <v>2327</v>
      </c>
      <c r="J42">
        <v>2585</v>
      </c>
      <c r="K42" t="s">
        <v>595</v>
      </c>
    </row>
    <row r="43" spans="1:11">
      <c r="A43" t="s">
        <v>236</v>
      </c>
      <c r="B43" t="s">
        <v>58</v>
      </c>
      <c r="C43" t="s">
        <v>118</v>
      </c>
      <c r="D43" t="s">
        <v>203</v>
      </c>
      <c r="E43" t="s">
        <v>192</v>
      </c>
      <c r="F43">
        <v>9.8699999999999992</v>
      </c>
      <c r="G43">
        <v>9870</v>
      </c>
      <c r="H43">
        <v>259</v>
      </c>
      <c r="I43">
        <v>2585</v>
      </c>
      <c r="J43">
        <v>2585</v>
      </c>
      <c r="K43" t="s">
        <v>596</v>
      </c>
    </row>
    <row r="44" spans="1:11">
      <c r="A44" t="s">
        <v>237</v>
      </c>
      <c r="B44" t="s">
        <v>58</v>
      </c>
      <c r="C44" t="s">
        <v>118</v>
      </c>
      <c r="D44" t="s">
        <v>203</v>
      </c>
      <c r="E44" t="s">
        <v>194</v>
      </c>
      <c r="F44">
        <v>8.4600000000000009</v>
      </c>
      <c r="G44">
        <v>8460</v>
      </c>
      <c r="H44">
        <v>646</v>
      </c>
      <c r="I44">
        <v>2973</v>
      </c>
      <c r="J44">
        <v>2585</v>
      </c>
      <c r="K44" t="s">
        <v>597</v>
      </c>
    </row>
    <row r="45" spans="1:11">
      <c r="A45" t="s">
        <v>238</v>
      </c>
      <c r="B45" t="s">
        <v>58</v>
      </c>
      <c r="C45" t="s">
        <v>118</v>
      </c>
      <c r="D45" t="s">
        <v>203</v>
      </c>
      <c r="E45" t="s">
        <v>196</v>
      </c>
      <c r="F45">
        <v>4.2300000000000004</v>
      </c>
      <c r="G45">
        <v>4230</v>
      </c>
      <c r="H45">
        <v>1163</v>
      </c>
      <c r="I45">
        <v>3490</v>
      </c>
      <c r="J45">
        <v>2585</v>
      </c>
      <c r="K45" t="s">
        <v>598</v>
      </c>
    </row>
    <row r="46" spans="1:11">
      <c r="A46" t="s">
        <v>239</v>
      </c>
      <c r="B46" t="s">
        <v>59</v>
      </c>
      <c r="C46" t="s">
        <v>119</v>
      </c>
      <c r="D46" t="s">
        <v>203</v>
      </c>
      <c r="E46" t="s">
        <v>190</v>
      </c>
      <c r="F46">
        <v>4</v>
      </c>
      <c r="G46">
        <v>4000</v>
      </c>
      <c r="H46">
        <v>0</v>
      </c>
      <c r="I46">
        <v>2327</v>
      </c>
      <c r="J46">
        <v>2585</v>
      </c>
      <c r="K46" t="s">
        <v>595</v>
      </c>
    </row>
    <row r="47" spans="1:11">
      <c r="A47" t="s">
        <v>240</v>
      </c>
      <c r="B47" t="s">
        <v>59</v>
      </c>
      <c r="C47" t="s">
        <v>119</v>
      </c>
      <c r="D47" t="s">
        <v>203</v>
      </c>
      <c r="E47" t="s">
        <v>192</v>
      </c>
      <c r="F47">
        <v>7</v>
      </c>
      <c r="G47">
        <v>7000</v>
      </c>
      <c r="H47">
        <v>259</v>
      </c>
      <c r="I47">
        <v>2585</v>
      </c>
      <c r="J47">
        <v>2585</v>
      </c>
      <c r="K47" t="s">
        <v>596</v>
      </c>
    </row>
    <row r="48" spans="1:11">
      <c r="A48" t="s">
        <v>241</v>
      </c>
      <c r="B48" t="s">
        <v>59</v>
      </c>
      <c r="C48" t="s">
        <v>119</v>
      </c>
      <c r="D48" t="s">
        <v>203</v>
      </c>
      <c r="E48" t="s">
        <v>194</v>
      </c>
      <c r="F48">
        <v>6</v>
      </c>
      <c r="G48">
        <v>6000</v>
      </c>
      <c r="H48">
        <v>646</v>
      </c>
      <c r="I48">
        <v>2973</v>
      </c>
      <c r="J48">
        <v>2585</v>
      </c>
      <c r="K48" t="s">
        <v>597</v>
      </c>
    </row>
    <row r="49" spans="1:11">
      <c r="A49" t="s">
        <v>242</v>
      </c>
      <c r="B49" t="s">
        <v>59</v>
      </c>
      <c r="C49" t="s">
        <v>119</v>
      </c>
      <c r="D49" t="s">
        <v>203</v>
      </c>
      <c r="E49" t="s">
        <v>196</v>
      </c>
      <c r="F49">
        <v>3</v>
      </c>
      <c r="G49">
        <v>3000</v>
      </c>
      <c r="H49">
        <v>1163</v>
      </c>
      <c r="I49">
        <v>3490</v>
      </c>
      <c r="J49">
        <v>2585</v>
      </c>
      <c r="K49" t="s">
        <v>598</v>
      </c>
    </row>
    <row r="50" spans="1:11">
      <c r="A50" t="s">
        <v>243</v>
      </c>
      <c r="B50" t="s">
        <v>17</v>
      </c>
      <c r="C50" t="s">
        <v>80</v>
      </c>
      <c r="D50" t="s">
        <v>189</v>
      </c>
      <c r="E50" t="s">
        <v>190</v>
      </c>
      <c r="F50">
        <v>3.42</v>
      </c>
      <c r="G50">
        <v>3420</v>
      </c>
      <c r="H50">
        <v>0</v>
      </c>
      <c r="I50">
        <v>2767</v>
      </c>
      <c r="J50">
        <v>3074</v>
      </c>
      <c r="K50" t="s">
        <v>595</v>
      </c>
    </row>
    <row r="51" spans="1:11">
      <c r="A51" t="s">
        <v>244</v>
      </c>
      <c r="B51" t="s">
        <v>17</v>
      </c>
      <c r="C51" t="s">
        <v>80</v>
      </c>
      <c r="D51" t="s">
        <v>189</v>
      </c>
      <c r="E51" t="s">
        <v>192</v>
      </c>
      <c r="F51">
        <v>5.9850000000000003</v>
      </c>
      <c r="G51">
        <v>5985</v>
      </c>
      <c r="H51">
        <v>307</v>
      </c>
      <c r="I51">
        <v>3074</v>
      </c>
      <c r="J51">
        <v>3074</v>
      </c>
      <c r="K51" t="s">
        <v>596</v>
      </c>
    </row>
    <row r="52" spans="1:11">
      <c r="A52" t="s">
        <v>245</v>
      </c>
      <c r="B52" t="s">
        <v>17</v>
      </c>
      <c r="C52" t="s">
        <v>80</v>
      </c>
      <c r="D52" t="s">
        <v>189</v>
      </c>
      <c r="E52" t="s">
        <v>194</v>
      </c>
      <c r="F52">
        <v>5.13</v>
      </c>
      <c r="G52">
        <v>5130</v>
      </c>
      <c r="H52">
        <v>768</v>
      </c>
      <c r="I52">
        <v>3535</v>
      </c>
      <c r="J52">
        <v>3074</v>
      </c>
      <c r="K52" t="s">
        <v>597</v>
      </c>
    </row>
    <row r="53" spans="1:11">
      <c r="A53" t="s">
        <v>246</v>
      </c>
      <c r="B53" t="s">
        <v>17</v>
      </c>
      <c r="C53" t="s">
        <v>80</v>
      </c>
      <c r="D53" t="s">
        <v>189</v>
      </c>
      <c r="E53" t="s">
        <v>196</v>
      </c>
      <c r="F53">
        <v>2.5649999999999999</v>
      </c>
      <c r="G53">
        <v>2565</v>
      </c>
      <c r="H53">
        <v>1383</v>
      </c>
      <c r="I53">
        <v>4150</v>
      </c>
      <c r="J53">
        <v>3074</v>
      </c>
      <c r="K53" t="s">
        <v>598</v>
      </c>
    </row>
    <row r="54" spans="1:11">
      <c r="A54" t="s">
        <v>247</v>
      </c>
      <c r="B54" t="s">
        <v>49</v>
      </c>
      <c r="C54" t="s">
        <v>110</v>
      </c>
      <c r="D54" t="s">
        <v>189</v>
      </c>
      <c r="E54" t="s">
        <v>190</v>
      </c>
      <c r="F54">
        <v>2.4</v>
      </c>
      <c r="G54">
        <v>2400</v>
      </c>
      <c r="H54">
        <v>0</v>
      </c>
      <c r="I54">
        <v>2767</v>
      </c>
      <c r="J54">
        <v>3074</v>
      </c>
      <c r="K54" t="s">
        <v>595</v>
      </c>
    </row>
    <row r="55" spans="1:11">
      <c r="A55" t="s">
        <v>248</v>
      </c>
      <c r="B55" t="s">
        <v>49</v>
      </c>
      <c r="C55" t="s">
        <v>110</v>
      </c>
      <c r="D55" t="s">
        <v>189</v>
      </c>
      <c r="E55" t="s">
        <v>192</v>
      </c>
      <c r="F55">
        <v>4.2</v>
      </c>
      <c r="G55">
        <v>4200</v>
      </c>
      <c r="H55">
        <v>307</v>
      </c>
      <c r="I55">
        <v>3074</v>
      </c>
      <c r="J55">
        <v>3074</v>
      </c>
      <c r="K55" t="s">
        <v>596</v>
      </c>
    </row>
    <row r="56" spans="1:11">
      <c r="A56" t="s">
        <v>249</v>
      </c>
      <c r="B56" t="s">
        <v>49</v>
      </c>
      <c r="C56" t="s">
        <v>110</v>
      </c>
      <c r="D56" t="s">
        <v>189</v>
      </c>
      <c r="E56" t="s">
        <v>194</v>
      </c>
      <c r="F56">
        <v>3.6</v>
      </c>
      <c r="G56">
        <v>3600</v>
      </c>
      <c r="H56">
        <v>768</v>
      </c>
      <c r="I56">
        <v>3535</v>
      </c>
      <c r="J56">
        <v>3074</v>
      </c>
      <c r="K56" t="s">
        <v>597</v>
      </c>
    </row>
    <row r="57" spans="1:11">
      <c r="A57" t="s">
        <v>250</v>
      </c>
      <c r="B57" t="s">
        <v>49</v>
      </c>
      <c r="C57" t="s">
        <v>110</v>
      </c>
      <c r="D57" t="s">
        <v>189</v>
      </c>
      <c r="E57" t="s">
        <v>196</v>
      </c>
      <c r="F57">
        <v>1.8</v>
      </c>
      <c r="G57">
        <v>1800</v>
      </c>
      <c r="H57">
        <v>1383</v>
      </c>
      <c r="I57">
        <v>4150</v>
      </c>
      <c r="J57">
        <v>3074</v>
      </c>
      <c r="K57" t="s">
        <v>598</v>
      </c>
    </row>
    <row r="58" spans="1:11">
      <c r="A58" t="s">
        <v>251</v>
      </c>
      <c r="B58" t="s">
        <v>32</v>
      </c>
      <c r="C58" t="s">
        <v>94</v>
      </c>
      <c r="D58" t="s">
        <v>209</v>
      </c>
      <c r="E58" t="s">
        <v>190</v>
      </c>
      <c r="F58">
        <v>2.5</v>
      </c>
      <c r="G58">
        <v>2500</v>
      </c>
      <c r="H58">
        <v>0</v>
      </c>
      <c r="I58">
        <v>2420</v>
      </c>
      <c r="J58">
        <v>2689</v>
      </c>
      <c r="K58" t="s">
        <v>595</v>
      </c>
    </row>
    <row r="59" spans="1:11">
      <c r="A59" t="s">
        <v>252</v>
      </c>
      <c r="B59" t="s">
        <v>32</v>
      </c>
      <c r="C59" t="s">
        <v>94</v>
      </c>
      <c r="D59" t="s">
        <v>209</v>
      </c>
      <c r="E59" t="s">
        <v>192</v>
      </c>
      <c r="F59">
        <v>4.375</v>
      </c>
      <c r="G59">
        <v>4375</v>
      </c>
      <c r="H59">
        <v>269</v>
      </c>
      <c r="I59">
        <v>2689</v>
      </c>
      <c r="J59">
        <v>2689</v>
      </c>
      <c r="K59" t="s">
        <v>596</v>
      </c>
    </row>
    <row r="60" spans="1:11">
      <c r="A60" t="s">
        <v>253</v>
      </c>
      <c r="B60" t="s">
        <v>32</v>
      </c>
      <c r="C60" t="s">
        <v>94</v>
      </c>
      <c r="D60" t="s">
        <v>209</v>
      </c>
      <c r="E60" t="s">
        <v>194</v>
      </c>
      <c r="F60">
        <v>3.75</v>
      </c>
      <c r="G60">
        <v>3750</v>
      </c>
      <c r="H60">
        <v>672</v>
      </c>
      <c r="I60">
        <v>3092</v>
      </c>
      <c r="J60">
        <v>2689</v>
      </c>
      <c r="K60" t="s">
        <v>597</v>
      </c>
    </row>
    <row r="61" spans="1:11">
      <c r="A61" t="s">
        <v>254</v>
      </c>
      <c r="B61" t="s">
        <v>32</v>
      </c>
      <c r="C61" t="s">
        <v>94</v>
      </c>
      <c r="D61" t="s">
        <v>209</v>
      </c>
      <c r="E61" t="s">
        <v>196</v>
      </c>
      <c r="F61">
        <v>1.875</v>
      </c>
      <c r="G61">
        <v>1875</v>
      </c>
      <c r="H61">
        <v>1210</v>
      </c>
      <c r="I61">
        <v>3630</v>
      </c>
      <c r="J61">
        <v>2689</v>
      </c>
      <c r="K61" t="s">
        <v>598</v>
      </c>
    </row>
    <row r="62" spans="1:11">
      <c r="A62" t="s">
        <v>255</v>
      </c>
      <c r="B62" t="s">
        <v>21</v>
      </c>
      <c r="C62" t="s">
        <v>84</v>
      </c>
      <c r="D62" t="s">
        <v>189</v>
      </c>
      <c r="E62" t="s">
        <v>190</v>
      </c>
      <c r="F62">
        <v>3.04</v>
      </c>
      <c r="G62">
        <v>3040</v>
      </c>
      <c r="H62">
        <v>0</v>
      </c>
      <c r="I62">
        <v>2767</v>
      </c>
      <c r="J62">
        <v>3074</v>
      </c>
      <c r="K62" t="s">
        <v>595</v>
      </c>
    </row>
    <row r="63" spans="1:11">
      <c r="A63" t="s">
        <v>256</v>
      </c>
      <c r="B63" t="s">
        <v>21</v>
      </c>
      <c r="C63" t="s">
        <v>84</v>
      </c>
      <c r="D63" t="s">
        <v>189</v>
      </c>
      <c r="E63" t="s">
        <v>192</v>
      </c>
      <c r="F63">
        <v>5.32</v>
      </c>
      <c r="G63">
        <v>5320</v>
      </c>
      <c r="H63">
        <v>307</v>
      </c>
      <c r="I63">
        <v>3074</v>
      </c>
      <c r="J63">
        <v>3074</v>
      </c>
      <c r="K63" t="s">
        <v>596</v>
      </c>
    </row>
    <row r="64" spans="1:11">
      <c r="A64" t="s">
        <v>257</v>
      </c>
      <c r="B64" t="s">
        <v>21</v>
      </c>
      <c r="C64" t="s">
        <v>84</v>
      </c>
      <c r="D64" t="s">
        <v>189</v>
      </c>
      <c r="E64" t="s">
        <v>194</v>
      </c>
      <c r="F64">
        <v>4.5599999999999996</v>
      </c>
      <c r="G64">
        <v>4560</v>
      </c>
      <c r="H64">
        <v>768</v>
      </c>
      <c r="I64">
        <v>3535</v>
      </c>
      <c r="J64">
        <v>3074</v>
      </c>
      <c r="K64" t="s">
        <v>597</v>
      </c>
    </row>
    <row r="65" spans="1:11">
      <c r="A65" t="s">
        <v>258</v>
      </c>
      <c r="B65" t="s">
        <v>21</v>
      </c>
      <c r="C65" t="s">
        <v>84</v>
      </c>
      <c r="D65" t="s">
        <v>189</v>
      </c>
      <c r="E65" t="s">
        <v>196</v>
      </c>
      <c r="F65">
        <v>2.2799999999999998</v>
      </c>
      <c r="G65">
        <v>2280</v>
      </c>
      <c r="H65">
        <v>1383</v>
      </c>
      <c r="I65">
        <v>4150</v>
      </c>
      <c r="J65">
        <v>3074</v>
      </c>
      <c r="K65" t="s">
        <v>598</v>
      </c>
    </row>
    <row r="66" spans="1:11">
      <c r="A66" t="s">
        <v>259</v>
      </c>
      <c r="B66" t="s">
        <v>31</v>
      </c>
      <c r="C66" t="s">
        <v>93</v>
      </c>
      <c r="D66" t="s">
        <v>189</v>
      </c>
      <c r="E66" t="s">
        <v>190</v>
      </c>
      <c r="F66">
        <v>2.2000000000000002</v>
      </c>
      <c r="G66">
        <v>2200</v>
      </c>
      <c r="H66">
        <v>0</v>
      </c>
      <c r="I66">
        <v>2767</v>
      </c>
      <c r="J66">
        <v>3074</v>
      </c>
      <c r="K66" t="s">
        <v>595</v>
      </c>
    </row>
    <row r="67" spans="1:11">
      <c r="A67" t="s">
        <v>260</v>
      </c>
      <c r="B67" t="s">
        <v>31</v>
      </c>
      <c r="C67" t="s">
        <v>93</v>
      </c>
      <c r="D67" t="s">
        <v>189</v>
      </c>
      <c r="E67" t="s">
        <v>192</v>
      </c>
      <c r="F67">
        <v>3.85</v>
      </c>
      <c r="G67">
        <v>3850</v>
      </c>
      <c r="H67">
        <v>307</v>
      </c>
      <c r="I67">
        <v>3074</v>
      </c>
      <c r="J67">
        <v>3074</v>
      </c>
      <c r="K67" t="s">
        <v>596</v>
      </c>
    </row>
    <row r="68" spans="1:11">
      <c r="A68" t="s">
        <v>261</v>
      </c>
      <c r="B68" t="s">
        <v>31</v>
      </c>
      <c r="C68" t="s">
        <v>93</v>
      </c>
      <c r="D68" t="s">
        <v>189</v>
      </c>
      <c r="E68" t="s">
        <v>194</v>
      </c>
      <c r="F68">
        <v>3.3</v>
      </c>
      <c r="G68">
        <v>3300</v>
      </c>
      <c r="H68">
        <v>768</v>
      </c>
      <c r="I68">
        <v>3535</v>
      </c>
      <c r="J68">
        <v>3074</v>
      </c>
      <c r="K68" t="s">
        <v>597</v>
      </c>
    </row>
    <row r="69" spans="1:11">
      <c r="A69" t="s">
        <v>262</v>
      </c>
      <c r="B69" t="s">
        <v>31</v>
      </c>
      <c r="C69" t="s">
        <v>93</v>
      </c>
      <c r="D69" t="s">
        <v>189</v>
      </c>
      <c r="E69" t="s">
        <v>196</v>
      </c>
      <c r="F69">
        <v>1.65</v>
      </c>
      <c r="G69">
        <v>1650</v>
      </c>
      <c r="H69">
        <v>1383</v>
      </c>
      <c r="I69">
        <v>4150</v>
      </c>
      <c r="J69">
        <v>3074</v>
      </c>
      <c r="K69" t="s">
        <v>598</v>
      </c>
    </row>
    <row r="70" spans="1:11">
      <c r="A70" t="s">
        <v>263</v>
      </c>
      <c r="B70" t="s">
        <v>46</v>
      </c>
      <c r="C70" t="s">
        <v>107</v>
      </c>
      <c r="D70" t="s">
        <v>231</v>
      </c>
      <c r="E70" t="s">
        <v>190</v>
      </c>
      <c r="F70">
        <v>0.96</v>
      </c>
      <c r="G70">
        <v>960</v>
      </c>
      <c r="H70">
        <v>0</v>
      </c>
      <c r="I70">
        <v>2046</v>
      </c>
      <c r="J70">
        <v>2273</v>
      </c>
      <c r="K70" t="s">
        <v>595</v>
      </c>
    </row>
    <row r="71" spans="1:11">
      <c r="A71" t="s">
        <v>264</v>
      </c>
      <c r="B71" t="s">
        <v>46</v>
      </c>
      <c r="C71" t="s">
        <v>107</v>
      </c>
      <c r="D71" t="s">
        <v>231</v>
      </c>
      <c r="E71" t="s">
        <v>192</v>
      </c>
      <c r="F71">
        <v>1.68</v>
      </c>
      <c r="G71">
        <v>1680</v>
      </c>
      <c r="H71">
        <v>227</v>
      </c>
      <c r="I71">
        <v>2273</v>
      </c>
      <c r="J71">
        <v>2273</v>
      </c>
      <c r="K71" t="s">
        <v>596</v>
      </c>
    </row>
    <row r="72" spans="1:11">
      <c r="A72" t="s">
        <v>265</v>
      </c>
      <c r="B72" t="s">
        <v>46</v>
      </c>
      <c r="C72" t="s">
        <v>107</v>
      </c>
      <c r="D72" t="s">
        <v>231</v>
      </c>
      <c r="E72" t="s">
        <v>194</v>
      </c>
      <c r="F72">
        <v>1.44</v>
      </c>
      <c r="G72">
        <v>1440</v>
      </c>
      <c r="H72">
        <v>568</v>
      </c>
      <c r="I72">
        <v>2614</v>
      </c>
      <c r="J72">
        <v>2273</v>
      </c>
      <c r="K72" t="s">
        <v>597</v>
      </c>
    </row>
    <row r="73" spans="1:11">
      <c r="A73" t="s">
        <v>266</v>
      </c>
      <c r="B73" t="s">
        <v>46</v>
      </c>
      <c r="C73" t="s">
        <v>107</v>
      </c>
      <c r="D73" t="s">
        <v>231</v>
      </c>
      <c r="E73" t="s">
        <v>196</v>
      </c>
      <c r="F73">
        <v>0.72</v>
      </c>
      <c r="G73">
        <v>720</v>
      </c>
      <c r="H73">
        <v>1023</v>
      </c>
      <c r="I73">
        <v>3068</v>
      </c>
      <c r="J73">
        <v>2273</v>
      </c>
      <c r="K73" t="s">
        <v>598</v>
      </c>
    </row>
    <row r="74" spans="1:11">
      <c r="A74" t="s">
        <v>267</v>
      </c>
      <c r="B74" t="s">
        <v>56</v>
      </c>
      <c r="C74" t="s">
        <v>116</v>
      </c>
      <c r="D74" t="s">
        <v>209</v>
      </c>
      <c r="E74" t="s">
        <v>190</v>
      </c>
      <c r="F74">
        <v>1.9</v>
      </c>
      <c r="G74">
        <v>1900</v>
      </c>
      <c r="H74">
        <v>0</v>
      </c>
      <c r="I74">
        <v>2420</v>
      </c>
      <c r="J74">
        <v>2689</v>
      </c>
      <c r="K74" t="s">
        <v>595</v>
      </c>
    </row>
    <row r="75" spans="1:11">
      <c r="A75" t="s">
        <v>268</v>
      </c>
      <c r="B75" t="s">
        <v>56</v>
      </c>
      <c r="C75" t="s">
        <v>116</v>
      </c>
      <c r="D75" t="s">
        <v>209</v>
      </c>
      <c r="E75" t="s">
        <v>192</v>
      </c>
      <c r="F75">
        <v>3.3250000000000002</v>
      </c>
      <c r="G75">
        <v>3325</v>
      </c>
      <c r="H75">
        <v>269</v>
      </c>
      <c r="I75">
        <v>2689</v>
      </c>
      <c r="J75">
        <v>2689</v>
      </c>
      <c r="K75" t="s">
        <v>596</v>
      </c>
    </row>
    <row r="76" spans="1:11">
      <c r="A76" t="s">
        <v>269</v>
      </c>
      <c r="B76" t="s">
        <v>56</v>
      </c>
      <c r="C76" t="s">
        <v>116</v>
      </c>
      <c r="D76" t="s">
        <v>209</v>
      </c>
      <c r="E76" t="s">
        <v>194</v>
      </c>
      <c r="F76">
        <v>2.85</v>
      </c>
      <c r="G76">
        <v>2850</v>
      </c>
      <c r="H76">
        <v>672</v>
      </c>
      <c r="I76">
        <v>3092</v>
      </c>
      <c r="J76">
        <v>2689</v>
      </c>
      <c r="K76" t="s">
        <v>597</v>
      </c>
    </row>
    <row r="77" spans="1:11">
      <c r="A77" t="s">
        <v>270</v>
      </c>
      <c r="B77" t="s">
        <v>56</v>
      </c>
      <c r="C77" t="s">
        <v>116</v>
      </c>
      <c r="D77" t="s">
        <v>209</v>
      </c>
      <c r="E77" t="s">
        <v>196</v>
      </c>
      <c r="F77">
        <v>1.425</v>
      </c>
      <c r="G77">
        <v>1425</v>
      </c>
      <c r="H77">
        <v>1210</v>
      </c>
      <c r="I77">
        <v>3630</v>
      </c>
      <c r="J77">
        <v>2689</v>
      </c>
      <c r="K77" t="s">
        <v>598</v>
      </c>
    </row>
    <row r="78" spans="1:11">
      <c r="A78" t="s">
        <v>271</v>
      </c>
      <c r="B78" t="s">
        <v>61</v>
      </c>
      <c r="C78" t="s">
        <v>121</v>
      </c>
      <c r="D78" t="s">
        <v>214</v>
      </c>
      <c r="E78" t="s">
        <v>190</v>
      </c>
      <c r="F78">
        <v>1.44</v>
      </c>
      <c r="G78">
        <v>1440</v>
      </c>
      <c r="H78">
        <v>0</v>
      </c>
      <c r="I78">
        <v>2578</v>
      </c>
      <c r="J78">
        <v>2864</v>
      </c>
      <c r="K78" t="s">
        <v>595</v>
      </c>
    </row>
    <row r="79" spans="1:11">
      <c r="A79" t="s">
        <v>272</v>
      </c>
      <c r="B79" t="s">
        <v>61</v>
      </c>
      <c r="C79" t="s">
        <v>121</v>
      </c>
      <c r="D79" t="s">
        <v>214</v>
      </c>
      <c r="E79" t="s">
        <v>192</v>
      </c>
      <c r="F79">
        <v>2.52</v>
      </c>
      <c r="G79">
        <v>2520</v>
      </c>
      <c r="H79">
        <v>286</v>
      </c>
      <c r="I79">
        <v>2864</v>
      </c>
      <c r="J79">
        <v>2864</v>
      </c>
      <c r="K79" t="s">
        <v>596</v>
      </c>
    </row>
    <row r="80" spans="1:11">
      <c r="A80" t="s">
        <v>273</v>
      </c>
      <c r="B80" t="s">
        <v>61</v>
      </c>
      <c r="C80" t="s">
        <v>121</v>
      </c>
      <c r="D80" t="s">
        <v>214</v>
      </c>
      <c r="E80" t="s">
        <v>194</v>
      </c>
      <c r="F80">
        <v>2.16</v>
      </c>
      <c r="G80">
        <v>2160</v>
      </c>
      <c r="H80">
        <v>716</v>
      </c>
      <c r="I80">
        <v>3294</v>
      </c>
      <c r="J80">
        <v>2864</v>
      </c>
      <c r="K80" t="s">
        <v>597</v>
      </c>
    </row>
    <row r="81" spans="1:11">
      <c r="A81" t="s">
        <v>274</v>
      </c>
      <c r="B81" t="s">
        <v>61</v>
      </c>
      <c r="C81" t="s">
        <v>121</v>
      </c>
      <c r="D81" t="s">
        <v>214</v>
      </c>
      <c r="E81" t="s">
        <v>196</v>
      </c>
      <c r="F81">
        <v>1.08</v>
      </c>
      <c r="G81">
        <v>1080</v>
      </c>
      <c r="H81">
        <v>1289</v>
      </c>
      <c r="I81">
        <v>3867</v>
      </c>
      <c r="J81">
        <v>2864</v>
      </c>
      <c r="K81" t="s">
        <v>598</v>
      </c>
    </row>
    <row r="82" spans="1:11">
      <c r="A82" t="s">
        <v>275</v>
      </c>
      <c r="B82" t="s">
        <v>27</v>
      </c>
      <c r="C82" t="s">
        <v>91</v>
      </c>
      <c r="D82" t="s">
        <v>209</v>
      </c>
      <c r="E82" t="s">
        <v>190</v>
      </c>
      <c r="F82">
        <v>1.92</v>
      </c>
      <c r="G82">
        <v>1920</v>
      </c>
      <c r="H82">
        <v>0</v>
      </c>
      <c r="I82">
        <v>2420</v>
      </c>
      <c r="J82">
        <v>2689</v>
      </c>
      <c r="K82" t="s">
        <v>595</v>
      </c>
    </row>
    <row r="83" spans="1:11">
      <c r="A83" t="s">
        <v>276</v>
      </c>
      <c r="B83" t="s">
        <v>27</v>
      </c>
      <c r="C83" t="s">
        <v>91</v>
      </c>
      <c r="D83" t="s">
        <v>209</v>
      </c>
      <c r="E83" t="s">
        <v>192</v>
      </c>
      <c r="F83">
        <v>3.36</v>
      </c>
      <c r="G83">
        <v>3360</v>
      </c>
      <c r="H83">
        <v>269</v>
      </c>
      <c r="I83">
        <v>2689</v>
      </c>
      <c r="J83">
        <v>2689</v>
      </c>
      <c r="K83" t="s">
        <v>596</v>
      </c>
    </row>
    <row r="84" spans="1:11">
      <c r="A84" t="s">
        <v>277</v>
      </c>
      <c r="B84" t="s">
        <v>27</v>
      </c>
      <c r="C84" t="s">
        <v>91</v>
      </c>
      <c r="D84" t="s">
        <v>209</v>
      </c>
      <c r="E84" t="s">
        <v>194</v>
      </c>
      <c r="F84">
        <v>2.88</v>
      </c>
      <c r="G84">
        <v>2880</v>
      </c>
      <c r="H84">
        <v>672</v>
      </c>
      <c r="I84">
        <v>3092</v>
      </c>
      <c r="J84">
        <v>2689</v>
      </c>
      <c r="K84" t="s">
        <v>597</v>
      </c>
    </row>
    <row r="85" spans="1:11">
      <c r="A85" t="s">
        <v>278</v>
      </c>
      <c r="B85" t="s">
        <v>27</v>
      </c>
      <c r="C85" t="s">
        <v>91</v>
      </c>
      <c r="D85" t="s">
        <v>209</v>
      </c>
      <c r="E85" t="s">
        <v>196</v>
      </c>
      <c r="F85">
        <v>1.44</v>
      </c>
      <c r="G85">
        <v>1440</v>
      </c>
      <c r="H85">
        <v>1210</v>
      </c>
      <c r="I85">
        <v>3630</v>
      </c>
      <c r="J85">
        <v>2689</v>
      </c>
      <c r="K85" t="s">
        <v>598</v>
      </c>
    </row>
    <row r="86" spans="1:11">
      <c r="A86" t="s">
        <v>279</v>
      </c>
      <c r="B86" t="s">
        <v>16</v>
      </c>
      <c r="C86" t="s">
        <v>79</v>
      </c>
      <c r="D86" t="s">
        <v>209</v>
      </c>
      <c r="E86" t="s">
        <v>190</v>
      </c>
      <c r="F86">
        <v>1.4</v>
      </c>
      <c r="G86">
        <v>1400</v>
      </c>
      <c r="H86">
        <v>0</v>
      </c>
      <c r="I86">
        <v>2420</v>
      </c>
      <c r="J86">
        <v>2689</v>
      </c>
      <c r="K86" t="s">
        <v>595</v>
      </c>
    </row>
    <row r="87" spans="1:11">
      <c r="A87" t="s">
        <v>280</v>
      </c>
      <c r="B87" t="s">
        <v>16</v>
      </c>
      <c r="C87" t="s">
        <v>79</v>
      </c>
      <c r="D87" t="s">
        <v>209</v>
      </c>
      <c r="E87" t="s">
        <v>192</v>
      </c>
      <c r="F87">
        <v>2.4500000000000002</v>
      </c>
      <c r="G87">
        <v>2450</v>
      </c>
      <c r="H87">
        <v>269</v>
      </c>
      <c r="I87">
        <v>2689</v>
      </c>
      <c r="J87">
        <v>2689</v>
      </c>
      <c r="K87" t="s">
        <v>596</v>
      </c>
    </row>
    <row r="88" spans="1:11">
      <c r="A88" t="s">
        <v>281</v>
      </c>
      <c r="B88" t="s">
        <v>16</v>
      </c>
      <c r="C88" t="s">
        <v>79</v>
      </c>
      <c r="D88" t="s">
        <v>209</v>
      </c>
      <c r="E88" t="s">
        <v>194</v>
      </c>
      <c r="F88">
        <v>2.1</v>
      </c>
      <c r="G88">
        <v>2100</v>
      </c>
      <c r="H88">
        <v>672</v>
      </c>
      <c r="I88">
        <v>3092</v>
      </c>
      <c r="J88">
        <v>2689</v>
      </c>
      <c r="K88" t="s">
        <v>597</v>
      </c>
    </row>
    <row r="89" spans="1:11">
      <c r="A89" t="s">
        <v>282</v>
      </c>
      <c r="B89" t="s">
        <v>16</v>
      </c>
      <c r="C89" t="s">
        <v>79</v>
      </c>
      <c r="D89" t="s">
        <v>209</v>
      </c>
      <c r="E89" t="s">
        <v>196</v>
      </c>
      <c r="F89">
        <v>1.05</v>
      </c>
      <c r="G89">
        <v>1050</v>
      </c>
      <c r="H89">
        <v>1210</v>
      </c>
      <c r="I89">
        <v>3630</v>
      </c>
      <c r="J89">
        <v>2689</v>
      </c>
      <c r="K89" t="s">
        <v>598</v>
      </c>
    </row>
    <row r="90" spans="1:11">
      <c r="A90" t="s">
        <v>283</v>
      </c>
      <c r="B90" t="s">
        <v>70</v>
      </c>
      <c r="C90" t="s">
        <v>130</v>
      </c>
      <c r="D90" t="s">
        <v>209</v>
      </c>
      <c r="E90" t="s">
        <v>190</v>
      </c>
      <c r="F90">
        <v>1.68</v>
      </c>
      <c r="G90">
        <v>1680</v>
      </c>
      <c r="H90">
        <v>0</v>
      </c>
      <c r="I90">
        <v>2420</v>
      </c>
      <c r="J90">
        <v>2689</v>
      </c>
      <c r="K90" t="s">
        <v>595</v>
      </c>
    </row>
    <row r="91" spans="1:11">
      <c r="A91" t="s">
        <v>284</v>
      </c>
      <c r="B91" t="s">
        <v>70</v>
      </c>
      <c r="C91" t="s">
        <v>130</v>
      </c>
      <c r="D91" t="s">
        <v>209</v>
      </c>
      <c r="E91" t="s">
        <v>192</v>
      </c>
      <c r="F91">
        <v>2.94</v>
      </c>
      <c r="G91">
        <v>2940</v>
      </c>
      <c r="H91">
        <v>269</v>
      </c>
      <c r="I91">
        <v>2689</v>
      </c>
      <c r="J91">
        <v>2689</v>
      </c>
      <c r="K91" t="s">
        <v>596</v>
      </c>
    </row>
    <row r="92" spans="1:11">
      <c r="A92" t="s">
        <v>285</v>
      </c>
      <c r="B92" t="s">
        <v>70</v>
      </c>
      <c r="C92" t="s">
        <v>130</v>
      </c>
      <c r="D92" t="s">
        <v>209</v>
      </c>
      <c r="E92" t="s">
        <v>194</v>
      </c>
      <c r="F92">
        <v>2.52</v>
      </c>
      <c r="G92">
        <v>2520</v>
      </c>
      <c r="H92">
        <v>672</v>
      </c>
      <c r="I92">
        <v>3092</v>
      </c>
      <c r="J92">
        <v>2689</v>
      </c>
      <c r="K92" t="s">
        <v>597</v>
      </c>
    </row>
    <row r="93" spans="1:11">
      <c r="A93" t="s">
        <v>286</v>
      </c>
      <c r="B93" t="s">
        <v>70</v>
      </c>
      <c r="C93" t="s">
        <v>130</v>
      </c>
      <c r="D93" t="s">
        <v>209</v>
      </c>
      <c r="E93" t="s">
        <v>196</v>
      </c>
      <c r="F93">
        <v>1.26</v>
      </c>
      <c r="G93">
        <v>1260</v>
      </c>
      <c r="H93">
        <v>1210</v>
      </c>
      <c r="I93">
        <v>3630</v>
      </c>
      <c r="J93">
        <v>2689</v>
      </c>
      <c r="K93" t="s">
        <v>598</v>
      </c>
    </row>
    <row r="94" spans="1:11">
      <c r="A94" t="s">
        <v>287</v>
      </c>
      <c r="B94" t="s">
        <v>53</v>
      </c>
      <c r="C94" t="s">
        <v>114</v>
      </c>
      <c r="D94" t="s">
        <v>209</v>
      </c>
      <c r="E94" t="s">
        <v>190</v>
      </c>
      <c r="F94">
        <v>1.36</v>
      </c>
      <c r="G94">
        <v>1360</v>
      </c>
      <c r="H94">
        <v>0</v>
      </c>
      <c r="I94">
        <v>2420</v>
      </c>
      <c r="J94">
        <v>2689</v>
      </c>
      <c r="K94" t="s">
        <v>595</v>
      </c>
    </row>
    <row r="95" spans="1:11">
      <c r="A95" t="s">
        <v>288</v>
      </c>
      <c r="B95" t="s">
        <v>53</v>
      </c>
      <c r="C95" t="s">
        <v>114</v>
      </c>
      <c r="D95" t="s">
        <v>209</v>
      </c>
      <c r="E95" t="s">
        <v>192</v>
      </c>
      <c r="F95">
        <v>2.38</v>
      </c>
      <c r="G95">
        <v>2380</v>
      </c>
      <c r="H95">
        <v>269</v>
      </c>
      <c r="I95">
        <v>2689</v>
      </c>
      <c r="J95">
        <v>2689</v>
      </c>
      <c r="K95" t="s">
        <v>596</v>
      </c>
    </row>
    <row r="96" spans="1:11">
      <c r="A96" t="s">
        <v>289</v>
      </c>
      <c r="B96" t="s">
        <v>53</v>
      </c>
      <c r="C96" t="s">
        <v>114</v>
      </c>
      <c r="D96" t="s">
        <v>209</v>
      </c>
      <c r="E96" t="s">
        <v>194</v>
      </c>
      <c r="F96">
        <v>2.04</v>
      </c>
      <c r="G96">
        <v>2040</v>
      </c>
      <c r="H96">
        <v>672</v>
      </c>
      <c r="I96">
        <v>3092</v>
      </c>
      <c r="J96">
        <v>2689</v>
      </c>
      <c r="K96" t="s">
        <v>597</v>
      </c>
    </row>
    <row r="97" spans="1:11">
      <c r="A97" t="s">
        <v>290</v>
      </c>
      <c r="B97" t="s">
        <v>53</v>
      </c>
      <c r="C97" t="s">
        <v>114</v>
      </c>
      <c r="D97" t="s">
        <v>209</v>
      </c>
      <c r="E97" t="s">
        <v>196</v>
      </c>
      <c r="F97">
        <v>1.02</v>
      </c>
      <c r="G97">
        <v>1020</v>
      </c>
      <c r="H97">
        <v>1210</v>
      </c>
      <c r="I97">
        <v>3630</v>
      </c>
      <c r="J97">
        <v>2689</v>
      </c>
      <c r="K97" t="s">
        <v>598</v>
      </c>
    </row>
    <row r="98" spans="1:11">
      <c r="A98" t="s">
        <v>291</v>
      </c>
      <c r="B98" t="s">
        <v>73</v>
      </c>
      <c r="C98" t="s">
        <v>133</v>
      </c>
      <c r="D98" t="s">
        <v>209</v>
      </c>
      <c r="E98" t="s">
        <v>190</v>
      </c>
      <c r="F98">
        <v>1.02</v>
      </c>
      <c r="G98">
        <v>1020</v>
      </c>
      <c r="H98">
        <v>0</v>
      </c>
      <c r="I98">
        <v>2420</v>
      </c>
      <c r="J98">
        <v>2689</v>
      </c>
      <c r="K98" t="s">
        <v>595</v>
      </c>
    </row>
    <row r="99" spans="1:11">
      <c r="A99" t="s">
        <v>292</v>
      </c>
      <c r="B99" t="s">
        <v>73</v>
      </c>
      <c r="C99" t="s">
        <v>133</v>
      </c>
      <c r="D99" t="s">
        <v>209</v>
      </c>
      <c r="E99" t="s">
        <v>192</v>
      </c>
      <c r="F99">
        <v>1.7849999999999999</v>
      </c>
      <c r="G99">
        <v>1785</v>
      </c>
      <c r="H99">
        <v>269</v>
      </c>
      <c r="I99">
        <v>2689</v>
      </c>
      <c r="J99">
        <v>2689</v>
      </c>
      <c r="K99" t="s">
        <v>596</v>
      </c>
    </row>
    <row r="100" spans="1:11">
      <c r="A100" t="s">
        <v>293</v>
      </c>
      <c r="B100" t="s">
        <v>73</v>
      </c>
      <c r="C100" t="s">
        <v>133</v>
      </c>
      <c r="D100" t="s">
        <v>209</v>
      </c>
      <c r="E100" t="s">
        <v>194</v>
      </c>
      <c r="F100">
        <v>1.53</v>
      </c>
      <c r="G100">
        <v>1530</v>
      </c>
      <c r="H100">
        <v>672</v>
      </c>
      <c r="I100">
        <v>3092</v>
      </c>
      <c r="J100">
        <v>2689</v>
      </c>
      <c r="K100" t="s">
        <v>597</v>
      </c>
    </row>
    <row r="101" spans="1:11">
      <c r="A101" t="s">
        <v>294</v>
      </c>
      <c r="B101" t="s">
        <v>73</v>
      </c>
      <c r="C101" t="s">
        <v>133</v>
      </c>
      <c r="D101" t="s">
        <v>209</v>
      </c>
      <c r="E101" t="s">
        <v>196</v>
      </c>
      <c r="F101">
        <v>0.76500000000000001</v>
      </c>
      <c r="G101">
        <v>765</v>
      </c>
      <c r="H101">
        <v>1210</v>
      </c>
      <c r="I101">
        <v>3630</v>
      </c>
      <c r="J101">
        <v>2689</v>
      </c>
      <c r="K101" t="s">
        <v>598</v>
      </c>
    </row>
    <row r="102" spans="1:11">
      <c r="A102" t="s">
        <v>410</v>
      </c>
      <c r="B102" t="s">
        <v>25</v>
      </c>
      <c r="C102" t="s">
        <v>90</v>
      </c>
      <c r="D102" t="s">
        <v>189</v>
      </c>
      <c r="E102" t="s">
        <v>190</v>
      </c>
      <c r="F102">
        <v>0.1</v>
      </c>
      <c r="G102">
        <v>100</v>
      </c>
      <c r="H102">
        <v>0</v>
      </c>
      <c r="I102">
        <v>2767</v>
      </c>
      <c r="J102">
        <v>3074</v>
      </c>
      <c r="K102" t="s">
        <v>595</v>
      </c>
    </row>
    <row r="103" spans="1:11">
      <c r="A103" t="s">
        <v>411</v>
      </c>
      <c r="B103" t="s">
        <v>25</v>
      </c>
      <c r="C103" t="s">
        <v>90</v>
      </c>
      <c r="D103" t="s">
        <v>189</v>
      </c>
      <c r="E103" t="s">
        <v>192</v>
      </c>
      <c r="F103">
        <v>0.17499999999999999</v>
      </c>
      <c r="G103">
        <v>175</v>
      </c>
      <c r="H103">
        <v>307</v>
      </c>
      <c r="I103">
        <v>3074</v>
      </c>
      <c r="J103">
        <v>3074</v>
      </c>
      <c r="K103" t="s">
        <v>596</v>
      </c>
    </row>
    <row r="104" spans="1:11">
      <c r="A104" t="s">
        <v>412</v>
      </c>
      <c r="B104" t="s">
        <v>25</v>
      </c>
      <c r="C104" t="s">
        <v>90</v>
      </c>
      <c r="D104" t="s">
        <v>189</v>
      </c>
      <c r="E104" t="s">
        <v>194</v>
      </c>
      <c r="F104">
        <v>0.15</v>
      </c>
      <c r="G104">
        <v>150</v>
      </c>
      <c r="H104">
        <v>768</v>
      </c>
      <c r="I104">
        <v>3535</v>
      </c>
      <c r="J104">
        <v>3074</v>
      </c>
      <c r="K104" t="s">
        <v>597</v>
      </c>
    </row>
    <row r="105" spans="1:11">
      <c r="A105" t="s">
        <v>413</v>
      </c>
      <c r="B105" t="s">
        <v>25</v>
      </c>
      <c r="C105" t="s">
        <v>90</v>
      </c>
      <c r="D105" t="s">
        <v>189</v>
      </c>
      <c r="E105" t="s">
        <v>196</v>
      </c>
      <c r="F105">
        <v>7.4999999999999997E-2</v>
      </c>
      <c r="G105">
        <v>75</v>
      </c>
      <c r="H105">
        <v>1383</v>
      </c>
      <c r="I105">
        <v>4150</v>
      </c>
      <c r="J105">
        <v>3074</v>
      </c>
      <c r="K105" t="s">
        <v>598</v>
      </c>
    </row>
    <row r="106" spans="1:11">
      <c r="A106" t="s">
        <v>295</v>
      </c>
      <c r="B106" t="s">
        <v>86</v>
      </c>
      <c r="C106" t="s">
        <v>87</v>
      </c>
      <c r="D106" t="s">
        <v>203</v>
      </c>
      <c r="E106" t="s">
        <v>190</v>
      </c>
      <c r="F106">
        <v>1.1000000000000001</v>
      </c>
      <c r="G106">
        <v>1100</v>
      </c>
      <c r="H106">
        <v>0</v>
      </c>
      <c r="I106">
        <v>2327</v>
      </c>
      <c r="J106">
        <v>2585</v>
      </c>
      <c r="K106" t="s">
        <v>595</v>
      </c>
    </row>
    <row r="107" spans="1:11">
      <c r="A107" t="s">
        <v>296</v>
      </c>
      <c r="B107" t="s">
        <v>86</v>
      </c>
      <c r="C107" t="s">
        <v>87</v>
      </c>
      <c r="D107" t="s">
        <v>203</v>
      </c>
      <c r="E107" t="s">
        <v>192</v>
      </c>
      <c r="F107">
        <v>1.925</v>
      </c>
      <c r="G107">
        <v>1925</v>
      </c>
      <c r="H107">
        <v>259</v>
      </c>
      <c r="I107">
        <v>2585</v>
      </c>
      <c r="J107">
        <v>2585</v>
      </c>
      <c r="K107" t="s">
        <v>596</v>
      </c>
    </row>
    <row r="108" spans="1:11">
      <c r="A108" t="s">
        <v>297</v>
      </c>
      <c r="B108" t="s">
        <v>86</v>
      </c>
      <c r="C108" t="s">
        <v>87</v>
      </c>
      <c r="D108" t="s">
        <v>203</v>
      </c>
      <c r="E108" t="s">
        <v>194</v>
      </c>
      <c r="F108">
        <v>1.65</v>
      </c>
      <c r="G108">
        <v>1650</v>
      </c>
      <c r="H108">
        <v>646</v>
      </c>
      <c r="I108">
        <v>2973</v>
      </c>
      <c r="J108">
        <v>2585</v>
      </c>
      <c r="K108" t="s">
        <v>597</v>
      </c>
    </row>
    <row r="109" spans="1:11">
      <c r="A109" t="s">
        <v>298</v>
      </c>
      <c r="B109" t="s">
        <v>86</v>
      </c>
      <c r="C109" t="s">
        <v>87</v>
      </c>
      <c r="D109" t="s">
        <v>203</v>
      </c>
      <c r="E109" t="s">
        <v>196</v>
      </c>
      <c r="F109">
        <v>0.82499999999999996</v>
      </c>
      <c r="G109">
        <v>825</v>
      </c>
      <c r="H109">
        <v>1163</v>
      </c>
      <c r="I109">
        <v>3490</v>
      </c>
      <c r="J109">
        <v>2585</v>
      </c>
      <c r="K109" t="s">
        <v>598</v>
      </c>
    </row>
    <row r="110" spans="1:11">
      <c r="A110" t="s">
        <v>299</v>
      </c>
      <c r="B110" t="s">
        <v>71</v>
      </c>
      <c r="C110" t="s">
        <v>131</v>
      </c>
      <c r="D110" t="s">
        <v>209</v>
      </c>
      <c r="E110" t="s">
        <v>190</v>
      </c>
      <c r="F110">
        <v>1.18</v>
      </c>
      <c r="G110">
        <v>1180</v>
      </c>
      <c r="H110">
        <v>0</v>
      </c>
      <c r="I110">
        <v>2420</v>
      </c>
      <c r="J110">
        <v>2689</v>
      </c>
      <c r="K110" t="s">
        <v>595</v>
      </c>
    </row>
    <row r="111" spans="1:11">
      <c r="A111" t="s">
        <v>300</v>
      </c>
      <c r="B111" t="s">
        <v>71</v>
      </c>
      <c r="C111" t="s">
        <v>131</v>
      </c>
      <c r="D111" t="s">
        <v>209</v>
      </c>
      <c r="E111" t="s">
        <v>192</v>
      </c>
      <c r="F111">
        <v>2.0649999999999999</v>
      </c>
      <c r="G111">
        <v>2065</v>
      </c>
      <c r="H111">
        <v>269</v>
      </c>
      <c r="I111">
        <v>2689</v>
      </c>
      <c r="J111">
        <v>2689</v>
      </c>
      <c r="K111" t="s">
        <v>596</v>
      </c>
    </row>
    <row r="112" spans="1:11">
      <c r="A112" t="s">
        <v>301</v>
      </c>
      <c r="B112" t="s">
        <v>71</v>
      </c>
      <c r="C112" t="s">
        <v>131</v>
      </c>
      <c r="D112" t="s">
        <v>209</v>
      </c>
      <c r="E112" t="s">
        <v>194</v>
      </c>
      <c r="F112">
        <v>1.77</v>
      </c>
      <c r="G112">
        <v>1770</v>
      </c>
      <c r="H112">
        <v>672</v>
      </c>
      <c r="I112">
        <v>3092</v>
      </c>
      <c r="J112">
        <v>2689</v>
      </c>
      <c r="K112" t="s">
        <v>597</v>
      </c>
    </row>
    <row r="113" spans="1:11">
      <c r="A113" t="s">
        <v>302</v>
      </c>
      <c r="B113" t="s">
        <v>71</v>
      </c>
      <c r="C113" t="s">
        <v>131</v>
      </c>
      <c r="D113" t="s">
        <v>209</v>
      </c>
      <c r="E113" t="s">
        <v>196</v>
      </c>
      <c r="F113">
        <v>0.88500000000000001</v>
      </c>
      <c r="G113">
        <v>885</v>
      </c>
      <c r="H113">
        <v>1210</v>
      </c>
      <c r="I113">
        <v>3630</v>
      </c>
      <c r="J113">
        <v>2689</v>
      </c>
      <c r="K113" t="s">
        <v>598</v>
      </c>
    </row>
    <row r="114" spans="1:11">
      <c r="A114" t="s">
        <v>303</v>
      </c>
      <c r="B114" t="s">
        <v>62</v>
      </c>
      <c r="C114" t="s">
        <v>122</v>
      </c>
      <c r="D114" t="s">
        <v>214</v>
      </c>
      <c r="E114" t="s">
        <v>190</v>
      </c>
      <c r="F114">
        <v>1.1599999999999999</v>
      </c>
      <c r="G114">
        <v>1160</v>
      </c>
      <c r="H114">
        <v>0</v>
      </c>
      <c r="I114">
        <v>2578</v>
      </c>
      <c r="J114">
        <v>2864</v>
      </c>
      <c r="K114" t="s">
        <v>595</v>
      </c>
    </row>
    <row r="115" spans="1:11">
      <c r="A115" t="s">
        <v>304</v>
      </c>
      <c r="B115" t="s">
        <v>62</v>
      </c>
      <c r="C115" t="s">
        <v>122</v>
      </c>
      <c r="D115" t="s">
        <v>214</v>
      </c>
      <c r="E115" t="s">
        <v>192</v>
      </c>
      <c r="F115">
        <v>2.0299999999999998</v>
      </c>
      <c r="G115">
        <v>2030</v>
      </c>
      <c r="H115">
        <v>286</v>
      </c>
      <c r="I115">
        <v>2864</v>
      </c>
      <c r="J115">
        <v>2864</v>
      </c>
      <c r="K115" t="s">
        <v>596</v>
      </c>
    </row>
    <row r="116" spans="1:11">
      <c r="A116" t="s">
        <v>305</v>
      </c>
      <c r="B116" t="s">
        <v>62</v>
      </c>
      <c r="C116" t="s">
        <v>122</v>
      </c>
      <c r="D116" t="s">
        <v>214</v>
      </c>
      <c r="E116" t="s">
        <v>194</v>
      </c>
      <c r="F116">
        <v>1.74</v>
      </c>
      <c r="G116">
        <v>1740</v>
      </c>
      <c r="H116">
        <v>716</v>
      </c>
      <c r="I116">
        <v>3294</v>
      </c>
      <c r="J116">
        <v>2864</v>
      </c>
      <c r="K116" t="s">
        <v>597</v>
      </c>
    </row>
    <row r="117" spans="1:11">
      <c r="A117" t="s">
        <v>306</v>
      </c>
      <c r="B117" t="s">
        <v>62</v>
      </c>
      <c r="C117" t="s">
        <v>122</v>
      </c>
      <c r="D117" t="s">
        <v>214</v>
      </c>
      <c r="E117" t="s">
        <v>196</v>
      </c>
      <c r="F117">
        <v>0.87</v>
      </c>
      <c r="G117">
        <v>870</v>
      </c>
      <c r="H117">
        <v>1289</v>
      </c>
      <c r="I117">
        <v>3867</v>
      </c>
      <c r="J117">
        <v>2864</v>
      </c>
      <c r="K117" t="s">
        <v>598</v>
      </c>
    </row>
    <row r="118" spans="1:11">
      <c r="A118" t="s">
        <v>414</v>
      </c>
      <c r="B118" t="s">
        <v>69</v>
      </c>
      <c r="C118" t="s">
        <v>129</v>
      </c>
      <c r="D118" t="s">
        <v>198</v>
      </c>
      <c r="E118" t="s">
        <v>190</v>
      </c>
      <c r="F118">
        <v>0.04</v>
      </c>
      <c r="G118">
        <v>40</v>
      </c>
      <c r="H118">
        <v>0</v>
      </c>
      <c r="I118">
        <v>2574</v>
      </c>
      <c r="J118">
        <v>2860</v>
      </c>
      <c r="K118" t="s">
        <v>595</v>
      </c>
    </row>
    <row r="119" spans="1:11">
      <c r="A119" t="s">
        <v>415</v>
      </c>
      <c r="B119" t="s">
        <v>69</v>
      </c>
      <c r="C119" t="s">
        <v>129</v>
      </c>
      <c r="D119" t="s">
        <v>198</v>
      </c>
      <c r="E119" t="s">
        <v>192</v>
      </c>
      <c r="F119">
        <v>7.0000000000000007E-2</v>
      </c>
      <c r="G119">
        <v>70</v>
      </c>
      <c r="H119">
        <v>286</v>
      </c>
      <c r="I119">
        <v>2860</v>
      </c>
      <c r="J119">
        <v>2860</v>
      </c>
      <c r="K119" t="s">
        <v>596</v>
      </c>
    </row>
    <row r="120" spans="1:11">
      <c r="A120" t="s">
        <v>416</v>
      </c>
      <c r="B120" t="s">
        <v>69</v>
      </c>
      <c r="C120" t="s">
        <v>129</v>
      </c>
      <c r="D120" t="s">
        <v>198</v>
      </c>
      <c r="E120" t="s">
        <v>194</v>
      </c>
      <c r="F120">
        <v>0.06</v>
      </c>
      <c r="G120">
        <v>60</v>
      </c>
      <c r="H120">
        <v>715</v>
      </c>
      <c r="I120">
        <v>3289</v>
      </c>
      <c r="J120">
        <v>2860</v>
      </c>
      <c r="K120" t="s">
        <v>597</v>
      </c>
    </row>
    <row r="121" spans="1:11">
      <c r="A121" t="s">
        <v>417</v>
      </c>
      <c r="B121" t="s">
        <v>69</v>
      </c>
      <c r="C121" t="s">
        <v>129</v>
      </c>
      <c r="D121" t="s">
        <v>198</v>
      </c>
      <c r="E121" t="s">
        <v>196</v>
      </c>
      <c r="F121">
        <v>0.03</v>
      </c>
      <c r="G121">
        <v>30</v>
      </c>
      <c r="H121">
        <v>1287</v>
      </c>
      <c r="I121">
        <v>3861</v>
      </c>
      <c r="J121">
        <v>2860</v>
      </c>
      <c r="K121" t="s">
        <v>598</v>
      </c>
    </row>
    <row r="122" spans="1:11">
      <c r="A122" t="s">
        <v>307</v>
      </c>
      <c r="B122" t="s">
        <v>74</v>
      </c>
      <c r="C122" t="s">
        <v>134</v>
      </c>
      <c r="D122" t="s">
        <v>209</v>
      </c>
      <c r="E122" t="s">
        <v>190</v>
      </c>
      <c r="F122">
        <v>0.72</v>
      </c>
      <c r="G122">
        <v>720</v>
      </c>
      <c r="H122">
        <v>0</v>
      </c>
      <c r="I122">
        <v>2420</v>
      </c>
      <c r="J122">
        <v>2689</v>
      </c>
      <c r="K122" t="s">
        <v>595</v>
      </c>
    </row>
    <row r="123" spans="1:11">
      <c r="A123" t="s">
        <v>308</v>
      </c>
      <c r="B123" t="s">
        <v>74</v>
      </c>
      <c r="C123" t="s">
        <v>134</v>
      </c>
      <c r="D123" t="s">
        <v>209</v>
      </c>
      <c r="E123" t="s">
        <v>192</v>
      </c>
      <c r="F123">
        <v>1.26</v>
      </c>
      <c r="G123">
        <v>1260</v>
      </c>
      <c r="H123">
        <v>269</v>
      </c>
      <c r="I123">
        <v>2689</v>
      </c>
      <c r="J123">
        <v>2689</v>
      </c>
      <c r="K123" t="s">
        <v>596</v>
      </c>
    </row>
    <row r="124" spans="1:11">
      <c r="A124" t="s">
        <v>309</v>
      </c>
      <c r="B124" t="s">
        <v>74</v>
      </c>
      <c r="C124" t="s">
        <v>134</v>
      </c>
      <c r="D124" t="s">
        <v>209</v>
      </c>
      <c r="E124" t="s">
        <v>194</v>
      </c>
      <c r="F124">
        <v>1.08</v>
      </c>
      <c r="G124">
        <v>1080</v>
      </c>
      <c r="H124">
        <v>672</v>
      </c>
      <c r="I124">
        <v>3092</v>
      </c>
      <c r="J124">
        <v>2689</v>
      </c>
      <c r="K124" t="s">
        <v>597</v>
      </c>
    </row>
    <row r="125" spans="1:11">
      <c r="A125" t="s">
        <v>310</v>
      </c>
      <c r="B125" t="s">
        <v>74</v>
      </c>
      <c r="C125" t="s">
        <v>134</v>
      </c>
      <c r="D125" t="s">
        <v>209</v>
      </c>
      <c r="E125" t="s">
        <v>196</v>
      </c>
      <c r="F125">
        <v>0.54</v>
      </c>
      <c r="G125">
        <v>540</v>
      </c>
      <c r="H125">
        <v>1210</v>
      </c>
      <c r="I125">
        <v>3630</v>
      </c>
      <c r="J125">
        <v>2689</v>
      </c>
      <c r="K125" t="s">
        <v>598</v>
      </c>
    </row>
    <row r="126" spans="1:11">
      <c r="A126" t="s">
        <v>311</v>
      </c>
      <c r="B126" t="s">
        <v>44</v>
      </c>
      <c r="C126" t="s">
        <v>312</v>
      </c>
      <c r="D126" t="s">
        <v>198</v>
      </c>
      <c r="E126" t="s">
        <v>190</v>
      </c>
      <c r="F126">
        <v>0.4</v>
      </c>
      <c r="G126">
        <v>400</v>
      </c>
      <c r="H126">
        <v>0</v>
      </c>
      <c r="I126">
        <v>2574</v>
      </c>
      <c r="J126">
        <v>2860</v>
      </c>
      <c r="K126" t="s">
        <v>595</v>
      </c>
    </row>
    <row r="127" spans="1:11">
      <c r="A127" t="s">
        <v>313</v>
      </c>
      <c r="B127" t="s">
        <v>44</v>
      </c>
      <c r="C127" t="s">
        <v>312</v>
      </c>
      <c r="D127" t="s">
        <v>198</v>
      </c>
      <c r="E127" t="s">
        <v>192</v>
      </c>
      <c r="F127">
        <v>0.7</v>
      </c>
      <c r="G127">
        <v>700</v>
      </c>
      <c r="H127">
        <v>286</v>
      </c>
      <c r="I127">
        <v>2860</v>
      </c>
      <c r="J127">
        <v>2860</v>
      </c>
      <c r="K127" t="s">
        <v>596</v>
      </c>
    </row>
    <row r="128" spans="1:11">
      <c r="A128" t="s">
        <v>314</v>
      </c>
      <c r="B128" t="s">
        <v>44</v>
      </c>
      <c r="C128" t="s">
        <v>312</v>
      </c>
      <c r="D128" t="s">
        <v>198</v>
      </c>
      <c r="E128" t="s">
        <v>194</v>
      </c>
      <c r="F128">
        <v>0.6</v>
      </c>
      <c r="G128">
        <v>600</v>
      </c>
      <c r="H128">
        <v>715</v>
      </c>
      <c r="I128">
        <v>3289</v>
      </c>
      <c r="J128">
        <v>2860</v>
      </c>
      <c r="K128" t="s">
        <v>597</v>
      </c>
    </row>
    <row r="129" spans="1:11">
      <c r="A129" t="s">
        <v>315</v>
      </c>
      <c r="B129" t="s">
        <v>44</v>
      </c>
      <c r="C129" t="s">
        <v>312</v>
      </c>
      <c r="D129" t="s">
        <v>198</v>
      </c>
      <c r="E129" t="s">
        <v>196</v>
      </c>
      <c r="F129">
        <v>0.3</v>
      </c>
      <c r="G129">
        <v>300</v>
      </c>
      <c r="H129">
        <v>1287</v>
      </c>
      <c r="I129">
        <v>3861</v>
      </c>
      <c r="J129">
        <v>2860</v>
      </c>
      <c r="K129" t="s">
        <v>598</v>
      </c>
    </row>
    <row r="130" spans="1:11">
      <c r="A130" t="s">
        <v>316</v>
      </c>
      <c r="B130" t="s">
        <v>43</v>
      </c>
      <c r="C130" t="s">
        <v>105</v>
      </c>
      <c r="D130" t="s">
        <v>209</v>
      </c>
      <c r="E130" t="s">
        <v>190</v>
      </c>
      <c r="F130">
        <v>0.8</v>
      </c>
      <c r="G130">
        <v>800</v>
      </c>
      <c r="H130">
        <v>0</v>
      </c>
      <c r="I130">
        <v>2420</v>
      </c>
      <c r="J130">
        <v>2689</v>
      </c>
      <c r="K130" t="s">
        <v>595</v>
      </c>
    </row>
    <row r="131" spans="1:11">
      <c r="A131" t="s">
        <v>317</v>
      </c>
      <c r="B131" t="s">
        <v>43</v>
      </c>
      <c r="C131" t="s">
        <v>105</v>
      </c>
      <c r="D131" t="s">
        <v>209</v>
      </c>
      <c r="E131" t="s">
        <v>192</v>
      </c>
      <c r="F131">
        <v>1.4</v>
      </c>
      <c r="G131">
        <v>1400</v>
      </c>
      <c r="H131">
        <v>269</v>
      </c>
      <c r="I131">
        <v>2689</v>
      </c>
      <c r="J131">
        <v>2689</v>
      </c>
      <c r="K131" t="s">
        <v>596</v>
      </c>
    </row>
    <row r="132" spans="1:11">
      <c r="A132" t="s">
        <v>318</v>
      </c>
      <c r="B132" t="s">
        <v>43</v>
      </c>
      <c r="C132" t="s">
        <v>105</v>
      </c>
      <c r="D132" t="s">
        <v>209</v>
      </c>
      <c r="E132" t="s">
        <v>194</v>
      </c>
      <c r="F132">
        <v>1.2</v>
      </c>
      <c r="G132">
        <v>1200</v>
      </c>
      <c r="H132">
        <v>672</v>
      </c>
      <c r="I132">
        <v>3092</v>
      </c>
      <c r="J132">
        <v>2689</v>
      </c>
      <c r="K132" t="s">
        <v>597</v>
      </c>
    </row>
    <row r="133" spans="1:11">
      <c r="A133" t="s">
        <v>319</v>
      </c>
      <c r="B133" t="s">
        <v>43</v>
      </c>
      <c r="C133" t="s">
        <v>105</v>
      </c>
      <c r="D133" t="s">
        <v>209</v>
      </c>
      <c r="E133" t="s">
        <v>196</v>
      </c>
      <c r="F133">
        <v>0.6</v>
      </c>
      <c r="G133">
        <v>600</v>
      </c>
      <c r="H133">
        <v>1210</v>
      </c>
      <c r="I133">
        <v>3630</v>
      </c>
      <c r="J133">
        <v>2689</v>
      </c>
      <c r="K133" t="s">
        <v>598</v>
      </c>
    </row>
    <row r="134" spans="1:11">
      <c r="A134" t="s">
        <v>418</v>
      </c>
      <c r="B134" t="s">
        <v>45</v>
      </c>
      <c r="C134" t="s">
        <v>106</v>
      </c>
      <c r="D134" t="s">
        <v>231</v>
      </c>
      <c r="E134" t="s">
        <v>190</v>
      </c>
      <c r="F134">
        <v>0.1</v>
      </c>
      <c r="G134">
        <v>100</v>
      </c>
      <c r="H134">
        <v>0</v>
      </c>
      <c r="I134">
        <v>2046</v>
      </c>
      <c r="J134">
        <v>2273</v>
      </c>
      <c r="K134" t="s">
        <v>595</v>
      </c>
    </row>
    <row r="135" spans="1:11">
      <c r="A135" t="s">
        <v>419</v>
      </c>
      <c r="B135" t="s">
        <v>45</v>
      </c>
      <c r="C135" t="s">
        <v>106</v>
      </c>
      <c r="D135" t="s">
        <v>231</v>
      </c>
      <c r="E135" t="s">
        <v>192</v>
      </c>
      <c r="F135">
        <v>0.17499999999999999</v>
      </c>
      <c r="G135">
        <v>175</v>
      </c>
      <c r="H135">
        <v>227</v>
      </c>
      <c r="I135">
        <v>2273</v>
      </c>
      <c r="J135">
        <v>2273</v>
      </c>
      <c r="K135" t="s">
        <v>596</v>
      </c>
    </row>
    <row r="136" spans="1:11">
      <c r="A136" t="s">
        <v>420</v>
      </c>
      <c r="B136" t="s">
        <v>45</v>
      </c>
      <c r="C136" t="s">
        <v>106</v>
      </c>
      <c r="D136" t="s">
        <v>231</v>
      </c>
      <c r="E136" t="s">
        <v>194</v>
      </c>
      <c r="F136">
        <v>0.15</v>
      </c>
      <c r="G136">
        <v>150</v>
      </c>
      <c r="H136">
        <v>568</v>
      </c>
      <c r="I136">
        <v>2614</v>
      </c>
      <c r="J136">
        <v>2273</v>
      </c>
      <c r="K136" t="s">
        <v>597</v>
      </c>
    </row>
    <row r="137" spans="1:11">
      <c r="A137" t="s">
        <v>421</v>
      </c>
      <c r="B137" t="s">
        <v>45</v>
      </c>
      <c r="C137" t="s">
        <v>106</v>
      </c>
      <c r="D137" t="s">
        <v>231</v>
      </c>
      <c r="E137" t="s">
        <v>196</v>
      </c>
      <c r="F137">
        <v>7.4999999999999997E-2</v>
      </c>
      <c r="G137">
        <v>75</v>
      </c>
      <c r="H137">
        <v>1023</v>
      </c>
      <c r="I137">
        <v>3068</v>
      </c>
      <c r="J137">
        <v>2273</v>
      </c>
      <c r="K137" t="s">
        <v>598</v>
      </c>
    </row>
    <row r="138" spans="1:11">
      <c r="A138" t="s">
        <v>320</v>
      </c>
      <c r="B138" t="s">
        <v>36</v>
      </c>
      <c r="C138" t="s">
        <v>98</v>
      </c>
      <c r="D138" t="s">
        <v>189</v>
      </c>
      <c r="E138" t="s">
        <v>190</v>
      </c>
      <c r="F138">
        <v>0.48</v>
      </c>
      <c r="G138">
        <v>480</v>
      </c>
      <c r="H138">
        <v>0</v>
      </c>
      <c r="I138">
        <v>2767</v>
      </c>
      <c r="J138">
        <v>3074</v>
      </c>
      <c r="K138" t="s">
        <v>595</v>
      </c>
    </row>
    <row r="139" spans="1:11">
      <c r="A139" t="s">
        <v>321</v>
      </c>
      <c r="B139" t="s">
        <v>36</v>
      </c>
      <c r="C139" t="s">
        <v>98</v>
      </c>
      <c r="D139" t="s">
        <v>189</v>
      </c>
      <c r="E139" t="s">
        <v>192</v>
      </c>
      <c r="F139">
        <v>0.84</v>
      </c>
      <c r="G139">
        <v>840</v>
      </c>
      <c r="H139">
        <v>307</v>
      </c>
      <c r="I139">
        <v>3074</v>
      </c>
      <c r="J139">
        <v>3074</v>
      </c>
      <c r="K139" t="s">
        <v>596</v>
      </c>
    </row>
    <row r="140" spans="1:11">
      <c r="A140" t="s">
        <v>322</v>
      </c>
      <c r="B140" t="s">
        <v>36</v>
      </c>
      <c r="C140" t="s">
        <v>98</v>
      </c>
      <c r="D140" t="s">
        <v>189</v>
      </c>
      <c r="E140" t="s">
        <v>194</v>
      </c>
      <c r="F140">
        <v>0.72</v>
      </c>
      <c r="G140">
        <v>720</v>
      </c>
      <c r="H140">
        <v>768</v>
      </c>
      <c r="I140">
        <v>3535</v>
      </c>
      <c r="J140">
        <v>3074</v>
      </c>
      <c r="K140" t="s">
        <v>597</v>
      </c>
    </row>
    <row r="141" spans="1:11">
      <c r="A141" t="s">
        <v>323</v>
      </c>
      <c r="B141" t="s">
        <v>36</v>
      </c>
      <c r="C141" t="s">
        <v>98</v>
      </c>
      <c r="D141" t="s">
        <v>189</v>
      </c>
      <c r="E141" t="s">
        <v>196</v>
      </c>
      <c r="F141">
        <v>0.36</v>
      </c>
      <c r="G141">
        <v>360</v>
      </c>
      <c r="H141">
        <v>1383</v>
      </c>
      <c r="I141">
        <v>4150</v>
      </c>
      <c r="J141">
        <v>3074</v>
      </c>
      <c r="K141" t="s">
        <v>598</v>
      </c>
    </row>
    <row r="142" spans="1:11">
      <c r="A142" t="s">
        <v>324</v>
      </c>
      <c r="B142" t="s">
        <v>15</v>
      </c>
      <c r="C142" t="s">
        <v>78</v>
      </c>
      <c r="D142" t="s">
        <v>203</v>
      </c>
      <c r="E142" t="s">
        <v>190</v>
      </c>
      <c r="F142">
        <v>0.4</v>
      </c>
      <c r="G142">
        <v>400</v>
      </c>
      <c r="H142">
        <v>0</v>
      </c>
      <c r="I142">
        <v>2327</v>
      </c>
      <c r="J142">
        <v>2585</v>
      </c>
      <c r="K142" t="s">
        <v>595</v>
      </c>
    </row>
    <row r="143" spans="1:11">
      <c r="A143" t="s">
        <v>325</v>
      </c>
      <c r="B143" t="s">
        <v>15</v>
      </c>
      <c r="C143" t="s">
        <v>78</v>
      </c>
      <c r="D143" t="s">
        <v>203</v>
      </c>
      <c r="E143" t="s">
        <v>192</v>
      </c>
      <c r="F143">
        <v>0.7</v>
      </c>
      <c r="G143">
        <v>700</v>
      </c>
      <c r="H143">
        <v>259</v>
      </c>
      <c r="I143">
        <v>2585</v>
      </c>
      <c r="J143">
        <v>2585</v>
      </c>
      <c r="K143" t="s">
        <v>596</v>
      </c>
    </row>
    <row r="144" spans="1:11">
      <c r="A144" t="s">
        <v>326</v>
      </c>
      <c r="B144" t="s">
        <v>15</v>
      </c>
      <c r="C144" t="s">
        <v>78</v>
      </c>
      <c r="D144" t="s">
        <v>203</v>
      </c>
      <c r="E144" t="s">
        <v>194</v>
      </c>
      <c r="F144">
        <v>0.6</v>
      </c>
      <c r="G144">
        <v>600</v>
      </c>
      <c r="H144">
        <v>646</v>
      </c>
      <c r="I144">
        <v>2973</v>
      </c>
      <c r="J144">
        <v>2585</v>
      </c>
      <c r="K144" t="s">
        <v>597</v>
      </c>
    </row>
    <row r="145" spans="1:11">
      <c r="A145" t="s">
        <v>327</v>
      </c>
      <c r="B145" t="s">
        <v>15</v>
      </c>
      <c r="C145" t="s">
        <v>78</v>
      </c>
      <c r="D145" t="s">
        <v>203</v>
      </c>
      <c r="E145" t="s">
        <v>196</v>
      </c>
      <c r="F145">
        <v>0.3</v>
      </c>
      <c r="G145">
        <v>300</v>
      </c>
      <c r="H145">
        <v>1163</v>
      </c>
      <c r="I145">
        <v>3490</v>
      </c>
      <c r="J145">
        <v>2585</v>
      </c>
      <c r="K145" t="s">
        <v>598</v>
      </c>
    </row>
    <row r="146" spans="1:11">
      <c r="A146" t="s">
        <v>328</v>
      </c>
      <c r="B146" t="s">
        <v>29</v>
      </c>
      <c r="C146" t="s">
        <v>329</v>
      </c>
      <c r="D146" t="s">
        <v>209</v>
      </c>
      <c r="E146" t="s">
        <v>190</v>
      </c>
      <c r="F146">
        <v>0.44</v>
      </c>
      <c r="G146">
        <v>440</v>
      </c>
      <c r="H146">
        <v>0</v>
      </c>
      <c r="I146">
        <v>2420</v>
      </c>
      <c r="J146">
        <v>2689</v>
      </c>
      <c r="K146" t="s">
        <v>595</v>
      </c>
    </row>
    <row r="147" spans="1:11">
      <c r="A147" t="s">
        <v>330</v>
      </c>
      <c r="B147" t="s">
        <v>29</v>
      </c>
      <c r="C147" t="s">
        <v>329</v>
      </c>
      <c r="D147" t="s">
        <v>209</v>
      </c>
      <c r="E147" t="s">
        <v>192</v>
      </c>
      <c r="F147">
        <v>0.77</v>
      </c>
      <c r="G147">
        <v>770</v>
      </c>
      <c r="H147">
        <v>269</v>
      </c>
      <c r="I147">
        <v>2689</v>
      </c>
      <c r="J147">
        <v>2689</v>
      </c>
      <c r="K147" t="s">
        <v>596</v>
      </c>
    </row>
    <row r="148" spans="1:11">
      <c r="A148" t="s">
        <v>331</v>
      </c>
      <c r="B148" t="s">
        <v>29</v>
      </c>
      <c r="C148" t="s">
        <v>329</v>
      </c>
      <c r="D148" t="s">
        <v>209</v>
      </c>
      <c r="E148" t="s">
        <v>194</v>
      </c>
      <c r="F148">
        <v>0.66</v>
      </c>
      <c r="G148">
        <v>660</v>
      </c>
      <c r="H148">
        <v>672</v>
      </c>
      <c r="I148">
        <v>3092</v>
      </c>
      <c r="J148">
        <v>2689</v>
      </c>
      <c r="K148" t="s">
        <v>597</v>
      </c>
    </row>
    <row r="149" spans="1:11">
      <c r="A149" t="s">
        <v>332</v>
      </c>
      <c r="B149" t="s">
        <v>29</v>
      </c>
      <c r="C149" t="s">
        <v>329</v>
      </c>
      <c r="D149" t="s">
        <v>209</v>
      </c>
      <c r="E149" t="s">
        <v>196</v>
      </c>
      <c r="F149">
        <v>0.33</v>
      </c>
      <c r="G149">
        <v>330</v>
      </c>
      <c r="H149">
        <v>1210</v>
      </c>
      <c r="I149">
        <v>3630</v>
      </c>
      <c r="J149">
        <v>2689</v>
      </c>
      <c r="K149" t="s">
        <v>598</v>
      </c>
    </row>
    <row r="150" spans="1:11">
      <c r="A150" t="s">
        <v>333</v>
      </c>
      <c r="B150" t="s">
        <v>34</v>
      </c>
      <c r="C150" t="s">
        <v>96</v>
      </c>
      <c r="D150" t="s">
        <v>209</v>
      </c>
      <c r="E150" t="s">
        <v>190</v>
      </c>
      <c r="F150">
        <v>0.4</v>
      </c>
      <c r="G150">
        <v>400</v>
      </c>
      <c r="H150">
        <v>0</v>
      </c>
      <c r="I150">
        <v>2420</v>
      </c>
      <c r="J150">
        <v>2689</v>
      </c>
      <c r="K150" t="s">
        <v>595</v>
      </c>
    </row>
    <row r="151" spans="1:11">
      <c r="A151" t="s">
        <v>334</v>
      </c>
      <c r="B151" t="s">
        <v>34</v>
      </c>
      <c r="C151" t="s">
        <v>96</v>
      </c>
      <c r="D151" t="s">
        <v>209</v>
      </c>
      <c r="E151" t="s">
        <v>192</v>
      </c>
      <c r="F151">
        <v>0.7</v>
      </c>
      <c r="G151">
        <v>700</v>
      </c>
      <c r="H151">
        <v>269</v>
      </c>
      <c r="I151">
        <v>2689</v>
      </c>
      <c r="J151">
        <v>2689</v>
      </c>
      <c r="K151" t="s">
        <v>596</v>
      </c>
    </row>
    <row r="152" spans="1:11">
      <c r="A152" t="s">
        <v>335</v>
      </c>
      <c r="B152" t="s">
        <v>34</v>
      </c>
      <c r="C152" t="s">
        <v>96</v>
      </c>
      <c r="D152" t="s">
        <v>209</v>
      </c>
      <c r="E152" t="s">
        <v>194</v>
      </c>
      <c r="F152">
        <v>0.6</v>
      </c>
      <c r="G152">
        <v>600</v>
      </c>
      <c r="H152">
        <v>672</v>
      </c>
      <c r="I152">
        <v>3092</v>
      </c>
      <c r="J152">
        <v>2689</v>
      </c>
      <c r="K152" t="s">
        <v>597</v>
      </c>
    </row>
    <row r="153" spans="1:11">
      <c r="A153" t="s">
        <v>336</v>
      </c>
      <c r="B153" t="s">
        <v>34</v>
      </c>
      <c r="C153" t="s">
        <v>96</v>
      </c>
      <c r="D153" t="s">
        <v>209</v>
      </c>
      <c r="E153" t="s">
        <v>196</v>
      </c>
      <c r="F153">
        <v>0.3</v>
      </c>
      <c r="G153">
        <v>300</v>
      </c>
      <c r="H153">
        <v>1210</v>
      </c>
      <c r="I153">
        <v>3630</v>
      </c>
      <c r="J153">
        <v>2689</v>
      </c>
      <c r="K153" t="s">
        <v>598</v>
      </c>
    </row>
    <row r="154" spans="1:11">
      <c r="A154" t="s">
        <v>337</v>
      </c>
      <c r="B154" t="s">
        <v>33</v>
      </c>
      <c r="C154" t="s">
        <v>95</v>
      </c>
      <c r="D154" t="s">
        <v>209</v>
      </c>
      <c r="E154" t="s">
        <v>190</v>
      </c>
      <c r="F154">
        <v>0.34</v>
      </c>
      <c r="G154">
        <v>340</v>
      </c>
      <c r="H154">
        <v>0</v>
      </c>
      <c r="I154">
        <v>2420</v>
      </c>
      <c r="J154">
        <v>2689</v>
      </c>
      <c r="K154" t="s">
        <v>595</v>
      </c>
    </row>
    <row r="155" spans="1:11">
      <c r="A155" t="s">
        <v>338</v>
      </c>
      <c r="B155" t="s">
        <v>33</v>
      </c>
      <c r="C155" t="s">
        <v>95</v>
      </c>
      <c r="D155" t="s">
        <v>209</v>
      </c>
      <c r="E155" t="s">
        <v>192</v>
      </c>
      <c r="F155">
        <v>0.59499999999999997</v>
      </c>
      <c r="G155">
        <v>595</v>
      </c>
      <c r="H155">
        <v>269</v>
      </c>
      <c r="I155">
        <v>2689</v>
      </c>
      <c r="J155">
        <v>2689</v>
      </c>
      <c r="K155" t="s">
        <v>596</v>
      </c>
    </row>
    <row r="156" spans="1:11">
      <c r="A156" t="s">
        <v>339</v>
      </c>
      <c r="B156" t="s">
        <v>33</v>
      </c>
      <c r="C156" t="s">
        <v>95</v>
      </c>
      <c r="D156" t="s">
        <v>209</v>
      </c>
      <c r="E156" t="s">
        <v>194</v>
      </c>
      <c r="F156">
        <v>0.51</v>
      </c>
      <c r="G156">
        <v>510</v>
      </c>
      <c r="H156">
        <v>672</v>
      </c>
      <c r="I156">
        <v>3092</v>
      </c>
      <c r="J156">
        <v>2689</v>
      </c>
      <c r="K156" t="s">
        <v>597</v>
      </c>
    </row>
    <row r="157" spans="1:11">
      <c r="A157" t="s">
        <v>340</v>
      </c>
      <c r="B157" t="s">
        <v>33</v>
      </c>
      <c r="C157" t="s">
        <v>95</v>
      </c>
      <c r="D157" t="s">
        <v>209</v>
      </c>
      <c r="E157" t="s">
        <v>196</v>
      </c>
      <c r="F157">
        <v>0.255</v>
      </c>
      <c r="G157">
        <v>255</v>
      </c>
      <c r="H157">
        <v>1210</v>
      </c>
      <c r="I157">
        <v>3630</v>
      </c>
      <c r="J157">
        <v>2689</v>
      </c>
      <c r="K157" t="s">
        <v>598</v>
      </c>
    </row>
    <row r="158" spans="1:11">
      <c r="A158" t="s">
        <v>422</v>
      </c>
      <c r="B158" t="s">
        <v>423</v>
      </c>
      <c r="C158" t="s">
        <v>424</v>
      </c>
      <c r="D158" t="s">
        <v>209</v>
      </c>
      <c r="E158" t="s">
        <v>190</v>
      </c>
      <c r="F158">
        <v>0.04</v>
      </c>
      <c r="G158">
        <v>40</v>
      </c>
      <c r="H158">
        <v>0</v>
      </c>
      <c r="I158">
        <v>2420</v>
      </c>
      <c r="J158">
        <v>2689</v>
      </c>
      <c r="K158" t="s">
        <v>595</v>
      </c>
    </row>
    <row r="159" spans="1:11">
      <c r="A159" t="s">
        <v>425</v>
      </c>
      <c r="B159" t="s">
        <v>423</v>
      </c>
      <c r="C159" t="s">
        <v>424</v>
      </c>
      <c r="D159" t="s">
        <v>209</v>
      </c>
      <c r="E159" t="s">
        <v>192</v>
      </c>
      <c r="F159">
        <v>7.0000000000000007E-2</v>
      </c>
      <c r="G159">
        <v>70</v>
      </c>
      <c r="H159">
        <v>269</v>
      </c>
      <c r="I159">
        <v>2689</v>
      </c>
      <c r="J159">
        <v>2689</v>
      </c>
      <c r="K159" t="s">
        <v>596</v>
      </c>
    </row>
    <row r="160" spans="1:11">
      <c r="A160" t="s">
        <v>426</v>
      </c>
      <c r="B160" t="s">
        <v>423</v>
      </c>
      <c r="C160" t="s">
        <v>424</v>
      </c>
      <c r="D160" t="s">
        <v>209</v>
      </c>
      <c r="E160" t="s">
        <v>194</v>
      </c>
      <c r="F160">
        <v>0.06</v>
      </c>
      <c r="G160">
        <v>60</v>
      </c>
      <c r="H160">
        <v>672</v>
      </c>
      <c r="I160">
        <v>3092</v>
      </c>
      <c r="J160">
        <v>2689</v>
      </c>
      <c r="K160" t="s">
        <v>597</v>
      </c>
    </row>
    <row r="161" spans="1:11">
      <c r="A161" t="s">
        <v>427</v>
      </c>
      <c r="B161" t="s">
        <v>423</v>
      </c>
      <c r="C161" t="s">
        <v>424</v>
      </c>
      <c r="D161" t="s">
        <v>209</v>
      </c>
      <c r="E161" t="s">
        <v>196</v>
      </c>
      <c r="F161">
        <v>0.03</v>
      </c>
      <c r="G161">
        <v>30</v>
      </c>
      <c r="H161">
        <v>1210</v>
      </c>
      <c r="I161">
        <v>3630</v>
      </c>
      <c r="J161">
        <v>2689</v>
      </c>
      <c r="K161" t="s">
        <v>598</v>
      </c>
    </row>
    <row r="162" spans="1:11">
      <c r="A162" t="s">
        <v>341</v>
      </c>
      <c r="B162" t="s">
        <v>35</v>
      </c>
      <c r="C162" t="s">
        <v>97</v>
      </c>
      <c r="D162" t="s">
        <v>189</v>
      </c>
      <c r="E162" t="s">
        <v>190</v>
      </c>
      <c r="F162">
        <v>0.18</v>
      </c>
      <c r="G162">
        <v>180</v>
      </c>
      <c r="H162">
        <v>0</v>
      </c>
      <c r="I162">
        <v>2767</v>
      </c>
      <c r="J162">
        <v>3074</v>
      </c>
      <c r="K162" t="s">
        <v>595</v>
      </c>
    </row>
    <row r="163" spans="1:11">
      <c r="A163" t="s">
        <v>342</v>
      </c>
      <c r="B163" t="s">
        <v>35</v>
      </c>
      <c r="C163" t="s">
        <v>97</v>
      </c>
      <c r="D163" t="s">
        <v>189</v>
      </c>
      <c r="E163" t="s">
        <v>192</v>
      </c>
      <c r="F163">
        <v>0.315</v>
      </c>
      <c r="G163">
        <v>315</v>
      </c>
      <c r="H163">
        <v>307</v>
      </c>
      <c r="I163">
        <v>3074</v>
      </c>
      <c r="J163">
        <v>3074</v>
      </c>
      <c r="K163" t="s">
        <v>596</v>
      </c>
    </row>
    <row r="164" spans="1:11">
      <c r="A164" t="s">
        <v>343</v>
      </c>
      <c r="B164" t="s">
        <v>35</v>
      </c>
      <c r="C164" t="s">
        <v>97</v>
      </c>
      <c r="D164" t="s">
        <v>189</v>
      </c>
      <c r="E164" t="s">
        <v>194</v>
      </c>
      <c r="F164">
        <v>0.27</v>
      </c>
      <c r="G164">
        <v>270</v>
      </c>
      <c r="H164">
        <v>768</v>
      </c>
      <c r="I164">
        <v>3535</v>
      </c>
      <c r="J164">
        <v>3074</v>
      </c>
      <c r="K164" t="s">
        <v>597</v>
      </c>
    </row>
    <row r="165" spans="1:11">
      <c r="A165" t="s">
        <v>344</v>
      </c>
      <c r="B165" t="s">
        <v>35</v>
      </c>
      <c r="C165" t="s">
        <v>97</v>
      </c>
      <c r="D165" t="s">
        <v>189</v>
      </c>
      <c r="E165" t="s">
        <v>196</v>
      </c>
      <c r="F165">
        <v>0.13500000000000001</v>
      </c>
      <c r="G165">
        <v>135</v>
      </c>
      <c r="H165">
        <v>1383</v>
      </c>
      <c r="I165">
        <v>4150</v>
      </c>
      <c r="J165">
        <v>3074</v>
      </c>
      <c r="K165" t="s">
        <v>598</v>
      </c>
    </row>
    <row r="166" spans="1:11">
      <c r="A166" t="s">
        <v>345</v>
      </c>
      <c r="B166" t="s">
        <v>68</v>
      </c>
      <c r="C166" t="s">
        <v>128</v>
      </c>
      <c r="D166" t="s">
        <v>189</v>
      </c>
      <c r="E166" t="s">
        <v>190</v>
      </c>
      <c r="F166">
        <v>0.34</v>
      </c>
      <c r="G166">
        <v>340</v>
      </c>
      <c r="H166">
        <v>0</v>
      </c>
      <c r="I166">
        <v>2767</v>
      </c>
      <c r="J166">
        <v>3074</v>
      </c>
      <c r="K166" t="s">
        <v>595</v>
      </c>
    </row>
    <row r="167" spans="1:11">
      <c r="A167" t="s">
        <v>346</v>
      </c>
      <c r="B167" t="s">
        <v>68</v>
      </c>
      <c r="C167" t="s">
        <v>128</v>
      </c>
      <c r="D167" t="s">
        <v>189</v>
      </c>
      <c r="E167" t="s">
        <v>192</v>
      </c>
      <c r="F167">
        <v>0.59499999999999997</v>
      </c>
      <c r="G167">
        <v>595</v>
      </c>
      <c r="H167">
        <v>307</v>
      </c>
      <c r="I167">
        <v>3074</v>
      </c>
      <c r="J167">
        <v>3074</v>
      </c>
      <c r="K167" t="s">
        <v>596</v>
      </c>
    </row>
    <row r="168" spans="1:11">
      <c r="A168" t="s">
        <v>347</v>
      </c>
      <c r="B168" t="s">
        <v>68</v>
      </c>
      <c r="C168" t="s">
        <v>128</v>
      </c>
      <c r="D168" t="s">
        <v>189</v>
      </c>
      <c r="E168" t="s">
        <v>194</v>
      </c>
      <c r="F168">
        <v>0.51</v>
      </c>
      <c r="G168">
        <v>510</v>
      </c>
      <c r="H168">
        <v>768</v>
      </c>
      <c r="I168">
        <v>3535</v>
      </c>
      <c r="J168">
        <v>3074</v>
      </c>
      <c r="K168" t="s">
        <v>597</v>
      </c>
    </row>
    <row r="169" spans="1:11">
      <c r="A169" t="s">
        <v>348</v>
      </c>
      <c r="B169" t="s">
        <v>68</v>
      </c>
      <c r="C169" t="s">
        <v>128</v>
      </c>
      <c r="D169" t="s">
        <v>189</v>
      </c>
      <c r="E169" t="s">
        <v>196</v>
      </c>
      <c r="F169">
        <v>0.255</v>
      </c>
      <c r="G169">
        <v>255</v>
      </c>
      <c r="H169">
        <v>1383</v>
      </c>
      <c r="I169">
        <v>4150</v>
      </c>
      <c r="J169">
        <v>3074</v>
      </c>
      <c r="K169" t="s">
        <v>598</v>
      </c>
    </row>
    <row r="170" spans="1:11">
      <c r="A170" t="s">
        <v>349</v>
      </c>
      <c r="B170" t="s">
        <v>48</v>
      </c>
      <c r="C170" t="s">
        <v>109</v>
      </c>
      <c r="D170" t="s">
        <v>209</v>
      </c>
      <c r="E170" t="s">
        <v>190</v>
      </c>
      <c r="F170">
        <v>0.28000000000000003</v>
      </c>
      <c r="G170">
        <v>280</v>
      </c>
      <c r="H170">
        <v>0</v>
      </c>
      <c r="I170">
        <v>2420</v>
      </c>
      <c r="J170">
        <v>2689</v>
      </c>
      <c r="K170" t="s">
        <v>595</v>
      </c>
    </row>
    <row r="171" spans="1:11">
      <c r="A171" t="s">
        <v>350</v>
      </c>
      <c r="B171" t="s">
        <v>48</v>
      </c>
      <c r="C171" t="s">
        <v>109</v>
      </c>
      <c r="D171" t="s">
        <v>209</v>
      </c>
      <c r="E171" t="s">
        <v>192</v>
      </c>
      <c r="F171">
        <v>0.49</v>
      </c>
      <c r="G171">
        <v>490</v>
      </c>
      <c r="H171">
        <v>269</v>
      </c>
      <c r="I171">
        <v>2689</v>
      </c>
      <c r="J171">
        <v>2689</v>
      </c>
      <c r="K171" t="s">
        <v>596</v>
      </c>
    </row>
    <row r="172" spans="1:11">
      <c r="A172" t="s">
        <v>351</v>
      </c>
      <c r="B172" t="s">
        <v>48</v>
      </c>
      <c r="C172" t="s">
        <v>109</v>
      </c>
      <c r="D172" t="s">
        <v>209</v>
      </c>
      <c r="E172" t="s">
        <v>194</v>
      </c>
      <c r="F172">
        <v>0.42</v>
      </c>
      <c r="G172">
        <v>420</v>
      </c>
      <c r="H172">
        <v>672</v>
      </c>
      <c r="I172">
        <v>3092</v>
      </c>
      <c r="J172">
        <v>2689</v>
      </c>
      <c r="K172" t="s">
        <v>597</v>
      </c>
    </row>
    <row r="173" spans="1:11">
      <c r="A173" t="s">
        <v>352</v>
      </c>
      <c r="B173" t="s">
        <v>48</v>
      </c>
      <c r="C173" t="s">
        <v>109</v>
      </c>
      <c r="D173" t="s">
        <v>209</v>
      </c>
      <c r="E173" t="s">
        <v>196</v>
      </c>
      <c r="F173">
        <v>0.21</v>
      </c>
      <c r="G173">
        <v>210</v>
      </c>
      <c r="H173">
        <v>1210</v>
      </c>
      <c r="I173">
        <v>3630</v>
      </c>
      <c r="J173">
        <v>2689</v>
      </c>
      <c r="K173" t="s">
        <v>598</v>
      </c>
    </row>
    <row r="174" spans="1:11">
      <c r="A174" t="s">
        <v>353</v>
      </c>
      <c r="B174" t="s">
        <v>37</v>
      </c>
      <c r="C174" t="s">
        <v>99</v>
      </c>
      <c r="D174" t="s">
        <v>189</v>
      </c>
      <c r="E174" t="s">
        <v>190</v>
      </c>
      <c r="F174">
        <v>0.12</v>
      </c>
      <c r="G174">
        <v>120</v>
      </c>
      <c r="H174">
        <v>0</v>
      </c>
      <c r="I174">
        <v>2767</v>
      </c>
      <c r="J174">
        <v>3074</v>
      </c>
      <c r="K174" t="s">
        <v>595</v>
      </c>
    </row>
    <row r="175" spans="1:11">
      <c r="A175" t="s">
        <v>354</v>
      </c>
      <c r="B175" t="s">
        <v>37</v>
      </c>
      <c r="C175" t="s">
        <v>99</v>
      </c>
      <c r="D175" t="s">
        <v>189</v>
      </c>
      <c r="E175" t="s">
        <v>192</v>
      </c>
      <c r="F175">
        <v>0.21</v>
      </c>
      <c r="G175">
        <v>210</v>
      </c>
      <c r="H175">
        <v>307</v>
      </c>
      <c r="I175">
        <v>3074</v>
      </c>
      <c r="J175">
        <v>3074</v>
      </c>
      <c r="K175" t="s">
        <v>596</v>
      </c>
    </row>
    <row r="176" spans="1:11">
      <c r="A176" t="s">
        <v>355</v>
      </c>
      <c r="B176" t="s">
        <v>37</v>
      </c>
      <c r="C176" t="s">
        <v>99</v>
      </c>
      <c r="D176" t="s">
        <v>189</v>
      </c>
      <c r="E176" t="s">
        <v>194</v>
      </c>
      <c r="F176">
        <v>0.18</v>
      </c>
      <c r="G176">
        <v>180</v>
      </c>
      <c r="H176">
        <v>768</v>
      </c>
      <c r="I176">
        <v>3535</v>
      </c>
      <c r="J176">
        <v>3074</v>
      </c>
      <c r="K176" t="s">
        <v>597</v>
      </c>
    </row>
    <row r="177" spans="1:11">
      <c r="A177" t="s">
        <v>356</v>
      </c>
      <c r="B177" t="s">
        <v>37</v>
      </c>
      <c r="C177" t="s">
        <v>99</v>
      </c>
      <c r="D177" t="s">
        <v>189</v>
      </c>
      <c r="E177" t="s">
        <v>196</v>
      </c>
      <c r="F177">
        <v>0.09</v>
      </c>
      <c r="G177">
        <v>90</v>
      </c>
      <c r="H177">
        <v>1383</v>
      </c>
      <c r="I177">
        <v>4150</v>
      </c>
      <c r="J177">
        <v>3074</v>
      </c>
      <c r="K177" t="s">
        <v>598</v>
      </c>
    </row>
    <row r="178" spans="1:11">
      <c r="A178" t="s">
        <v>428</v>
      </c>
      <c r="B178" t="s">
        <v>26</v>
      </c>
      <c r="C178" t="s">
        <v>429</v>
      </c>
      <c r="D178" t="s">
        <v>209</v>
      </c>
      <c r="E178" t="s">
        <v>190</v>
      </c>
      <c r="F178">
        <v>0.04</v>
      </c>
      <c r="G178">
        <v>40</v>
      </c>
      <c r="H178">
        <v>0</v>
      </c>
      <c r="I178">
        <v>2420</v>
      </c>
      <c r="J178">
        <v>2689</v>
      </c>
      <c r="K178" t="s">
        <v>595</v>
      </c>
    </row>
    <row r="179" spans="1:11">
      <c r="A179" t="s">
        <v>430</v>
      </c>
      <c r="B179" t="s">
        <v>26</v>
      </c>
      <c r="C179" t="s">
        <v>429</v>
      </c>
      <c r="D179" t="s">
        <v>209</v>
      </c>
      <c r="E179" t="s">
        <v>192</v>
      </c>
      <c r="F179">
        <v>7.0000000000000007E-2</v>
      </c>
      <c r="G179">
        <v>70</v>
      </c>
      <c r="H179">
        <v>269</v>
      </c>
      <c r="I179">
        <v>2689</v>
      </c>
      <c r="J179">
        <v>2689</v>
      </c>
      <c r="K179" t="s">
        <v>596</v>
      </c>
    </row>
    <row r="180" spans="1:11">
      <c r="A180" t="s">
        <v>431</v>
      </c>
      <c r="B180" t="s">
        <v>26</v>
      </c>
      <c r="C180" t="s">
        <v>429</v>
      </c>
      <c r="D180" t="s">
        <v>209</v>
      </c>
      <c r="E180" t="s">
        <v>194</v>
      </c>
      <c r="F180">
        <v>0.06</v>
      </c>
      <c r="G180">
        <v>60</v>
      </c>
      <c r="H180">
        <v>672</v>
      </c>
      <c r="I180">
        <v>3092</v>
      </c>
      <c r="J180">
        <v>2689</v>
      </c>
      <c r="K180" t="s">
        <v>597</v>
      </c>
    </row>
    <row r="181" spans="1:11">
      <c r="A181" t="s">
        <v>432</v>
      </c>
      <c r="B181" t="s">
        <v>26</v>
      </c>
      <c r="C181" t="s">
        <v>429</v>
      </c>
      <c r="D181" t="s">
        <v>209</v>
      </c>
      <c r="E181" t="s">
        <v>196</v>
      </c>
      <c r="F181">
        <v>0.03</v>
      </c>
      <c r="G181">
        <v>30</v>
      </c>
      <c r="H181">
        <v>1210</v>
      </c>
      <c r="I181">
        <v>3630</v>
      </c>
      <c r="J181">
        <v>2689</v>
      </c>
      <c r="K181" t="s">
        <v>598</v>
      </c>
    </row>
    <row r="182" spans="1:11">
      <c r="A182" t="s">
        <v>357</v>
      </c>
      <c r="B182" t="s">
        <v>23</v>
      </c>
      <c r="C182" t="s">
        <v>88</v>
      </c>
      <c r="D182" t="s">
        <v>209</v>
      </c>
      <c r="E182" t="s">
        <v>190</v>
      </c>
      <c r="F182">
        <v>0.24</v>
      </c>
      <c r="G182">
        <v>240</v>
      </c>
      <c r="H182">
        <v>0</v>
      </c>
      <c r="I182">
        <v>2420</v>
      </c>
      <c r="J182">
        <v>2689</v>
      </c>
      <c r="K182" t="s">
        <v>595</v>
      </c>
    </row>
    <row r="183" spans="1:11">
      <c r="A183" t="s">
        <v>358</v>
      </c>
      <c r="B183" t="s">
        <v>23</v>
      </c>
      <c r="C183" t="s">
        <v>88</v>
      </c>
      <c r="D183" t="s">
        <v>209</v>
      </c>
      <c r="E183" t="s">
        <v>192</v>
      </c>
      <c r="F183">
        <v>0.42</v>
      </c>
      <c r="G183">
        <v>420</v>
      </c>
      <c r="H183">
        <v>269</v>
      </c>
      <c r="I183">
        <v>2689</v>
      </c>
      <c r="J183">
        <v>2689</v>
      </c>
      <c r="K183" t="s">
        <v>596</v>
      </c>
    </row>
    <row r="184" spans="1:11">
      <c r="A184" t="s">
        <v>359</v>
      </c>
      <c r="B184" t="s">
        <v>23</v>
      </c>
      <c r="C184" t="s">
        <v>88</v>
      </c>
      <c r="D184" t="s">
        <v>209</v>
      </c>
      <c r="E184" t="s">
        <v>194</v>
      </c>
      <c r="F184">
        <v>0.36</v>
      </c>
      <c r="G184">
        <v>360</v>
      </c>
      <c r="H184">
        <v>672</v>
      </c>
      <c r="I184">
        <v>3092</v>
      </c>
      <c r="J184">
        <v>2689</v>
      </c>
      <c r="K184" t="s">
        <v>597</v>
      </c>
    </row>
    <row r="185" spans="1:11">
      <c r="A185" t="s">
        <v>360</v>
      </c>
      <c r="B185" t="s">
        <v>23</v>
      </c>
      <c r="C185" t="s">
        <v>88</v>
      </c>
      <c r="D185" t="s">
        <v>209</v>
      </c>
      <c r="E185" t="s">
        <v>196</v>
      </c>
      <c r="F185">
        <v>0.18</v>
      </c>
      <c r="G185">
        <v>180</v>
      </c>
      <c r="H185">
        <v>1210</v>
      </c>
      <c r="I185">
        <v>3630</v>
      </c>
      <c r="J185">
        <v>2689</v>
      </c>
      <c r="K185" t="s">
        <v>598</v>
      </c>
    </row>
    <row r="186" spans="1:11">
      <c r="A186" t="s">
        <v>361</v>
      </c>
      <c r="B186" t="s">
        <v>57</v>
      </c>
      <c r="C186" t="s">
        <v>117</v>
      </c>
      <c r="D186" t="s">
        <v>189</v>
      </c>
      <c r="E186" t="s">
        <v>190</v>
      </c>
      <c r="F186">
        <v>0.14000000000000001</v>
      </c>
      <c r="G186">
        <v>140</v>
      </c>
      <c r="H186">
        <v>0</v>
      </c>
      <c r="I186">
        <v>2767</v>
      </c>
      <c r="J186">
        <v>3074</v>
      </c>
      <c r="K186" t="s">
        <v>595</v>
      </c>
    </row>
    <row r="187" spans="1:11">
      <c r="A187" t="s">
        <v>362</v>
      </c>
      <c r="B187" t="s">
        <v>57</v>
      </c>
      <c r="C187" t="s">
        <v>117</v>
      </c>
      <c r="D187" t="s">
        <v>189</v>
      </c>
      <c r="E187" t="s">
        <v>192</v>
      </c>
      <c r="F187">
        <v>0.245</v>
      </c>
      <c r="G187">
        <v>245</v>
      </c>
      <c r="H187">
        <v>307</v>
      </c>
      <c r="I187">
        <v>3074</v>
      </c>
      <c r="J187">
        <v>3074</v>
      </c>
      <c r="K187" t="s">
        <v>596</v>
      </c>
    </row>
    <row r="188" spans="1:11">
      <c r="A188" t="s">
        <v>363</v>
      </c>
      <c r="B188" t="s">
        <v>57</v>
      </c>
      <c r="C188" t="s">
        <v>117</v>
      </c>
      <c r="D188" t="s">
        <v>189</v>
      </c>
      <c r="E188" t="s">
        <v>194</v>
      </c>
      <c r="F188">
        <v>0.21</v>
      </c>
      <c r="G188">
        <v>210</v>
      </c>
      <c r="H188">
        <v>768</v>
      </c>
      <c r="I188">
        <v>3535</v>
      </c>
      <c r="J188">
        <v>3074</v>
      </c>
      <c r="K188" t="s">
        <v>597</v>
      </c>
    </row>
    <row r="189" spans="1:11">
      <c r="A189" t="s">
        <v>364</v>
      </c>
      <c r="B189" t="s">
        <v>57</v>
      </c>
      <c r="C189" t="s">
        <v>117</v>
      </c>
      <c r="D189" t="s">
        <v>189</v>
      </c>
      <c r="E189" t="s">
        <v>196</v>
      </c>
      <c r="F189">
        <v>0.105</v>
      </c>
      <c r="G189">
        <v>105</v>
      </c>
      <c r="H189">
        <v>1383</v>
      </c>
      <c r="I189">
        <v>4150</v>
      </c>
      <c r="J189">
        <v>3074</v>
      </c>
      <c r="K189" t="s">
        <v>598</v>
      </c>
    </row>
    <row r="190" spans="1:11">
      <c r="A190" t="s">
        <v>365</v>
      </c>
      <c r="B190" t="s">
        <v>66</v>
      </c>
      <c r="C190" t="s">
        <v>126</v>
      </c>
      <c r="D190" t="s">
        <v>209</v>
      </c>
      <c r="E190" t="s">
        <v>190</v>
      </c>
      <c r="F190">
        <v>0.16</v>
      </c>
      <c r="G190">
        <v>160</v>
      </c>
      <c r="H190">
        <v>0</v>
      </c>
      <c r="I190">
        <v>2420</v>
      </c>
      <c r="J190">
        <v>2689</v>
      </c>
      <c r="K190" t="s">
        <v>595</v>
      </c>
    </row>
    <row r="191" spans="1:11">
      <c r="A191" t="s">
        <v>366</v>
      </c>
      <c r="B191" t="s">
        <v>66</v>
      </c>
      <c r="C191" t="s">
        <v>126</v>
      </c>
      <c r="D191" t="s">
        <v>209</v>
      </c>
      <c r="E191" t="s">
        <v>192</v>
      </c>
      <c r="F191">
        <v>0.28000000000000003</v>
      </c>
      <c r="G191">
        <v>280</v>
      </c>
      <c r="H191">
        <v>269</v>
      </c>
      <c r="I191">
        <v>2689</v>
      </c>
      <c r="J191">
        <v>2689</v>
      </c>
      <c r="K191" t="s">
        <v>596</v>
      </c>
    </row>
    <row r="192" spans="1:11">
      <c r="A192" t="s">
        <v>367</v>
      </c>
      <c r="B192" t="s">
        <v>66</v>
      </c>
      <c r="C192" t="s">
        <v>126</v>
      </c>
      <c r="D192" t="s">
        <v>209</v>
      </c>
      <c r="E192" t="s">
        <v>194</v>
      </c>
      <c r="F192">
        <v>0.24</v>
      </c>
      <c r="G192">
        <v>240</v>
      </c>
      <c r="H192">
        <v>672</v>
      </c>
      <c r="I192">
        <v>3092</v>
      </c>
      <c r="J192">
        <v>2689</v>
      </c>
      <c r="K192" t="s">
        <v>597</v>
      </c>
    </row>
    <row r="193" spans="1:11">
      <c r="A193" t="s">
        <v>368</v>
      </c>
      <c r="B193" t="s">
        <v>66</v>
      </c>
      <c r="C193" t="s">
        <v>126</v>
      </c>
      <c r="D193" t="s">
        <v>209</v>
      </c>
      <c r="E193" t="s">
        <v>196</v>
      </c>
      <c r="F193">
        <v>0.12</v>
      </c>
      <c r="G193">
        <v>120</v>
      </c>
      <c r="H193">
        <v>1210</v>
      </c>
      <c r="I193">
        <v>3630</v>
      </c>
      <c r="J193">
        <v>2689</v>
      </c>
      <c r="K193" t="s">
        <v>598</v>
      </c>
    </row>
    <row r="194" spans="1:11">
      <c r="A194" t="s">
        <v>369</v>
      </c>
      <c r="B194" t="s">
        <v>54</v>
      </c>
      <c r="C194" t="s">
        <v>115</v>
      </c>
      <c r="D194" t="s">
        <v>209</v>
      </c>
      <c r="E194" t="s">
        <v>190</v>
      </c>
      <c r="F194">
        <v>0.1</v>
      </c>
      <c r="G194">
        <v>100</v>
      </c>
      <c r="H194">
        <v>0</v>
      </c>
      <c r="I194">
        <v>2420</v>
      </c>
      <c r="J194">
        <v>2689</v>
      </c>
      <c r="K194" t="s">
        <v>595</v>
      </c>
    </row>
    <row r="195" spans="1:11">
      <c r="A195" t="s">
        <v>370</v>
      </c>
      <c r="B195" t="s">
        <v>54</v>
      </c>
      <c r="C195" t="s">
        <v>115</v>
      </c>
      <c r="D195" t="s">
        <v>209</v>
      </c>
      <c r="E195" t="s">
        <v>192</v>
      </c>
      <c r="F195">
        <v>0.17499999999999999</v>
      </c>
      <c r="G195">
        <v>175</v>
      </c>
      <c r="H195">
        <v>269</v>
      </c>
      <c r="I195">
        <v>2689</v>
      </c>
      <c r="J195">
        <v>2689</v>
      </c>
      <c r="K195" t="s">
        <v>596</v>
      </c>
    </row>
    <row r="196" spans="1:11">
      <c r="A196" t="s">
        <v>371</v>
      </c>
      <c r="B196" t="s">
        <v>54</v>
      </c>
      <c r="C196" t="s">
        <v>115</v>
      </c>
      <c r="D196" t="s">
        <v>209</v>
      </c>
      <c r="E196" t="s">
        <v>194</v>
      </c>
      <c r="F196">
        <v>0.15</v>
      </c>
      <c r="G196">
        <v>150</v>
      </c>
      <c r="H196">
        <v>672</v>
      </c>
      <c r="I196">
        <v>3092</v>
      </c>
      <c r="J196">
        <v>2689</v>
      </c>
      <c r="K196" t="s">
        <v>597</v>
      </c>
    </row>
    <row r="197" spans="1:11">
      <c r="A197" t="s">
        <v>372</v>
      </c>
      <c r="B197" t="s">
        <v>54</v>
      </c>
      <c r="C197" t="s">
        <v>115</v>
      </c>
      <c r="D197" t="s">
        <v>209</v>
      </c>
      <c r="E197" t="s">
        <v>196</v>
      </c>
      <c r="F197">
        <v>7.4999999999999997E-2</v>
      </c>
      <c r="G197">
        <v>75</v>
      </c>
      <c r="H197">
        <v>1210</v>
      </c>
      <c r="I197">
        <v>3630</v>
      </c>
      <c r="J197">
        <v>2689</v>
      </c>
      <c r="K197" t="s">
        <v>598</v>
      </c>
    </row>
    <row r="198" spans="1:11">
      <c r="A198" t="s">
        <v>373</v>
      </c>
      <c r="B198" t="s">
        <v>52</v>
      </c>
      <c r="C198" t="s">
        <v>113</v>
      </c>
      <c r="D198" t="s">
        <v>231</v>
      </c>
      <c r="E198" t="s">
        <v>190</v>
      </c>
      <c r="F198">
        <v>0.16</v>
      </c>
      <c r="G198">
        <v>160</v>
      </c>
      <c r="H198">
        <v>0</v>
      </c>
      <c r="I198">
        <v>2046</v>
      </c>
      <c r="J198">
        <v>2273</v>
      </c>
      <c r="K198" t="s">
        <v>595</v>
      </c>
    </row>
    <row r="199" spans="1:11">
      <c r="A199" t="s">
        <v>374</v>
      </c>
      <c r="B199" t="s">
        <v>52</v>
      </c>
      <c r="C199" t="s">
        <v>113</v>
      </c>
      <c r="D199" t="s">
        <v>231</v>
      </c>
      <c r="E199" t="s">
        <v>192</v>
      </c>
      <c r="F199">
        <v>0.28000000000000003</v>
      </c>
      <c r="G199">
        <v>280</v>
      </c>
      <c r="H199">
        <v>227</v>
      </c>
      <c r="I199">
        <v>2273</v>
      </c>
      <c r="J199">
        <v>2273</v>
      </c>
      <c r="K199" t="s">
        <v>596</v>
      </c>
    </row>
    <row r="200" spans="1:11">
      <c r="A200" t="s">
        <v>375</v>
      </c>
      <c r="B200" t="s">
        <v>52</v>
      </c>
      <c r="C200" t="s">
        <v>113</v>
      </c>
      <c r="D200" t="s">
        <v>231</v>
      </c>
      <c r="E200" t="s">
        <v>194</v>
      </c>
      <c r="F200">
        <v>0.24</v>
      </c>
      <c r="G200">
        <v>240</v>
      </c>
      <c r="H200">
        <v>568</v>
      </c>
      <c r="I200">
        <v>2614</v>
      </c>
      <c r="J200">
        <v>2273</v>
      </c>
      <c r="K200" t="s">
        <v>597</v>
      </c>
    </row>
    <row r="201" spans="1:11">
      <c r="A201" t="s">
        <v>376</v>
      </c>
      <c r="B201" t="s">
        <v>52</v>
      </c>
      <c r="C201" t="s">
        <v>113</v>
      </c>
      <c r="D201" t="s">
        <v>231</v>
      </c>
      <c r="E201" t="s">
        <v>196</v>
      </c>
      <c r="F201">
        <v>0.12</v>
      </c>
      <c r="G201">
        <v>120</v>
      </c>
      <c r="H201">
        <v>1023</v>
      </c>
      <c r="I201">
        <v>3068</v>
      </c>
      <c r="J201">
        <v>2273</v>
      </c>
      <c r="K201" t="s">
        <v>598</v>
      </c>
    </row>
    <row r="202" spans="1:11">
      <c r="A202" t="s">
        <v>377</v>
      </c>
      <c r="B202" t="s">
        <v>50</v>
      </c>
      <c r="C202" t="s">
        <v>111</v>
      </c>
      <c r="D202" t="s">
        <v>209</v>
      </c>
      <c r="E202" t="s">
        <v>190</v>
      </c>
      <c r="F202">
        <v>0.12</v>
      </c>
      <c r="G202">
        <v>120</v>
      </c>
      <c r="H202">
        <v>0</v>
      </c>
      <c r="I202">
        <v>2420</v>
      </c>
      <c r="J202">
        <v>2689</v>
      </c>
      <c r="K202" t="s">
        <v>595</v>
      </c>
    </row>
    <row r="203" spans="1:11">
      <c r="A203" t="s">
        <v>378</v>
      </c>
      <c r="B203" t="s">
        <v>50</v>
      </c>
      <c r="C203" t="s">
        <v>111</v>
      </c>
      <c r="D203" t="s">
        <v>209</v>
      </c>
      <c r="E203" t="s">
        <v>192</v>
      </c>
      <c r="F203">
        <v>0.21</v>
      </c>
      <c r="G203">
        <v>210</v>
      </c>
      <c r="H203">
        <v>269</v>
      </c>
      <c r="I203">
        <v>2689</v>
      </c>
      <c r="J203">
        <v>2689</v>
      </c>
      <c r="K203" t="s">
        <v>596</v>
      </c>
    </row>
    <row r="204" spans="1:11">
      <c r="A204" t="s">
        <v>379</v>
      </c>
      <c r="B204" t="s">
        <v>50</v>
      </c>
      <c r="C204" t="s">
        <v>111</v>
      </c>
      <c r="D204" t="s">
        <v>209</v>
      </c>
      <c r="E204" t="s">
        <v>194</v>
      </c>
      <c r="F204">
        <v>0.18</v>
      </c>
      <c r="G204">
        <v>180</v>
      </c>
      <c r="H204">
        <v>672</v>
      </c>
      <c r="I204">
        <v>3092</v>
      </c>
      <c r="J204">
        <v>2689</v>
      </c>
      <c r="K204" t="s">
        <v>597</v>
      </c>
    </row>
    <row r="205" spans="1:11">
      <c r="A205" t="s">
        <v>380</v>
      </c>
      <c r="B205" t="s">
        <v>50</v>
      </c>
      <c r="C205" t="s">
        <v>111</v>
      </c>
      <c r="D205" t="s">
        <v>209</v>
      </c>
      <c r="E205" t="s">
        <v>196</v>
      </c>
      <c r="F205">
        <v>0.09</v>
      </c>
      <c r="G205">
        <v>90</v>
      </c>
      <c r="H205">
        <v>1210</v>
      </c>
      <c r="I205">
        <v>3630</v>
      </c>
      <c r="J205">
        <v>2689</v>
      </c>
      <c r="K205" t="s">
        <v>598</v>
      </c>
    </row>
    <row r="206" spans="1:11">
      <c r="A206" t="s">
        <v>433</v>
      </c>
      <c r="B206" t="s">
        <v>67</v>
      </c>
      <c r="C206" t="s">
        <v>127</v>
      </c>
      <c r="D206" t="s">
        <v>189</v>
      </c>
      <c r="E206" t="s">
        <v>190</v>
      </c>
      <c r="F206">
        <v>0.02</v>
      </c>
      <c r="G206">
        <v>20</v>
      </c>
      <c r="H206">
        <v>0</v>
      </c>
      <c r="I206">
        <v>2767</v>
      </c>
      <c r="J206">
        <v>3074</v>
      </c>
      <c r="K206" t="s">
        <v>595</v>
      </c>
    </row>
    <row r="207" spans="1:11">
      <c r="A207" t="s">
        <v>434</v>
      </c>
      <c r="B207" t="s">
        <v>67</v>
      </c>
      <c r="C207" t="s">
        <v>127</v>
      </c>
      <c r="D207" t="s">
        <v>189</v>
      </c>
      <c r="E207" t="s">
        <v>192</v>
      </c>
      <c r="F207">
        <v>3.5000000000000003E-2</v>
      </c>
      <c r="G207">
        <v>35</v>
      </c>
      <c r="H207">
        <v>307</v>
      </c>
      <c r="I207">
        <v>3074</v>
      </c>
      <c r="J207">
        <v>3074</v>
      </c>
      <c r="K207" t="s">
        <v>596</v>
      </c>
    </row>
    <row r="208" spans="1:11">
      <c r="A208" t="s">
        <v>435</v>
      </c>
      <c r="B208" t="s">
        <v>67</v>
      </c>
      <c r="C208" t="s">
        <v>127</v>
      </c>
      <c r="D208" t="s">
        <v>189</v>
      </c>
      <c r="E208" t="s">
        <v>194</v>
      </c>
      <c r="F208">
        <v>0.03</v>
      </c>
      <c r="G208">
        <v>30</v>
      </c>
      <c r="H208">
        <v>768</v>
      </c>
      <c r="I208">
        <v>3535</v>
      </c>
      <c r="J208">
        <v>3074</v>
      </c>
      <c r="K208" t="s">
        <v>597</v>
      </c>
    </row>
    <row r="209" spans="1:11">
      <c r="A209" t="s">
        <v>436</v>
      </c>
      <c r="B209" t="s">
        <v>67</v>
      </c>
      <c r="C209" t="s">
        <v>127</v>
      </c>
      <c r="D209" t="s">
        <v>189</v>
      </c>
      <c r="E209" t="s">
        <v>196</v>
      </c>
      <c r="F209">
        <v>1.4999999999999999E-2</v>
      </c>
      <c r="G209">
        <v>15</v>
      </c>
      <c r="H209">
        <v>1383</v>
      </c>
      <c r="I209">
        <v>4150</v>
      </c>
      <c r="J209">
        <v>3074</v>
      </c>
      <c r="K209" t="s">
        <v>598</v>
      </c>
    </row>
    <row r="210" spans="1:11">
      <c r="A210" t="s">
        <v>381</v>
      </c>
      <c r="B210" t="s">
        <v>65</v>
      </c>
      <c r="C210" t="s">
        <v>125</v>
      </c>
      <c r="D210" t="s">
        <v>209</v>
      </c>
      <c r="E210" t="s">
        <v>190</v>
      </c>
      <c r="F210">
        <v>0.06</v>
      </c>
      <c r="G210">
        <v>60</v>
      </c>
      <c r="H210">
        <v>0</v>
      </c>
      <c r="I210">
        <v>2420</v>
      </c>
      <c r="J210">
        <v>2689</v>
      </c>
      <c r="K210" t="s">
        <v>595</v>
      </c>
    </row>
    <row r="211" spans="1:11">
      <c r="A211" t="s">
        <v>382</v>
      </c>
      <c r="B211" t="s">
        <v>65</v>
      </c>
      <c r="C211" t="s">
        <v>125</v>
      </c>
      <c r="D211" t="s">
        <v>209</v>
      </c>
      <c r="E211" t="s">
        <v>192</v>
      </c>
      <c r="F211">
        <v>0.105</v>
      </c>
      <c r="G211">
        <v>105</v>
      </c>
      <c r="H211">
        <v>269</v>
      </c>
      <c r="I211">
        <v>2689</v>
      </c>
      <c r="J211">
        <v>2689</v>
      </c>
      <c r="K211" t="s">
        <v>596</v>
      </c>
    </row>
    <row r="212" spans="1:11">
      <c r="A212" t="s">
        <v>383</v>
      </c>
      <c r="B212" t="s">
        <v>65</v>
      </c>
      <c r="C212" t="s">
        <v>125</v>
      </c>
      <c r="D212" t="s">
        <v>209</v>
      </c>
      <c r="E212" t="s">
        <v>194</v>
      </c>
      <c r="F212">
        <v>0.09</v>
      </c>
      <c r="G212">
        <v>90</v>
      </c>
      <c r="H212">
        <v>672</v>
      </c>
      <c r="I212">
        <v>3092</v>
      </c>
      <c r="J212">
        <v>2689</v>
      </c>
      <c r="K212" t="s">
        <v>597</v>
      </c>
    </row>
    <row r="213" spans="1:11">
      <c r="A213" t="s">
        <v>384</v>
      </c>
      <c r="B213" t="s">
        <v>65</v>
      </c>
      <c r="C213" t="s">
        <v>125</v>
      </c>
      <c r="D213" t="s">
        <v>209</v>
      </c>
      <c r="E213" t="s">
        <v>196</v>
      </c>
      <c r="F213">
        <v>4.4999999999999998E-2</v>
      </c>
      <c r="G213">
        <v>45</v>
      </c>
      <c r="H213">
        <v>1210</v>
      </c>
      <c r="I213">
        <v>3630</v>
      </c>
      <c r="J213">
        <v>2689</v>
      </c>
      <c r="K213" t="s">
        <v>598</v>
      </c>
    </row>
    <row r="214" spans="1:11">
      <c r="A214" t="s">
        <v>385</v>
      </c>
      <c r="B214" t="s">
        <v>64</v>
      </c>
      <c r="C214" t="s">
        <v>124</v>
      </c>
      <c r="D214" t="s">
        <v>209</v>
      </c>
      <c r="E214" t="s">
        <v>190</v>
      </c>
      <c r="F214">
        <v>0.08</v>
      </c>
      <c r="G214">
        <v>80</v>
      </c>
      <c r="H214">
        <v>0</v>
      </c>
      <c r="I214">
        <v>2420</v>
      </c>
      <c r="J214">
        <v>2689</v>
      </c>
      <c r="K214" t="s">
        <v>595</v>
      </c>
    </row>
    <row r="215" spans="1:11">
      <c r="A215" t="s">
        <v>386</v>
      </c>
      <c r="B215" t="s">
        <v>64</v>
      </c>
      <c r="C215" t="s">
        <v>124</v>
      </c>
      <c r="D215" t="s">
        <v>209</v>
      </c>
      <c r="E215" t="s">
        <v>192</v>
      </c>
      <c r="F215">
        <v>0.14000000000000001</v>
      </c>
      <c r="G215">
        <v>140</v>
      </c>
      <c r="H215">
        <v>269</v>
      </c>
      <c r="I215">
        <v>2689</v>
      </c>
      <c r="J215">
        <v>2689</v>
      </c>
      <c r="K215" t="s">
        <v>596</v>
      </c>
    </row>
    <row r="216" spans="1:11">
      <c r="A216" t="s">
        <v>387</v>
      </c>
      <c r="B216" t="s">
        <v>64</v>
      </c>
      <c r="C216" t="s">
        <v>124</v>
      </c>
      <c r="D216" t="s">
        <v>209</v>
      </c>
      <c r="E216" t="s">
        <v>194</v>
      </c>
      <c r="F216">
        <v>0.12</v>
      </c>
      <c r="G216">
        <v>120</v>
      </c>
      <c r="H216">
        <v>672</v>
      </c>
      <c r="I216">
        <v>3092</v>
      </c>
      <c r="J216">
        <v>2689</v>
      </c>
      <c r="K216" t="s">
        <v>597</v>
      </c>
    </row>
    <row r="217" spans="1:11">
      <c r="A217" t="s">
        <v>388</v>
      </c>
      <c r="B217" t="s">
        <v>64</v>
      </c>
      <c r="C217" t="s">
        <v>124</v>
      </c>
      <c r="D217" t="s">
        <v>209</v>
      </c>
      <c r="E217" t="s">
        <v>196</v>
      </c>
      <c r="F217">
        <v>0.06</v>
      </c>
      <c r="G217">
        <v>60</v>
      </c>
      <c r="H217">
        <v>1210</v>
      </c>
      <c r="I217">
        <v>3630</v>
      </c>
      <c r="J217">
        <v>2689</v>
      </c>
      <c r="K217" t="s">
        <v>598</v>
      </c>
    </row>
    <row r="218" spans="1:11">
      <c r="A218" t="s">
        <v>389</v>
      </c>
      <c r="B218" t="s">
        <v>47</v>
      </c>
      <c r="C218" t="s">
        <v>108</v>
      </c>
      <c r="D218" t="s">
        <v>209</v>
      </c>
      <c r="E218" t="s">
        <v>190</v>
      </c>
      <c r="F218">
        <v>0.1</v>
      </c>
      <c r="G218">
        <v>100</v>
      </c>
      <c r="H218">
        <v>0</v>
      </c>
      <c r="I218">
        <v>2420</v>
      </c>
      <c r="J218">
        <v>2689</v>
      </c>
      <c r="K218" t="s">
        <v>595</v>
      </c>
    </row>
    <row r="219" spans="1:11">
      <c r="A219" t="s">
        <v>390</v>
      </c>
      <c r="B219" t="s">
        <v>47</v>
      </c>
      <c r="C219" t="s">
        <v>108</v>
      </c>
      <c r="D219" t="s">
        <v>209</v>
      </c>
      <c r="E219" t="s">
        <v>192</v>
      </c>
      <c r="F219">
        <v>0.17499999999999999</v>
      </c>
      <c r="G219">
        <v>175</v>
      </c>
      <c r="H219">
        <v>269</v>
      </c>
      <c r="I219">
        <v>2689</v>
      </c>
      <c r="J219">
        <v>2689</v>
      </c>
      <c r="K219" t="s">
        <v>596</v>
      </c>
    </row>
    <row r="220" spans="1:11">
      <c r="A220" t="s">
        <v>391</v>
      </c>
      <c r="B220" t="s">
        <v>47</v>
      </c>
      <c r="C220" t="s">
        <v>108</v>
      </c>
      <c r="D220" t="s">
        <v>209</v>
      </c>
      <c r="E220" t="s">
        <v>194</v>
      </c>
      <c r="F220">
        <v>0.15</v>
      </c>
      <c r="G220">
        <v>150</v>
      </c>
      <c r="H220">
        <v>672</v>
      </c>
      <c r="I220">
        <v>3092</v>
      </c>
      <c r="J220">
        <v>2689</v>
      </c>
      <c r="K220" t="s">
        <v>597</v>
      </c>
    </row>
    <row r="221" spans="1:11">
      <c r="A221" t="s">
        <v>392</v>
      </c>
      <c r="B221" t="s">
        <v>47</v>
      </c>
      <c r="C221" t="s">
        <v>108</v>
      </c>
      <c r="D221" t="s">
        <v>209</v>
      </c>
      <c r="E221" t="s">
        <v>196</v>
      </c>
      <c r="F221">
        <v>7.4999999999999997E-2</v>
      </c>
      <c r="G221">
        <v>75</v>
      </c>
      <c r="H221">
        <v>1210</v>
      </c>
      <c r="I221">
        <v>3630</v>
      </c>
      <c r="J221">
        <v>2689</v>
      </c>
      <c r="K221" t="s">
        <v>598</v>
      </c>
    </row>
    <row r="222" spans="1:11">
      <c r="A222" t="s">
        <v>393</v>
      </c>
      <c r="B222" t="s">
        <v>18</v>
      </c>
      <c r="C222" t="s">
        <v>81</v>
      </c>
      <c r="D222" t="s">
        <v>209</v>
      </c>
      <c r="E222" t="s">
        <v>190</v>
      </c>
      <c r="F222">
        <v>0.08</v>
      </c>
      <c r="G222">
        <v>80</v>
      </c>
      <c r="H222">
        <v>0</v>
      </c>
      <c r="I222">
        <v>2420</v>
      </c>
      <c r="J222">
        <v>2689</v>
      </c>
      <c r="K222" t="s">
        <v>595</v>
      </c>
    </row>
    <row r="223" spans="1:11">
      <c r="A223" t="s">
        <v>394</v>
      </c>
      <c r="B223" t="s">
        <v>18</v>
      </c>
      <c r="C223" t="s">
        <v>81</v>
      </c>
      <c r="D223" t="s">
        <v>209</v>
      </c>
      <c r="E223" t="s">
        <v>192</v>
      </c>
      <c r="F223">
        <v>0.14000000000000001</v>
      </c>
      <c r="G223">
        <v>140</v>
      </c>
      <c r="H223">
        <v>269</v>
      </c>
      <c r="I223">
        <v>2689</v>
      </c>
      <c r="J223">
        <v>2689</v>
      </c>
      <c r="K223" t="s">
        <v>596</v>
      </c>
    </row>
    <row r="224" spans="1:11">
      <c r="A224" t="s">
        <v>395</v>
      </c>
      <c r="B224" t="s">
        <v>18</v>
      </c>
      <c r="C224" t="s">
        <v>81</v>
      </c>
      <c r="D224" t="s">
        <v>209</v>
      </c>
      <c r="E224" t="s">
        <v>194</v>
      </c>
      <c r="F224">
        <v>0.12</v>
      </c>
      <c r="G224">
        <v>120</v>
      </c>
      <c r="H224">
        <v>672</v>
      </c>
      <c r="I224">
        <v>3092</v>
      </c>
      <c r="J224">
        <v>2689</v>
      </c>
      <c r="K224" t="s">
        <v>597</v>
      </c>
    </row>
    <row r="225" spans="1:11">
      <c r="A225" t="s">
        <v>396</v>
      </c>
      <c r="B225" t="s">
        <v>18</v>
      </c>
      <c r="C225" t="s">
        <v>81</v>
      </c>
      <c r="D225" t="s">
        <v>209</v>
      </c>
      <c r="E225" t="s">
        <v>196</v>
      </c>
      <c r="F225">
        <v>0.06</v>
      </c>
      <c r="G225">
        <v>60</v>
      </c>
      <c r="H225">
        <v>1210</v>
      </c>
      <c r="I225">
        <v>3630</v>
      </c>
      <c r="J225">
        <v>2689</v>
      </c>
      <c r="K225" t="s">
        <v>598</v>
      </c>
    </row>
    <row r="226" spans="1:11">
      <c r="A226" t="s">
        <v>397</v>
      </c>
      <c r="B226" t="s">
        <v>38</v>
      </c>
      <c r="C226" t="s">
        <v>100</v>
      </c>
      <c r="D226" t="s">
        <v>398</v>
      </c>
      <c r="E226" t="s">
        <v>190</v>
      </c>
      <c r="F226">
        <v>0.04</v>
      </c>
      <c r="G226">
        <v>40</v>
      </c>
      <c r="H226">
        <v>0</v>
      </c>
      <c r="I226">
        <v>2477</v>
      </c>
      <c r="J226">
        <v>2752</v>
      </c>
      <c r="K226" t="s">
        <v>595</v>
      </c>
    </row>
    <row r="227" spans="1:11">
      <c r="A227" t="s">
        <v>399</v>
      </c>
      <c r="B227" t="s">
        <v>38</v>
      </c>
      <c r="C227" t="s">
        <v>100</v>
      </c>
      <c r="D227" t="s">
        <v>398</v>
      </c>
      <c r="E227" t="s">
        <v>192</v>
      </c>
      <c r="F227">
        <v>7.0000000000000007E-2</v>
      </c>
      <c r="G227">
        <v>70</v>
      </c>
      <c r="H227">
        <v>275</v>
      </c>
      <c r="I227">
        <v>2752</v>
      </c>
      <c r="J227">
        <v>2752</v>
      </c>
      <c r="K227" t="s">
        <v>596</v>
      </c>
    </row>
    <row r="228" spans="1:11">
      <c r="A228" t="s">
        <v>400</v>
      </c>
      <c r="B228" t="s">
        <v>38</v>
      </c>
      <c r="C228" t="s">
        <v>100</v>
      </c>
      <c r="D228" t="s">
        <v>398</v>
      </c>
      <c r="E228" t="s">
        <v>194</v>
      </c>
      <c r="F228">
        <v>0.06</v>
      </c>
      <c r="G228">
        <v>60</v>
      </c>
      <c r="H228">
        <v>688</v>
      </c>
      <c r="I228">
        <v>3165</v>
      </c>
      <c r="J228">
        <v>2752</v>
      </c>
      <c r="K228" t="s">
        <v>597</v>
      </c>
    </row>
    <row r="229" spans="1:11">
      <c r="A229" t="s">
        <v>401</v>
      </c>
      <c r="B229" t="s">
        <v>38</v>
      </c>
      <c r="C229" t="s">
        <v>100</v>
      </c>
      <c r="D229" t="s">
        <v>398</v>
      </c>
      <c r="E229" t="s">
        <v>196</v>
      </c>
      <c r="F229">
        <v>0.03</v>
      </c>
      <c r="G229">
        <v>30</v>
      </c>
      <c r="H229">
        <v>1238</v>
      </c>
      <c r="I229">
        <v>3715</v>
      </c>
      <c r="J229">
        <v>2752</v>
      </c>
      <c r="K229" t="s">
        <v>598</v>
      </c>
    </row>
    <row r="230" spans="1:11">
      <c r="A230" t="s">
        <v>402</v>
      </c>
      <c r="B230" t="s">
        <v>20</v>
      </c>
      <c r="C230" t="s">
        <v>83</v>
      </c>
      <c r="D230" t="s">
        <v>198</v>
      </c>
      <c r="E230" t="s">
        <v>190</v>
      </c>
      <c r="F230">
        <v>0.04</v>
      </c>
      <c r="G230">
        <v>40</v>
      </c>
      <c r="H230">
        <v>0</v>
      </c>
      <c r="I230">
        <v>2574</v>
      </c>
      <c r="J230">
        <v>2860</v>
      </c>
      <c r="K230" t="s">
        <v>595</v>
      </c>
    </row>
    <row r="231" spans="1:11">
      <c r="A231" t="s">
        <v>403</v>
      </c>
      <c r="B231" t="s">
        <v>20</v>
      </c>
      <c r="C231" t="s">
        <v>83</v>
      </c>
      <c r="D231" t="s">
        <v>198</v>
      </c>
      <c r="E231" t="s">
        <v>192</v>
      </c>
      <c r="F231">
        <v>7.0000000000000007E-2</v>
      </c>
      <c r="G231">
        <v>70</v>
      </c>
      <c r="H231">
        <v>286</v>
      </c>
      <c r="I231">
        <v>2860</v>
      </c>
      <c r="J231">
        <v>2860</v>
      </c>
      <c r="K231" t="s">
        <v>596</v>
      </c>
    </row>
    <row r="232" spans="1:11">
      <c r="A232" t="s">
        <v>404</v>
      </c>
      <c r="B232" t="s">
        <v>20</v>
      </c>
      <c r="C232" t="s">
        <v>83</v>
      </c>
      <c r="D232" t="s">
        <v>198</v>
      </c>
      <c r="E232" t="s">
        <v>194</v>
      </c>
      <c r="F232">
        <v>0.06</v>
      </c>
      <c r="G232">
        <v>60</v>
      </c>
      <c r="H232">
        <v>715</v>
      </c>
      <c r="I232">
        <v>3289</v>
      </c>
      <c r="J232">
        <v>2860</v>
      </c>
      <c r="K232" t="s">
        <v>597</v>
      </c>
    </row>
    <row r="233" spans="1:11">
      <c r="A233" t="s">
        <v>405</v>
      </c>
      <c r="B233" t="s">
        <v>20</v>
      </c>
      <c r="C233" t="s">
        <v>83</v>
      </c>
      <c r="D233" t="s">
        <v>198</v>
      </c>
      <c r="E233" t="s">
        <v>196</v>
      </c>
      <c r="F233">
        <v>0.03</v>
      </c>
      <c r="G233">
        <v>30</v>
      </c>
      <c r="H233">
        <v>1287</v>
      </c>
      <c r="I233">
        <v>3861</v>
      </c>
      <c r="J233">
        <v>2860</v>
      </c>
      <c r="K233" t="s">
        <v>598</v>
      </c>
    </row>
    <row r="234" spans="1:11">
      <c r="A234" t="s">
        <v>437</v>
      </c>
      <c r="B234" t="s">
        <v>19</v>
      </c>
      <c r="C234" t="s">
        <v>82</v>
      </c>
      <c r="D234" t="s">
        <v>203</v>
      </c>
      <c r="E234" t="s">
        <v>190</v>
      </c>
      <c r="F234">
        <v>0.02</v>
      </c>
      <c r="G234">
        <v>20</v>
      </c>
      <c r="H234">
        <v>0</v>
      </c>
      <c r="I234">
        <v>2327</v>
      </c>
      <c r="J234">
        <v>2585</v>
      </c>
      <c r="K234" t="s">
        <v>595</v>
      </c>
    </row>
    <row r="235" spans="1:11">
      <c r="A235" t="s">
        <v>438</v>
      </c>
      <c r="B235" t="s">
        <v>19</v>
      </c>
      <c r="C235" t="s">
        <v>82</v>
      </c>
      <c r="D235" t="s">
        <v>203</v>
      </c>
      <c r="E235" t="s">
        <v>192</v>
      </c>
      <c r="F235">
        <v>3.5000000000000003E-2</v>
      </c>
      <c r="G235">
        <v>35</v>
      </c>
      <c r="H235">
        <v>259</v>
      </c>
      <c r="I235">
        <v>2585</v>
      </c>
      <c r="J235">
        <v>2585</v>
      </c>
      <c r="K235" t="s">
        <v>596</v>
      </c>
    </row>
    <row r="236" spans="1:11">
      <c r="A236" t="s">
        <v>439</v>
      </c>
      <c r="B236" t="s">
        <v>19</v>
      </c>
      <c r="C236" t="s">
        <v>82</v>
      </c>
      <c r="D236" t="s">
        <v>203</v>
      </c>
      <c r="E236" t="s">
        <v>194</v>
      </c>
      <c r="F236">
        <v>0.03</v>
      </c>
      <c r="G236">
        <v>30</v>
      </c>
      <c r="H236">
        <v>646</v>
      </c>
      <c r="I236">
        <v>2973</v>
      </c>
      <c r="J236">
        <v>2585</v>
      </c>
      <c r="K236" t="s">
        <v>597</v>
      </c>
    </row>
    <row r="237" spans="1:11">
      <c r="A237" t="s">
        <v>440</v>
      </c>
      <c r="B237" t="s">
        <v>19</v>
      </c>
      <c r="C237" t="s">
        <v>82</v>
      </c>
      <c r="D237" t="s">
        <v>203</v>
      </c>
      <c r="E237" t="s">
        <v>196</v>
      </c>
      <c r="F237">
        <v>1.4999999999999999E-2</v>
      </c>
      <c r="G237">
        <v>15</v>
      </c>
      <c r="H237">
        <v>1163</v>
      </c>
      <c r="I237">
        <v>3490</v>
      </c>
      <c r="J237">
        <v>2585</v>
      </c>
      <c r="K237" t="s">
        <v>598</v>
      </c>
    </row>
    <row r="238" spans="1:11">
      <c r="A238" t="s">
        <v>441</v>
      </c>
      <c r="B238" t="s">
        <v>41</v>
      </c>
      <c r="C238" t="s">
        <v>103</v>
      </c>
      <c r="D238" t="s">
        <v>442</v>
      </c>
      <c r="E238" t="s">
        <v>190</v>
      </c>
      <c r="F238">
        <v>0.02</v>
      </c>
      <c r="G238">
        <v>20</v>
      </c>
      <c r="H238">
        <v>0</v>
      </c>
      <c r="I238">
        <v>2511</v>
      </c>
      <c r="J238">
        <v>2790</v>
      </c>
      <c r="K238" t="s">
        <v>595</v>
      </c>
    </row>
    <row r="239" spans="1:11">
      <c r="A239" t="s">
        <v>443</v>
      </c>
      <c r="B239" t="s">
        <v>41</v>
      </c>
      <c r="C239" t="s">
        <v>103</v>
      </c>
      <c r="D239" t="s">
        <v>442</v>
      </c>
      <c r="E239" t="s">
        <v>192</v>
      </c>
      <c r="F239">
        <v>3.5000000000000003E-2</v>
      </c>
      <c r="G239">
        <v>35</v>
      </c>
      <c r="H239">
        <v>279</v>
      </c>
      <c r="I239">
        <v>2790</v>
      </c>
      <c r="J239">
        <v>2790</v>
      </c>
      <c r="K239" t="s">
        <v>596</v>
      </c>
    </row>
    <row r="240" spans="1:11">
      <c r="A240" t="s">
        <v>444</v>
      </c>
      <c r="B240" t="s">
        <v>41</v>
      </c>
      <c r="C240" t="s">
        <v>103</v>
      </c>
      <c r="D240" t="s">
        <v>442</v>
      </c>
      <c r="E240" t="s">
        <v>194</v>
      </c>
      <c r="F240">
        <v>0.03</v>
      </c>
      <c r="G240">
        <v>30</v>
      </c>
      <c r="H240">
        <v>698</v>
      </c>
      <c r="I240">
        <v>3209</v>
      </c>
      <c r="J240">
        <v>2790</v>
      </c>
      <c r="K240" t="s">
        <v>597</v>
      </c>
    </row>
    <row r="241" spans="1:11">
      <c r="A241" t="s">
        <v>445</v>
      </c>
      <c r="B241" t="s">
        <v>41</v>
      </c>
      <c r="C241" t="s">
        <v>103</v>
      </c>
      <c r="D241" t="s">
        <v>442</v>
      </c>
      <c r="E241" t="s">
        <v>196</v>
      </c>
      <c r="F241">
        <v>1.4999999999999999E-2</v>
      </c>
      <c r="G241">
        <v>15</v>
      </c>
      <c r="H241">
        <v>1256</v>
      </c>
      <c r="I241">
        <v>3767</v>
      </c>
      <c r="J241">
        <v>2790</v>
      </c>
      <c r="K241" t="s">
        <v>598</v>
      </c>
    </row>
    <row r="242" spans="1:11">
      <c r="A242" t="s">
        <v>446</v>
      </c>
      <c r="B242" t="s">
        <v>42</v>
      </c>
      <c r="C242" t="s">
        <v>104</v>
      </c>
      <c r="D242" t="s">
        <v>442</v>
      </c>
      <c r="E242" t="s">
        <v>190</v>
      </c>
      <c r="F242">
        <v>0.02</v>
      </c>
      <c r="G242">
        <v>20</v>
      </c>
      <c r="H242">
        <v>0</v>
      </c>
      <c r="I242">
        <v>2511</v>
      </c>
      <c r="J242">
        <v>2790</v>
      </c>
      <c r="K242" t="s">
        <v>595</v>
      </c>
    </row>
    <row r="243" spans="1:11">
      <c r="A243" t="s">
        <v>447</v>
      </c>
      <c r="B243" t="s">
        <v>42</v>
      </c>
      <c r="C243" t="s">
        <v>104</v>
      </c>
      <c r="D243" t="s">
        <v>442</v>
      </c>
      <c r="E243" t="s">
        <v>192</v>
      </c>
      <c r="F243">
        <v>3.5000000000000003E-2</v>
      </c>
      <c r="G243">
        <v>35</v>
      </c>
      <c r="H243">
        <v>279</v>
      </c>
      <c r="I243">
        <v>2790</v>
      </c>
      <c r="J243">
        <v>2790</v>
      </c>
      <c r="K243" t="s">
        <v>596</v>
      </c>
    </row>
    <row r="244" spans="1:11">
      <c r="A244" t="s">
        <v>448</v>
      </c>
      <c r="B244" t="s">
        <v>42</v>
      </c>
      <c r="C244" t="s">
        <v>104</v>
      </c>
      <c r="D244" t="s">
        <v>442</v>
      </c>
      <c r="E244" t="s">
        <v>194</v>
      </c>
      <c r="F244">
        <v>0.03</v>
      </c>
      <c r="G244">
        <v>30</v>
      </c>
      <c r="H244">
        <v>698</v>
      </c>
      <c r="I244">
        <v>3209</v>
      </c>
      <c r="J244">
        <v>2790</v>
      </c>
      <c r="K244" t="s">
        <v>597</v>
      </c>
    </row>
    <row r="245" spans="1:11">
      <c r="A245" t="s">
        <v>449</v>
      </c>
      <c r="B245" t="s">
        <v>42</v>
      </c>
      <c r="C245" t="s">
        <v>104</v>
      </c>
      <c r="D245" t="s">
        <v>442</v>
      </c>
      <c r="E245" t="s">
        <v>196</v>
      </c>
      <c r="F245">
        <v>1.4999999999999999E-2</v>
      </c>
      <c r="G245">
        <v>15</v>
      </c>
      <c r="H245">
        <v>1256</v>
      </c>
      <c r="I245">
        <v>3767</v>
      </c>
      <c r="J245">
        <v>2790</v>
      </c>
      <c r="K245" t="s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4DB3-CA56-4D93-B4B8-6D089484D938}">
  <dimension ref="A1:Q263"/>
  <sheetViews>
    <sheetView zoomScaleNormal="100" workbookViewId="0"/>
  </sheetViews>
  <sheetFormatPr defaultColWidth="9" defaultRowHeight="14.25"/>
  <cols>
    <col min="1" max="1" width="9" style="2"/>
    <col min="2" max="2" width="27.1328125" style="2" customWidth="1"/>
    <col min="3" max="3" width="9.3984375" style="2" customWidth="1"/>
    <col min="4" max="4" width="11.265625" style="2" customWidth="1"/>
    <col min="5" max="5" width="7" style="2" customWidth="1"/>
    <col min="6" max="6" width="4.3984375" style="2" customWidth="1"/>
    <col min="7" max="7" width="12.86328125" style="2" customWidth="1"/>
    <col min="8" max="8" width="6" style="2" customWidth="1"/>
    <col min="9" max="9" width="8.73046875" style="2" customWidth="1"/>
    <col min="10" max="10" width="5" style="2" customWidth="1"/>
    <col min="11" max="11" width="2" style="2" customWidth="1"/>
    <col min="12" max="12" width="13.1328125" style="2" customWidth="1"/>
    <col min="13" max="13" width="27.1328125" style="2" customWidth="1"/>
    <col min="14" max="14" width="59" style="2" customWidth="1"/>
    <col min="15" max="15" width="5.59765625" style="2" customWidth="1"/>
    <col min="16" max="16" width="4.86328125" style="2" customWidth="1"/>
    <col min="17" max="17" width="8.1328125" style="2" customWidth="1"/>
    <col min="18" max="18" width="12.265625" style="2" customWidth="1"/>
    <col min="19" max="19" width="13.73046875" style="2" customWidth="1"/>
    <col min="20" max="16384" width="9" style="2"/>
  </cols>
  <sheetData>
    <row r="1" spans="1:17">
      <c r="A1" s="2" t="s">
        <v>636</v>
      </c>
    </row>
    <row r="2" spans="1:17">
      <c r="A2" s="2" t="s">
        <v>637</v>
      </c>
    </row>
    <row r="4" spans="1:17" ht="17.25" thickBot="1">
      <c r="D4" s="3" t="s">
        <v>638</v>
      </c>
      <c r="L4" s="3" t="s">
        <v>453</v>
      </c>
    </row>
    <row r="5" spans="1:17" ht="15" thickTop="1" thickBot="1">
      <c r="B5" s="4" t="s">
        <v>77</v>
      </c>
      <c r="C5" s="4" t="s">
        <v>639</v>
      </c>
      <c r="D5" s="4" t="s">
        <v>640</v>
      </c>
      <c r="E5" s="4" t="s">
        <v>641</v>
      </c>
      <c r="F5" s="4" t="s">
        <v>642</v>
      </c>
      <c r="G5" s="4" t="s">
        <v>643</v>
      </c>
      <c r="H5" s="4" t="s">
        <v>644</v>
      </c>
      <c r="I5" s="4" t="s">
        <v>645</v>
      </c>
      <c r="J5" s="4" t="s">
        <v>646</v>
      </c>
      <c r="L5" s="4" t="s">
        <v>454</v>
      </c>
      <c r="M5" s="4" t="s">
        <v>77</v>
      </c>
      <c r="N5" s="4" t="s">
        <v>455</v>
      </c>
      <c r="O5" s="4" t="s">
        <v>647</v>
      </c>
      <c r="P5" s="4" t="s">
        <v>648</v>
      </c>
      <c r="Q5" s="4" t="s">
        <v>649</v>
      </c>
    </row>
    <row r="6" spans="1:17">
      <c r="B6" s="2" t="s">
        <v>650</v>
      </c>
      <c r="C6" s="2" t="s">
        <v>651</v>
      </c>
      <c r="D6" s="2" t="s">
        <v>652</v>
      </c>
      <c r="E6" s="2">
        <v>0.9</v>
      </c>
      <c r="F6" s="2">
        <v>200</v>
      </c>
      <c r="G6" s="2">
        <v>2</v>
      </c>
      <c r="H6" s="5">
        <v>3.6</v>
      </c>
      <c r="I6" s="2">
        <v>54</v>
      </c>
      <c r="J6" s="2">
        <v>2019</v>
      </c>
      <c r="L6" s="2" t="s">
        <v>456</v>
      </c>
      <c r="M6" s="2" t="s">
        <v>650</v>
      </c>
      <c r="N6" s="2" t="s">
        <v>653</v>
      </c>
      <c r="O6" s="2" t="s">
        <v>654</v>
      </c>
      <c r="P6" s="2" t="s">
        <v>13</v>
      </c>
    </row>
    <row r="7" spans="1:17">
      <c r="B7" s="2" t="s">
        <v>655</v>
      </c>
      <c r="C7" s="2" t="s">
        <v>651</v>
      </c>
      <c r="D7" s="2" t="s">
        <v>652</v>
      </c>
      <c r="E7" s="2">
        <v>0.9</v>
      </c>
      <c r="F7" s="2">
        <v>200</v>
      </c>
      <c r="G7" s="2">
        <v>2</v>
      </c>
      <c r="H7" s="5">
        <v>2.4</v>
      </c>
      <c r="I7" s="2">
        <v>54</v>
      </c>
      <c r="J7" s="2">
        <v>2018</v>
      </c>
      <c r="L7" s="2" t="s">
        <v>456</v>
      </c>
      <c r="M7" s="2" t="s">
        <v>655</v>
      </c>
      <c r="N7" s="2" t="s">
        <v>656</v>
      </c>
      <c r="O7" s="2" t="s">
        <v>654</v>
      </c>
      <c r="P7" s="2" t="s">
        <v>13</v>
      </c>
    </row>
    <row r="8" spans="1:17">
      <c r="B8" s="2" t="s">
        <v>657</v>
      </c>
      <c r="C8" s="2" t="s">
        <v>651</v>
      </c>
      <c r="D8" s="2" t="s">
        <v>652</v>
      </c>
      <c r="E8" s="2">
        <v>0.9</v>
      </c>
      <c r="F8" s="2">
        <v>200</v>
      </c>
      <c r="G8" s="2">
        <v>2</v>
      </c>
      <c r="H8" s="5">
        <v>3</v>
      </c>
      <c r="I8" s="2">
        <v>54</v>
      </c>
      <c r="J8" s="2">
        <v>2023</v>
      </c>
      <c r="L8" s="2" t="s">
        <v>456</v>
      </c>
      <c r="M8" s="2" t="s">
        <v>657</v>
      </c>
      <c r="N8" s="2" t="s">
        <v>658</v>
      </c>
      <c r="O8" s="2" t="s">
        <v>654</v>
      </c>
      <c r="P8" s="2" t="s">
        <v>13</v>
      </c>
    </row>
    <row r="9" spans="1:17">
      <c r="B9" s="2" t="s">
        <v>659</v>
      </c>
      <c r="C9" s="2" t="s">
        <v>651</v>
      </c>
      <c r="D9" s="2" t="s">
        <v>652</v>
      </c>
      <c r="E9" s="2">
        <v>0.9</v>
      </c>
      <c r="F9" s="2">
        <v>200</v>
      </c>
      <c r="G9" s="2">
        <v>2</v>
      </c>
      <c r="H9" s="5">
        <v>0.7</v>
      </c>
      <c r="I9" s="2">
        <v>54</v>
      </c>
      <c r="J9" s="2">
        <v>2026</v>
      </c>
      <c r="L9" s="2" t="s">
        <v>456</v>
      </c>
      <c r="M9" s="2" t="s">
        <v>659</v>
      </c>
      <c r="N9" s="2" t="s">
        <v>660</v>
      </c>
      <c r="O9" s="2" t="s">
        <v>654</v>
      </c>
      <c r="P9" s="2" t="s">
        <v>13</v>
      </c>
    </row>
    <row r="10" spans="1:17">
      <c r="B10" s="2" t="s">
        <v>661</v>
      </c>
      <c r="C10" s="2" t="s">
        <v>651</v>
      </c>
      <c r="D10" s="2" t="s">
        <v>652</v>
      </c>
      <c r="E10" s="2">
        <v>0.9</v>
      </c>
      <c r="F10" s="2">
        <v>200</v>
      </c>
      <c r="G10" s="2">
        <v>2</v>
      </c>
      <c r="H10" s="5">
        <v>3.4</v>
      </c>
      <c r="I10" s="2">
        <v>54</v>
      </c>
      <c r="J10" s="2">
        <v>2022</v>
      </c>
      <c r="L10" s="2" t="s">
        <v>456</v>
      </c>
      <c r="M10" s="2" t="s">
        <v>661</v>
      </c>
      <c r="N10" s="2" t="s">
        <v>662</v>
      </c>
      <c r="O10" s="2" t="s">
        <v>654</v>
      </c>
      <c r="P10" s="2" t="s">
        <v>13</v>
      </c>
    </row>
    <row r="11" spans="1:17">
      <c r="B11" s="2" t="s">
        <v>663</v>
      </c>
      <c r="C11" s="2" t="s">
        <v>651</v>
      </c>
      <c r="D11" s="2" t="s">
        <v>652</v>
      </c>
      <c r="E11" s="2">
        <v>0.9</v>
      </c>
      <c r="F11" s="2">
        <v>200</v>
      </c>
      <c r="G11" s="2">
        <v>2</v>
      </c>
      <c r="H11" s="5">
        <v>1.2</v>
      </c>
      <c r="I11" s="2">
        <v>54</v>
      </c>
      <c r="J11" s="2">
        <v>2017</v>
      </c>
      <c r="L11" s="2" t="s">
        <v>456</v>
      </c>
      <c r="M11" s="2" t="s">
        <v>663</v>
      </c>
      <c r="N11" s="2" t="s">
        <v>664</v>
      </c>
      <c r="O11" s="2" t="s">
        <v>654</v>
      </c>
      <c r="P11" s="2" t="s">
        <v>13</v>
      </c>
    </row>
    <row r="12" spans="1:17">
      <c r="B12" s="2" t="s">
        <v>663</v>
      </c>
      <c r="C12" s="2" t="s">
        <v>651</v>
      </c>
      <c r="D12" s="2" t="s">
        <v>652</v>
      </c>
      <c r="E12" s="2">
        <v>0.9</v>
      </c>
      <c r="F12" s="2">
        <v>200</v>
      </c>
      <c r="G12" s="2">
        <v>2</v>
      </c>
      <c r="H12" s="5">
        <v>1.5</v>
      </c>
      <c r="I12" s="2">
        <v>54</v>
      </c>
      <c r="J12" s="2">
        <v>2020</v>
      </c>
      <c r="L12" s="2" t="s">
        <v>456</v>
      </c>
      <c r="M12" s="2" t="s">
        <v>663</v>
      </c>
      <c r="N12" s="2" t="s">
        <v>664</v>
      </c>
      <c r="O12" s="2" t="s">
        <v>654</v>
      </c>
      <c r="P12" s="2" t="s">
        <v>13</v>
      </c>
    </row>
    <row r="13" spans="1:17">
      <c r="B13" s="2" t="s">
        <v>663</v>
      </c>
      <c r="C13" s="2" t="s">
        <v>651</v>
      </c>
      <c r="D13" s="2" t="s">
        <v>652</v>
      </c>
      <c r="E13" s="2">
        <v>0.9</v>
      </c>
      <c r="F13" s="2">
        <v>200</v>
      </c>
      <c r="G13" s="2">
        <v>2</v>
      </c>
      <c r="H13" s="5">
        <v>2</v>
      </c>
      <c r="I13" s="2">
        <v>54</v>
      </c>
      <c r="J13" s="2">
        <v>2027</v>
      </c>
      <c r="L13" s="2" t="s">
        <v>456</v>
      </c>
      <c r="M13" s="2" t="s">
        <v>663</v>
      </c>
      <c r="N13" s="2" t="s">
        <v>664</v>
      </c>
      <c r="O13" s="2" t="s">
        <v>654</v>
      </c>
      <c r="P13" s="2" t="s">
        <v>13</v>
      </c>
    </row>
    <row r="14" spans="1:17">
      <c r="B14" s="2" t="s">
        <v>665</v>
      </c>
      <c r="C14" s="2" t="s">
        <v>651</v>
      </c>
      <c r="D14" s="2" t="s">
        <v>652</v>
      </c>
      <c r="E14" s="2">
        <v>0.9</v>
      </c>
      <c r="F14" s="2">
        <v>200</v>
      </c>
      <c r="G14" s="2">
        <v>2</v>
      </c>
      <c r="H14" s="5">
        <v>2.5</v>
      </c>
      <c r="I14" s="2">
        <v>54</v>
      </c>
      <c r="J14" s="2">
        <v>2023</v>
      </c>
      <c r="L14" s="2" t="s">
        <v>456</v>
      </c>
      <c r="M14" s="2" t="s">
        <v>665</v>
      </c>
      <c r="N14" s="2" t="s">
        <v>666</v>
      </c>
      <c r="O14" s="2" t="s">
        <v>654</v>
      </c>
      <c r="P14" s="2" t="s">
        <v>13</v>
      </c>
    </row>
    <row r="15" spans="1:17">
      <c r="B15" s="2" t="s">
        <v>667</v>
      </c>
      <c r="C15" s="2" t="s">
        <v>651</v>
      </c>
      <c r="D15" s="2" t="s">
        <v>652</v>
      </c>
      <c r="E15" s="2">
        <v>0.9</v>
      </c>
      <c r="F15" s="2">
        <v>200</v>
      </c>
      <c r="G15" s="2">
        <v>2</v>
      </c>
      <c r="H15" s="5">
        <v>5.2</v>
      </c>
      <c r="I15" s="2">
        <v>54</v>
      </c>
      <c r="J15" s="2">
        <v>2013</v>
      </c>
      <c r="L15" s="2" t="s">
        <v>456</v>
      </c>
      <c r="M15" s="2" t="s">
        <v>667</v>
      </c>
      <c r="N15" s="2" t="s">
        <v>668</v>
      </c>
      <c r="O15" s="2" t="s">
        <v>654</v>
      </c>
      <c r="P15" s="2" t="s">
        <v>13</v>
      </c>
    </row>
    <row r="16" spans="1:17">
      <c r="B16" s="2" t="s">
        <v>669</v>
      </c>
      <c r="C16" s="2" t="s">
        <v>651</v>
      </c>
      <c r="D16" s="2" t="s">
        <v>652</v>
      </c>
      <c r="E16" s="2">
        <v>0.9</v>
      </c>
      <c r="F16" s="2">
        <v>200</v>
      </c>
      <c r="G16" s="2">
        <v>2</v>
      </c>
      <c r="H16" s="5">
        <v>2.6</v>
      </c>
      <c r="I16" s="2">
        <v>54</v>
      </c>
      <c r="J16" s="2">
        <v>1977</v>
      </c>
      <c r="L16" s="2" t="s">
        <v>456</v>
      </c>
      <c r="M16" s="2" t="s">
        <v>669</v>
      </c>
      <c r="N16" s="2" t="s">
        <v>670</v>
      </c>
      <c r="O16" s="2" t="s">
        <v>654</v>
      </c>
      <c r="P16" s="2" t="s">
        <v>13</v>
      </c>
    </row>
    <row r="17" spans="2:16">
      <c r="B17" s="2" t="s">
        <v>669</v>
      </c>
      <c r="C17" s="2" t="s">
        <v>651</v>
      </c>
      <c r="D17" s="2" t="s">
        <v>652</v>
      </c>
      <c r="E17" s="2">
        <v>0.9</v>
      </c>
      <c r="F17" s="2">
        <v>200</v>
      </c>
      <c r="G17" s="2">
        <v>2</v>
      </c>
      <c r="H17" s="5">
        <v>3.2</v>
      </c>
      <c r="I17" s="2">
        <v>54</v>
      </c>
      <c r="J17" s="2">
        <v>1994</v>
      </c>
      <c r="L17" s="2" t="s">
        <v>456</v>
      </c>
      <c r="M17" s="2" t="s">
        <v>669</v>
      </c>
      <c r="N17" s="2" t="s">
        <v>670</v>
      </c>
      <c r="O17" s="2" t="s">
        <v>654</v>
      </c>
      <c r="P17" s="2" t="s">
        <v>13</v>
      </c>
    </row>
    <row r="18" spans="2:16">
      <c r="B18" s="2" t="s">
        <v>671</v>
      </c>
      <c r="C18" s="2" t="s">
        <v>651</v>
      </c>
      <c r="D18" s="2" t="s">
        <v>652</v>
      </c>
      <c r="E18" s="2">
        <v>0.9</v>
      </c>
      <c r="F18" s="2">
        <v>200</v>
      </c>
      <c r="G18" s="2">
        <v>2</v>
      </c>
      <c r="H18" s="5">
        <v>2.5</v>
      </c>
      <c r="I18" s="2">
        <v>54</v>
      </c>
      <c r="J18" s="2">
        <v>1992</v>
      </c>
      <c r="L18" s="2" t="s">
        <v>456</v>
      </c>
      <c r="M18" s="2" t="s">
        <v>671</v>
      </c>
      <c r="N18" s="2" t="s">
        <v>672</v>
      </c>
      <c r="O18" s="2" t="s">
        <v>654</v>
      </c>
      <c r="P18" s="2" t="s">
        <v>13</v>
      </c>
    </row>
    <row r="19" spans="2:16">
      <c r="B19" s="2" t="s">
        <v>671</v>
      </c>
      <c r="C19" s="2" t="s">
        <v>651</v>
      </c>
      <c r="D19" s="2" t="s">
        <v>652</v>
      </c>
      <c r="E19" s="2">
        <v>0.9</v>
      </c>
      <c r="F19" s="2">
        <v>200</v>
      </c>
      <c r="G19" s="2">
        <v>2</v>
      </c>
      <c r="H19" s="5">
        <v>3.7</v>
      </c>
      <c r="I19" s="2">
        <v>54</v>
      </c>
      <c r="J19" s="2">
        <v>2006</v>
      </c>
      <c r="L19" s="2" t="s">
        <v>456</v>
      </c>
      <c r="M19" s="2" t="s">
        <v>671</v>
      </c>
      <c r="N19" s="2" t="s">
        <v>672</v>
      </c>
      <c r="O19" s="2" t="s">
        <v>654</v>
      </c>
      <c r="P19" s="2" t="s">
        <v>13</v>
      </c>
    </row>
    <row r="20" spans="2:16">
      <c r="B20" s="2" t="s">
        <v>671</v>
      </c>
      <c r="C20" s="2" t="s">
        <v>651</v>
      </c>
      <c r="D20" s="2" t="s">
        <v>652</v>
      </c>
      <c r="E20" s="2">
        <v>0.9</v>
      </c>
      <c r="F20" s="2">
        <v>200</v>
      </c>
      <c r="G20" s="2">
        <v>2</v>
      </c>
      <c r="H20" s="5">
        <v>4.4000000000000004</v>
      </c>
      <c r="I20" s="2">
        <v>54</v>
      </c>
      <c r="J20" s="2">
        <v>2004</v>
      </c>
      <c r="L20" s="2" t="s">
        <v>456</v>
      </c>
      <c r="M20" s="2" t="s">
        <v>671</v>
      </c>
      <c r="N20" s="2" t="s">
        <v>672</v>
      </c>
      <c r="O20" s="2" t="s">
        <v>654</v>
      </c>
      <c r="P20" s="2" t="s">
        <v>13</v>
      </c>
    </row>
    <row r="21" spans="2:16">
      <c r="B21" s="2" t="s">
        <v>671</v>
      </c>
      <c r="C21" s="2" t="s">
        <v>651</v>
      </c>
      <c r="D21" s="2" t="s">
        <v>652</v>
      </c>
      <c r="E21" s="2">
        <v>0.9</v>
      </c>
      <c r="F21" s="2">
        <v>200</v>
      </c>
      <c r="G21" s="2">
        <v>2</v>
      </c>
      <c r="H21" s="5">
        <v>4.4000000000000004</v>
      </c>
      <c r="I21" s="2">
        <v>54</v>
      </c>
      <c r="J21" s="2">
        <v>2008</v>
      </c>
      <c r="L21" s="2" t="s">
        <v>456</v>
      </c>
      <c r="M21" s="2" t="s">
        <v>671</v>
      </c>
      <c r="N21" s="2" t="s">
        <v>672</v>
      </c>
      <c r="O21" s="2" t="s">
        <v>654</v>
      </c>
      <c r="P21" s="2" t="s">
        <v>13</v>
      </c>
    </row>
    <row r="22" spans="2:16">
      <c r="B22" s="2" t="s">
        <v>671</v>
      </c>
      <c r="C22" s="2" t="s">
        <v>651</v>
      </c>
      <c r="D22" s="2" t="s">
        <v>652</v>
      </c>
      <c r="E22" s="2">
        <v>0.9</v>
      </c>
      <c r="F22" s="2">
        <v>200</v>
      </c>
      <c r="G22" s="2">
        <v>2</v>
      </c>
      <c r="H22" s="5">
        <v>4.9000000000000004</v>
      </c>
      <c r="I22" s="2">
        <v>54</v>
      </c>
      <c r="J22" s="2">
        <v>2012</v>
      </c>
      <c r="L22" s="2" t="s">
        <v>456</v>
      </c>
      <c r="M22" s="2" t="s">
        <v>671</v>
      </c>
      <c r="N22" s="2" t="s">
        <v>672</v>
      </c>
      <c r="O22" s="2" t="s">
        <v>654</v>
      </c>
      <c r="P22" s="2" t="s">
        <v>13</v>
      </c>
    </row>
    <row r="23" spans="2:16">
      <c r="B23" s="2" t="s">
        <v>671</v>
      </c>
      <c r="C23" s="2" t="s">
        <v>651</v>
      </c>
      <c r="D23" s="2" t="s">
        <v>652</v>
      </c>
      <c r="E23" s="2">
        <v>0.9</v>
      </c>
      <c r="F23" s="2">
        <v>200</v>
      </c>
      <c r="G23" s="2">
        <v>2</v>
      </c>
      <c r="H23" s="5">
        <v>5</v>
      </c>
      <c r="I23" s="2">
        <v>54</v>
      </c>
      <c r="J23" s="2">
        <v>1989</v>
      </c>
      <c r="L23" s="2" t="s">
        <v>456</v>
      </c>
      <c r="M23" s="2" t="s">
        <v>671</v>
      </c>
      <c r="N23" s="2" t="s">
        <v>672</v>
      </c>
      <c r="O23" s="2" t="s">
        <v>654</v>
      </c>
      <c r="P23" s="2" t="s">
        <v>13</v>
      </c>
    </row>
    <row r="24" spans="2:16">
      <c r="B24" s="2" t="s">
        <v>671</v>
      </c>
      <c r="C24" s="2" t="s">
        <v>651</v>
      </c>
      <c r="D24" s="2" t="s">
        <v>652</v>
      </c>
      <c r="E24" s="2">
        <v>0.9</v>
      </c>
      <c r="F24" s="2">
        <v>200</v>
      </c>
      <c r="G24" s="2">
        <v>2</v>
      </c>
      <c r="H24" s="5">
        <v>8.15</v>
      </c>
      <c r="I24" s="2">
        <v>54</v>
      </c>
      <c r="J24" s="2">
        <v>2015</v>
      </c>
      <c r="L24" s="2" t="s">
        <v>456</v>
      </c>
      <c r="M24" s="2" t="s">
        <v>671</v>
      </c>
      <c r="N24" s="2" t="s">
        <v>672</v>
      </c>
      <c r="O24" s="2" t="s">
        <v>654</v>
      </c>
      <c r="P24" s="2" t="s">
        <v>13</v>
      </c>
    </row>
    <row r="25" spans="2:16">
      <c r="B25" s="2" t="s">
        <v>671</v>
      </c>
      <c r="C25" s="2" t="s">
        <v>651</v>
      </c>
      <c r="D25" s="2" t="s">
        <v>652</v>
      </c>
      <c r="E25" s="2">
        <v>0.9</v>
      </c>
      <c r="F25" s="2">
        <v>200</v>
      </c>
      <c r="G25" s="2">
        <v>2</v>
      </c>
      <c r="H25" s="5">
        <v>9.65</v>
      </c>
      <c r="I25" s="2">
        <v>54</v>
      </c>
      <c r="J25" s="2">
        <v>2017</v>
      </c>
      <c r="L25" s="2" t="s">
        <v>456</v>
      </c>
      <c r="M25" s="2" t="s">
        <v>671</v>
      </c>
      <c r="N25" s="2" t="s">
        <v>672</v>
      </c>
      <c r="O25" s="2" t="s">
        <v>654</v>
      </c>
      <c r="P25" s="2" t="s">
        <v>13</v>
      </c>
    </row>
    <row r="26" spans="2:16">
      <c r="B26" s="2" t="s">
        <v>671</v>
      </c>
      <c r="C26" s="2" t="s">
        <v>651</v>
      </c>
      <c r="D26" s="2" t="s">
        <v>652</v>
      </c>
      <c r="E26" s="2">
        <v>0.9</v>
      </c>
      <c r="F26" s="2">
        <v>200</v>
      </c>
      <c r="G26" s="2">
        <v>2</v>
      </c>
      <c r="H26" s="5">
        <v>13.35</v>
      </c>
      <c r="I26" s="2">
        <v>54</v>
      </c>
      <c r="J26" s="2">
        <v>2018</v>
      </c>
      <c r="L26" s="2" t="s">
        <v>456</v>
      </c>
      <c r="M26" s="2" t="s">
        <v>671</v>
      </c>
      <c r="N26" s="2" t="s">
        <v>672</v>
      </c>
      <c r="O26" s="2" t="s">
        <v>654</v>
      </c>
      <c r="P26" s="2" t="s">
        <v>13</v>
      </c>
    </row>
    <row r="27" spans="2:16">
      <c r="B27" s="2" t="s">
        <v>671</v>
      </c>
      <c r="C27" s="2" t="s">
        <v>651</v>
      </c>
      <c r="D27" s="2" t="s">
        <v>652</v>
      </c>
      <c r="E27" s="2">
        <v>0.9</v>
      </c>
      <c r="F27" s="2">
        <v>200</v>
      </c>
      <c r="G27" s="2">
        <v>2</v>
      </c>
      <c r="H27" s="5">
        <v>27.55</v>
      </c>
      <c r="I27" s="2">
        <v>54</v>
      </c>
      <c r="J27" s="2">
        <v>2016</v>
      </c>
      <c r="L27" s="2" t="s">
        <v>456</v>
      </c>
      <c r="M27" s="2" t="s">
        <v>671</v>
      </c>
      <c r="N27" s="2" t="s">
        <v>672</v>
      </c>
      <c r="O27" s="2" t="s">
        <v>654</v>
      </c>
      <c r="P27" s="2" t="s">
        <v>13</v>
      </c>
    </row>
    <row r="28" spans="2:16">
      <c r="B28" s="2" t="s">
        <v>673</v>
      </c>
      <c r="C28" s="2" t="s">
        <v>651</v>
      </c>
      <c r="D28" s="2" t="s">
        <v>652</v>
      </c>
      <c r="E28" s="2">
        <v>0.9</v>
      </c>
      <c r="F28" s="2">
        <v>200</v>
      </c>
      <c r="G28" s="2">
        <v>2</v>
      </c>
      <c r="H28" s="5">
        <v>7.2</v>
      </c>
      <c r="I28" s="2">
        <v>54</v>
      </c>
      <c r="J28" s="2">
        <v>1972</v>
      </c>
      <c r="L28" s="2" t="s">
        <v>456</v>
      </c>
      <c r="M28" s="2" t="s">
        <v>673</v>
      </c>
      <c r="N28" s="2" t="s">
        <v>674</v>
      </c>
      <c r="O28" s="2" t="s">
        <v>654</v>
      </c>
      <c r="P28" s="2" t="s">
        <v>13</v>
      </c>
    </row>
    <row r="29" spans="2:16">
      <c r="B29" s="2" t="s">
        <v>675</v>
      </c>
      <c r="C29" s="2" t="s">
        <v>651</v>
      </c>
      <c r="D29" s="2" t="s">
        <v>652</v>
      </c>
      <c r="E29" s="2">
        <v>0.9</v>
      </c>
      <c r="F29" s="2">
        <v>200</v>
      </c>
      <c r="G29" s="2">
        <v>2</v>
      </c>
      <c r="H29" s="5">
        <v>7</v>
      </c>
      <c r="I29" s="2">
        <v>54</v>
      </c>
      <c r="J29" s="2">
        <v>2024</v>
      </c>
      <c r="L29" s="2" t="s">
        <v>456</v>
      </c>
      <c r="M29" s="2" t="s">
        <v>675</v>
      </c>
      <c r="N29" s="2" t="s">
        <v>676</v>
      </c>
      <c r="O29" s="2" t="s">
        <v>654</v>
      </c>
      <c r="P29" s="2" t="s">
        <v>13</v>
      </c>
    </row>
    <row r="30" spans="2:16">
      <c r="B30" s="2" t="s">
        <v>675</v>
      </c>
      <c r="C30" s="2" t="s">
        <v>651</v>
      </c>
      <c r="D30" s="2" t="s">
        <v>652</v>
      </c>
      <c r="E30" s="2">
        <v>0.9</v>
      </c>
      <c r="F30" s="2">
        <v>200</v>
      </c>
      <c r="G30" s="2">
        <v>2</v>
      </c>
      <c r="H30" s="5">
        <v>7</v>
      </c>
      <c r="I30" s="2">
        <v>54</v>
      </c>
      <c r="J30" s="2">
        <v>2025</v>
      </c>
      <c r="L30" s="2" t="s">
        <v>456</v>
      </c>
      <c r="M30" s="2" t="s">
        <v>675</v>
      </c>
      <c r="N30" s="2" t="s">
        <v>676</v>
      </c>
      <c r="O30" s="2" t="s">
        <v>654</v>
      </c>
      <c r="P30" s="2" t="s">
        <v>13</v>
      </c>
    </row>
    <row r="31" spans="2:16">
      <c r="B31" s="2" t="s">
        <v>677</v>
      </c>
      <c r="C31" s="2" t="s">
        <v>651</v>
      </c>
      <c r="D31" s="2" t="s">
        <v>652</v>
      </c>
      <c r="E31" s="2">
        <v>0.9</v>
      </c>
      <c r="F31" s="2">
        <v>200</v>
      </c>
      <c r="G31" s="2">
        <v>2</v>
      </c>
      <c r="H31" s="5">
        <v>4.5</v>
      </c>
      <c r="I31" s="2">
        <v>54</v>
      </c>
      <c r="J31" s="2">
        <v>2013</v>
      </c>
      <c r="L31" s="2" t="s">
        <v>456</v>
      </c>
      <c r="M31" s="2" t="s">
        <v>677</v>
      </c>
      <c r="N31" s="2" t="s">
        <v>678</v>
      </c>
      <c r="O31" s="2" t="s">
        <v>654</v>
      </c>
      <c r="P31" s="2" t="s">
        <v>13</v>
      </c>
    </row>
    <row r="32" spans="2:16">
      <c r="B32" s="2" t="s">
        <v>677</v>
      </c>
      <c r="C32" s="2" t="s">
        <v>651</v>
      </c>
      <c r="D32" s="2" t="s">
        <v>652</v>
      </c>
      <c r="E32" s="2">
        <v>0.9</v>
      </c>
      <c r="F32" s="2">
        <v>200</v>
      </c>
      <c r="G32" s="2">
        <v>2</v>
      </c>
      <c r="H32" s="5">
        <v>4.7</v>
      </c>
      <c r="I32" s="2">
        <v>54</v>
      </c>
      <c r="J32" s="2">
        <v>2014</v>
      </c>
      <c r="L32" s="2" t="s">
        <v>456</v>
      </c>
      <c r="M32" s="2" t="s">
        <v>677</v>
      </c>
      <c r="N32" s="2" t="s">
        <v>678</v>
      </c>
      <c r="O32" s="2" t="s">
        <v>654</v>
      </c>
      <c r="P32" s="2" t="s">
        <v>13</v>
      </c>
    </row>
    <row r="33" spans="2:16">
      <c r="B33" s="2" t="s">
        <v>677</v>
      </c>
      <c r="C33" s="2" t="s">
        <v>651</v>
      </c>
      <c r="D33" s="2" t="s">
        <v>652</v>
      </c>
      <c r="E33" s="2">
        <v>0.9</v>
      </c>
      <c r="F33" s="2">
        <v>200</v>
      </c>
      <c r="G33" s="2">
        <v>2</v>
      </c>
      <c r="H33" s="5">
        <v>7.8676470588235299</v>
      </c>
      <c r="I33" s="2">
        <v>54</v>
      </c>
      <c r="J33" s="2">
        <v>1978</v>
      </c>
      <c r="L33" s="2" t="s">
        <v>456</v>
      </c>
      <c r="M33" s="2" t="s">
        <v>677</v>
      </c>
      <c r="N33" s="2" t="s">
        <v>678</v>
      </c>
      <c r="O33" s="2" t="s">
        <v>654</v>
      </c>
      <c r="P33" s="2" t="s">
        <v>13</v>
      </c>
    </row>
    <row r="34" spans="2:16">
      <c r="B34" s="2" t="s">
        <v>677</v>
      </c>
      <c r="C34" s="2" t="s">
        <v>651</v>
      </c>
      <c r="D34" s="2" t="s">
        <v>652</v>
      </c>
      <c r="E34" s="2">
        <v>0.9</v>
      </c>
      <c r="F34" s="2">
        <v>200</v>
      </c>
      <c r="G34" s="2">
        <v>2</v>
      </c>
      <c r="H34" s="5">
        <v>8.1999999999999993</v>
      </c>
      <c r="I34" s="2">
        <v>54</v>
      </c>
      <c r="J34" s="2">
        <v>1981</v>
      </c>
      <c r="L34" s="2" t="s">
        <v>456</v>
      </c>
      <c r="M34" s="2" t="s">
        <v>677</v>
      </c>
      <c r="N34" s="2" t="s">
        <v>678</v>
      </c>
      <c r="O34" s="2" t="s">
        <v>654</v>
      </c>
      <c r="P34" s="2" t="s">
        <v>13</v>
      </c>
    </row>
    <row r="35" spans="2:16">
      <c r="B35" s="2" t="s">
        <v>679</v>
      </c>
      <c r="C35" s="2" t="s">
        <v>651</v>
      </c>
      <c r="D35" s="2" t="s">
        <v>652</v>
      </c>
      <c r="E35" s="2">
        <v>0.9</v>
      </c>
      <c r="F35" s="2">
        <v>200</v>
      </c>
      <c r="G35" s="2">
        <v>2</v>
      </c>
      <c r="H35" s="5">
        <v>12.2</v>
      </c>
      <c r="I35" s="2">
        <v>54</v>
      </c>
      <c r="J35" s="2">
        <v>2005</v>
      </c>
      <c r="L35" s="2" t="s">
        <v>456</v>
      </c>
      <c r="M35" s="2" t="s">
        <v>679</v>
      </c>
      <c r="N35" s="2" t="s">
        <v>680</v>
      </c>
      <c r="O35" s="2" t="s">
        <v>654</v>
      </c>
      <c r="P35" s="2" t="s">
        <v>13</v>
      </c>
    </row>
    <row r="36" spans="2:16">
      <c r="B36" s="2" t="s">
        <v>681</v>
      </c>
      <c r="C36" s="2" t="s">
        <v>651</v>
      </c>
      <c r="D36" s="2" t="s">
        <v>652</v>
      </c>
      <c r="E36" s="2">
        <v>0.9</v>
      </c>
      <c r="F36" s="2">
        <v>200</v>
      </c>
      <c r="G36" s="2">
        <v>2</v>
      </c>
      <c r="H36" s="5">
        <v>3.7</v>
      </c>
      <c r="I36" s="2">
        <v>54</v>
      </c>
      <c r="J36" s="2">
        <v>2007</v>
      </c>
      <c r="L36" s="2" t="s">
        <v>456</v>
      </c>
      <c r="M36" s="2" t="s">
        <v>681</v>
      </c>
      <c r="N36" s="2" t="s">
        <v>682</v>
      </c>
      <c r="O36" s="2" t="s">
        <v>654</v>
      </c>
      <c r="P36" s="2" t="s">
        <v>13</v>
      </c>
    </row>
    <row r="37" spans="2:16">
      <c r="B37" s="2" t="s">
        <v>683</v>
      </c>
      <c r="C37" s="2" t="s">
        <v>651</v>
      </c>
      <c r="D37" s="2" t="s">
        <v>652</v>
      </c>
      <c r="E37" s="2">
        <v>0.9</v>
      </c>
      <c r="F37" s="2">
        <v>200</v>
      </c>
      <c r="G37" s="2">
        <v>2</v>
      </c>
      <c r="H37" s="5">
        <v>0.5</v>
      </c>
      <c r="I37" s="2">
        <v>54</v>
      </c>
      <c r="J37" s="2">
        <v>2025</v>
      </c>
      <c r="L37" s="2" t="s">
        <v>456</v>
      </c>
      <c r="M37" s="2" t="s">
        <v>683</v>
      </c>
      <c r="N37" s="2" t="s">
        <v>684</v>
      </c>
      <c r="O37" s="2" t="s">
        <v>654</v>
      </c>
      <c r="P37" s="2" t="s">
        <v>13</v>
      </c>
    </row>
    <row r="38" spans="2:16">
      <c r="B38" s="2" t="s">
        <v>683</v>
      </c>
      <c r="C38" s="2" t="s">
        <v>651</v>
      </c>
      <c r="D38" s="2" t="s">
        <v>652</v>
      </c>
      <c r="E38" s="2">
        <v>0.9</v>
      </c>
      <c r="F38" s="2">
        <v>200</v>
      </c>
      <c r="G38" s="2">
        <v>2</v>
      </c>
      <c r="H38" s="5">
        <v>2</v>
      </c>
      <c r="I38" s="2">
        <v>54</v>
      </c>
      <c r="J38" s="2">
        <v>2015</v>
      </c>
      <c r="L38" s="2" t="s">
        <v>456</v>
      </c>
      <c r="M38" s="2" t="s">
        <v>683</v>
      </c>
      <c r="N38" s="2" t="s">
        <v>684</v>
      </c>
      <c r="O38" s="2" t="s">
        <v>654</v>
      </c>
      <c r="P38" s="2" t="s">
        <v>13</v>
      </c>
    </row>
    <row r="39" spans="2:16">
      <c r="B39" s="2" t="s">
        <v>683</v>
      </c>
      <c r="C39" s="2" t="s">
        <v>651</v>
      </c>
      <c r="D39" s="2" t="s">
        <v>652</v>
      </c>
      <c r="E39" s="2">
        <v>0.9</v>
      </c>
      <c r="F39" s="2">
        <v>200</v>
      </c>
      <c r="G39" s="2">
        <v>2</v>
      </c>
      <c r="H39" s="5">
        <v>2.6</v>
      </c>
      <c r="I39" s="2">
        <v>54</v>
      </c>
      <c r="J39" s="2">
        <v>1990</v>
      </c>
      <c r="L39" s="2" t="s">
        <v>456</v>
      </c>
      <c r="M39" s="2" t="s">
        <v>683</v>
      </c>
      <c r="N39" s="2" t="s">
        <v>684</v>
      </c>
      <c r="O39" s="2" t="s">
        <v>654</v>
      </c>
      <c r="P39" s="2" t="s">
        <v>13</v>
      </c>
    </row>
    <row r="40" spans="2:16">
      <c r="B40" s="2" t="s">
        <v>683</v>
      </c>
      <c r="C40" s="2" t="s">
        <v>651</v>
      </c>
      <c r="D40" s="2" t="s">
        <v>652</v>
      </c>
      <c r="E40" s="2">
        <v>0.9</v>
      </c>
      <c r="F40" s="2">
        <v>200</v>
      </c>
      <c r="G40" s="2">
        <v>2</v>
      </c>
      <c r="H40" s="5">
        <v>3.8</v>
      </c>
      <c r="I40" s="2">
        <v>54</v>
      </c>
      <c r="J40" s="2">
        <v>2023</v>
      </c>
      <c r="L40" s="2" t="s">
        <v>456</v>
      </c>
      <c r="M40" s="2" t="s">
        <v>683</v>
      </c>
      <c r="N40" s="2" t="s">
        <v>684</v>
      </c>
      <c r="O40" s="2" t="s">
        <v>654</v>
      </c>
      <c r="P40" s="2" t="s">
        <v>13</v>
      </c>
    </row>
    <row r="41" spans="2:16">
      <c r="B41" s="2" t="s">
        <v>683</v>
      </c>
      <c r="C41" s="2" t="s">
        <v>651</v>
      </c>
      <c r="D41" s="2" t="s">
        <v>652</v>
      </c>
      <c r="E41" s="2">
        <v>0.9</v>
      </c>
      <c r="F41" s="2">
        <v>200</v>
      </c>
      <c r="G41" s="2">
        <v>2</v>
      </c>
      <c r="H41" s="5">
        <v>4.4000000000000004</v>
      </c>
      <c r="I41" s="2">
        <v>54</v>
      </c>
      <c r="J41" s="2">
        <v>1994</v>
      </c>
      <c r="L41" s="2" t="s">
        <v>456</v>
      </c>
      <c r="M41" s="2" t="s">
        <v>683</v>
      </c>
      <c r="N41" s="2" t="s">
        <v>684</v>
      </c>
      <c r="O41" s="2" t="s">
        <v>654</v>
      </c>
      <c r="P41" s="2" t="s">
        <v>13</v>
      </c>
    </row>
    <row r="42" spans="2:16">
      <c r="B42" s="2" t="s">
        <v>683</v>
      </c>
      <c r="C42" s="2" t="s">
        <v>651</v>
      </c>
      <c r="D42" s="2" t="s">
        <v>652</v>
      </c>
      <c r="E42" s="2">
        <v>0.9</v>
      </c>
      <c r="F42" s="2">
        <v>200</v>
      </c>
      <c r="G42" s="2">
        <v>2</v>
      </c>
      <c r="H42" s="5">
        <v>6.3</v>
      </c>
      <c r="I42" s="2">
        <v>54</v>
      </c>
      <c r="J42" s="2">
        <v>1998</v>
      </c>
      <c r="L42" s="2" t="s">
        <v>456</v>
      </c>
      <c r="M42" s="2" t="s">
        <v>683</v>
      </c>
      <c r="N42" s="2" t="s">
        <v>684</v>
      </c>
      <c r="O42" s="2" t="s">
        <v>654</v>
      </c>
      <c r="P42" s="2" t="s">
        <v>13</v>
      </c>
    </row>
    <row r="43" spans="2:16">
      <c r="B43" s="2" t="s">
        <v>683</v>
      </c>
      <c r="C43" s="2" t="s">
        <v>651</v>
      </c>
      <c r="D43" s="2" t="s">
        <v>652</v>
      </c>
      <c r="E43" s="2">
        <v>0.9</v>
      </c>
      <c r="F43" s="2">
        <v>200</v>
      </c>
      <c r="G43" s="2">
        <v>2</v>
      </c>
      <c r="H43" s="5">
        <v>7.6</v>
      </c>
      <c r="I43" s="2">
        <v>54</v>
      </c>
      <c r="J43" s="2">
        <v>2009</v>
      </c>
      <c r="L43" s="2" t="s">
        <v>456</v>
      </c>
      <c r="M43" s="2" t="s">
        <v>683</v>
      </c>
      <c r="N43" s="2" t="s">
        <v>684</v>
      </c>
      <c r="O43" s="2" t="s">
        <v>654</v>
      </c>
      <c r="P43" s="2" t="s">
        <v>13</v>
      </c>
    </row>
    <row r="44" spans="2:16">
      <c r="B44" s="2" t="s">
        <v>685</v>
      </c>
      <c r="C44" s="2" t="s">
        <v>651</v>
      </c>
      <c r="D44" s="2" t="s">
        <v>652</v>
      </c>
      <c r="E44" s="2">
        <v>0.9</v>
      </c>
      <c r="F44" s="2">
        <v>200</v>
      </c>
      <c r="G44" s="2">
        <v>2</v>
      </c>
      <c r="H44" s="5">
        <v>2.4</v>
      </c>
      <c r="I44" s="2">
        <v>54</v>
      </c>
      <c r="J44" s="2">
        <v>2025</v>
      </c>
      <c r="L44" s="2" t="s">
        <v>456</v>
      </c>
      <c r="M44" s="2" t="s">
        <v>685</v>
      </c>
      <c r="N44" s="2" t="s">
        <v>686</v>
      </c>
      <c r="O44" s="2" t="s">
        <v>654</v>
      </c>
      <c r="P44" s="2" t="s">
        <v>13</v>
      </c>
    </row>
    <row r="45" spans="2:16">
      <c r="B45" s="2" t="s">
        <v>687</v>
      </c>
      <c r="C45" s="2" t="s">
        <v>651</v>
      </c>
      <c r="D45" s="2" t="s">
        <v>652</v>
      </c>
      <c r="E45" s="2">
        <v>0.9</v>
      </c>
      <c r="F45" s="2">
        <v>200</v>
      </c>
      <c r="G45" s="2">
        <v>2</v>
      </c>
      <c r="H45" s="5">
        <v>3.6</v>
      </c>
      <c r="I45" s="2">
        <v>54</v>
      </c>
      <c r="J45" s="2">
        <v>2017</v>
      </c>
      <c r="L45" s="2" t="s">
        <v>456</v>
      </c>
      <c r="M45" s="2" t="s">
        <v>687</v>
      </c>
      <c r="N45" s="2" t="s">
        <v>688</v>
      </c>
      <c r="O45" s="2" t="s">
        <v>654</v>
      </c>
      <c r="P45" s="2" t="s">
        <v>13</v>
      </c>
    </row>
    <row r="46" spans="2:16">
      <c r="B46" s="2" t="s">
        <v>687</v>
      </c>
      <c r="C46" s="2" t="s">
        <v>651</v>
      </c>
      <c r="D46" s="2" t="s">
        <v>652</v>
      </c>
      <c r="E46" s="2">
        <v>0.9</v>
      </c>
      <c r="F46" s="2">
        <v>200</v>
      </c>
      <c r="G46" s="2">
        <v>2</v>
      </c>
      <c r="H46" s="5">
        <v>7.7</v>
      </c>
      <c r="I46" s="2">
        <v>54</v>
      </c>
      <c r="J46" s="2">
        <v>2003</v>
      </c>
      <c r="L46" s="2" t="s">
        <v>456</v>
      </c>
      <c r="M46" s="2" t="s">
        <v>687</v>
      </c>
      <c r="N46" s="2" t="s">
        <v>688</v>
      </c>
      <c r="O46" s="2" t="s">
        <v>654</v>
      </c>
      <c r="P46" s="2" t="s">
        <v>13</v>
      </c>
    </row>
    <row r="47" spans="2:16">
      <c r="B47" s="2" t="s">
        <v>687</v>
      </c>
      <c r="C47" s="2" t="s">
        <v>651</v>
      </c>
      <c r="D47" s="2" t="s">
        <v>652</v>
      </c>
      <c r="E47" s="2">
        <v>0.9</v>
      </c>
      <c r="F47" s="2">
        <v>200</v>
      </c>
      <c r="G47" s="2">
        <v>2</v>
      </c>
      <c r="H47" s="5">
        <v>8.4</v>
      </c>
      <c r="I47" s="2">
        <v>54</v>
      </c>
      <c r="J47" s="2">
        <v>1983</v>
      </c>
      <c r="L47" s="2" t="s">
        <v>456</v>
      </c>
      <c r="M47" s="2" t="s">
        <v>687</v>
      </c>
      <c r="N47" s="2" t="s">
        <v>688</v>
      </c>
      <c r="O47" s="2" t="s">
        <v>654</v>
      </c>
      <c r="P47" s="2" t="s">
        <v>13</v>
      </c>
    </row>
    <row r="48" spans="2:16">
      <c r="B48" s="2" t="s">
        <v>687</v>
      </c>
      <c r="C48" s="2" t="s">
        <v>651</v>
      </c>
      <c r="D48" s="2" t="s">
        <v>652</v>
      </c>
      <c r="E48" s="2">
        <v>0.9</v>
      </c>
      <c r="F48" s="2">
        <v>200</v>
      </c>
      <c r="G48" s="2">
        <v>2</v>
      </c>
      <c r="H48" s="5">
        <v>9.6</v>
      </c>
      <c r="I48" s="2">
        <v>54</v>
      </c>
      <c r="J48" s="2">
        <v>1995</v>
      </c>
      <c r="L48" s="2" t="s">
        <v>456</v>
      </c>
      <c r="M48" s="2" t="s">
        <v>687</v>
      </c>
      <c r="N48" s="2" t="s">
        <v>688</v>
      </c>
      <c r="O48" s="2" t="s">
        <v>654</v>
      </c>
      <c r="P48" s="2" t="s">
        <v>13</v>
      </c>
    </row>
    <row r="49" spans="2:16">
      <c r="B49" s="2" t="s">
        <v>689</v>
      </c>
      <c r="C49" s="2" t="s">
        <v>651</v>
      </c>
      <c r="D49" s="2" t="s">
        <v>652</v>
      </c>
      <c r="E49" s="2">
        <v>0.9</v>
      </c>
      <c r="F49" s="2">
        <v>200</v>
      </c>
      <c r="G49" s="2">
        <v>2</v>
      </c>
      <c r="H49" s="5">
        <v>3.3</v>
      </c>
      <c r="I49" s="2">
        <v>54</v>
      </c>
      <c r="J49" s="2">
        <v>2002</v>
      </c>
      <c r="L49" s="2" t="s">
        <v>456</v>
      </c>
      <c r="M49" s="2" t="s">
        <v>689</v>
      </c>
      <c r="N49" s="2" t="s">
        <v>690</v>
      </c>
      <c r="O49" s="2" t="s">
        <v>654</v>
      </c>
      <c r="P49" s="2" t="s">
        <v>13</v>
      </c>
    </row>
    <row r="50" spans="2:16">
      <c r="B50" s="2" t="s">
        <v>689</v>
      </c>
      <c r="C50" s="2" t="s">
        <v>651</v>
      </c>
      <c r="D50" s="2" t="s">
        <v>652</v>
      </c>
      <c r="E50" s="2">
        <v>0.9</v>
      </c>
      <c r="F50" s="2">
        <v>200</v>
      </c>
      <c r="G50" s="2">
        <v>2</v>
      </c>
      <c r="H50" s="5">
        <v>4.0999999999999996</v>
      </c>
      <c r="I50" s="2">
        <v>54</v>
      </c>
      <c r="J50" s="2">
        <v>2008</v>
      </c>
      <c r="L50" s="2" t="s">
        <v>456</v>
      </c>
      <c r="M50" s="2" t="s">
        <v>689</v>
      </c>
      <c r="N50" s="2" t="s">
        <v>690</v>
      </c>
      <c r="O50" s="2" t="s">
        <v>654</v>
      </c>
      <c r="P50" s="2" t="s">
        <v>13</v>
      </c>
    </row>
    <row r="51" spans="2:16">
      <c r="B51" s="2" t="s">
        <v>689</v>
      </c>
      <c r="C51" s="2" t="s">
        <v>651</v>
      </c>
      <c r="D51" s="2" t="s">
        <v>652</v>
      </c>
      <c r="E51" s="2">
        <v>0.9</v>
      </c>
      <c r="F51" s="2">
        <v>200</v>
      </c>
      <c r="G51" s="2">
        <v>2</v>
      </c>
      <c r="H51" s="5">
        <v>6.6</v>
      </c>
      <c r="I51" s="2">
        <v>54</v>
      </c>
      <c r="J51" s="2">
        <v>1999</v>
      </c>
      <c r="L51" s="2" t="s">
        <v>456</v>
      </c>
      <c r="M51" s="2" t="s">
        <v>689</v>
      </c>
      <c r="N51" s="2" t="s">
        <v>690</v>
      </c>
      <c r="O51" s="2" t="s">
        <v>654</v>
      </c>
      <c r="P51" s="2" t="s">
        <v>13</v>
      </c>
    </row>
    <row r="52" spans="2:16">
      <c r="B52" s="2" t="s">
        <v>689</v>
      </c>
      <c r="C52" s="2" t="s">
        <v>651</v>
      </c>
      <c r="D52" s="2" t="s">
        <v>652</v>
      </c>
      <c r="E52" s="2">
        <v>0.9</v>
      </c>
      <c r="F52" s="2">
        <v>200</v>
      </c>
      <c r="G52" s="2">
        <v>2</v>
      </c>
      <c r="H52" s="5">
        <v>7.6</v>
      </c>
      <c r="I52" s="2">
        <v>54</v>
      </c>
      <c r="J52" s="2">
        <v>2025</v>
      </c>
      <c r="L52" s="2" t="s">
        <v>456</v>
      </c>
      <c r="M52" s="2" t="s">
        <v>689</v>
      </c>
      <c r="N52" s="2" t="s">
        <v>690</v>
      </c>
      <c r="O52" s="2" t="s">
        <v>654</v>
      </c>
      <c r="P52" s="2" t="s">
        <v>13</v>
      </c>
    </row>
    <row r="53" spans="2:16">
      <c r="B53" s="2" t="s">
        <v>689</v>
      </c>
      <c r="C53" s="2" t="s">
        <v>651</v>
      </c>
      <c r="D53" s="2" t="s">
        <v>652</v>
      </c>
      <c r="E53" s="2">
        <v>0.9</v>
      </c>
      <c r="F53" s="2">
        <v>200</v>
      </c>
      <c r="G53" s="2">
        <v>2</v>
      </c>
      <c r="H53" s="5">
        <v>8.1999999999999993</v>
      </c>
      <c r="I53" s="2">
        <v>54</v>
      </c>
      <c r="J53" s="2">
        <v>2006</v>
      </c>
      <c r="L53" s="2" t="s">
        <v>456</v>
      </c>
      <c r="M53" s="2" t="s">
        <v>689</v>
      </c>
      <c r="N53" s="2" t="s">
        <v>690</v>
      </c>
      <c r="O53" s="2" t="s">
        <v>654</v>
      </c>
      <c r="P53" s="2" t="s">
        <v>13</v>
      </c>
    </row>
    <row r="54" spans="2:16">
      <c r="B54" s="2" t="s">
        <v>691</v>
      </c>
      <c r="C54" s="2" t="s">
        <v>651</v>
      </c>
      <c r="D54" s="2" t="s">
        <v>652</v>
      </c>
      <c r="E54" s="2">
        <v>0.9</v>
      </c>
      <c r="F54" s="2">
        <v>200</v>
      </c>
      <c r="G54" s="2">
        <v>2</v>
      </c>
      <c r="H54" s="5">
        <v>0.3</v>
      </c>
      <c r="I54" s="2">
        <v>54</v>
      </c>
      <c r="J54" s="2">
        <v>2011</v>
      </c>
      <c r="L54" s="2" t="s">
        <v>456</v>
      </c>
      <c r="M54" s="2" t="s">
        <v>691</v>
      </c>
      <c r="N54" s="2" t="s">
        <v>692</v>
      </c>
      <c r="O54" s="2" t="s">
        <v>654</v>
      </c>
      <c r="P54" s="2" t="s">
        <v>13</v>
      </c>
    </row>
    <row r="55" spans="2:16">
      <c r="B55" s="2" t="s">
        <v>691</v>
      </c>
      <c r="C55" s="2" t="s">
        <v>651</v>
      </c>
      <c r="D55" s="2" t="s">
        <v>652</v>
      </c>
      <c r="E55" s="2">
        <v>0.9</v>
      </c>
      <c r="F55" s="2">
        <v>200</v>
      </c>
      <c r="G55" s="2">
        <v>2</v>
      </c>
      <c r="H55" s="5">
        <v>4.2</v>
      </c>
      <c r="I55" s="2">
        <v>54</v>
      </c>
      <c r="J55" s="2">
        <v>2007</v>
      </c>
      <c r="L55" s="2" t="s">
        <v>456</v>
      </c>
      <c r="M55" s="2" t="s">
        <v>691</v>
      </c>
      <c r="N55" s="2" t="s">
        <v>692</v>
      </c>
      <c r="O55" s="2" t="s">
        <v>654</v>
      </c>
      <c r="P55" s="2" t="s">
        <v>13</v>
      </c>
    </row>
    <row r="56" spans="2:16">
      <c r="B56" s="2" t="s">
        <v>693</v>
      </c>
      <c r="C56" s="2" t="s">
        <v>651</v>
      </c>
      <c r="D56" s="2" t="s">
        <v>652</v>
      </c>
      <c r="E56" s="2">
        <v>0.9</v>
      </c>
      <c r="F56" s="2">
        <v>200</v>
      </c>
      <c r="G56" s="2">
        <v>2</v>
      </c>
      <c r="H56" s="5">
        <v>3.7</v>
      </c>
      <c r="I56" s="2">
        <v>54</v>
      </c>
      <c r="J56" s="2">
        <v>2005</v>
      </c>
      <c r="L56" s="2" t="s">
        <v>456</v>
      </c>
      <c r="M56" s="2" t="s">
        <v>693</v>
      </c>
      <c r="N56" s="2" t="s">
        <v>694</v>
      </c>
      <c r="O56" s="2" t="s">
        <v>654</v>
      </c>
      <c r="P56" s="2" t="s">
        <v>13</v>
      </c>
    </row>
    <row r="57" spans="2:16">
      <c r="B57" s="2" t="s">
        <v>693</v>
      </c>
      <c r="C57" s="2" t="s">
        <v>651</v>
      </c>
      <c r="D57" s="2" t="s">
        <v>652</v>
      </c>
      <c r="E57" s="2">
        <v>0.9</v>
      </c>
      <c r="F57" s="2">
        <v>200</v>
      </c>
      <c r="G57" s="2">
        <v>2</v>
      </c>
      <c r="H57" s="5">
        <v>7.1</v>
      </c>
      <c r="I57" s="2">
        <v>54</v>
      </c>
      <c r="J57" s="2">
        <v>2000</v>
      </c>
      <c r="L57" s="2" t="s">
        <v>456</v>
      </c>
      <c r="M57" s="2" t="s">
        <v>693</v>
      </c>
      <c r="N57" s="2" t="s">
        <v>694</v>
      </c>
      <c r="O57" s="2" t="s">
        <v>654</v>
      </c>
      <c r="P57" s="2" t="s">
        <v>13</v>
      </c>
    </row>
    <row r="58" spans="2:16">
      <c r="B58" s="2" t="s">
        <v>695</v>
      </c>
      <c r="C58" s="2" t="s">
        <v>651</v>
      </c>
      <c r="D58" s="2" t="s">
        <v>652</v>
      </c>
      <c r="E58" s="2">
        <v>0.9</v>
      </c>
      <c r="F58" s="2">
        <v>200</v>
      </c>
      <c r="G58" s="2">
        <v>2</v>
      </c>
      <c r="H58" s="5">
        <v>4.45</v>
      </c>
      <c r="I58" s="2">
        <v>54</v>
      </c>
      <c r="J58" s="2">
        <v>2010</v>
      </c>
      <c r="L58" s="2" t="s">
        <v>456</v>
      </c>
      <c r="M58" s="2" t="s">
        <v>695</v>
      </c>
      <c r="N58" s="2" t="s">
        <v>696</v>
      </c>
      <c r="O58" s="2" t="s">
        <v>654</v>
      </c>
      <c r="P58" s="2" t="s">
        <v>13</v>
      </c>
    </row>
    <row r="59" spans="2:16">
      <c r="B59" s="2" t="s">
        <v>697</v>
      </c>
      <c r="C59" s="2" t="s">
        <v>651</v>
      </c>
      <c r="D59" s="2" t="s">
        <v>652</v>
      </c>
      <c r="E59" s="2">
        <v>0.9</v>
      </c>
      <c r="F59" s="2">
        <v>200</v>
      </c>
      <c r="G59" s="2">
        <v>2</v>
      </c>
      <c r="H59" s="5">
        <v>6.9</v>
      </c>
      <c r="I59" s="2">
        <v>54</v>
      </c>
      <c r="J59" s="2">
        <v>2014</v>
      </c>
      <c r="L59" s="2" t="s">
        <v>456</v>
      </c>
      <c r="M59" s="2" t="s">
        <v>697</v>
      </c>
      <c r="N59" s="2" t="s">
        <v>698</v>
      </c>
      <c r="O59" s="2" t="s">
        <v>654</v>
      </c>
      <c r="P59" s="2" t="s">
        <v>13</v>
      </c>
    </row>
    <row r="60" spans="2:16">
      <c r="B60" s="2" t="s">
        <v>699</v>
      </c>
      <c r="C60" s="2" t="s">
        <v>651</v>
      </c>
      <c r="D60" s="2" t="s">
        <v>652</v>
      </c>
      <c r="E60" s="2">
        <v>0.9</v>
      </c>
      <c r="F60" s="2">
        <v>200</v>
      </c>
      <c r="G60" s="2">
        <v>2</v>
      </c>
      <c r="H60" s="5">
        <v>4.7</v>
      </c>
      <c r="I60" s="2">
        <v>54</v>
      </c>
      <c r="J60" s="2">
        <v>2004</v>
      </c>
      <c r="L60" s="2" t="s">
        <v>456</v>
      </c>
      <c r="M60" s="2" t="s">
        <v>699</v>
      </c>
      <c r="N60" s="2" t="s">
        <v>700</v>
      </c>
      <c r="O60" s="2" t="s">
        <v>654</v>
      </c>
      <c r="P60" s="2" t="s">
        <v>13</v>
      </c>
    </row>
    <row r="61" spans="2:16">
      <c r="B61" s="2" t="s">
        <v>699</v>
      </c>
      <c r="C61" s="2" t="s">
        <v>651</v>
      </c>
      <c r="D61" s="2" t="s">
        <v>652</v>
      </c>
      <c r="E61" s="2">
        <v>0.9</v>
      </c>
      <c r="F61" s="2">
        <v>200</v>
      </c>
      <c r="G61" s="2">
        <v>2</v>
      </c>
      <c r="H61" s="5">
        <v>4.7</v>
      </c>
      <c r="I61" s="2">
        <v>54</v>
      </c>
      <c r="J61" s="2">
        <v>2005</v>
      </c>
      <c r="L61" s="2" t="s">
        <v>456</v>
      </c>
      <c r="M61" s="2" t="s">
        <v>699</v>
      </c>
      <c r="N61" s="2" t="s">
        <v>700</v>
      </c>
      <c r="O61" s="2" t="s">
        <v>654</v>
      </c>
      <c r="P61" s="2" t="s">
        <v>13</v>
      </c>
    </row>
    <row r="62" spans="2:16">
      <c r="B62" s="2" t="s">
        <v>699</v>
      </c>
      <c r="C62" s="2" t="s">
        <v>651</v>
      </c>
      <c r="D62" s="2" t="s">
        <v>652</v>
      </c>
      <c r="E62" s="2">
        <v>0.9</v>
      </c>
      <c r="F62" s="2">
        <v>200</v>
      </c>
      <c r="G62" s="2">
        <v>2</v>
      </c>
      <c r="H62" s="5">
        <v>4.7</v>
      </c>
      <c r="I62" s="2">
        <v>54</v>
      </c>
      <c r="J62" s="2">
        <v>2006</v>
      </c>
      <c r="L62" s="2" t="s">
        <v>456</v>
      </c>
      <c r="M62" s="2" t="s">
        <v>699</v>
      </c>
      <c r="N62" s="2" t="s">
        <v>700</v>
      </c>
      <c r="O62" s="2" t="s">
        <v>654</v>
      </c>
      <c r="P62" s="2" t="s">
        <v>13</v>
      </c>
    </row>
    <row r="63" spans="2:16">
      <c r="B63" s="2" t="s">
        <v>699</v>
      </c>
      <c r="C63" s="2" t="s">
        <v>651</v>
      </c>
      <c r="D63" s="2" t="s">
        <v>652</v>
      </c>
      <c r="E63" s="2">
        <v>0.9</v>
      </c>
      <c r="F63" s="2">
        <v>200</v>
      </c>
      <c r="G63" s="2">
        <v>2</v>
      </c>
      <c r="H63" s="5">
        <v>6.6</v>
      </c>
      <c r="I63" s="2">
        <v>54</v>
      </c>
      <c r="J63" s="2">
        <v>1999</v>
      </c>
      <c r="L63" s="2" t="s">
        <v>456</v>
      </c>
      <c r="M63" s="2" t="s">
        <v>699</v>
      </c>
      <c r="N63" s="2" t="s">
        <v>700</v>
      </c>
      <c r="O63" s="2" t="s">
        <v>654</v>
      </c>
      <c r="P63" s="2" t="s">
        <v>13</v>
      </c>
    </row>
    <row r="64" spans="2:16">
      <c r="B64" s="2" t="s">
        <v>699</v>
      </c>
      <c r="C64" s="2" t="s">
        <v>651</v>
      </c>
      <c r="D64" s="2" t="s">
        <v>652</v>
      </c>
      <c r="E64" s="2">
        <v>0.9</v>
      </c>
      <c r="F64" s="2">
        <v>200</v>
      </c>
      <c r="G64" s="2">
        <v>2</v>
      </c>
      <c r="H64" s="5">
        <v>7.8</v>
      </c>
      <c r="I64" s="2">
        <v>54</v>
      </c>
      <c r="J64" s="2">
        <v>2011</v>
      </c>
      <c r="L64" s="2" t="s">
        <v>456</v>
      </c>
      <c r="M64" s="2" t="s">
        <v>699</v>
      </c>
      <c r="N64" s="2" t="s">
        <v>700</v>
      </c>
      <c r="O64" s="2" t="s">
        <v>654</v>
      </c>
      <c r="P64" s="2" t="s">
        <v>13</v>
      </c>
    </row>
    <row r="65" spans="2:16">
      <c r="B65" s="2" t="s">
        <v>699</v>
      </c>
      <c r="C65" s="2" t="s">
        <v>651</v>
      </c>
      <c r="D65" s="2" t="s">
        <v>652</v>
      </c>
      <c r="E65" s="2">
        <v>0.9</v>
      </c>
      <c r="F65" s="2">
        <v>200</v>
      </c>
      <c r="G65" s="2">
        <v>2</v>
      </c>
      <c r="H65" s="5">
        <v>9.6</v>
      </c>
      <c r="I65" s="2">
        <v>54</v>
      </c>
      <c r="J65" s="2">
        <v>1996</v>
      </c>
      <c r="L65" s="2" t="s">
        <v>456</v>
      </c>
      <c r="M65" s="2" t="s">
        <v>699</v>
      </c>
      <c r="N65" s="2" t="s">
        <v>700</v>
      </c>
      <c r="O65" s="2" t="s">
        <v>654</v>
      </c>
      <c r="P65" s="2" t="s">
        <v>13</v>
      </c>
    </row>
    <row r="66" spans="2:16">
      <c r="B66" s="2" t="s">
        <v>699</v>
      </c>
      <c r="C66" s="2" t="s">
        <v>651</v>
      </c>
      <c r="D66" s="2" t="s">
        <v>652</v>
      </c>
      <c r="E66" s="2">
        <v>0.9</v>
      </c>
      <c r="F66" s="2">
        <v>200</v>
      </c>
      <c r="G66" s="2">
        <v>2</v>
      </c>
      <c r="H66" s="5">
        <v>15.6</v>
      </c>
      <c r="I66" s="2">
        <v>54</v>
      </c>
      <c r="J66" s="2">
        <v>2010</v>
      </c>
      <c r="L66" s="2" t="s">
        <v>456</v>
      </c>
      <c r="M66" s="2" t="s">
        <v>699</v>
      </c>
      <c r="N66" s="2" t="s">
        <v>700</v>
      </c>
      <c r="O66" s="2" t="s">
        <v>654</v>
      </c>
      <c r="P66" s="2" t="s">
        <v>13</v>
      </c>
    </row>
    <row r="67" spans="2:16">
      <c r="B67" s="2" t="s">
        <v>699</v>
      </c>
      <c r="C67" s="2" t="s">
        <v>651</v>
      </c>
      <c r="D67" s="2" t="s">
        <v>652</v>
      </c>
      <c r="E67" s="2">
        <v>0.9</v>
      </c>
      <c r="F67" s="2">
        <v>200</v>
      </c>
      <c r="G67" s="2">
        <v>2</v>
      </c>
      <c r="H67" s="5">
        <v>23.4</v>
      </c>
      <c r="I67" s="2">
        <v>54</v>
      </c>
      <c r="J67" s="2">
        <v>2009</v>
      </c>
      <c r="L67" s="2" t="s">
        <v>456</v>
      </c>
      <c r="M67" s="2" t="s">
        <v>699</v>
      </c>
      <c r="N67" s="2" t="s">
        <v>700</v>
      </c>
      <c r="O67" s="2" t="s">
        <v>654</v>
      </c>
      <c r="P67" s="2" t="s">
        <v>13</v>
      </c>
    </row>
    <row r="68" spans="2:16">
      <c r="B68" s="2" t="s">
        <v>699</v>
      </c>
      <c r="C68" s="2" t="s">
        <v>651</v>
      </c>
      <c r="D68" s="2" t="s">
        <v>652</v>
      </c>
      <c r="E68" s="2">
        <v>0.9</v>
      </c>
      <c r="F68" s="2">
        <v>200</v>
      </c>
      <c r="G68" s="2">
        <v>2</v>
      </c>
      <c r="H68" s="5">
        <v>33</v>
      </c>
      <c r="I68" s="2">
        <v>54</v>
      </c>
      <c r="J68" s="2">
        <v>2025</v>
      </c>
      <c r="L68" s="2" t="s">
        <v>456</v>
      </c>
      <c r="M68" s="2" t="s">
        <v>699</v>
      </c>
      <c r="N68" s="2" t="s">
        <v>700</v>
      </c>
      <c r="O68" s="2" t="s">
        <v>654</v>
      </c>
      <c r="P68" s="2" t="s">
        <v>13</v>
      </c>
    </row>
    <row r="69" spans="2:16">
      <c r="B69" s="2" t="s">
        <v>701</v>
      </c>
      <c r="C69" s="2" t="s">
        <v>651</v>
      </c>
      <c r="D69" s="2" t="s">
        <v>652</v>
      </c>
      <c r="E69" s="2">
        <v>0.9</v>
      </c>
      <c r="F69" s="2">
        <v>200</v>
      </c>
      <c r="G69" s="2">
        <v>2</v>
      </c>
      <c r="H69" s="5">
        <v>0.94</v>
      </c>
      <c r="I69" s="2">
        <v>54</v>
      </c>
      <c r="J69" s="2">
        <v>2021</v>
      </c>
      <c r="L69" s="2" t="s">
        <v>456</v>
      </c>
      <c r="M69" s="2" t="s">
        <v>701</v>
      </c>
      <c r="N69" s="2" t="s">
        <v>702</v>
      </c>
      <c r="O69" s="2" t="s">
        <v>654</v>
      </c>
      <c r="P69" s="2" t="s">
        <v>13</v>
      </c>
    </row>
    <row r="70" spans="2:16">
      <c r="B70" s="2" t="s">
        <v>701</v>
      </c>
      <c r="C70" s="2" t="s">
        <v>651</v>
      </c>
      <c r="D70" s="2" t="s">
        <v>652</v>
      </c>
      <c r="E70" s="2">
        <v>0.9</v>
      </c>
      <c r="F70" s="2">
        <v>200</v>
      </c>
      <c r="G70" s="2">
        <v>2</v>
      </c>
      <c r="H70" s="5">
        <v>1.5</v>
      </c>
      <c r="I70" s="2">
        <v>54</v>
      </c>
      <c r="J70" s="2">
        <v>2022</v>
      </c>
      <c r="L70" s="2" t="s">
        <v>456</v>
      </c>
      <c r="M70" s="2" t="s">
        <v>701</v>
      </c>
      <c r="N70" s="2" t="s">
        <v>702</v>
      </c>
      <c r="O70" s="2" t="s">
        <v>654</v>
      </c>
      <c r="P70" s="2" t="s">
        <v>13</v>
      </c>
    </row>
    <row r="71" spans="2:16">
      <c r="B71" s="2" t="s">
        <v>701</v>
      </c>
      <c r="C71" s="2" t="s">
        <v>651</v>
      </c>
      <c r="D71" s="2" t="s">
        <v>652</v>
      </c>
      <c r="E71" s="2">
        <v>0.9</v>
      </c>
      <c r="F71" s="2">
        <v>200</v>
      </c>
      <c r="G71" s="2">
        <v>2</v>
      </c>
      <c r="H71" s="5">
        <v>6.6</v>
      </c>
      <c r="I71" s="2">
        <v>54</v>
      </c>
      <c r="J71" s="2">
        <v>2024</v>
      </c>
      <c r="L71" s="2" t="s">
        <v>456</v>
      </c>
      <c r="M71" s="2" t="s">
        <v>701</v>
      </c>
      <c r="N71" s="2" t="s">
        <v>702</v>
      </c>
      <c r="O71" s="2" t="s">
        <v>654</v>
      </c>
      <c r="P71" s="2" t="s">
        <v>13</v>
      </c>
    </row>
    <row r="72" spans="2:16">
      <c r="B72" s="2" t="s">
        <v>701</v>
      </c>
      <c r="C72" s="2" t="s">
        <v>651</v>
      </c>
      <c r="D72" s="2" t="s">
        <v>652</v>
      </c>
      <c r="E72" s="2">
        <v>0.9</v>
      </c>
      <c r="F72" s="2">
        <v>200</v>
      </c>
      <c r="G72" s="2">
        <v>2</v>
      </c>
      <c r="H72" s="5">
        <v>9.6</v>
      </c>
      <c r="I72" s="2">
        <v>54</v>
      </c>
      <c r="J72" s="2">
        <v>2009</v>
      </c>
      <c r="L72" s="2" t="s">
        <v>456</v>
      </c>
      <c r="M72" s="2" t="s">
        <v>701</v>
      </c>
      <c r="N72" s="2" t="s">
        <v>702</v>
      </c>
      <c r="O72" s="2" t="s">
        <v>654</v>
      </c>
      <c r="P72" s="2" t="s">
        <v>13</v>
      </c>
    </row>
    <row r="73" spans="2:16">
      <c r="B73" s="2" t="s">
        <v>701</v>
      </c>
      <c r="C73" s="2" t="s">
        <v>651</v>
      </c>
      <c r="D73" s="2" t="s">
        <v>652</v>
      </c>
      <c r="E73" s="2">
        <v>0.9</v>
      </c>
      <c r="F73" s="2">
        <v>200</v>
      </c>
      <c r="G73" s="2">
        <v>2</v>
      </c>
      <c r="H73" s="5">
        <v>16.5</v>
      </c>
      <c r="I73" s="2">
        <v>54</v>
      </c>
      <c r="J73" s="2">
        <v>2015</v>
      </c>
      <c r="L73" s="2" t="s">
        <v>456</v>
      </c>
      <c r="M73" s="2" t="s">
        <v>701</v>
      </c>
      <c r="N73" s="2" t="s">
        <v>702</v>
      </c>
      <c r="O73" s="2" t="s">
        <v>654</v>
      </c>
      <c r="P73" s="2" t="s">
        <v>13</v>
      </c>
    </row>
    <row r="74" spans="2:16">
      <c r="B74" s="2" t="s">
        <v>703</v>
      </c>
      <c r="C74" s="2" t="s">
        <v>651</v>
      </c>
      <c r="D74" s="2" t="s">
        <v>652</v>
      </c>
      <c r="E74" s="2">
        <v>0.9</v>
      </c>
      <c r="F74" s="2">
        <v>200</v>
      </c>
      <c r="G74" s="2">
        <v>2</v>
      </c>
      <c r="H74" s="5">
        <v>3.3</v>
      </c>
      <c r="I74" s="2">
        <v>54</v>
      </c>
      <c r="J74" s="2">
        <v>1999</v>
      </c>
      <c r="L74" s="2" t="s">
        <v>456</v>
      </c>
      <c r="M74" s="2" t="s">
        <v>703</v>
      </c>
      <c r="N74" s="2" t="s">
        <v>704</v>
      </c>
      <c r="O74" s="2" t="s">
        <v>654</v>
      </c>
      <c r="P74" s="2" t="s">
        <v>13</v>
      </c>
    </row>
    <row r="75" spans="2:16">
      <c r="B75" s="2" t="s">
        <v>703</v>
      </c>
      <c r="C75" s="2" t="s">
        <v>651</v>
      </c>
      <c r="D75" s="2" t="s">
        <v>652</v>
      </c>
      <c r="E75" s="2">
        <v>0.9</v>
      </c>
      <c r="F75" s="2">
        <v>200</v>
      </c>
      <c r="G75" s="2">
        <v>2</v>
      </c>
      <c r="H75" s="5">
        <v>3.5</v>
      </c>
      <c r="I75" s="2">
        <v>54</v>
      </c>
      <c r="J75" s="2">
        <v>2002</v>
      </c>
      <c r="L75" s="2" t="s">
        <v>456</v>
      </c>
      <c r="M75" s="2" t="s">
        <v>703</v>
      </c>
      <c r="N75" s="2" t="s">
        <v>704</v>
      </c>
      <c r="O75" s="2" t="s">
        <v>654</v>
      </c>
      <c r="P75" s="2" t="s">
        <v>13</v>
      </c>
    </row>
    <row r="76" spans="2:16">
      <c r="B76" s="2" t="s">
        <v>703</v>
      </c>
      <c r="C76" s="2" t="s">
        <v>651</v>
      </c>
      <c r="D76" s="2" t="s">
        <v>652</v>
      </c>
      <c r="E76" s="2">
        <v>0.9</v>
      </c>
      <c r="F76" s="2">
        <v>200</v>
      </c>
      <c r="G76" s="2">
        <v>2</v>
      </c>
      <c r="H76" s="5">
        <v>3.5</v>
      </c>
      <c r="I76" s="2">
        <v>54</v>
      </c>
      <c r="J76" s="2">
        <v>2003</v>
      </c>
      <c r="L76" s="2" t="s">
        <v>456</v>
      </c>
      <c r="M76" s="2" t="s">
        <v>703</v>
      </c>
      <c r="N76" s="2" t="s">
        <v>704</v>
      </c>
      <c r="O76" s="2" t="s">
        <v>654</v>
      </c>
      <c r="P76" s="2" t="s">
        <v>13</v>
      </c>
    </row>
    <row r="77" spans="2:16">
      <c r="B77" s="2" t="s">
        <v>703</v>
      </c>
      <c r="C77" s="2" t="s">
        <v>651</v>
      </c>
      <c r="D77" s="2" t="s">
        <v>652</v>
      </c>
      <c r="E77" s="2">
        <v>0.9</v>
      </c>
      <c r="F77" s="2">
        <v>200</v>
      </c>
      <c r="G77" s="2">
        <v>2</v>
      </c>
      <c r="H77" s="5">
        <v>5.2</v>
      </c>
      <c r="I77" s="2">
        <v>54</v>
      </c>
      <c r="J77" s="2">
        <v>2005</v>
      </c>
      <c r="L77" s="2" t="s">
        <v>456</v>
      </c>
      <c r="M77" s="2" t="s">
        <v>703</v>
      </c>
      <c r="N77" s="2" t="s">
        <v>704</v>
      </c>
      <c r="O77" s="2" t="s">
        <v>654</v>
      </c>
      <c r="P77" s="2" t="s">
        <v>13</v>
      </c>
    </row>
    <row r="78" spans="2:16">
      <c r="B78" s="2" t="s">
        <v>705</v>
      </c>
      <c r="C78" s="2" t="s">
        <v>651</v>
      </c>
      <c r="D78" s="2" t="s">
        <v>652</v>
      </c>
      <c r="E78" s="2">
        <v>0.9</v>
      </c>
      <c r="F78" s="2">
        <v>200</v>
      </c>
      <c r="G78" s="2">
        <v>2</v>
      </c>
      <c r="H78" s="5">
        <v>2.8</v>
      </c>
      <c r="I78" s="2">
        <v>54</v>
      </c>
      <c r="J78" s="2">
        <v>2023</v>
      </c>
      <c r="L78" s="2" t="s">
        <v>456</v>
      </c>
      <c r="M78" s="2" t="s">
        <v>705</v>
      </c>
      <c r="N78" s="2" t="s">
        <v>706</v>
      </c>
      <c r="O78" s="2" t="s">
        <v>654</v>
      </c>
      <c r="P78" s="2" t="s">
        <v>13</v>
      </c>
    </row>
    <row r="79" spans="2:16">
      <c r="B79" s="2" t="s">
        <v>705</v>
      </c>
      <c r="C79" s="2" t="s">
        <v>651</v>
      </c>
      <c r="D79" s="2" t="s">
        <v>652</v>
      </c>
      <c r="E79" s="2">
        <v>0.9</v>
      </c>
      <c r="F79" s="2">
        <v>200</v>
      </c>
      <c r="G79" s="2">
        <v>2</v>
      </c>
      <c r="H79" s="5">
        <v>5.2</v>
      </c>
      <c r="I79" s="2">
        <v>54</v>
      </c>
      <c r="J79" s="2">
        <v>2021</v>
      </c>
      <c r="L79" s="2" t="s">
        <v>456</v>
      </c>
      <c r="M79" s="2" t="s">
        <v>705</v>
      </c>
      <c r="N79" s="2" t="s">
        <v>706</v>
      </c>
      <c r="O79" s="2" t="s">
        <v>654</v>
      </c>
      <c r="P79" s="2" t="s">
        <v>13</v>
      </c>
    </row>
    <row r="80" spans="2:16">
      <c r="B80" s="2" t="s">
        <v>705</v>
      </c>
      <c r="C80" s="2" t="s">
        <v>651</v>
      </c>
      <c r="D80" s="2" t="s">
        <v>652</v>
      </c>
      <c r="E80" s="2">
        <v>0.9</v>
      </c>
      <c r="F80" s="2">
        <v>200</v>
      </c>
      <c r="G80" s="2">
        <v>2</v>
      </c>
      <c r="H80" s="5">
        <v>6</v>
      </c>
      <c r="I80" s="2">
        <v>54</v>
      </c>
      <c r="J80" s="2">
        <v>2024</v>
      </c>
      <c r="L80" s="2" t="s">
        <v>456</v>
      </c>
      <c r="M80" s="2" t="s">
        <v>705</v>
      </c>
      <c r="N80" s="2" t="s">
        <v>706</v>
      </c>
      <c r="O80" s="2" t="s">
        <v>654</v>
      </c>
      <c r="P80" s="2" t="s">
        <v>13</v>
      </c>
    </row>
    <row r="81" spans="2:17">
      <c r="B81" s="2" t="s">
        <v>705</v>
      </c>
      <c r="C81" s="2" t="s">
        <v>651</v>
      </c>
      <c r="D81" s="2" t="s">
        <v>652</v>
      </c>
      <c r="E81" s="2">
        <v>0.9</v>
      </c>
      <c r="F81" s="2">
        <v>200</v>
      </c>
      <c r="G81" s="2">
        <v>2</v>
      </c>
      <c r="H81" s="5">
        <v>9</v>
      </c>
      <c r="I81" s="2">
        <v>54</v>
      </c>
      <c r="J81" s="2">
        <v>2016</v>
      </c>
      <c r="L81" s="2" t="s">
        <v>456</v>
      </c>
      <c r="M81" s="2" t="s">
        <v>705</v>
      </c>
      <c r="N81" s="2" t="s">
        <v>706</v>
      </c>
      <c r="O81" s="2" t="s">
        <v>654</v>
      </c>
      <c r="P81" s="2" t="s">
        <v>13</v>
      </c>
    </row>
    <row r="82" spans="2:17">
      <c r="B82" s="2" t="s">
        <v>705</v>
      </c>
      <c r="C82" s="2" t="s">
        <v>651</v>
      </c>
      <c r="D82" s="2" t="s">
        <v>652</v>
      </c>
      <c r="E82" s="2">
        <v>0.9</v>
      </c>
      <c r="F82" s="2">
        <v>200</v>
      </c>
      <c r="G82" s="2">
        <v>2</v>
      </c>
      <c r="H82" s="5">
        <v>9</v>
      </c>
      <c r="I82" s="2">
        <v>54</v>
      </c>
      <c r="J82" s="2">
        <v>2017</v>
      </c>
      <c r="L82" s="2" t="s">
        <v>456</v>
      </c>
      <c r="M82" s="2" t="s">
        <v>705</v>
      </c>
      <c r="N82" s="2" t="s">
        <v>706</v>
      </c>
      <c r="O82" s="2" t="s">
        <v>654</v>
      </c>
      <c r="P82" s="2" t="s">
        <v>13</v>
      </c>
    </row>
    <row r="83" spans="2:17">
      <c r="B83" s="2" t="s">
        <v>705</v>
      </c>
      <c r="C83" s="2" t="s">
        <v>651</v>
      </c>
      <c r="D83" s="2" t="s">
        <v>652</v>
      </c>
      <c r="E83" s="2">
        <v>0.9</v>
      </c>
      <c r="F83" s="2">
        <v>200</v>
      </c>
      <c r="G83" s="2">
        <v>2</v>
      </c>
      <c r="H83" s="5">
        <v>10</v>
      </c>
      <c r="I83" s="2">
        <v>54</v>
      </c>
      <c r="J83" s="2">
        <v>2022</v>
      </c>
      <c r="L83" s="2" t="s">
        <v>456</v>
      </c>
      <c r="M83" s="2" t="s">
        <v>705</v>
      </c>
      <c r="N83" s="2" t="s">
        <v>706</v>
      </c>
      <c r="O83" s="2" t="s">
        <v>654</v>
      </c>
      <c r="P83" s="2" t="s">
        <v>13</v>
      </c>
    </row>
    <row r="84" spans="2:17">
      <c r="B84" s="2" t="s">
        <v>705</v>
      </c>
      <c r="C84" s="2" t="s">
        <v>651</v>
      </c>
      <c r="D84" s="2" t="s">
        <v>652</v>
      </c>
      <c r="E84" s="2">
        <v>0.9</v>
      </c>
      <c r="F84" s="2">
        <v>200</v>
      </c>
      <c r="G84" s="2">
        <v>2</v>
      </c>
      <c r="H84" s="5">
        <v>10</v>
      </c>
      <c r="I84" s="2">
        <v>54</v>
      </c>
      <c r="J84" s="2">
        <v>2026</v>
      </c>
      <c r="L84" s="2" t="s">
        <v>456</v>
      </c>
      <c r="M84" s="2" t="s">
        <v>705</v>
      </c>
      <c r="N84" s="2" t="s">
        <v>706</v>
      </c>
      <c r="O84" s="2" t="s">
        <v>654</v>
      </c>
      <c r="P84" s="2" t="s">
        <v>13</v>
      </c>
    </row>
    <row r="85" spans="2:17">
      <c r="B85" s="2" t="s">
        <v>705</v>
      </c>
      <c r="C85" s="2" t="s">
        <v>651</v>
      </c>
      <c r="D85" s="2" t="s">
        <v>652</v>
      </c>
      <c r="E85" s="2">
        <v>0.9</v>
      </c>
      <c r="F85" s="2">
        <v>200</v>
      </c>
      <c r="G85" s="2">
        <v>2</v>
      </c>
      <c r="H85" s="5">
        <v>13</v>
      </c>
      <c r="I85" s="2">
        <v>54</v>
      </c>
      <c r="J85" s="2">
        <v>2027</v>
      </c>
      <c r="L85" s="2" t="s">
        <v>456</v>
      </c>
      <c r="M85" s="2" t="s">
        <v>705</v>
      </c>
      <c r="N85" s="2" t="s">
        <v>706</v>
      </c>
      <c r="O85" s="2" t="s">
        <v>654</v>
      </c>
      <c r="P85" s="2" t="s">
        <v>13</v>
      </c>
    </row>
    <row r="86" spans="2:17">
      <c r="B86" s="2" t="s">
        <v>705</v>
      </c>
      <c r="C86" s="2" t="s">
        <v>651</v>
      </c>
      <c r="D86" s="2" t="s">
        <v>652</v>
      </c>
      <c r="E86" s="2">
        <v>0.9</v>
      </c>
      <c r="F86" s="2">
        <v>200</v>
      </c>
      <c r="G86" s="2">
        <v>2</v>
      </c>
      <c r="H86" s="5">
        <v>14.75</v>
      </c>
      <c r="I86" s="2">
        <v>54</v>
      </c>
      <c r="J86" s="2">
        <v>2018</v>
      </c>
      <c r="L86" s="2" t="s">
        <v>456</v>
      </c>
      <c r="M86" s="2" t="s">
        <v>705</v>
      </c>
      <c r="N86" s="2" t="s">
        <v>706</v>
      </c>
      <c r="O86" s="2" t="s">
        <v>654</v>
      </c>
      <c r="P86" s="2" t="s">
        <v>13</v>
      </c>
    </row>
    <row r="87" spans="2:17">
      <c r="B87" s="2" t="s">
        <v>705</v>
      </c>
      <c r="C87" s="2" t="s">
        <v>651</v>
      </c>
      <c r="D87" s="2" t="s">
        <v>652</v>
      </c>
      <c r="E87" s="2">
        <v>0.9</v>
      </c>
      <c r="F87" s="2">
        <v>200</v>
      </c>
      <c r="G87" s="2">
        <v>2</v>
      </c>
      <c r="H87" s="5">
        <v>20.149999999999999</v>
      </c>
      <c r="I87" s="2">
        <v>54</v>
      </c>
      <c r="J87" s="2">
        <v>2020</v>
      </c>
      <c r="L87" s="2" t="s">
        <v>456</v>
      </c>
      <c r="M87" s="2" t="s">
        <v>705</v>
      </c>
      <c r="N87" s="2" t="s">
        <v>706</v>
      </c>
      <c r="O87" s="2" t="s">
        <v>654</v>
      </c>
      <c r="P87" s="2" t="s">
        <v>13</v>
      </c>
    </row>
    <row r="88" spans="2:17">
      <c r="B88" s="2" t="s">
        <v>705</v>
      </c>
      <c r="C88" s="2" t="s">
        <v>651</v>
      </c>
      <c r="D88" s="2" t="s">
        <v>652</v>
      </c>
      <c r="E88" s="2">
        <v>0.9</v>
      </c>
      <c r="F88" s="2">
        <v>200</v>
      </c>
      <c r="G88" s="2">
        <v>2</v>
      </c>
      <c r="H88" s="5">
        <v>20.55</v>
      </c>
      <c r="I88" s="2">
        <v>54</v>
      </c>
      <c r="J88" s="2">
        <v>2019</v>
      </c>
      <c r="L88" s="2" t="s">
        <v>456</v>
      </c>
      <c r="M88" s="2" t="s">
        <v>705</v>
      </c>
      <c r="N88" s="2" t="s">
        <v>706</v>
      </c>
      <c r="O88" s="2" t="s">
        <v>654</v>
      </c>
      <c r="P88" s="2" t="s">
        <v>13</v>
      </c>
    </row>
    <row r="89" spans="2:17">
      <c r="B89" s="2" t="s">
        <v>705</v>
      </c>
      <c r="C89" s="2" t="s">
        <v>651</v>
      </c>
      <c r="D89" s="2" t="s">
        <v>652</v>
      </c>
      <c r="E89" s="2">
        <v>0.9</v>
      </c>
      <c r="F89" s="2">
        <v>200</v>
      </c>
      <c r="G89" s="2">
        <v>2</v>
      </c>
      <c r="H89" s="5">
        <v>32</v>
      </c>
      <c r="I89" s="2">
        <v>54</v>
      </c>
      <c r="J89" s="2">
        <v>2025</v>
      </c>
      <c r="L89" s="2" t="s">
        <v>456</v>
      </c>
      <c r="M89" s="2" t="s">
        <v>705</v>
      </c>
      <c r="N89" s="2" t="s">
        <v>706</v>
      </c>
      <c r="O89" s="2" t="s">
        <v>654</v>
      </c>
      <c r="P89" s="2" t="s">
        <v>13</v>
      </c>
    </row>
    <row r="90" spans="2:17">
      <c r="B90" s="2" t="s">
        <v>707</v>
      </c>
      <c r="C90" s="2" t="s">
        <v>652</v>
      </c>
      <c r="D90" s="2" t="s">
        <v>651</v>
      </c>
      <c r="E90" s="2">
        <v>0.97550000000000003</v>
      </c>
      <c r="F90" s="2">
        <v>200</v>
      </c>
      <c r="G90" s="2">
        <v>2</v>
      </c>
      <c r="H90" s="5">
        <v>9.8294117647058794</v>
      </c>
      <c r="I90" s="2">
        <v>54</v>
      </c>
      <c r="J90" s="2">
        <v>2009</v>
      </c>
      <c r="L90" s="2" t="s">
        <v>456</v>
      </c>
      <c r="M90" s="2" t="s">
        <v>707</v>
      </c>
      <c r="N90" s="2" t="s">
        <v>708</v>
      </c>
      <c r="O90" s="2" t="s">
        <v>654</v>
      </c>
      <c r="P90" s="2" t="s">
        <v>13</v>
      </c>
      <c r="Q90" s="2" t="s">
        <v>652</v>
      </c>
    </row>
    <row r="91" spans="2:17">
      <c r="B91" s="2" t="s">
        <v>709</v>
      </c>
      <c r="C91" s="2" t="s">
        <v>652</v>
      </c>
      <c r="D91" s="2" t="s">
        <v>651</v>
      </c>
      <c r="E91" s="2">
        <v>0.97550000000000003</v>
      </c>
      <c r="F91" s="2">
        <v>200</v>
      </c>
      <c r="G91" s="2">
        <v>2</v>
      </c>
      <c r="H91" s="5">
        <v>3.8</v>
      </c>
      <c r="I91" s="2">
        <v>54</v>
      </c>
      <c r="J91" s="2">
        <v>2016</v>
      </c>
      <c r="L91" s="2" t="s">
        <v>456</v>
      </c>
      <c r="M91" s="2" t="s">
        <v>709</v>
      </c>
      <c r="N91" s="2" t="s">
        <v>710</v>
      </c>
      <c r="O91" s="2" t="s">
        <v>654</v>
      </c>
      <c r="P91" s="2" t="s">
        <v>13</v>
      </c>
      <c r="Q91" s="2" t="s">
        <v>652</v>
      </c>
    </row>
    <row r="92" spans="2:17">
      <c r="B92" s="2" t="s">
        <v>709</v>
      </c>
      <c r="C92" s="2" t="s">
        <v>652</v>
      </c>
      <c r="D92" s="2" t="s">
        <v>651</v>
      </c>
      <c r="E92" s="2">
        <v>0.97550000000000003</v>
      </c>
      <c r="F92" s="2">
        <v>200</v>
      </c>
      <c r="G92" s="2">
        <v>2</v>
      </c>
      <c r="H92" s="5">
        <v>6.0294117647058796</v>
      </c>
      <c r="I92" s="2">
        <v>54</v>
      </c>
      <c r="J92" s="2">
        <v>2010</v>
      </c>
      <c r="L92" s="2" t="s">
        <v>456</v>
      </c>
      <c r="M92" s="2" t="s">
        <v>709</v>
      </c>
      <c r="N92" s="2" t="s">
        <v>710</v>
      </c>
      <c r="O92" s="2" t="s">
        <v>654</v>
      </c>
      <c r="P92" s="2" t="s">
        <v>13</v>
      </c>
      <c r="Q92" s="2" t="s">
        <v>652</v>
      </c>
    </row>
    <row r="93" spans="2:17">
      <c r="B93" s="2" t="s">
        <v>711</v>
      </c>
      <c r="C93" s="2" t="s">
        <v>652</v>
      </c>
      <c r="D93" s="2" t="s">
        <v>651</v>
      </c>
      <c r="E93" s="2">
        <v>0.97550000000000003</v>
      </c>
      <c r="F93" s="2">
        <v>200</v>
      </c>
      <c r="G93" s="2">
        <v>2</v>
      </c>
      <c r="H93" s="5">
        <v>6.1</v>
      </c>
      <c r="I93" s="2">
        <v>54</v>
      </c>
      <c r="J93" s="2">
        <v>2011</v>
      </c>
      <c r="L93" s="2" t="s">
        <v>456</v>
      </c>
      <c r="M93" s="2" t="s">
        <v>711</v>
      </c>
      <c r="N93" s="2" t="s">
        <v>712</v>
      </c>
      <c r="O93" s="2" t="s">
        <v>654</v>
      </c>
      <c r="P93" s="2" t="s">
        <v>13</v>
      </c>
      <c r="Q93" s="2" t="s">
        <v>652</v>
      </c>
    </row>
    <row r="94" spans="2:17">
      <c r="B94" s="2" t="s">
        <v>713</v>
      </c>
      <c r="C94" s="2" t="s">
        <v>652</v>
      </c>
      <c r="D94" s="2" t="s">
        <v>651</v>
      </c>
      <c r="E94" s="2">
        <v>0.97550000000000003</v>
      </c>
      <c r="F94" s="2">
        <v>200</v>
      </c>
      <c r="G94" s="2">
        <v>2</v>
      </c>
      <c r="H94" s="5">
        <v>2</v>
      </c>
      <c r="I94" s="2">
        <v>54</v>
      </c>
      <c r="J94" s="2">
        <v>2023</v>
      </c>
      <c r="L94" s="2" t="s">
        <v>456</v>
      </c>
      <c r="M94" s="2" t="s">
        <v>713</v>
      </c>
      <c r="N94" s="2" t="s">
        <v>714</v>
      </c>
      <c r="O94" s="2" t="s">
        <v>654</v>
      </c>
      <c r="P94" s="2" t="s">
        <v>13</v>
      </c>
      <c r="Q94" s="2" t="s">
        <v>652</v>
      </c>
    </row>
    <row r="95" spans="2:17">
      <c r="B95" s="2" t="s">
        <v>715</v>
      </c>
      <c r="C95" s="2" t="s">
        <v>652</v>
      </c>
      <c r="D95" s="2" t="s">
        <v>651</v>
      </c>
      <c r="E95" s="2">
        <v>0.97550000000000003</v>
      </c>
      <c r="F95" s="2">
        <v>200</v>
      </c>
      <c r="G95" s="2">
        <v>2</v>
      </c>
      <c r="H95" s="5">
        <v>3.8</v>
      </c>
      <c r="I95" s="2">
        <v>54</v>
      </c>
      <c r="J95" s="2">
        <v>2018</v>
      </c>
      <c r="L95" s="2" t="s">
        <v>456</v>
      </c>
      <c r="M95" s="2" t="s">
        <v>715</v>
      </c>
      <c r="N95" s="2" t="s">
        <v>716</v>
      </c>
      <c r="O95" s="2" t="s">
        <v>654</v>
      </c>
      <c r="P95" s="2" t="s">
        <v>13</v>
      </c>
      <c r="Q95" s="2" t="s">
        <v>652</v>
      </c>
    </row>
    <row r="96" spans="2:17">
      <c r="B96" s="2" t="s">
        <v>715</v>
      </c>
      <c r="C96" s="2" t="s">
        <v>652</v>
      </c>
      <c r="D96" s="2" t="s">
        <v>651</v>
      </c>
      <c r="E96" s="2">
        <v>0.97550000000000003</v>
      </c>
      <c r="F96" s="2">
        <v>200</v>
      </c>
      <c r="G96" s="2">
        <v>2</v>
      </c>
      <c r="H96" s="5">
        <v>3.8</v>
      </c>
      <c r="I96" s="2">
        <v>54</v>
      </c>
      <c r="J96" s="2">
        <v>2019</v>
      </c>
      <c r="L96" s="2" t="s">
        <v>456</v>
      </c>
      <c r="M96" s="2" t="s">
        <v>715</v>
      </c>
      <c r="N96" s="2" t="s">
        <v>716</v>
      </c>
      <c r="O96" s="2" t="s">
        <v>654</v>
      </c>
      <c r="P96" s="2" t="s">
        <v>13</v>
      </c>
      <c r="Q96" s="2" t="s">
        <v>652</v>
      </c>
    </row>
    <row r="97" spans="2:17">
      <c r="B97" s="2" t="s">
        <v>717</v>
      </c>
      <c r="C97" s="2" t="s">
        <v>652</v>
      </c>
      <c r="D97" s="2" t="s">
        <v>651</v>
      </c>
      <c r="E97" s="2">
        <v>0.97550000000000003</v>
      </c>
      <c r="F97" s="2">
        <v>200</v>
      </c>
      <c r="G97" s="2">
        <v>2</v>
      </c>
      <c r="H97" s="5">
        <v>5.6</v>
      </c>
      <c r="I97" s="2">
        <v>54</v>
      </c>
      <c r="J97" s="2">
        <v>2013</v>
      </c>
      <c r="L97" s="2" t="s">
        <v>456</v>
      </c>
      <c r="M97" s="2" t="s">
        <v>717</v>
      </c>
      <c r="N97" s="2" t="s">
        <v>718</v>
      </c>
      <c r="O97" s="2" t="s">
        <v>654</v>
      </c>
      <c r="P97" s="2" t="s">
        <v>13</v>
      </c>
      <c r="Q97" s="2" t="s">
        <v>652</v>
      </c>
    </row>
    <row r="98" spans="2:17">
      <c r="B98" s="2" t="s">
        <v>717</v>
      </c>
      <c r="C98" s="2" t="s">
        <v>652</v>
      </c>
      <c r="D98" s="2" t="s">
        <v>651</v>
      </c>
      <c r="E98" s="2">
        <v>0.97550000000000003</v>
      </c>
      <c r="F98" s="2">
        <v>200</v>
      </c>
      <c r="G98" s="2">
        <v>2</v>
      </c>
      <c r="H98" s="5">
        <v>11.2</v>
      </c>
      <c r="I98" s="2">
        <v>54</v>
      </c>
      <c r="J98" s="2">
        <v>2020</v>
      </c>
      <c r="L98" s="2" t="s">
        <v>456</v>
      </c>
      <c r="M98" s="2" t="s">
        <v>717</v>
      </c>
      <c r="N98" s="2" t="s">
        <v>718</v>
      </c>
      <c r="O98" s="2" t="s">
        <v>654</v>
      </c>
      <c r="P98" s="2" t="s">
        <v>13</v>
      </c>
      <c r="Q98" s="2" t="s">
        <v>652</v>
      </c>
    </row>
    <row r="99" spans="2:17">
      <c r="B99" s="2" t="s">
        <v>717</v>
      </c>
      <c r="C99" s="2" t="s">
        <v>652</v>
      </c>
      <c r="D99" s="2" t="s">
        <v>651</v>
      </c>
      <c r="E99" s="2">
        <v>0.97550000000000003</v>
      </c>
      <c r="F99" s="2">
        <v>200</v>
      </c>
      <c r="G99" s="2">
        <v>2</v>
      </c>
      <c r="H99" s="5">
        <v>11.3</v>
      </c>
      <c r="I99" s="2">
        <v>54</v>
      </c>
      <c r="J99" s="2">
        <v>2023</v>
      </c>
      <c r="L99" s="2" t="s">
        <v>456</v>
      </c>
      <c r="M99" s="2" t="s">
        <v>717</v>
      </c>
      <c r="N99" s="2" t="s">
        <v>718</v>
      </c>
      <c r="O99" s="2" t="s">
        <v>654</v>
      </c>
      <c r="P99" s="2" t="s">
        <v>13</v>
      </c>
      <c r="Q99" s="2" t="s">
        <v>652</v>
      </c>
    </row>
    <row r="100" spans="2:17">
      <c r="B100" s="2" t="s">
        <v>719</v>
      </c>
      <c r="C100" s="2" t="s">
        <v>652</v>
      </c>
      <c r="D100" s="2" t="s">
        <v>651</v>
      </c>
      <c r="E100" s="2">
        <v>0.97550000000000003</v>
      </c>
      <c r="F100" s="2">
        <v>200</v>
      </c>
      <c r="G100" s="2">
        <v>2</v>
      </c>
      <c r="H100" s="5">
        <v>6</v>
      </c>
      <c r="I100" s="2">
        <v>54</v>
      </c>
      <c r="J100" s="2">
        <v>2013</v>
      </c>
      <c r="L100" s="2" t="s">
        <v>456</v>
      </c>
      <c r="M100" s="2" t="s">
        <v>719</v>
      </c>
      <c r="N100" s="2" t="s">
        <v>720</v>
      </c>
      <c r="O100" s="2" t="s">
        <v>654</v>
      </c>
      <c r="P100" s="2" t="s">
        <v>13</v>
      </c>
      <c r="Q100" s="2" t="s">
        <v>652</v>
      </c>
    </row>
    <row r="101" spans="2:17">
      <c r="B101" s="2" t="s">
        <v>721</v>
      </c>
      <c r="C101" s="2" t="s">
        <v>652</v>
      </c>
      <c r="D101" s="2" t="s">
        <v>651</v>
      </c>
      <c r="E101" s="2">
        <v>0.97550000000000003</v>
      </c>
      <c r="F101" s="2">
        <v>200</v>
      </c>
      <c r="G101" s="2">
        <v>2</v>
      </c>
      <c r="H101" s="5">
        <v>4</v>
      </c>
      <c r="I101" s="2">
        <v>54</v>
      </c>
      <c r="J101" s="2">
        <v>2016</v>
      </c>
      <c r="L101" s="2" t="s">
        <v>456</v>
      </c>
      <c r="M101" s="2" t="s">
        <v>721</v>
      </c>
      <c r="N101" s="2" t="s">
        <v>722</v>
      </c>
      <c r="O101" s="2" t="s">
        <v>654</v>
      </c>
      <c r="P101" s="2" t="s">
        <v>13</v>
      </c>
      <c r="Q101" s="2" t="s">
        <v>652</v>
      </c>
    </row>
    <row r="102" spans="2:17">
      <c r="B102" s="2" t="s">
        <v>723</v>
      </c>
      <c r="C102" s="2" t="s">
        <v>652</v>
      </c>
      <c r="D102" s="2" t="s">
        <v>651</v>
      </c>
      <c r="E102" s="2">
        <v>0.97550000000000003</v>
      </c>
      <c r="F102" s="2">
        <v>200</v>
      </c>
      <c r="G102" s="2">
        <v>2</v>
      </c>
      <c r="H102" s="5">
        <v>1.3</v>
      </c>
      <c r="I102" s="2">
        <v>54</v>
      </c>
      <c r="J102" s="2">
        <v>2022</v>
      </c>
      <c r="L102" s="2" t="s">
        <v>456</v>
      </c>
      <c r="M102" s="2" t="s">
        <v>723</v>
      </c>
      <c r="N102" s="2" t="s">
        <v>724</v>
      </c>
      <c r="O102" s="2" t="s">
        <v>654</v>
      </c>
      <c r="P102" s="2" t="s">
        <v>13</v>
      </c>
      <c r="Q102" s="2" t="s">
        <v>652</v>
      </c>
    </row>
    <row r="103" spans="2:17">
      <c r="B103" s="2" t="s">
        <v>725</v>
      </c>
      <c r="C103" s="2" t="s">
        <v>652</v>
      </c>
      <c r="D103" s="2" t="s">
        <v>651</v>
      </c>
      <c r="E103" s="2">
        <v>0.97550000000000003</v>
      </c>
      <c r="F103" s="2">
        <v>200</v>
      </c>
      <c r="G103" s="2">
        <v>2</v>
      </c>
      <c r="H103" s="5">
        <v>5.4824999999999999</v>
      </c>
      <c r="I103" s="2">
        <v>54</v>
      </c>
      <c r="J103" s="2">
        <v>2022</v>
      </c>
      <c r="L103" s="2" t="s">
        <v>456</v>
      </c>
      <c r="M103" s="2" t="s">
        <v>725</v>
      </c>
      <c r="N103" s="2" t="s">
        <v>726</v>
      </c>
      <c r="O103" s="2" t="s">
        <v>654</v>
      </c>
      <c r="P103" s="2" t="s">
        <v>13</v>
      </c>
      <c r="Q103" s="2" t="s">
        <v>652</v>
      </c>
    </row>
    <row r="104" spans="2:17">
      <c r="B104" s="2" t="s">
        <v>725</v>
      </c>
      <c r="C104" s="2" t="s">
        <v>652</v>
      </c>
      <c r="D104" s="2" t="s">
        <v>651</v>
      </c>
      <c r="E104" s="2">
        <v>0.97550000000000003</v>
      </c>
      <c r="F104" s="2">
        <v>200</v>
      </c>
      <c r="G104" s="2">
        <v>2</v>
      </c>
      <c r="H104" s="5">
        <v>8.7720000000000002</v>
      </c>
      <c r="I104" s="2">
        <v>54</v>
      </c>
      <c r="J104" s="2">
        <v>2023</v>
      </c>
      <c r="L104" s="2" t="s">
        <v>456</v>
      </c>
      <c r="M104" s="2" t="s">
        <v>725</v>
      </c>
      <c r="N104" s="2" t="s">
        <v>726</v>
      </c>
      <c r="O104" s="2" t="s">
        <v>654</v>
      </c>
      <c r="P104" s="2" t="s">
        <v>13</v>
      </c>
      <c r="Q104" s="2" t="s">
        <v>652</v>
      </c>
    </row>
    <row r="105" spans="2:17">
      <c r="B105" s="2" t="s">
        <v>727</v>
      </c>
      <c r="C105" s="2" t="s">
        <v>652</v>
      </c>
      <c r="D105" s="2" t="s">
        <v>651</v>
      </c>
      <c r="E105" s="2">
        <v>0.97550000000000003</v>
      </c>
      <c r="F105" s="2">
        <v>200</v>
      </c>
      <c r="G105" s="2">
        <v>2</v>
      </c>
      <c r="H105" s="5">
        <v>5.7</v>
      </c>
      <c r="I105" s="2">
        <v>54</v>
      </c>
      <c r="J105" s="2">
        <v>2015</v>
      </c>
      <c r="L105" s="2" t="s">
        <v>456</v>
      </c>
      <c r="M105" s="2" t="s">
        <v>727</v>
      </c>
      <c r="N105" s="2" t="s">
        <v>728</v>
      </c>
      <c r="O105" s="2" t="s">
        <v>654</v>
      </c>
      <c r="P105" s="2" t="s">
        <v>13</v>
      </c>
      <c r="Q105" s="2" t="s">
        <v>652</v>
      </c>
    </row>
    <row r="106" spans="2:17">
      <c r="B106" s="2" t="s">
        <v>729</v>
      </c>
      <c r="C106" s="2" t="s">
        <v>652</v>
      </c>
      <c r="D106" s="2" t="s">
        <v>651</v>
      </c>
      <c r="E106" s="2">
        <v>0.97550000000000003</v>
      </c>
      <c r="F106" s="2">
        <v>200</v>
      </c>
      <c r="G106" s="2">
        <v>2</v>
      </c>
      <c r="H106" s="5">
        <v>4.4852941176470598</v>
      </c>
      <c r="I106" s="2">
        <v>54</v>
      </c>
      <c r="J106" s="2">
        <v>2023</v>
      </c>
      <c r="L106" s="2" t="s">
        <v>456</v>
      </c>
      <c r="M106" s="2" t="s">
        <v>729</v>
      </c>
      <c r="N106" s="2" t="s">
        <v>730</v>
      </c>
      <c r="O106" s="2" t="s">
        <v>654</v>
      </c>
      <c r="P106" s="2" t="s">
        <v>13</v>
      </c>
      <c r="Q106" s="2" t="s">
        <v>652</v>
      </c>
    </row>
    <row r="107" spans="2:17">
      <c r="B107" s="2" t="s">
        <v>731</v>
      </c>
      <c r="C107" s="2" t="s">
        <v>652</v>
      </c>
      <c r="D107" s="2" t="s">
        <v>651</v>
      </c>
      <c r="E107" s="2">
        <v>0.97550000000000003</v>
      </c>
      <c r="F107" s="2">
        <v>200</v>
      </c>
      <c r="G107" s="2">
        <v>2</v>
      </c>
      <c r="H107" s="5">
        <v>2.1198999999999999</v>
      </c>
      <c r="I107" s="2">
        <v>54</v>
      </c>
      <c r="J107" s="2">
        <v>2021</v>
      </c>
      <c r="L107" s="2" t="s">
        <v>456</v>
      </c>
      <c r="M107" s="2" t="s">
        <v>731</v>
      </c>
      <c r="N107" s="2" t="s">
        <v>732</v>
      </c>
      <c r="O107" s="2" t="s">
        <v>654</v>
      </c>
      <c r="P107" s="2" t="s">
        <v>13</v>
      </c>
      <c r="Q107" s="2" t="s">
        <v>652</v>
      </c>
    </row>
    <row r="108" spans="2:17">
      <c r="B108" s="2" t="s">
        <v>733</v>
      </c>
      <c r="C108" s="2" t="s">
        <v>652</v>
      </c>
      <c r="D108" s="2" t="s">
        <v>651</v>
      </c>
      <c r="E108" s="2">
        <v>0.97550000000000003</v>
      </c>
      <c r="F108" s="2">
        <v>200</v>
      </c>
      <c r="G108" s="2">
        <v>2</v>
      </c>
      <c r="H108" s="5">
        <v>0.3</v>
      </c>
      <c r="I108" s="2">
        <v>54</v>
      </c>
      <c r="J108" s="2">
        <v>2016</v>
      </c>
      <c r="L108" s="2" t="s">
        <v>456</v>
      </c>
      <c r="M108" s="2" t="s">
        <v>733</v>
      </c>
      <c r="N108" s="2" t="s">
        <v>734</v>
      </c>
      <c r="O108" s="2" t="s">
        <v>654</v>
      </c>
      <c r="P108" s="2" t="s">
        <v>13</v>
      </c>
      <c r="Q108" s="2" t="s">
        <v>652</v>
      </c>
    </row>
    <row r="109" spans="2:17">
      <c r="B109" s="2" t="s">
        <v>733</v>
      </c>
      <c r="C109" s="2" t="s">
        <v>652</v>
      </c>
      <c r="D109" s="2" t="s">
        <v>651</v>
      </c>
      <c r="E109" s="2">
        <v>0.97550000000000003</v>
      </c>
      <c r="F109" s="2">
        <v>200</v>
      </c>
      <c r="G109" s="2">
        <v>2</v>
      </c>
      <c r="H109" s="5">
        <v>2.1</v>
      </c>
      <c r="I109" s="2">
        <v>54</v>
      </c>
      <c r="J109" s="2">
        <v>2022</v>
      </c>
      <c r="L109" s="2" t="s">
        <v>456</v>
      </c>
      <c r="M109" s="2" t="s">
        <v>733</v>
      </c>
      <c r="N109" s="2" t="s">
        <v>734</v>
      </c>
      <c r="O109" s="2" t="s">
        <v>654</v>
      </c>
      <c r="P109" s="2" t="s">
        <v>13</v>
      </c>
      <c r="Q109" s="2" t="s">
        <v>652</v>
      </c>
    </row>
    <row r="110" spans="2:17">
      <c r="B110" s="2" t="s">
        <v>733</v>
      </c>
      <c r="C110" s="2" t="s">
        <v>652</v>
      </c>
      <c r="D110" s="2" t="s">
        <v>651</v>
      </c>
      <c r="E110" s="2">
        <v>0.97550000000000003</v>
      </c>
      <c r="F110" s="2">
        <v>200</v>
      </c>
      <c r="G110" s="2">
        <v>2</v>
      </c>
      <c r="H110" s="5">
        <v>2.9</v>
      </c>
      <c r="I110" s="2">
        <v>54</v>
      </c>
      <c r="J110" s="2">
        <v>2014</v>
      </c>
      <c r="L110" s="2" t="s">
        <v>456</v>
      </c>
      <c r="M110" s="2" t="s">
        <v>733</v>
      </c>
      <c r="N110" s="2" t="s">
        <v>734</v>
      </c>
      <c r="O110" s="2" t="s">
        <v>654</v>
      </c>
      <c r="P110" s="2" t="s">
        <v>13</v>
      </c>
      <c r="Q110" s="2" t="s">
        <v>652</v>
      </c>
    </row>
    <row r="111" spans="2:17">
      <c r="B111" s="2" t="s">
        <v>733</v>
      </c>
      <c r="C111" s="2" t="s">
        <v>652</v>
      </c>
      <c r="D111" s="2" t="s">
        <v>651</v>
      </c>
      <c r="E111" s="2">
        <v>0.97550000000000003</v>
      </c>
      <c r="F111" s="2">
        <v>200</v>
      </c>
      <c r="G111" s="2">
        <v>2</v>
      </c>
      <c r="H111" s="5">
        <v>3</v>
      </c>
      <c r="I111" s="2">
        <v>54</v>
      </c>
      <c r="J111" s="2">
        <v>2012</v>
      </c>
      <c r="L111" s="2" t="s">
        <v>456</v>
      </c>
      <c r="M111" s="2" t="s">
        <v>733</v>
      </c>
      <c r="N111" s="2" t="s">
        <v>734</v>
      </c>
      <c r="O111" s="2" t="s">
        <v>654</v>
      </c>
      <c r="P111" s="2" t="s">
        <v>13</v>
      </c>
      <c r="Q111" s="2" t="s">
        <v>652</v>
      </c>
    </row>
    <row r="112" spans="2:17">
      <c r="B112" s="2" t="s">
        <v>735</v>
      </c>
      <c r="C112" s="2" t="s">
        <v>652</v>
      </c>
      <c r="D112" s="2" t="s">
        <v>651</v>
      </c>
      <c r="E112" s="2">
        <v>0.97550000000000003</v>
      </c>
      <c r="F112" s="2">
        <v>200</v>
      </c>
      <c r="G112" s="2">
        <v>2</v>
      </c>
      <c r="H112" s="5">
        <v>11</v>
      </c>
      <c r="I112" s="2">
        <v>54</v>
      </c>
      <c r="J112" s="2">
        <v>2022</v>
      </c>
      <c r="L112" s="2" t="s">
        <v>456</v>
      </c>
      <c r="M112" s="2" t="s">
        <v>735</v>
      </c>
      <c r="N112" s="2" t="s">
        <v>736</v>
      </c>
      <c r="O112" s="2" t="s">
        <v>654</v>
      </c>
      <c r="P112" s="2" t="s">
        <v>13</v>
      </c>
      <c r="Q112" s="2" t="s">
        <v>652</v>
      </c>
    </row>
    <row r="113" spans="2:17">
      <c r="B113" s="2" t="s">
        <v>737</v>
      </c>
      <c r="C113" s="2" t="s">
        <v>652</v>
      </c>
      <c r="D113" s="2" t="s">
        <v>651</v>
      </c>
      <c r="E113" s="2">
        <v>0.97550000000000003</v>
      </c>
      <c r="F113" s="2">
        <v>200</v>
      </c>
      <c r="G113" s="2">
        <v>2</v>
      </c>
      <c r="H113" s="5">
        <v>3.5</v>
      </c>
      <c r="I113" s="2">
        <v>54</v>
      </c>
      <c r="J113" s="2">
        <v>2013</v>
      </c>
      <c r="L113" s="2" t="s">
        <v>456</v>
      </c>
      <c r="M113" s="2" t="s">
        <v>737</v>
      </c>
      <c r="N113" s="2" t="s">
        <v>738</v>
      </c>
      <c r="O113" s="2" t="s">
        <v>654</v>
      </c>
      <c r="P113" s="2" t="s">
        <v>13</v>
      </c>
      <c r="Q113" s="2" t="s">
        <v>652</v>
      </c>
    </row>
    <row r="114" spans="2:17">
      <c r="B114" s="2" t="s">
        <v>739</v>
      </c>
      <c r="C114" s="2" t="s">
        <v>652</v>
      </c>
      <c r="D114" s="2" t="s">
        <v>651</v>
      </c>
      <c r="E114" s="2">
        <v>0.97550000000000003</v>
      </c>
      <c r="F114" s="2">
        <v>200</v>
      </c>
      <c r="G114" s="2">
        <v>2</v>
      </c>
      <c r="H114" s="5">
        <v>2.79852520588235</v>
      </c>
      <c r="I114" s="2">
        <v>54</v>
      </c>
      <c r="J114" s="2">
        <v>2013</v>
      </c>
      <c r="L114" s="2" t="s">
        <v>456</v>
      </c>
      <c r="M114" s="2" t="s">
        <v>739</v>
      </c>
      <c r="N114" s="2" t="s">
        <v>740</v>
      </c>
      <c r="O114" s="2" t="s">
        <v>654</v>
      </c>
      <c r="P114" s="2" t="s">
        <v>13</v>
      </c>
      <c r="Q114" s="2" t="s">
        <v>652</v>
      </c>
    </row>
    <row r="115" spans="2:17">
      <c r="B115" s="2" t="s">
        <v>741</v>
      </c>
      <c r="C115" s="2" t="s">
        <v>652</v>
      </c>
      <c r="D115" s="2" t="s">
        <v>651</v>
      </c>
      <c r="E115" s="2">
        <v>0.97550000000000003</v>
      </c>
      <c r="F115" s="2">
        <v>200</v>
      </c>
      <c r="G115" s="2">
        <v>2</v>
      </c>
      <c r="H115" s="5">
        <v>3.6029411764705901</v>
      </c>
      <c r="I115" s="2">
        <v>54</v>
      </c>
      <c r="J115" s="2">
        <v>2019</v>
      </c>
      <c r="L115" s="2" t="s">
        <v>456</v>
      </c>
      <c r="M115" s="2" t="s">
        <v>741</v>
      </c>
      <c r="N115" s="2" t="s">
        <v>742</v>
      </c>
      <c r="O115" s="2" t="s">
        <v>654</v>
      </c>
      <c r="P115" s="2" t="s">
        <v>13</v>
      </c>
      <c r="Q115" s="2" t="s">
        <v>652</v>
      </c>
    </row>
    <row r="116" spans="2:17">
      <c r="B116" s="2" t="s">
        <v>743</v>
      </c>
      <c r="C116" s="2" t="s">
        <v>652</v>
      </c>
      <c r="D116" s="2" t="s">
        <v>651</v>
      </c>
      <c r="E116" s="2">
        <v>0.97550000000000003</v>
      </c>
      <c r="F116" s="2">
        <v>200</v>
      </c>
      <c r="G116" s="2">
        <v>2</v>
      </c>
      <c r="H116" s="5">
        <v>3.8</v>
      </c>
      <c r="I116" s="2">
        <v>54</v>
      </c>
      <c r="J116" s="2">
        <v>2015</v>
      </c>
      <c r="L116" s="2" t="s">
        <v>456</v>
      </c>
      <c r="M116" s="2" t="s">
        <v>743</v>
      </c>
      <c r="N116" s="2" t="s">
        <v>744</v>
      </c>
      <c r="O116" s="2" t="s">
        <v>654</v>
      </c>
      <c r="P116" s="2" t="s">
        <v>13</v>
      </c>
      <c r="Q116" s="2" t="s">
        <v>652</v>
      </c>
    </row>
    <row r="117" spans="2:17">
      <c r="B117" s="2" t="s">
        <v>745</v>
      </c>
      <c r="C117" s="2" t="s">
        <v>652</v>
      </c>
      <c r="D117" s="2" t="s">
        <v>651</v>
      </c>
      <c r="E117" s="2">
        <v>0.97550000000000003</v>
      </c>
      <c r="F117" s="2">
        <v>200</v>
      </c>
      <c r="G117" s="2">
        <v>2</v>
      </c>
      <c r="H117" s="5">
        <v>2.9411764705882399</v>
      </c>
      <c r="I117" s="2">
        <v>54</v>
      </c>
      <c r="J117" s="2">
        <v>2014</v>
      </c>
      <c r="L117" s="2" t="s">
        <v>456</v>
      </c>
      <c r="M117" s="2" t="s">
        <v>745</v>
      </c>
      <c r="N117" s="2" t="s">
        <v>746</v>
      </c>
      <c r="O117" s="2" t="s">
        <v>654</v>
      </c>
      <c r="P117" s="2" t="s">
        <v>13</v>
      </c>
      <c r="Q117" s="2" t="s">
        <v>652</v>
      </c>
    </row>
    <row r="118" spans="2:17">
      <c r="B118" s="2" t="s">
        <v>747</v>
      </c>
      <c r="C118" s="2" t="s">
        <v>652</v>
      </c>
      <c r="D118" s="2" t="s">
        <v>651</v>
      </c>
      <c r="E118" s="2">
        <v>0.97550000000000003</v>
      </c>
      <c r="F118" s="2">
        <v>200</v>
      </c>
      <c r="G118" s="2">
        <v>2</v>
      </c>
      <c r="H118" s="5">
        <v>6.7088235294117604</v>
      </c>
      <c r="I118" s="2">
        <v>54</v>
      </c>
      <c r="J118" s="2">
        <v>2022</v>
      </c>
      <c r="L118" s="2" t="s">
        <v>456</v>
      </c>
      <c r="M118" s="2" t="s">
        <v>747</v>
      </c>
      <c r="N118" s="2" t="s">
        <v>748</v>
      </c>
      <c r="O118" s="2" t="s">
        <v>654</v>
      </c>
      <c r="P118" s="2" t="s">
        <v>13</v>
      </c>
      <c r="Q118" s="2" t="s">
        <v>652</v>
      </c>
    </row>
    <row r="119" spans="2:17">
      <c r="B119" s="2" t="s">
        <v>749</v>
      </c>
      <c r="C119" s="2" t="s">
        <v>652</v>
      </c>
      <c r="D119" s="2" t="s">
        <v>651</v>
      </c>
      <c r="E119" s="2">
        <v>0.97550000000000003</v>
      </c>
      <c r="F119" s="2">
        <v>200</v>
      </c>
      <c r="G119" s="2">
        <v>2</v>
      </c>
      <c r="H119" s="5">
        <v>4.8</v>
      </c>
      <c r="I119" s="2">
        <v>54</v>
      </c>
      <c r="J119" s="2">
        <v>2015</v>
      </c>
      <c r="L119" s="2" t="s">
        <v>456</v>
      </c>
      <c r="M119" s="2" t="s">
        <v>749</v>
      </c>
      <c r="N119" s="2" t="s">
        <v>750</v>
      </c>
      <c r="O119" s="2" t="s">
        <v>654</v>
      </c>
      <c r="P119" s="2" t="s">
        <v>13</v>
      </c>
      <c r="Q119" s="2" t="s">
        <v>652</v>
      </c>
    </row>
    <row r="120" spans="2:17">
      <c r="B120" s="2" t="s">
        <v>749</v>
      </c>
      <c r="C120" s="2" t="s">
        <v>652</v>
      </c>
      <c r="D120" s="2" t="s">
        <v>651</v>
      </c>
      <c r="E120" s="2">
        <v>0.97550000000000003</v>
      </c>
      <c r="F120" s="2">
        <v>200</v>
      </c>
      <c r="G120" s="2">
        <v>2</v>
      </c>
      <c r="H120" s="5">
        <v>5</v>
      </c>
      <c r="I120" s="2">
        <v>54</v>
      </c>
      <c r="J120" s="2">
        <v>2017</v>
      </c>
      <c r="L120" s="2" t="s">
        <v>456</v>
      </c>
      <c r="M120" s="2" t="s">
        <v>749</v>
      </c>
      <c r="N120" s="2" t="s">
        <v>750</v>
      </c>
      <c r="O120" s="2" t="s">
        <v>654</v>
      </c>
      <c r="P120" s="2" t="s">
        <v>13</v>
      </c>
      <c r="Q120" s="2" t="s">
        <v>652</v>
      </c>
    </row>
    <row r="121" spans="2:17">
      <c r="B121" s="2" t="s">
        <v>751</v>
      </c>
      <c r="C121" s="2" t="s">
        <v>652</v>
      </c>
      <c r="D121" s="2" t="s">
        <v>651</v>
      </c>
      <c r="E121" s="2">
        <v>0.97550000000000003</v>
      </c>
      <c r="F121" s="2">
        <v>200</v>
      </c>
      <c r="G121" s="2">
        <v>2</v>
      </c>
      <c r="H121" s="5">
        <v>5.26</v>
      </c>
      <c r="I121" s="2">
        <v>54</v>
      </c>
      <c r="J121" s="2">
        <v>2023</v>
      </c>
      <c r="L121" s="2" t="s">
        <v>456</v>
      </c>
      <c r="M121" s="2" t="s">
        <v>751</v>
      </c>
      <c r="N121" s="2" t="s">
        <v>752</v>
      </c>
      <c r="O121" s="2" t="s">
        <v>654</v>
      </c>
      <c r="P121" s="2" t="s">
        <v>13</v>
      </c>
      <c r="Q121" s="2" t="s">
        <v>652</v>
      </c>
    </row>
    <row r="122" spans="2:17">
      <c r="B122" s="2" t="s">
        <v>753</v>
      </c>
      <c r="C122" s="2" t="s">
        <v>652</v>
      </c>
      <c r="D122" s="2" t="s">
        <v>651</v>
      </c>
      <c r="E122" s="2">
        <v>0.97550000000000003</v>
      </c>
      <c r="F122" s="2">
        <v>200</v>
      </c>
      <c r="G122" s="2">
        <v>2</v>
      </c>
      <c r="H122" s="5">
        <v>0</v>
      </c>
      <c r="I122" s="2">
        <v>54</v>
      </c>
      <c r="J122" s="2">
        <v>2021</v>
      </c>
      <c r="L122" s="2" t="s">
        <v>456</v>
      </c>
      <c r="M122" s="2" t="s">
        <v>753</v>
      </c>
      <c r="N122" s="2" t="s">
        <v>754</v>
      </c>
      <c r="O122" s="2" t="s">
        <v>654</v>
      </c>
      <c r="P122" s="2" t="s">
        <v>13</v>
      </c>
      <c r="Q122" s="2" t="s">
        <v>652</v>
      </c>
    </row>
    <row r="123" spans="2:17">
      <c r="B123" s="2" t="s">
        <v>755</v>
      </c>
      <c r="C123" s="2" t="s">
        <v>652</v>
      </c>
      <c r="D123" s="2" t="s">
        <v>651</v>
      </c>
      <c r="E123" s="2">
        <v>0.97550000000000003</v>
      </c>
      <c r="F123" s="2">
        <v>200</v>
      </c>
      <c r="G123" s="2">
        <v>2</v>
      </c>
      <c r="H123" s="5">
        <v>0.5</v>
      </c>
      <c r="I123" s="2">
        <v>54</v>
      </c>
      <c r="J123" s="2">
        <v>2022</v>
      </c>
      <c r="L123" s="2" t="s">
        <v>456</v>
      </c>
      <c r="M123" s="2" t="s">
        <v>755</v>
      </c>
      <c r="N123" s="2" t="s">
        <v>756</v>
      </c>
      <c r="O123" s="2" t="s">
        <v>654</v>
      </c>
      <c r="P123" s="2" t="s">
        <v>13</v>
      </c>
      <c r="Q123" s="2" t="s">
        <v>652</v>
      </c>
    </row>
    <row r="124" spans="2:17">
      <c r="B124" s="2" t="s">
        <v>757</v>
      </c>
      <c r="C124" s="2" t="s">
        <v>652</v>
      </c>
      <c r="D124" s="2" t="s">
        <v>651</v>
      </c>
      <c r="E124" s="2">
        <v>0.97550000000000003</v>
      </c>
      <c r="F124" s="2">
        <v>200</v>
      </c>
      <c r="G124" s="2">
        <v>2</v>
      </c>
      <c r="H124" s="5">
        <v>4.0999999999999996</v>
      </c>
      <c r="I124" s="2">
        <v>54</v>
      </c>
      <c r="J124" s="2">
        <v>2018</v>
      </c>
      <c r="L124" s="2" t="s">
        <v>456</v>
      </c>
      <c r="M124" s="2" t="s">
        <v>757</v>
      </c>
      <c r="N124" s="2" t="s">
        <v>758</v>
      </c>
      <c r="O124" s="2" t="s">
        <v>654</v>
      </c>
      <c r="P124" s="2" t="s">
        <v>13</v>
      </c>
      <c r="Q124" s="2" t="s">
        <v>652</v>
      </c>
    </row>
    <row r="125" spans="2:17">
      <c r="B125" s="2" t="s">
        <v>757</v>
      </c>
      <c r="C125" s="2" t="s">
        <v>652</v>
      </c>
      <c r="D125" s="2" t="s">
        <v>651</v>
      </c>
      <c r="E125" s="2">
        <v>0.97550000000000003</v>
      </c>
      <c r="F125" s="2">
        <v>200</v>
      </c>
      <c r="G125" s="2">
        <v>2</v>
      </c>
      <c r="H125" s="5">
        <v>4.8529411764705896</v>
      </c>
      <c r="I125" s="2">
        <v>54</v>
      </c>
      <c r="J125" s="2">
        <v>2015</v>
      </c>
      <c r="L125" s="2" t="s">
        <v>456</v>
      </c>
      <c r="M125" s="2" t="s">
        <v>757</v>
      </c>
      <c r="N125" s="2" t="s">
        <v>758</v>
      </c>
      <c r="O125" s="2" t="s">
        <v>654</v>
      </c>
      <c r="P125" s="2" t="s">
        <v>13</v>
      </c>
      <c r="Q125" s="2" t="s">
        <v>652</v>
      </c>
    </row>
    <row r="126" spans="2:17">
      <c r="B126" s="2" t="s">
        <v>757</v>
      </c>
      <c r="C126" s="2" t="s">
        <v>652</v>
      </c>
      <c r="D126" s="2" t="s">
        <v>651</v>
      </c>
      <c r="E126" s="2">
        <v>0.97550000000000003</v>
      </c>
      <c r="F126" s="2">
        <v>200</v>
      </c>
      <c r="G126" s="2">
        <v>2</v>
      </c>
      <c r="H126" s="5">
        <v>5.7</v>
      </c>
      <c r="I126" s="2">
        <v>54</v>
      </c>
      <c r="J126" s="2">
        <v>2016</v>
      </c>
      <c r="L126" s="2" t="s">
        <v>456</v>
      </c>
      <c r="M126" s="2" t="s">
        <v>757</v>
      </c>
      <c r="N126" s="2" t="s">
        <v>758</v>
      </c>
      <c r="O126" s="2" t="s">
        <v>654</v>
      </c>
      <c r="P126" s="2" t="s">
        <v>13</v>
      </c>
      <c r="Q126" s="2" t="s">
        <v>652</v>
      </c>
    </row>
    <row r="127" spans="2:17">
      <c r="B127" s="2" t="s">
        <v>759</v>
      </c>
      <c r="C127" s="2" t="s">
        <v>652</v>
      </c>
      <c r="D127" s="2" t="s">
        <v>651</v>
      </c>
      <c r="E127" s="2">
        <v>0.97550000000000003</v>
      </c>
      <c r="F127" s="2">
        <v>200</v>
      </c>
      <c r="G127" s="2">
        <v>2</v>
      </c>
      <c r="H127" s="5">
        <v>3.0147058823529398</v>
      </c>
      <c r="I127" s="2">
        <v>54</v>
      </c>
      <c r="J127" s="2">
        <v>2008</v>
      </c>
      <c r="L127" s="2" t="s">
        <v>456</v>
      </c>
      <c r="M127" s="2" t="s">
        <v>759</v>
      </c>
      <c r="N127" s="2" t="s">
        <v>760</v>
      </c>
      <c r="O127" s="2" t="s">
        <v>654</v>
      </c>
      <c r="P127" s="2" t="s">
        <v>13</v>
      </c>
      <c r="Q127" s="2" t="s">
        <v>652</v>
      </c>
    </row>
    <row r="128" spans="2:17">
      <c r="B128" s="2" t="s">
        <v>761</v>
      </c>
      <c r="C128" s="2" t="s">
        <v>652</v>
      </c>
      <c r="D128" s="2" t="s">
        <v>651</v>
      </c>
      <c r="E128" s="2">
        <v>0.97550000000000003</v>
      </c>
      <c r="F128" s="2">
        <v>200</v>
      </c>
      <c r="G128" s="2">
        <v>2</v>
      </c>
      <c r="H128" s="5">
        <v>3.4</v>
      </c>
      <c r="I128" s="2">
        <v>54</v>
      </c>
      <c r="J128" s="2">
        <v>2021</v>
      </c>
      <c r="L128" s="2" t="s">
        <v>456</v>
      </c>
      <c r="M128" s="2" t="s">
        <v>761</v>
      </c>
      <c r="N128" s="2" t="s">
        <v>762</v>
      </c>
      <c r="O128" s="2" t="s">
        <v>654</v>
      </c>
      <c r="P128" s="2" t="s">
        <v>13</v>
      </c>
      <c r="Q128" s="2" t="s">
        <v>652</v>
      </c>
    </row>
    <row r="129" spans="2:17">
      <c r="B129" s="2" t="s">
        <v>763</v>
      </c>
      <c r="C129" s="2" t="s">
        <v>652</v>
      </c>
      <c r="D129" s="2" t="s">
        <v>651</v>
      </c>
      <c r="E129" s="2">
        <v>0.97550000000000003</v>
      </c>
      <c r="F129" s="2">
        <v>200</v>
      </c>
      <c r="G129" s="2">
        <v>2</v>
      </c>
      <c r="H129" s="5">
        <v>6.1</v>
      </c>
      <c r="I129" s="2">
        <v>54</v>
      </c>
      <c r="J129" s="2">
        <v>2020</v>
      </c>
      <c r="L129" s="2" t="s">
        <v>456</v>
      </c>
      <c r="M129" s="2" t="s">
        <v>763</v>
      </c>
      <c r="N129" s="2" t="s">
        <v>764</v>
      </c>
      <c r="O129" s="2" t="s">
        <v>654</v>
      </c>
      <c r="P129" s="2" t="s">
        <v>13</v>
      </c>
      <c r="Q129" s="2" t="s">
        <v>652</v>
      </c>
    </row>
    <row r="130" spans="2:17">
      <c r="B130" s="2" t="s">
        <v>765</v>
      </c>
      <c r="C130" s="2" t="s">
        <v>652</v>
      </c>
      <c r="D130" s="2" t="s">
        <v>651</v>
      </c>
      <c r="E130" s="2">
        <v>0.97550000000000003</v>
      </c>
      <c r="F130" s="2">
        <v>200</v>
      </c>
      <c r="G130" s="2">
        <v>2</v>
      </c>
      <c r="H130" s="5">
        <v>0.5</v>
      </c>
      <c r="I130" s="2">
        <v>54</v>
      </c>
      <c r="J130" s="2">
        <v>2017</v>
      </c>
      <c r="L130" s="2" t="s">
        <v>456</v>
      </c>
      <c r="M130" s="2" t="s">
        <v>765</v>
      </c>
      <c r="N130" s="2" t="s">
        <v>766</v>
      </c>
      <c r="O130" s="2" t="s">
        <v>654</v>
      </c>
      <c r="P130" s="2" t="s">
        <v>13</v>
      </c>
      <c r="Q130" s="2" t="s">
        <v>652</v>
      </c>
    </row>
    <row r="131" spans="2:17">
      <c r="B131" s="2" t="s">
        <v>767</v>
      </c>
      <c r="C131" s="2" t="s">
        <v>652</v>
      </c>
      <c r="D131" s="2" t="s">
        <v>651</v>
      </c>
      <c r="E131" s="2">
        <v>0.97550000000000003</v>
      </c>
      <c r="F131" s="2">
        <v>200</v>
      </c>
      <c r="G131" s="2">
        <v>2</v>
      </c>
      <c r="H131" s="5">
        <v>5.8</v>
      </c>
      <c r="I131" s="2">
        <v>54</v>
      </c>
      <c r="J131" s="2">
        <v>2009</v>
      </c>
      <c r="L131" s="2" t="s">
        <v>456</v>
      </c>
      <c r="M131" s="2" t="s">
        <v>767</v>
      </c>
      <c r="N131" s="2" t="s">
        <v>768</v>
      </c>
      <c r="O131" s="2" t="s">
        <v>654</v>
      </c>
      <c r="P131" s="2" t="s">
        <v>13</v>
      </c>
      <c r="Q131" s="2" t="s">
        <v>652</v>
      </c>
    </row>
    <row r="132" spans="2:17">
      <c r="B132" s="2" t="s">
        <v>769</v>
      </c>
      <c r="C132" s="2" t="s">
        <v>652</v>
      </c>
      <c r="D132" s="2" t="s">
        <v>651</v>
      </c>
      <c r="E132" s="2">
        <v>0.97550000000000003</v>
      </c>
      <c r="F132" s="2">
        <v>200</v>
      </c>
      <c r="G132" s="2">
        <v>2</v>
      </c>
      <c r="H132" s="5">
        <v>3.8</v>
      </c>
      <c r="I132" s="2">
        <v>54</v>
      </c>
      <c r="J132" s="2">
        <v>2013</v>
      </c>
      <c r="L132" s="2" t="s">
        <v>456</v>
      </c>
      <c r="M132" s="2" t="s">
        <v>769</v>
      </c>
      <c r="N132" s="2" t="s">
        <v>770</v>
      </c>
      <c r="O132" s="2" t="s">
        <v>654</v>
      </c>
      <c r="P132" s="2" t="s">
        <v>13</v>
      </c>
      <c r="Q132" s="2" t="s">
        <v>652</v>
      </c>
    </row>
    <row r="133" spans="2:17">
      <c r="B133" s="2" t="s">
        <v>771</v>
      </c>
      <c r="C133" s="2" t="s">
        <v>652</v>
      </c>
      <c r="D133" s="2" t="s">
        <v>651</v>
      </c>
      <c r="E133" s="2">
        <v>0.97550000000000003</v>
      </c>
      <c r="F133" s="2">
        <v>200</v>
      </c>
      <c r="G133" s="2">
        <v>2</v>
      </c>
      <c r="H133" s="5">
        <v>6.6</v>
      </c>
      <c r="I133" s="2">
        <v>54</v>
      </c>
      <c r="J133" s="2">
        <v>1987</v>
      </c>
      <c r="L133" s="2" t="s">
        <v>456</v>
      </c>
      <c r="M133" s="2" t="s">
        <v>771</v>
      </c>
      <c r="N133" s="2" t="s">
        <v>772</v>
      </c>
      <c r="O133" s="2" t="s">
        <v>654</v>
      </c>
      <c r="P133" s="2" t="s">
        <v>13</v>
      </c>
      <c r="Q133" s="2" t="s">
        <v>652</v>
      </c>
    </row>
    <row r="134" spans="2:17">
      <c r="B134" s="2" t="s">
        <v>773</v>
      </c>
      <c r="C134" s="2" t="s">
        <v>652</v>
      </c>
      <c r="D134" s="2" t="s">
        <v>651</v>
      </c>
      <c r="E134" s="2">
        <v>0.97550000000000003</v>
      </c>
      <c r="F134" s="2">
        <v>200</v>
      </c>
      <c r="G134" s="2">
        <v>2</v>
      </c>
      <c r="H134" s="5">
        <v>7.4</v>
      </c>
      <c r="I134" s="2">
        <v>54</v>
      </c>
      <c r="J134" s="2">
        <v>2009</v>
      </c>
      <c r="L134" s="2" t="s">
        <v>456</v>
      </c>
      <c r="M134" s="2" t="s">
        <v>773</v>
      </c>
      <c r="N134" s="2" t="s">
        <v>774</v>
      </c>
      <c r="O134" s="2" t="s">
        <v>654</v>
      </c>
      <c r="P134" s="2" t="s">
        <v>13</v>
      </c>
      <c r="Q134" s="2" t="s">
        <v>652</v>
      </c>
    </row>
    <row r="135" spans="2:17">
      <c r="B135" s="2" t="s">
        <v>775</v>
      </c>
      <c r="C135" s="2" t="s">
        <v>652</v>
      </c>
      <c r="D135" s="2" t="s">
        <v>651</v>
      </c>
      <c r="E135" s="2">
        <v>0.97550000000000003</v>
      </c>
      <c r="F135" s="2">
        <v>200</v>
      </c>
      <c r="G135" s="2">
        <v>2</v>
      </c>
      <c r="H135" s="5">
        <v>1.5</v>
      </c>
      <c r="I135" s="2">
        <v>54</v>
      </c>
      <c r="J135" s="2">
        <v>2010</v>
      </c>
      <c r="L135" s="2" t="s">
        <v>456</v>
      </c>
      <c r="M135" s="2" t="s">
        <v>775</v>
      </c>
      <c r="N135" s="2" t="s">
        <v>776</v>
      </c>
      <c r="O135" s="2" t="s">
        <v>654</v>
      </c>
      <c r="P135" s="2" t="s">
        <v>13</v>
      </c>
      <c r="Q135" s="2" t="s">
        <v>652</v>
      </c>
    </row>
    <row r="136" spans="2:17">
      <c r="B136" s="2" t="s">
        <v>775</v>
      </c>
      <c r="C136" s="2" t="s">
        <v>652</v>
      </c>
      <c r="D136" s="2" t="s">
        <v>651</v>
      </c>
      <c r="E136" s="2">
        <v>0.97550000000000003</v>
      </c>
      <c r="F136" s="2">
        <v>200</v>
      </c>
      <c r="G136" s="2">
        <v>2</v>
      </c>
      <c r="H136" s="5">
        <v>4</v>
      </c>
      <c r="I136" s="2">
        <v>54</v>
      </c>
      <c r="J136" s="2">
        <v>2009</v>
      </c>
      <c r="L136" s="2" t="s">
        <v>456</v>
      </c>
      <c r="M136" s="2" t="s">
        <v>775</v>
      </c>
      <c r="N136" s="2" t="s">
        <v>776</v>
      </c>
      <c r="O136" s="2" t="s">
        <v>654</v>
      </c>
      <c r="P136" s="2" t="s">
        <v>13</v>
      </c>
      <c r="Q136" s="2" t="s">
        <v>652</v>
      </c>
    </row>
    <row r="137" spans="2:17">
      <c r="B137" s="2" t="s">
        <v>777</v>
      </c>
      <c r="C137" s="2" t="s">
        <v>652</v>
      </c>
      <c r="D137" s="2" t="s">
        <v>651</v>
      </c>
      <c r="E137" s="2">
        <v>0.97550000000000003</v>
      </c>
      <c r="F137" s="2">
        <v>200</v>
      </c>
      <c r="G137" s="2">
        <v>2</v>
      </c>
      <c r="H137" s="5">
        <v>2.9995101979411798</v>
      </c>
      <c r="I137" s="2">
        <v>54</v>
      </c>
      <c r="J137" s="2">
        <v>2012</v>
      </c>
      <c r="L137" s="2" t="s">
        <v>456</v>
      </c>
      <c r="M137" s="2" t="s">
        <v>777</v>
      </c>
      <c r="N137" s="2" t="s">
        <v>778</v>
      </c>
      <c r="O137" s="2" t="s">
        <v>654</v>
      </c>
      <c r="P137" s="2" t="s">
        <v>13</v>
      </c>
      <c r="Q137" s="2" t="s">
        <v>652</v>
      </c>
    </row>
    <row r="138" spans="2:17">
      <c r="B138" s="2" t="s">
        <v>777</v>
      </c>
      <c r="C138" s="2" t="s">
        <v>652</v>
      </c>
      <c r="D138" s="2" t="s">
        <v>651</v>
      </c>
      <c r="E138" s="2">
        <v>0.97550000000000003</v>
      </c>
      <c r="F138" s="2">
        <v>200</v>
      </c>
      <c r="G138" s="2">
        <v>2</v>
      </c>
      <c r="H138" s="5">
        <v>3</v>
      </c>
      <c r="I138" s="2">
        <v>54</v>
      </c>
      <c r="J138" s="2">
        <v>2009</v>
      </c>
      <c r="L138" s="2" t="s">
        <v>456</v>
      </c>
      <c r="M138" s="2" t="s">
        <v>777</v>
      </c>
      <c r="N138" s="2" t="s">
        <v>778</v>
      </c>
      <c r="O138" s="2" t="s">
        <v>654</v>
      </c>
      <c r="P138" s="2" t="s">
        <v>13</v>
      </c>
      <c r="Q138" s="2" t="s">
        <v>652</v>
      </c>
    </row>
    <row r="139" spans="2:17">
      <c r="B139" s="2" t="s">
        <v>777</v>
      </c>
      <c r="C139" s="2" t="s">
        <v>652</v>
      </c>
      <c r="D139" s="2" t="s">
        <v>651</v>
      </c>
      <c r="E139" s="2">
        <v>0.97550000000000003</v>
      </c>
      <c r="F139" s="2">
        <v>200</v>
      </c>
      <c r="G139" s="2">
        <v>2</v>
      </c>
      <c r="H139" s="5">
        <v>3</v>
      </c>
      <c r="I139" s="2">
        <v>54</v>
      </c>
      <c r="J139" s="2">
        <v>2020</v>
      </c>
      <c r="L139" s="2" t="s">
        <v>456</v>
      </c>
      <c r="M139" s="2" t="s">
        <v>777</v>
      </c>
      <c r="N139" s="2" t="s">
        <v>778</v>
      </c>
      <c r="O139" s="2" t="s">
        <v>654</v>
      </c>
      <c r="P139" s="2" t="s">
        <v>13</v>
      </c>
      <c r="Q139" s="2" t="s">
        <v>652</v>
      </c>
    </row>
    <row r="140" spans="2:17">
      <c r="B140" s="2" t="s">
        <v>777</v>
      </c>
      <c r="C140" s="2" t="s">
        <v>652</v>
      </c>
      <c r="D140" s="2" t="s">
        <v>651</v>
      </c>
      <c r="E140" s="2">
        <v>0.97550000000000003</v>
      </c>
      <c r="F140" s="2">
        <v>200</v>
      </c>
      <c r="G140" s="2">
        <v>2</v>
      </c>
      <c r="H140" s="5">
        <v>3.6</v>
      </c>
      <c r="I140" s="2">
        <v>54</v>
      </c>
      <c r="J140" s="2">
        <v>2017</v>
      </c>
      <c r="L140" s="2" t="s">
        <v>456</v>
      </c>
      <c r="M140" s="2" t="s">
        <v>777</v>
      </c>
      <c r="N140" s="2" t="s">
        <v>778</v>
      </c>
      <c r="O140" s="2" t="s">
        <v>654</v>
      </c>
      <c r="P140" s="2" t="s">
        <v>13</v>
      </c>
      <c r="Q140" s="2" t="s">
        <v>652</v>
      </c>
    </row>
    <row r="141" spans="2:17">
      <c r="B141" s="2" t="s">
        <v>777</v>
      </c>
      <c r="C141" s="2" t="s">
        <v>652</v>
      </c>
      <c r="D141" s="2" t="s">
        <v>651</v>
      </c>
      <c r="E141" s="2">
        <v>0.97550000000000003</v>
      </c>
      <c r="F141" s="2">
        <v>200</v>
      </c>
      <c r="G141" s="2">
        <v>2</v>
      </c>
      <c r="H141" s="5">
        <v>3.8</v>
      </c>
      <c r="I141" s="2">
        <v>54</v>
      </c>
      <c r="J141" s="2">
        <v>2019</v>
      </c>
      <c r="L141" s="2" t="s">
        <v>456</v>
      </c>
      <c r="M141" s="2" t="s">
        <v>777</v>
      </c>
      <c r="N141" s="2" t="s">
        <v>778</v>
      </c>
      <c r="O141" s="2" t="s">
        <v>654</v>
      </c>
      <c r="P141" s="2" t="s">
        <v>13</v>
      </c>
      <c r="Q141" s="2" t="s">
        <v>652</v>
      </c>
    </row>
    <row r="142" spans="2:17">
      <c r="B142" s="2" t="s">
        <v>777</v>
      </c>
      <c r="C142" s="2" t="s">
        <v>652</v>
      </c>
      <c r="D142" s="2" t="s">
        <v>651</v>
      </c>
      <c r="E142" s="2">
        <v>0.97550000000000003</v>
      </c>
      <c r="F142" s="2">
        <v>200</v>
      </c>
      <c r="G142" s="2">
        <v>2</v>
      </c>
      <c r="H142" s="5">
        <v>4.7</v>
      </c>
      <c r="I142" s="2">
        <v>54</v>
      </c>
      <c r="J142" s="2">
        <v>2008</v>
      </c>
      <c r="L142" s="2" t="s">
        <v>456</v>
      </c>
      <c r="M142" s="2" t="s">
        <v>777</v>
      </c>
      <c r="N142" s="2" t="s">
        <v>778</v>
      </c>
      <c r="O142" s="2" t="s">
        <v>654</v>
      </c>
      <c r="P142" s="2" t="s">
        <v>13</v>
      </c>
      <c r="Q142" s="2" t="s">
        <v>652</v>
      </c>
    </row>
    <row r="143" spans="2:17">
      <c r="B143" s="2" t="s">
        <v>777</v>
      </c>
      <c r="C143" s="2" t="s">
        <v>652</v>
      </c>
      <c r="D143" s="2" t="s">
        <v>651</v>
      </c>
      <c r="E143" s="2">
        <v>0.97550000000000003</v>
      </c>
      <c r="F143" s="2">
        <v>200</v>
      </c>
      <c r="G143" s="2">
        <v>2</v>
      </c>
      <c r="H143" s="5">
        <v>5.5</v>
      </c>
      <c r="I143" s="2">
        <v>54</v>
      </c>
      <c r="J143" s="2">
        <v>2021</v>
      </c>
      <c r="L143" s="2" t="s">
        <v>456</v>
      </c>
      <c r="M143" s="2" t="s">
        <v>777</v>
      </c>
      <c r="N143" s="2" t="s">
        <v>778</v>
      </c>
      <c r="O143" s="2" t="s">
        <v>654</v>
      </c>
      <c r="P143" s="2" t="s">
        <v>13</v>
      </c>
      <c r="Q143" s="2" t="s">
        <v>652</v>
      </c>
    </row>
    <row r="144" spans="2:17">
      <c r="B144" s="2" t="s">
        <v>777</v>
      </c>
      <c r="C144" s="2" t="s">
        <v>652</v>
      </c>
      <c r="D144" s="2" t="s">
        <v>651</v>
      </c>
      <c r="E144" s="2">
        <v>0.97550000000000003</v>
      </c>
      <c r="F144" s="2">
        <v>200</v>
      </c>
      <c r="G144" s="2">
        <v>2</v>
      </c>
      <c r="H144" s="5">
        <v>5.6</v>
      </c>
      <c r="I144" s="2">
        <v>54</v>
      </c>
      <c r="J144" s="2">
        <v>2014</v>
      </c>
      <c r="L144" s="2" t="s">
        <v>456</v>
      </c>
      <c r="M144" s="2" t="s">
        <v>777</v>
      </c>
      <c r="N144" s="2" t="s">
        <v>778</v>
      </c>
      <c r="O144" s="2" t="s">
        <v>654</v>
      </c>
      <c r="P144" s="2" t="s">
        <v>13</v>
      </c>
      <c r="Q144" s="2" t="s">
        <v>652</v>
      </c>
    </row>
    <row r="145" spans="2:17">
      <c r="B145" s="2" t="s">
        <v>777</v>
      </c>
      <c r="C145" s="2" t="s">
        <v>652</v>
      </c>
      <c r="D145" s="2" t="s">
        <v>651</v>
      </c>
      <c r="E145" s="2">
        <v>0.97550000000000003</v>
      </c>
      <c r="F145" s="2">
        <v>200</v>
      </c>
      <c r="G145" s="2">
        <v>2</v>
      </c>
      <c r="H145" s="5">
        <v>6.7927839088235302</v>
      </c>
      <c r="I145" s="2">
        <v>54</v>
      </c>
      <c r="J145" s="2">
        <v>2006</v>
      </c>
      <c r="L145" s="2" t="s">
        <v>456</v>
      </c>
      <c r="M145" s="2" t="s">
        <v>777</v>
      </c>
      <c r="N145" s="2" t="s">
        <v>778</v>
      </c>
      <c r="O145" s="2" t="s">
        <v>654</v>
      </c>
      <c r="P145" s="2" t="s">
        <v>13</v>
      </c>
      <c r="Q145" s="2" t="s">
        <v>652</v>
      </c>
    </row>
    <row r="146" spans="2:17">
      <c r="B146" s="2" t="s">
        <v>777</v>
      </c>
      <c r="C146" s="2" t="s">
        <v>652</v>
      </c>
      <c r="D146" s="2" t="s">
        <v>651</v>
      </c>
      <c r="E146" s="2">
        <v>0.97550000000000003</v>
      </c>
      <c r="F146" s="2">
        <v>200</v>
      </c>
      <c r="G146" s="2">
        <v>2</v>
      </c>
      <c r="H146" s="5">
        <v>9.1231921711764699</v>
      </c>
      <c r="I146" s="2">
        <v>54</v>
      </c>
      <c r="J146" s="2">
        <v>2011</v>
      </c>
      <c r="L146" s="2" t="s">
        <v>456</v>
      </c>
      <c r="M146" s="2" t="s">
        <v>777</v>
      </c>
      <c r="N146" s="2" t="s">
        <v>778</v>
      </c>
      <c r="O146" s="2" t="s">
        <v>654</v>
      </c>
      <c r="P146" s="2" t="s">
        <v>13</v>
      </c>
      <c r="Q146" s="2" t="s">
        <v>652</v>
      </c>
    </row>
    <row r="147" spans="2:17">
      <c r="B147" s="2" t="s">
        <v>777</v>
      </c>
      <c r="C147" s="2" t="s">
        <v>652</v>
      </c>
      <c r="D147" s="2" t="s">
        <v>651</v>
      </c>
      <c r="E147" s="2">
        <v>0.97550000000000003</v>
      </c>
      <c r="F147" s="2">
        <v>200</v>
      </c>
      <c r="G147" s="2">
        <v>2</v>
      </c>
      <c r="H147" s="5">
        <v>10.998156507352901</v>
      </c>
      <c r="I147" s="2">
        <v>54</v>
      </c>
      <c r="J147" s="2">
        <v>2013</v>
      </c>
      <c r="L147" s="2" t="s">
        <v>456</v>
      </c>
      <c r="M147" s="2" t="s">
        <v>777</v>
      </c>
      <c r="N147" s="2" t="s">
        <v>778</v>
      </c>
      <c r="O147" s="2" t="s">
        <v>654</v>
      </c>
      <c r="P147" s="2" t="s">
        <v>13</v>
      </c>
      <c r="Q147" s="2" t="s">
        <v>652</v>
      </c>
    </row>
    <row r="148" spans="2:17">
      <c r="B148" s="2" t="s">
        <v>777</v>
      </c>
      <c r="C148" s="2" t="s">
        <v>652</v>
      </c>
      <c r="D148" s="2" t="s">
        <v>651</v>
      </c>
      <c r="E148" s="2">
        <v>0.97550000000000003</v>
      </c>
      <c r="F148" s="2">
        <v>200</v>
      </c>
      <c r="G148" s="2">
        <v>2</v>
      </c>
      <c r="H148" s="5">
        <v>11.2</v>
      </c>
      <c r="I148" s="2">
        <v>54</v>
      </c>
      <c r="J148" s="2">
        <v>2024</v>
      </c>
      <c r="L148" s="2" t="s">
        <v>456</v>
      </c>
      <c r="M148" s="2" t="s">
        <v>777</v>
      </c>
      <c r="N148" s="2" t="s">
        <v>778</v>
      </c>
      <c r="O148" s="2" t="s">
        <v>654</v>
      </c>
      <c r="P148" s="2" t="s">
        <v>13</v>
      </c>
      <c r="Q148" s="2" t="s">
        <v>652</v>
      </c>
    </row>
    <row r="149" spans="2:17">
      <c r="B149" s="2" t="s">
        <v>777</v>
      </c>
      <c r="C149" s="2" t="s">
        <v>652</v>
      </c>
      <c r="D149" s="2" t="s">
        <v>651</v>
      </c>
      <c r="E149" s="2">
        <v>0.97550000000000003</v>
      </c>
      <c r="F149" s="2">
        <v>200</v>
      </c>
      <c r="G149" s="2">
        <v>2</v>
      </c>
      <c r="H149" s="5">
        <v>11.7</v>
      </c>
      <c r="I149" s="2">
        <v>54</v>
      </c>
      <c r="J149" s="2">
        <v>2016</v>
      </c>
      <c r="L149" s="2" t="s">
        <v>456</v>
      </c>
      <c r="M149" s="2" t="s">
        <v>777</v>
      </c>
      <c r="N149" s="2" t="s">
        <v>778</v>
      </c>
      <c r="O149" s="2" t="s">
        <v>654</v>
      </c>
      <c r="P149" s="2" t="s">
        <v>13</v>
      </c>
      <c r="Q149" s="2" t="s">
        <v>652</v>
      </c>
    </row>
    <row r="150" spans="2:17">
      <c r="B150" s="2" t="s">
        <v>777</v>
      </c>
      <c r="C150" s="2" t="s">
        <v>652</v>
      </c>
      <c r="D150" s="2" t="s">
        <v>651</v>
      </c>
      <c r="E150" s="2">
        <v>0.97550000000000003</v>
      </c>
      <c r="F150" s="2">
        <v>200</v>
      </c>
      <c r="G150" s="2">
        <v>2</v>
      </c>
      <c r="H150" s="5">
        <v>13.6</v>
      </c>
      <c r="I150" s="2">
        <v>54</v>
      </c>
      <c r="J150" s="2">
        <v>2018</v>
      </c>
      <c r="L150" s="2" t="s">
        <v>456</v>
      </c>
      <c r="M150" s="2" t="s">
        <v>777</v>
      </c>
      <c r="N150" s="2" t="s">
        <v>778</v>
      </c>
      <c r="O150" s="2" t="s">
        <v>654</v>
      </c>
      <c r="P150" s="2" t="s">
        <v>13</v>
      </c>
      <c r="Q150" s="2" t="s">
        <v>652</v>
      </c>
    </row>
    <row r="151" spans="2:17">
      <c r="B151" s="2" t="s">
        <v>777</v>
      </c>
      <c r="C151" s="2" t="s">
        <v>652</v>
      </c>
      <c r="D151" s="2" t="s">
        <v>651</v>
      </c>
      <c r="E151" s="2">
        <v>0.97550000000000003</v>
      </c>
      <c r="F151" s="2">
        <v>200</v>
      </c>
      <c r="G151" s="2">
        <v>2</v>
      </c>
      <c r="H151" s="5">
        <v>14</v>
      </c>
      <c r="I151" s="2">
        <v>54</v>
      </c>
      <c r="J151" s="2">
        <v>2022</v>
      </c>
      <c r="L151" s="2" t="s">
        <v>456</v>
      </c>
      <c r="M151" s="2" t="s">
        <v>777</v>
      </c>
      <c r="N151" s="2" t="s">
        <v>778</v>
      </c>
      <c r="O151" s="2" t="s">
        <v>654</v>
      </c>
      <c r="P151" s="2" t="s">
        <v>13</v>
      </c>
      <c r="Q151" s="2" t="s">
        <v>652</v>
      </c>
    </row>
    <row r="152" spans="2:17">
      <c r="B152" s="2" t="s">
        <v>777</v>
      </c>
      <c r="C152" s="2" t="s">
        <v>652</v>
      </c>
      <c r="D152" s="2" t="s">
        <v>651</v>
      </c>
      <c r="E152" s="2">
        <v>0.97550000000000003</v>
      </c>
      <c r="F152" s="2">
        <v>200</v>
      </c>
      <c r="G152" s="2">
        <v>2</v>
      </c>
      <c r="H152" s="5">
        <v>16.908635721470599</v>
      </c>
      <c r="I152" s="2">
        <v>54</v>
      </c>
      <c r="J152" s="2">
        <v>2025</v>
      </c>
      <c r="L152" s="2" t="s">
        <v>456</v>
      </c>
      <c r="M152" s="2" t="s">
        <v>777</v>
      </c>
      <c r="N152" s="2" t="s">
        <v>778</v>
      </c>
      <c r="O152" s="2" t="s">
        <v>654</v>
      </c>
      <c r="P152" s="2" t="s">
        <v>13</v>
      </c>
      <c r="Q152" s="2" t="s">
        <v>652</v>
      </c>
    </row>
    <row r="153" spans="2:17">
      <c r="B153" s="2" t="s">
        <v>777</v>
      </c>
      <c r="C153" s="2" t="s">
        <v>652</v>
      </c>
      <c r="D153" s="2" t="s">
        <v>651</v>
      </c>
      <c r="E153" s="2">
        <v>0.97550000000000003</v>
      </c>
      <c r="F153" s="2">
        <v>200</v>
      </c>
      <c r="G153" s="2">
        <v>2</v>
      </c>
      <c r="H153" s="5">
        <v>28.3</v>
      </c>
      <c r="I153" s="2">
        <v>54</v>
      </c>
      <c r="J153" s="2">
        <v>2023</v>
      </c>
      <c r="L153" s="2" t="s">
        <v>456</v>
      </c>
      <c r="M153" s="2" t="s">
        <v>777</v>
      </c>
      <c r="N153" s="2" t="s">
        <v>778</v>
      </c>
      <c r="O153" s="2" t="s">
        <v>654</v>
      </c>
      <c r="P153" s="2" t="s">
        <v>13</v>
      </c>
      <c r="Q153" s="2" t="s">
        <v>652</v>
      </c>
    </row>
    <row r="154" spans="2:17">
      <c r="B154" s="2" t="s">
        <v>779</v>
      </c>
      <c r="C154" s="2" t="s">
        <v>652</v>
      </c>
      <c r="D154" s="2" t="s">
        <v>651</v>
      </c>
      <c r="E154" s="2">
        <v>0.97550000000000003</v>
      </c>
      <c r="F154" s="2">
        <v>200</v>
      </c>
      <c r="G154" s="2">
        <v>2</v>
      </c>
      <c r="H154" s="5">
        <v>0</v>
      </c>
      <c r="I154" s="2">
        <v>54</v>
      </c>
      <c r="J154" s="2">
        <v>2023</v>
      </c>
      <c r="L154" s="2" t="s">
        <v>456</v>
      </c>
      <c r="M154" s="2" t="s">
        <v>779</v>
      </c>
      <c r="N154" s="2" t="s">
        <v>780</v>
      </c>
      <c r="O154" s="2" t="s">
        <v>654</v>
      </c>
      <c r="P154" s="2" t="s">
        <v>13</v>
      </c>
      <c r="Q154" s="2" t="s">
        <v>652</v>
      </c>
    </row>
    <row r="155" spans="2:17">
      <c r="B155" s="2" t="s">
        <v>779</v>
      </c>
      <c r="C155" s="2" t="s">
        <v>652</v>
      </c>
      <c r="D155" s="2" t="s">
        <v>651</v>
      </c>
      <c r="E155" s="2">
        <v>0.97550000000000003</v>
      </c>
      <c r="F155" s="2">
        <v>200</v>
      </c>
      <c r="G155" s="2">
        <v>2</v>
      </c>
      <c r="H155" s="5">
        <v>1.66893866823529</v>
      </c>
      <c r="I155" s="2">
        <v>54</v>
      </c>
      <c r="J155" s="2">
        <v>2003</v>
      </c>
      <c r="L155" s="2" t="s">
        <v>456</v>
      </c>
      <c r="M155" s="2" t="s">
        <v>779</v>
      </c>
      <c r="N155" s="2" t="s">
        <v>780</v>
      </c>
      <c r="O155" s="2" t="s">
        <v>654</v>
      </c>
      <c r="P155" s="2" t="s">
        <v>13</v>
      </c>
      <c r="Q155" s="2" t="s">
        <v>652</v>
      </c>
    </row>
    <row r="156" spans="2:17">
      <c r="B156" s="2" t="s">
        <v>781</v>
      </c>
      <c r="C156" s="2" t="s">
        <v>652</v>
      </c>
      <c r="D156" s="2" t="s">
        <v>651</v>
      </c>
      <c r="E156" s="2">
        <v>0.97550000000000003</v>
      </c>
      <c r="F156" s="2">
        <v>200</v>
      </c>
      <c r="G156" s="2">
        <v>2</v>
      </c>
      <c r="H156" s="5">
        <v>2.6470588235294099</v>
      </c>
      <c r="I156" s="2">
        <v>54</v>
      </c>
      <c r="J156" s="2">
        <v>2007</v>
      </c>
      <c r="L156" s="2" t="s">
        <v>456</v>
      </c>
      <c r="M156" s="2" t="s">
        <v>781</v>
      </c>
      <c r="N156" s="2" t="s">
        <v>782</v>
      </c>
      <c r="O156" s="2" t="s">
        <v>654</v>
      </c>
      <c r="P156" s="2" t="s">
        <v>13</v>
      </c>
      <c r="Q156" s="2" t="s">
        <v>652</v>
      </c>
    </row>
    <row r="157" spans="2:17">
      <c r="B157" s="2" t="s">
        <v>781</v>
      </c>
      <c r="C157" s="2" t="s">
        <v>652</v>
      </c>
      <c r="D157" s="2" t="s">
        <v>651</v>
      </c>
      <c r="E157" s="2">
        <v>0.97550000000000003</v>
      </c>
      <c r="F157" s="2">
        <v>200</v>
      </c>
      <c r="G157" s="2">
        <v>2</v>
      </c>
      <c r="H157" s="5">
        <v>6.4</v>
      </c>
      <c r="I157" s="2">
        <v>54</v>
      </c>
      <c r="J157" s="2">
        <v>2006</v>
      </c>
      <c r="L157" s="2" t="s">
        <v>456</v>
      </c>
      <c r="M157" s="2" t="s">
        <v>781</v>
      </c>
      <c r="N157" s="2" t="s">
        <v>782</v>
      </c>
      <c r="O157" s="2" t="s">
        <v>654</v>
      </c>
      <c r="P157" s="2" t="s">
        <v>13</v>
      </c>
      <c r="Q157" s="2" t="s">
        <v>652</v>
      </c>
    </row>
    <row r="158" spans="2:17">
      <c r="B158" s="2" t="s">
        <v>781</v>
      </c>
      <c r="C158" s="2" t="s">
        <v>652</v>
      </c>
      <c r="D158" s="2" t="s">
        <v>651</v>
      </c>
      <c r="E158" s="2">
        <v>0.97550000000000003</v>
      </c>
      <c r="F158" s="2">
        <v>200</v>
      </c>
      <c r="G158" s="2">
        <v>2</v>
      </c>
      <c r="H158" s="5">
        <v>7</v>
      </c>
      <c r="I158" s="2">
        <v>54</v>
      </c>
      <c r="J158" s="2">
        <v>2003</v>
      </c>
      <c r="L158" s="2" t="s">
        <v>456</v>
      </c>
      <c r="M158" s="2" t="s">
        <v>781</v>
      </c>
      <c r="N158" s="2" t="s">
        <v>782</v>
      </c>
      <c r="O158" s="2" t="s">
        <v>654</v>
      </c>
      <c r="P158" s="2" t="s">
        <v>13</v>
      </c>
      <c r="Q158" s="2" t="s">
        <v>652</v>
      </c>
    </row>
    <row r="159" spans="2:17">
      <c r="B159" s="2" t="s">
        <v>781</v>
      </c>
      <c r="C159" s="2" t="s">
        <v>652</v>
      </c>
      <c r="D159" s="2" t="s">
        <v>651</v>
      </c>
      <c r="E159" s="2">
        <v>0.97550000000000003</v>
      </c>
      <c r="F159" s="2">
        <v>200</v>
      </c>
      <c r="G159" s="2">
        <v>2</v>
      </c>
      <c r="H159" s="5">
        <v>8.6764705882352899</v>
      </c>
      <c r="I159" s="2">
        <v>54</v>
      </c>
      <c r="J159" s="2">
        <v>1988</v>
      </c>
      <c r="L159" s="2" t="s">
        <v>456</v>
      </c>
      <c r="M159" s="2" t="s">
        <v>781</v>
      </c>
      <c r="N159" s="2" t="s">
        <v>782</v>
      </c>
      <c r="O159" s="2" t="s">
        <v>654</v>
      </c>
      <c r="P159" s="2" t="s">
        <v>13</v>
      </c>
      <c r="Q159" s="2" t="s">
        <v>652</v>
      </c>
    </row>
    <row r="160" spans="2:17">
      <c r="B160" s="2" t="s">
        <v>781</v>
      </c>
      <c r="C160" s="2" t="s">
        <v>652</v>
      </c>
      <c r="D160" s="2" t="s">
        <v>651</v>
      </c>
      <c r="E160" s="2">
        <v>0.97550000000000003</v>
      </c>
      <c r="F160" s="2">
        <v>200</v>
      </c>
      <c r="G160" s="2">
        <v>2</v>
      </c>
      <c r="H160" s="5">
        <v>8.6764705882352899</v>
      </c>
      <c r="I160" s="2">
        <v>54</v>
      </c>
      <c r="J160" s="2">
        <v>1989</v>
      </c>
      <c r="L160" s="2" t="s">
        <v>456</v>
      </c>
      <c r="M160" s="2" t="s">
        <v>781</v>
      </c>
      <c r="N160" s="2" t="s">
        <v>782</v>
      </c>
      <c r="O160" s="2" t="s">
        <v>654</v>
      </c>
      <c r="P160" s="2" t="s">
        <v>13</v>
      </c>
      <c r="Q160" s="2" t="s">
        <v>652</v>
      </c>
    </row>
    <row r="161" spans="2:17">
      <c r="B161" s="2" t="s">
        <v>781</v>
      </c>
      <c r="C161" s="2" t="s">
        <v>652</v>
      </c>
      <c r="D161" s="2" t="s">
        <v>651</v>
      </c>
      <c r="E161" s="2">
        <v>0.97550000000000003</v>
      </c>
      <c r="F161" s="2">
        <v>200</v>
      </c>
      <c r="G161" s="2">
        <v>2</v>
      </c>
      <c r="H161" s="5">
        <v>12.573529411764699</v>
      </c>
      <c r="I161" s="2">
        <v>54</v>
      </c>
      <c r="J161" s="2">
        <v>1968</v>
      </c>
      <c r="L161" s="2" t="s">
        <v>456</v>
      </c>
      <c r="M161" s="2" t="s">
        <v>781</v>
      </c>
      <c r="N161" s="2" t="s">
        <v>782</v>
      </c>
      <c r="O161" s="2" t="s">
        <v>654</v>
      </c>
      <c r="P161" s="2" t="s">
        <v>13</v>
      </c>
      <c r="Q161" s="2" t="s">
        <v>652</v>
      </c>
    </row>
    <row r="162" spans="2:17">
      <c r="B162" s="2" t="s">
        <v>783</v>
      </c>
      <c r="C162" s="2" t="s">
        <v>652</v>
      </c>
      <c r="D162" s="2" t="s">
        <v>651</v>
      </c>
      <c r="E162" s="2">
        <v>0.97550000000000003</v>
      </c>
      <c r="F162" s="2">
        <v>200</v>
      </c>
      <c r="G162" s="2">
        <v>2</v>
      </c>
      <c r="H162" s="5">
        <v>3</v>
      </c>
      <c r="I162" s="2">
        <v>54</v>
      </c>
      <c r="J162" s="2">
        <v>2019</v>
      </c>
      <c r="L162" s="2" t="s">
        <v>456</v>
      </c>
      <c r="M162" s="2" t="s">
        <v>783</v>
      </c>
      <c r="N162" s="2" t="s">
        <v>784</v>
      </c>
      <c r="O162" s="2" t="s">
        <v>654</v>
      </c>
      <c r="P162" s="2" t="s">
        <v>13</v>
      </c>
      <c r="Q162" s="2" t="s">
        <v>652</v>
      </c>
    </row>
    <row r="163" spans="2:17">
      <c r="B163" s="2" t="s">
        <v>785</v>
      </c>
      <c r="C163" s="2" t="s">
        <v>652</v>
      </c>
      <c r="D163" s="2" t="s">
        <v>651</v>
      </c>
      <c r="E163" s="2">
        <v>0.97550000000000003</v>
      </c>
      <c r="F163" s="2">
        <v>200</v>
      </c>
      <c r="G163" s="2">
        <v>2</v>
      </c>
      <c r="H163" s="5">
        <v>0</v>
      </c>
      <c r="I163" s="2">
        <v>54</v>
      </c>
      <c r="J163" s="2">
        <v>2022</v>
      </c>
      <c r="L163" s="2" t="s">
        <v>456</v>
      </c>
      <c r="M163" s="2" t="s">
        <v>785</v>
      </c>
      <c r="N163" s="2" t="s">
        <v>786</v>
      </c>
      <c r="O163" s="2" t="s">
        <v>654</v>
      </c>
      <c r="P163" s="2" t="s">
        <v>13</v>
      </c>
      <c r="Q163" s="2" t="s">
        <v>652</v>
      </c>
    </row>
    <row r="164" spans="2:17">
      <c r="B164" s="2" t="s">
        <v>785</v>
      </c>
      <c r="C164" s="2" t="s">
        <v>652</v>
      </c>
      <c r="D164" s="2" t="s">
        <v>651</v>
      </c>
      <c r="E164" s="2">
        <v>0.97550000000000003</v>
      </c>
      <c r="F164" s="2">
        <v>200</v>
      </c>
      <c r="G164" s="2">
        <v>2</v>
      </c>
      <c r="H164" s="5">
        <v>7.4999999999999997E-2</v>
      </c>
      <c r="I164" s="2">
        <v>54</v>
      </c>
      <c r="J164" s="2">
        <v>2016</v>
      </c>
      <c r="L164" s="2" t="s">
        <v>456</v>
      </c>
      <c r="M164" s="2" t="s">
        <v>785</v>
      </c>
      <c r="N164" s="2" t="s">
        <v>786</v>
      </c>
      <c r="O164" s="2" t="s">
        <v>654</v>
      </c>
      <c r="P164" s="2" t="s">
        <v>13</v>
      </c>
      <c r="Q164" s="2" t="s">
        <v>652</v>
      </c>
    </row>
    <row r="165" spans="2:17">
      <c r="B165" s="2" t="s">
        <v>785</v>
      </c>
      <c r="C165" s="2" t="s">
        <v>652</v>
      </c>
      <c r="D165" s="2" t="s">
        <v>651</v>
      </c>
      <c r="E165" s="2">
        <v>0.97550000000000003</v>
      </c>
      <c r="F165" s="2">
        <v>200</v>
      </c>
      <c r="G165" s="2">
        <v>2</v>
      </c>
      <c r="H165" s="5">
        <v>0.4</v>
      </c>
      <c r="I165" s="2">
        <v>54</v>
      </c>
      <c r="J165" s="2">
        <v>2018</v>
      </c>
      <c r="L165" s="2" t="s">
        <v>456</v>
      </c>
      <c r="M165" s="2" t="s">
        <v>785</v>
      </c>
      <c r="N165" s="2" t="s">
        <v>786</v>
      </c>
      <c r="O165" s="2" t="s">
        <v>654</v>
      </c>
      <c r="P165" s="2" t="s">
        <v>13</v>
      </c>
      <c r="Q165" s="2" t="s">
        <v>652</v>
      </c>
    </row>
    <row r="166" spans="2:17">
      <c r="B166" s="2" t="s">
        <v>787</v>
      </c>
      <c r="C166" s="2" t="s">
        <v>652</v>
      </c>
      <c r="D166" s="2" t="s">
        <v>651</v>
      </c>
      <c r="E166" s="2">
        <v>0.97550000000000003</v>
      </c>
      <c r="F166" s="2">
        <v>200</v>
      </c>
      <c r="G166" s="2">
        <v>2</v>
      </c>
      <c r="H166" s="5">
        <v>2.4</v>
      </c>
      <c r="I166" s="2">
        <v>54</v>
      </c>
      <c r="J166" s="2">
        <v>1972</v>
      </c>
      <c r="L166" s="2" t="s">
        <v>456</v>
      </c>
      <c r="M166" s="2" t="s">
        <v>787</v>
      </c>
      <c r="N166" s="2" t="s">
        <v>788</v>
      </c>
      <c r="O166" s="2" t="s">
        <v>654</v>
      </c>
      <c r="P166" s="2" t="s">
        <v>13</v>
      </c>
      <c r="Q166" s="2" t="s">
        <v>652</v>
      </c>
    </row>
    <row r="167" spans="2:17">
      <c r="B167" s="2" t="s">
        <v>787</v>
      </c>
      <c r="C167" s="2" t="s">
        <v>652</v>
      </c>
      <c r="D167" s="2" t="s">
        <v>651</v>
      </c>
      <c r="E167" s="2">
        <v>0.97550000000000003</v>
      </c>
      <c r="F167" s="2">
        <v>200</v>
      </c>
      <c r="G167" s="2">
        <v>2</v>
      </c>
      <c r="H167" s="5">
        <v>6.6</v>
      </c>
      <c r="I167" s="2">
        <v>54</v>
      </c>
      <c r="J167" s="2">
        <v>2009</v>
      </c>
      <c r="L167" s="2" t="s">
        <v>456</v>
      </c>
      <c r="M167" s="2" t="s">
        <v>787</v>
      </c>
      <c r="N167" s="2" t="s">
        <v>788</v>
      </c>
      <c r="O167" s="2" t="s">
        <v>654</v>
      </c>
      <c r="P167" s="2" t="s">
        <v>13</v>
      </c>
      <c r="Q167" s="2" t="s">
        <v>652</v>
      </c>
    </row>
    <row r="168" spans="2:17">
      <c r="B168" s="2" t="s">
        <v>787</v>
      </c>
      <c r="C168" s="2" t="s">
        <v>652</v>
      </c>
      <c r="D168" s="2" t="s">
        <v>651</v>
      </c>
      <c r="E168" s="2">
        <v>0.97550000000000003</v>
      </c>
      <c r="F168" s="2">
        <v>200</v>
      </c>
      <c r="G168" s="2">
        <v>2</v>
      </c>
      <c r="H168" s="5">
        <v>8</v>
      </c>
      <c r="I168" s="2">
        <v>54</v>
      </c>
      <c r="J168" s="2">
        <v>1980</v>
      </c>
      <c r="L168" s="2" t="s">
        <v>456</v>
      </c>
      <c r="M168" s="2" t="s">
        <v>787</v>
      </c>
      <c r="N168" s="2" t="s">
        <v>788</v>
      </c>
      <c r="O168" s="2" t="s">
        <v>654</v>
      </c>
      <c r="P168" s="2" t="s">
        <v>13</v>
      </c>
      <c r="Q168" s="2" t="s">
        <v>652</v>
      </c>
    </row>
    <row r="169" spans="2:17">
      <c r="B169" s="2" t="s">
        <v>787</v>
      </c>
      <c r="C169" s="2" t="s">
        <v>652</v>
      </c>
      <c r="D169" s="2" t="s">
        <v>651</v>
      </c>
      <c r="E169" s="2">
        <v>0.97550000000000003</v>
      </c>
      <c r="F169" s="2">
        <v>200</v>
      </c>
      <c r="G169" s="2">
        <v>2</v>
      </c>
      <c r="H169" s="5">
        <v>9.6</v>
      </c>
      <c r="I169" s="2">
        <v>54</v>
      </c>
      <c r="J169" s="2">
        <v>2016</v>
      </c>
      <c r="L169" s="2" t="s">
        <v>456</v>
      </c>
      <c r="M169" s="2" t="s">
        <v>787</v>
      </c>
      <c r="N169" s="2" t="s">
        <v>788</v>
      </c>
      <c r="O169" s="2" t="s">
        <v>654</v>
      </c>
      <c r="P169" s="2" t="s">
        <v>13</v>
      </c>
      <c r="Q169" s="2" t="s">
        <v>652</v>
      </c>
    </row>
    <row r="170" spans="2:17">
      <c r="B170" s="2" t="s">
        <v>789</v>
      </c>
      <c r="C170" s="2" t="s">
        <v>652</v>
      </c>
      <c r="D170" s="2" t="s">
        <v>651</v>
      </c>
      <c r="E170" s="2">
        <v>0.97550000000000003</v>
      </c>
      <c r="F170" s="2">
        <v>200</v>
      </c>
      <c r="G170" s="2">
        <v>2</v>
      </c>
      <c r="H170" s="5">
        <v>14.3</v>
      </c>
      <c r="I170" s="2">
        <v>54</v>
      </c>
      <c r="J170" s="2">
        <v>2005</v>
      </c>
      <c r="L170" s="2" t="s">
        <v>456</v>
      </c>
      <c r="M170" s="2" t="s">
        <v>789</v>
      </c>
      <c r="N170" s="2" t="s">
        <v>790</v>
      </c>
      <c r="O170" s="2" t="s">
        <v>654</v>
      </c>
      <c r="P170" s="2" t="s">
        <v>13</v>
      </c>
      <c r="Q170" s="2" t="s">
        <v>652</v>
      </c>
    </row>
    <row r="171" spans="2:17">
      <c r="B171" s="2" t="s">
        <v>789</v>
      </c>
      <c r="C171" s="2" t="s">
        <v>652</v>
      </c>
      <c r="D171" s="2" t="s">
        <v>651</v>
      </c>
      <c r="E171" s="2">
        <v>0.97550000000000003</v>
      </c>
      <c r="F171" s="2">
        <v>200</v>
      </c>
      <c r="G171" s="2">
        <v>2</v>
      </c>
      <c r="H171" s="5">
        <v>20.988235294117601</v>
      </c>
      <c r="I171" s="2">
        <v>54</v>
      </c>
      <c r="J171" s="2">
        <v>2009</v>
      </c>
      <c r="L171" s="2" t="s">
        <v>456</v>
      </c>
      <c r="M171" s="2" t="s">
        <v>789</v>
      </c>
      <c r="N171" s="2" t="s">
        <v>790</v>
      </c>
      <c r="O171" s="2" t="s">
        <v>654</v>
      </c>
      <c r="P171" s="2" t="s">
        <v>13</v>
      </c>
      <c r="Q171" s="2" t="s">
        <v>652</v>
      </c>
    </row>
    <row r="172" spans="2:17">
      <c r="B172" s="2" t="s">
        <v>791</v>
      </c>
      <c r="C172" s="2" t="s">
        <v>652</v>
      </c>
      <c r="D172" s="2" t="s">
        <v>651</v>
      </c>
      <c r="E172" s="2">
        <v>0.97550000000000003</v>
      </c>
      <c r="F172" s="2">
        <v>200</v>
      </c>
      <c r="G172" s="2">
        <v>2</v>
      </c>
      <c r="H172" s="5">
        <v>0.1</v>
      </c>
      <c r="I172" s="2">
        <v>54</v>
      </c>
      <c r="J172" s="2">
        <v>2019</v>
      </c>
      <c r="L172" s="2" t="s">
        <v>456</v>
      </c>
      <c r="M172" s="2" t="s">
        <v>791</v>
      </c>
      <c r="N172" s="2" t="s">
        <v>792</v>
      </c>
      <c r="O172" s="2" t="s">
        <v>654</v>
      </c>
      <c r="P172" s="2" t="s">
        <v>13</v>
      </c>
      <c r="Q172" s="2" t="s">
        <v>652</v>
      </c>
    </row>
    <row r="173" spans="2:17">
      <c r="B173" s="2" t="s">
        <v>793</v>
      </c>
      <c r="C173" s="2" t="s">
        <v>652</v>
      </c>
      <c r="D173" s="2" t="s">
        <v>651</v>
      </c>
      <c r="E173" s="2">
        <v>0.97550000000000003</v>
      </c>
      <c r="F173" s="2">
        <v>200</v>
      </c>
      <c r="G173" s="2">
        <v>2</v>
      </c>
      <c r="H173" s="5">
        <v>5.0999999999999996</v>
      </c>
      <c r="I173" s="2">
        <v>54</v>
      </c>
      <c r="J173" s="2">
        <v>2000</v>
      </c>
      <c r="L173" s="2" t="s">
        <v>456</v>
      </c>
      <c r="M173" s="2" t="s">
        <v>793</v>
      </c>
      <c r="N173" s="2" t="s">
        <v>794</v>
      </c>
      <c r="O173" s="2" t="s">
        <v>654</v>
      </c>
      <c r="P173" s="2" t="s">
        <v>13</v>
      </c>
      <c r="Q173" s="2" t="s">
        <v>652</v>
      </c>
    </row>
    <row r="174" spans="2:17">
      <c r="B174" s="2" t="s">
        <v>795</v>
      </c>
      <c r="C174" s="2" t="s">
        <v>652</v>
      </c>
      <c r="D174" s="2" t="s">
        <v>651</v>
      </c>
      <c r="E174" s="2">
        <v>0.97550000000000003</v>
      </c>
      <c r="F174" s="2">
        <v>200</v>
      </c>
      <c r="G174" s="2">
        <v>2</v>
      </c>
      <c r="H174" s="5">
        <v>0.21</v>
      </c>
      <c r="I174" s="2">
        <v>54</v>
      </c>
      <c r="J174" s="2">
        <v>2022</v>
      </c>
      <c r="L174" s="2" t="s">
        <v>456</v>
      </c>
      <c r="M174" s="2" t="s">
        <v>795</v>
      </c>
      <c r="N174" s="2" t="s">
        <v>796</v>
      </c>
      <c r="O174" s="2" t="s">
        <v>654</v>
      </c>
      <c r="P174" s="2" t="s">
        <v>13</v>
      </c>
      <c r="Q174" s="2" t="s">
        <v>652</v>
      </c>
    </row>
    <row r="175" spans="2:17">
      <c r="B175" s="2" t="s">
        <v>795</v>
      </c>
      <c r="C175" s="2" t="s">
        <v>652</v>
      </c>
      <c r="D175" s="2" t="s">
        <v>651</v>
      </c>
      <c r="E175" s="2">
        <v>0.97550000000000003</v>
      </c>
      <c r="F175" s="2">
        <v>200</v>
      </c>
      <c r="G175" s="2">
        <v>2</v>
      </c>
      <c r="H175" s="5">
        <v>3</v>
      </c>
      <c r="I175" s="2">
        <v>54</v>
      </c>
      <c r="J175" s="2">
        <v>2015</v>
      </c>
      <c r="L175" s="2" t="s">
        <v>456</v>
      </c>
      <c r="M175" s="2" t="s">
        <v>795</v>
      </c>
      <c r="N175" s="2" t="s">
        <v>796</v>
      </c>
      <c r="O175" s="2" t="s">
        <v>654</v>
      </c>
      <c r="P175" s="2" t="s">
        <v>13</v>
      </c>
      <c r="Q175" s="2" t="s">
        <v>652</v>
      </c>
    </row>
    <row r="176" spans="2:17">
      <c r="B176" s="2" t="s">
        <v>797</v>
      </c>
      <c r="C176" s="2" t="s">
        <v>652</v>
      </c>
      <c r="D176" s="2" t="s">
        <v>651</v>
      </c>
      <c r="E176" s="2">
        <v>0.97550000000000003</v>
      </c>
      <c r="F176" s="2">
        <v>200</v>
      </c>
      <c r="G176" s="2">
        <v>2</v>
      </c>
      <c r="H176" s="5">
        <v>4.9000000000000004</v>
      </c>
      <c r="I176" s="2">
        <v>54</v>
      </c>
      <c r="J176" s="2">
        <v>2005</v>
      </c>
      <c r="L176" s="2" t="s">
        <v>456</v>
      </c>
      <c r="M176" s="2" t="s">
        <v>797</v>
      </c>
      <c r="N176" s="2" t="s">
        <v>798</v>
      </c>
      <c r="O176" s="2" t="s">
        <v>654</v>
      </c>
      <c r="P176" s="2" t="s">
        <v>13</v>
      </c>
      <c r="Q176" s="2" t="s">
        <v>652</v>
      </c>
    </row>
    <row r="177" spans="2:17">
      <c r="B177" s="2" t="s">
        <v>797</v>
      </c>
      <c r="C177" s="2" t="s">
        <v>652</v>
      </c>
      <c r="D177" s="2" t="s">
        <v>651</v>
      </c>
      <c r="E177" s="2">
        <v>0.97550000000000003</v>
      </c>
      <c r="F177" s="2">
        <v>200</v>
      </c>
      <c r="G177" s="2">
        <v>2</v>
      </c>
      <c r="H177" s="5">
        <v>5</v>
      </c>
      <c r="I177" s="2">
        <v>54</v>
      </c>
      <c r="J177" s="2">
        <v>2019</v>
      </c>
      <c r="L177" s="2" t="s">
        <v>456</v>
      </c>
      <c r="M177" s="2" t="s">
        <v>797</v>
      </c>
      <c r="N177" s="2" t="s">
        <v>798</v>
      </c>
      <c r="O177" s="2" t="s">
        <v>654</v>
      </c>
      <c r="P177" s="2" t="s">
        <v>13</v>
      </c>
      <c r="Q177" s="2" t="s">
        <v>652</v>
      </c>
    </row>
    <row r="178" spans="2:17">
      <c r="B178" s="2" t="s">
        <v>797</v>
      </c>
      <c r="C178" s="2" t="s">
        <v>652</v>
      </c>
      <c r="D178" s="2" t="s">
        <v>651</v>
      </c>
      <c r="E178" s="2">
        <v>0.97550000000000003</v>
      </c>
      <c r="F178" s="2">
        <v>200</v>
      </c>
      <c r="G178" s="2">
        <v>2</v>
      </c>
      <c r="H178" s="5">
        <v>5</v>
      </c>
      <c r="I178" s="2">
        <v>54</v>
      </c>
      <c r="J178" s="2">
        <v>2020</v>
      </c>
      <c r="L178" s="2" t="s">
        <v>456</v>
      </c>
      <c r="M178" s="2" t="s">
        <v>797</v>
      </c>
      <c r="N178" s="2" t="s">
        <v>798</v>
      </c>
      <c r="O178" s="2" t="s">
        <v>654</v>
      </c>
      <c r="P178" s="2" t="s">
        <v>13</v>
      </c>
      <c r="Q178" s="2" t="s">
        <v>652</v>
      </c>
    </row>
    <row r="179" spans="2:17">
      <c r="B179" s="2" t="s">
        <v>797</v>
      </c>
      <c r="C179" s="2" t="s">
        <v>652</v>
      </c>
      <c r="D179" s="2" t="s">
        <v>651</v>
      </c>
      <c r="E179" s="2">
        <v>0.97550000000000003</v>
      </c>
      <c r="F179" s="2">
        <v>200</v>
      </c>
      <c r="G179" s="2">
        <v>2</v>
      </c>
      <c r="H179" s="5">
        <v>5</v>
      </c>
      <c r="I179" s="2">
        <v>54</v>
      </c>
      <c r="J179" s="2">
        <v>2022</v>
      </c>
      <c r="L179" s="2" t="s">
        <v>456</v>
      </c>
      <c r="M179" s="2" t="s">
        <v>797</v>
      </c>
      <c r="N179" s="2" t="s">
        <v>798</v>
      </c>
      <c r="O179" s="2" t="s">
        <v>654</v>
      </c>
      <c r="P179" s="2" t="s">
        <v>13</v>
      </c>
      <c r="Q179" s="2" t="s">
        <v>652</v>
      </c>
    </row>
    <row r="180" spans="2:17">
      <c r="B180" s="2" t="s">
        <v>797</v>
      </c>
      <c r="C180" s="2" t="s">
        <v>652</v>
      </c>
      <c r="D180" s="2" t="s">
        <v>651</v>
      </c>
      <c r="E180" s="2">
        <v>0.97550000000000003</v>
      </c>
      <c r="F180" s="2">
        <v>200</v>
      </c>
      <c r="G180" s="2">
        <v>2</v>
      </c>
      <c r="H180" s="5">
        <v>6.9</v>
      </c>
      <c r="I180" s="2">
        <v>54</v>
      </c>
      <c r="J180" s="2">
        <v>2013</v>
      </c>
      <c r="L180" s="2" t="s">
        <v>456</v>
      </c>
      <c r="M180" s="2" t="s">
        <v>797</v>
      </c>
      <c r="N180" s="2" t="s">
        <v>798</v>
      </c>
      <c r="O180" s="2" t="s">
        <v>654</v>
      </c>
      <c r="P180" s="2" t="s">
        <v>13</v>
      </c>
      <c r="Q180" s="2" t="s">
        <v>652</v>
      </c>
    </row>
    <row r="181" spans="2:17">
      <c r="B181" s="2" t="s">
        <v>797</v>
      </c>
      <c r="C181" s="2" t="s">
        <v>652</v>
      </c>
      <c r="D181" s="2" t="s">
        <v>651</v>
      </c>
      <c r="E181" s="2">
        <v>0.97550000000000003</v>
      </c>
      <c r="F181" s="2">
        <v>200</v>
      </c>
      <c r="G181" s="2">
        <v>2</v>
      </c>
      <c r="H181" s="5">
        <v>17.5</v>
      </c>
      <c r="I181" s="2">
        <v>54</v>
      </c>
      <c r="J181" s="2">
        <v>2004</v>
      </c>
      <c r="L181" s="2" t="s">
        <v>456</v>
      </c>
      <c r="M181" s="2" t="s">
        <v>797</v>
      </c>
      <c r="N181" s="2" t="s">
        <v>798</v>
      </c>
      <c r="O181" s="2" t="s">
        <v>654</v>
      </c>
      <c r="P181" s="2" t="s">
        <v>13</v>
      </c>
      <c r="Q181" s="2" t="s">
        <v>652</v>
      </c>
    </row>
    <row r="182" spans="2:17">
      <c r="B182" s="2" t="s">
        <v>799</v>
      </c>
      <c r="C182" s="2" t="s">
        <v>652</v>
      </c>
      <c r="D182" s="2" t="s">
        <v>651</v>
      </c>
      <c r="E182" s="2">
        <v>0.97550000000000003</v>
      </c>
      <c r="F182" s="2">
        <v>200</v>
      </c>
      <c r="G182" s="2">
        <v>2</v>
      </c>
      <c r="H182" s="5">
        <v>2.5</v>
      </c>
      <c r="I182" s="2">
        <v>54</v>
      </c>
      <c r="J182" s="2">
        <v>1971</v>
      </c>
      <c r="L182" s="2" t="s">
        <v>456</v>
      </c>
      <c r="M182" s="2" t="s">
        <v>799</v>
      </c>
      <c r="N182" s="2" t="s">
        <v>800</v>
      </c>
      <c r="O182" s="2" t="s">
        <v>654</v>
      </c>
      <c r="P182" s="2" t="s">
        <v>13</v>
      </c>
      <c r="Q182" s="2" t="s">
        <v>652</v>
      </c>
    </row>
    <row r="183" spans="2:17">
      <c r="B183" s="2" t="s">
        <v>801</v>
      </c>
      <c r="C183" s="2" t="s">
        <v>652</v>
      </c>
      <c r="D183" s="2" t="s">
        <v>651</v>
      </c>
      <c r="E183" s="2">
        <v>0.97550000000000003</v>
      </c>
      <c r="F183" s="2">
        <v>200</v>
      </c>
      <c r="G183" s="2">
        <v>2</v>
      </c>
      <c r="H183" s="5">
        <v>0.5</v>
      </c>
      <c r="I183" s="2">
        <v>54</v>
      </c>
      <c r="J183" s="2">
        <v>2016</v>
      </c>
      <c r="L183" s="2" t="s">
        <v>456</v>
      </c>
      <c r="M183" s="2" t="s">
        <v>801</v>
      </c>
      <c r="N183" s="2" t="s">
        <v>802</v>
      </c>
      <c r="O183" s="2" t="s">
        <v>654</v>
      </c>
      <c r="P183" s="2" t="s">
        <v>13</v>
      </c>
      <c r="Q183" s="2" t="s">
        <v>652</v>
      </c>
    </row>
    <row r="184" spans="2:17">
      <c r="B184" s="2" t="s">
        <v>803</v>
      </c>
      <c r="C184" s="2" t="s">
        <v>652</v>
      </c>
      <c r="D184" s="2" t="s">
        <v>651</v>
      </c>
      <c r="E184" s="2">
        <v>0.97550000000000003</v>
      </c>
      <c r="F184" s="2">
        <v>200</v>
      </c>
      <c r="G184" s="2">
        <v>2</v>
      </c>
      <c r="H184" s="5">
        <v>0</v>
      </c>
      <c r="I184" s="2">
        <v>54</v>
      </c>
      <c r="J184" s="2">
        <v>2019</v>
      </c>
      <c r="L184" s="2" t="s">
        <v>456</v>
      </c>
      <c r="M184" s="2" t="s">
        <v>803</v>
      </c>
      <c r="N184" s="2" t="s">
        <v>804</v>
      </c>
      <c r="O184" s="2" t="s">
        <v>654</v>
      </c>
      <c r="P184" s="2" t="s">
        <v>13</v>
      </c>
      <c r="Q184" s="2" t="s">
        <v>652</v>
      </c>
    </row>
    <row r="185" spans="2:17">
      <c r="B185" s="2" t="s">
        <v>803</v>
      </c>
      <c r="C185" s="2" t="s">
        <v>652</v>
      </c>
      <c r="D185" s="2" t="s">
        <v>651</v>
      </c>
      <c r="E185" s="2">
        <v>0.97550000000000003</v>
      </c>
      <c r="F185" s="2">
        <v>200</v>
      </c>
      <c r="G185" s="2">
        <v>2</v>
      </c>
      <c r="H185" s="5">
        <v>0</v>
      </c>
      <c r="I185" s="2">
        <v>54</v>
      </c>
      <c r="J185" s="2">
        <v>2020</v>
      </c>
      <c r="L185" s="2" t="s">
        <v>456</v>
      </c>
      <c r="M185" s="2" t="s">
        <v>803</v>
      </c>
      <c r="N185" s="2" t="s">
        <v>804</v>
      </c>
      <c r="O185" s="2" t="s">
        <v>654</v>
      </c>
      <c r="P185" s="2" t="s">
        <v>13</v>
      </c>
      <c r="Q185" s="2" t="s">
        <v>652</v>
      </c>
    </row>
    <row r="186" spans="2:17">
      <c r="B186" s="2" t="s">
        <v>803</v>
      </c>
      <c r="C186" s="2" t="s">
        <v>652</v>
      </c>
      <c r="D186" s="2" t="s">
        <v>651</v>
      </c>
      <c r="E186" s="2">
        <v>0.97550000000000003</v>
      </c>
      <c r="F186" s="2">
        <v>200</v>
      </c>
      <c r="G186" s="2">
        <v>2</v>
      </c>
      <c r="H186" s="5">
        <v>0</v>
      </c>
      <c r="I186" s="2">
        <v>54</v>
      </c>
      <c r="J186" s="2">
        <v>2025</v>
      </c>
      <c r="L186" s="2" t="s">
        <v>456</v>
      </c>
      <c r="M186" s="2" t="s">
        <v>803</v>
      </c>
      <c r="N186" s="2" t="s">
        <v>804</v>
      </c>
      <c r="O186" s="2" t="s">
        <v>654</v>
      </c>
      <c r="P186" s="2" t="s">
        <v>13</v>
      </c>
      <c r="Q186" s="2" t="s">
        <v>652</v>
      </c>
    </row>
    <row r="187" spans="2:17">
      <c r="B187" s="2" t="s">
        <v>803</v>
      </c>
      <c r="C187" s="2" t="s">
        <v>652</v>
      </c>
      <c r="D187" s="2" t="s">
        <v>651</v>
      </c>
      <c r="E187" s="2">
        <v>0.97550000000000003</v>
      </c>
      <c r="F187" s="2">
        <v>200</v>
      </c>
      <c r="G187" s="2">
        <v>2</v>
      </c>
      <c r="H187" s="5">
        <v>0.1</v>
      </c>
      <c r="I187" s="2">
        <v>54</v>
      </c>
      <c r="J187" s="2">
        <v>2003</v>
      </c>
      <c r="L187" s="2" t="s">
        <v>456</v>
      </c>
      <c r="M187" s="2" t="s">
        <v>803</v>
      </c>
      <c r="N187" s="2" t="s">
        <v>804</v>
      </c>
      <c r="O187" s="2" t="s">
        <v>654</v>
      </c>
      <c r="P187" s="2" t="s">
        <v>13</v>
      </c>
      <c r="Q187" s="2" t="s">
        <v>652</v>
      </c>
    </row>
    <row r="188" spans="2:17">
      <c r="B188" s="2" t="s">
        <v>803</v>
      </c>
      <c r="C188" s="2" t="s">
        <v>652</v>
      </c>
      <c r="D188" s="2" t="s">
        <v>651</v>
      </c>
      <c r="E188" s="2">
        <v>0.97550000000000003</v>
      </c>
      <c r="F188" s="2">
        <v>200</v>
      </c>
      <c r="G188" s="2">
        <v>2</v>
      </c>
      <c r="H188" s="5">
        <v>0.76323414705882298</v>
      </c>
      <c r="I188" s="2">
        <v>54</v>
      </c>
      <c r="J188" s="2">
        <v>1993</v>
      </c>
      <c r="L188" s="2" t="s">
        <v>456</v>
      </c>
      <c r="M188" s="2" t="s">
        <v>803</v>
      </c>
      <c r="N188" s="2" t="s">
        <v>804</v>
      </c>
      <c r="O188" s="2" t="s">
        <v>654</v>
      </c>
      <c r="P188" s="2" t="s">
        <v>13</v>
      </c>
      <c r="Q188" s="2" t="s">
        <v>652</v>
      </c>
    </row>
    <row r="189" spans="2:17">
      <c r="B189" s="2" t="s">
        <v>803</v>
      </c>
      <c r="C189" s="2" t="s">
        <v>652</v>
      </c>
      <c r="D189" s="2" t="s">
        <v>651</v>
      </c>
      <c r="E189" s="2">
        <v>0.97550000000000003</v>
      </c>
      <c r="F189" s="2">
        <v>200</v>
      </c>
      <c r="G189" s="2">
        <v>2</v>
      </c>
      <c r="H189" s="5">
        <v>1</v>
      </c>
      <c r="I189" s="2">
        <v>54</v>
      </c>
      <c r="J189" s="2">
        <v>2022</v>
      </c>
      <c r="L189" s="2" t="s">
        <v>456</v>
      </c>
      <c r="M189" s="2" t="s">
        <v>803</v>
      </c>
      <c r="N189" s="2" t="s">
        <v>804</v>
      </c>
      <c r="O189" s="2" t="s">
        <v>654</v>
      </c>
      <c r="P189" s="2" t="s">
        <v>13</v>
      </c>
      <c r="Q189" s="2" t="s">
        <v>652</v>
      </c>
    </row>
    <row r="190" spans="2:17">
      <c r="B190" s="2" t="s">
        <v>803</v>
      </c>
      <c r="C190" s="2" t="s">
        <v>652</v>
      </c>
      <c r="D190" s="2" t="s">
        <v>651</v>
      </c>
      <c r="E190" s="2">
        <v>0.97550000000000003</v>
      </c>
      <c r="F190" s="2">
        <v>200</v>
      </c>
      <c r="G190" s="2">
        <v>2</v>
      </c>
      <c r="H190" s="5">
        <v>1.7</v>
      </c>
      <c r="I190" s="2">
        <v>54</v>
      </c>
      <c r="J190" s="2">
        <v>2016</v>
      </c>
      <c r="L190" s="2" t="s">
        <v>456</v>
      </c>
      <c r="M190" s="2" t="s">
        <v>803</v>
      </c>
      <c r="N190" s="2" t="s">
        <v>804</v>
      </c>
      <c r="O190" s="2" t="s">
        <v>654</v>
      </c>
      <c r="P190" s="2" t="s">
        <v>13</v>
      </c>
      <c r="Q190" s="2" t="s">
        <v>652</v>
      </c>
    </row>
    <row r="191" spans="2:17">
      <c r="B191" s="2" t="s">
        <v>803</v>
      </c>
      <c r="C191" s="2" t="s">
        <v>652</v>
      </c>
      <c r="D191" s="2" t="s">
        <v>651</v>
      </c>
      <c r="E191" s="2">
        <v>0.97550000000000003</v>
      </c>
      <c r="F191" s="2">
        <v>200</v>
      </c>
      <c r="G191" s="2">
        <v>2</v>
      </c>
      <c r="H191" s="5">
        <v>2.1</v>
      </c>
      <c r="I191" s="2">
        <v>54</v>
      </c>
      <c r="J191" s="2">
        <v>2013</v>
      </c>
      <c r="L191" s="2" t="s">
        <v>456</v>
      </c>
      <c r="M191" s="2" t="s">
        <v>803</v>
      </c>
      <c r="N191" s="2" t="s">
        <v>804</v>
      </c>
      <c r="O191" s="2" t="s">
        <v>654</v>
      </c>
      <c r="P191" s="2" t="s">
        <v>13</v>
      </c>
      <c r="Q191" s="2" t="s">
        <v>652</v>
      </c>
    </row>
    <row r="192" spans="2:17">
      <c r="B192" s="2" t="s">
        <v>803</v>
      </c>
      <c r="C192" s="2" t="s">
        <v>652</v>
      </c>
      <c r="D192" s="2" t="s">
        <v>651</v>
      </c>
      <c r="E192" s="2">
        <v>0.97550000000000003</v>
      </c>
      <c r="F192" s="2">
        <v>200</v>
      </c>
      <c r="G192" s="2">
        <v>2</v>
      </c>
      <c r="H192" s="5">
        <v>2.1323529411764701</v>
      </c>
      <c r="I192" s="2">
        <v>54</v>
      </c>
      <c r="J192" s="2">
        <v>1991</v>
      </c>
      <c r="L192" s="2" t="s">
        <v>456</v>
      </c>
      <c r="M192" s="2" t="s">
        <v>803</v>
      </c>
      <c r="N192" s="2" t="s">
        <v>804</v>
      </c>
      <c r="O192" s="2" t="s">
        <v>654</v>
      </c>
      <c r="P192" s="2" t="s">
        <v>13</v>
      </c>
      <c r="Q192" s="2" t="s">
        <v>652</v>
      </c>
    </row>
    <row r="193" spans="2:17">
      <c r="B193" s="2" t="s">
        <v>803</v>
      </c>
      <c r="C193" s="2" t="s">
        <v>652</v>
      </c>
      <c r="D193" s="2" t="s">
        <v>651</v>
      </c>
      <c r="E193" s="2">
        <v>0.97550000000000003</v>
      </c>
      <c r="F193" s="2">
        <v>200</v>
      </c>
      <c r="G193" s="2">
        <v>2</v>
      </c>
      <c r="H193" s="5">
        <v>2.2000000000000002</v>
      </c>
      <c r="I193" s="2">
        <v>54</v>
      </c>
      <c r="J193" s="2">
        <v>1972</v>
      </c>
      <c r="L193" s="2" t="s">
        <v>456</v>
      </c>
      <c r="M193" s="2" t="s">
        <v>803</v>
      </c>
      <c r="N193" s="2" t="s">
        <v>804</v>
      </c>
      <c r="O193" s="2" t="s">
        <v>654</v>
      </c>
      <c r="P193" s="2" t="s">
        <v>13</v>
      </c>
      <c r="Q193" s="2" t="s">
        <v>652</v>
      </c>
    </row>
    <row r="194" spans="2:17">
      <c r="B194" s="2" t="s">
        <v>803</v>
      </c>
      <c r="C194" s="2" t="s">
        <v>652</v>
      </c>
      <c r="D194" s="2" t="s">
        <v>651</v>
      </c>
      <c r="E194" s="2">
        <v>0.97550000000000003</v>
      </c>
      <c r="F194" s="2">
        <v>200</v>
      </c>
      <c r="G194" s="2">
        <v>2</v>
      </c>
      <c r="H194" s="5">
        <v>2.3088235294117601</v>
      </c>
      <c r="I194" s="2">
        <v>54</v>
      </c>
      <c r="J194" s="2">
        <v>2015</v>
      </c>
      <c r="L194" s="2" t="s">
        <v>456</v>
      </c>
      <c r="M194" s="2" t="s">
        <v>803</v>
      </c>
      <c r="N194" s="2" t="s">
        <v>804</v>
      </c>
      <c r="O194" s="2" t="s">
        <v>654</v>
      </c>
      <c r="P194" s="2" t="s">
        <v>13</v>
      </c>
      <c r="Q194" s="2" t="s">
        <v>652</v>
      </c>
    </row>
    <row r="195" spans="2:17">
      <c r="B195" s="2" t="s">
        <v>803</v>
      </c>
      <c r="C195" s="2" t="s">
        <v>652</v>
      </c>
      <c r="D195" s="2" t="s">
        <v>651</v>
      </c>
      <c r="E195" s="2">
        <v>0.97550000000000003</v>
      </c>
      <c r="F195" s="2">
        <v>200</v>
      </c>
      <c r="G195" s="2">
        <v>2</v>
      </c>
      <c r="H195" s="5">
        <v>2.4</v>
      </c>
      <c r="I195" s="2">
        <v>54</v>
      </c>
      <c r="J195" s="2">
        <v>2014</v>
      </c>
      <c r="L195" s="2" t="s">
        <v>456</v>
      </c>
      <c r="M195" s="2" t="s">
        <v>803</v>
      </c>
      <c r="N195" s="2" t="s">
        <v>804</v>
      </c>
      <c r="O195" s="2" t="s">
        <v>654</v>
      </c>
      <c r="P195" s="2" t="s">
        <v>13</v>
      </c>
      <c r="Q195" s="2" t="s">
        <v>652</v>
      </c>
    </row>
    <row r="196" spans="2:17">
      <c r="B196" s="2" t="s">
        <v>803</v>
      </c>
      <c r="C196" s="2" t="s">
        <v>652</v>
      </c>
      <c r="D196" s="2" t="s">
        <v>651</v>
      </c>
      <c r="E196" s="2">
        <v>0.97550000000000003</v>
      </c>
      <c r="F196" s="2">
        <v>200</v>
      </c>
      <c r="G196" s="2">
        <v>2</v>
      </c>
      <c r="H196" s="5">
        <v>2.6</v>
      </c>
      <c r="I196" s="2">
        <v>54</v>
      </c>
      <c r="J196" s="2">
        <v>2021</v>
      </c>
      <c r="L196" s="2" t="s">
        <v>456</v>
      </c>
      <c r="M196" s="2" t="s">
        <v>803</v>
      </c>
      <c r="N196" s="2" t="s">
        <v>804</v>
      </c>
      <c r="O196" s="2" t="s">
        <v>654</v>
      </c>
      <c r="P196" s="2" t="s">
        <v>13</v>
      </c>
      <c r="Q196" s="2" t="s">
        <v>652</v>
      </c>
    </row>
    <row r="197" spans="2:17">
      <c r="B197" s="2" t="s">
        <v>803</v>
      </c>
      <c r="C197" s="2" t="s">
        <v>652</v>
      </c>
      <c r="D197" s="2" t="s">
        <v>651</v>
      </c>
      <c r="E197" s="2">
        <v>0.97550000000000003</v>
      </c>
      <c r="F197" s="2">
        <v>200</v>
      </c>
      <c r="G197" s="2">
        <v>2</v>
      </c>
      <c r="H197" s="5">
        <v>3.5205882352941198</v>
      </c>
      <c r="I197" s="2">
        <v>54</v>
      </c>
      <c r="J197" s="2">
        <v>2012</v>
      </c>
      <c r="L197" s="2" t="s">
        <v>456</v>
      </c>
      <c r="M197" s="2" t="s">
        <v>803</v>
      </c>
      <c r="N197" s="2" t="s">
        <v>804</v>
      </c>
      <c r="O197" s="2" t="s">
        <v>654</v>
      </c>
      <c r="P197" s="2" t="s">
        <v>13</v>
      </c>
      <c r="Q197" s="2" t="s">
        <v>652</v>
      </c>
    </row>
    <row r="198" spans="2:17">
      <c r="B198" s="2" t="s">
        <v>803</v>
      </c>
      <c r="C198" s="2" t="s">
        <v>652</v>
      </c>
      <c r="D198" s="2" t="s">
        <v>651</v>
      </c>
      <c r="E198" s="2">
        <v>0.97550000000000003</v>
      </c>
      <c r="F198" s="2">
        <v>200</v>
      </c>
      <c r="G198" s="2">
        <v>2</v>
      </c>
      <c r="H198" s="5">
        <v>3.54294117647059</v>
      </c>
      <c r="I198" s="2">
        <v>54</v>
      </c>
      <c r="J198" s="2">
        <v>2011</v>
      </c>
      <c r="L198" s="2" t="s">
        <v>456</v>
      </c>
      <c r="M198" s="2" t="s">
        <v>803</v>
      </c>
      <c r="N198" s="2" t="s">
        <v>804</v>
      </c>
      <c r="O198" s="2" t="s">
        <v>654</v>
      </c>
      <c r="P198" s="2" t="s">
        <v>13</v>
      </c>
      <c r="Q198" s="2" t="s">
        <v>652</v>
      </c>
    </row>
    <row r="199" spans="2:17">
      <c r="B199" s="2" t="s">
        <v>803</v>
      </c>
      <c r="C199" s="2" t="s">
        <v>652</v>
      </c>
      <c r="D199" s="2" t="s">
        <v>651</v>
      </c>
      <c r="E199" s="2">
        <v>0.97550000000000003</v>
      </c>
      <c r="F199" s="2">
        <v>200</v>
      </c>
      <c r="G199" s="2">
        <v>2</v>
      </c>
      <c r="H199" s="5">
        <v>3.92</v>
      </c>
      <c r="I199" s="2">
        <v>54</v>
      </c>
      <c r="J199" s="2">
        <v>1996</v>
      </c>
      <c r="L199" s="2" t="s">
        <v>456</v>
      </c>
      <c r="M199" s="2" t="s">
        <v>803</v>
      </c>
      <c r="N199" s="2" t="s">
        <v>804</v>
      </c>
      <c r="O199" s="2" t="s">
        <v>654</v>
      </c>
      <c r="P199" s="2" t="s">
        <v>13</v>
      </c>
      <c r="Q199" s="2" t="s">
        <v>652</v>
      </c>
    </row>
    <row r="200" spans="2:17">
      <c r="B200" s="2" t="s">
        <v>803</v>
      </c>
      <c r="C200" s="2" t="s">
        <v>652</v>
      </c>
      <c r="D200" s="2" t="s">
        <v>651</v>
      </c>
      <c r="E200" s="2">
        <v>0.97550000000000003</v>
      </c>
      <c r="F200" s="2">
        <v>200</v>
      </c>
      <c r="G200" s="2">
        <v>2</v>
      </c>
      <c r="H200" s="5">
        <v>5.17</v>
      </c>
      <c r="I200" s="2">
        <v>54</v>
      </c>
      <c r="J200" s="2">
        <v>1997</v>
      </c>
      <c r="L200" s="2" t="s">
        <v>456</v>
      </c>
      <c r="M200" s="2" t="s">
        <v>803</v>
      </c>
      <c r="N200" s="2" t="s">
        <v>804</v>
      </c>
      <c r="O200" s="2" t="s">
        <v>654</v>
      </c>
      <c r="P200" s="2" t="s">
        <v>13</v>
      </c>
      <c r="Q200" s="2" t="s">
        <v>652</v>
      </c>
    </row>
    <row r="201" spans="2:17">
      <c r="B201" s="2" t="s">
        <v>803</v>
      </c>
      <c r="C201" s="2" t="s">
        <v>652</v>
      </c>
      <c r="D201" s="2" t="s">
        <v>651</v>
      </c>
      <c r="E201" s="2">
        <v>0.97550000000000003</v>
      </c>
      <c r="F201" s="2">
        <v>200</v>
      </c>
      <c r="G201" s="2">
        <v>2</v>
      </c>
      <c r="H201" s="5">
        <v>6.3970588235294104</v>
      </c>
      <c r="I201" s="2">
        <v>54</v>
      </c>
      <c r="J201" s="2">
        <v>1987</v>
      </c>
      <c r="L201" s="2" t="s">
        <v>456</v>
      </c>
      <c r="M201" s="2" t="s">
        <v>803</v>
      </c>
      <c r="N201" s="2" t="s">
        <v>804</v>
      </c>
      <c r="O201" s="2" t="s">
        <v>654</v>
      </c>
      <c r="P201" s="2" t="s">
        <v>13</v>
      </c>
      <c r="Q201" s="2" t="s">
        <v>652</v>
      </c>
    </row>
    <row r="202" spans="2:17">
      <c r="B202" s="2" t="s">
        <v>803</v>
      </c>
      <c r="C202" s="2" t="s">
        <v>652</v>
      </c>
      <c r="D202" s="2" t="s">
        <v>651</v>
      </c>
      <c r="E202" s="2">
        <v>0.97550000000000003</v>
      </c>
      <c r="F202" s="2">
        <v>200</v>
      </c>
      <c r="G202" s="2">
        <v>2</v>
      </c>
      <c r="H202" s="5">
        <v>6.5</v>
      </c>
      <c r="I202" s="2">
        <v>54</v>
      </c>
      <c r="J202" s="2">
        <v>2018</v>
      </c>
      <c r="L202" s="2" t="s">
        <v>456</v>
      </c>
      <c r="M202" s="2" t="s">
        <v>803</v>
      </c>
      <c r="N202" s="2" t="s">
        <v>804</v>
      </c>
      <c r="O202" s="2" t="s">
        <v>654</v>
      </c>
      <c r="P202" s="2" t="s">
        <v>13</v>
      </c>
      <c r="Q202" s="2" t="s">
        <v>652</v>
      </c>
    </row>
    <row r="203" spans="2:17">
      <c r="B203" s="2" t="s">
        <v>803</v>
      </c>
      <c r="C203" s="2" t="s">
        <v>652</v>
      </c>
      <c r="D203" s="2" t="s">
        <v>651</v>
      </c>
      <c r="E203" s="2">
        <v>0.97550000000000003</v>
      </c>
      <c r="F203" s="2">
        <v>200</v>
      </c>
      <c r="G203" s="2">
        <v>2</v>
      </c>
      <c r="H203" s="5">
        <v>7.5</v>
      </c>
      <c r="I203" s="2">
        <v>54</v>
      </c>
      <c r="J203" s="2">
        <v>1978</v>
      </c>
      <c r="L203" s="2" t="s">
        <v>456</v>
      </c>
      <c r="M203" s="2" t="s">
        <v>803</v>
      </c>
      <c r="N203" s="2" t="s">
        <v>804</v>
      </c>
      <c r="O203" s="2" t="s">
        <v>654</v>
      </c>
      <c r="P203" s="2" t="s">
        <v>13</v>
      </c>
      <c r="Q203" s="2" t="s">
        <v>652</v>
      </c>
    </row>
    <row r="204" spans="2:17">
      <c r="B204" s="2" t="s">
        <v>803</v>
      </c>
      <c r="C204" s="2" t="s">
        <v>652</v>
      </c>
      <c r="D204" s="2" t="s">
        <v>651</v>
      </c>
      <c r="E204" s="2">
        <v>0.97550000000000003</v>
      </c>
      <c r="F204" s="2">
        <v>200</v>
      </c>
      <c r="G204" s="2">
        <v>2</v>
      </c>
      <c r="H204" s="5">
        <v>7.6276470588235297</v>
      </c>
      <c r="I204" s="2">
        <v>54</v>
      </c>
      <c r="J204" s="2">
        <v>1990</v>
      </c>
      <c r="L204" s="2" t="s">
        <v>456</v>
      </c>
      <c r="M204" s="2" t="s">
        <v>803</v>
      </c>
      <c r="N204" s="2" t="s">
        <v>804</v>
      </c>
      <c r="O204" s="2" t="s">
        <v>654</v>
      </c>
      <c r="P204" s="2" t="s">
        <v>13</v>
      </c>
      <c r="Q204" s="2" t="s">
        <v>652</v>
      </c>
    </row>
    <row r="205" spans="2:17">
      <c r="B205" s="2" t="s">
        <v>803</v>
      </c>
      <c r="C205" s="2" t="s">
        <v>652</v>
      </c>
      <c r="D205" s="2" t="s">
        <v>651</v>
      </c>
      <c r="E205" s="2">
        <v>0.97550000000000003</v>
      </c>
      <c r="F205" s="2">
        <v>200</v>
      </c>
      <c r="G205" s="2">
        <v>2</v>
      </c>
      <c r="H205" s="5">
        <v>7.7</v>
      </c>
      <c r="I205" s="2">
        <v>54</v>
      </c>
      <c r="J205" s="2">
        <v>2001</v>
      </c>
      <c r="L205" s="2" t="s">
        <v>456</v>
      </c>
      <c r="M205" s="2" t="s">
        <v>803</v>
      </c>
      <c r="N205" s="2" t="s">
        <v>804</v>
      </c>
      <c r="O205" s="2" t="s">
        <v>654</v>
      </c>
      <c r="P205" s="2" t="s">
        <v>13</v>
      </c>
      <c r="Q205" s="2" t="s">
        <v>652</v>
      </c>
    </row>
    <row r="206" spans="2:17">
      <c r="B206" s="2" t="s">
        <v>803</v>
      </c>
      <c r="C206" s="2" t="s">
        <v>652</v>
      </c>
      <c r="D206" s="2" t="s">
        <v>651</v>
      </c>
      <c r="E206" s="2">
        <v>0.97550000000000003</v>
      </c>
      <c r="F206" s="2">
        <v>200</v>
      </c>
      <c r="G206" s="2">
        <v>2</v>
      </c>
      <c r="H206" s="5">
        <v>10.4</v>
      </c>
      <c r="I206" s="2">
        <v>54</v>
      </c>
      <c r="J206" s="2">
        <v>1998</v>
      </c>
      <c r="L206" s="2" t="s">
        <v>456</v>
      </c>
      <c r="M206" s="2" t="s">
        <v>803</v>
      </c>
      <c r="N206" s="2" t="s">
        <v>804</v>
      </c>
      <c r="O206" s="2" t="s">
        <v>654</v>
      </c>
      <c r="P206" s="2" t="s">
        <v>13</v>
      </c>
      <c r="Q206" s="2" t="s">
        <v>652</v>
      </c>
    </row>
    <row r="207" spans="2:17">
      <c r="B207" s="2" t="s">
        <v>803</v>
      </c>
      <c r="C207" s="2" t="s">
        <v>652</v>
      </c>
      <c r="D207" s="2" t="s">
        <v>651</v>
      </c>
      <c r="E207" s="2">
        <v>0.97550000000000003</v>
      </c>
      <c r="F207" s="2">
        <v>200</v>
      </c>
      <c r="G207" s="2">
        <v>2</v>
      </c>
      <c r="H207" s="5">
        <v>10.661764705882399</v>
      </c>
      <c r="I207" s="2">
        <v>54</v>
      </c>
      <c r="J207" s="2">
        <v>2006</v>
      </c>
      <c r="L207" s="2" t="s">
        <v>456</v>
      </c>
      <c r="M207" s="2" t="s">
        <v>803</v>
      </c>
      <c r="N207" s="2" t="s">
        <v>804</v>
      </c>
      <c r="O207" s="2" t="s">
        <v>654</v>
      </c>
      <c r="P207" s="2" t="s">
        <v>13</v>
      </c>
      <c r="Q207" s="2" t="s">
        <v>652</v>
      </c>
    </row>
    <row r="208" spans="2:17">
      <c r="B208" s="2" t="s">
        <v>803</v>
      </c>
      <c r="C208" s="2" t="s">
        <v>652</v>
      </c>
      <c r="D208" s="2" t="s">
        <v>651</v>
      </c>
      <c r="E208" s="2">
        <v>0.97550000000000003</v>
      </c>
      <c r="F208" s="2">
        <v>200</v>
      </c>
      <c r="G208" s="2">
        <v>2</v>
      </c>
      <c r="H208" s="5">
        <v>10.9</v>
      </c>
      <c r="I208" s="2">
        <v>54</v>
      </c>
      <c r="J208" s="2">
        <v>1983</v>
      </c>
      <c r="L208" s="2" t="s">
        <v>456</v>
      </c>
      <c r="M208" s="2" t="s">
        <v>803</v>
      </c>
      <c r="N208" s="2" t="s">
        <v>804</v>
      </c>
      <c r="O208" s="2" t="s">
        <v>654</v>
      </c>
      <c r="P208" s="2" t="s">
        <v>13</v>
      </c>
      <c r="Q208" s="2" t="s">
        <v>652</v>
      </c>
    </row>
    <row r="209" spans="2:17">
      <c r="B209" s="2" t="s">
        <v>803</v>
      </c>
      <c r="C209" s="2" t="s">
        <v>652</v>
      </c>
      <c r="D209" s="2" t="s">
        <v>651</v>
      </c>
      <c r="E209" s="2">
        <v>0.97550000000000003</v>
      </c>
      <c r="F209" s="2">
        <v>200</v>
      </c>
      <c r="G209" s="2">
        <v>2</v>
      </c>
      <c r="H209" s="5">
        <v>12</v>
      </c>
      <c r="I209" s="2">
        <v>54</v>
      </c>
      <c r="J209" s="2">
        <v>1969</v>
      </c>
      <c r="L209" s="2" t="s">
        <v>456</v>
      </c>
      <c r="M209" s="2" t="s">
        <v>803</v>
      </c>
      <c r="N209" s="2" t="s">
        <v>804</v>
      </c>
      <c r="O209" s="2" t="s">
        <v>654</v>
      </c>
      <c r="P209" s="2" t="s">
        <v>13</v>
      </c>
      <c r="Q209" s="2" t="s">
        <v>652</v>
      </c>
    </row>
    <row r="210" spans="2:17">
      <c r="B210" s="2" t="s">
        <v>803</v>
      </c>
      <c r="C210" s="2" t="s">
        <v>652</v>
      </c>
      <c r="D210" s="2" t="s">
        <v>651</v>
      </c>
      <c r="E210" s="2">
        <v>0.97550000000000003</v>
      </c>
      <c r="F210" s="2">
        <v>200</v>
      </c>
      <c r="G210" s="2">
        <v>2</v>
      </c>
      <c r="H210" s="5">
        <v>13.988235294117599</v>
      </c>
      <c r="I210" s="2">
        <v>54</v>
      </c>
      <c r="J210" s="2">
        <v>1979</v>
      </c>
      <c r="L210" s="2" t="s">
        <v>456</v>
      </c>
      <c r="M210" s="2" t="s">
        <v>803</v>
      </c>
      <c r="N210" s="2" t="s">
        <v>804</v>
      </c>
      <c r="O210" s="2" t="s">
        <v>654</v>
      </c>
      <c r="P210" s="2" t="s">
        <v>13</v>
      </c>
      <c r="Q210" s="2" t="s">
        <v>652</v>
      </c>
    </row>
    <row r="211" spans="2:17">
      <c r="B211" s="2" t="s">
        <v>803</v>
      </c>
      <c r="C211" s="2" t="s">
        <v>652</v>
      </c>
      <c r="D211" s="2" t="s">
        <v>651</v>
      </c>
      <c r="E211" s="2">
        <v>0.97550000000000003</v>
      </c>
      <c r="F211" s="2">
        <v>200</v>
      </c>
      <c r="G211" s="2">
        <v>2</v>
      </c>
      <c r="H211" s="5">
        <v>19.117647058823501</v>
      </c>
      <c r="I211" s="2">
        <v>54</v>
      </c>
      <c r="J211" s="2">
        <v>1977</v>
      </c>
      <c r="L211" s="2" t="s">
        <v>456</v>
      </c>
      <c r="M211" s="2" t="s">
        <v>803</v>
      </c>
      <c r="N211" s="2" t="s">
        <v>804</v>
      </c>
      <c r="O211" s="2" t="s">
        <v>654</v>
      </c>
      <c r="P211" s="2" t="s">
        <v>13</v>
      </c>
      <c r="Q211" s="2" t="s">
        <v>652</v>
      </c>
    </row>
    <row r="212" spans="2:17">
      <c r="B212" s="2" t="s">
        <v>803</v>
      </c>
      <c r="C212" s="2" t="s">
        <v>652</v>
      </c>
      <c r="D212" s="2" t="s">
        <v>651</v>
      </c>
      <c r="E212" s="2">
        <v>0.97550000000000003</v>
      </c>
      <c r="F212" s="2">
        <v>200</v>
      </c>
      <c r="G212" s="2">
        <v>2</v>
      </c>
      <c r="H212" s="5">
        <v>19.117647058823501</v>
      </c>
      <c r="I212" s="2">
        <v>54</v>
      </c>
      <c r="J212" s="2">
        <v>1985</v>
      </c>
      <c r="L212" s="2" t="s">
        <v>456</v>
      </c>
      <c r="M212" s="2" t="s">
        <v>803</v>
      </c>
      <c r="N212" s="2" t="s">
        <v>804</v>
      </c>
      <c r="O212" s="2" t="s">
        <v>654</v>
      </c>
      <c r="P212" s="2" t="s">
        <v>13</v>
      </c>
      <c r="Q212" s="2" t="s">
        <v>652</v>
      </c>
    </row>
    <row r="213" spans="2:17">
      <c r="B213" s="2" t="s">
        <v>803</v>
      </c>
      <c r="C213" s="2" t="s">
        <v>652</v>
      </c>
      <c r="D213" s="2" t="s">
        <v>651</v>
      </c>
      <c r="E213" s="2">
        <v>0.97550000000000003</v>
      </c>
      <c r="F213" s="2">
        <v>200</v>
      </c>
      <c r="G213" s="2">
        <v>2</v>
      </c>
      <c r="H213" s="5">
        <v>21.764705882352899</v>
      </c>
      <c r="I213" s="2">
        <v>54</v>
      </c>
      <c r="J213" s="2">
        <v>1984</v>
      </c>
      <c r="L213" s="2" t="s">
        <v>456</v>
      </c>
      <c r="M213" s="2" t="s">
        <v>803</v>
      </c>
      <c r="N213" s="2" t="s">
        <v>804</v>
      </c>
      <c r="O213" s="2" t="s">
        <v>654</v>
      </c>
      <c r="P213" s="2" t="s">
        <v>13</v>
      </c>
      <c r="Q213" s="2" t="s">
        <v>652</v>
      </c>
    </row>
    <row r="214" spans="2:17">
      <c r="B214" s="2" t="s">
        <v>803</v>
      </c>
      <c r="C214" s="2" t="s">
        <v>652</v>
      </c>
      <c r="D214" s="2" t="s">
        <v>651</v>
      </c>
      <c r="E214" s="2">
        <v>0.97550000000000003</v>
      </c>
      <c r="F214" s="2">
        <v>200</v>
      </c>
      <c r="G214" s="2">
        <v>2</v>
      </c>
      <c r="H214" s="5">
        <v>35.5</v>
      </c>
      <c r="I214" s="2">
        <v>54</v>
      </c>
      <c r="J214" s="2">
        <v>1973</v>
      </c>
      <c r="L214" s="2" t="s">
        <v>456</v>
      </c>
      <c r="M214" s="2" t="s">
        <v>803</v>
      </c>
      <c r="N214" s="2" t="s">
        <v>804</v>
      </c>
      <c r="O214" s="2" t="s">
        <v>654</v>
      </c>
      <c r="P214" s="2" t="s">
        <v>13</v>
      </c>
      <c r="Q214" s="2" t="s">
        <v>652</v>
      </c>
    </row>
    <row r="215" spans="2:17">
      <c r="B215" s="2" t="s">
        <v>805</v>
      </c>
      <c r="C215" s="2" t="s">
        <v>652</v>
      </c>
      <c r="D215" s="2" t="s">
        <v>651</v>
      </c>
      <c r="E215" s="2">
        <v>0.97550000000000003</v>
      </c>
      <c r="F215" s="2">
        <v>200</v>
      </c>
      <c r="G215" s="2">
        <v>2</v>
      </c>
      <c r="H215" s="5">
        <v>0.4</v>
      </c>
      <c r="I215" s="2">
        <v>54</v>
      </c>
      <c r="J215" s="2">
        <v>2019</v>
      </c>
      <c r="L215" s="2" t="s">
        <v>456</v>
      </c>
      <c r="M215" s="2" t="s">
        <v>805</v>
      </c>
      <c r="N215" s="2" t="s">
        <v>806</v>
      </c>
      <c r="O215" s="2" t="s">
        <v>654</v>
      </c>
      <c r="P215" s="2" t="s">
        <v>13</v>
      </c>
      <c r="Q215" s="2" t="s">
        <v>652</v>
      </c>
    </row>
    <row r="216" spans="2:17">
      <c r="B216" s="2" t="s">
        <v>805</v>
      </c>
      <c r="C216" s="2" t="s">
        <v>652</v>
      </c>
      <c r="D216" s="2" t="s">
        <v>651</v>
      </c>
      <c r="E216" s="2">
        <v>0.97550000000000003</v>
      </c>
      <c r="F216" s="2">
        <v>200</v>
      </c>
      <c r="G216" s="2">
        <v>2</v>
      </c>
      <c r="H216" s="5">
        <v>2.2999999999999998</v>
      </c>
      <c r="I216" s="2">
        <v>54</v>
      </c>
      <c r="J216" s="2">
        <v>2005</v>
      </c>
      <c r="L216" s="2" t="s">
        <v>456</v>
      </c>
      <c r="M216" s="2" t="s">
        <v>805</v>
      </c>
      <c r="N216" s="2" t="s">
        <v>806</v>
      </c>
      <c r="O216" s="2" t="s">
        <v>654</v>
      </c>
      <c r="P216" s="2" t="s">
        <v>13</v>
      </c>
      <c r="Q216" s="2" t="s">
        <v>652</v>
      </c>
    </row>
    <row r="217" spans="2:17">
      <c r="B217" s="2" t="s">
        <v>805</v>
      </c>
      <c r="C217" s="2" t="s">
        <v>652</v>
      </c>
      <c r="D217" s="2" t="s">
        <v>651</v>
      </c>
      <c r="E217" s="2">
        <v>0.97550000000000003</v>
      </c>
      <c r="F217" s="2">
        <v>200</v>
      </c>
      <c r="G217" s="2">
        <v>2</v>
      </c>
      <c r="H217" s="5">
        <v>3</v>
      </c>
      <c r="I217" s="2">
        <v>54</v>
      </c>
      <c r="J217" s="2">
        <v>2016</v>
      </c>
      <c r="L217" s="2" t="s">
        <v>456</v>
      </c>
      <c r="M217" s="2" t="s">
        <v>805</v>
      </c>
      <c r="N217" s="2" t="s">
        <v>806</v>
      </c>
      <c r="O217" s="2" t="s">
        <v>654</v>
      </c>
      <c r="P217" s="2" t="s">
        <v>13</v>
      </c>
      <c r="Q217" s="2" t="s">
        <v>652</v>
      </c>
    </row>
    <row r="218" spans="2:17">
      <c r="B218" s="2" t="s">
        <v>805</v>
      </c>
      <c r="C218" s="2" t="s">
        <v>652</v>
      </c>
      <c r="D218" s="2" t="s">
        <v>651</v>
      </c>
      <c r="E218" s="2">
        <v>0.97550000000000003</v>
      </c>
      <c r="F218" s="2">
        <v>200</v>
      </c>
      <c r="G218" s="2">
        <v>2</v>
      </c>
      <c r="H218" s="5">
        <v>4.7</v>
      </c>
      <c r="I218" s="2">
        <v>54</v>
      </c>
      <c r="J218" s="2">
        <v>2017</v>
      </c>
      <c r="L218" s="2" t="s">
        <v>456</v>
      </c>
      <c r="M218" s="2" t="s">
        <v>805</v>
      </c>
      <c r="N218" s="2" t="s">
        <v>806</v>
      </c>
      <c r="O218" s="2" t="s">
        <v>654</v>
      </c>
      <c r="P218" s="2" t="s">
        <v>13</v>
      </c>
      <c r="Q218" s="2" t="s">
        <v>652</v>
      </c>
    </row>
    <row r="219" spans="2:17">
      <c r="B219" s="2" t="s">
        <v>805</v>
      </c>
      <c r="C219" s="2" t="s">
        <v>652</v>
      </c>
      <c r="D219" s="2" t="s">
        <v>651</v>
      </c>
      <c r="E219" s="2">
        <v>0.97550000000000003</v>
      </c>
      <c r="F219" s="2">
        <v>200</v>
      </c>
      <c r="G219" s="2">
        <v>2</v>
      </c>
      <c r="H219" s="5">
        <v>6.6176470588235299</v>
      </c>
      <c r="I219" s="2">
        <v>54</v>
      </c>
      <c r="J219" s="2">
        <v>2014</v>
      </c>
      <c r="L219" s="2" t="s">
        <v>456</v>
      </c>
      <c r="M219" s="2" t="s">
        <v>805</v>
      </c>
      <c r="N219" s="2" t="s">
        <v>806</v>
      </c>
      <c r="O219" s="2" t="s">
        <v>654</v>
      </c>
      <c r="P219" s="2" t="s">
        <v>13</v>
      </c>
      <c r="Q219" s="2" t="s">
        <v>652</v>
      </c>
    </row>
    <row r="220" spans="2:17">
      <c r="B220" s="2" t="s">
        <v>805</v>
      </c>
      <c r="C220" s="2" t="s">
        <v>652</v>
      </c>
      <c r="D220" s="2" t="s">
        <v>651</v>
      </c>
      <c r="E220" s="2">
        <v>0.97550000000000003</v>
      </c>
      <c r="F220" s="2">
        <v>200</v>
      </c>
      <c r="G220" s="2">
        <v>2</v>
      </c>
      <c r="H220" s="5">
        <v>24.9</v>
      </c>
      <c r="I220" s="2">
        <v>54</v>
      </c>
      <c r="J220" s="2">
        <v>2002</v>
      </c>
      <c r="L220" s="2" t="s">
        <v>456</v>
      </c>
      <c r="M220" s="2" t="s">
        <v>805</v>
      </c>
      <c r="N220" s="2" t="s">
        <v>806</v>
      </c>
      <c r="O220" s="2" t="s">
        <v>654</v>
      </c>
      <c r="P220" s="2" t="s">
        <v>13</v>
      </c>
      <c r="Q220" s="2" t="s">
        <v>652</v>
      </c>
    </row>
    <row r="221" spans="2:17">
      <c r="B221" s="2" t="s">
        <v>805</v>
      </c>
      <c r="C221" s="2" t="s">
        <v>652</v>
      </c>
      <c r="D221" s="2" t="s">
        <v>651</v>
      </c>
      <c r="E221" s="2">
        <v>0.97550000000000003</v>
      </c>
      <c r="F221" s="2">
        <v>200</v>
      </c>
      <c r="G221" s="2">
        <v>2</v>
      </c>
      <c r="H221" s="5">
        <v>38.1</v>
      </c>
      <c r="I221" s="2">
        <v>54</v>
      </c>
      <c r="J221" s="2">
        <v>1986</v>
      </c>
      <c r="L221" s="2" t="s">
        <v>456</v>
      </c>
      <c r="M221" s="2" t="s">
        <v>805</v>
      </c>
      <c r="N221" s="2" t="s">
        <v>806</v>
      </c>
      <c r="O221" s="2" t="s">
        <v>654</v>
      </c>
      <c r="P221" s="2" t="s">
        <v>13</v>
      </c>
      <c r="Q221" s="2" t="s">
        <v>652</v>
      </c>
    </row>
    <row r="222" spans="2:17">
      <c r="B222" s="2" t="s">
        <v>805</v>
      </c>
      <c r="C222" s="2" t="s">
        <v>652</v>
      </c>
      <c r="D222" s="2" t="s">
        <v>651</v>
      </c>
      <c r="E222" s="2">
        <v>0.97550000000000003</v>
      </c>
      <c r="F222" s="2">
        <v>200</v>
      </c>
      <c r="G222" s="2">
        <v>2</v>
      </c>
      <c r="H222" s="5">
        <v>41.7</v>
      </c>
      <c r="I222" s="2">
        <v>54</v>
      </c>
      <c r="J222" s="2">
        <v>1996</v>
      </c>
      <c r="L222" s="2" t="s">
        <v>456</v>
      </c>
      <c r="M222" s="2" t="s">
        <v>805</v>
      </c>
      <c r="N222" s="2" t="s">
        <v>806</v>
      </c>
      <c r="O222" s="2" t="s">
        <v>654</v>
      </c>
      <c r="P222" s="2" t="s">
        <v>13</v>
      </c>
      <c r="Q222" s="2" t="s">
        <v>652</v>
      </c>
    </row>
    <row r="223" spans="2:17">
      <c r="B223" s="2" t="s">
        <v>807</v>
      </c>
      <c r="C223" s="2" t="s">
        <v>652</v>
      </c>
      <c r="D223" s="2" t="s">
        <v>651</v>
      </c>
      <c r="E223" s="2">
        <v>0.97550000000000003</v>
      </c>
      <c r="F223" s="2">
        <v>200</v>
      </c>
      <c r="G223" s="2">
        <v>2</v>
      </c>
      <c r="H223" s="5">
        <v>5.8088235294117601</v>
      </c>
      <c r="I223" s="2">
        <v>54</v>
      </c>
      <c r="J223" s="2">
        <v>2014</v>
      </c>
      <c r="L223" s="2" t="s">
        <v>456</v>
      </c>
      <c r="M223" s="2" t="s">
        <v>807</v>
      </c>
      <c r="N223" s="2" t="s">
        <v>808</v>
      </c>
      <c r="O223" s="2" t="s">
        <v>654</v>
      </c>
      <c r="P223" s="2" t="s">
        <v>13</v>
      </c>
      <c r="Q223" s="2" t="s">
        <v>652</v>
      </c>
    </row>
    <row r="224" spans="2:17">
      <c r="B224" s="2" t="s">
        <v>807</v>
      </c>
      <c r="C224" s="2" t="s">
        <v>652</v>
      </c>
      <c r="D224" s="2" t="s">
        <v>651</v>
      </c>
      <c r="E224" s="2">
        <v>0.97550000000000003</v>
      </c>
      <c r="F224" s="2">
        <v>200</v>
      </c>
      <c r="G224" s="2">
        <v>2</v>
      </c>
      <c r="H224" s="5">
        <v>22</v>
      </c>
      <c r="I224" s="2">
        <v>54</v>
      </c>
      <c r="J224" s="2">
        <v>2021</v>
      </c>
      <c r="L224" s="2" t="s">
        <v>456</v>
      </c>
      <c r="M224" s="2" t="s">
        <v>807</v>
      </c>
      <c r="N224" s="2" t="s">
        <v>808</v>
      </c>
      <c r="O224" s="2" t="s">
        <v>654</v>
      </c>
      <c r="P224" s="2" t="s">
        <v>13</v>
      </c>
      <c r="Q224" s="2" t="s">
        <v>652</v>
      </c>
    </row>
    <row r="225" spans="2:17">
      <c r="B225" s="2" t="s">
        <v>809</v>
      </c>
      <c r="C225" s="2" t="s">
        <v>652</v>
      </c>
      <c r="D225" s="2" t="s">
        <v>651</v>
      </c>
      <c r="E225" s="2">
        <v>0.97550000000000003</v>
      </c>
      <c r="F225" s="2">
        <v>200</v>
      </c>
      <c r="G225" s="2">
        <v>2</v>
      </c>
      <c r="H225" s="5">
        <v>0.8</v>
      </c>
      <c r="I225" s="2">
        <v>54</v>
      </c>
      <c r="J225" s="2">
        <v>2021</v>
      </c>
      <c r="L225" s="2" t="s">
        <v>456</v>
      </c>
      <c r="M225" s="2" t="s">
        <v>809</v>
      </c>
      <c r="N225" s="2" t="s">
        <v>810</v>
      </c>
      <c r="O225" s="2" t="s">
        <v>654</v>
      </c>
      <c r="P225" s="2" t="s">
        <v>13</v>
      </c>
      <c r="Q225" s="2" t="s">
        <v>652</v>
      </c>
    </row>
    <row r="226" spans="2:17">
      <c r="B226" s="2" t="s">
        <v>809</v>
      </c>
      <c r="C226" s="2" t="s">
        <v>652</v>
      </c>
      <c r="D226" s="2" t="s">
        <v>651</v>
      </c>
      <c r="E226" s="2">
        <v>0.97550000000000003</v>
      </c>
      <c r="F226" s="2">
        <v>200</v>
      </c>
      <c r="G226" s="2">
        <v>2</v>
      </c>
      <c r="H226" s="5">
        <v>3.8</v>
      </c>
      <c r="I226" s="2">
        <v>54</v>
      </c>
      <c r="J226" s="2">
        <v>2012</v>
      </c>
      <c r="L226" s="2" t="s">
        <v>456</v>
      </c>
      <c r="M226" s="2" t="s">
        <v>809</v>
      </c>
      <c r="N226" s="2" t="s">
        <v>810</v>
      </c>
      <c r="O226" s="2" t="s">
        <v>654</v>
      </c>
      <c r="P226" s="2" t="s">
        <v>13</v>
      </c>
      <c r="Q226" s="2" t="s">
        <v>652</v>
      </c>
    </row>
    <row r="227" spans="2:17">
      <c r="B227" s="2" t="s">
        <v>809</v>
      </c>
      <c r="C227" s="2" t="s">
        <v>652</v>
      </c>
      <c r="D227" s="2" t="s">
        <v>651</v>
      </c>
      <c r="E227" s="2">
        <v>0.97550000000000003</v>
      </c>
      <c r="F227" s="2">
        <v>200</v>
      </c>
      <c r="G227" s="2">
        <v>2</v>
      </c>
      <c r="H227" s="5">
        <v>5.4411764705882399</v>
      </c>
      <c r="I227" s="2">
        <v>54</v>
      </c>
      <c r="J227" s="2">
        <v>2006</v>
      </c>
      <c r="L227" s="2" t="s">
        <v>456</v>
      </c>
      <c r="M227" s="2" t="s">
        <v>809</v>
      </c>
      <c r="N227" s="2" t="s">
        <v>810</v>
      </c>
      <c r="O227" s="2" t="s">
        <v>654</v>
      </c>
      <c r="P227" s="2" t="s">
        <v>13</v>
      </c>
      <c r="Q227" s="2" t="s">
        <v>652</v>
      </c>
    </row>
    <row r="228" spans="2:17">
      <c r="B228" s="2" t="s">
        <v>809</v>
      </c>
      <c r="C228" s="2" t="s">
        <v>652</v>
      </c>
      <c r="D228" s="2" t="s">
        <v>651</v>
      </c>
      <c r="E228" s="2">
        <v>0.97550000000000003</v>
      </c>
      <c r="F228" s="2">
        <v>200</v>
      </c>
      <c r="G228" s="2">
        <v>2</v>
      </c>
      <c r="H228" s="5">
        <v>7.5</v>
      </c>
      <c r="I228" s="2">
        <v>54</v>
      </c>
      <c r="J228" s="2">
        <v>2008</v>
      </c>
      <c r="L228" s="2" t="s">
        <v>456</v>
      </c>
      <c r="M228" s="2" t="s">
        <v>809</v>
      </c>
      <c r="N228" s="2" t="s">
        <v>810</v>
      </c>
      <c r="O228" s="2" t="s">
        <v>654</v>
      </c>
      <c r="P228" s="2" t="s">
        <v>13</v>
      </c>
      <c r="Q228" s="2" t="s">
        <v>652</v>
      </c>
    </row>
    <row r="229" spans="2:17">
      <c r="B229" s="2" t="s">
        <v>811</v>
      </c>
      <c r="C229" s="2" t="s">
        <v>652</v>
      </c>
      <c r="D229" s="2" t="s">
        <v>651</v>
      </c>
      <c r="E229" s="2">
        <v>0.97550000000000003</v>
      </c>
      <c r="F229" s="2">
        <v>200</v>
      </c>
      <c r="G229" s="2">
        <v>2</v>
      </c>
      <c r="H229" s="5">
        <v>3.5</v>
      </c>
      <c r="I229" s="2">
        <v>54</v>
      </c>
      <c r="J229" s="2">
        <v>2017</v>
      </c>
      <c r="L229" s="2" t="s">
        <v>456</v>
      </c>
      <c r="M229" s="2" t="s">
        <v>811</v>
      </c>
      <c r="N229" s="2" t="s">
        <v>812</v>
      </c>
      <c r="O229" s="2" t="s">
        <v>654</v>
      </c>
      <c r="P229" s="2" t="s">
        <v>13</v>
      </c>
      <c r="Q229" s="2" t="s">
        <v>652</v>
      </c>
    </row>
    <row r="230" spans="2:17">
      <c r="B230" s="2" t="s">
        <v>813</v>
      </c>
      <c r="C230" s="2" t="s">
        <v>652</v>
      </c>
      <c r="D230" s="2" t="s">
        <v>651</v>
      </c>
      <c r="E230" s="2">
        <v>0.97550000000000003</v>
      </c>
      <c r="F230" s="2">
        <v>200</v>
      </c>
      <c r="G230" s="2">
        <v>2</v>
      </c>
      <c r="H230" s="5">
        <v>8.82</v>
      </c>
      <c r="I230" s="2">
        <v>54</v>
      </c>
      <c r="J230" s="2">
        <v>2011</v>
      </c>
      <c r="L230" s="2" t="s">
        <v>456</v>
      </c>
      <c r="M230" s="2" t="s">
        <v>813</v>
      </c>
      <c r="N230" s="2" t="s">
        <v>814</v>
      </c>
      <c r="O230" s="2" t="s">
        <v>654</v>
      </c>
      <c r="P230" s="2" t="s">
        <v>13</v>
      </c>
      <c r="Q230" s="2" t="s">
        <v>652</v>
      </c>
    </row>
    <row r="231" spans="2:17">
      <c r="B231" s="2" t="s">
        <v>815</v>
      </c>
      <c r="C231" s="2" t="s">
        <v>652</v>
      </c>
      <c r="D231" s="2" t="s">
        <v>651</v>
      </c>
      <c r="E231" s="2">
        <v>0.97550000000000003</v>
      </c>
      <c r="F231" s="2">
        <v>200</v>
      </c>
      <c r="G231" s="2">
        <v>2</v>
      </c>
      <c r="H231" s="5">
        <v>0</v>
      </c>
      <c r="I231" s="2">
        <v>54</v>
      </c>
      <c r="J231" s="2">
        <v>2007</v>
      </c>
      <c r="L231" s="2" t="s">
        <v>456</v>
      </c>
      <c r="M231" s="2" t="s">
        <v>815</v>
      </c>
      <c r="N231" s="2" t="s">
        <v>816</v>
      </c>
      <c r="O231" s="2" t="s">
        <v>654</v>
      </c>
      <c r="P231" s="2" t="s">
        <v>13</v>
      </c>
      <c r="Q231" s="2" t="s">
        <v>652</v>
      </c>
    </row>
    <row r="232" spans="2:17">
      <c r="B232" s="2" t="s">
        <v>815</v>
      </c>
      <c r="C232" s="2" t="s">
        <v>652</v>
      </c>
      <c r="D232" s="2" t="s">
        <v>651</v>
      </c>
      <c r="E232" s="2">
        <v>0.97550000000000003</v>
      </c>
      <c r="F232" s="2">
        <v>200</v>
      </c>
      <c r="G232" s="2">
        <v>2</v>
      </c>
      <c r="H232" s="5">
        <v>0.1</v>
      </c>
      <c r="I232" s="2">
        <v>54</v>
      </c>
      <c r="J232" s="2">
        <v>2011</v>
      </c>
      <c r="L232" s="2" t="s">
        <v>456</v>
      </c>
      <c r="M232" s="2" t="s">
        <v>815</v>
      </c>
      <c r="N232" s="2" t="s">
        <v>816</v>
      </c>
      <c r="O232" s="2" t="s">
        <v>654</v>
      </c>
      <c r="P232" s="2" t="s">
        <v>13</v>
      </c>
      <c r="Q232" s="2" t="s">
        <v>652</v>
      </c>
    </row>
    <row r="233" spans="2:17">
      <c r="B233" s="2" t="s">
        <v>817</v>
      </c>
      <c r="C233" s="2" t="s">
        <v>652</v>
      </c>
      <c r="D233" s="2" t="s">
        <v>651</v>
      </c>
      <c r="E233" s="2">
        <v>0.97550000000000003</v>
      </c>
      <c r="F233" s="2">
        <v>200</v>
      </c>
      <c r="G233" s="2">
        <v>2</v>
      </c>
      <c r="H233" s="5">
        <v>1.5</v>
      </c>
      <c r="I233" s="2">
        <v>54</v>
      </c>
      <c r="J233" s="2">
        <v>2018</v>
      </c>
      <c r="L233" s="2" t="s">
        <v>456</v>
      </c>
      <c r="M233" s="2" t="s">
        <v>817</v>
      </c>
      <c r="N233" s="2" t="s">
        <v>818</v>
      </c>
      <c r="O233" s="2" t="s">
        <v>654</v>
      </c>
      <c r="P233" s="2" t="s">
        <v>13</v>
      </c>
      <c r="Q233" s="2" t="s">
        <v>652</v>
      </c>
    </row>
    <row r="234" spans="2:17">
      <c r="B234" s="2" t="s">
        <v>819</v>
      </c>
      <c r="C234" s="2" t="s">
        <v>652</v>
      </c>
      <c r="D234" s="2" t="s">
        <v>651</v>
      </c>
      <c r="E234" s="2">
        <v>0.97550000000000003</v>
      </c>
      <c r="F234" s="2">
        <v>200</v>
      </c>
      <c r="G234" s="2">
        <v>2</v>
      </c>
      <c r="H234" s="5">
        <v>8</v>
      </c>
      <c r="I234" s="2">
        <v>54</v>
      </c>
      <c r="J234" s="2">
        <v>2023</v>
      </c>
      <c r="L234" s="2" t="s">
        <v>456</v>
      </c>
      <c r="M234" s="2" t="s">
        <v>819</v>
      </c>
      <c r="N234" s="2" t="s">
        <v>820</v>
      </c>
      <c r="O234" s="2" t="s">
        <v>654</v>
      </c>
      <c r="P234" s="2" t="s">
        <v>13</v>
      </c>
      <c r="Q234" s="2" t="s">
        <v>652</v>
      </c>
    </row>
    <row r="235" spans="2:17">
      <c r="B235" s="2" t="s">
        <v>821</v>
      </c>
      <c r="C235" s="2" t="s">
        <v>652</v>
      </c>
      <c r="D235" s="2" t="s">
        <v>651</v>
      </c>
      <c r="E235" s="2">
        <v>0.97550000000000003</v>
      </c>
      <c r="F235" s="2">
        <v>200</v>
      </c>
      <c r="G235" s="2">
        <v>2</v>
      </c>
      <c r="H235" s="5">
        <v>0</v>
      </c>
      <c r="I235" s="2">
        <v>54</v>
      </c>
      <c r="J235" s="2">
        <v>2021</v>
      </c>
      <c r="L235" s="2" t="s">
        <v>456</v>
      </c>
      <c r="M235" s="2" t="s">
        <v>821</v>
      </c>
      <c r="N235" s="2" t="s">
        <v>822</v>
      </c>
      <c r="O235" s="2" t="s">
        <v>654</v>
      </c>
      <c r="P235" s="2" t="s">
        <v>13</v>
      </c>
      <c r="Q235" s="2" t="s">
        <v>652</v>
      </c>
    </row>
    <row r="236" spans="2:17">
      <c r="B236" s="2" t="s">
        <v>821</v>
      </c>
      <c r="C236" s="2" t="s">
        <v>652</v>
      </c>
      <c r="D236" s="2" t="s">
        <v>651</v>
      </c>
      <c r="E236" s="2">
        <v>0.97550000000000003</v>
      </c>
      <c r="F236" s="2">
        <v>200</v>
      </c>
      <c r="G236" s="2">
        <v>2</v>
      </c>
      <c r="H236" s="5">
        <v>3.7</v>
      </c>
      <c r="I236" s="2">
        <v>54</v>
      </c>
      <c r="J236" s="2">
        <v>2016</v>
      </c>
      <c r="L236" s="2" t="s">
        <v>456</v>
      </c>
      <c r="M236" s="2" t="s">
        <v>821</v>
      </c>
      <c r="N236" s="2" t="s">
        <v>822</v>
      </c>
      <c r="O236" s="2" t="s">
        <v>654</v>
      </c>
      <c r="P236" s="2" t="s">
        <v>13</v>
      </c>
      <c r="Q236" s="2" t="s">
        <v>652</v>
      </c>
    </row>
    <row r="237" spans="2:17">
      <c r="B237" s="2" t="s">
        <v>823</v>
      </c>
      <c r="C237" s="2" t="s">
        <v>652</v>
      </c>
      <c r="D237" s="2" t="s">
        <v>651</v>
      </c>
      <c r="E237" s="2">
        <v>0.97550000000000003</v>
      </c>
      <c r="F237" s="2">
        <v>200</v>
      </c>
      <c r="G237" s="2">
        <v>2</v>
      </c>
      <c r="H237" s="5">
        <v>1.1000000000000001</v>
      </c>
      <c r="I237" s="2">
        <v>54</v>
      </c>
      <c r="J237" s="2">
        <v>2020</v>
      </c>
      <c r="L237" s="2" t="s">
        <v>456</v>
      </c>
      <c r="M237" s="2" t="s">
        <v>823</v>
      </c>
      <c r="N237" s="2" t="s">
        <v>824</v>
      </c>
      <c r="O237" s="2" t="s">
        <v>654</v>
      </c>
      <c r="P237" s="2" t="s">
        <v>13</v>
      </c>
      <c r="Q237" s="2" t="s">
        <v>652</v>
      </c>
    </row>
    <row r="238" spans="2:17">
      <c r="B238" s="2" t="s">
        <v>823</v>
      </c>
      <c r="C238" s="2" t="s">
        <v>652</v>
      </c>
      <c r="D238" s="2" t="s">
        <v>651</v>
      </c>
      <c r="E238" s="2">
        <v>0.97550000000000003</v>
      </c>
      <c r="F238" s="2">
        <v>200</v>
      </c>
      <c r="G238" s="2">
        <v>2</v>
      </c>
      <c r="H238" s="5">
        <v>1.5</v>
      </c>
      <c r="I238" s="2">
        <v>54</v>
      </c>
      <c r="J238" s="2">
        <v>2000</v>
      </c>
      <c r="L238" s="2" t="s">
        <v>456</v>
      </c>
      <c r="M238" s="2" t="s">
        <v>823</v>
      </c>
      <c r="N238" s="2" t="s">
        <v>824</v>
      </c>
      <c r="O238" s="2" t="s">
        <v>654</v>
      </c>
      <c r="P238" s="2" t="s">
        <v>13</v>
      </c>
      <c r="Q238" s="2" t="s">
        <v>652</v>
      </c>
    </row>
    <row r="239" spans="2:17">
      <c r="B239" s="2" t="s">
        <v>825</v>
      </c>
      <c r="C239" s="2" t="s">
        <v>652</v>
      </c>
      <c r="D239" s="2" t="s">
        <v>651</v>
      </c>
      <c r="E239" s="2">
        <v>0.97550000000000003</v>
      </c>
      <c r="F239" s="2">
        <v>200</v>
      </c>
      <c r="G239" s="2">
        <v>2</v>
      </c>
      <c r="H239" s="5">
        <v>5.5882352941176503</v>
      </c>
      <c r="I239" s="2">
        <v>54</v>
      </c>
      <c r="J239" s="2">
        <v>2003</v>
      </c>
      <c r="L239" s="2" t="s">
        <v>456</v>
      </c>
      <c r="M239" s="2" t="s">
        <v>825</v>
      </c>
      <c r="N239" s="2" t="s">
        <v>826</v>
      </c>
      <c r="O239" s="2" t="s">
        <v>654</v>
      </c>
      <c r="P239" s="2" t="s">
        <v>13</v>
      </c>
      <c r="Q239" s="2" t="s">
        <v>652</v>
      </c>
    </row>
    <row r="240" spans="2:17">
      <c r="B240" s="2" t="s">
        <v>827</v>
      </c>
      <c r="C240" s="2" t="s">
        <v>652</v>
      </c>
      <c r="D240" s="2" t="s">
        <v>651</v>
      </c>
      <c r="E240" s="2">
        <v>0.97550000000000003</v>
      </c>
      <c r="F240" s="2">
        <v>200</v>
      </c>
      <c r="G240" s="2">
        <v>2</v>
      </c>
      <c r="H240" s="5">
        <v>5</v>
      </c>
      <c r="I240" s="2">
        <v>54</v>
      </c>
      <c r="J240" s="2">
        <v>2018</v>
      </c>
      <c r="L240" s="2" t="s">
        <v>456</v>
      </c>
      <c r="M240" s="2" t="s">
        <v>827</v>
      </c>
      <c r="N240" s="2" t="s">
        <v>828</v>
      </c>
      <c r="O240" s="2" t="s">
        <v>654</v>
      </c>
      <c r="P240" s="2" t="s">
        <v>13</v>
      </c>
      <c r="Q240" s="2" t="s">
        <v>652</v>
      </c>
    </row>
    <row r="241" spans="2:17">
      <c r="B241" s="2" t="s">
        <v>827</v>
      </c>
      <c r="C241" s="2" t="s">
        <v>652</v>
      </c>
      <c r="D241" s="2" t="s">
        <v>651</v>
      </c>
      <c r="E241" s="2">
        <v>0.97550000000000003</v>
      </c>
      <c r="F241" s="2">
        <v>200</v>
      </c>
      <c r="G241" s="2">
        <v>2</v>
      </c>
      <c r="H241" s="5">
        <v>6</v>
      </c>
      <c r="I241" s="2">
        <v>54</v>
      </c>
      <c r="J241" s="2">
        <v>2013</v>
      </c>
      <c r="L241" s="2" t="s">
        <v>456</v>
      </c>
      <c r="M241" s="2" t="s">
        <v>827</v>
      </c>
      <c r="N241" s="2" t="s">
        <v>828</v>
      </c>
      <c r="O241" s="2" t="s">
        <v>654</v>
      </c>
      <c r="P241" s="2" t="s">
        <v>13</v>
      </c>
      <c r="Q241" s="2" t="s">
        <v>652</v>
      </c>
    </row>
    <row r="242" spans="2:17">
      <c r="B242" s="2" t="s">
        <v>829</v>
      </c>
      <c r="C242" s="2" t="s">
        <v>652</v>
      </c>
      <c r="D242" s="2" t="s">
        <v>651</v>
      </c>
      <c r="E242" s="2">
        <v>0.97550000000000003</v>
      </c>
      <c r="F242" s="2">
        <v>200</v>
      </c>
      <c r="G242" s="2">
        <v>2</v>
      </c>
      <c r="H242" s="5">
        <v>0.2</v>
      </c>
      <c r="I242" s="2">
        <v>54</v>
      </c>
      <c r="J242" s="2">
        <v>2014</v>
      </c>
      <c r="L242" s="2" t="s">
        <v>456</v>
      </c>
      <c r="M242" s="2" t="s">
        <v>829</v>
      </c>
      <c r="N242" s="2" t="s">
        <v>830</v>
      </c>
      <c r="O242" s="2" t="s">
        <v>654</v>
      </c>
      <c r="P242" s="2" t="s">
        <v>13</v>
      </c>
      <c r="Q242" s="2" t="s">
        <v>652</v>
      </c>
    </row>
    <row r="243" spans="2:17">
      <c r="B243" s="2" t="s">
        <v>829</v>
      </c>
      <c r="C243" s="2" t="s">
        <v>652</v>
      </c>
      <c r="D243" s="2" t="s">
        <v>651</v>
      </c>
      <c r="E243" s="2">
        <v>0.97550000000000003</v>
      </c>
      <c r="F243" s="2">
        <v>200</v>
      </c>
      <c r="G243" s="2">
        <v>2</v>
      </c>
      <c r="H243" s="5">
        <v>0.4</v>
      </c>
      <c r="I243" s="2">
        <v>54</v>
      </c>
      <c r="J243" s="2">
        <v>2011</v>
      </c>
      <c r="L243" s="2" t="s">
        <v>456</v>
      </c>
      <c r="M243" s="2" t="s">
        <v>829</v>
      </c>
      <c r="N243" s="2" t="s">
        <v>830</v>
      </c>
      <c r="O243" s="2" t="s">
        <v>654</v>
      </c>
      <c r="P243" s="2" t="s">
        <v>13</v>
      </c>
      <c r="Q243" s="2" t="s">
        <v>652</v>
      </c>
    </row>
    <row r="244" spans="2:17">
      <c r="B244" s="2" t="s">
        <v>831</v>
      </c>
      <c r="C244" s="2" t="s">
        <v>652</v>
      </c>
      <c r="D244" s="2" t="s">
        <v>651</v>
      </c>
      <c r="E244" s="2">
        <v>0.97550000000000003</v>
      </c>
      <c r="F244" s="2">
        <v>200</v>
      </c>
      <c r="G244" s="2">
        <v>2</v>
      </c>
      <c r="H244" s="5">
        <v>1.5</v>
      </c>
      <c r="I244" s="2">
        <v>54</v>
      </c>
      <c r="J244" s="2">
        <v>2019</v>
      </c>
      <c r="L244" s="2" t="s">
        <v>456</v>
      </c>
      <c r="M244" s="2" t="s">
        <v>831</v>
      </c>
      <c r="N244" s="2" t="s">
        <v>832</v>
      </c>
      <c r="O244" s="2" t="s">
        <v>654</v>
      </c>
      <c r="P244" s="2" t="s">
        <v>13</v>
      </c>
      <c r="Q244" s="2" t="s">
        <v>652</v>
      </c>
    </row>
    <row r="245" spans="2:17">
      <c r="B245" s="2" t="s">
        <v>831</v>
      </c>
      <c r="C245" s="2" t="s">
        <v>652</v>
      </c>
      <c r="D245" s="2" t="s">
        <v>651</v>
      </c>
      <c r="E245" s="2">
        <v>0.97550000000000003</v>
      </c>
      <c r="F245" s="2">
        <v>200</v>
      </c>
      <c r="G245" s="2">
        <v>2</v>
      </c>
      <c r="H245" s="5">
        <v>5</v>
      </c>
      <c r="I245" s="2">
        <v>54</v>
      </c>
      <c r="J245" s="2">
        <v>2011</v>
      </c>
      <c r="L245" s="2" t="s">
        <v>456</v>
      </c>
      <c r="M245" s="2" t="s">
        <v>831</v>
      </c>
      <c r="N245" s="2" t="s">
        <v>832</v>
      </c>
      <c r="O245" s="2" t="s">
        <v>654</v>
      </c>
      <c r="P245" s="2" t="s">
        <v>13</v>
      </c>
      <c r="Q245" s="2" t="s">
        <v>652</v>
      </c>
    </row>
    <row r="246" spans="2:17">
      <c r="B246" s="2" t="s">
        <v>831</v>
      </c>
      <c r="C246" s="2" t="s">
        <v>652</v>
      </c>
      <c r="D246" s="2" t="s">
        <v>651</v>
      </c>
      <c r="E246" s="2">
        <v>0.97550000000000003</v>
      </c>
      <c r="F246" s="2">
        <v>200</v>
      </c>
      <c r="G246" s="2">
        <v>2</v>
      </c>
      <c r="H246" s="5">
        <v>5</v>
      </c>
      <c r="I246" s="2">
        <v>54</v>
      </c>
      <c r="J246" s="2">
        <v>2017</v>
      </c>
      <c r="L246" s="2" t="s">
        <v>456</v>
      </c>
      <c r="M246" s="2" t="s">
        <v>831</v>
      </c>
      <c r="N246" s="2" t="s">
        <v>832</v>
      </c>
      <c r="O246" s="2" t="s">
        <v>654</v>
      </c>
      <c r="P246" s="2" t="s">
        <v>13</v>
      </c>
      <c r="Q246" s="2" t="s">
        <v>652</v>
      </c>
    </row>
    <row r="247" spans="2:17">
      <c r="B247" s="2" t="s">
        <v>831</v>
      </c>
      <c r="C247" s="2" t="s">
        <v>652</v>
      </c>
      <c r="D247" s="2" t="s">
        <v>651</v>
      </c>
      <c r="E247" s="2">
        <v>0.97550000000000003</v>
      </c>
      <c r="F247" s="2">
        <v>200</v>
      </c>
      <c r="G247" s="2">
        <v>2</v>
      </c>
      <c r="H247" s="5">
        <v>7.5</v>
      </c>
      <c r="I247" s="2">
        <v>54</v>
      </c>
      <c r="J247" s="2">
        <v>2022</v>
      </c>
      <c r="L247" s="2" t="s">
        <v>456</v>
      </c>
      <c r="M247" s="2" t="s">
        <v>831</v>
      </c>
      <c r="N247" s="2" t="s">
        <v>832</v>
      </c>
      <c r="O247" s="2" t="s">
        <v>654</v>
      </c>
      <c r="P247" s="2" t="s">
        <v>13</v>
      </c>
      <c r="Q247" s="2" t="s">
        <v>652</v>
      </c>
    </row>
    <row r="248" spans="2:17">
      <c r="B248" s="2" t="s">
        <v>833</v>
      </c>
      <c r="C248" s="2" t="s">
        <v>652</v>
      </c>
      <c r="D248" s="2" t="s">
        <v>651</v>
      </c>
      <c r="E248" s="2">
        <v>0.97550000000000003</v>
      </c>
      <c r="F248" s="2">
        <v>200</v>
      </c>
      <c r="G248" s="2">
        <v>2</v>
      </c>
      <c r="H248" s="5">
        <v>4.4117647058823497</v>
      </c>
      <c r="I248" s="2">
        <v>54</v>
      </c>
      <c r="J248" s="2">
        <v>2006</v>
      </c>
      <c r="L248" s="2" t="s">
        <v>456</v>
      </c>
      <c r="M248" s="2" t="s">
        <v>833</v>
      </c>
      <c r="N248" s="2" t="s">
        <v>834</v>
      </c>
      <c r="O248" s="2" t="s">
        <v>654</v>
      </c>
      <c r="P248" s="2" t="s">
        <v>13</v>
      </c>
      <c r="Q248" s="2" t="s">
        <v>652</v>
      </c>
    </row>
    <row r="249" spans="2:17">
      <c r="B249" s="2" t="s">
        <v>833</v>
      </c>
      <c r="C249" s="2" t="s">
        <v>652</v>
      </c>
      <c r="D249" s="2" t="s">
        <v>651</v>
      </c>
      <c r="E249" s="2">
        <v>0.97550000000000003</v>
      </c>
      <c r="F249" s="2">
        <v>200</v>
      </c>
      <c r="G249" s="2">
        <v>2</v>
      </c>
      <c r="H249" s="5">
        <v>4.5588235294117601</v>
      </c>
      <c r="I249" s="2">
        <v>54</v>
      </c>
      <c r="J249" s="2">
        <v>1994</v>
      </c>
      <c r="L249" s="2" t="s">
        <v>456</v>
      </c>
      <c r="M249" s="2" t="s">
        <v>833</v>
      </c>
      <c r="N249" s="2" t="s">
        <v>834</v>
      </c>
      <c r="O249" s="2" t="s">
        <v>654</v>
      </c>
      <c r="P249" s="2" t="s">
        <v>13</v>
      </c>
      <c r="Q249" s="2" t="s">
        <v>652</v>
      </c>
    </row>
    <row r="250" spans="2:17">
      <c r="B250" s="2" t="s">
        <v>835</v>
      </c>
      <c r="C250" s="2" t="s">
        <v>652</v>
      </c>
      <c r="D250" s="2" t="s">
        <v>651</v>
      </c>
      <c r="E250" s="2">
        <v>0.97550000000000003</v>
      </c>
      <c r="F250" s="2">
        <v>200</v>
      </c>
      <c r="G250" s="2">
        <v>2</v>
      </c>
      <c r="H250" s="5">
        <v>3</v>
      </c>
      <c r="I250" s="2">
        <v>54</v>
      </c>
      <c r="J250" s="2">
        <v>2009</v>
      </c>
      <c r="L250" s="2" t="s">
        <v>456</v>
      </c>
      <c r="M250" s="2" t="s">
        <v>835</v>
      </c>
      <c r="N250" s="2" t="s">
        <v>836</v>
      </c>
      <c r="O250" s="2" t="s">
        <v>654</v>
      </c>
      <c r="P250" s="2" t="s">
        <v>13</v>
      </c>
      <c r="Q250" s="2" t="s">
        <v>652</v>
      </c>
    </row>
    <row r="251" spans="2:17">
      <c r="B251" s="2" t="s">
        <v>835</v>
      </c>
      <c r="C251" s="2" t="s">
        <v>652</v>
      </c>
      <c r="D251" s="2" t="s">
        <v>651</v>
      </c>
      <c r="E251" s="2">
        <v>0.97550000000000003</v>
      </c>
      <c r="F251" s="2">
        <v>200</v>
      </c>
      <c r="G251" s="2">
        <v>2</v>
      </c>
      <c r="H251" s="5">
        <v>3</v>
      </c>
      <c r="I251" s="2">
        <v>54</v>
      </c>
      <c r="J251" s="2">
        <v>2019</v>
      </c>
      <c r="L251" s="2" t="s">
        <v>456</v>
      </c>
      <c r="M251" s="2" t="s">
        <v>835</v>
      </c>
      <c r="N251" s="2" t="s">
        <v>836</v>
      </c>
      <c r="O251" s="2" t="s">
        <v>654</v>
      </c>
      <c r="P251" s="2" t="s">
        <v>13</v>
      </c>
      <c r="Q251" s="2" t="s">
        <v>652</v>
      </c>
    </row>
    <row r="252" spans="2:17">
      <c r="B252" s="2" t="s">
        <v>835</v>
      </c>
      <c r="C252" s="2" t="s">
        <v>652</v>
      </c>
      <c r="D252" s="2" t="s">
        <v>651</v>
      </c>
      <c r="E252" s="2">
        <v>0.97550000000000003</v>
      </c>
      <c r="F252" s="2">
        <v>200</v>
      </c>
      <c r="G252" s="2">
        <v>2</v>
      </c>
      <c r="H252" s="5">
        <v>3</v>
      </c>
      <c r="I252" s="2">
        <v>54</v>
      </c>
      <c r="J252" s="2">
        <v>2023</v>
      </c>
      <c r="L252" s="2" t="s">
        <v>456</v>
      </c>
      <c r="M252" s="2" t="s">
        <v>835</v>
      </c>
      <c r="N252" s="2" t="s">
        <v>836</v>
      </c>
      <c r="O252" s="2" t="s">
        <v>654</v>
      </c>
      <c r="P252" s="2" t="s">
        <v>13</v>
      </c>
      <c r="Q252" s="2" t="s">
        <v>652</v>
      </c>
    </row>
    <row r="253" spans="2:17">
      <c r="B253" s="2" t="s">
        <v>835</v>
      </c>
      <c r="C253" s="2" t="s">
        <v>652</v>
      </c>
      <c r="D253" s="2" t="s">
        <v>651</v>
      </c>
      <c r="E253" s="2">
        <v>0.97550000000000003</v>
      </c>
      <c r="F253" s="2">
        <v>200</v>
      </c>
      <c r="G253" s="2">
        <v>2</v>
      </c>
      <c r="H253" s="5">
        <v>4</v>
      </c>
      <c r="I253" s="2">
        <v>54</v>
      </c>
      <c r="J253" s="2">
        <v>2026</v>
      </c>
      <c r="L253" s="2" t="s">
        <v>456</v>
      </c>
      <c r="M253" s="2" t="s">
        <v>835</v>
      </c>
      <c r="N253" s="2" t="s">
        <v>836</v>
      </c>
      <c r="O253" s="2" t="s">
        <v>654</v>
      </c>
      <c r="P253" s="2" t="s">
        <v>13</v>
      </c>
      <c r="Q253" s="2" t="s">
        <v>652</v>
      </c>
    </row>
    <row r="254" spans="2:17">
      <c r="B254" s="2" t="s">
        <v>835</v>
      </c>
      <c r="C254" s="2" t="s">
        <v>652</v>
      </c>
      <c r="D254" s="2" t="s">
        <v>651</v>
      </c>
      <c r="E254" s="2">
        <v>0.97550000000000003</v>
      </c>
      <c r="F254" s="2">
        <v>200</v>
      </c>
      <c r="G254" s="2">
        <v>2</v>
      </c>
      <c r="H254" s="5">
        <v>10.5</v>
      </c>
      <c r="I254" s="2">
        <v>54</v>
      </c>
      <c r="J254" s="2">
        <v>1990</v>
      </c>
      <c r="L254" s="2" t="s">
        <v>456</v>
      </c>
      <c r="M254" s="2" t="s">
        <v>835</v>
      </c>
      <c r="N254" s="2" t="s">
        <v>836</v>
      </c>
      <c r="O254" s="2" t="s">
        <v>654</v>
      </c>
      <c r="P254" s="2" t="s">
        <v>13</v>
      </c>
      <c r="Q254" s="2" t="s">
        <v>652</v>
      </c>
    </row>
    <row r="255" spans="2:17">
      <c r="B255" s="2" t="s">
        <v>837</v>
      </c>
      <c r="C255" s="2" t="s">
        <v>652</v>
      </c>
      <c r="D255" s="2" t="s">
        <v>651</v>
      </c>
      <c r="E255" s="2">
        <v>0.97550000000000003</v>
      </c>
      <c r="F255" s="2">
        <v>200</v>
      </c>
      <c r="G255" s="2">
        <v>2</v>
      </c>
      <c r="H255" s="5">
        <v>5.0735294117647101</v>
      </c>
      <c r="I255" s="2">
        <v>54</v>
      </c>
      <c r="J255" s="2">
        <v>1971</v>
      </c>
      <c r="L255" s="2" t="s">
        <v>456</v>
      </c>
      <c r="M255" s="2" t="s">
        <v>837</v>
      </c>
      <c r="N255" s="2" t="s">
        <v>838</v>
      </c>
      <c r="O255" s="2" t="s">
        <v>654</v>
      </c>
      <c r="P255" s="2" t="s">
        <v>13</v>
      </c>
      <c r="Q255" s="2" t="s">
        <v>652</v>
      </c>
    </row>
    <row r="256" spans="2:17">
      <c r="B256" s="2" t="s">
        <v>837</v>
      </c>
      <c r="C256" s="2" t="s">
        <v>652</v>
      </c>
      <c r="D256" s="2" t="s">
        <v>651</v>
      </c>
      <c r="E256" s="2">
        <v>0.97550000000000003</v>
      </c>
      <c r="F256" s="2">
        <v>200</v>
      </c>
      <c r="G256" s="2">
        <v>2</v>
      </c>
      <c r="H256" s="5">
        <v>7.8676470588235299</v>
      </c>
      <c r="I256" s="2">
        <v>54</v>
      </c>
      <c r="J256" s="2">
        <v>2003</v>
      </c>
      <c r="L256" s="2" t="s">
        <v>456</v>
      </c>
      <c r="M256" s="2" t="s">
        <v>837</v>
      </c>
      <c r="N256" s="2" t="s">
        <v>838</v>
      </c>
      <c r="O256" s="2" t="s">
        <v>654</v>
      </c>
      <c r="P256" s="2" t="s">
        <v>13</v>
      </c>
      <c r="Q256" s="2" t="s">
        <v>652</v>
      </c>
    </row>
    <row r="257" spans="2:17">
      <c r="B257" s="2" t="s">
        <v>837</v>
      </c>
      <c r="C257" s="2" t="s">
        <v>652</v>
      </c>
      <c r="D257" s="2" t="s">
        <v>651</v>
      </c>
      <c r="E257" s="2">
        <v>0.97550000000000003</v>
      </c>
      <c r="F257" s="2">
        <v>200</v>
      </c>
      <c r="G257" s="2">
        <v>2</v>
      </c>
      <c r="H257" s="5">
        <v>8.8235294117646994</v>
      </c>
      <c r="I257" s="2">
        <v>54</v>
      </c>
      <c r="J257" s="2">
        <v>2011</v>
      </c>
      <c r="L257" s="2" t="s">
        <v>456</v>
      </c>
      <c r="M257" s="2" t="s">
        <v>837</v>
      </c>
      <c r="N257" s="2" t="s">
        <v>838</v>
      </c>
      <c r="O257" s="2" t="s">
        <v>654</v>
      </c>
      <c r="P257" s="2" t="s">
        <v>13</v>
      </c>
      <c r="Q257" s="2" t="s">
        <v>652</v>
      </c>
    </row>
    <row r="258" spans="2:17">
      <c r="B258" s="2" t="s">
        <v>837</v>
      </c>
      <c r="C258" s="2" t="s">
        <v>652</v>
      </c>
      <c r="D258" s="2" t="s">
        <v>651</v>
      </c>
      <c r="E258" s="2">
        <v>0.97550000000000003</v>
      </c>
      <c r="F258" s="2">
        <v>200</v>
      </c>
      <c r="G258" s="2">
        <v>2</v>
      </c>
      <c r="H258" s="5">
        <v>11.397058823529401</v>
      </c>
      <c r="I258" s="2">
        <v>54</v>
      </c>
      <c r="J258" s="2">
        <v>2009</v>
      </c>
      <c r="L258" s="2" t="s">
        <v>456</v>
      </c>
      <c r="M258" s="2" t="s">
        <v>837</v>
      </c>
      <c r="N258" s="2" t="s">
        <v>838</v>
      </c>
      <c r="O258" s="2" t="s">
        <v>654</v>
      </c>
      <c r="P258" s="2" t="s">
        <v>13</v>
      </c>
      <c r="Q258" s="2" t="s">
        <v>652</v>
      </c>
    </row>
    <row r="259" spans="2:17">
      <c r="B259" s="2" t="s">
        <v>837</v>
      </c>
      <c r="C259" s="2" t="s">
        <v>652</v>
      </c>
      <c r="D259" s="2" t="s">
        <v>651</v>
      </c>
      <c r="E259" s="2">
        <v>0.97550000000000003</v>
      </c>
      <c r="F259" s="2">
        <v>200</v>
      </c>
      <c r="G259" s="2">
        <v>2</v>
      </c>
      <c r="H259" s="5">
        <v>11.985294117647101</v>
      </c>
      <c r="I259" s="2">
        <v>54</v>
      </c>
      <c r="J259" s="2">
        <v>1978</v>
      </c>
      <c r="L259" s="2" t="s">
        <v>456</v>
      </c>
      <c r="M259" s="2" t="s">
        <v>837</v>
      </c>
      <c r="N259" s="2" t="s">
        <v>838</v>
      </c>
      <c r="O259" s="2" t="s">
        <v>654</v>
      </c>
      <c r="P259" s="2" t="s">
        <v>13</v>
      </c>
      <c r="Q259" s="2" t="s">
        <v>652</v>
      </c>
    </row>
    <row r="260" spans="2:17">
      <c r="B260" s="2" t="s">
        <v>837</v>
      </c>
      <c r="C260" s="2" t="s">
        <v>652</v>
      </c>
      <c r="D260" s="2" t="s">
        <v>651</v>
      </c>
      <c r="E260" s="2">
        <v>0.97550000000000003</v>
      </c>
      <c r="F260" s="2">
        <v>200</v>
      </c>
      <c r="G260" s="2">
        <v>2</v>
      </c>
      <c r="H260" s="5">
        <v>14.4073165826471</v>
      </c>
      <c r="I260" s="2">
        <v>54</v>
      </c>
      <c r="J260" s="2">
        <v>2010</v>
      </c>
      <c r="L260" s="2" t="s">
        <v>456</v>
      </c>
      <c r="M260" s="2" t="s">
        <v>837</v>
      </c>
      <c r="N260" s="2" t="s">
        <v>838</v>
      </c>
      <c r="O260" s="2" t="s">
        <v>654</v>
      </c>
      <c r="P260" s="2" t="s">
        <v>13</v>
      </c>
      <c r="Q260" s="2" t="s">
        <v>652</v>
      </c>
    </row>
    <row r="261" spans="2:17">
      <c r="B261" s="2" t="s">
        <v>837</v>
      </c>
      <c r="C261" s="2" t="s">
        <v>652</v>
      </c>
      <c r="D261" s="2" t="s">
        <v>651</v>
      </c>
      <c r="E261" s="2">
        <v>0.97550000000000003</v>
      </c>
      <c r="F261" s="2">
        <v>200</v>
      </c>
      <c r="G261" s="2">
        <v>2</v>
      </c>
      <c r="H261" s="5">
        <v>17.867647058823501</v>
      </c>
      <c r="I261" s="2">
        <v>54</v>
      </c>
      <c r="J261" s="2">
        <v>1981</v>
      </c>
      <c r="L261" s="2" t="s">
        <v>456</v>
      </c>
      <c r="M261" s="2" t="s">
        <v>837</v>
      </c>
      <c r="N261" s="2" t="s">
        <v>838</v>
      </c>
      <c r="O261" s="2" t="s">
        <v>654</v>
      </c>
      <c r="P261" s="2" t="s">
        <v>13</v>
      </c>
      <c r="Q261" s="2" t="s">
        <v>652</v>
      </c>
    </row>
    <row r="262" spans="2:17">
      <c r="B262" s="2" t="s">
        <v>837</v>
      </c>
      <c r="C262" s="2" t="s">
        <v>652</v>
      </c>
      <c r="D262" s="2" t="s">
        <v>651</v>
      </c>
      <c r="E262" s="2">
        <v>0.97550000000000003</v>
      </c>
      <c r="F262" s="2">
        <v>200</v>
      </c>
      <c r="G262" s="2">
        <v>2</v>
      </c>
      <c r="H262" s="5">
        <v>49.36</v>
      </c>
      <c r="I262" s="2">
        <v>54</v>
      </c>
      <c r="J262" s="2">
        <v>2008</v>
      </c>
      <c r="L262" s="2" t="s">
        <v>456</v>
      </c>
      <c r="M262" s="2" t="s">
        <v>837</v>
      </c>
      <c r="N262" s="2" t="s">
        <v>838</v>
      </c>
      <c r="O262" s="2" t="s">
        <v>654</v>
      </c>
      <c r="P262" s="2" t="s">
        <v>13</v>
      </c>
      <c r="Q262" s="2" t="s">
        <v>652</v>
      </c>
    </row>
    <row r="263" spans="2:17">
      <c r="B263" s="2" t="s">
        <v>839</v>
      </c>
      <c r="C263" s="2" t="s">
        <v>652</v>
      </c>
      <c r="D263" s="2" t="s">
        <v>651</v>
      </c>
      <c r="E263" s="2">
        <v>0.97550000000000003</v>
      </c>
      <c r="F263" s="2">
        <v>200</v>
      </c>
      <c r="G263" s="2">
        <v>2</v>
      </c>
      <c r="H263" s="5">
        <v>5</v>
      </c>
      <c r="I263" s="2">
        <v>54</v>
      </c>
      <c r="J263" s="2">
        <v>2022</v>
      </c>
      <c r="L263" s="2" t="s">
        <v>456</v>
      </c>
      <c r="M263" s="2" t="s">
        <v>839</v>
      </c>
      <c r="N263" s="2" t="s">
        <v>840</v>
      </c>
      <c r="O263" s="2" t="s">
        <v>654</v>
      </c>
      <c r="P263" s="2" t="s">
        <v>13</v>
      </c>
      <c r="Q263" s="2" t="s">
        <v>652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BE4BD-0C96-4851-8F6E-177F3323B25A}">
  <dimension ref="A1:A70"/>
  <sheetViews>
    <sheetView topLeftCell="A31" workbookViewId="0">
      <selection activeCell="D15" sqref="D15"/>
    </sheetView>
  </sheetViews>
  <sheetFormatPr defaultRowHeight="14.25"/>
  <cols>
    <col min="1" max="1" width="100.59765625" customWidth="1"/>
  </cols>
  <sheetData>
    <row r="1" spans="1:1" ht="18">
      <c r="A1" s="6" t="s">
        <v>841</v>
      </c>
    </row>
    <row r="2" spans="1:1">
      <c r="A2" t="s">
        <v>842</v>
      </c>
    </row>
    <row r="3" spans="1:1">
      <c r="A3" t="s">
        <v>843</v>
      </c>
    </row>
    <row r="5" spans="1:1">
      <c r="A5" t="s">
        <v>844</v>
      </c>
    </row>
    <row r="6" spans="1:1">
      <c r="A6" t="s">
        <v>845</v>
      </c>
    </row>
    <row r="7" spans="1:1">
      <c r="A7" t="s">
        <v>846</v>
      </c>
    </row>
    <row r="8" spans="1:1">
      <c r="A8" t="s">
        <v>847</v>
      </c>
    </row>
    <row r="9" spans="1:1">
      <c r="A9" t="s">
        <v>848</v>
      </c>
    </row>
    <row r="10" spans="1:1">
      <c r="A10" t="s">
        <v>849</v>
      </c>
    </row>
    <row r="11" spans="1:1">
      <c r="A11" t="s">
        <v>850</v>
      </c>
    </row>
    <row r="13" spans="1:1">
      <c r="A13" t="s">
        <v>851</v>
      </c>
    </row>
    <row r="14" spans="1:1">
      <c r="A14" t="s">
        <v>852</v>
      </c>
    </row>
    <row r="15" spans="1:1">
      <c r="A15" t="s">
        <v>853</v>
      </c>
    </row>
    <row r="16" spans="1:1">
      <c r="A16" t="s">
        <v>854</v>
      </c>
    </row>
    <row r="17" spans="1:1">
      <c r="A17" t="s">
        <v>855</v>
      </c>
    </row>
    <row r="19" spans="1:1">
      <c r="A19" t="s">
        <v>856</v>
      </c>
    </row>
    <row r="20" spans="1:1">
      <c r="A20" t="s">
        <v>857</v>
      </c>
    </row>
    <row r="21" spans="1:1">
      <c r="A21" t="s">
        <v>858</v>
      </c>
    </row>
    <row r="22" spans="1:1">
      <c r="A22" t="s">
        <v>859</v>
      </c>
    </row>
    <row r="23" spans="1:1">
      <c r="A23" t="s">
        <v>860</v>
      </c>
    </row>
    <row r="24" spans="1:1">
      <c r="A24" t="s">
        <v>861</v>
      </c>
    </row>
    <row r="25" spans="1:1">
      <c r="A25" t="s">
        <v>862</v>
      </c>
    </row>
    <row r="27" spans="1:1">
      <c r="A27" t="s">
        <v>863</v>
      </c>
    </row>
    <row r="28" spans="1:1">
      <c r="A28" t="s">
        <v>864</v>
      </c>
    </row>
    <row r="29" spans="1:1">
      <c r="A29" t="s">
        <v>865</v>
      </c>
    </row>
    <row r="30" spans="1:1">
      <c r="A30" t="s">
        <v>866</v>
      </c>
    </row>
    <row r="31" spans="1:1">
      <c r="A31" t="s">
        <v>867</v>
      </c>
    </row>
    <row r="32" spans="1:1">
      <c r="A32" t="s">
        <v>868</v>
      </c>
    </row>
    <row r="34" spans="1:1">
      <c r="A34" t="s">
        <v>869</v>
      </c>
    </row>
    <row r="35" spans="1:1">
      <c r="A35" t="s">
        <v>870</v>
      </c>
    </row>
    <row r="36" spans="1:1">
      <c r="A36" t="s">
        <v>871</v>
      </c>
    </row>
    <row r="37" spans="1:1">
      <c r="A37" t="s">
        <v>872</v>
      </c>
    </row>
    <row r="38" spans="1:1">
      <c r="A38" t="s">
        <v>873</v>
      </c>
    </row>
    <row r="39" spans="1:1">
      <c r="A39" t="s">
        <v>874</v>
      </c>
    </row>
    <row r="40" spans="1:1">
      <c r="A40" t="s">
        <v>875</v>
      </c>
    </row>
    <row r="41" spans="1:1">
      <c r="A41" t="s">
        <v>876</v>
      </c>
    </row>
    <row r="42" spans="1:1">
      <c r="A42" t="s">
        <v>877</v>
      </c>
    </row>
    <row r="44" spans="1:1">
      <c r="A44" t="s">
        <v>878</v>
      </c>
    </row>
    <row r="45" spans="1:1">
      <c r="A45" t="s">
        <v>879</v>
      </c>
    </row>
    <row r="46" spans="1:1">
      <c r="A46" t="s">
        <v>880</v>
      </c>
    </row>
    <row r="47" spans="1:1">
      <c r="A47" t="s">
        <v>881</v>
      </c>
    </row>
    <row r="48" spans="1:1">
      <c r="A48" t="s">
        <v>882</v>
      </c>
    </row>
    <row r="49" spans="1:1">
      <c r="A49" t="s">
        <v>883</v>
      </c>
    </row>
    <row r="50" spans="1:1">
      <c r="A50" t="s">
        <v>884</v>
      </c>
    </row>
    <row r="51" spans="1:1">
      <c r="A51" t="s">
        <v>885</v>
      </c>
    </row>
    <row r="53" spans="1:1">
      <c r="A53" t="s">
        <v>886</v>
      </c>
    </row>
    <row r="54" spans="1:1">
      <c r="A54" t="s">
        <v>887</v>
      </c>
    </row>
    <row r="55" spans="1:1">
      <c r="A55" t="s">
        <v>888</v>
      </c>
    </row>
    <row r="56" spans="1:1">
      <c r="A56" t="s">
        <v>889</v>
      </c>
    </row>
    <row r="57" spans="1:1">
      <c r="A57" t="s">
        <v>890</v>
      </c>
    </row>
    <row r="59" spans="1:1">
      <c r="A59" t="s">
        <v>891</v>
      </c>
    </row>
    <row r="60" spans="1:1">
      <c r="A60" t="s">
        <v>892</v>
      </c>
    </row>
    <row r="61" spans="1:1">
      <c r="A61" t="s">
        <v>893</v>
      </c>
    </row>
    <row r="62" spans="1:1">
      <c r="A62" t="s">
        <v>894</v>
      </c>
    </row>
    <row r="63" spans="1:1">
      <c r="A63" t="s">
        <v>895</v>
      </c>
    </row>
    <row r="65" spans="1:1">
      <c r="A65" t="s">
        <v>896</v>
      </c>
    </row>
    <row r="66" spans="1:1">
      <c r="A66" t="s">
        <v>897</v>
      </c>
    </row>
    <row r="67" spans="1:1">
      <c r="A67" t="s">
        <v>898</v>
      </c>
    </row>
    <row r="68" spans="1:1">
      <c r="A68" t="s">
        <v>899</v>
      </c>
    </row>
    <row r="69" spans="1:1">
      <c r="A69" t="s">
        <v>900</v>
      </c>
    </row>
    <row r="70" spans="1:1">
      <c r="A70" t="s">
        <v>901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47E9-07D2-4822-B61D-1F5B1C55AB9D}">
  <dimension ref="A2:BC490"/>
  <sheetViews>
    <sheetView workbookViewId="0">
      <selection activeCell="D15" sqref="D15"/>
    </sheetView>
  </sheetViews>
  <sheetFormatPr defaultRowHeight="14.25"/>
  <cols>
    <col min="1" max="1" width="31.19921875" bestFit="1" customWidth="1"/>
    <col min="2" max="2" width="12.6640625" bestFit="1" customWidth="1"/>
    <col min="3" max="3" width="19.59765625" bestFit="1" customWidth="1"/>
    <col min="4" max="6" width="12.33203125" bestFit="1" customWidth="1"/>
    <col min="7" max="7" width="9.06640625" bestFit="1" customWidth="1"/>
    <col min="8" max="8" width="17.46484375" bestFit="1" customWidth="1"/>
    <col min="9" max="9" width="18.1328125" bestFit="1" customWidth="1"/>
    <col min="10" max="17" width="8.73046875" bestFit="1" customWidth="1"/>
    <col min="18" max="20" width="7.73046875" bestFit="1" customWidth="1"/>
    <col min="22" max="22" width="10.1328125" bestFit="1" customWidth="1"/>
    <col min="23" max="24" width="28.59765625" customWidth="1"/>
    <col min="25" max="25" width="4.73046875" bestFit="1" customWidth="1"/>
    <col min="26" max="26" width="4.19921875" bestFit="1" customWidth="1"/>
    <col min="27" max="27" width="4.19921875" customWidth="1"/>
    <col min="28" max="28" width="19.9296875" bestFit="1" customWidth="1"/>
    <col min="29" max="29" width="4.6640625" bestFit="1" customWidth="1"/>
    <col min="30" max="30" width="8.796875" bestFit="1" customWidth="1"/>
    <col min="31" max="31" width="13.3984375" bestFit="1" customWidth="1"/>
    <col min="32" max="32" width="14.86328125" bestFit="1" customWidth="1"/>
    <col min="33" max="33" width="8.3984375" bestFit="1" customWidth="1"/>
    <col min="34" max="34" width="10.73046875" bestFit="1" customWidth="1"/>
    <col min="35" max="35" width="9.6640625" bestFit="1" customWidth="1"/>
    <col min="36" max="36" width="11.3984375" bestFit="1" customWidth="1"/>
    <col min="37" max="37" width="6.33203125" bestFit="1" customWidth="1"/>
    <col min="38" max="40" width="14.1328125" bestFit="1" customWidth="1"/>
    <col min="41" max="41" width="22.33203125" bestFit="1" customWidth="1"/>
    <col min="42" max="42" width="24.265625" bestFit="1" customWidth="1"/>
    <col min="43" max="43" width="16.6640625" bestFit="1" customWidth="1"/>
    <col min="44" max="45" width="15.265625" bestFit="1" customWidth="1"/>
    <col min="46" max="46" width="21.33203125" bestFit="1" customWidth="1"/>
    <col min="47" max="48" width="19.86328125" bestFit="1" customWidth="1"/>
    <col min="49" max="49" width="15.73046875" bestFit="1" customWidth="1"/>
    <col min="50" max="50" width="20.59765625" bestFit="1" customWidth="1"/>
    <col min="51" max="51" width="21.46484375" bestFit="1" customWidth="1"/>
    <col min="52" max="52" width="28.59765625" customWidth="1"/>
    <col min="53" max="53" width="22.59765625" bestFit="1" customWidth="1"/>
    <col min="54" max="54" width="26.86328125" bestFit="1" customWidth="1"/>
    <col min="55" max="55" width="12.265625" bestFit="1" customWidth="1"/>
  </cols>
  <sheetData>
    <row r="2" spans="1:55" ht="17.25" thickBot="1">
      <c r="C2" s="7" t="s">
        <v>902</v>
      </c>
      <c r="V2" t="s">
        <v>453</v>
      </c>
    </row>
    <row r="3" spans="1:55" ht="14.65" thickTop="1">
      <c r="A3" s="8" t="s">
        <v>77</v>
      </c>
      <c r="B3" s="8" t="s">
        <v>639</v>
      </c>
      <c r="C3" s="8" t="s">
        <v>903</v>
      </c>
      <c r="D3" s="8" t="s">
        <v>904</v>
      </c>
      <c r="E3" s="8" t="s">
        <v>905</v>
      </c>
      <c r="F3" s="8" t="s">
        <v>906</v>
      </c>
      <c r="G3" s="8" t="s">
        <v>907</v>
      </c>
      <c r="H3" s="8" t="s">
        <v>908</v>
      </c>
      <c r="I3" s="8" t="s">
        <v>909</v>
      </c>
      <c r="J3" s="8">
        <v>2025</v>
      </c>
      <c r="K3" s="8">
        <v>2030</v>
      </c>
      <c r="L3" s="8">
        <v>2035</v>
      </c>
      <c r="M3" s="8">
        <v>2040</v>
      </c>
      <c r="N3" s="8">
        <v>2045</v>
      </c>
      <c r="O3" s="8">
        <v>2050</v>
      </c>
      <c r="P3" s="8">
        <v>2060</v>
      </c>
      <c r="Q3" s="8">
        <v>2070</v>
      </c>
      <c r="R3" s="8">
        <v>2080</v>
      </c>
      <c r="S3" s="8">
        <v>2090</v>
      </c>
      <c r="T3" s="8">
        <v>2100</v>
      </c>
      <c r="V3" s="8" t="s">
        <v>454</v>
      </c>
      <c r="W3" s="8" t="s">
        <v>77</v>
      </c>
      <c r="X3" s="8" t="s">
        <v>455</v>
      </c>
      <c r="Y3" s="8" t="s">
        <v>647</v>
      </c>
      <c r="Z3" s="8" t="s">
        <v>648</v>
      </c>
      <c r="AA3" s="8"/>
      <c r="AB3" s="8" t="s">
        <v>910</v>
      </c>
      <c r="AC3" s="8" t="s">
        <v>911</v>
      </c>
      <c r="AD3" s="8" t="s">
        <v>912</v>
      </c>
      <c r="AE3" s="8" t="s">
        <v>913</v>
      </c>
      <c r="AF3" s="8" t="s">
        <v>914</v>
      </c>
      <c r="AG3" s="8" t="s">
        <v>915</v>
      </c>
      <c r="AH3" s="8" t="s">
        <v>916</v>
      </c>
      <c r="AI3" s="8" t="s">
        <v>917</v>
      </c>
      <c r="AJ3" s="8" t="s">
        <v>918</v>
      </c>
      <c r="AK3" s="8" t="s">
        <v>919</v>
      </c>
      <c r="AL3" s="8" t="s">
        <v>920</v>
      </c>
      <c r="AM3" s="8" t="s">
        <v>921</v>
      </c>
      <c r="AN3" s="8" t="s">
        <v>922</v>
      </c>
      <c r="AO3" s="8" t="s">
        <v>923</v>
      </c>
      <c r="AP3" s="8" t="s">
        <v>924</v>
      </c>
      <c r="AQ3" s="8" t="s">
        <v>925</v>
      </c>
      <c r="AR3" s="8" t="s">
        <v>926</v>
      </c>
      <c r="AS3" s="8" t="s">
        <v>927</v>
      </c>
      <c r="AT3" s="8" t="s">
        <v>928</v>
      </c>
      <c r="AU3" s="8" t="s">
        <v>929</v>
      </c>
      <c r="AV3" s="8" t="s">
        <v>930</v>
      </c>
      <c r="AW3" s="8" t="s">
        <v>931</v>
      </c>
      <c r="AX3" s="8" t="s">
        <v>932</v>
      </c>
      <c r="AY3" s="8" t="s">
        <v>933</v>
      </c>
      <c r="AZ3" s="8" t="s">
        <v>934</v>
      </c>
      <c r="BA3" s="8" t="s">
        <v>935</v>
      </c>
      <c r="BB3" s="8" t="s">
        <v>936</v>
      </c>
      <c r="BC3" s="8" t="s">
        <v>937</v>
      </c>
    </row>
    <row r="4" spans="1:55">
      <c r="A4" t="s">
        <v>938</v>
      </c>
      <c r="B4" t="s">
        <v>939</v>
      </c>
      <c r="C4">
        <v>5913000</v>
      </c>
      <c r="D4">
        <v>3215300</v>
      </c>
      <c r="E4">
        <v>5913000</v>
      </c>
      <c r="F4">
        <v>11985200</v>
      </c>
      <c r="G4" s="9">
        <v>1.5406090308328358E-2</v>
      </c>
      <c r="H4" s="9">
        <v>5.0623746010799789E-2</v>
      </c>
      <c r="I4" s="9">
        <v>7.593561901619969E-2</v>
      </c>
      <c r="J4" s="10">
        <v>236520</v>
      </c>
      <c r="K4" s="10">
        <v>234296.09496652635</v>
      </c>
      <c r="L4" s="10">
        <v>232072.18993305266</v>
      </c>
      <c r="M4" s="10">
        <v>229848.28489957904</v>
      </c>
      <c r="N4" s="10">
        <v>227624.37986610536</v>
      </c>
      <c r="O4" s="10">
        <v>225400.47483263168</v>
      </c>
      <c r="P4" s="10">
        <v>220952.66476568434</v>
      </c>
      <c r="Q4" s="10">
        <v>216504.85469873704</v>
      </c>
      <c r="R4" s="10">
        <v>212057.0446317897</v>
      </c>
      <c r="S4" s="10">
        <v>207609.23456484239</v>
      </c>
      <c r="T4" s="10">
        <v>203161.42449789503</v>
      </c>
      <c r="V4" t="s">
        <v>456</v>
      </c>
      <c r="W4" t="s">
        <v>938</v>
      </c>
      <c r="X4" t="s">
        <v>940</v>
      </c>
      <c r="Y4" t="s">
        <v>941</v>
      </c>
      <c r="Z4" t="s">
        <v>942</v>
      </c>
      <c r="AB4" t="s">
        <v>78</v>
      </c>
      <c r="AC4" t="s">
        <v>15</v>
      </c>
      <c r="AD4" t="s">
        <v>943</v>
      </c>
      <c r="AF4" t="s">
        <v>944</v>
      </c>
      <c r="AG4" t="s">
        <v>945</v>
      </c>
      <c r="AH4" t="s">
        <v>946</v>
      </c>
      <c r="AI4" t="s">
        <v>947</v>
      </c>
      <c r="AJ4" t="s">
        <v>948</v>
      </c>
      <c r="AK4">
        <v>2</v>
      </c>
      <c r="AL4" s="10">
        <v>3215.3</v>
      </c>
      <c r="AM4" s="10">
        <v>5913</v>
      </c>
      <c r="AN4" s="10">
        <v>11985.2</v>
      </c>
      <c r="AO4" s="9">
        <v>0.58523866827115922</v>
      </c>
      <c r="AP4" s="9">
        <v>0.43769999999999998</v>
      </c>
      <c r="AQ4" s="9">
        <v>0.68070853862145309</v>
      </c>
      <c r="AR4" s="9">
        <v>14.725381769706908</v>
      </c>
      <c r="AS4" s="9">
        <v>15.406090308328359</v>
      </c>
      <c r="AT4" s="9">
        <v>1.9123716398549144</v>
      </c>
      <c r="AU4" s="9">
        <v>48.711374370944881</v>
      </c>
      <c r="AV4" s="9">
        <v>50.623746010799792</v>
      </c>
      <c r="AW4" s="11">
        <v>236.52</v>
      </c>
      <c r="AX4" s="11">
        <v>203.16142449789504</v>
      </c>
      <c r="AY4" t="s">
        <v>949</v>
      </c>
      <c r="AZ4" t="s">
        <v>950</v>
      </c>
      <c r="BA4" t="s">
        <v>951</v>
      </c>
      <c r="BB4" t="s">
        <v>952</v>
      </c>
      <c r="BC4" t="b">
        <v>1</v>
      </c>
    </row>
    <row r="5" spans="1:55">
      <c r="A5" t="s">
        <v>953</v>
      </c>
      <c r="B5" t="s">
        <v>939</v>
      </c>
      <c r="C5">
        <v>4190500</v>
      </c>
      <c r="D5">
        <v>2278700</v>
      </c>
      <c r="E5">
        <v>4190500</v>
      </c>
      <c r="F5">
        <v>8494000</v>
      </c>
      <c r="G5" s="9">
        <v>2.2849830428575583E-2</v>
      </c>
      <c r="H5" s="9">
        <v>6.0085602493361021E-2</v>
      </c>
      <c r="I5" s="9">
        <v>9.0128403740041524E-2</v>
      </c>
      <c r="J5" s="10">
        <v>167620</v>
      </c>
      <c r="K5" s="10">
        <v>166043.93471287479</v>
      </c>
      <c r="L5" s="10">
        <v>164467.86942574958</v>
      </c>
      <c r="M5" s="10">
        <v>162891.80413862437</v>
      </c>
      <c r="N5" s="10">
        <v>161315.73885149916</v>
      </c>
      <c r="O5" s="10">
        <v>159739.67356437392</v>
      </c>
      <c r="P5" s="10">
        <v>156587.54299012353</v>
      </c>
      <c r="Q5" s="10">
        <v>153435.41241587308</v>
      </c>
      <c r="R5" s="10">
        <v>150283.28184162267</v>
      </c>
      <c r="S5" s="10">
        <v>147131.15126737225</v>
      </c>
      <c r="T5" s="10">
        <v>143979.0206931218</v>
      </c>
      <c r="V5" t="s">
        <v>456</v>
      </c>
      <c r="W5" t="s">
        <v>953</v>
      </c>
      <c r="X5" t="s">
        <v>954</v>
      </c>
      <c r="Y5" t="s">
        <v>941</v>
      </c>
      <c r="Z5" t="s">
        <v>942</v>
      </c>
      <c r="AB5" t="s">
        <v>78</v>
      </c>
      <c r="AC5" t="s">
        <v>15</v>
      </c>
      <c r="AD5" t="s">
        <v>943</v>
      </c>
      <c r="AF5" t="s">
        <v>944</v>
      </c>
      <c r="AG5" t="s">
        <v>955</v>
      </c>
      <c r="AH5" t="s">
        <v>956</v>
      </c>
      <c r="AI5" t="s">
        <v>947</v>
      </c>
      <c r="AJ5" t="s">
        <v>948</v>
      </c>
      <c r="AK5">
        <v>1</v>
      </c>
      <c r="AL5" s="10">
        <v>2278.6999999999998</v>
      </c>
      <c r="AM5" s="10">
        <v>4190.5</v>
      </c>
      <c r="AN5" s="10">
        <v>8494</v>
      </c>
      <c r="AO5" s="9">
        <v>0.41476133172884072</v>
      </c>
      <c r="AP5" s="9">
        <v>0.31019999999999998</v>
      </c>
      <c r="AQ5" s="9">
        <v>8.1244486588686762</v>
      </c>
      <c r="AR5" s="9">
        <v>14.725381769706908</v>
      </c>
      <c r="AS5" s="9">
        <v>22.849830428575583</v>
      </c>
      <c r="AT5" s="9">
        <v>11.374228122416143</v>
      </c>
      <c r="AU5" s="9">
        <v>48.711374370944881</v>
      </c>
      <c r="AV5" s="9">
        <v>60.085602493361023</v>
      </c>
      <c r="AW5" s="11">
        <v>167.62</v>
      </c>
      <c r="AX5" s="11">
        <v>143.97902069312181</v>
      </c>
      <c r="AY5" t="s">
        <v>949</v>
      </c>
      <c r="AZ5" t="s">
        <v>950</v>
      </c>
      <c r="BA5" t="s">
        <v>951</v>
      </c>
      <c r="BB5" t="s">
        <v>952</v>
      </c>
      <c r="BC5" t="b">
        <v>1</v>
      </c>
    </row>
    <row r="6" spans="1:55">
      <c r="A6" t="s">
        <v>957</v>
      </c>
      <c r="B6" t="s">
        <v>939</v>
      </c>
      <c r="C6">
        <v>8147300</v>
      </c>
      <c r="D6">
        <v>4430300</v>
      </c>
      <c r="E6">
        <v>8147300</v>
      </c>
      <c r="F6">
        <v>16514200</v>
      </c>
      <c r="G6" s="9">
        <v>7.9356481392296573E-3</v>
      </c>
      <c r="H6" s="9">
        <v>2.392301285093661E-2</v>
      </c>
      <c r="I6" s="9">
        <v>3.5884519276404916E-2</v>
      </c>
      <c r="J6" s="10">
        <v>325892</v>
      </c>
      <c r="K6" s="10">
        <v>325892</v>
      </c>
      <c r="L6" s="10">
        <v>325892</v>
      </c>
      <c r="M6" s="10">
        <v>325892</v>
      </c>
      <c r="N6" s="10">
        <v>325892</v>
      </c>
      <c r="O6" s="10">
        <v>325892</v>
      </c>
      <c r="P6" s="10">
        <v>325892</v>
      </c>
      <c r="Q6" s="10">
        <v>325892</v>
      </c>
      <c r="R6" s="10">
        <v>325892</v>
      </c>
      <c r="S6" s="10">
        <v>325892</v>
      </c>
      <c r="T6" s="10">
        <v>325892</v>
      </c>
      <c r="V6" t="s">
        <v>456</v>
      </c>
      <c r="W6" t="s">
        <v>957</v>
      </c>
      <c r="X6" t="s">
        <v>958</v>
      </c>
      <c r="Y6" t="s">
        <v>941</v>
      </c>
      <c r="Z6" t="s">
        <v>942</v>
      </c>
      <c r="AB6" t="s">
        <v>79</v>
      </c>
      <c r="AC6" t="s">
        <v>16</v>
      </c>
      <c r="AD6" t="s">
        <v>943</v>
      </c>
      <c r="AF6" t="s">
        <v>944</v>
      </c>
      <c r="AG6" t="s">
        <v>959</v>
      </c>
      <c r="AH6" t="s">
        <v>946</v>
      </c>
      <c r="AI6" t="s">
        <v>960</v>
      </c>
      <c r="AJ6" t="s">
        <v>948</v>
      </c>
      <c r="AK6">
        <v>6</v>
      </c>
      <c r="AL6" s="10">
        <v>4430.3</v>
      </c>
      <c r="AM6" s="10">
        <v>8147.3</v>
      </c>
      <c r="AN6" s="10">
        <v>16514.2</v>
      </c>
      <c r="AO6" s="9">
        <v>1</v>
      </c>
      <c r="AP6" s="9">
        <v>7.4368999999999996</v>
      </c>
      <c r="AQ6" s="9">
        <v>0.18564813922965751</v>
      </c>
      <c r="AR6" s="9">
        <v>7.7500000000000018</v>
      </c>
      <c r="AS6" s="9">
        <v>7.9356481392296576</v>
      </c>
      <c r="AT6" s="9">
        <v>0.32301285093659909</v>
      </c>
      <c r="AU6" s="9">
        <v>23.600000000000005</v>
      </c>
      <c r="AV6" s="9">
        <v>23.923012850936608</v>
      </c>
      <c r="AW6" s="11">
        <v>325.892</v>
      </c>
      <c r="AX6" s="11">
        <v>325.892</v>
      </c>
      <c r="AY6" t="s">
        <v>949</v>
      </c>
      <c r="AZ6" t="s">
        <v>950</v>
      </c>
      <c r="BA6" t="s">
        <v>951</v>
      </c>
      <c r="BB6" t="s">
        <v>952</v>
      </c>
      <c r="BC6" t="b">
        <v>1</v>
      </c>
    </row>
    <row r="7" spans="1:55">
      <c r="A7" t="s">
        <v>961</v>
      </c>
      <c r="B7" t="s">
        <v>939</v>
      </c>
      <c r="C7">
        <v>1721700</v>
      </c>
      <c r="D7">
        <v>936200</v>
      </c>
      <c r="E7">
        <v>1721700</v>
      </c>
      <c r="F7">
        <v>3489700</v>
      </c>
      <c r="G7" s="9">
        <v>1.4704491556039263E-2</v>
      </c>
      <c r="H7" s="9"/>
      <c r="I7" s="9"/>
      <c r="J7" s="10">
        <v>68868</v>
      </c>
      <c r="K7" s="10">
        <v>68868</v>
      </c>
      <c r="L7" s="10">
        <v>68868</v>
      </c>
      <c r="M7" s="10">
        <v>68868</v>
      </c>
      <c r="N7" s="10">
        <v>68868</v>
      </c>
      <c r="O7" s="10">
        <v>68868</v>
      </c>
      <c r="P7" s="10">
        <v>68868</v>
      </c>
      <c r="Q7" s="10">
        <v>68868</v>
      </c>
      <c r="R7" s="10">
        <v>68868</v>
      </c>
      <c r="S7" s="10">
        <v>68868</v>
      </c>
      <c r="T7" s="10">
        <v>68868</v>
      </c>
      <c r="V7" t="s">
        <v>456</v>
      </c>
      <c r="W7" t="s">
        <v>961</v>
      </c>
      <c r="X7" t="s">
        <v>962</v>
      </c>
      <c r="Y7" t="s">
        <v>941</v>
      </c>
      <c r="Z7" t="s">
        <v>942</v>
      </c>
      <c r="AB7" t="s">
        <v>458</v>
      </c>
      <c r="AC7" t="s">
        <v>457</v>
      </c>
      <c r="AD7" t="s">
        <v>943</v>
      </c>
      <c r="AF7" t="s">
        <v>944</v>
      </c>
      <c r="AG7" t="s">
        <v>945</v>
      </c>
      <c r="AH7" t="s">
        <v>946</v>
      </c>
      <c r="AI7" t="s">
        <v>947</v>
      </c>
      <c r="AJ7" t="s">
        <v>948</v>
      </c>
      <c r="AK7">
        <v>1</v>
      </c>
      <c r="AL7" s="10">
        <v>936.2</v>
      </c>
      <c r="AM7" s="10">
        <v>1721.7</v>
      </c>
      <c r="AN7" s="10">
        <v>3489.7</v>
      </c>
      <c r="AO7" s="9">
        <v>0.4511278195488721</v>
      </c>
      <c r="AP7" s="9">
        <v>1.02</v>
      </c>
      <c r="AQ7" s="9">
        <v>0.3804764347856468</v>
      </c>
      <c r="AR7" s="9">
        <v>14.324015121253618</v>
      </c>
      <c r="AS7" s="9">
        <v>14.704491556039264</v>
      </c>
      <c r="AT7" s="9"/>
      <c r="AU7" s="9"/>
      <c r="AV7" s="9"/>
      <c r="AW7" s="11">
        <v>68.867999999999995</v>
      </c>
      <c r="AX7" s="11">
        <v>68.867999999999995</v>
      </c>
      <c r="AY7" t="s">
        <v>949</v>
      </c>
      <c r="AZ7" t="s">
        <v>950</v>
      </c>
      <c r="BA7" t="s">
        <v>951</v>
      </c>
      <c r="BB7" t="s">
        <v>952</v>
      </c>
      <c r="BC7" t="b">
        <v>0</v>
      </c>
    </row>
    <row r="8" spans="1:55">
      <c r="A8" t="s">
        <v>963</v>
      </c>
      <c r="B8" t="s">
        <v>939</v>
      </c>
      <c r="C8">
        <v>100</v>
      </c>
      <c r="D8">
        <v>0</v>
      </c>
      <c r="E8">
        <v>100</v>
      </c>
      <c r="F8">
        <v>200</v>
      </c>
      <c r="G8" s="9">
        <v>1.4478037576420917E-2</v>
      </c>
      <c r="H8" s="9">
        <v>3.3019252606989284E-2</v>
      </c>
      <c r="I8" s="9">
        <v>4.9528878910483923E-2</v>
      </c>
      <c r="J8" s="10">
        <v>4</v>
      </c>
      <c r="K8" s="10">
        <v>4</v>
      </c>
      <c r="L8" s="10">
        <v>4</v>
      </c>
      <c r="M8" s="10">
        <v>4</v>
      </c>
      <c r="N8" s="10">
        <v>4</v>
      </c>
      <c r="O8" s="10">
        <v>4</v>
      </c>
      <c r="P8" s="10">
        <v>4</v>
      </c>
      <c r="Q8" s="10">
        <v>4</v>
      </c>
      <c r="R8" s="10">
        <v>4</v>
      </c>
      <c r="S8" s="10">
        <v>4</v>
      </c>
      <c r="T8" s="10">
        <v>4</v>
      </c>
      <c r="V8" t="s">
        <v>456</v>
      </c>
      <c r="W8" t="s">
        <v>963</v>
      </c>
      <c r="X8" t="s">
        <v>964</v>
      </c>
      <c r="Y8" t="s">
        <v>941</v>
      </c>
      <c r="Z8" t="s">
        <v>942</v>
      </c>
      <c r="AB8" t="s">
        <v>458</v>
      </c>
      <c r="AC8" t="s">
        <v>457</v>
      </c>
      <c r="AD8" t="s">
        <v>943</v>
      </c>
      <c r="AF8" t="s">
        <v>944</v>
      </c>
      <c r="AG8" t="s">
        <v>965</v>
      </c>
      <c r="AH8" t="s">
        <v>956</v>
      </c>
      <c r="AI8" t="s">
        <v>960</v>
      </c>
      <c r="AJ8" t="s">
        <v>948</v>
      </c>
      <c r="AK8">
        <v>1</v>
      </c>
      <c r="AL8" s="10">
        <v>0</v>
      </c>
      <c r="AM8" s="10">
        <v>0.1</v>
      </c>
      <c r="AN8" s="10">
        <v>0.2</v>
      </c>
      <c r="AO8" s="9">
        <v>0.54887218045112784</v>
      </c>
      <c r="AP8" s="9">
        <v>1.2410000000000001</v>
      </c>
      <c r="AQ8" s="9">
        <v>6.7280375764209159</v>
      </c>
      <c r="AR8" s="9">
        <v>7.75</v>
      </c>
      <c r="AS8" s="9">
        <v>14.478037576420917</v>
      </c>
      <c r="AT8" s="9">
        <v>9.4192526069892821</v>
      </c>
      <c r="AU8" s="9">
        <v>23.6</v>
      </c>
      <c r="AV8" s="9">
        <v>33.019252606989284</v>
      </c>
      <c r="AW8" s="11">
        <v>4.0000000000000001E-3</v>
      </c>
      <c r="AX8" s="11">
        <v>4.0000000000000001E-3</v>
      </c>
      <c r="AY8" t="s">
        <v>949</v>
      </c>
      <c r="AZ8" t="s">
        <v>950</v>
      </c>
      <c r="BA8" t="s">
        <v>951</v>
      </c>
      <c r="BB8" t="s">
        <v>952</v>
      </c>
      <c r="BC8" t="b">
        <v>1</v>
      </c>
    </row>
    <row r="9" spans="1:55">
      <c r="A9" t="s">
        <v>966</v>
      </c>
      <c r="B9" t="s">
        <v>939</v>
      </c>
      <c r="C9">
        <v>16260700</v>
      </c>
      <c r="D9">
        <v>12480600</v>
      </c>
      <c r="E9">
        <v>16260700</v>
      </c>
      <c r="F9">
        <v>27378400</v>
      </c>
      <c r="G9" s="9">
        <v>8.3999430441711632E-3</v>
      </c>
      <c r="H9" s="9">
        <v>2.3700753552315032E-2</v>
      </c>
      <c r="I9" s="9">
        <v>3.5551130328472548E-2</v>
      </c>
      <c r="J9" s="10">
        <v>147144</v>
      </c>
      <c r="K9" s="10">
        <v>147144</v>
      </c>
      <c r="L9" s="10">
        <v>147144</v>
      </c>
      <c r="M9" s="10">
        <v>147144</v>
      </c>
      <c r="N9" s="10">
        <v>147144</v>
      </c>
      <c r="O9" s="10">
        <v>147144</v>
      </c>
      <c r="P9" s="10">
        <v>147144</v>
      </c>
      <c r="Q9" s="10">
        <v>147144</v>
      </c>
      <c r="R9" s="10">
        <v>147144</v>
      </c>
      <c r="S9" s="10">
        <v>147144</v>
      </c>
      <c r="T9" s="10">
        <v>147144</v>
      </c>
      <c r="V9" t="s">
        <v>456</v>
      </c>
      <c r="W9" t="s">
        <v>966</v>
      </c>
      <c r="X9" t="s">
        <v>967</v>
      </c>
      <c r="Y9" t="s">
        <v>941</v>
      </c>
      <c r="Z9" t="s">
        <v>942</v>
      </c>
      <c r="AB9" t="s">
        <v>460</v>
      </c>
      <c r="AC9" t="s">
        <v>459</v>
      </c>
      <c r="AD9" t="s">
        <v>968</v>
      </c>
      <c r="AF9" t="s">
        <v>944</v>
      </c>
      <c r="AG9" t="s">
        <v>945</v>
      </c>
      <c r="AH9" t="s">
        <v>946</v>
      </c>
      <c r="AI9" t="s">
        <v>947</v>
      </c>
      <c r="AJ9" t="s">
        <v>948</v>
      </c>
      <c r="AK9">
        <v>2</v>
      </c>
      <c r="AL9" s="10">
        <v>12480.6</v>
      </c>
      <c r="AM9" s="10">
        <v>16260.7</v>
      </c>
      <c r="AN9" s="10">
        <v>27378.400000000001</v>
      </c>
      <c r="AO9" s="9">
        <v>4.8457143105866601E-2</v>
      </c>
      <c r="AP9" s="9">
        <v>4.4531000000000001</v>
      </c>
      <c r="AQ9" s="9">
        <v>0.22363653876894499</v>
      </c>
      <c r="AR9" s="9">
        <v>8.1763065054022181</v>
      </c>
      <c r="AS9" s="9">
        <v>8.3999430441711631</v>
      </c>
      <c r="AT9" s="9">
        <v>0.50868078340726286</v>
      </c>
      <c r="AU9" s="9">
        <v>23.192072768907767</v>
      </c>
      <c r="AV9" s="9">
        <v>23.700753552315032</v>
      </c>
      <c r="AW9" s="11">
        <v>147.14400000000001</v>
      </c>
      <c r="AX9" s="11">
        <v>147.14400000000001</v>
      </c>
      <c r="AY9" t="s">
        <v>969</v>
      </c>
      <c r="AZ9" t="s">
        <v>950</v>
      </c>
      <c r="BA9" t="s">
        <v>951</v>
      </c>
      <c r="BB9" t="s">
        <v>970</v>
      </c>
      <c r="BC9" t="b">
        <v>1</v>
      </c>
    </row>
    <row r="10" spans="1:55">
      <c r="A10" t="s">
        <v>971</v>
      </c>
      <c r="B10" t="s">
        <v>939</v>
      </c>
      <c r="C10">
        <v>2531600</v>
      </c>
      <c r="D10">
        <v>1376600</v>
      </c>
      <c r="E10">
        <v>2531600</v>
      </c>
      <c r="F10">
        <v>5131400</v>
      </c>
      <c r="G10" s="9">
        <v>7.7884547616547109E-3</v>
      </c>
      <c r="H10" s="9">
        <v>2.3802097287993623E-2</v>
      </c>
      <c r="I10" s="9">
        <v>3.5703145931990435E-2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V10" t="s">
        <v>456</v>
      </c>
      <c r="W10" t="s">
        <v>971</v>
      </c>
      <c r="X10" t="s">
        <v>972</v>
      </c>
      <c r="Y10" t="s">
        <v>941</v>
      </c>
      <c r="Z10" t="s">
        <v>942</v>
      </c>
      <c r="AB10" t="s">
        <v>460</v>
      </c>
      <c r="AC10" t="s">
        <v>459</v>
      </c>
      <c r="AD10" t="s">
        <v>943</v>
      </c>
      <c r="AF10" t="s">
        <v>944</v>
      </c>
      <c r="AG10" t="s">
        <v>959</v>
      </c>
      <c r="AH10" t="s">
        <v>946</v>
      </c>
      <c r="AI10" t="s">
        <v>960</v>
      </c>
      <c r="AJ10" t="s">
        <v>948</v>
      </c>
      <c r="AK10">
        <v>37</v>
      </c>
      <c r="AL10" s="10">
        <v>1376.6</v>
      </c>
      <c r="AM10" s="10">
        <v>2531.6</v>
      </c>
      <c r="AN10" s="10">
        <v>5131.3999999999996</v>
      </c>
      <c r="AO10" s="9">
        <v>0.9515428568941332</v>
      </c>
      <c r="AP10" s="9">
        <v>87.444600000000008</v>
      </c>
      <c r="AQ10" s="9">
        <v>3.8454761654713697E-2</v>
      </c>
      <c r="AR10" s="9">
        <v>7.7499999999999991</v>
      </c>
      <c r="AS10" s="9">
        <v>7.7884547616547106</v>
      </c>
      <c r="AT10" s="9">
        <v>0.2020972879936167</v>
      </c>
      <c r="AU10" s="9">
        <v>23.6</v>
      </c>
      <c r="AV10" s="9">
        <v>23.802097287993622</v>
      </c>
      <c r="AW10" s="11">
        <v>0</v>
      </c>
      <c r="AX10" s="11">
        <v>0</v>
      </c>
      <c r="AY10" t="s">
        <v>973</v>
      </c>
      <c r="AZ10" t="s">
        <v>950</v>
      </c>
      <c r="BA10" t="s">
        <v>951</v>
      </c>
      <c r="BB10" t="s">
        <v>970</v>
      </c>
      <c r="BC10" t="b">
        <v>1</v>
      </c>
    </row>
    <row r="11" spans="1:55">
      <c r="A11" t="s">
        <v>974</v>
      </c>
      <c r="B11" t="s">
        <v>939</v>
      </c>
      <c r="C11">
        <v>9789000</v>
      </c>
      <c r="D11">
        <v>7513400</v>
      </c>
      <c r="E11">
        <v>9789000</v>
      </c>
      <c r="F11">
        <v>16481900.000000002</v>
      </c>
      <c r="G11" s="9">
        <v>6.8192762080854039E-3</v>
      </c>
      <c r="H11" s="9">
        <v>1.6311822073064818E-2</v>
      </c>
      <c r="I11" s="9">
        <v>2.4467733109597226E-2</v>
      </c>
      <c r="J11" s="10">
        <v>97890</v>
      </c>
      <c r="K11" s="10">
        <v>97890</v>
      </c>
      <c r="L11" s="10">
        <v>97890</v>
      </c>
      <c r="M11" s="10">
        <v>97890</v>
      </c>
      <c r="N11" s="10">
        <v>97890</v>
      </c>
      <c r="O11" s="10">
        <v>97890</v>
      </c>
      <c r="P11" s="10">
        <v>97890</v>
      </c>
      <c r="Q11" s="10">
        <v>97890</v>
      </c>
      <c r="R11" s="10">
        <v>97890</v>
      </c>
      <c r="S11" s="10">
        <v>97890</v>
      </c>
      <c r="T11" s="10">
        <v>97890</v>
      </c>
      <c r="V11" t="s">
        <v>456</v>
      </c>
      <c r="W11" t="s">
        <v>974</v>
      </c>
      <c r="X11" t="s">
        <v>975</v>
      </c>
      <c r="Y11" t="s">
        <v>941</v>
      </c>
      <c r="Z11" t="s">
        <v>942</v>
      </c>
      <c r="AB11" t="s">
        <v>80</v>
      </c>
      <c r="AC11" t="s">
        <v>17</v>
      </c>
      <c r="AD11" t="s">
        <v>968</v>
      </c>
      <c r="AF11" t="s">
        <v>944</v>
      </c>
      <c r="AG11" t="s">
        <v>976</v>
      </c>
      <c r="AH11" t="s">
        <v>956</v>
      </c>
      <c r="AI11" t="s">
        <v>977</v>
      </c>
      <c r="AJ11" t="s">
        <v>948</v>
      </c>
      <c r="AK11">
        <v>3</v>
      </c>
      <c r="AL11" s="10">
        <v>7513.4</v>
      </c>
      <c r="AM11" s="10">
        <v>9789</v>
      </c>
      <c r="AN11" s="10">
        <v>16481.900000000001</v>
      </c>
      <c r="AO11" s="9">
        <v>3.5241689782183602E-2</v>
      </c>
      <c r="AP11" s="9">
        <v>1.7049999999999998</v>
      </c>
      <c r="AQ11" s="9">
        <v>3.0992762080854028</v>
      </c>
      <c r="AR11" s="9">
        <v>3.7200000000000006</v>
      </c>
      <c r="AS11" s="9">
        <v>6.8192762080854044</v>
      </c>
      <c r="AT11" s="9">
        <v>7.6318220730648179</v>
      </c>
      <c r="AU11" s="9">
        <v>8.6800000000000015</v>
      </c>
      <c r="AV11" s="9">
        <v>16.311822073064818</v>
      </c>
      <c r="AW11" s="11">
        <v>97.89</v>
      </c>
      <c r="AX11" s="11">
        <v>97.89</v>
      </c>
      <c r="AY11" t="s">
        <v>969</v>
      </c>
      <c r="AZ11" t="s">
        <v>950</v>
      </c>
      <c r="BA11" t="s">
        <v>951</v>
      </c>
      <c r="BB11" t="s">
        <v>970</v>
      </c>
      <c r="BC11" t="b">
        <v>1</v>
      </c>
    </row>
    <row r="12" spans="1:55">
      <c r="A12" t="s">
        <v>978</v>
      </c>
      <c r="B12" t="s">
        <v>939</v>
      </c>
      <c r="C12">
        <v>18371400</v>
      </c>
      <c r="D12">
        <v>9990000</v>
      </c>
      <c r="E12">
        <v>18371400</v>
      </c>
      <c r="F12">
        <v>37237700</v>
      </c>
      <c r="G12" s="9">
        <v>8.120767910251658E-3</v>
      </c>
      <c r="H12" s="9">
        <v>2.4595953796612273E-2</v>
      </c>
      <c r="I12" s="9">
        <v>3.6893930694918406E-2</v>
      </c>
      <c r="J12" s="10">
        <v>591739.19063175539</v>
      </c>
      <c r="K12" s="10">
        <v>576339.67988780292</v>
      </c>
      <c r="L12" s="10">
        <v>560940.16914385057</v>
      </c>
      <c r="M12" s="10">
        <v>545540.65839989809</v>
      </c>
      <c r="N12" s="10">
        <v>530141.14765594574</v>
      </c>
      <c r="O12" s="10">
        <v>514741.63691199326</v>
      </c>
      <c r="P12" s="10">
        <v>483942.61542408844</v>
      </c>
      <c r="Q12" s="10">
        <v>453143.59393618361</v>
      </c>
      <c r="R12" s="10">
        <v>422344.57244827878</v>
      </c>
      <c r="S12" s="10">
        <v>391545.55096037395</v>
      </c>
      <c r="T12" s="10">
        <v>360746.52947246912</v>
      </c>
      <c r="V12" t="s">
        <v>456</v>
      </c>
      <c r="W12" t="s">
        <v>978</v>
      </c>
      <c r="X12" t="s">
        <v>979</v>
      </c>
      <c r="Y12" t="s">
        <v>941</v>
      </c>
      <c r="Z12" t="s">
        <v>942</v>
      </c>
      <c r="AB12" t="s">
        <v>80</v>
      </c>
      <c r="AC12" t="s">
        <v>17</v>
      </c>
      <c r="AD12" t="s">
        <v>943</v>
      </c>
      <c r="AF12" t="s">
        <v>944</v>
      </c>
      <c r="AG12" t="s">
        <v>959</v>
      </c>
      <c r="AH12" t="s">
        <v>946</v>
      </c>
      <c r="AI12" t="s">
        <v>960</v>
      </c>
      <c r="AJ12" t="s">
        <v>948</v>
      </c>
      <c r="AK12">
        <v>31</v>
      </c>
      <c r="AL12" s="10">
        <v>9990</v>
      </c>
      <c r="AM12" s="10">
        <v>18371.400000000001</v>
      </c>
      <c r="AN12" s="10">
        <v>37237.699999999997</v>
      </c>
      <c r="AO12" s="9">
        <v>0.75358927825846111</v>
      </c>
      <c r="AP12" s="9">
        <v>36.458799999999997</v>
      </c>
      <c r="AQ12" s="9">
        <v>0.37076791025165817</v>
      </c>
      <c r="AR12" s="9">
        <v>7.7500000000000009</v>
      </c>
      <c r="AS12" s="9">
        <v>8.1207679102516579</v>
      </c>
      <c r="AT12" s="9">
        <v>0.99595379661227801</v>
      </c>
      <c r="AU12" s="9">
        <v>23.6</v>
      </c>
      <c r="AV12" s="9">
        <v>24.595953796612275</v>
      </c>
      <c r="AW12" s="11">
        <v>591.73919063175538</v>
      </c>
      <c r="AX12" s="11">
        <v>360.74652947246909</v>
      </c>
      <c r="AY12" t="s">
        <v>949</v>
      </c>
      <c r="AZ12" t="s">
        <v>950</v>
      </c>
      <c r="BA12" t="s">
        <v>951</v>
      </c>
      <c r="BB12" t="s">
        <v>970</v>
      </c>
      <c r="BC12" t="b">
        <v>1</v>
      </c>
    </row>
    <row r="13" spans="1:55">
      <c r="A13" t="s">
        <v>980</v>
      </c>
      <c r="B13" t="s">
        <v>939</v>
      </c>
      <c r="C13">
        <v>90302800</v>
      </c>
      <c r="D13">
        <v>49104700</v>
      </c>
      <c r="E13">
        <v>90302800</v>
      </c>
      <c r="F13">
        <v>183038200</v>
      </c>
      <c r="G13" s="9">
        <v>1.4052293504905704E-2</v>
      </c>
      <c r="H13" s="9"/>
      <c r="I13" s="9"/>
      <c r="J13" s="10">
        <v>2908635.4759997218</v>
      </c>
      <c r="K13" s="10">
        <v>2832940.7037554188</v>
      </c>
      <c r="L13" s="10">
        <v>2757245.9315111157</v>
      </c>
      <c r="M13" s="10">
        <v>2681551.1592668127</v>
      </c>
      <c r="N13" s="10">
        <v>2605856.3870225097</v>
      </c>
      <c r="O13" s="10">
        <v>2530161.6147782071</v>
      </c>
      <c r="P13" s="10">
        <v>2378772.0702896011</v>
      </c>
      <c r="Q13" s="10">
        <v>2227382.5258009951</v>
      </c>
      <c r="R13" s="10">
        <v>2075992.9813123895</v>
      </c>
      <c r="S13" s="10">
        <v>1924603.4368237834</v>
      </c>
      <c r="T13" s="10">
        <v>1773213.8923351776</v>
      </c>
      <c r="V13" t="s">
        <v>456</v>
      </c>
      <c r="W13" t="s">
        <v>980</v>
      </c>
      <c r="X13" t="s">
        <v>981</v>
      </c>
      <c r="Y13" t="s">
        <v>941</v>
      </c>
      <c r="Z13" t="s">
        <v>942</v>
      </c>
      <c r="AB13" t="s">
        <v>80</v>
      </c>
      <c r="AC13" t="s">
        <v>17</v>
      </c>
      <c r="AD13" t="s">
        <v>943</v>
      </c>
      <c r="AF13" t="s">
        <v>944</v>
      </c>
      <c r="AG13" t="s">
        <v>945</v>
      </c>
      <c r="AH13" t="s">
        <v>946</v>
      </c>
      <c r="AI13" t="s">
        <v>947</v>
      </c>
      <c r="AJ13" t="s">
        <v>948</v>
      </c>
      <c r="AK13">
        <v>4</v>
      </c>
      <c r="AL13" s="10">
        <v>49104.7</v>
      </c>
      <c r="AM13" s="10">
        <v>90302.8</v>
      </c>
      <c r="AN13" s="10">
        <v>183038.2</v>
      </c>
      <c r="AO13" s="9">
        <v>5.0944394607711399E-2</v>
      </c>
      <c r="AP13" s="9">
        <v>2.4647000000000001</v>
      </c>
      <c r="AQ13" s="9">
        <v>0.41267715927175258</v>
      </c>
      <c r="AR13" s="9">
        <v>13.639616345633952</v>
      </c>
      <c r="AS13" s="9">
        <v>14.052293504905704</v>
      </c>
      <c r="AT13" s="9"/>
      <c r="AU13" s="9"/>
      <c r="AV13" s="9"/>
      <c r="AW13" s="11">
        <v>2908.6354759997216</v>
      </c>
      <c r="AX13" s="11">
        <v>1773.2138923351777</v>
      </c>
      <c r="AY13" t="s">
        <v>949</v>
      </c>
      <c r="AZ13" t="s">
        <v>950</v>
      </c>
      <c r="BA13" t="s">
        <v>951</v>
      </c>
      <c r="BB13" t="s">
        <v>970</v>
      </c>
      <c r="BC13" t="b">
        <v>0</v>
      </c>
    </row>
    <row r="14" spans="1:55">
      <c r="A14" t="s">
        <v>982</v>
      </c>
      <c r="B14" t="s">
        <v>939</v>
      </c>
      <c r="C14">
        <v>3906000</v>
      </c>
      <c r="D14">
        <v>2124000</v>
      </c>
      <c r="E14">
        <v>3906000</v>
      </c>
      <c r="F14">
        <v>7917300</v>
      </c>
      <c r="G14" s="9">
        <v>1.1081340863676049E-2</v>
      </c>
      <c r="H14" s="9">
        <v>3.048560559074975E-2</v>
      </c>
      <c r="I14" s="9">
        <v>4.5728408386124623E-2</v>
      </c>
      <c r="J14" s="10">
        <v>125811.49387676697</v>
      </c>
      <c r="K14" s="10">
        <v>122537.35641495795</v>
      </c>
      <c r="L14" s="10">
        <v>119263.21895314894</v>
      </c>
      <c r="M14" s="10">
        <v>115989.08149133992</v>
      </c>
      <c r="N14" s="10">
        <v>112714.9440295309</v>
      </c>
      <c r="O14" s="10">
        <v>109440.8065677219</v>
      </c>
      <c r="P14" s="10">
        <v>102892.53164410386</v>
      </c>
      <c r="Q14" s="10">
        <v>96344.256720485821</v>
      </c>
      <c r="R14" s="10">
        <v>89795.981796867796</v>
      </c>
      <c r="S14" s="10">
        <v>83247.706873249772</v>
      </c>
      <c r="T14" s="10">
        <v>76699.431949631733</v>
      </c>
      <c r="V14" t="s">
        <v>456</v>
      </c>
      <c r="W14" t="s">
        <v>982</v>
      </c>
      <c r="X14" t="s">
        <v>983</v>
      </c>
      <c r="Y14" t="s">
        <v>941</v>
      </c>
      <c r="Z14" t="s">
        <v>942</v>
      </c>
      <c r="AB14" t="s">
        <v>80</v>
      </c>
      <c r="AC14" t="s">
        <v>17</v>
      </c>
      <c r="AD14" t="s">
        <v>943</v>
      </c>
      <c r="AF14" t="s">
        <v>944</v>
      </c>
      <c r="AG14" t="s">
        <v>965</v>
      </c>
      <c r="AH14" t="s">
        <v>956</v>
      </c>
      <c r="AI14" t="s">
        <v>960</v>
      </c>
      <c r="AJ14" t="s">
        <v>948</v>
      </c>
      <c r="AK14">
        <v>8</v>
      </c>
      <c r="AL14" s="10">
        <v>2124</v>
      </c>
      <c r="AM14" s="10">
        <v>3906</v>
      </c>
      <c r="AN14" s="10">
        <v>7917.3</v>
      </c>
      <c r="AO14" s="9">
        <v>0.1602246373516438</v>
      </c>
      <c r="AP14" s="9">
        <v>7.7516999999999996</v>
      </c>
      <c r="AQ14" s="9">
        <v>3.3313408636760484</v>
      </c>
      <c r="AR14" s="9">
        <v>7.75</v>
      </c>
      <c r="AS14" s="9">
        <v>11.081340863676049</v>
      </c>
      <c r="AT14" s="9">
        <v>6.885605590749754</v>
      </c>
      <c r="AU14" s="9">
        <v>23.6</v>
      </c>
      <c r="AV14" s="9">
        <v>30.485605590749749</v>
      </c>
      <c r="AW14" s="11">
        <v>125.81149387676696</v>
      </c>
      <c r="AX14" s="11">
        <v>76.69943194963173</v>
      </c>
      <c r="AY14" t="s">
        <v>949</v>
      </c>
      <c r="AZ14" t="s">
        <v>950</v>
      </c>
      <c r="BA14" t="s">
        <v>951</v>
      </c>
      <c r="BB14" t="s">
        <v>970</v>
      </c>
      <c r="BC14" t="b">
        <v>1</v>
      </c>
    </row>
    <row r="15" spans="1:55">
      <c r="A15" t="s">
        <v>984</v>
      </c>
      <c r="B15" t="s">
        <v>939</v>
      </c>
      <c r="C15">
        <v>0</v>
      </c>
      <c r="D15">
        <v>0</v>
      </c>
      <c r="E15">
        <v>0</v>
      </c>
      <c r="F15">
        <v>0</v>
      </c>
      <c r="G15" s="9">
        <v>7.7606254285325887E-2</v>
      </c>
      <c r="H15" s="9">
        <v>0.13237550542196855</v>
      </c>
      <c r="I15" s="9">
        <v>0.19856325813295284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V15" t="s">
        <v>456</v>
      </c>
      <c r="W15" t="s">
        <v>984</v>
      </c>
      <c r="X15" t="s">
        <v>985</v>
      </c>
      <c r="Y15" t="s">
        <v>941</v>
      </c>
      <c r="Z15" t="s">
        <v>942</v>
      </c>
      <c r="AB15" t="s">
        <v>461</v>
      </c>
      <c r="AC15" t="s">
        <v>461</v>
      </c>
      <c r="AD15" t="s">
        <v>943</v>
      </c>
      <c r="AF15" t="s">
        <v>986</v>
      </c>
      <c r="AG15" t="s">
        <v>987</v>
      </c>
      <c r="AH15" t="s">
        <v>988</v>
      </c>
      <c r="AI15" t="s">
        <v>947</v>
      </c>
      <c r="AJ15" t="s">
        <v>989</v>
      </c>
      <c r="AK15">
        <v>1</v>
      </c>
      <c r="AL15" s="10">
        <v>0</v>
      </c>
      <c r="AM15" s="10">
        <v>0</v>
      </c>
      <c r="AN15" s="10">
        <v>0</v>
      </c>
      <c r="AO15" s="9">
        <v>0.55988096684076283</v>
      </c>
      <c r="AP15" s="9">
        <v>0.92190000000000005</v>
      </c>
      <c r="AQ15" s="9">
        <v>36.090438469510083</v>
      </c>
      <c r="AR15" s="9">
        <v>41.515815815815813</v>
      </c>
      <c r="AS15" s="9">
        <v>77.606254285325889</v>
      </c>
      <c r="AT15" s="9">
        <v>53.913042959506079</v>
      </c>
      <c r="AU15" s="9">
        <v>78.462462462462469</v>
      </c>
      <c r="AV15" s="9">
        <v>132.37550542196854</v>
      </c>
      <c r="AW15" s="11">
        <v>0</v>
      </c>
      <c r="AX15" s="11">
        <v>0</v>
      </c>
      <c r="AY15" t="s">
        <v>949</v>
      </c>
      <c r="AZ15" t="s">
        <v>950</v>
      </c>
      <c r="BA15" t="s">
        <v>951</v>
      </c>
      <c r="BB15" t="s">
        <v>970</v>
      </c>
      <c r="BC15" t="b">
        <v>1</v>
      </c>
    </row>
    <row r="16" spans="1:55">
      <c r="A16" t="s">
        <v>990</v>
      </c>
      <c r="B16" t="s">
        <v>939</v>
      </c>
      <c r="C16">
        <v>20100</v>
      </c>
      <c r="D16">
        <v>10900</v>
      </c>
      <c r="E16">
        <v>20100</v>
      </c>
      <c r="F16">
        <v>40700</v>
      </c>
      <c r="G16" s="9">
        <v>1.5221687399830468E-2</v>
      </c>
      <c r="H16" s="9"/>
      <c r="I16" s="9"/>
      <c r="J16" s="10">
        <v>804</v>
      </c>
      <c r="K16" s="10">
        <v>804</v>
      </c>
      <c r="L16" s="10">
        <v>804</v>
      </c>
      <c r="M16" s="10">
        <v>804</v>
      </c>
      <c r="N16" s="10">
        <v>804</v>
      </c>
      <c r="O16" s="10">
        <v>804</v>
      </c>
      <c r="P16" s="10">
        <v>804</v>
      </c>
      <c r="Q16" s="10">
        <v>804</v>
      </c>
      <c r="R16" s="10">
        <v>804</v>
      </c>
      <c r="S16" s="10">
        <v>804</v>
      </c>
      <c r="T16" s="10">
        <v>804</v>
      </c>
      <c r="V16" t="s">
        <v>456</v>
      </c>
      <c r="W16" t="s">
        <v>990</v>
      </c>
      <c r="X16" t="s">
        <v>991</v>
      </c>
      <c r="Y16" t="s">
        <v>941</v>
      </c>
      <c r="Z16" t="s">
        <v>942</v>
      </c>
      <c r="AB16" t="s">
        <v>461</v>
      </c>
      <c r="AC16" t="s">
        <v>461</v>
      </c>
      <c r="AD16" t="s">
        <v>943</v>
      </c>
      <c r="AF16" t="s">
        <v>944</v>
      </c>
      <c r="AG16" t="s">
        <v>945</v>
      </c>
      <c r="AH16" t="s">
        <v>946</v>
      </c>
      <c r="AI16" t="s">
        <v>947</v>
      </c>
      <c r="AJ16" t="s">
        <v>948</v>
      </c>
      <c r="AK16">
        <v>2</v>
      </c>
      <c r="AL16" s="10">
        <v>10.9</v>
      </c>
      <c r="AM16" s="10">
        <v>20.100000000000001</v>
      </c>
      <c r="AN16" s="10">
        <v>40.700000000000003</v>
      </c>
      <c r="AO16" s="9">
        <v>0.44011903315923723</v>
      </c>
      <c r="AP16" s="9">
        <v>0.72470000000000001</v>
      </c>
      <c r="AQ16" s="9">
        <v>0.39461032275339308</v>
      </c>
      <c r="AR16" s="9">
        <v>14.827077077077076</v>
      </c>
      <c r="AS16" s="9">
        <v>15.221687399830468</v>
      </c>
      <c r="AT16" s="9"/>
      <c r="AU16" s="9"/>
      <c r="AV16" s="9"/>
      <c r="AW16" s="11">
        <v>0.80400000000000005</v>
      </c>
      <c r="AX16" s="11">
        <v>0.80400000000000005</v>
      </c>
      <c r="AY16" t="s">
        <v>949</v>
      </c>
      <c r="AZ16" t="s">
        <v>950</v>
      </c>
      <c r="BA16" t="s">
        <v>951</v>
      </c>
      <c r="BB16" t="s">
        <v>952</v>
      </c>
      <c r="BC16" t="b">
        <v>0</v>
      </c>
    </row>
    <row r="17" spans="1:55">
      <c r="A17" t="s">
        <v>992</v>
      </c>
      <c r="B17" t="s">
        <v>939</v>
      </c>
      <c r="C17">
        <v>182500</v>
      </c>
      <c r="D17">
        <v>140100</v>
      </c>
      <c r="E17">
        <v>182500</v>
      </c>
      <c r="F17">
        <v>307400</v>
      </c>
      <c r="G17" s="9">
        <v>6.4609799430853819E-3</v>
      </c>
      <c r="H17" s="9">
        <v>1.2517371920319537E-2</v>
      </c>
      <c r="I17" s="9">
        <v>1.8776057880479306E-2</v>
      </c>
      <c r="J17" s="10">
        <v>7300</v>
      </c>
      <c r="K17" s="10">
        <v>7300</v>
      </c>
      <c r="L17" s="10">
        <v>7300</v>
      </c>
      <c r="M17" s="10">
        <v>7300</v>
      </c>
      <c r="N17" s="10">
        <v>7300</v>
      </c>
      <c r="O17" s="10">
        <v>7300</v>
      </c>
      <c r="P17" s="10">
        <v>7300</v>
      </c>
      <c r="Q17" s="10">
        <v>7300</v>
      </c>
      <c r="R17" s="10">
        <v>7300</v>
      </c>
      <c r="S17" s="10">
        <v>7300</v>
      </c>
      <c r="T17" s="10">
        <v>7300</v>
      </c>
      <c r="V17" t="s">
        <v>456</v>
      </c>
      <c r="W17" t="s">
        <v>992</v>
      </c>
      <c r="X17" t="s">
        <v>993</v>
      </c>
      <c r="Y17" t="s">
        <v>941</v>
      </c>
      <c r="Z17" t="s">
        <v>942</v>
      </c>
      <c r="AB17" t="s">
        <v>463</v>
      </c>
      <c r="AC17" t="s">
        <v>462</v>
      </c>
      <c r="AD17" t="s">
        <v>968</v>
      </c>
      <c r="AF17" t="s">
        <v>944</v>
      </c>
      <c r="AG17" t="s">
        <v>976</v>
      </c>
      <c r="AH17" t="s">
        <v>956</v>
      </c>
      <c r="AI17" t="s">
        <v>977</v>
      </c>
      <c r="AJ17" t="s">
        <v>948</v>
      </c>
      <c r="AK17">
        <v>1</v>
      </c>
      <c r="AL17" s="10">
        <v>140.1</v>
      </c>
      <c r="AM17" s="10">
        <v>182.5</v>
      </c>
      <c r="AN17" s="10">
        <v>307.39999999999998</v>
      </c>
      <c r="AO17" s="9">
        <v>4.3052703099724497E-2</v>
      </c>
      <c r="AP17" s="9">
        <v>6.14</v>
      </c>
      <c r="AQ17" s="9">
        <v>2.7409799430853816</v>
      </c>
      <c r="AR17" s="9">
        <v>3.7200000000000006</v>
      </c>
      <c r="AS17" s="9">
        <v>6.4609799430853823</v>
      </c>
      <c r="AT17" s="9">
        <v>3.8373719203195336</v>
      </c>
      <c r="AU17" s="9">
        <v>8.6800000000000015</v>
      </c>
      <c r="AV17" s="9">
        <v>12.517371920319537</v>
      </c>
      <c r="AW17" s="11">
        <v>7.3</v>
      </c>
      <c r="AX17" s="11">
        <v>7.3</v>
      </c>
      <c r="AY17" t="s">
        <v>969</v>
      </c>
      <c r="AZ17" t="s">
        <v>950</v>
      </c>
      <c r="BA17" t="s">
        <v>951</v>
      </c>
      <c r="BB17" t="s">
        <v>952</v>
      </c>
      <c r="BC17" t="b">
        <v>1</v>
      </c>
    </row>
    <row r="18" spans="1:55">
      <c r="A18" t="s">
        <v>994</v>
      </c>
      <c r="B18" t="s">
        <v>939</v>
      </c>
      <c r="C18">
        <v>1315200</v>
      </c>
      <c r="D18">
        <v>1009500</v>
      </c>
      <c r="E18">
        <v>1315200</v>
      </c>
      <c r="F18">
        <v>2214400</v>
      </c>
      <c r="G18" s="9">
        <v>5.4694275019252937E-3</v>
      </c>
      <c r="H18" s="9">
        <v>1.2986482266290717E-2</v>
      </c>
      <c r="I18" s="9">
        <v>1.9479723399436075E-2</v>
      </c>
      <c r="J18" s="10">
        <v>52608</v>
      </c>
      <c r="K18" s="10">
        <v>52608</v>
      </c>
      <c r="L18" s="10">
        <v>52608</v>
      </c>
      <c r="M18" s="10">
        <v>52608</v>
      </c>
      <c r="N18" s="10">
        <v>52608</v>
      </c>
      <c r="O18" s="10">
        <v>52608</v>
      </c>
      <c r="P18" s="10">
        <v>52608</v>
      </c>
      <c r="Q18" s="10">
        <v>52608</v>
      </c>
      <c r="R18" s="10">
        <v>52608</v>
      </c>
      <c r="S18" s="10">
        <v>52608</v>
      </c>
      <c r="T18" s="10">
        <v>52608</v>
      </c>
      <c r="V18" t="s">
        <v>456</v>
      </c>
      <c r="W18" t="s">
        <v>994</v>
      </c>
      <c r="X18" t="s">
        <v>995</v>
      </c>
      <c r="Y18" t="s">
        <v>941</v>
      </c>
      <c r="Z18" t="s">
        <v>942</v>
      </c>
      <c r="AB18" t="s">
        <v>463</v>
      </c>
      <c r="AC18" t="s">
        <v>462</v>
      </c>
      <c r="AD18" t="s">
        <v>968</v>
      </c>
      <c r="AF18" t="s">
        <v>944</v>
      </c>
      <c r="AG18" t="s">
        <v>996</v>
      </c>
      <c r="AH18" t="s">
        <v>988</v>
      </c>
      <c r="AI18" t="s">
        <v>977</v>
      </c>
      <c r="AJ18" t="s">
        <v>948</v>
      </c>
      <c r="AK18">
        <v>5</v>
      </c>
      <c r="AL18" s="10">
        <v>1009.5</v>
      </c>
      <c r="AM18" s="10">
        <v>1315.2</v>
      </c>
      <c r="AN18" s="10">
        <v>2214.4</v>
      </c>
      <c r="AO18" s="9">
        <v>0.310189817544888</v>
      </c>
      <c r="AP18" s="9">
        <v>44.238000000000007</v>
      </c>
      <c r="AQ18" s="9">
        <v>1.7494275019252945</v>
      </c>
      <c r="AR18" s="9">
        <v>3.72</v>
      </c>
      <c r="AS18" s="9">
        <v>5.4694275019252938</v>
      </c>
      <c r="AT18" s="9">
        <v>4.3064822662907165</v>
      </c>
      <c r="AU18" s="9">
        <v>8.6800000000000015</v>
      </c>
      <c r="AV18" s="9">
        <v>12.986482266290718</v>
      </c>
      <c r="AW18" s="11">
        <v>52.607999999999997</v>
      </c>
      <c r="AX18" s="11">
        <v>52.607999999999997</v>
      </c>
      <c r="AY18" t="s">
        <v>969</v>
      </c>
      <c r="AZ18" t="s">
        <v>950</v>
      </c>
      <c r="BA18" t="s">
        <v>951</v>
      </c>
      <c r="BB18" t="s">
        <v>952</v>
      </c>
      <c r="BC18" t="b">
        <v>1</v>
      </c>
    </row>
    <row r="19" spans="1:55">
      <c r="A19" t="s">
        <v>997</v>
      </c>
      <c r="B19" t="s">
        <v>939</v>
      </c>
      <c r="C19">
        <v>160700</v>
      </c>
      <c r="D19">
        <v>87400</v>
      </c>
      <c r="E19">
        <v>160700</v>
      </c>
      <c r="F19">
        <v>325600</v>
      </c>
      <c r="G19" s="9">
        <v>6.8213621931115052E-3</v>
      </c>
      <c r="H19" s="9">
        <v>1.6491431320696588E-2</v>
      </c>
      <c r="I19" s="9">
        <v>2.4737146981044882E-2</v>
      </c>
      <c r="J19" s="10">
        <v>3537.6731979783531</v>
      </c>
      <c r="K19" s="10">
        <v>3440.3577044562294</v>
      </c>
      <c r="L19" s="10">
        <v>3343.0422109341062</v>
      </c>
      <c r="M19" s="10">
        <v>3245.7267174119825</v>
      </c>
      <c r="N19" s="10">
        <v>3148.4112238898592</v>
      </c>
      <c r="O19" s="10">
        <v>3051.0957303677355</v>
      </c>
      <c r="P19" s="10">
        <v>2856.4647433234891</v>
      </c>
      <c r="Q19" s="10">
        <v>2661.8337562792422</v>
      </c>
      <c r="R19" s="10">
        <v>2467.2027692349952</v>
      </c>
      <c r="S19" s="10">
        <v>2272.5717821907479</v>
      </c>
      <c r="T19" s="10">
        <v>2077.9407951465009</v>
      </c>
      <c r="V19" t="s">
        <v>456</v>
      </c>
      <c r="W19" t="s">
        <v>997</v>
      </c>
      <c r="X19" t="s">
        <v>998</v>
      </c>
      <c r="Y19" t="s">
        <v>941</v>
      </c>
      <c r="Z19" t="s">
        <v>942</v>
      </c>
      <c r="AB19" t="s">
        <v>463</v>
      </c>
      <c r="AC19" t="s">
        <v>462</v>
      </c>
      <c r="AD19" t="s">
        <v>943</v>
      </c>
      <c r="AF19" t="s">
        <v>944</v>
      </c>
      <c r="AG19" t="s">
        <v>999</v>
      </c>
      <c r="AH19" t="s">
        <v>946</v>
      </c>
      <c r="AI19" t="s">
        <v>977</v>
      </c>
      <c r="AJ19" t="s">
        <v>948</v>
      </c>
      <c r="AK19">
        <v>6</v>
      </c>
      <c r="AL19" s="10">
        <v>87.4</v>
      </c>
      <c r="AM19" s="10">
        <v>160.69999999999999</v>
      </c>
      <c r="AN19" s="10">
        <v>325.60000000000002</v>
      </c>
      <c r="AO19" s="9">
        <v>3.7890585832294897E-2</v>
      </c>
      <c r="AP19" s="9">
        <v>5.4038000000000004</v>
      </c>
      <c r="AQ19" s="9">
        <v>0.62136219311150531</v>
      </c>
      <c r="AR19" s="9">
        <v>6.2000000000000011</v>
      </c>
      <c r="AS19" s="9">
        <v>6.8213621931115052</v>
      </c>
      <c r="AT19" s="9">
        <v>1.6114313206965865</v>
      </c>
      <c r="AU19" s="9">
        <v>14.880000000000004</v>
      </c>
      <c r="AV19" s="9">
        <v>16.491431320696588</v>
      </c>
      <c r="AW19" s="11">
        <v>3.5376731979783531</v>
      </c>
      <c r="AX19" s="11">
        <v>2.077940795146501</v>
      </c>
      <c r="AY19" t="s">
        <v>949</v>
      </c>
      <c r="AZ19" t="s">
        <v>950</v>
      </c>
      <c r="BA19" t="s">
        <v>951</v>
      </c>
      <c r="BB19" t="s">
        <v>970</v>
      </c>
      <c r="BC19" t="b">
        <v>1</v>
      </c>
    </row>
    <row r="20" spans="1:55">
      <c r="A20" t="s">
        <v>1000</v>
      </c>
      <c r="B20" t="s">
        <v>939</v>
      </c>
      <c r="C20">
        <v>43037200</v>
      </c>
      <c r="D20">
        <v>23402700</v>
      </c>
      <c r="E20">
        <v>43037200</v>
      </c>
      <c r="F20">
        <v>87233700</v>
      </c>
      <c r="G20" s="9">
        <v>8.1093171019281998E-3</v>
      </c>
      <c r="H20" s="9">
        <v>2.435723287244872E-2</v>
      </c>
      <c r="I20" s="9">
        <v>3.6535849308673082E-2</v>
      </c>
      <c r="J20" s="10">
        <v>947427.18703194754</v>
      </c>
      <c r="K20" s="10">
        <v>921365.04417065124</v>
      </c>
      <c r="L20" s="10">
        <v>895302.9013093547</v>
      </c>
      <c r="M20" s="10">
        <v>869240.75844805839</v>
      </c>
      <c r="N20" s="10">
        <v>843178.61558676185</v>
      </c>
      <c r="O20" s="10">
        <v>817116.47272546554</v>
      </c>
      <c r="P20" s="10">
        <v>764992.1870028727</v>
      </c>
      <c r="Q20" s="10">
        <v>712867.90128027997</v>
      </c>
      <c r="R20" s="10">
        <v>660743.61555768712</v>
      </c>
      <c r="S20" s="10">
        <v>608619.32983509428</v>
      </c>
      <c r="T20" s="10">
        <v>556495.04411250143</v>
      </c>
      <c r="V20" t="s">
        <v>456</v>
      </c>
      <c r="W20" t="s">
        <v>1000</v>
      </c>
      <c r="X20" t="s">
        <v>1001</v>
      </c>
      <c r="Y20" t="s">
        <v>941</v>
      </c>
      <c r="Z20" t="s">
        <v>942</v>
      </c>
      <c r="AB20" t="s">
        <v>463</v>
      </c>
      <c r="AC20" t="s">
        <v>462</v>
      </c>
      <c r="AD20" t="s">
        <v>943</v>
      </c>
      <c r="AF20" t="s">
        <v>944</v>
      </c>
      <c r="AG20" t="s">
        <v>959</v>
      </c>
      <c r="AH20" t="s">
        <v>946</v>
      </c>
      <c r="AI20" t="s">
        <v>960</v>
      </c>
      <c r="AJ20" t="s">
        <v>948</v>
      </c>
      <c r="AK20">
        <v>30</v>
      </c>
      <c r="AL20" s="10">
        <v>23402.7</v>
      </c>
      <c r="AM20" s="10">
        <v>43037.2</v>
      </c>
      <c r="AN20" s="10">
        <v>87233.7</v>
      </c>
      <c r="AO20" s="9">
        <v>0.35615313580042612</v>
      </c>
      <c r="AP20" s="9">
        <v>50.793100000000003</v>
      </c>
      <c r="AQ20" s="9">
        <v>0.3593171019281996</v>
      </c>
      <c r="AR20" s="9">
        <v>7.7500000000000009</v>
      </c>
      <c r="AS20" s="9">
        <v>8.1093171019282</v>
      </c>
      <c r="AT20" s="9">
        <v>0.75723287244871706</v>
      </c>
      <c r="AU20" s="9">
        <v>23.6</v>
      </c>
      <c r="AV20" s="9">
        <v>24.357232872448719</v>
      </c>
      <c r="AW20" s="11">
        <v>947.4271870319476</v>
      </c>
      <c r="AX20" s="11">
        <v>556.49504411250143</v>
      </c>
      <c r="AY20" t="s">
        <v>949</v>
      </c>
      <c r="AZ20" t="s">
        <v>950</v>
      </c>
      <c r="BA20" t="s">
        <v>951</v>
      </c>
      <c r="BB20" t="s">
        <v>970</v>
      </c>
      <c r="BC20" t="b">
        <v>1</v>
      </c>
    </row>
    <row r="21" spans="1:55">
      <c r="A21" t="s">
        <v>1002</v>
      </c>
      <c r="B21" t="s">
        <v>939</v>
      </c>
      <c r="C21">
        <v>172404600</v>
      </c>
      <c r="D21">
        <v>93749800</v>
      </c>
      <c r="E21">
        <v>172404600</v>
      </c>
      <c r="F21">
        <v>349453400</v>
      </c>
      <c r="G21" s="9">
        <v>1.5570464595108833E-2</v>
      </c>
      <c r="H21" s="9">
        <v>4.7456649750760041E-2</v>
      </c>
      <c r="I21" s="9">
        <v>7.1184974626140068E-2</v>
      </c>
      <c r="J21" s="10">
        <v>3795339.9665723643</v>
      </c>
      <c r="K21" s="10">
        <v>3690936.4896931839</v>
      </c>
      <c r="L21" s="10">
        <v>3586533.012814003</v>
      </c>
      <c r="M21" s="10">
        <v>3482129.5359348226</v>
      </c>
      <c r="N21" s="10">
        <v>3377726.0590556422</v>
      </c>
      <c r="O21" s="10">
        <v>3273322.5821764618</v>
      </c>
      <c r="P21" s="10">
        <v>3064515.6284181005</v>
      </c>
      <c r="Q21" s="10">
        <v>2855708.6746597397</v>
      </c>
      <c r="R21" s="10">
        <v>2646901.7209013789</v>
      </c>
      <c r="S21" s="10">
        <v>2438094.7671430176</v>
      </c>
      <c r="T21" s="10">
        <v>2229287.8133846573</v>
      </c>
      <c r="V21" t="s">
        <v>456</v>
      </c>
      <c r="W21" t="s">
        <v>1002</v>
      </c>
      <c r="X21" t="s">
        <v>1003</v>
      </c>
      <c r="Y21" t="s">
        <v>941</v>
      </c>
      <c r="Z21" t="s">
        <v>942</v>
      </c>
      <c r="AB21" t="s">
        <v>463</v>
      </c>
      <c r="AC21" t="s">
        <v>462</v>
      </c>
      <c r="AD21" t="s">
        <v>943</v>
      </c>
      <c r="AF21" t="s">
        <v>944</v>
      </c>
      <c r="AG21" t="s">
        <v>945</v>
      </c>
      <c r="AH21" t="s">
        <v>946</v>
      </c>
      <c r="AI21" t="s">
        <v>947</v>
      </c>
      <c r="AJ21" t="s">
        <v>948</v>
      </c>
      <c r="AK21">
        <v>5</v>
      </c>
      <c r="AL21" s="10">
        <v>93749.8</v>
      </c>
      <c r="AM21" s="10">
        <v>172404.6</v>
      </c>
      <c r="AN21" s="10">
        <v>349453.4</v>
      </c>
      <c r="AO21" s="9">
        <v>1.0706379863675701E-2</v>
      </c>
      <c r="AP21" s="9">
        <v>1.5269000000000004</v>
      </c>
      <c r="AQ21" s="9">
        <v>1.8333761213089328</v>
      </c>
      <c r="AR21" s="9">
        <v>13.737088473799904</v>
      </c>
      <c r="AS21" s="9">
        <v>15.570464595108833</v>
      </c>
      <c r="AT21" s="9">
        <v>2.30313124508038</v>
      </c>
      <c r="AU21" s="9">
        <v>45.153518505679656</v>
      </c>
      <c r="AV21" s="9">
        <v>47.456649750760043</v>
      </c>
      <c r="AW21" s="11">
        <v>3795.3399665723641</v>
      </c>
      <c r="AX21" s="11">
        <v>2229.2878133846571</v>
      </c>
      <c r="AY21" t="s">
        <v>949</v>
      </c>
      <c r="AZ21" t="s">
        <v>950</v>
      </c>
      <c r="BA21" t="s">
        <v>951</v>
      </c>
      <c r="BB21" t="s">
        <v>970</v>
      </c>
      <c r="BC21" t="b">
        <v>1</v>
      </c>
    </row>
    <row r="22" spans="1:55">
      <c r="A22" t="s">
        <v>1004</v>
      </c>
      <c r="B22" t="s">
        <v>939</v>
      </c>
      <c r="C22">
        <v>44900</v>
      </c>
      <c r="D22">
        <v>24400</v>
      </c>
      <c r="E22">
        <v>44900</v>
      </c>
      <c r="F22">
        <v>91000</v>
      </c>
      <c r="G22" s="9">
        <v>7.1327788577632027E-3</v>
      </c>
      <c r="H22" s="9">
        <v>1.693420465101763E-2</v>
      </c>
      <c r="I22" s="9">
        <v>2.5401306976526445E-2</v>
      </c>
      <c r="J22" s="10">
        <v>988.43513745630401</v>
      </c>
      <c r="K22" s="10">
        <v>961.24493422579155</v>
      </c>
      <c r="L22" s="10">
        <v>934.0547309952791</v>
      </c>
      <c r="M22" s="10">
        <v>906.86452776476665</v>
      </c>
      <c r="N22" s="10">
        <v>879.67432453425431</v>
      </c>
      <c r="O22" s="10">
        <v>852.48412130374197</v>
      </c>
      <c r="P22" s="10">
        <v>798.10371484271718</v>
      </c>
      <c r="Q22" s="10">
        <v>743.72330838169228</v>
      </c>
      <c r="R22" s="10">
        <v>689.34290192066749</v>
      </c>
      <c r="S22" s="10">
        <v>634.9624954596427</v>
      </c>
      <c r="T22" s="10">
        <v>580.58208899861791</v>
      </c>
      <c r="V22" t="s">
        <v>456</v>
      </c>
      <c r="W22" t="s">
        <v>1004</v>
      </c>
      <c r="X22" t="s">
        <v>1005</v>
      </c>
      <c r="Y22" t="s">
        <v>941</v>
      </c>
      <c r="Z22" t="s">
        <v>942</v>
      </c>
      <c r="AB22" t="s">
        <v>463</v>
      </c>
      <c r="AC22" t="s">
        <v>462</v>
      </c>
      <c r="AD22" t="s">
        <v>943</v>
      </c>
      <c r="AF22" t="s">
        <v>944</v>
      </c>
      <c r="AG22" t="s">
        <v>976</v>
      </c>
      <c r="AH22" t="s">
        <v>956</v>
      </c>
      <c r="AI22" t="s">
        <v>977</v>
      </c>
      <c r="AJ22" t="s">
        <v>948</v>
      </c>
      <c r="AK22">
        <v>1</v>
      </c>
      <c r="AL22" s="10">
        <v>24.4</v>
      </c>
      <c r="AM22" s="10">
        <v>44.9</v>
      </c>
      <c r="AN22" s="10">
        <v>91</v>
      </c>
      <c r="AO22" s="9">
        <v>1.0586477384358899E-2</v>
      </c>
      <c r="AP22" s="9">
        <v>1.5098</v>
      </c>
      <c r="AQ22" s="9">
        <v>0.93277885776320202</v>
      </c>
      <c r="AR22" s="9">
        <v>6.2</v>
      </c>
      <c r="AS22" s="9">
        <v>7.1327788577632028</v>
      </c>
      <c r="AT22" s="9">
        <v>2.0542046510176291</v>
      </c>
      <c r="AU22" s="9">
        <v>14.880000000000004</v>
      </c>
      <c r="AV22" s="9">
        <v>16.93420465101763</v>
      </c>
      <c r="AW22" s="11">
        <v>0.98843513745630396</v>
      </c>
      <c r="AX22" s="11">
        <v>0.58058208899861785</v>
      </c>
      <c r="AY22" t="s">
        <v>949</v>
      </c>
      <c r="AZ22" t="s">
        <v>950</v>
      </c>
      <c r="BA22" t="s">
        <v>951</v>
      </c>
      <c r="BB22" t="s">
        <v>970</v>
      </c>
      <c r="BC22" t="b">
        <v>1</v>
      </c>
    </row>
    <row r="23" spans="1:55">
      <c r="A23" t="s">
        <v>1006</v>
      </c>
      <c r="B23" t="s">
        <v>939</v>
      </c>
      <c r="C23">
        <v>27476900</v>
      </c>
      <c r="D23">
        <v>14941300</v>
      </c>
      <c r="E23">
        <v>27476900</v>
      </c>
      <c r="F23">
        <v>55693900</v>
      </c>
      <c r="G23" s="9">
        <v>9.4287921070241049E-3</v>
      </c>
      <c r="H23" s="9">
        <v>2.7535969751057862E-2</v>
      </c>
      <c r="I23" s="9">
        <v>4.1303954626586793E-2</v>
      </c>
      <c r="J23" s="10">
        <v>604880.47724661743</v>
      </c>
      <c r="K23" s="10">
        <v>588241.22345720837</v>
      </c>
      <c r="L23" s="10">
        <v>571601.96966779931</v>
      </c>
      <c r="M23" s="10">
        <v>554962.71587839024</v>
      </c>
      <c r="N23" s="10">
        <v>538323.46208898118</v>
      </c>
      <c r="O23" s="10">
        <v>521684.20829957211</v>
      </c>
      <c r="P23" s="10">
        <v>488405.70072075399</v>
      </c>
      <c r="Q23" s="10">
        <v>455127.19314193592</v>
      </c>
      <c r="R23" s="10">
        <v>421848.68556311785</v>
      </c>
      <c r="S23" s="10">
        <v>388570.17798429966</v>
      </c>
      <c r="T23" s="10">
        <v>355291.67040548165</v>
      </c>
      <c r="V23" t="s">
        <v>456</v>
      </c>
      <c r="W23" t="s">
        <v>1006</v>
      </c>
      <c r="X23" t="s">
        <v>1007</v>
      </c>
      <c r="Y23" t="s">
        <v>941</v>
      </c>
      <c r="Z23" t="s">
        <v>942</v>
      </c>
      <c r="AB23" t="s">
        <v>463</v>
      </c>
      <c r="AC23" t="s">
        <v>462</v>
      </c>
      <c r="AD23" t="s">
        <v>943</v>
      </c>
      <c r="AF23" t="s">
        <v>944</v>
      </c>
      <c r="AG23" t="s">
        <v>965</v>
      </c>
      <c r="AH23" t="s">
        <v>956</v>
      </c>
      <c r="AI23" t="s">
        <v>960</v>
      </c>
      <c r="AJ23" t="s">
        <v>948</v>
      </c>
      <c r="AK23">
        <v>16</v>
      </c>
      <c r="AL23" s="10">
        <v>14941.3</v>
      </c>
      <c r="AM23" s="10">
        <v>27476.9</v>
      </c>
      <c r="AN23" s="10">
        <v>55693.9</v>
      </c>
      <c r="AO23" s="9">
        <v>0.22738418367096511</v>
      </c>
      <c r="AP23" s="9">
        <v>32.428600000000003</v>
      </c>
      <c r="AQ23" s="9">
        <v>1.6787921070241061</v>
      </c>
      <c r="AR23" s="9">
        <v>7.7499999999999982</v>
      </c>
      <c r="AS23" s="9">
        <v>9.4287921070241048</v>
      </c>
      <c r="AT23" s="9">
        <v>3.9359697510578662</v>
      </c>
      <c r="AU23" s="9">
        <v>23.600000000000005</v>
      </c>
      <c r="AV23" s="9">
        <v>27.535969751057863</v>
      </c>
      <c r="AW23" s="11">
        <v>604.88047724661737</v>
      </c>
      <c r="AX23" s="11">
        <v>355.29167040548163</v>
      </c>
      <c r="AY23" t="s">
        <v>949</v>
      </c>
      <c r="AZ23" t="s">
        <v>950</v>
      </c>
      <c r="BA23" t="s">
        <v>951</v>
      </c>
      <c r="BB23" t="s">
        <v>970</v>
      </c>
      <c r="BC23" t="b">
        <v>1</v>
      </c>
    </row>
    <row r="24" spans="1:55">
      <c r="A24" t="s">
        <v>1008</v>
      </c>
      <c r="B24" t="s">
        <v>939</v>
      </c>
      <c r="C24">
        <v>65003100</v>
      </c>
      <c r="D24">
        <v>35347300</v>
      </c>
      <c r="E24">
        <v>65003100</v>
      </c>
      <c r="F24">
        <v>131757400</v>
      </c>
      <c r="G24" s="9">
        <v>2.739690069731518E-2</v>
      </c>
      <c r="H24" s="9">
        <v>6.4277255618601051E-2</v>
      </c>
      <c r="I24" s="9">
        <v>9.6415883427901583E-2</v>
      </c>
      <c r="J24" s="10">
        <v>1430987.7078749638</v>
      </c>
      <c r="K24" s="10">
        <v>1391623.6210238875</v>
      </c>
      <c r="L24" s="10">
        <v>1352259.5341728113</v>
      </c>
      <c r="M24" s="10">
        <v>1312895.4473217351</v>
      </c>
      <c r="N24" s="10">
        <v>1273531.3604706589</v>
      </c>
      <c r="O24" s="10">
        <v>1234167.2736195829</v>
      </c>
      <c r="P24" s="10">
        <v>1155439.0999174302</v>
      </c>
      <c r="Q24" s="10">
        <v>1076710.926215278</v>
      </c>
      <c r="R24" s="10">
        <v>997982.75251312566</v>
      </c>
      <c r="S24" s="10">
        <v>919254.57881097321</v>
      </c>
      <c r="T24" s="10">
        <v>840526.40510882076</v>
      </c>
      <c r="V24" t="s">
        <v>456</v>
      </c>
      <c r="W24" t="s">
        <v>1008</v>
      </c>
      <c r="X24" t="s">
        <v>1009</v>
      </c>
      <c r="Y24" t="s">
        <v>941</v>
      </c>
      <c r="Z24" t="s">
        <v>942</v>
      </c>
      <c r="AB24" t="s">
        <v>463</v>
      </c>
      <c r="AC24" t="s">
        <v>462</v>
      </c>
      <c r="AD24" t="s">
        <v>943</v>
      </c>
      <c r="AF24" t="s">
        <v>944</v>
      </c>
      <c r="AG24" t="s">
        <v>955</v>
      </c>
      <c r="AH24" t="s">
        <v>956</v>
      </c>
      <c r="AI24" t="s">
        <v>947</v>
      </c>
      <c r="AJ24" t="s">
        <v>948</v>
      </c>
      <c r="AK24">
        <v>2</v>
      </c>
      <c r="AL24" s="10">
        <v>35347.300000000003</v>
      </c>
      <c r="AM24" s="10">
        <v>65003.1</v>
      </c>
      <c r="AN24" s="10">
        <v>131757.4</v>
      </c>
      <c r="AO24" s="9">
        <v>4.0367168036663003E-3</v>
      </c>
      <c r="AP24" s="9">
        <v>0.57569999999999999</v>
      </c>
      <c r="AQ24" s="9">
        <v>13.659812223515278</v>
      </c>
      <c r="AR24" s="9">
        <v>13.737088473799904</v>
      </c>
      <c r="AS24" s="9">
        <v>27.396900697315179</v>
      </c>
      <c r="AT24" s="9">
        <v>19.123737112921383</v>
      </c>
      <c r="AU24" s="9">
        <v>45.153518505679656</v>
      </c>
      <c r="AV24" s="9">
        <v>64.277255618601046</v>
      </c>
      <c r="AW24" s="11">
        <v>1430.9877078749637</v>
      </c>
      <c r="AX24" s="11">
        <v>840.52640510882077</v>
      </c>
      <c r="AY24" t="s">
        <v>949</v>
      </c>
      <c r="AZ24" t="s">
        <v>950</v>
      </c>
      <c r="BA24" t="s">
        <v>951</v>
      </c>
      <c r="BB24" t="s">
        <v>970</v>
      </c>
      <c r="BC24" t="b">
        <v>1</v>
      </c>
    </row>
    <row r="25" spans="1:55">
      <c r="A25" t="s">
        <v>1010</v>
      </c>
      <c r="B25" t="s">
        <v>939</v>
      </c>
      <c r="C25">
        <v>146000</v>
      </c>
      <c r="D25">
        <v>112100</v>
      </c>
      <c r="E25">
        <v>146000</v>
      </c>
      <c r="F25">
        <v>245800</v>
      </c>
      <c r="G25" s="9">
        <v>4.1284479403766719E-3</v>
      </c>
      <c r="H25" s="9">
        <v>9.3728152454848456E-3</v>
      </c>
      <c r="I25" s="9">
        <v>1.4059222868227268E-2</v>
      </c>
      <c r="J25" s="10">
        <v>2210</v>
      </c>
      <c r="K25" s="10">
        <v>2210</v>
      </c>
      <c r="L25" s="10">
        <v>2210</v>
      </c>
      <c r="M25" s="10">
        <v>2210</v>
      </c>
      <c r="N25" s="10">
        <v>2210</v>
      </c>
      <c r="O25" s="10">
        <v>2210</v>
      </c>
      <c r="P25" s="10">
        <v>2210</v>
      </c>
      <c r="Q25" s="10">
        <v>2210</v>
      </c>
      <c r="R25" s="10">
        <v>2210</v>
      </c>
      <c r="S25" s="10">
        <v>2210</v>
      </c>
      <c r="T25" s="10">
        <v>2210</v>
      </c>
      <c r="V25" t="s">
        <v>456</v>
      </c>
      <c r="W25" t="s">
        <v>1010</v>
      </c>
      <c r="X25" t="s">
        <v>1011</v>
      </c>
      <c r="Y25" t="s">
        <v>941</v>
      </c>
      <c r="Z25" t="s">
        <v>942</v>
      </c>
      <c r="AB25" t="s">
        <v>465</v>
      </c>
      <c r="AC25" t="s">
        <v>464</v>
      </c>
      <c r="AD25" t="s">
        <v>968</v>
      </c>
      <c r="AF25" t="s">
        <v>944</v>
      </c>
      <c r="AG25" t="s">
        <v>999</v>
      </c>
      <c r="AH25" t="s">
        <v>946</v>
      </c>
      <c r="AI25" t="s">
        <v>977</v>
      </c>
      <c r="AJ25" t="s">
        <v>948</v>
      </c>
      <c r="AK25">
        <v>6</v>
      </c>
      <c r="AL25" s="10">
        <v>112.1</v>
      </c>
      <c r="AM25" s="10">
        <v>146</v>
      </c>
      <c r="AN25" s="10">
        <v>245.8</v>
      </c>
      <c r="AO25" s="9">
        <v>0.61563621111249933</v>
      </c>
      <c r="AP25" s="9">
        <v>13.796900000000001</v>
      </c>
      <c r="AQ25" s="9">
        <v>0.4084479403766712</v>
      </c>
      <c r="AR25" s="9">
        <v>3.7200000000000006</v>
      </c>
      <c r="AS25" s="9">
        <v>4.1284479403766721</v>
      </c>
      <c r="AT25" s="9">
        <v>0.69281524548484519</v>
      </c>
      <c r="AU25" s="9">
        <v>8.6800000000000015</v>
      </c>
      <c r="AV25" s="9">
        <v>9.3728152454848459</v>
      </c>
      <c r="AW25" s="11">
        <v>2.21</v>
      </c>
      <c r="AX25" s="11">
        <v>2.21</v>
      </c>
      <c r="AY25" t="s">
        <v>969</v>
      </c>
      <c r="AZ25" t="s">
        <v>950</v>
      </c>
      <c r="BA25" t="s">
        <v>951</v>
      </c>
      <c r="BB25" t="s">
        <v>970</v>
      </c>
      <c r="BC25" t="b">
        <v>1</v>
      </c>
    </row>
    <row r="26" spans="1:55">
      <c r="A26" t="s">
        <v>1012</v>
      </c>
      <c r="B26" t="s">
        <v>939</v>
      </c>
      <c r="C26">
        <v>492000</v>
      </c>
      <c r="D26">
        <v>267500</v>
      </c>
      <c r="E26">
        <v>492000</v>
      </c>
      <c r="F26">
        <v>997300</v>
      </c>
      <c r="G26" s="9">
        <v>3.009346036619753E-2</v>
      </c>
      <c r="H26" s="9">
        <v>9.9130472995675997E-2</v>
      </c>
      <c r="I26" s="9">
        <v>0.14869570949351399</v>
      </c>
      <c r="J26" s="10">
        <v>19680</v>
      </c>
      <c r="K26" s="10">
        <v>19680</v>
      </c>
      <c r="L26" s="10">
        <v>19680</v>
      </c>
      <c r="M26" s="10">
        <v>19680</v>
      </c>
      <c r="N26" s="10">
        <v>19680</v>
      </c>
      <c r="O26" s="10">
        <v>19680</v>
      </c>
      <c r="P26" s="10">
        <v>19680</v>
      </c>
      <c r="Q26" s="10">
        <v>19680</v>
      </c>
      <c r="R26" s="10">
        <v>19680</v>
      </c>
      <c r="S26" s="10">
        <v>19680</v>
      </c>
      <c r="T26" s="10">
        <v>19680</v>
      </c>
      <c r="V26" t="s">
        <v>456</v>
      </c>
      <c r="W26" t="s">
        <v>1012</v>
      </c>
      <c r="X26" t="s">
        <v>1013</v>
      </c>
      <c r="Y26" t="s">
        <v>941</v>
      </c>
      <c r="Z26" t="s">
        <v>942</v>
      </c>
      <c r="AB26" t="s">
        <v>465</v>
      </c>
      <c r="AC26" t="s">
        <v>464</v>
      </c>
      <c r="AD26" t="s">
        <v>943</v>
      </c>
      <c r="AF26" t="s">
        <v>944</v>
      </c>
      <c r="AG26" t="s">
        <v>945</v>
      </c>
      <c r="AH26" t="s">
        <v>946</v>
      </c>
      <c r="AI26" t="s">
        <v>947</v>
      </c>
      <c r="AJ26" t="s">
        <v>948</v>
      </c>
      <c r="AK26">
        <v>8</v>
      </c>
      <c r="AL26" s="10">
        <v>267.5</v>
      </c>
      <c r="AM26" s="10">
        <v>492</v>
      </c>
      <c r="AN26" s="10">
        <v>997.3</v>
      </c>
      <c r="AO26" s="9">
        <v>0.36498027736626992</v>
      </c>
      <c r="AP26" s="9">
        <v>8.1795000000000009</v>
      </c>
      <c r="AQ26" s="9">
        <v>0.43961488482622268</v>
      </c>
      <c r="AR26" s="9">
        <v>29.653845481371302</v>
      </c>
      <c r="AS26" s="9">
        <v>30.09346036619753</v>
      </c>
      <c r="AT26" s="9">
        <v>0.97662926273928163</v>
      </c>
      <c r="AU26" s="9">
        <v>98.153843732936735</v>
      </c>
      <c r="AV26" s="9">
        <v>99.130472995676001</v>
      </c>
      <c r="AW26" s="11">
        <v>19.68</v>
      </c>
      <c r="AX26" s="11">
        <v>19.68</v>
      </c>
      <c r="AY26" t="s">
        <v>949</v>
      </c>
      <c r="AZ26" t="s">
        <v>950</v>
      </c>
      <c r="BA26" t="s">
        <v>951</v>
      </c>
      <c r="BB26" t="s">
        <v>952</v>
      </c>
      <c r="BC26" t="b">
        <v>1</v>
      </c>
    </row>
    <row r="27" spans="1:55">
      <c r="A27" t="s">
        <v>1014</v>
      </c>
      <c r="B27" t="s">
        <v>939</v>
      </c>
      <c r="C27">
        <v>26100</v>
      </c>
      <c r="D27">
        <v>14200</v>
      </c>
      <c r="E27">
        <v>26100</v>
      </c>
      <c r="F27">
        <v>53000</v>
      </c>
      <c r="G27" s="9">
        <v>3.5518028175381307E-2</v>
      </c>
      <c r="H27" s="9">
        <v>0.10636369950455073</v>
      </c>
      <c r="I27" s="9">
        <v>0.1595455492568261</v>
      </c>
      <c r="J27" s="10">
        <v>1044</v>
      </c>
      <c r="K27" s="10">
        <v>1044</v>
      </c>
      <c r="L27" s="10">
        <v>1044</v>
      </c>
      <c r="M27" s="10">
        <v>1044</v>
      </c>
      <c r="N27" s="10">
        <v>1044</v>
      </c>
      <c r="O27" s="10">
        <v>1044</v>
      </c>
      <c r="P27" s="10">
        <v>1044</v>
      </c>
      <c r="Q27" s="10">
        <v>1044</v>
      </c>
      <c r="R27" s="10">
        <v>1044</v>
      </c>
      <c r="S27" s="10">
        <v>1044</v>
      </c>
      <c r="T27" s="10">
        <v>1044</v>
      </c>
      <c r="V27" t="s">
        <v>456</v>
      </c>
      <c r="W27" t="s">
        <v>1014</v>
      </c>
      <c r="X27" t="s">
        <v>1015</v>
      </c>
      <c r="Y27" t="s">
        <v>941</v>
      </c>
      <c r="Z27" t="s">
        <v>942</v>
      </c>
      <c r="AB27" t="s">
        <v>465</v>
      </c>
      <c r="AC27" t="s">
        <v>464</v>
      </c>
      <c r="AD27" t="s">
        <v>943</v>
      </c>
      <c r="AF27" t="s">
        <v>944</v>
      </c>
      <c r="AG27" t="s">
        <v>955</v>
      </c>
      <c r="AH27" t="s">
        <v>956</v>
      </c>
      <c r="AI27" t="s">
        <v>947</v>
      </c>
      <c r="AJ27" t="s">
        <v>948</v>
      </c>
      <c r="AK27">
        <v>1</v>
      </c>
      <c r="AL27" s="10">
        <v>14.2</v>
      </c>
      <c r="AM27" s="10">
        <v>26.1</v>
      </c>
      <c r="AN27" s="10">
        <v>53</v>
      </c>
      <c r="AO27" s="9">
        <v>1.9383511521230801E-2</v>
      </c>
      <c r="AP27" s="9">
        <v>0.43440000000000001</v>
      </c>
      <c r="AQ27" s="9">
        <v>5.8641826940099975</v>
      </c>
      <c r="AR27" s="9">
        <v>29.653845481371309</v>
      </c>
      <c r="AS27" s="9">
        <v>35.518028175381303</v>
      </c>
      <c r="AT27" s="9">
        <v>8.209855771613995</v>
      </c>
      <c r="AU27" s="9">
        <v>98.153843732936721</v>
      </c>
      <c r="AV27" s="9">
        <v>106.36369950455072</v>
      </c>
      <c r="AW27" s="11">
        <v>1.044</v>
      </c>
      <c r="AX27" s="11">
        <v>1.044</v>
      </c>
      <c r="AY27" t="s">
        <v>949</v>
      </c>
      <c r="AZ27" t="s">
        <v>950</v>
      </c>
      <c r="BA27" t="s">
        <v>951</v>
      </c>
      <c r="BB27" t="s">
        <v>952</v>
      </c>
      <c r="BC27" t="b">
        <v>1</v>
      </c>
    </row>
    <row r="28" spans="1:55">
      <c r="A28" t="s">
        <v>1016</v>
      </c>
      <c r="B28" t="s">
        <v>939</v>
      </c>
      <c r="C28">
        <v>12180600</v>
      </c>
      <c r="D28">
        <v>9349000</v>
      </c>
      <c r="E28">
        <v>12180600</v>
      </c>
      <c r="F28">
        <v>20508700</v>
      </c>
      <c r="G28" s="9">
        <v>9.1616236107877023E-3</v>
      </c>
      <c r="H28" s="9">
        <v>2.6390431626444045E-2</v>
      </c>
      <c r="I28" s="9">
        <v>3.9585647439666069E-2</v>
      </c>
      <c r="J28" s="10">
        <v>38761.018222228762</v>
      </c>
      <c r="K28" s="10">
        <v>38761.018222228762</v>
      </c>
      <c r="L28" s="10">
        <v>38761.018222228762</v>
      </c>
      <c r="M28" s="10">
        <v>38761.018222228762</v>
      </c>
      <c r="N28" s="10">
        <v>38761.018222228762</v>
      </c>
      <c r="O28" s="10">
        <v>38761.018222228762</v>
      </c>
      <c r="P28" s="10">
        <v>38761.018222228762</v>
      </c>
      <c r="Q28" s="10">
        <v>38761.018222228762</v>
      </c>
      <c r="R28" s="10">
        <v>38761.018222228762</v>
      </c>
      <c r="S28" s="10">
        <v>38761.018222228762</v>
      </c>
      <c r="T28" s="10">
        <v>38761.018222228762</v>
      </c>
      <c r="V28" t="s">
        <v>456</v>
      </c>
      <c r="W28" t="s">
        <v>1016</v>
      </c>
      <c r="X28" t="s">
        <v>1017</v>
      </c>
      <c r="Y28" t="s">
        <v>941</v>
      </c>
      <c r="Z28" t="s">
        <v>942</v>
      </c>
      <c r="AB28" t="s">
        <v>467</v>
      </c>
      <c r="AC28" t="s">
        <v>466</v>
      </c>
      <c r="AD28" t="s">
        <v>968</v>
      </c>
      <c r="AF28" t="s">
        <v>944</v>
      </c>
      <c r="AG28" t="s">
        <v>945</v>
      </c>
      <c r="AH28" t="s">
        <v>946</v>
      </c>
      <c r="AI28" t="s">
        <v>947</v>
      </c>
      <c r="AJ28" t="s">
        <v>948</v>
      </c>
      <c r="AK28">
        <v>7</v>
      </c>
      <c r="AL28" s="10">
        <v>9349</v>
      </c>
      <c r="AM28" s="10">
        <v>12180.6</v>
      </c>
      <c r="AN28" s="10">
        <v>20508.7</v>
      </c>
      <c r="AO28" s="9">
        <v>0.77132243684992574</v>
      </c>
      <c r="AP28" s="9">
        <v>9.3437999999999999</v>
      </c>
      <c r="AQ28" s="9">
        <v>0.26538101262863428</v>
      </c>
      <c r="AR28" s="9">
        <v>8.896242598159068</v>
      </c>
      <c r="AS28" s="9">
        <v>9.1616236107877018</v>
      </c>
      <c r="AT28" s="9">
        <v>0.67858253288730697</v>
      </c>
      <c r="AU28" s="9">
        <v>25.711849093556733</v>
      </c>
      <c r="AV28" s="9">
        <v>26.390431626444045</v>
      </c>
      <c r="AW28" s="11">
        <v>38.761018222228763</v>
      </c>
      <c r="AX28" s="11">
        <v>38.761018222228763</v>
      </c>
      <c r="AY28" t="s">
        <v>969</v>
      </c>
      <c r="AZ28" t="s">
        <v>950</v>
      </c>
      <c r="BA28" t="s">
        <v>951</v>
      </c>
      <c r="BB28" t="s">
        <v>970</v>
      </c>
      <c r="BC28" t="b">
        <v>1</v>
      </c>
    </row>
    <row r="29" spans="1:55">
      <c r="A29" t="s">
        <v>1018</v>
      </c>
      <c r="B29" t="s">
        <v>939</v>
      </c>
      <c r="C29">
        <v>1407200</v>
      </c>
      <c r="D29">
        <v>1080100</v>
      </c>
      <c r="E29">
        <v>1407200</v>
      </c>
      <c r="F29">
        <v>2369400</v>
      </c>
      <c r="G29" s="9">
        <v>1.4115725536272317E-2</v>
      </c>
      <c r="H29" s="9">
        <v>3.301912520691528E-2</v>
      </c>
      <c r="I29" s="9">
        <v>4.9528687810372923E-2</v>
      </c>
      <c r="J29" s="10">
        <v>4477.981777771236</v>
      </c>
      <c r="K29" s="10">
        <v>4477.981777771236</v>
      </c>
      <c r="L29" s="10">
        <v>4477.981777771236</v>
      </c>
      <c r="M29" s="10">
        <v>4477.981777771236</v>
      </c>
      <c r="N29" s="10">
        <v>4477.981777771236</v>
      </c>
      <c r="O29" s="10">
        <v>4477.981777771236</v>
      </c>
      <c r="P29" s="10">
        <v>4477.981777771236</v>
      </c>
      <c r="Q29" s="10">
        <v>4477.981777771236</v>
      </c>
      <c r="R29" s="10">
        <v>4477.981777771236</v>
      </c>
      <c r="S29" s="10">
        <v>4477.981777771236</v>
      </c>
      <c r="T29" s="10">
        <v>4477.981777771236</v>
      </c>
      <c r="V29" t="s">
        <v>456</v>
      </c>
      <c r="W29" t="s">
        <v>1018</v>
      </c>
      <c r="X29" t="s">
        <v>1019</v>
      </c>
      <c r="Y29" t="s">
        <v>941</v>
      </c>
      <c r="Z29" t="s">
        <v>942</v>
      </c>
      <c r="AB29" t="s">
        <v>467</v>
      </c>
      <c r="AC29" t="s">
        <v>466</v>
      </c>
      <c r="AD29" t="s">
        <v>968</v>
      </c>
      <c r="AF29" t="s">
        <v>944</v>
      </c>
      <c r="AG29" t="s">
        <v>955</v>
      </c>
      <c r="AH29" t="s">
        <v>956</v>
      </c>
      <c r="AI29" t="s">
        <v>947</v>
      </c>
      <c r="AJ29" t="s">
        <v>948</v>
      </c>
      <c r="AK29">
        <v>1</v>
      </c>
      <c r="AL29" s="10">
        <v>1080.0999999999999</v>
      </c>
      <c r="AM29" s="10">
        <v>1407.2</v>
      </c>
      <c r="AN29" s="10">
        <v>2369.4</v>
      </c>
      <c r="AO29" s="9">
        <v>8.9111771504044895E-2</v>
      </c>
      <c r="AP29" s="9">
        <v>1.0794999999999999</v>
      </c>
      <c r="AQ29" s="9">
        <v>5.2194829381132468</v>
      </c>
      <c r="AR29" s="9">
        <v>8.896242598159068</v>
      </c>
      <c r="AS29" s="9">
        <v>14.115725536272317</v>
      </c>
      <c r="AT29" s="9">
        <v>7.3072761133585447</v>
      </c>
      <c r="AU29" s="9">
        <v>25.711849093556733</v>
      </c>
      <c r="AV29" s="9">
        <v>33.019125206915277</v>
      </c>
      <c r="AW29" s="11">
        <v>4.4779817777712356</v>
      </c>
      <c r="AX29" s="11">
        <v>4.4779817777712356</v>
      </c>
      <c r="AY29" t="s">
        <v>969</v>
      </c>
      <c r="AZ29" t="s">
        <v>950</v>
      </c>
      <c r="BA29" t="s">
        <v>951</v>
      </c>
      <c r="BB29" t="s">
        <v>970</v>
      </c>
      <c r="BC29" t="b">
        <v>1</v>
      </c>
    </row>
    <row r="30" spans="1:55">
      <c r="A30" t="s">
        <v>1020</v>
      </c>
      <c r="B30" t="s">
        <v>939</v>
      </c>
      <c r="C30">
        <v>0</v>
      </c>
      <c r="D30">
        <v>0</v>
      </c>
      <c r="E30">
        <v>0</v>
      </c>
      <c r="F30">
        <v>0</v>
      </c>
      <c r="G30" s="9">
        <v>7.8436196413561015E-3</v>
      </c>
      <c r="H30" s="9">
        <v>2.3951412484418073E-2</v>
      </c>
      <c r="I30" s="9">
        <v>3.5927118726627114E-2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V30" t="s">
        <v>456</v>
      </c>
      <c r="W30" t="s">
        <v>1020</v>
      </c>
      <c r="X30" t="s">
        <v>1021</v>
      </c>
      <c r="Y30" t="s">
        <v>941</v>
      </c>
      <c r="Z30" t="s">
        <v>942</v>
      </c>
      <c r="AB30" t="s">
        <v>467</v>
      </c>
      <c r="AC30" t="s">
        <v>466</v>
      </c>
      <c r="AD30" t="s">
        <v>943</v>
      </c>
      <c r="AF30" t="s">
        <v>944</v>
      </c>
      <c r="AG30" t="s">
        <v>959</v>
      </c>
      <c r="AH30" t="s">
        <v>946</v>
      </c>
      <c r="AI30" t="s">
        <v>960</v>
      </c>
      <c r="AJ30" t="s">
        <v>948</v>
      </c>
      <c r="AK30">
        <v>1</v>
      </c>
      <c r="AL30" s="10">
        <v>0</v>
      </c>
      <c r="AM30" s="10">
        <v>0</v>
      </c>
      <c r="AN30" s="10">
        <v>0</v>
      </c>
      <c r="AO30" s="9">
        <v>0.10244345385504371</v>
      </c>
      <c r="AP30" s="9">
        <v>1.2410000000000001</v>
      </c>
      <c r="AQ30" s="9">
        <v>9.3619641356100694E-2</v>
      </c>
      <c r="AR30" s="9">
        <v>7.75</v>
      </c>
      <c r="AS30" s="9">
        <v>7.8436196413561019</v>
      </c>
      <c r="AT30" s="9">
        <v>0.35141248441807349</v>
      </c>
      <c r="AU30" s="9">
        <v>23.6</v>
      </c>
      <c r="AV30" s="9">
        <v>23.951412484418075</v>
      </c>
      <c r="AW30" s="11">
        <v>0</v>
      </c>
      <c r="AX30" s="11">
        <v>0</v>
      </c>
      <c r="AY30" t="s">
        <v>949</v>
      </c>
      <c r="AZ30" t="s">
        <v>950</v>
      </c>
      <c r="BA30" t="s">
        <v>951</v>
      </c>
      <c r="BB30" t="s">
        <v>970</v>
      </c>
      <c r="BC30" t="b">
        <v>1</v>
      </c>
    </row>
    <row r="31" spans="1:55">
      <c r="A31" t="s">
        <v>1022</v>
      </c>
      <c r="B31" t="s">
        <v>939</v>
      </c>
      <c r="C31">
        <v>586200</v>
      </c>
      <c r="D31">
        <v>318800</v>
      </c>
      <c r="E31">
        <v>586200</v>
      </c>
      <c r="F31">
        <v>1188200</v>
      </c>
      <c r="G31" s="9">
        <v>1.4920690638287879E-2</v>
      </c>
      <c r="H31" s="9">
        <v>4.9845600157070492E-2</v>
      </c>
      <c r="I31" s="9">
        <v>7.4768400235605742E-2</v>
      </c>
      <c r="J31" s="10">
        <v>23448</v>
      </c>
      <c r="K31" s="10">
        <v>23448</v>
      </c>
      <c r="L31" s="10">
        <v>23448</v>
      </c>
      <c r="M31" s="10">
        <v>23448</v>
      </c>
      <c r="N31" s="10">
        <v>23448</v>
      </c>
      <c r="O31" s="10">
        <v>23448</v>
      </c>
      <c r="P31" s="10">
        <v>23448</v>
      </c>
      <c r="Q31" s="10">
        <v>23448</v>
      </c>
      <c r="R31" s="10">
        <v>23448</v>
      </c>
      <c r="S31" s="10">
        <v>23448</v>
      </c>
      <c r="T31" s="10">
        <v>23448</v>
      </c>
      <c r="V31" t="s">
        <v>456</v>
      </c>
      <c r="W31" t="s">
        <v>1022</v>
      </c>
      <c r="X31" t="s">
        <v>1021</v>
      </c>
      <c r="Y31" t="s">
        <v>941</v>
      </c>
      <c r="Z31" t="s">
        <v>942</v>
      </c>
      <c r="AB31" t="s">
        <v>467</v>
      </c>
      <c r="AC31" t="s">
        <v>466</v>
      </c>
      <c r="AD31" t="s">
        <v>943</v>
      </c>
      <c r="AF31" t="s">
        <v>944</v>
      </c>
      <c r="AG31" t="s">
        <v>945</v>
      </c>
      <c r="AH31" t="s">
        <v>946</v>
      </c>
      <c r="AI31" t="s">
        <v>947</v>
      </c>
      <c r="AJ31" t="s">
        <v>948</v>
      </c>
      <c r="AK31">
        <v>1</v>
      </c>
      <c r="AL31" s="10">
        <v>318.8</v>
      </c>
      <c r="AM31" s="10">
        <v>586.20000000000005</v>
      </c>
      <c r="AN31" s="10">
        <v>1188.2</v>
      </c>
      <c r="AO31" s="9">
        <v>3.7122337790985602E-2</v>
      </c>
      <c r="AP31" s="9">
        <v>0.44969999999999999</v>
      </c>
      <c r="AQ31" s="9">
        <v>9.3619641356100694E-2</v>
      </c>
      <c r="AR31" s="9">
        <v>14.827070996931781</v>
      </c>
      <c r="AS31" s="9">
        <v>14.92069063828788</v>
      </c>
      <c r="AT31" s="9">
        <v>0.76814456811607901</v>
      </c>
      <c r="AU31" s="9">
        <v>49.077455588954408</v>
      </c>
      <c r="AV31" s="9">
        <v>49.845600157070493</v>
      </c>
      <c r="AW31" s="11">
        <v>23.448</v>
      </c>
      <c r="AX31" s="11">
        <v>23.448</v>
      </c>
      <c r="AY31" t="s">
        <v>949</v>
      </c>
      <c r="AZ31" t="s">
        <v>950</v>
      </c>
      <c r="BA31" t="s">
        <v>951</v>
      </c>
      <c r="BB31" t="s">
        <v>952</v>
      </c>
      <c r="BC31" t="b">
        <v>1</v>
      </c>
    </row>
    <row r="32" spans="1:55">
      <c r="A32" t="s">
        <v>1023</v>
      </c>
      <c r="B32" t="s">
        <v>939</v>
      </c>
      <c r="C32">
        <v>2500</v>
      </c>
      <c r="D32">
        <v>1400</v>
      </c>
      <c r="E32">
        <v>2500</v>
      </c>
      <c r="F32">
        <v>5100</v>
      </c>
      <c r="G32" s="9">
        <v>6.5218844137412885E-2</v>
      </c>
      <c r="H32" s="9">
        <v>0.13002769806292336</v>
      </c>
      <c r="I32" s="9">
        <v>0.19504154709438504</v>
      </c>
      <c r="J32" s="10">
        <v>100</v>
      </c>
      <c r="K32" s="10">
        <v>100</v>
      </c>
      <c r="L32" s="10">
        <v>100</v>
      </c>
      <c r="M32" s="10">
        <v>100</v>
      </c>
      <c r="N32" s="10">
        <v>100</v>
      </c>
      <c r="O32" s="10">
        <v>100</v>
      </c>
      <c r="P32" s="10">
        <v>100</v>
      </c>
      <c r="Q32" s="10">
        <v>100</v>
      </c>
      <c r="R32" s="10">
        <v>100</v>
      </c>
      <c r="S32" s="10">
        <v>100</v>
      </c>
      <c r="T32" s="10">
        <v>100</v>
      </c>
      <c r="V32" t="s">
        <v>456</v>
      </c>
      <c r="W32" t="s">
        <v>1023</v>
      </c>
      <c r="X32" t="s">
        <v>1024</v>
      </c>
      <c r="Y32" t="s">
        <v>941</v>
      </c>
      <c r="Z32" t="s">
        <v>942</v>
      </c>
      <c r="AB32" t="s">
        <v>469</v>
      </c>
      <c r="AC32" t="s">
        <v>468</v>
      </c>
      <c r="AD32" t="s">
        <v>943</v>
      </c>
      <c r="AF32" t="s">
        <v>986</v>
      </c>
      <c r="AG32" t="s">
        <v>1025</v>
      </c>
      <c r="AH32" t="s">
        <v>946</v>
      </c>
      <c r="AI32" t="s">
        <v>947</v>
      </c>
      <c r="AJ32" t="s">
        <v>989</v>
      </c>
      <c r="AK32">
        <v>4</v>
      </c>
      <c r="AL32" s="10">
        <v>1.4</v>
      </c>
      <c r="AM32" s="10">
        <v>2.5</v>
      </c>
      <c r="AN32" s="10">
        <v>5.0999999999999996</v>
      </c>
      <c r="AO32" s="9">
        <v>7.9952716135618704E-2</v>
      </c>
      <c r="AP32" s="9">
        <v>1.9343999999999999</v>
      </c>
      <c r="AQ32" s="9">
        <v>23.703028321597056</v>
      </c>
      <c r="AR32" s="9">
        <v>41.51581581581582</v>
      </c>
      <c r="AS32" s="9">
        <v>65.218844137412887</v>
      </c>
      <c r="AT32" s="9">
        <v>51.565235600460902</v>
      </c>
      <c r="AU32" s="9">
        <v>78.462462462462469</v>
      </c>
      <c r="AV32" s="9">
        <v>130.02769806292335</v>
      </c>
      <c r="AW32" s="11">
        <v>0.1</v>
      </c>
      <c r="AX32" s="11">
        <v>0.1</v>
      </c>
      <c r="AY32" t="s">
        <v>949</v>
      </c>
      <c r="AZ32" t="s">
        <v>950</v>
      </c>
      <c r="BA32" t="s">
        <v>951</v>
      </c>
      <c r="BB32" t="s">
        <v>952</v>
      </c>
      <c r="BC32" t="b">
        <v>1</v>
      </c>
    </row>
    <row r="33" spans="1:55">
      <c r="A33" t="s">
        <v>1026</v>
      </c>
      <c r="B33" t="s">
        <v>939</v>
      </c>
      <c r="C33">
        <v>12500</v>
      </c>
      <c r="D33">
        <v>6800</v>
      </c>
      <c r="E33">
        <v>12500</v>
      </c>
      <c r="F33">
        <v>25300</v>
      </c>
      <c r="G33" s="9">
        <v>6.5013851909113962E-2</v>
      </c>
      <c r="H33" s="9">
        <v>0.12556006934185487</v>
      </c>
      <c r="I33" s="9">
        <v>0.18834010401278231</v>
      </c>
      <c r="J33" s="10">
        <v>500</v>
      </c>
      <c r="K33" s="10">
        <v>500</v>
      </c>
      <c r="L33" s="10">
        <v>500</v>
      </c>
      <c r="M33" s="10">
        <v>500</v>
      </c>
      <c r="N33" s="10">
        <v>500</v>
      </c>
      <c r="O33" s="10">
        <v>500</v>
      </c>
      <c r="P33" s="10">
        <v>500</v>
      </c>
      <c r="Q33" s="10">
        <v>500</v>
      </c>
      <c r="R33" s="10">
        <v>500</v>
      </c>
      <c r="S33" s="10">
        <v>500</v>
      </c>
      <c r="T33" s="10">
        <v>500</v>
      </c>
      <c r="V33" t="s">
        <v>456</v>
      </c>
      <c r="W33" t="s">
        <v>1026</v>
      </c>
      <c r="X33" t="s">
        <v>1027</v>
      </c>
      <c r="Y33" t="s">
        <v>941</v>
      </c>
      <c r="Z33" t="s">
        <v>942</v>
      </c>
      <c r="AB33" t="s">
        <v>469</v>
      </c>
      <c r="AC33" t="s">
        <v>468</v>
      </c>
      <c r="AD33" t="s">
        <v>943</v>
      </c>
      <c r="AF33" t="s">
        <v>986</v>
      </c>
      <c r="AG33" t="s">
        <v>1028</v>
      </c>
      <c r="AH33" t="s">
        <v>956</v>
      </c>
      <c r="AI33" t="s">
        <v>947</v>
      </c>
      <c r="AJ33" t="s">
        <v>989</v>
      </c>
      <c r="AK33">
        <v>12</v>
      </c>
      <c r="AL33" s="10">
        <v>6.8</v>
      </c>
      <c r="AM33" s="10">
        <v>12.5</v>
      </c>
      <c r="AN33" s="10">
        <v>25.3</v>
      </c>
      <c r="AO33" s="9">
        <v>0.40063568691799301</v>
      </c>
      <c r="AP33" s="9">
        <v>9.6930999999999994</v>
      </c>
      <c r="AQ33" s="9">
        <v>23.498036093298161</v>
      </c>
      <c r="AR33" s="9">
        <v>41.51581581581582</v>
      </c>
      <c r="AS33" s="9">
        <v>65.013851909113967</v>
      </c>
      <c r="AT33" s="9">
        <v>47.097606879392409</v>
      </c>
      <c r="AU33" s="9">
        <v>78.462462462462483</v>
      </c>
      <c r="AV33" s="9">
        <v>125.56006934185488</v>
      </c>
      <c r="AW33" s="11">
        <v>0.5</v>
      </c>
      <c r="AX33" s="11">
        <v>0.5</v>
      </c>
      <c r="AY33" t="s">
        <v>949</v>
      </c>
      <c r="AZ33" t="s">
        <v>950</v>
      </c>
      <c r="BA33" t="s">
        <v>951</v>
      </c>
      <c r="BB33" t="s">
        <v>952</v>
      </c>
      <c r="BC33" t="b">
        <v>1</v>
      </c>
    </row>
    <row r="34" spans="1:55">
      <c r="A34" t="s">
        <v>1029</v>
      </c>
      <c r="B34" t="s">
        <v>939</v>
      </c>
      <c r="C34">
        <v>294800</v>
      </c>
      <c r="D34">
        <v>160300</v>
      </c>
      <c r="E34">
        <v>294800</v>
      </c>
      <c r="F34">
        <v>597600</v>
      </c>
      <c r="G34" s="9">
        <v>1.4987992877135951E-2</v>
      </c>
      <c r="H34" s="9">
        <v>4.9302245024879246E-2</v>
      </c>
      <c r="I34" s="9">
        <v>7.3953367537318876E-2</v>
      </c>
      <c r="J34" s="10">
        <v>11792</v>
      </c>
      <c r="K34" s="10">
        <v>11792</v>
      </c>
      <c r="L34" s="10">
        <v>11792</v>
      </c>
      <c r="M34" s="10">
        <v>11792</v>
      </c>
      <c r="N34" s="10">
        <v>11792</v>
      </c>
      <c r="O34" s="10">
        <v>11792</v>
      </c>
      <c r="P34" s="10">
        <v>11792</v>
      </c>
      <c r="Q34" s="10">
        <v>11792</v>
      </c>
      <c r="R34" s="10">
        <v>11792</v>
      </c>
      <c r="S34" s="10">
        <v>11792</v>
      </c>
      <c r="T34" s="10">
        <v>11792</v>
      </c>
      <c r="V34" t="s">
        <v>456</v>
      </c>
      <c r="W34" t="s">
        <v>1029</v>
      </c>
      <c r="X34" t="s">
        <v>1030</v>
      </c>
      <c r="Y34" t="s">
        <v>941</v>
      </c>
      <c r="Z34" t="s">
        <v>942</v>
      </c>
      <c r="AB34" t="s">
        <v>469</v>
      </c>
      <c r="AC34" t="s">
        <v>468</v>
      </c>
      <c r="AD34" t="s">
        <v>943</v>
      </c>
      <c r="AF34" t="s">
        <v>944</v>
      </c>
      <c r="AG34" t="s">
        <v>945</v>
      </c>
      <c r="AH34" t="s">
        <v>946</v>
      </c>
      <c r="AI34" t="s">
        <v>947</v>
      </c>
      <c r="AJ34" t="s">
        <v>948</v>
      </c>
      <c r="AK34">
        <v>6</v>
      </c>
      <c r="AL34" s="10">
        <v>160.30000000000001</v>
      </c>
      <c r="AM34" s="10">
        <v>294.8</v>
      </c>
      <c r="AN34" s="10">
        <v>597.6</v>
      </c>
      <c r="AO34" s="9">
        <v>0.51941159694638828</v>
      </c>
      <c r="AP34" s="9">
        <v>12.566800000000001</v>
      </c>
      <c r="AQ34" s="9">
        <v>0.16091580005887679</v>
      </c>
      <c r="AR34" s="9">
        <v>14.827077077077078</v>
      </c>
      <c r="AS34" s="9">
        <v>14.987992877135952</v>
      </c>
      <c r="AT34" s="9">
        <v>0.224767547401759</v>
      </c>
      <c r="AU34" s="9">
        <v>49.077477477477487</v>
      </c>
      <c r="AV34" s="9">
        <v>49.302245024879248</v>
      </c>
      <c r="AW34" s="11">
        <v>11.792</v>
      </c>
      <c r="AX34" s="11">
        <v>11.792</v>
      </c>
      <c r="AY34" t="s">
        <v>949</v>
      </c>
      <c r="AZ34" t="s">
        <v>950</v>
      </c>
      <c r="BA34" t="s">
        <v>951</v>
      </c>
      <c r="BB34" t="s">
        <v>952</v>
      </c>
      <c r="BC34" t="b">
        <v>1</v>
      </c>
    </row>
    <row r="35" spans="1:55">
      <c r="A35" t="s">
        <v>1031</v>
      </c>
      <c r="B35" t="s">
        <v>939</v>
      </c>
      <c r="C35">
        <v>330800</v>
      </c>
      <c r="D35">
        <v>253900</v>
      </c>
      <c r="E35">
        <v>330800</v>
      </c>
      <c r="F35">
        <v>556900</v>
      </c>
      <c r="G35" s="9">
        <v>3.8718160798596655E-3</v>
      </c>
      <c r="H35" s="9">
        <v>9.7315539352933536E-3</v>
      </c>
      <c r="I35" s="9">
        <v>1.459733090294003E-2</v>
      </c>
      <c r="J35" s="10">
        <v>1030.6797932020679</v>
      </c>
      <c r="K35" s="10">
        <v>1030.6797932020679</v>
      </c>
      <c r="L35" s="10">
        <v>1030.6797932020679</v>
      </c>
      <c r="M35" s="10">
        <v>1030.6797932020679</v>
      </c>
      <c r="N35" s="10">
        <v>1030.6797932020679</v>
      </c>
      <c r="O35" s="10">
        <v>1030.6797932020679</v>
      </c>
      <c r="P35" s="10">
        <v>1030.6797932020679</v>
      </c>
      <c r="Q35" s="10">
        <v>1030.6797932020679</v>
      </c>
      <c r="R35" s="10">
        <v>1030.6797932020679</v>
      </c>
      <c r="S35" s="10">
        <v>1030.6797932020679</v>
      </c>
      <c r="T35" s="10">
        <v>1030.6797932020679</v>
      </c>
      <c r="V35" t="s">
        <v>456</v>
      </c>
      <c r="W35" t="s">
        <v>1031</v>
      </c>
      <c r="X35" t="s">
        <v>1032</v>
      </c>
      <c r="Y35" t="s">
        <v>941</v>
      </c>
      <c r="Z35" t="s">
        <v>942</v>
      </c>
      <c r="AB35" t="s">
        <v>82</v>
      </c>
      <c r="AC35" t="s">
        <v>19</v>
      </c>
      <c r="AD35" t="s">
        <v>968</v>
      </c>
      <c r="AF35" t="s">
        <v>944</v>
      </c>
      <c r="AG35" t="s">
        <v>999</v>
      </c>
      <c r="AH35" t="s">
        <v>946</v>
      </c>
      <c r="AI35" t="s">
        <v>977</v>
      </c>
      <c r="AJ35" t="s">
        <v>948</v>
      </c>
      <c r="AK35">
        <v>15</v>
      </c>
      <c r="AL35" s="10">
        <v>253.9</v>
      </c>
      <c r="AM35" s="10">
        <v>330.8</v>
      </c>
      <c r="AN35" s="10">
        <v>556.9</v>
      </c>
      <c r="AO35" s="9">
        <v>0.23762835162712839</v>
      </c>
      <c r="AP35" s="9">
        <v>11.073600000000001</v>
      </c>
      <c r="AQ35" s="9">
        <v>0.15181607985966519</v>
      </c>
      <c r="AR35" s="9">
        <v>3.720000000000002</v>
      </c>
      <c r="AS35" s="9">
        <v>3.8718160798596655</v>
      </c>
      <c r="AT35" s="9">
        <v>1.0515539352933538</v>
      </c>
      <c r="AU35" s="9">
        <v>8.6800000000000033</v>
      </c>
      <c r="AV35" s="9">
        <v>9.7315539352933538</v>
      </c>
      <c r="AW35" s="11">
        <v>1.0306797932020679</v>
      </c>
      <c r="AX35" s="11">
        <v>1.0306797932020679</v>
      </c>
      <c r="AY35" t="s">
        <v>969</v>
      </c>
      <c r="AZ35" t="s">
        <v>950</v>
      </c>
      <c r="BA35" t="s">
        <v>951</v>
      </c>
      <c r="BB35" t="s">
        <v>970</v>
      </c>
      <c r="BC35" t="b">
        <v>1</v>
      </c>
    </row>
    <row r="36" spans="1:55">
      <c r="A36" t="s">
        <v>1033</v>
      </c>
      <c r="B36" t="s">
        <v>939</v>
      </c>
      <c r="C36">
        <v>802200</v>
      </c>
      <c r="D36">
        <v>615700</v>
      </c>
      <c r="E36">
        <v>802200</v>
      </c>
      <c r="F36">
        <v>1350700</v>
      </c>
      <c r="G36" s="9">
        <v>5.3729618446406143E-3</v>
      </c>
      <c r="H36" s="9">
        <v>1.258824723152838E-2</v>
      </c>
      <c r="I36" s="9">
        <v>1.8882370847292572E-2</v>
      </c>
      <c r="J36" s="10">
        <v>2499.4296557034431</v>
      </c>
      <c r="K36" s="10">
        <v>2499.4296557034431</v>
      </c>
      <c r="L36" s="10">
        <v>2499.4296557034431</v>
      </c>
      <c r="M36" s="10">
        <v>2499.4296557034431</v>
      </c>
      <c r="N36" s="10">
        <v>2499.4296557034431</v>
      </c>
      <c r="O36" s="10">
        <v>2499.4296557034431</v>
      </c>
      <c r="P36" s="10">
        <v>2499.4296557034431</v>
      </c>
      <c r="Q36" s="10">
        <v>2499.4296557034431</v>
      </c>
      <c r="R36" s="10">
        <v>2499.4296557034431</v>
      </c>
      <c r="S36" s="10">
        <v>2499.4296557034431</v>
      </c>
      <c r="T36" s="10">
        <v>2499.4296557034431</v>
      </c>
      <c r="V36" t="s">
        <v>456</v>
      </c>
      <c r="W36" t="s">
        <v>1033</v>
      </c>
      <c r="X36" t="s">
        <v>1034</v>
      </c>
      <c r="Y36" t="s">
        <v>941</v>
      </c>
      <c r="Z36" t="s">
        <v>942</v>
      </c>
      <c r="AB36" t="s">
        <v>82</v>
      </c>
      <c r="AC36" t="s">
        <v>19</v>
      </c>
      <c r="AD36" t="s">
        <v>968</v>
      </c>
      <c r="AF36" t="s">
        <v>944</v>
      </c>
      <c r="AG36" t="s">
        <v>976</v>
      </c>
      <c r="AH36" t="s">
        <v>956</v>
      </c>
      <c r="AI36" t="s">
        <v>977</v>
      </c>
      <c r="AJ36" t="s">
        <v>948</v>
      </c>
      <c r="AK36">
        <v>16</v>
      </c>
      <c r="AL36" s="10">
        <v>615.70000000000005</v>
      </c>
      <c r="AM36" s="10">
        <v>802.2</v>
      </c>
      <c r="AN36" s="10">
        <v>1350.7</v>
      </c>
      <c r="AO36" s="9">
        <v>0.57631999656656052</v>
      </c>
      <c r="AP36" s="9">
        <v>26.8568</v>
      </c>
      <c r="AQ36" s="9">
        <v>1.6529618446406136</v>
      </c>
      <c r="AR36" s="9">
        <v>3.7200000000000006</v>
      </c>
      <c r="AS36" s="9">
        <v>5.3729618446406144</v>
      </c>
      <c r="AT36" s="9">
        <v>3.9082472315283798</v>
      </c>
      <c r="AU36" s="9">
        <v>8.6800000000000015</v>
      </c>
      <c r="AV36" s="9">
        <v>12.58824723152838</v>
      </c>
      <c r="AW36" s="11">
        <v>2.4994296557034432</v>
      </c>
      <c r="AX36" s="11">
        <v>2.4994296557034432</v>
      </c>
      <c r="AY36" t="s">
        <v>969</v>
      </c>
      <c r="AZ36" t="s">
        <v>950</v>
      </c>
      <c r="BA36" t="s">
        <v>951</v>
      </c>
      <c r="BB36" t="s">
        <v>970</v>
      </c>
      <c r="BC36" t="b">
        <v>1</v>
      </c>
    </row>
    <row r="37" spans="1:55">
      <c r="A37" t="s">
        <v>1035</v>
      </c>
      <c r="B37" t="s">
        <v>939</v>
      </c>
      <c r="C37">
        <v>2503400</v>
      </c>
      <c r="D37">
        <v>1921400</v>
      </c>
      <c r="E37">
        <v>2503400</v>
      </c>
      <c r="F37">
        <v>4215000</v>
      </c>
      <c r="G37" s="9">
        <v>1.4789460785896661E-2</v>
      </c>
      <c r="H37" s="9"/>
      <c r="I37" s="9"/>
      <c r="J37" s="10">
        <v>7799.8905510944887</v>
      </c>
      <c r="K37" s="10">
        <v>7799.8905510944887</v>
      </c>
      <c r="L37" s="10">
        <v>7799.8905510944887</v>
      </c>
      <c r="M37" s="10">
        <v>7799.8905510944887</v>
      </c>
      <c r="N37" s="10">
        <v>7799.8905510944887</v>
      </c>
      <c r="O37" s="10">
        <v>7799.8905510944887</v>
      </c>
      <c r="P37" s="10">
        <v>7799.8905510944887</v>
      </c>
      <c r="Q37" s="10">
        <v>7799.8905510944887</v>
      </c>
      <c r="R37" s="10">
        <v>7799.8905510944887</v>
      </c>
      <c r="S37" s="10">
        <v>7799.8905510944887</v>
      </c>
      <c r="T37" s="10">
        <v>7799.8905510944887</v>
      </c>
      <c r="V37" t="s">
        <v>456</v>
      </c>
      <c r="W37" t="s">
        <v>1035</v>
      </c>
      <c r="X37" t="s">
        <v>1036</v>
      </c>
      <c r="Y37" t="s">
        <v>941</v>
      </c>
      <c r="Z37" t="s">
        <v>942</v>
      </c>
      <c r="AB37" t="s">
        <v>82</v>
      </c>
      <c r="AC37" t="s">
        <v>19</v>
      </c>
      <c r="AD37" t="s">
        <v>968</v>
      </c>
      <c r="AF37" t="s">
        <v>944</v>
      </c>
      <c r="AG37" t="s">
        <v>1037</v>
      </c>
      <c r="AH37" t="s">
        <v>988</v>
      </c>
      <c r="AI37" t="s">
        <v>947</v>
      </c>
      <c r="AJ37" t="s">
        <v>948</v>
      </c>
      <c r="AK37">
        <v>1</v>
      </c>
      <c r="AL37" s="10">
        <v>1921.4</v>
      </c>
      <c r="AM37" s="10">
        <v>2503.4</v>
      </c>
      <c r="AN37" s="10">
        <v>4215</v>
      </c>
      <c r="AO37" s="9">
        <v>1.31672406948423E-2</v>
      </c>
      <c r="AP37" s="9">
        <v>0.61360000000000003</v>
      </c>
      <c r="AQ37" s="9">
        <v>6.0305530475591071</v>
      </c>
      <c r="AR37" s="9">
        <v>8.7589077383375535</v>
      </c>
      <c r="AS37" s="9">
        <v>14.789460785896662</v>
      </c>
      <c r="AT37" s="9"/>
      <c r="AU37" s="9"/>
      <c r="AV37" s="9"/>
      <c r="AW37" s="11">
        <v>7.7998905510944887</v>
      </c>
      <c r="AX37" s="11">
        <v>7.7998905510944887</v>
      </c>
      <c r="AY37" t="s">
        <v>969</v>
      </c>
      <c r="AZ37" t="s">
        <v>950</v>
      </c>
      <c r="BA37" t="s">
        <v>951</v>
      </c>
      <c r="BB37" t="s">
        <v>970</v>
      </c>
      <c r="BC37" t="b">
        <v>0</v>
      </c>
    </row>
    <row r="38" spans="1:55">
      <c r="A38" t="s">
        <v>1038</v>
      </c>
      <c r="B38" t="s">
        <v>939</v>
      </c>
      <c r="C38">
        <v>29776600</v>
      </c>
      <c r="D38">
        <v>16191800</v>
      </c>
      <c r="E38">
        <v>29776600</v>
      </c>
      <c r="F38">
        <v>60355300</v>
      </c>
      <c r="G38" s="9">
        <v>1.4901776024988506E-2</v>
      </c>
      <c r="H38" s="9">
        <v>4.9039354088633087E-2</v>
      </c>
      <c r="I38" s="9">
        <v>7.3559031132949634E-2</v>
      </c>
      <c r="J38" s="10">
        <v>474738.89772133995</v>
      </c>
      <c r="K38" s="10">
        <v>463680.25329165952</v>
      </c>
      <c r="L38" s="10">
        <v>452621.60886197921</v>
      </c>
      <c r="M38" s="10">
        <v>441562.96443229885</v>
      </c>
      <c r="N38" s="10">
        <v>430504.32000261848</v>
      </c>
      <c r="O38" s="10">
        <v>419445.67557293811</v>
      </c>
      <c r="P38" s="10">
        <v>397328.38671357738</v>
      </c>
      <c r="Q38" s="10">
        <v>375211.0978542167</v>
      </c>
      <c r="R38" s="10">
        <v>353093.80899485596</v>
      </c>
      <c r="S38" s="10">
        <v>330976.52013549523</v>
      </c>
      <c r="T38" s="10">
        <v>308859.23127613449</v>
      </c>
      <c r="V38" t="s">
        <v>456</v>
      </c>
      <c r="W38" t="s">
        <v>1038</v>
      </c>
      <c r="X38" t="s">
        <v>1039</v>
      </c>
      <c r="Y38" t="s">
        <v>941</v>
      </c>
      <c r="Z38" t="s">
        <v>942</v>
      </c>
      <c r="AB38" t="s">
        <v>82</v>
      </c>
      <c r="AC38" t="s">
        <v>19</v>
      </c>
      <c r="AD38" t="s">
        <v>943</v>
      </c>
      <c r="AF38" t="s">
        <v>944</v>
      </c>
      <c r="AG38" t="s">
        <v>945</v>
      </c>
      <c r="AH38" t="s">
        <v>946</v>
      </c>
      <c r="AI38" t="s">
        <v>947</v>
      </c>
      <c r="AJ38" t="s">
        <v>948</v>
      </c>
      <c r="AK38">
        <v>9</v>
      </c>
      <c r="AL38" s="10">
        <v>16191.8</v>
      </c>
      <c r="AM38" s="10">
        <v>29776.6</v>
      </c>
      <c r="AN38" s="10">
        <v>60355.3</v>
      </c>
      <c r="AO38" s="9">
        <v>0.15661849121790539</v>
      </c>
      <c r="AP38" s="9">
        <v>7.2985000000000007</v>
      </c>
      <c r="AQ38" s="9">
        <v>0.3035964610925897</v>
      </c>
      <c r="AR38" s="9">
        <v>14.598179563895922</v>
      </c>
      <c r="AS38" s="9">
        <v>14.901776024988507</v>
      </c>
      <c r="AT38" s="9">
        <v>0.7859076586077719</v>
      </c>
      <c r="AU38" s="9">
        <v>48.253446430025328</v>
      </c>
      <c r="AV38" s="9">
        <v>49.03935408863309</v>
      </c>
      <c r="AW38" s="11">
        <v>474.73889772133992</v>
      </c>
      <c r="AX38" s="11">
        <v>308.85923127613449</v>
      </c>
      <c r="AY38" t="s">
        <v>949</v>
      </c>
      <c r="AZ38" t="s">
        <v>950</v>
      </c>
      <c r="BA38" t="s">
        <v>951</v>
      </c>
      <c r="BB38" t="s">
        <v>970</v>
      </c>
      <c r="BC38" t="b">
        <v>1</v>
      </c>
    </row>
    <row r="39" spans="1:55">
      <c r="A39" t="s">
        <v>1040</v>
      </c>
      <c r="B39" t="s">
        <v>939</v>
      </c>
      <c r="C39">
        <v>7900</v>
      </c>
      <c r="D39">
        <v>4300</v>
      </c>
      <c r="E39">
        <v>7900</v>
      </c>
      <c r="F39">
        <v>16000</v>
      </c>
      <c r="G39" s="9">
        <v>1.4184015498170242E-2</v>
      </c>
      <c r="H39" s="9">
        <v>4.6288876351880316E-2</v>
      </c>
      <c r="I39" s="9">
        <v>6.9433314527820478E-2</v>
      </c>
      <c r="J39" s="10">
        <v>125.95250270341759</v>
      </c>
      <c r="K39" s="10">
        <v>123.01854479705908</v>
      </c>
      <c r="L39" s="10">
        <v>120.08458689070058</v>
      </c>
      <c r="M39" s="10">
        <v>117.15062898434206</v>
      </c>
      <c r="N39" s="10">
        <v>114.21667107798355</v>
      </c>
      <c r="O39" s="10">
        <v>111.28271317162502</v>
      </c>
      <c r="P39" s="10">
        <v>105.414797358908</v>
      </c>
      <c r="Q39" s="10">
        <v>99.546881546190988</v>
      </c>
      <c r="R39" s="10">
        <v>93.678965733473945</v>
      </c>
      <c r="S39" s="10">
        <v>87.811049920756915</v>
      </c>
      <c r="T39" s="10">
        <v>81.943134108039899</v>
      </c>
      <c r="V39" t="s">
        <v>456</v>
      </c>
      <c r="W39" t="s">
        <v>1040</v>
      </c>
      <c r="X39" t="s">
        <v>1041</v>
      </c>
      <c r="Y39" t="s">
        <v>941</v>
      </c>
      <c r="Z39" t="s">
        <v>942</v>
      </c>
      <c r="AB39" t="s">
        <v>82</v>
      </c>
      <c r="AC39" t="s">
        <v>19</v>
      </c>
      <c r="AD39" t="s">
        <v>943</v>
      </c>
      <c r="AF39" t="s">
        <v>944</v>
      </c>
      <c r="AG39" t="s">
        <v>1042</v>
      </c>
      <c r="AH39" t="s">
        <v>988</v>
      </c>
      <c r="AI39" t="s">
        <v>960</v>
      </c>
      <c r="AJ39" t="s">
        <v>948</v>
      </c>
      <c r="AK39">
        <v>2</v>
      </c>
      <c r="AL39" s="10">
        <v>4.3</v>
      </c>
      <c r="AM39" s="10">
        <v>7.9</v>
      </c>
      <c r="AN39" s="10">
        <v>16</v>
      </c>
      <c r="AO39" s="9">
        <v>1.62659198935633E-2</v>
      </c>
      <c r="AP39" s="9">
        <v>0.75800000000000001</v>
      </c>
      <c r="AQ39" s="9">
        <v>6.4340154981702407</v>
      </c>
      <c r="AR39" s="9">
        <v>7.7500000000000018</v>
      </c>
      <c r="AS39" s="9">
        <v>14.184015498170242</v>
      </c>
      <c r="AT39" s="9">
        <v>22.688876351880317</v>
      </c>
      <c r="AU39" s="9">
        <v>23.6</v>
      </c>
      <c r="AV39" s="9">
        <v>46.288876351880319</v>
      </c>
      <c r="AW39" s="11">
        <v>0.1259525027034176</v>
      </c>
      <c r="AX39" s="11">
        <v>8.1943134108039897E-2</v>
      </c>
      <c r="AY39" t="s">
        <v>949</v>
      </c>
      <c r="AZ39" t="s">
        <v>950</v>
      </c>
      <c r="BA39" t="s">
        <v>951</v>
      </c>
      <c r="BB39" t="s">
        <v>970</v>
      </c>
      <c r="BC39" t="b">
        <v>1</v>
      </c>
    </row>
    <row r="40" spans="1:55">
      <c r="A40" t="s">
        <v>1043</v>
      </c>
      <c r="B40" t="s">
        <v>939</v>
      </c>
      <c r="C40">
        <v>85700</v>
      </c>
      <c r="D40">
        <v>46600</v>
      </c>
      <c r="E40">
        <v>85700</v>
      </c>
      <c r="F40">
        <v>173600</v>
      </c>
      <c r="G40" s="9">
        <v>8.4840630440315805E-3</v>
      </c>
      <c r="H40" s="9"/>
      <c r="I40" s="9"/>
      <c r="J40" s="10">
        <v>3428</v>
      </c>
      <c r="K40" s="10">
        <v>3428</v>
      </c>
      <c r="L40" s="10">
        <v>3428</v>
      </c>
      <c r="M40" s="10">
        <v>3428</v>
      </c>
      <c r="N40" s="10">
        <v>3428</v>
      </c>
      <c r="O40" s="10">
        <v>3428</v>
      </c>
      <c r="P40" s="10">
        <v>3428</v>
      </c>
      <c r="Q40" s="10">
        <v>3428</v>
      </c>
      <c r="R40" s="10">
        <v>3428</v>
      </c>
      <c r="S40" s="10">
        <v>3428</v>
      </c>
      <c r="T40" s="10">
        <v>3428</v>
      </c>
      <c r="V40" t="s">
        <v>456</v>
      </c>
      <c r="W40" t="s">
        <v>1043</v>
      </c>
      <c r="X40" t="s">
        <v>1044</v>
      </c>
      <c r="Y40" t="s">
        <v>941</v>
      </c>
      <c r="Z40" t="s">
        <v>942</v>
      </c>
      <c r="AB40" t="s">
        <v>471</v>
      </c>
      <c r="AC40" t="s">
        <v>470</v>
      </c>
      <c r="AD40" t="s">
        <v>943</v>
      </c>
      <c r="AF40" t="s">
        <v>944</v>
      </c>
      <c r="AG40" t="s">
        <v>959</v>
      </c>
      <c r="AH40" t="s">
        <v>946</v>
      </c>
      <c r="AI40" t="s">
        <v>960</v>
      </c>
      <c r="AJ40" t="s">
        <v>948</v>
      </c>
      <c r="AK40">
        <v>5</v>
      </c>
      <c r="AL40" s="10">
        <v>46.6</v>
      </c>
      <c r="AM40" s="10">
        <v>85.7</v>
      </c>
      <c r="AN40" s="10">
        <v>173.6</v>
      </c>
      <c r="AO40" s="9">
        <v>0.15341295271385569</v>
      </c>
      <c r="AP40" s="9">
        <v>3.6339999999999999</v>
      </c>
      <c r="AQ40" s="9">
        <v>0.73406304403157974</v>
      </c>
      <c r="AR40" s="9">
        <v>7.75</v>
      </c>
      <c r="AS40" s="9">
        <v>8.484063044031581</v>
      </c>
      <c r="AT40" s="9"/>
      <c r="AU40" s="9"/>
      <c r="AV40" s="9"/>
      <c r="AW40" s="11">
        <v>3.4279999999999999</v>
      </c>
      <c r="AX40" s="11">
        <v>3.4279999999999999</v>
      </c>
      <c r="AY40" t="s">
        <v>949</v>
      </c>
      <c r="AZ40" t="s">
        <v>950</v>
      </c>
      <c r="BA40" t="s">
        <v>951</v>
      </c>
      <c r="BB40" t="s">
        <v>952</v>
      </c>
      <c r="BC40" t="b">
        <v>0</v>
      </c>
    </row>
    <row r="41" spans="1:55">
      <c r="A41" t="s">
        <v>1045</v>
      </c>
      <c r="B41" t="s">
        <v>939</v>
      </c>
      <c r="C41">
        <v>3693600</v>
      </c>
      <c r="D41">
        <v>2008500</v>
      </c>
      <c r="E41">
        <v>3693600</v>
      </c>
      <c r="F41">
        <v>7486600</v>
      </c>
      <c r="G41" s="9">
        <v>1.5181925309262961E-2</v>
      </c>
      <c r="H41" s="9">
        <v>5.0943311095558642E-2</v>
      </c>
      <c r="I41" s="9">
        <v>7.6414966643337967E-2</v>
      </c>
      <c r="J41" s="10">
        <v>147744</v>
      </c>
      <c r="K41" s="10">
        <v>147744</v>
      </c>
      <c r="L41" s="10">
        <v>147744</v>
      </c>
      <c r="M41" s="10">
        <v>147744</v>
      </c>
      <c r="N41" s="10">
        <v>147744</v>
      </c>
      <c r="O41" s="10">
        <v>147744</v>
      </c>
      <c r="P41" s="10">
        <v>147744</v>
      </c>
      <c r="Q41" s="10">
        <v>147744</v>
      </c>
      <c r="R41" s="10">
        <v>147744</v>
      </c>
      <c r="S41" s="10">
        <v>147744</v>
      </c>
      <c r="T41" s="10">
        <v>147744</v>
      </c>
      <c r="V41" t="s">
        <v>456</v>
      </c>
      <c r="W41" t="s">
        <v>1045</v>
      </c>
      <c r="X41" t="s">
        <v>1044</v>
      </c>
      <c r="Y41" t="s">
        <v>941</v>
      </c>
      <c r="Z41" t="s">
        <v>942</v>
      </c>
      <c r="AB41" t="s">
        <v>471</v>
      </c>
      <c r="AC41" t="s">
        <v>470</v>
      </c>
      <c r="AD41" t="s">
        <v>943</v>
      </c>
      <c r="AF41" t="s">
        <v>944</v>
      </c>
      <c r="AG41" t="s">
        <v>945</v>
      </c>
      <c r="AH41" t="s">
        <v>946</v>
      </c>
      <c r="AI41" t="s">
        <v>947</v>
      </c>
      <c r="AJ41" t="s">
        <v>948</v>
      </c>
      <c r="AK41">
        <v>5</v>
      </c>
      <c r="AL41" s="10">
        <v>2008.5</v>
      </c>
      <c r="AM41" s="10">
        <v>3693.6</v>
      </c>
      <c r="AN41" s="10">
        <v>7486.6</v>
      </c>
      <c r="AO41" s="9">
        <v>0.50600944794133662</v>
      </c>
      <c r="AP41" s="9">
        <v>11.9862</v>
      </c>
      <c r="AQ41" s="9">
        <v>0.6271445262287989</v>
      </c>
      <c r="AR41" s="9">
        <v>14.554780783034165</v>
      </c>
      <c r="AS41" s="9">
        <v>15.181925309262962</v>
      </c>
      <c r="AT41" s="9">
        <v>2.8461002766356627</v>
      </c>
      <c r="AU41" s="9">
        <v>48.097210818922974</v>
      </c>
      <c r="AV41" s="9">
        <v>50.943311095558641</v>
      </c>
      <c r="AW41" s="11">
        <v>147.744</v>
      </c>
      <c r="AX41" s="11">
        <v>147.744</v>
      </c>
      <c r="AY41" t="s">
        <v>949</v>
      </c>
      <c r="AZ41" t="s">
        <v>950</v>
      </c>
      <c r="BA41" t="s">
        <v>951</v>
      </c>
      <c r="BB41" t="s">
        <v>952</v>
      </c>
      <c r="BC41" t="b">
        <v>1</v>
      </c>
    </row>
    <row r="42" spans="1:55">
      <c r="A42" t="s">
        <v>1046</v>
      </c>
      <c r="B42" t="s">
        <v>939</v>
      </c>
      <c r="C42">
        <v>92300</v>
      </c>
      <c r="D42">
        <v>50200</v>
      </c>
      <c r="E42">
        <v>92300</v>
      </c>
      <c r="F42">
        <v>187100</v>
      </c>
      <c r="G42" s="9">
        <v>8.844230423795162E-3</v>
      </c>
      <c r="H42" s="9">
        <v>2.5252727755486159E-2</v>
      </c>
      <c r="I42" s="9">
        <v>3.7879091633229237E-2</v>
      </c>
      <c r="J42" s="10">
        <v>3692</v>
      </c>
      <c r="K42" s="10">
        <v>3692</v>
      </c>
      <c r="L42" s="10">
        <v>3692</v>
      </c>
      <c r="M42" s="10">
        <v>3692</v>
      </c>
      <c r="N42" s="10">
        <v>3692</v>
      </c>
      <c r="O42" s="10">
        <v>3692</v>
      </c>
      <c r="P42" s="10">
        <v>3692</v>
      </c>
      <c r="Q42" s="10">
        <v>3692</v>
      </c>
      <c r="R42" s="10">
        <v>3692</v>
      </c>
      <c r="S42" s="10">
        <v>3692</v>
      </c>
      <c r="T42" s="10">
        <v>3692</v>
      </c>
      <c r="V42" t="s">
        <v>456</v>
      </c>
      <c r="W42" t="s">
        <v>1046</v>
      </c>
      <c r="X42" t="s">
        <v>1047</v>
      </c>
      <c r="Y42" t="s">
        <v>941</v>
      </c>
      <c r="Z42" t="s">
        <v>942</v>
      </c>
      <c r="AB42" t="s">
        <v>471</v>
      </c>
      <c r="AC42" t="s">
        <v>470</v>
      </c>
      <c r="AD42" t="s">
        <v>943</v>
      </c>
      <c r="AF42" t="s">
        <v>944</v>
      </c>
      <c r="AG42" t="s">
        <v>965</v>
      </c>
      <c r="AH42" t="s">
        <v>956</v>
      </c>
      <c r="AI42" t="s">
        <v>960</v>
      </c>
      <c r="AJ42" t="s">
        <v>948</v>
      </c>
      <c r="AK42">
        <v>1</v>
      </c>
      <c r="AL42" s="10">
        <v>50.2</v>
      </c>
      <c r="AM42" s="10">
        <v>92.3</v>
      </c>
      <c r="AN42" s="10">
        <v>187.1</v>
      </c>
      <c r="AO42" s="9">
        <v>0.16535585979221279</v>
      </c>
      <c r="AP42" s="9">
        <v>3.9169</v>
      </c>
      <c r="AQ42" s="9">
        <v>1.0942304237951626</v>
      </c>
      <c r="AR42" s="9">
        <v>7.75</v>
      </c>
      <c r="AS42" s="9">
        <v>8.8442304237951621</v>
      </c>
      <c r="AT42" s="9">
        <v>1.6527277554861564</v>
      </c>
      <c r="AU42" s="9">
        <v>23.6</v>
      </c>
      <c r="AV42" s="9">
        <v>25.252727755486159</v>
      </c>
      <c r="AW42" s="11">
        <v>3.6920000000000002</v>
      </c>
      <c r="AX42" s="11">
        <v>3.6920000000000002</v>
      </c>
      <c r="AY42" t="s">
        <v>949</v>
      </c>
      <c r="AZ42" t="s">
        <v>950</v>
      </c>
      <c r="BA42" t="s">
        <v>951</v>
      </c>
      <c r="BB42" t="s">
        <v>952</v>
      </c>
      <c r="BC42" t="b">
        <v>1</v>
      </c>
    </row>
    <row r="43" spans="1:55">
      <c r="A43" t="s">
        <v>1048</v>
      </c>
      <c r="B43" t="s">
        <v>939</v>
      </c>
      <c r="C43">
        <v>1279000</v>
      </c>
      <c r="D43">
        <v>695500</v>
      </c>
      <c r="E43">
        <v>1279000</v>
      </c>
      <c r="F43">
        <v>2592500</v>
      </c>
      <c r="G43" s="9">
        <v>1.6419954727317457E-2</v>
      </c>
      <c r="H43" s="9">
        <v>5.4303280922471303E-2</v>
      </c>
      <c r="I43" s="9">
        <v>8.1454921383706955E-2</v>
      </c>
      <c r="J43" s="10">
        <v>51160</v>
      </c>
      <c r="K43" s="10">
        <v>51160</v>
      </c>
      <c r="L43" s="10">
        <v>51160</v>
      </c>
      <c r="M43" s="10">
        <v>51160</v>
      </c>
      <c r="N43" s="10">
        <v>51160</v>
      </c>
      <c r="O43" s="10">
        <v>51160</v>
      </c>
      <c r="P43" s="10">
        <v>51160</v>
      </c>
      <c r="Q43" s="10">
        <v>51160</v>
      </c>
      <c r="R43" s="10">
        <v>51160</v>
      </c>
      <c r="S43" s="10">
        <v>51160</v>
      </c>
      <c r="T43" s="10">
        <v>51160</v>
      </c>
      <c r="V43" t="s">
        <v>456</v>
      </c>
      <c r="W43" t="s">
        <v>1048</v>
      </c>
      <c r="X43" t="s">
        <v>1049</v>
      </c>
      <c r="Y43" t="s">
        <v>941</v>
      </c>
      <c r="Z43" t="s">
        <v>942</v>
      </c>
      <c r="AB43" t="s">
        <v>471</v>
      </c>
      <c r="AC43" t="s">
        <v>470</v>
      </c>
      <c r="AD43" t="s">
        <v>943</v>
      </c>
      <c r="AF43" t="s">
        <v>944</v>
      </c>
      <c r="AG43" t="s">
        <v>955</v>
      </c>
      <c r="AH43" t="s">
        <v>956</v>
      </c>
      <c r="AI43" t="s">
        <v>947</v>
      </c>
      <c r="AJ43" t="s">
        <v>948</v>
      </c>
      <c r="AK43">
        <v>3</v>
      </c>
      <c r="AL43" s="10">
        <v>695.5</v>
      </c>
      <c r="AM43" s="10">
        <v>1279</v>
      </c>
      <c r="AN43" s="10">
        <v>2592.5</v>
      </c>
      <c r="AO43" s="9">
        <v>0.17522173955259479</v>
      </c>
      <c r="AP43" s="9">
        <v>4.1505999999999998</v>
      </c>
      <c r="AQ43" s="9">
        <v>1.865173944283294</v>
      </c>
      <c r="AR43" s="9">
        <v>14.554780783034159</v>
      </c>
      <c r="AS43" s="9">
        <v>16.419954727317457</v>
      </c>
      <c r="AT43" s="9">
        <v>6.2060701035483241</v>
      </c>
      <c r="AU43" s="9">
        <v>48.097210818922981</v>
      </c>
      <c r="AV43" s="9">
        <v>54.303280922471302</v>
      </c>
      <c r="AW43" s="11">
        <v>51.16</v>
      </c>
      <c r="AX43" s="11">
        <v>51.16</v>
      </c>
      <c r="AY43" t="s">
        <v>949</v>
      </c>
      <c r="AZ43" t="s">
        <v>950</v>
      </c>
      <c r="BA43" t="s">
        <v>951</v>
      </c>
      <c r="BB43" t="s">
        <v>952</v>
      </c>
      <c r="BC43" t="b">
        <v>1</v>
      </c>
    </row>
    <row r="44" spans="1:55">
      <c r="A44" t="s">
        <v>1050</v>
      </c>
      <c r="B44" t="s">
        <v>939</v>
      </c>
      <c r="C44">
        <v>122700</v>
      </c>
      <c r="D44">
        <v>94100</v>
      </c>
      <c r="E44">
        <v>122700</v>
      </c>
      <c r="F44">
        <v>206500</v>
      </c>
      <c r="G44" s="9">
        <v>9.138958717710359E-3</v>
      </c>
      <c r="H44" s="9">
        <v>2.5948312118609845E-2</v>
      </c>
      <c r="I44" s="9">
        <v>3.8922468177914768E-2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V44" t="s">
        <v>456</v>
      </c>
      <c r="W44" t="s">
        <v>1050</v>
      </c>
      <c r="X44" t="s">
        <v>1051</v>
      </c>
      <c r="Y44" t="s">
        <v>941</v>
      </c>
      <c r="Z44" t="s">
        <v>942</v>
      </c>
      <c r="AB44" t="s">
        <v>472</v>
      </c>
      <c r="AC44" t="s">
        <v>472</v>
      </c>
      <c r="AD44" t="s">
        <v>968</v>
      </c>
      <c r="AF44" t="s">
        <v>944</v>
      </c>
      <c r="AG44" t="s">
        <v>955</v>
      </c>
      <c r="AH44" t="s">
        <v>956</v>
      </c>
      <c r="AI44" t="s">
        <v>947</v>
      </c>
      <c r="AJ44" t="s">
        <v>948</v>
      </c>
      <c r="AK44">
        <v>1</v>
      </c>
      <c r="AL44" s="10">
        <v>94.1</v>
      </c>
      <c r="AM44" s="10">
        <v>122.7</v>
      </c>
      <c r="AN44" s="10">
        <v>206.5</v>
      </c>
      <c r="AO44" s="9">
        <v>0.38814431943495409</v>
      </c>
      <c r="AP44" s="9">
        <v>5.7371999999999996</v>
      </c>
      <c r="AQ44" s="9">
        <v>0.63130577772690921</v>
      </c>
      <c r="AR44" s="9">
        <v>8.5076529399834495</v>
      </c>
      <c r="AS44" s="9">
        <v>9.1389587177103593</v>
      </c>
      <c r="AT44" s="9">
        <v>1.5965268286677723</v>
      </c>
      <c r="AU44" s="9">
        <v>24.351785289942072</v>
      </c>
      <c r="AV44" s="9">
        <v>25.948312118609845</v>
      </c>
      <c r="AW44" s="11">
        <v>0</v>
      </c>
      <c r="AX44" s="11">
        <v>0</v>
      </c>
      <c r="AY44" t="s">
        <v>969</v>
      </c>
      <c r="AZ44" t="s">
        <v>950</v>
      </c>
      <c r="BA44" t="s">
        <v>951</v>
      </c>
      <c r="BB44" t="s">
        <v>970</v>
      </c>
      <c r="BC44" t="b">
        <v>1</v>
      </c>
    </row>
    <row r="45" spans="1:55">
      <c r="A45" t="s">
        <v>1052</v>
      </c>
      <c r="B45" t="s">
        <v>939</v>
      </c>
      <c r="C45">
        <v>131100</v>
      </c>
      <c r="D45">
        <v>71300</v>
      </c>
      <c r="E45">
        <v>131100</v>
      </c>
      <c r="F45">
        <v>265800</v>
      </c>
      <c r="G45" s="9">
        <v>2.2094923803022339E-2</v>
      </c>
      <c r="H45" s="9">
        <v>3.6611987276091558E-2</v>
      </c>
      <c r="I45" s="9">
        <v>5.491798091413734E-2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V45" t="s">
        <v>456</v>
      </c>
      <c r="W45" t="s">
        <v>1052</v>
      </c>
      <c r="X45" t="s">
        <v>1053</v>
      </c>
      <c r="Y45" t="s">
        <v>941</v>
      </c>
      <c r="Z45" t="s">
        <v>942</v>
      </c>
      <c r="AB45" t="s">
        <v>472</v>
      </c>
      <c r="AC45" t="s">
        <v>472</v>
      </c>
      <c r="AD45" t="s">
        <v>943</v>
      </c>
      <c r="AF45" t="s">
        <v>986</v>
      </c>
      <c r="AG45" t="s">
        <v>959</v>
      </c>
      <c r="AH45" t="s">
        <v>946</v>
      </c>
      <c r="AI45" t="s">
        <v>960</v>
      </c>
      <c r="AJ45" t="s">
        <v>1054</v>
      </c>
      <c r="AK45">
        <v>5</v>
      </c>
      <c r="AL45" s="10">
        <v>71.3</v>
      </c>
      <c r="AM45" s="10">
        <v>131.1</v>
      </c>
      <c r="AN45" s="10">
        <v>265.8</v>
      </c>
      <c r="AO45" s="9">
        <v>0.34241024010391641</v>
      </c>
      <c r="AP45" s="9">
        <v>5.0612000000000004</v>
      </c>
      <c r="AQ45" s="9">
        <v>0.39492380302233709</v>
      </c>
      <c r="AR45" s="9">
        <v>21.700000000000003</v>
      </c>
      <c r="AS45" s="9">
        <v>22.09492380302234</v>
      </c>
      <c r="AT45" s="9">
        <v>0.611987276091567</v>
      </c>
      <c r="AU45" s="9">
        <v>36</v>
      </c>
      <c r="AV45" s="9">
        <v>36.611987276091561</v>
      </c>
      <c r="AW45" s="11">
        <v>0</v>
      </c>
      <c r="AX45" s="11">
        <v>0</v>
      </c>
      <c r="AY45" t="s">
        <v>973</v>
      </c>
      <c r="AZ45" t="s">
        <v>950</v>
      </c>
      <c r="BA45" t="s">
        <v>951</v>
      </c>
      <c r="BB45" t="s">
        <v>970</v>
      </c>
      <c r="BC45" t="b">
        <v>1</v>
      </c>
    </row>
    <row r="46" spans="1:55">
      <c r="A46" t="s">
        <v>1055</v>
      </c>
      <c r="B46" t="s">
        <v>939</v>
      </c>
      <c r="C46">
        <v>1600</v>
      </c>
      <c r="D46">
        <v>900</v>
      </c>
      <c r="E46">
        <v>1600</v>
      </c>
      <c r="F46">
        <v>3300</v>
      </c>
      <c r="G46" s="9">
        <v>7.837289869299581E-3</v>
      </c>
      <c r="H46" s="9">
        <v>2.3715549378718753E-2</v>
      </c>
      <c r="I46" s="9">
        <v>3.557332406807813E-2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V46" t="s">
        <v>456</v>
      </c>
      <c r="W46" t="s">
        <v>1055</v>
      </c>
      <c r="X46" t="s">
        <v>1056</v>
      </c>
      <c r="Y46" t="s">
        <v>941</v>
      </c>
      <c r="Z46" t="s">
        <v>942</v>
      </c>
      <c r="AB46" t="s">
        <v>472</v>
      </c>
      <c r="AC46" t="s">
        <v>472</v>
      </c>
      <c r="AD46" t="s">
        <v>943</v>
      </c>
      <c r="AF46" t="s">
        <v>944</v>
      </c>
      <c r="AG46" t="s">
        <v>959</v>
      </c>
      <c r="AH46" t="s">
        <v>946</v>
      </c>
      <c r="AI46" t="s">
        <v>960</v>
      </c>
      <c r="AJ46" t="s">
        <v>948</v>
      </c>
      <c r="AK46">
        <v>1</v>
      </c>
      <c r="AL46" s="10">
        <v>0.9</v>
      </c>
      <c r="AM46" s="10">
        <v>1.6</v>
      </c>
      <c r="AN46" s="10">
        <v>3.3</v>
      </c>
      <c r="AO46" s="9">
        <v>0.26944544046112939</v>
      </c>
      <c r="AP46" s="9">
        <v>3.9826999999999999</v>
      </c>
      <c r="AQ46" s="9">
        <v>8.7289869299582198E-2</v>
      </c>
      <c r="AR46" s="9">
        <v>7.75</v>
      </c>
      <c r="AS46" s="9">
        <v>7.8372898692995818</v>
      </c>
      <c r="AT46" s="9">
        <v>0.1155493787187515</v>
      </c>
      <c r="AU46" s="9">
        <v>23.6</v>
      </c>
      <c r="AV46" s="9">
        <v>23.715549378718752</v>
      </c>
      <c r="AW46" s="11">
        <v>0</v>
      </c>
      <c r="AX46" s="11">
        <v>0</v>
      </c>
      <c r="AY46" t="s">
        <v>973</v>
      </c>
      <c r="AZ46" t="s">
        <v>950</v>
      </c>
      <c r="BA46" t="s">
        <v>951</v>
      </c>
      <c r="BB46" t="s">
        <v>970</v>
      </c>
      <c r="BC46" t="b">
        <v>1</v>
      </c>
    </row>
    <row r="47" spans="1:55">
      <c r="A47" t="s">
        <v>1057</v>
      </c>
      <c r="B47" t="s">
        <v>939</v>
      </c>
      <c r="C47">
        <v>2400</v>
      </c>
      <c r="D47">
        <v>1300</v>
      </c>
      <c r="E47">
        <v>2400</v>
      </c>
      <c r="F47">
        <v>4800</v>
      </c>
      <c r="G47" s="9">
        <v>6.9048524800092034E-2</v>
      </c>
      <c r="H47" s="9">
        <v>0.12127097391436933</v>
      </c>
      <c r="I47" s="9">
        <v>0.18190646087155399</v>
      </c>
      <c r="J47" s="10">
        <v>96</v>
      </c>
      <c r="K47" s="10">
        <v>96</v>
      </c>
      <c r="L47" s="10">
        <v>96</v>
      </c>
      <c r="M47" s="10">
        <v>96</v>
      </c>
      <c r="N47" s="10">
        <v>96</v>
      </c>
      <c r="O47" s="10">
        <v>96</v>
      </c>
      <c r="P47" s="10">
        <v>96</v>
      </c>
      <c r="Q47" s="10">
        <v>96</v>
      </c>
      <c r="R47" s="10">
        <v>96</v>
      </c>
      <c r="S47" s="10">
        <v>96</v>
      </c>
      <c r="T47" s="10">
        <v>96</v>
      </c>
      <c r="V47" t="s">
        <v>456</v>
      </c>
      <c r="W47" t="s">
        <v>1057</v>
      </c>
      <c r="X47" t="s">
        <v>1058</v>
      </c>
      <c r="Y47" t="s">
        <v>941</v>
      </c>
      <c r="Z47" t="s">
        <v>942</v>
      </c>
      <c r="AB47" t="s">
        <v>474</v>
      </c>
      <c r="AC47" t="s">
        <v>473</v>
      </c>
      <c r="AD47" t="s">
        <v>943</v>
      </c>
      <c r="AF47" t="s">
        <v>986</v>
      </c>
      <c r="AG47" t="s">
        <v>1028</v>
      </c>
      <c r="AH47" t="s">
        <v>956</v>
      </c>
      <c r="AI47" t="s">
        <v>947</v>
      </c>
      <c r="AJ47" t="s">
        <v>989</v>
      </c>
      <c r="AK47">
        <v>3</v>
      </c>
      <c r="AL47" s="10">
        <v>1.3</v>
      </c>
      <c r="AM47" s="10">
        <v>2.4</v>
      </c>
      <c r="AN47" s="10">
        <v>4.8</v>
      </c>
      <c r="AO47" s="9">
        <v>0.2889662774165721</v>
      </c>
      <c r="AP47" s="9">
        <v>3.6177999999999999</v>
      </c>
      <c r="AQ47" s="9">
        <v>27.532708984276223</v>
      </c>
      <c r="AR47" s="9">
        <v>41.515815815815813</v>
      </c>
      <c r="AS47" s="9">
        <v>69.048524800092039</v>
      </c>
      <c r="AT47" s="9">
        <v>42.808511451906881</v>
      </c>
      <c r="AU47" s="9">
        <v>78.462462462462454</v>
      </c>
      <c r="AV47" s="9">
        <v>121.27097391436934</v>
      </c>
      <c r="AW47" s="11">
        <v>9.6000000000000002E-2</v>
      </c>
      <c r="AX47" s="11">
        <v>9.6000000000000002E-2</v>
      </c>
      <c r="AY47" t="s">
        <v>949</v>
      </c>
      <c r="AZ47" t="s">
        <v>950</v>
      </c>
      <c r="BA47" t="s">
        <v>951</v>
      </c>
      <c r="BB47" t="s">
        <v>952</v>
      </c>
      <c r="BC47" t="b">
        <v>1</v>
      </c>
    </row>
    <row r="48" spans="1:55">
      <c r="A48" t="s">
        <v>1059</v>
      </c>
      <c r="B48" t="s">
        <v>939</v>
      </c>
      <c r="C48">
        <v>212400</v>
      </c>
      <c r="D48">
        <v>115500</v>
      </c>
      <c r="E48">
        <v>212400</v>
      </c>
      <c r="F48">
        <v>430600</v>
      </c>
      <c r="G48" s="9">
        <v>1.5337045917626684E-2</v>
      </c>
      <c r="H48" s="9">
        <v>5.0318618885127481E-2</v>
      </c>
      <c r="I48" s="9">
        <v>7.5477928327691221E-2</v>
      </c>
      <c r="J48" s="10">
        <v>8496</v>
      </c>
      <c r="K48" s="10">
        <v>8496</v>
      </c>
      <c r="L48" s="10">
        <v>8496</v>
      </c>
      <c r="M48" s="10">
        <v>8496</v>
      </c>
      <c r="N48" s="10">
        <v>8496</v>
      </c>
      <c r="O48" s="10">
        <v>8496</v>
      </c>
      <c r="P48" s="10">
        <v>8496</v>
      </c>
      <c r="Q48" s="10">
        <v>8496</v>
      </c>
      <c r="R48" s="10">
        <v>8496</v>
      </c>
      <c r="S48" s="10">
        <v>8496</v>
      </c>
      <c r="T48" s="10">
        <v>8496</v>
      </c>
      <c r="V48" t="s">
        <v>456</v>
      </c>
      <c r="W48" t="s">
        <v>1059</v>
      </c>
      <c r="X48" t="s">
        <v>1060</v>
      </c>
      <c r="Y48" t="s">
        <v>941</v>
      </c>
      <c r="Z48" t="s">
        <v>942</v>
      </c>
      <c r="AB48" t="s">
        <v>474</v>
      </c>
      <c r="AC48" t="s">
        <v>473</v>
      </c>
      <c r="AD48" t="s">
        <v>943</v>
      </c>
      <c r="AF48" t="s">
        <v>944</v>
      </c>
      <c r="AG48" t="s">
        <v>945</v>
      </c>
      <c r="AH48" t="s">
        <v>946</v>
      </c>
      <c r="AI48" t="s">
        <v>947</v>
      </c>
      <c r="AJ48" t="s">
        <v>948</v>
      </c>
      <c r="AK48">
        <v>5</v>
      </c>
      <c r="AL48" s="10">
        <v>115.5</v>
      </c>
      <c r="AM48" s="10">
        <v>212.4</v>
      </c>
      <c r="AN48" s="10">
        <v>430.6</v>
      </c>
      <c r="AO48" s="9">
        <v>0.71103372258342779</v>
      </c>
      <c r="AP48" s="9">
        <v>8.9019999999999992</v>
      </c>
      <c r="AQ48" s="9">
        <v>0.50996884054960434</v>
      </c>
      <c r="AR48" s="9">
        <v>14.827077077077076</v>
      </c>
      <c r="AS48" s="9">
        <v>15.337045917626684</v>
      </c>
      <c r="AT48" s="9">
        <v>1.2411414076500058</v>
      </c>
      <c r="AU48" s="9">
        <v>49.077477477477487</v>
      </c>
      <c r="AV48" s="9">
        <v>50.318618885127478</v>
      </c>
      <c r="AW48" s="11">
        <v>8.4960000000000004</v>
      </c>
      <c r="AX48" s="11">
        <v>8.4960000000000004</v>
      </c>
      <c r="AY48" t="s">
        <v>949</v>
      </c>
      <c r="AZ48" t="s">
        <v>950</v>
      </c>
      <c r="BA48" t="s">
        <v>951</v>
      </c>
      <c r="BB48" t="s">
        <v>952</v>
      </c>
      <c r="BC48" t="b">
        <v>1</v>
      </c>
    </row>
    <row r="49" spans="1:55">
      <c r="A49" t="s">
        <v>1061</v>
      </c>
      <c r="B49" t="s">
        <v>939</v>
      </c>
      <c r="C49">
        <v>158100</v>
      </c>
      <c r="D49">
        <v>86000</v>
      </c>
      <c r="E49">
        <v>158100</v>
      </c>
      <c r="F49">
        <v>320500</v>
      </c>
      <c r="G49" s="9">
        <v>8.4987847521619947E-3</v>
      </c>
      <c r="H49" s="9">
        <v>2.5072736273344044E-2</v>
      </c>
      <c r="I49" s="9">
        <v>3.7609104410016067E-2</v>
      </c>
      <c r="J49" s="10">
        <v>6324</v>
      </c>
      <c r="K49" s="10">
        <v>6324</v>
      </c>
      <c r="L49" s="10">
        <v>6324</v>
      </c>
      <c r="M49" s="10">
        <v>6324</v>
      </c>
      <c r="N49" s="10">
        <v>6324</v>
      </c>
      <c r="O49" s="10">
        <v>6324</v>
      </c>
      <c r="P49" s="10">
        <v>6324</v>
      </c>
      <c r="Q49" s="10">
        <v>6324</v>
      </c>
      <c r="R49" s="10">
        <v>6324</v>
      </c>
      <c r="S49" s="10">
        <v>6324</v>
      </c>
      <c r="T49" s="10">
        <v>6324</v>
      </c>
      <c r="V49" t="s">
        <v>456</v>
      </c>
      <c r="W49" t="s">
        <v>1061</v>
      </c>
      <c r="X49" t="s">
        <v>1062</v>
      </c>
      <c r="Y49" t="s">
        <v>941</v>
      </c>
      <c r="Z49" t="s">
        <v>942</v>
      </c>
      <c r="AB49" t="s">
        <v>20</v>
      </c>
      <c r="AC49" t="s">
        <v>20</v>
      </c>
      <c r="AD49" t="s">
        <v>943</v>
      </c>
      <c r="AF49" t="s">
        <v>944</v>
      </c>
      <c r="AG49" t="s">
        <v>959</v>
      </c>
      <c r="AH49" t="s">
        <v>946</v>
      </c>
      <c r="AI49" t="s">
        <v>960</v>
      </c>
      <c r="AJ49" t="s">
        <v>948</v>
      </c>
      <c r="AK49">
        <v>5</v>
      </c>
      <c r="AL49" s="10">
        <v>86</v>
      </c>
      <c r="AM49" s="10">
        <v>158.1</v>
      </c>
      <c r="AN49" s="10">
        <v>320.5</v>
      </c>
      <c r="AO49" s="9">
        <v>0.2859659888330609</v>
      </c>
      <c r="AP49" s="9">
        <v>4.7068000000000003</v>
      </c>
      <c r="AQ49" s="9">
        <v>0.74878475216199603</v>
      </c>
      <c r="AR49" s="9">
        <v>7.7500000000000009</v>
      </c>
      <c r="AS49" s="9">
        <v>8.4987847521619955</v>
      </c>
      <c r="AT49" s="9">
        <v>1.4727362733440439</v>
      </c>
      <c r="AU49" s="9">
        <v>23.600000000000005</v>
      </c>
      <c r="AV49" s="9">
        <v>25.072736273344045</v>
      </c>
      <c r="AW49" s="11">
        <v>6.3239999999999998</v>
      </c>
      <c r="AX49" s="11">
        <v>6.3239999999999998</v>
      </c>
      <c r="AY49" t="s">
        <v>949</v>
      </c>
      <c r="AZ49" t="s">
        <v>950</v>
      </c>
      <c r="BA49" t="s">
        <v>951</v>
      </c>
      <c r="BB49" t="s">
        <v>952</v>
      </c>
      <c r="BC49" t="b">
        <v>1</v>
      </c>
    </row>
    <row r="50" spans="1:55">
      <c r="A50" t="s">
        <v>1063</v>
      </c>
      <c r="B50" t="s">
        <v>939</v>
      </c>
      <c r="C50">
        <v>394800</v>
      </c>
      <c r="D50">
        <v>214700</v>
      </c>
      <c r="E50">
        <v>394800</v>
      </c>
      <c r="F50">
        <v>800300</v>
      </c>
      <c r="G50" s="9">
        <v>1.11608972727199E-2</v>
      </c>
      <c r="H50" s="9">
        <v>2.9492884276544548E-2</v>
      </c>
      <c r="I50" s="9">
        <v>4.4239326414816822E-2</v>
      </c>
      <c r="J50" s="10">
        <v>15792</v>
      </c>
      <c r="K50" s="10">
        <v>15792</v>
      </c>
      <c r="L50" s="10">
        <v>15792</v>
      </c>
      <c r="M50" s="10">
        <v>15792</v>
      </c>
      <c r="N50" s="10">
        <v>15792</v>
      </c>
      <c r="O50" s="10">
        <v>15792</v>
      </c>
      <c r="P50" s="10">
        <v>15792</v>
      </c>
      <c r="Q50" s="10">
        <v>15792</v>
      </c>
      <c r="R50" s="10">
        <v>15792</v>
      </c>
      <c r="S50" s="10">
        <v>15792</v>
      </c>
      <c r="T50" s="10">
        <v>15792</v>
      </c>
      <c r="V50" t="s">
        <v>456</v>
      </c>
      <c r="W50" t="s">
        <v>1063</v>
      </c>
      <c r="X50" t="s">
        <v>1064</v>
      </c>
      <c r="Y50" t="s">
        <v>941</v>
      </c>
      <c r="Z50" t="s">
        <v>942</v>
      </c>
      <c r="AB50" t="s">
        <v>20</v>
      </c>
      <c r="AC50" t="s">
        <v>20</v>
      </c>
      <c r="AD50" t="s">
        <v>943</v>
      </c>
      <c r="AF50" t="s">
        <v>944</v>
      </c>
      <c r="AG50" t="s">
        <v>965</v>
      </c>
      <c r="AH50" t="s">
        <v>956</v>
      </c>
      <c r="AI50" t="s">
        <v>960</v>
      </c>
      <c r="AJ50" t="s">
        <v>948</v>
      </c>
      <c r="AK50">
        <v>8</v>
      </c>
      <c r="AL50" s="10">
        <v>214.7</v>
      </c>
      <c r="AM50" s="10">
        <v>394.8</v>
      </c>
      <c r="AN50" s="10">
        <v>800.3</v>
      </c>
      <c r="AO50" s="9">
        <v>0.7140340111669391</v>
      </c>
      <c r="AP50" s="9">
        <v>11.7525</v>
      </c>
      <c r="AQ50" s="9">
        <v>3.4108972727198967</v>
      </c>
      <c r="AR50" s="9">
        <v>7.75</v>
      </c>
      <c r="AS50" s="9">
        <v>11.1608972727199</v>
      </c>
      <c r="AT50" s="9">
        <v>5.8928842765445433</v>
      </c>
      <c r="AU50" s="9">
        <v>23.600000000000005</v>
      </c>
      <c r="AV50" s="9">
        <v>29.492884276544547</v>
      </c>
      <c r="AW50" s="11">
        <v>15.792</v>
      </c>
      <c r="AX50" s="11">
        <v>15.792</v>
      </c>
      <c r="AY50" t="s">
        <v>949</v>
      </c>
      <c r="AZ50" t="s">
        <v>950</v>
      </c>
      <c r="BA50" t="s">
        <v>951</v>
      </c>
      <c r="BB50" t="s">
        <v>952</v>
      </c>
      <c r="BC50" t="b">
        <v>1</v>
      </c>
    </row>
    <row r="51" spans="1:55">
      <c r="A51" t="s">
        <v>1065</v>
      </c>
      <c r="B51" t="s">
        <v>939</v>
      </c>
      <c r="C51">
        <v>1456900</v>
      </c>
      <c r="D51">
        <v>792200</v>
      </c>
      <c r="E51">
        <v>1456900</v>
      </c>
      <c r="F51">
        <v>2953100</v>
      </c>
      <c r="G51" s="9">
        <v>8.642355850905635E-3</v>
      </c>
      <c r="H51" s="9">
        <v>2.6049736666909632E-2</v>
      </c>
      <c r="I51" s="9">
        <v>3.907460500036445E-2</v>
      </c>
      <c r="J51" s="10">
        <v>30103.496557903742</v>
      </c>
      <c r="K51" s="10">
        <v>29347.157390503478</v>
      </c>
      <c r="L51" s="10">
        <v>28590.818223103215</v>
      </c>
      <c r="M51" s="10">
        <v>27834.479055702952</v>
      </c>
      <c r="N51" s="10">
        <v>27078.139888302692</v>
      </c>
      <c r="O51" s="10">
        <v>26321.800720902429</v>
      </c>
      <c r="P51" s="10">
        <v>24809.122386101906</v>
      </c>
      <c r="Q51" s="10">
        <v>23296.44405130138</v>
      </c>
      <c r="R51" s="10">
        <v>21783.765716500853</v>
      </c>
      <c r="S51" s="10">
        <v>20271.087381700327</v>
      </c>
      <c r="T51" s="10">
        <v>18758.409046899804</v>
      </c>
      <c r="V51" t="s">
        <v>456</v>
      </c>
      <c r="W51" t="s">
        <v>1065</v>
      </c>
      <c r="X51" t="s">
        <v>1066</v>
      </c>
      <c r="Y51" t="s">
        <v>941</v>
      </c>
      <c r="Z51" t="s">
        <v>942</v>
      </c>
      <c r="AB51" t="s">
        <v>21</v>
      </c>
      <c r="AC51" t="s">
        <v>21</v>
      </c>
      <c r="AD51" t="s">
        <v>943</v>
      </c>
      <c r="AF51" t="s">
        <v>944</v>
      </c>
      <c r="AG51" t="s">
        <v>959</v>
      </c>
      <c r="AH51" t="s">
        <v>946</v>
      </c>
      <c r="AI51" t="s">
        <v>960</v>
      </c>
      <c r="AJ51" t="s">
        <v>948</v>
      </c>
      <c r="AK51">
        <v>2</v>
      </c>
      <c r="AL51" s="10">
        <v>792.2</v>
      </c>
      <c r="AM51" s="10">
        <v>1456.9</v>
      </c>
      <c r="AN51" s="10">
        <v>2953.1</v>
      </c>
      <c r="AO51" s="9">
        <v>0.24450681803900209</v>
      </c>
      <c r="AP51" s="9">
        <v>1.1673</v>
      </c>
      <c r="AQ51" s="9">
        <v>0.89235585090563441</v>
      </c>
      <c r="AR51" s="9">
        <v>7.7500000000000009</v>
      </c>
      <c r="AS51" s="9">
        <v>8.6423558509056342</v>
      </c>
      <c r="AT51" s="9">
        <v>2.4497366669096308</v>
      </c>
      <c r="AU51" s="9">
        <v>23.6</v>
      </c>
      <c r="AV51" s="9">
        <v>26.049736666909631</v>
      </c>
      <c r="AW51" s="11">
        <v>30.103496557903743</v>
      </c>
      <c r="AX51" s="11">
        <v>18.758409046899803</v>
      </c>
      <c r="AY51" t="s">
        <v>949</v>
      </c>
      <c r="AZ51" t="s">
        <v>950</v>
      </c>
      <c r="BA51" t="s">
        <v>951</v>
      </c>
      <c r="BB51" t="s">
        <v>970</v>
      </c>
      <c r="BC51" t="b">
        <v>1</v>
      </c>
    </row>
    <row r="52" spans="1:55">
      <c r="A52" t="s">
        <v>1067</v>
      </c>
      <c r="B52" t="s">
        <v>939</v>
      </c>
      <c r="C52">
        <v>44224300</v>
      </c>
      <c r="D52">
        <v>24048200</v>
      </c>
      <c r="E52">
        <v>44224300</v>
      </c>
      <c r="F52">
        <v>89640000</v>
      </c>
      <c r="G52" s="9">
        <v>2.40969925625306E-2</v>
      </c>
      <c r="H52" s="9">
        <v>6.0254616476843353E-2</v>
      </c>
      <c r="I52" s="9">
        <v>9.038192471526503E-2</v>
      </c>
      <c r="J52" s="10">
        <v>913793.71461713407</v>
      </c>
      <c r="K52" s="10">
        <v>890834.98701684608</v>
      </c>
      <c r="L52" s="10">
        <v>867876.2594165582</v>
      </c>
      <c r="M52" s="10">
        <v>844917.53181627032</v>
      </c>
      <c r="N52" s="10">
        <v>821958.80421598232</v>
      </c>
      <c r="O52" s="10">
        <v>799000.07661569456</v>
      </c>
      <c r="P52" s="10">
        <v>753082.62141511869</v>
      </c>
      <c r="Q52" s="10">
        <v>707165.16621454281</v>
      </c>
      <c r="R52" s="10">
        <v>661247.71101396705</v>
      </c>
      <c r="S52" s="10">
        <v>615330.25581339118</v>
      </c>
      <c r="T52" s="10">
        <v>569412.80061281542</v>
      </c>
      <c r="V52" t="s">
        <v>456</v>
      </c>
      <c r="W52" t="s">
        <v>1067</v>
      </c>
      <c r="X52" t="s">
        <v>1068</v>
      </c>
      <c r="Y52" t="s">
        <v>941</v>
      </c>
      <c r="Z52" t="s">
        <v>942</v>
      </c>
      <c r="AB52" t="s">
        <v>21</v>
      </c>
      <c r="AC52" t="s">
        <v>21</v>
      </c>
      <c r="AD52" t="s">
        <v>943</v>
      </c>
      <c r="AF52" t="s">
        <v>944</v>
      </c>
      <c r="AG52" t="s">
        <v>945</v>
      </c>
      <c r="AH52" t="s">
        <v>946</v>
      </c>
      <c r="AI52" t="s">
        <v>947</v>
      </c>
      <c r="AJ52" t="s">
        <v>948</v>
      </c>
      <c r="AK52">
        <v>1</v>
      </c>
      <c r="AL52" s="10">
        <v>24048.2</v>
      </c>
      <c r="AM52" s="10">
        <v>44224.3</v>
      </c>
      <c r="AN52" s="10">
        <v>89640</v>
      </c>
      <c r="AO52" s="9">
        <v>2.93248989338304E-2</v>
      </c>
      <c r="AP52" s="9">
        <v>0.14000000000000001</v>
      </c>
      <c r="AQ52" s="9">
        <v>10.088434885575817</v>
      </c>
      <c r="AR52" s="9">
        <v>14.008557676954782</v>
      </c>
      <c r="AS52" s="9">
        <v>24.096992562530598</v>
      </c>
      <c r="AT52" s="9">
        <v>14.12380883980614</v>
      </c>
      <c r="AU52" s="9">
        <v>46.130807637037215</v>
      </c>
      <c r="AV52" s="9">
        <v>60.254616476843353</v>
      </c>
      <c r="AW52" s="11">
        <v>913.79371461713401</v>
      </c>
      <c r="AX52" s="11">
        <v>569.41280061281543</v>
      </c>
      <c r="AY52" t="s">
        <v>949</v>
      </c>
      <c r="AZ52" t="s">
        <v>950</v>
      </c>
      <c r="BA52" t="s">
        <v>951</v>
      </c>
      <c r="BB52" t="s">
        <v>970</v>
      </c>
      <c r="BC52" t="b">
        <v>1</v>
      </c>
    </row>
    <row r="53" spans="1:55">
      <c r="A53" t="s">
        <v>1069</v>
      </c>
      <c r="B53" t="s">
        <v>939</v>
      </c>
      <c r="C53">
        <v>3159900</v>
      </c>
      <c r="D53">
        <v>1718300</v>
      </c>
      <c r="E53">
        <v>3159900</v>
      </c>
      <c r="F53">
        <v>6405000</v>
      </c>
      <c r="G53" s="9">
        <v>1.3487969436295015E-2</v>
      </c>
      <c r="H53" s="9">
        <v>3.1633157210813022E-2</v>
      </c>
      <c r="I53" s="9">
        <v>4.7449735816219529E-2</v>
      </c>
      <c r="J53" s="10">
        <v>65292.085093911752</v>
      </c>
      <c r="K53" s="10">
        <v>63651.645712301426</v>
      </c>
      <c r="L53" s="10">
        <v>62011.206330691093</v>
      </c>
      <c r="M53" s="10">
        <v>60370.76694908076</v>
      </c>
      <c r="N53" s="10">
        <v>58730.327567470435</v>
      </c>
      <c r="O53" s="10">
        <v>57089.888185860102</v>
      </c>
      <c r="P53" s="10">
        <v>53809.009422639443</v>
      </c>
      <c r="Q53" s="10">
        <v>50528.130659418784</v>
      </c>
      <c r="R53" s="10">
        <v>47247.251896198126</v>
      </c>
      <c r="S53" s="10">
        <v>43966.373132977467</v>
      </c>
      <c r="T53" s="10">
        <v>40685.494369756801</v>
      </c>
      <c r="V53" t="s">
        <v>456</v>
      </c>
      <c r="W53" t="s">
        <v>1069</v>
      </c>
      <c r="X53" t="s">
        <v>1070</v>
      </c>
      <c r="Y53" t="s">
        <v>941</v>
      </c>
      <c r="Z53" t="s">
        <v>942</v>
      </c>
      <c r="AB53" t="s">
        <v>21</v>
      </c>
      <c r="AC53" t="s">
        <v>21</v>
      </c>
      <c r="AD53" t="s">
        <v>943</v>
      </c>
      <c r="AF53" t="s">
        <v>944</v>
      </c>
      <c r="AG53" t="s">
        <v>965</v>
      </c>
      <c r="AH53" t="s">
        <v>956</v>
      </c>
      <c r="AI53" t="s">
        <v>960</v>
      </c>
      <c r="AJ53" t="s">
        <v>948</v>
      </c>
      <c r="AK53">
        <v>4</v>
      </c>
      <c r="AL53" s="10">
        <v>1718.3</v>
      </c>
      <c r="AM53" s="10">
        <v>3159.9</v>
      </c>
      <c r="AN53" s="10">
        <v>6405</v>
      </c>
      <c r="AO53" s="9">
        <v>0.53031985086194255</v>
      </c>
      <c r="AP53" s="9">
        <v>2.5318000000000001</v>
      </c>
      <c r="AQ53" s="9">
        <v>5.7379694362950131</v>
      </c>
      <c r="AR53" s="9">
        <v>7.75</v>
      </c>
      <c r="AS53" s="9">
        <v>13.487969436295014</v>
      </c>
      <c r="AT53" s="9">
        <v>8.0331572108130196</v>
      </c>
      <c r="AU53" s="9">
        <v>23.600000000000005</v>
      </c>
      <c r="AV53" s="9">
        <v>31.633157210813021</v>
      </c>
      <c r="AW53" s="11">
        <v>65.292085093911751</v>
      </c>
      <c r="AX53" s="11">
        <v>40.685494369756803</v>
      </c>
      <c r="AY53" t="s">
        <v>949</v>
      </c>
      <c r="AZ53" t="s">
        <v>950</v>
      </c>
      <c r="BA53" t="s">
        <v>951</v>
      </c>
      <c r="BB53" t="s">
        <v>970</v>
      </c>
      <c r="BC53" t="b">
        <v>1</v>
      </c>
    </row>
    <row r="54" spans="1:55">
      <c r="A54" t="s">
        <v>1071</v>
      </c>
      <c r="B54" t="s">
        <v>939</v>
      </c>
      <c r="C54">
        <v>1167000</v>
      </c>
      <c r="D54">
        <v>634600</v>
      </c>
      <c r="E54">
        <v>1167000</v>
      </c>
      <c r="F54">
        <v>2365400</v>
      </c>
      <c r="G54" s="9">
        <v>1.7434813306272112E-2</v>
      </c>
      <c r="H54" s="9">
        <v>3.7158738628780955E-2</v>
      </c>
      <c r="I54" s="9">
        <v>5.5738107943171432E-2</v>
      </c>
      <c r="J54" s="10">
        <v>24113.378051392454</v>
      </c>
      <c r="K54" s="10">
        <v>23507.538386105814</v>
      </c>
      <c r="L54" s="10">
        <v>22901.698720819171</v>
      </c>
      <c r="M54" s="10">
        <v>22295.859055532535</v>
      </c>
      <c r="N54" s="10">
        <v>21690.019390245892</v>
      </c>
      <c r="O54" s="10">
        <v>21084.179724959253</v>
      </c>
      <c r="P54" s="10">
        <v>19872.500394385974</v>
      </c>
      <c r="Q54" s="10">
        <v>18660.821063812691</v>
      </c>
      <c r="R54" s="10">
        <v>17449.141733239408</v>
      </c>
      <c r="S54" s="10">
        <v>16237.462402666126</v>
      </c>
      <c r="T54" s="10">
        <v>15025.783072092847</v>
      </c>
      <c r="V54" t="s">
        <v>456</v>
      </c>
      <c r="W54" t="s">
        <v>1071</v>
      </c>
      <c r="X54" t="s">
        <v>1072</v>
      </c>
      <c r="Y54" t="s">
        <v>941</v>
      </c>
      <c r="Z54" t="s">
        <v>942</v>
      </c>
      <c r="AB54" t="s">
        <v>21</v>
      </c>
      <c r="AC54" t="s">
        <v>21</v>
      </c>
      <c r="AD54" t="s">
        <v>943</v>
      </c>
      <c r="AF54" t="s">
        <v>944</v>
      </c>
      <c r="AG54" t="s">
        <v>1042</v>
      </c>
      <c r="AH54" t="s">
        <v>988</v>
      </c>
      <c r="AI54" t="s">
        <v>960</v>
      </c>
      <c r="AJ54" t="s">
        <v>948</v>
      </c>
      <c r="AK54">
        <v>1</v>
      </c>
      <c r="AL54" s="10">
        <v>634.6</v>
      </c>
      <c r="AM54" s="10">
        <v>1167</v>
      </c>
      <c r="AN54" s="10">
        <v>2365.4</v>
      </c>
      <c r="AO54" s="9">
        <v>0.1958484321652248</v>
      </c>
      <c r="AP54" s="9">
        <v>0.93500000000000005</v>
      </c>
      <c r="AQ54" s="9">
        <v>9.68481330627211</v>
      </c>
      <c r="AR54" s="9">
        <v>7.75</v>
      </c>
      <c r="AS54" s="9">
        <v>17.434813306272112</v>
      </c>
      <c r="AT54" s="9">
        <v>13.558738628780953</v>
      </c>
      <c r="AU54" s="9">
        <v>23.6</v>
      </c>
      <c r="AV54" s="9">
        <v>37.158738628780952</v>
      </c>
      <c r="AW54" s="11">
        <v>24.113378051392456</v>
      </c>
      <c r="AX54" s="11">
        <v>15.025783072092846</v>
      </c>
      <c r="AY54" t="s">
        <v>949</v>
      </c>
      <c r="AZ54" t="s">
        <v>950</v>
      </c>
      <c r="BA54" t="s">
        <v>951</v>
      </c>
      <c r="BB54" t="s">
        <v>970</v>
      </c>
      <c r="BC54" t="b">
        <v>1</v>
      </c>
    </row>
    <row r="55" spans="1:55">
      <c r="A55" t="s">
        <v>1073</v>
      </c>
      <c r="B55" t="s">
        <v>939</v>
      </c>
      <c r="C55">
        <v>28106300</v>
      </c>
      <c r="D55">
        <v>15283600</v>
      </c>
      <c r="E55">
        <v>28106300</v>
      </c>
      <c r="F55">
        <v>56969800</v>
      </c>
      <c r="G55" s="9">
        <v>7.9712936127673828E-3</v>
      </c>
      <c r="H55" s="9">
        <v>2.4530037001350001E-2</v>
      </c>
      <c r="I55" s="9">
        <v>3.6795055502024998E-2</v>
      </c>
      <c r="J55" s="10">
        <v>962393.916798861</v>
      </c>
      <c r="K55" s="10">
        <v>933066.62375699682</v>
      </c>
      <c r="L55" s="10">
        <v>903739.33071513264</v>
      </c>
      <c r="M55" s="10">
        <v>874412.03767326835</v>
      </c>
      <c r="N55" s="10">
        <v>845084.74463140417</v>
      </c>
      <c r="O55" s="10">
        <v>815757.45158954</v>
      </c>
      <c r="P55" s="10">
        <v>757102.86550581141</v>
      </c>
      <c r="Q55" s="10">
        <v>698448.27942208305</v>
      </c>
      <c r="R55" s="10">
        <v>639793.69333835458</v>
      </c>
      <c r="S55" s="10">
        <v>581139.10725462623</v>
      </c>
      <c r="T55" s="10">
        <v>522484.52117089776</v>
      </c>
      <c r="V55" t="s">
        <v>456</v>
      </c>
      <c r="W55" t="s">
        <v>1073</v>
      </c>
      <c r="X55" t="s">
        <v>1074</v>
      </c>
      <c r="Y55" t="s">
        <v>941</v>
      </c>
      <c r="Z55" t="s">
        <v>942</v>
      </c>
      <c r="AB55" t="s">
        <v>85</v>
      </c>
      <c r="AC55" t="s">
        <v>22</v>
      </c>
      <c r="AD55" t="s">
        <v>943</v>
      </c>
      <c r="AF55" t="s">
        <v>944</v>
      </c>
      <c r="AG55" t="s">
        <v>959</v>
      </c>
      <c r="AH55" t="s">
        <v>946</v>
      </c>
      <c r="AI55" t="s">
        <v>960</v>
      </c>
      <c r="AJ55" t="s">
        <v>948</v>
      </c>
      <c r="AK55">
        <v>39</v>
      </c>
      <c r="AL55" s="10">
        <v>15283.6</v>
      </c>
      <c r="AM55" s="10">
        <v>28106.3</v>
      </c>
      <c r="AN55" s="10">
        <v>56969.8</v>
      </c>
      <c r="AO55" s="9">
        <v>0.51527424839535119</v>
      </c>
      <c r="AP55" s="9">
        <v>69.794000000000011</v>
      </c>
      <c r="AQ55" s="9">
        <v>0.22129361276738321</v>
      </c>
      <c r="AR55" s="9">
        <v>7.7499999999999973</v>
      </c>
      <c r="AS55" s="9">
        <v>7.9712936127673828</v>
      </c>
      <c r="AT55" s="9">
        <v>0.93003700135000322</v>
      </c>
      <c r="AU55" s="9">
        <v>23.6</v>
      </c>
      <c r="AV55" s="9">
        <v>24.530037001349999</v>
      </c>
      <c r="AW55" s="11">
        <v>962.39391679886103</v>
      </c>
      <c r="AX55" s="11">
        <v>522.48452117089778</v>
      </c>
      <c r="AY55" t="s">
        <v>949</v>
      </c>
      <c r="AZ55" t="s">
        <v>950</v>
      </c>
      <c r="BA55" t="s">
        <v>951</v>
      </c>
      <c r="BB55" t="s">
        <v>970</v>
      </c>
      <c r="BC55" t="b">
        <v>1</v>
      </c>
    </row>
    <row r="56" spans="1:55">
      <c r="A56" t="s">
        <v>1075</v>
      </c>
      <c r="B56" t="s">
        <v>939</v>
      </c>
      <c r="C56">
        <v>113998000</v>
      </c>
      <c r="D56">
        <v>61989600</v>
      </c>
      <c r="E56">
        <v>113998000</v>
      </c>
      <c r="F56">
        <v>231066900</v>
      </c>
      <c r="G56" s="9">
        <v>1.5161228916848396E-2</v>
      </c>
      <c r="H56" s="9">
        <v>4.5460813760333882E-2</v>
      </c>
      <c r="I56" s="9">
        <v>6.8191220640500816E-2</v>
      </c>
      <c r="J56" s="10">
        <v>3903430.2532612458</v>
      </c>
      <c r="K56" s="10">
        <v>3784479.9555633478</v>
      </c>
      <c r="L56" s="10">
        <v>3665529.6578654498</v>
      </c>
      <c r="M56" s="10">
        <v>3546579.3601675513</v>
      </c>
      <c r="N56" s="10">
        <v>3427629.0624696529</v>
      </c>
      <c r="O56" s="10">
        <v>3308678.7647717553</v>
      </c>
      <c r="P56" s="10">
        <v>3070778.1693759584</v>
      </c>
      <c r="Q56" s="10">
        <v>2832877.5739801624</v>
      </c>
      <c r="R56" s="10">
        <v>2594976.9785843659</v>
      </c>
      <c r="S56" s="10">
        <v>2357076.3831885695</v>
      </c>
      <c r="T56" s="10">
        <v>2119175.787792773</v>
      </c>
      <c r="V56" t="s">
        <v>456</v>
      </c>
      <c r="W56" t="s">
        <v>1075</v>
      </c>
      <c r="X56" t="s">
        <v>1076</v>
      </c>
      <c r="Y56" t="s">
        <v>941</v>
      </c>
      <c r="Z56" t="s">
        <v>942</v>
      </c>
      <c r="AB56" t="s">
        <v>85</v>
      </c>
      <c r="AC56" t="s">
        <v>22</v>
      </c>
      <c r="AD56" t="s">
        <v>943</v>
      </c>
      <c r="AF56" t="s">
        <v>944</v>
      </c>
      <c r="AG56" t="s">
        <v>945</v>
      </c>
      <c r="AH56" t="s">
        <v>946</v>
      </c>
      <c r="AI56" t="s">
        <v>947</v>
      </c>
      <c r="AJ56" t="s">
        <v>948</v>
      </c>
      <c r="AK56">
        <v>5</v>
      </c>
      <c r="AL56" s="10">
        <v>61989.599999999999</v>
      </c>
      <c r="AM56" s="10">
        <v>113998</v>
      </c>
      <c r="AN56" s="10">
        <v>231066.9</v>
      </c>
      <c r="AO56" s="9">
        <v>1.9258000357326801E-2</v>
      </c>
      <c r="AP56" s="9">
        <v>2.6084999999999998</v>
      </c>
      <c r="AQ56" s="9">
        <v>1.6113592167123056</v>
      </c>
      <c r="AR56" s="9">
        <v>13.549869700136092</v>
      </c>
      <c r="AS56" s="9">
        <v>15.161228916848396</v>
      </c>
      <c r="AT56" s="9">
        <v>0.98128283984394682</v>
      </c>
      <c r="AU56" s="9">
        <v>44.479530920489928</v>
      </c>
      <c r="AV56" s="9">
        <v>45.460813760333885</v>
      </c>
      <c r="AW56" s="11">
        <v>3903.430253261246</v>
      </c>
      <c r="AX56" s="11">
        <v>2119.175787792773</v>
      </c>
      <c r="AY56" t="s">
        <v>949</v>
      </c>
      <c r="AZ56" t="s">
        <v>950</v>
      </c>
      <c r="BA56" t="s">
        <v>951</v>
      </c>
      <c r="BB56" t="s">
        <v>970</v>
      </c>
      <c r="BC56" t="b">
        <v>1</v>
      </c>
    </row>
    <row r="57" spans="1:55">
      <c r="A57" t="s">
        <v>1077</v>
      </c>
      <c r="B57" t="s">
        <v>939</v>
      </c>
      <c r="C57">
        <v>10904700</v>
      </c>
      <c r="D57">
        <v>5929800</v>
      </c>
      <c r="E57">
        <v>10904700</v>
      </c>
      <c r="F57">
        <v>22103300</v>
      </c>
      <c r="G57" s="9">
        <v>9.8177845221421815E-3</v>
      </c>
      <c r="H57" s="9">
        <v>3.1269410832703716E-2</v>
      </c>
      <c r="I57" s="9">
        <v>4.6904116249055577E-2</v>
      </c>
      <c r="J57" s="10">
        <v>373390.19879943441</v>
      </c>
      <c r="K57" s="10">
        <v>362011.77714899956</v>
      </c>
      <c r="L57" s="10">
        <v>350633.35549856472</v>
      </c>
      <c r="M57" s="10">
        <v>339254.93384812988</v>
      </c>
      <c r="N57" s="10">
        <v>327876.51219769503</v>
      </c>
      <c r="O57" s="10">
        <v>316498.09054726019</v>
      </c>
      <c r="P57" s="10">
        <v>293741.24724639044</v>
      </c>
      <c r="Q57" s="10">
        <v>270984.40394552081</v>
      </c>
      <c r="R57" s="10">
        <v>248227.56064465112</v>
      </c>
      <c r="S57" s="10">
        <v>225470.71734378141</v>
      </c>
      <c r="T57" s="10">
        <v>202713.87404291172</v>
      </c>
      <c r="V57" t="s">
        <v>456</v>
      </c>
      <c r="W57" t="s">
        <v>1077</v>
      </c>
      <c r="X57" t="s">
        <v>1078</v>
      </c>
      <c r="Y57" t="s">
        <v>941</v>
      </c>
      <c r="Z57" t="s">
        <v>942</v>
      </c>
      <c r="AB57" t="s">
        <v>85</v>
      </c>
      <c r="AC57" t="s">
        <v>22</v>
      </c>
      <c r="AD57" t="s">
        <v>943</v>
      </c>
      <c r="AF57" t="s">
        <v>944</v>
      </c>
      <c r="AG57" t="s">
        <v>965</v>
      </c>
      <c r="AH57" t="s">
        <v>956</v>
      </c>
      <c r="AI57" t="s">
        <v>960</v>
      </c>
      <c r="AJ57" t="s">
        <v>948</v>
      </c>
      <c r="AK57">
        <v>19</v>
      </c>
      <c r="AL57" s="10">
        <v>5929.8</v>
      </c>
      <c r="AM57" s="10">
        <v>10904.7</v>
      </c>
      <c r="AN57" s="10">
        <v>22103.3</v>
      </c>
      <c r="AO57" s="9">
        <v>0.199917017472104</v>
      </c>
      <c r="AP57" s="9">
        <v>27.078800000000001</v>
      </c>
      <c r="AQ57" s="9">
        <v>2.0677845221421807</v>
      </c>
      <c r="AR57" s="9">
        <v>7.75</v>
      </c>
      <c r="AS57" s="9">
        <v>9.8177845221421816</v>
      </c>
      <c r="AT57" s="9">
        <v>7.6694108327037114</v>
      </c>
      <c r="AU57" s="9">
        <v>23.6</v>
      </c>
      <c r="AV57" s="9">
        <v>31.269410832703716</v>
      </c>
      <c r="AW57" s="11">
        <v>373.39019879943442</v>
      </c>
      <c r="AX57" s="11">
        <v>202.71387404291173</v>
      </c>
      <c r="AY57" t="s">
        <v>949</v>
      </c>
      <c r="AZ57" t="s">
        <v>950</v>
      </c>
      <c r="BA57" t="s">
        <v>951</v>
      </c>
      <c r="BB57" t="s">
        <v>970</v>
      </c>
      <c r="BC57" t="b">
        <v>1</v>
      </c>
    </row>
    <row r="58" spans="1:55">
      <c r="A58" t="s">
        <v>1079</v>
      </c>
      <c r="B58" t="s">
        <v>939</v>
      </c>
      <c r="C58">
        <v>64596700</v>
      </c>
      <c r="D58">
        <v>35126200</v>
      </c>
      <c r="E58">
        <v>64596700</v>
      </c>
      <c r="F58">
        <v>130933500</v>
      </c>
      <c r="G58" s="9">
        <v>1.575357931714786E-2</v>
      </c>
      <c r="H58" s="9">
        <v>5.899633733433176E-2</v>
      </c>
      <c r="I58" s="9">
        <v>8.8494506001497636E-2</v>
      </c>
      <c r="J58" s="10">
        <v>2211869.6208779165</v>
      </c>
      <c r="K58" s="10">
        <v>2144466.7129733758</v>
      </c>
      <c r="L58" s="10">
        <v>2077063.8050688354</v>
      </c>
      <c r="M58" s="10">
        <v>2009660.8971642945</v>
      </c>
      <c r="N58" s="10">
        <v>1942257.9892597541</v>
      </c>
      <c r="O58" s="10">
        <v>1874855.0813552134</v>
      </c>
      <c r="P58" s="10">
        <v>1740049.2655461321</v>
      </c>
      <c r="Q58" s="10">
        <v>1605243.449737051</v>
      </c>
      <c r="R58" s="10">
        <v>1470437.6339279697</v>
      </c>
      <c r="S58" s="10">
        <v>1335631.8181188884</v>
      </c>
      <c r="T58" s="10">
        <v>1200826.0023098071</v>
      </c>
      <c r="V58" t="s">
        <v>456</v>
      </c>
      <c r="W58" t="s">
        <v>1079</v>
      </c>
      <c r="X58" t="s">
        <v>1080</v>
      </c>
      <c r="Y58" t="s">
        <v>941</v>
      </c>
      <c r="Z58" t="s">
        <v>942</v>
      </c>
      <c r="AB58" t="s">
        <v>85</v>
      </c>
      <c r="AC58" t="s">
        <v>22</v>
      </c>
      <c r="AD58" t="s">
        <v>943</v>
      </c>
      <c r="AF58" t="s">
        <v>944</v>
      </c>
      <c r="AG58" t="s">
        <v>955</v>
      </c>
      <c r="AH58" t="s">
        <v>956</v>
      </c>
      <c r="AI58" t="s">
        <v>947</v>
      </c>
      <c r="AJ58" t="s">
        <v>948</v>
      </c>
      <c r="AK58">
        <v>3</v>
      </c>
      <c r="AL58" s="10">
        <v>35126.199999999997</v>
      </c>
      <c r="AM58" s="10">
        <v>64596.7</v>
      </c>
      <c r="AN58" s="10">
        <v>130933.5</v>
      </c>
      <c r="AO58" s="9">
        <v>1.09124977297929E-2</v>
      </c>
      <c r="AP58" s="9">
        <v>1.4781</v>
      </c>
      <c r="AQ58" s="9">
        <v>2.2037096170117718</v>
      </c>
      <c r="AR58" s="9">
        <v>13.549869700136089</v>
      </c>
      <c r="AS58" s="9">
        <v>15.753579317147862</v>
      </c>
      <c r="AT58" s="9">
        <v>14.516806413841817</v>
      </c>
      <c r="AU58" s="9">
        <v>44.479530920489943</v>
      </c>
      <c r="AV58" s="9">
        <v>58.996337334331763</v>
      </c>
      <c r="AW58" s="11">
        <v>2211.8696208779165</v>
      </c>
      <c r="AX58" s="11">
        <v>1200.8260023098071</v>
      </c>
      <c r="AY58" t="s">
        <v>949</v>
      </c>
      <c r="AZ58" t="s">
        <v>950</v>
      </c>
      <c r="BA58" t="s">
        <v>951</v>
      </c>
      <c r="BB58" t="s">
        <v>970</v>
      </c>
      <c r="BC58" t="b">
        <v>1</v>
      </c>
    </row>
    <row r="59" spans="1:55">
      <c r="A59" t="s">
        <v>1081</v>
      </c>
      <c r="B59" t="s">
        <v>939</v>
      </c>
      <c r="C59">
        <v>13889600</v>
      </c>
      <c r="D59">
        <v>7552900</v>
      </c>
      <c r="E59">
        <v>13889600</v>
      </c>
      <c r="F59">
        <v>28153300</v>
      </c>
      <c r="G59" s="9">
        <v>1.1021831398472032E-2</v>
      </c>
      <c r="H59" s="9">
        <v>3.504642539896833E-2</v>
      </c>
      <c r="I59" s="9">
        <v>5.2569638098452498E-2</v>
      </c>
      <c r="J59" s="10">
        <v>475596.80736238719</v>
      </c>
      <c r="K59" s="10">
        <v>461103.81577565125</v>
      </c>
      <c r="L59" s="10">
        <v>446610.82418891526</v>
      </c>
      <c r="M59" s="10">
        <v>432117.83260217926</v>
      </c>
      <c r="N59" s="10">
        <v>417624.84101544326</v>
      </c>
      <c r="O59" s="10">
        <v>403131.84942870733</v>
      </c>
      <c r="P59" s="10">
        <v>374145.86625523533</v>
      </c>
      <c r="Q59" s="10">
        <v>345159.8830817634</v>
      </c>
      <c r="R59" s="10">
        <v>316173.89990829147</v>
      </c>
      <c r="S59" s="10">
        <v>287187.91673481953</v>
      </c>
      <c r="T59" s="10">
        <v>258201.93356134751</v>
      </c>
      <c r="V59" t="s">
        <v>456</v>
      </c>
      <c r="W59" t="s">
        <v>1081</v>
      </c>
      <c r="X59" t="s">
        <v>1082</v>
      </c>
      <c r="Y59" t="s">
        <v>941</v>
      </c>
      <c r="Z59" t="s">
        <v>942</v>
      </c>
      <c r="AB59" t="s">
        <v>85</v>
      </c>
      <c r="AC59" t="s">
        <v>22</v>
      </c>
      <c r="AD59" t="s">
        <v>943</v>
      </c>
      <c r="AF59" t="s">
        <v>944</v>
      </c>
      <c r="AG59" t="s">
        <v>1042</v>
      </c>
      <c r="AH59" t="s">
        <v>988</v>
      </c>
      <c r="AI59" t="s">
        <v>960</v>
      </c>
      <c r="AJ59" t="s">
        <v>948</v>
      </c>
      <c r="AK59">
        <v>14</v>
      </c>
      <c r="AL59" s="10">
        <v>7552.9</v>
      </c>
      <c r="AM59" s="10">
        <v>13889.6</v>
      </c>
      <c r="AN59" s="10">
        <v>28153.3</v>
      </c>
      <c r="AO59" s="9">
        <v>0.25463823604542479</v>
      </c>
      <c r="AP59" s="9">
        <v>34.4908</v>
      </c>
      <c r="AQ59" s="9">
        <v>3.271831398472036</v>
      </c>
      <c r="AR59" s="9">
        <v>7.75</v>
      </c>
      <c r="AS59" s="9">
        <v>11.021831398472033</v>
      </c>
      <c r="AT59" s="9">
        <v>11.446425398968328</v>
      </c>
      <c r="AU59" s="9">
        <v>23.600000000000005</v>
      </c>
      <c r="AV59" s="9">
        <v>35.046425398968331</v>
      </c>
      <c r="AW59" s="11">
        <v>475.59680736238721</v>
      </c>
      <c r="AX59" s="11">
        <v>258.20193356134752</v>
      </c>
      <c r="AY59" t="s">
        <v>949</v>
      </c>
      <c r="AZ59" t="s">
        <v>950</v>
      </c>
      <c r="BA59" t="s">
        <v>951</v>
      </c>
      <c r="BB59" t="s">
        <v>970</v>
      </c>
      <c r="BC59" t="b">
        <v>1</v>
      </c>
    </row>
    <row r="60" spans="1:55">
      <c r="A60" t="s">
        <v>1083</v>
      </c>
      <c r="B60" t="s">
        <v>939</v>
      </c>
      <c r="C60">
        <v>548000</v>
      </c>
      <c r="D60">
        <v>548000</v>
      </c>
      <c r="E60">
        <v>548000</v>
      </c>
      <c r="F60">
        <v>548000</v>
      </c>
      <c r="G60" s="9">
        <v>1.2717131192760888E-2</v>
      </c>
      <c r="H60" s="9"/>
      <c r="I60" s="9"/>
      <c r="J60" s="10">
        <v>21920</v>
      </c>
      <c r="K60" s="10">
        <v>21920</v>
      </c>
      <c r="L60" s="10">
        <v>21920</v>
      </c>
      <c r="M60" s="10">
        <v>21920</v>
      </c>
      <c r="N60" s="10">
        <v>21920</v>
      </c>
      <c r="O60" s="10">
        <v>21920</v>
      </c>
      <c r="P60" s="10">
        <v>21920</v>
      </c>
      <c r="Q60" s="10">
        <v>21920</v>
      </c>
      <c r="R60" s="10">
        <v>21920</v>
      </c>
      <c r="S60" s="10">
        <v>21920</v>
      </c>
      <c r="T60" s="10">
        <v>21920</v>
      </c>
      <c r="V60" t="s">
        <v>456</v>
      </c>
      <c r="W60" t="s">
        <v>1083</v>
      </c>
      <c r="X60" t="s">
        <v>1084</v>
      </c>
      <c r="Y60" t="s">
        <v>941</v>
      </c>
      <c r="Z60" t="s">
        <v>942</v>
      </c>
      <c r="AB60" t="s">
        <v>1085</v>
      </c>
      <c r="AC60" t="s">
        <v>475</v>
      </c>
      <c r="AD60" t="s">
        <v>943</v>
      </c>
      <c r="AF60" t="s">
        <v>944</v>
      </c>
      <c r="AG60" t="s">
        <v>965</v>
      </c>
      <c r="AH60" t="s">
        <v>956</v>
      </c>
      <c r="AI60" t="s">
        <v>960</v>
      </c>
      <c r="AJ60" t="s">
        <v>948</v>
      </c>
      <c r="AK60">
        <v>1</v>
      </c>
      <c r="AL60" s="10">
        <v>548</v>
      </c>
      <c r="AM60" s="10">
        <v>548</v>
      </c>
      <c r="AN60" s="10">
        <v>548</v>
      </c>
      <c r="AO60" s="9">
        <v>0</v>
      </c>
      <c r="AP60" s="9">
        <v>0</v>
      </c>
      <c r="AQ60" s="9">
        <v>2.7171311927608888</v>
      </c>
      <c r="AR60" s="9">
        <v>10</v>
      </c>
      <c r="AS60" s="9">
        <v>12.717131192760888</v>
      </c>
      <c r="AT60" s="9"/>
      <c r="AU60" s="9"/>
      <c r="AV60" s="9"/>
      <c r="AW60" s="11">
        <v>21.92</v>
      </c>
      <c r="AX60" s="11">
        <v>21.92</v>
      </c>
      <c r="AY60" t="s">
        <v>1086</v>
      </c>
      <c r="AZ60" t="b">
        <v>0</v>
      </c>
      <c r="BA60" t="s">
        <v>1087</v>
      </c>
      <c r="BB60" t="s">
        <v>1088</v>
      </c>
      <c r="BC60" t="b">
        <v>0</v>
      </c>
    </row>
    <row r="61" spans="1:55">
      <c r="A61" t="s">
        <v>1089</v>
      </c>
      <c r="B61" t="s">
        <v>939</v>
      </c>
      <c r="C61">
        <v>100600</v>
      </c>
      <c r="D61">
        <v>54700</v>
      </c>
      <c r="E61">
        <v>100600</v>
      </c>
      <c r="F61">
        <v>204000</v>
      </c>
      <c r="G61" s="9">
        <v>1.5221618644146191E-2</v>
      </c>
      <c r="H61" s="9">
        <v>4.9860025384208952E-2</v>
      </c>
      <c r="I61" s="9">
        <v>7.4790038076313431E-2</v>
      </c>
      <c r="J61" s="10">
        <v>4024</v>
      </c>
      <c r="K61" s="10">
        <v>4024</v>
      </c>
      <c r="L61" s="10">
        <v>4024</v>
      </c>
      <c r="M61" s="10">
        <v>4024</v>
      </c>
      <c r="N61" s="10">
        <v>4024</v>
      </c>
      <c r="O61" s="10">
        <v>4024</v>
      </c>
      <c r="P61" s="10">
        <v>4024</v>
      </c>
      <c r="Q61" s="10">
        <v>4024</v>
      </c>
      <c r="R61" s="10">
        <v>4024</v>
      </c>
      <c r="S61" s="10">
        <v>4024</v>
      </c>
      <c r="T61" s="10">
        <v>4024</v>
      </c>
      <c r="V61" t="s">
        <v>456</v>
      </c>
      <c r="W61" t="s">
        <v>1089</v>
      </c>
      <c r="X61" t="s">
        <v>1090</v>
      </c>
      <c r="Y61" t="s">
        <v>941</v>
      </c>
      <c r="Z61" t="s">
        <v>942</v>
      </c>
      <c r="AB61" t="s">
        <v>86</v>
      </c>
      <c r="AC61" t="s">
        <v>86</v>
      </c>
      <c r="AD61" t="s">
        <v>943</v>
      </c>
      <c r="AF61" t="s">
        <v>944</v>
      </c>
      <c r="AG61" t="s">
        <v>945</v>
      </c>
      <c r="AH61" t="s">
        <v>946</v>
      </c>
      <c r="AI61" t="s">
        <v>947</v>
      </c>
      <c r="AJ61" t="s">
        <v>948</v>
      </c>
      <c r="AK61">
        <v>3</v>
      </c>
      <c r="AL61" s="10">
        <v>54.7</v>
      </c>
      <c r="AM61" s="10">
        <v>100.6</v>
      </c>
      <c r="AN61" s="10">
        <v>204</v>
      </c>
      <c r="AO61" s="9">
        <v>1</v>
      </c>
      <c r="AP61" s="9">
        <v>1.3812000000000002</v>
      </c>
      <c r="AQ61" s="9">
        <v>0.39454156706911458</v>
      </c>
      <c r="AR61" s="9">
        <v>14.827077077077076</v>
      </c>
      <c r="AS61" s="9">
        <v>15.22161864414619</v>
      </c>
      <c r="AT61" s="9">
        <v>0.78254790673146468</v>
      </c>
      <c r="AU61" s="9">
        <v>49.077477477477487</v>
      </c>
      <c r="AV61" s="9">
        <v>49.860025384208953</v>
      </c>
      <c r="AW61" s="11">
        <v>4.024</v>
      </c>
      <c r="AX61" s="11">
        <v>4.024</v>
      </c>
      <c r="AY61" t="s">
        <v>949</v>
      </c>
      <c r="AZ61" t="s">
        <v>950</v>
      </c>
      <c r="BA61" t="s">
        <v>951</v>
      </c>
      <c r="BB61" t="s">
        <v>952</v>
      </c>
      <c r="BC61" t="b">
        <v>1</v>
      </c>
    </row>
    <row r="62" spans="1:55">
      <c r="A62" t="s">
        <v>1091</v>
      </c>
      <c r="B62" t="s">
        <v>939</v>
      </c>
      <c r="C62">
        <v>32445600</v>
      </c>
      <c r="D62">
        <v>17643200</v>
      </c>
      <c r="E62">
        <v>32445600</v>
      </c>
      <c r="F62">
        <v>65765300</v>
      </c>
      <c r="G62" s="9">
        <v>1.6079648475876427E-2</v>
      </c>
      <c r="H62" s="9"/>
      <c r="I62" s="9"/>
      <c r="J62" s="10">
        <v>80799.031133596014</v>
      </c>
      <c r="K62" s="10">
        <v>78923.856596401602</v>
      </c>
      <c r="L62" s="10">
        <v>77048.682059207204</v>
      </c>
      <c r="M62" s="10">
        <v>75173.507522012791</v>
      </c>
      <c r="N62" s="10">
        <v>73298.332984818408</v>
      </c>
      <c r="O62" s="10">
        <v>71423.158447623995</v>
      </c>
      <c r="P62" s="10">
        <v>67672.809373235184</v>
      </c>
      <c r="Q62" s="10">
        <v>63922.460298846374</v>
      </c>
      <c r="R62" s="10">
        <v>60172.111224457556</v>
      </c>
      <c r="S62" s="10">
        <v>56421.762150068746</v>
      </c>
      <c r="T62" s="10">
        <v>52671.413075679935</v>
      </c>
      <c r="V62" t="s">
        <v>456</v>
      </c>
      <c r="W62" t="s">
        <v>1091</v>
      </c>
      <c r="X62" t="s">
        <v>1092</v>
      </c>
      <c r="Y62" t="s">
        <v>941</v>
      </c>
      <c r="Z62" t="s">
        <v>942</v>
      </c>
      <c r="AB62" t="s">
        <v>477</v>
      </c>
      <c r="AC62" t="s">
        <v>476</v>
      </c>
      <c r="AD62" t="s">
        <v>943</v>
      </c>
      <c r="AF62" t="s">
        <v>944</v>
      </c>
      <c r="AG62" t="s">
        <v>945</v>
      </c>
      <c r="AH62" t="s">
        <v>946</v>
      </c>
      <c r="AI62" t="s">
        <v>947</v>
      </c>
      <c r="AJ62" t="s">
        <v>948</v>
      </c>
      <c r="AK62">
        <v>1</v>
      </c>
      <c r="AL62" s="10">
        <v>17643.2</v>
      </c>
      <c r="AM62" s="10">
        <v>32445.599999999999</v>
      </c>
      <c r="AN62" s="10">
        <v>65765.3</v>
      </c>
      <c r="AO62" s="9">
        <v>0.1803211198023878</v>
      </c>
      <c r="AP62" s="9">
        <v>0.56940000000000002</v>
      </c>
      <c r="AQ62" s="9">
        <v>2.0257316374763721</v>
      </c>
      <c r="AR62" s="9">
        <v>14.053916838400056</v>
      </c>
      <c r="AS62" s="9">
        <v>16.079648475876429</v>
      </c>
      <c r="AT62" s="9"/>
      <c r="AU62" s="9"/>
      <c r="AV62" s="9"/>
      <c r="AW62" s="11">
        <v>80.799031133596017</v>
      </c>
      <c r="AX62" s="11">
        <v>52.671413075679936</v>
      </c>
      <c r="AY62" t="s">
        <v>949</v>
      </c>
      <c r="AZ62" t="s">
        <v>950</v>
      </c>
      <c r="BA62" t="s">
        <v>951</v>
      </c>
      <c r="BB62" t="s">
        <v>970</v>
      </c>
      <c r="BC62" t="b">
        <v>0</v>
      </c>
    </row>
    <row r="63" spans="1:55">
      <c r="A63" t="s">
        <v>1093</v>
      </c>
      <c r="B63" t="s">
        <v>939</v>
      </c>
      <c r="C63">
        <v>3979400</v>
      </c>
      <c r="D63">
        <v>2163900</v>
      </c>
      <c r="E63">
        <v>3979400</v>
      </c>
      <c r="F63">
        <v>8066000</v>
      </c>
      <c r="G63" s="9">
        <v>1.1746006742005356E-2</v>
      </c>
      <c r="H63" s="9">
        <v>3.0895714268741544E-2</v>
      </c>
      <c r="I63" s="9">
        <v>4.6343571403112314E-2</v>
      </c>
      <c r="J63" s="10">
        <v>9909.8695814850707</v>
      </c>
      <c r="K63" s="10">
        <v>9679.8824783551718</v>
      </c>
      <c r="L63" s="10">
        <v>9449.8953752252746</v>
      </c>
      <c r="M63" s="10">
        <v>9219.9082720953757</v>
      </c>
      <c r="N63" s="10">
        <v>8989.9211689654785</v>
      </c>
      <c r="O63" s="10">
        <v>8759.9340658355795</v>
      </c>
      <c r="P63" s="10">
        <v>8299.9598595757834</v>
      </c>
      <c r="Q63" s="10">
        <v>7839.9856533159882</v>
      </c>
      <c r="R63" s="10">
        <v>7380.011447056193</v>
      </c>
      <c r="S63" s="10">
        <v>6920.0372407963969</v>
      </c>
      <c r="T63" s="10">
        <v>6460.0630345366008</v>
      </c>
      <c r="V63" t="s">
        <v>456</v>
      </c>
      <c r="W63" t="s">
        <v>1093</v>
      </c>
      <c r="X63" t="s">
        <v>1094</v>
      </c>
      <c r="Y63" t="s">
        <v>941</v>
      </c>
      <c r="Z63" t="s">
        <v>942</v>
      </c>
      <c r="AB63" t="s">
        <v>477</v>
      </c>
      <c r="AC63" t="s">
        <v>476</v>
      </c>
      <c r="AD63" t="s">
        <v>943</v>
      </c>
      <c r="AF63" t="s">
        <v>944</v>
      </c>
      <c r="AG63" t="s">
        <v>1042</v>
      </c>
      <c r="AH63" t="s">
        <v>988</v>
      </c>
      <c r="AI63" t="s">
        <v>960</v>
      </c>
      <c r="AJ63" t="s">
        <v>948</v>
      </c>
      <c r="AK63">
        <v>1</v>
      </c>
      <c r="AL63" s="10">
        <v>2163.9</v>
      </c>
      <c r="AM63" s="10">
        <v>3979.4</v>
      </c>
      <c r="AN63" s="10">
        <v>8066</v>
      </c>
      <c r="AO63" s="9">
        <v>0.81967888019761215</v>
      </c>
      <c r="AP63" s="9">
        <v>2.5882999999999998</v>
      </c>
      <c r="AQ63" s="9">
        <v>3.9960067420053571</v>
      </c>
      <c r="AR63" s="9">
        <v>7.75</v>
      </c>
      <c r="AS63" s="9">
        <v>11.746006742005356</v>
      </c>
      <c r="AT63" s="9">
        <v>7.2957142687415439</v>
      </c>
      <c r="AU63" s="9">
        <v>23.6</v>
      </c>
      <c r="AV63" s="9">
        <v>30.895714268741543</v>
      </c>
      <c r="AW63" s="11">
        <v>9.9098695814850704</v>
      </c>
      <c r="AX63" s="11">
        <v>6.460063034536601</v>
      </c>
      <c r="AY63" t="s">
        <v>949</v>
      </c>
      <c r="AZ63" t="s">
        <v>950</v>
      </c>
      <c r="BA63" t="s">
        <v>951</v>
      </c>
      <c r="BB63" t="s">
        <v>970</v>
      </c>
      <c r="BC63" t="b">
        <v>1</v>
      </c>
    </row>
    <row r="64" spans="1:55">
      <c r="A64" t="s">
        <v>1095</v>
      </c>
      <c r="B64" t="s">
        <v>939</v>
      </c>
      <c r="C64">
        <v>1919600</v>
      </c>
      <c r="D64">
        <v>1473300</v>
      </c>
      <c r="E64">
        <v>1919600</v>
      </c>
      <c r="F64">
        <v>3232000</v>
      </c>
      <c r="G64" s="9">
        <v>4.4800351124072843E-3</v>
      </c>
      <c r="H64" s="9">
        <v>9.88233020629831E-3</v>
      </c>
      <c r="I64" s="9">
        <v>1.4823495309447465E-2</v>
      </c>
      <c r="J64" s="10">
        <v>76783.999999999985</v>
      </c>
      <c r="K64" s="10">
        <v>76783.999999999985</v>
      </c>
      <c r="L64" s="10">
        <v>76783.999999999985</v>
      </c>
      <c r="M64" s="10">
        <v>76783.999999999985</v>
      </c>
      <c r="N64" s="10">
        <v>76783.999999999985</v>
      </c>
      <c r="O64" s="10">
        <v>76783.999999999985</v>
      </c>
      <c r="P64" s="10">
        <v>76783.999999999985</v>
      </c>
      <c r="Q64" s="10">
        <v>76783.999999999985</v>
      </c>
      <c r="R64" s="10">
        <v>76783.999999999985</v>
      </c>
      <c r="S64" s="10">
        <v>76783.999999999985</v>
      </c>
      <c r="T64" s="10">
        <v>76783.999999999985</v>
      </c>
      <c r="V64" t="s">
        <v>456</v>
      </c>
      <c r="W64" t="s">
        <v>1095</v>
      </c>
      <c r="X64" t="s">
        <v>1096</v>
      </c>
      <c r="Y64" t="s">
        <v>941</v>
      </c>
      <c r="Z64" t="s">
        <v>942</v>
      </c>
      <c r="AB64" t="s">
        <v>89</v>
      </c>
      <c r="AC64" t="s">
        <v>24</v>
      </c>
      <c r="AD64" t="s">
        <v>968</v>
      </c>
      <c r="AF64" t="s">
        <v>944</v>
      </c>
      <c r="AG64" t="s">
        <v>999</v>
      </c>
      <c r="AH64" t="s">
        <v>946</v>
      </c>
      <c r="AI64" t="s">
        <v>977</v>
      </c>
      <c r="AJ64" t="s">
        <v>948</v>
      </c>
      <c r="AK64">
        <v>4</v>
      </c>
      <c r="AL64" s="10">
        <v>1473.3</v>
      </c>
      <c r="AM64" s="10">
        <v>1919.6</v>
      </c>
      <c r="AN64" s="10">
        <v>3232</v>
      </c>
      <c r="AO64" s="9">
        <v>4.1869670388740898E-2</v>
      </c>
      <c r="AP64" s="9">
        <v>3.4272</v>
      </c>
      <c r="AQ64" s="9">
        <v>0.76003511240728372</v>
      </c>
      <c r="AR64" s="9">
        <v>3.7200000000000011</v>
      </c>
      <c r="AS64" s="9">
        <v>4.4800351124072844</v>
      </c>
      <c r="AT64" s="9">
        <v>1.2023302062983083</v>
      </c>
      <c r="AU64" s="9">
        <v>8.6800000000000015</v>
      </c>
      <c r="AV64" s="9">
        <v>9.8823302062983096</v>
      </c>
      <c r="AW64" s="11">
        <v>76.783999999999992</v>
      </c>
      <c r="AX64" s="11">
        <v>76.783999999999992</v>
      </c>
      <c r="AY64" t="s">
        <v>969</v>
      </c>
      <c r="AZ64" t="s">
        <v>950</v>
      </c>
      <c r="BA64" t="s">
        <v>951</v>
      </c>
      <c r="BB64" t="s">
        <v>952</v>
      </c>
      <c r="BC64" t="b">
        <v>1</v>
      </c>
    </row>
    <row r="65" spans="1:55">
      <c r="A65" t="s">
        <v>1097</v>
      </c>
      <c r="B65" t="s">
        <v>939</v>
      </c>
      <c r="C65">
        <v>2901400</v>
      </c>
      <c r="D65">
        <v>2226900</v>
      </c>
      <c r="E65">
        <v>2901400</v>
      </c>
      <c r="F65">
        <v>4885100</v>
      </c>
      <c r="G65" s="9">
        <v>6.2321334349420129E-3</v>
      </c>
      <c r="H65" s="9">
        <v>1.3412301758334513E-2</v>
      </c>
      <c r="I65" s="9">
        <v>2.0118452637501769E-2</v>
      </c>
      <c r="J65" s="10">
        <v>116056</v>
      </c>
      <c r="K65" s="10">
        <v>116056</v>
      </c>
      <c r="L65" s="10">
        <v>116056</v>
      </c>
      <c r="M65" s="10">
        <v>116056</v>
      </c>
      <c r="N65" s="10">
        <v>116056</v>
      </c>
      <c r="O65" s="10">
        <v>116056</v>
      </c>
      <c r="P65" s="10">
        <v>116056</v>
      </c>
      <c r="Q65" s="10">
        <v>116056</v>
      </c>
      <c r="R65" s="10">
        <v>116056</v>
      </c>
      <c r="S65" s="10">
        <v>116056</v>
      </c>
      <c r="T65" s="10">
        <v>116056</v>
      </c>
      <c r="V65" t="s">
        <v>456</v>
      </c>
      <c r="W65" t="s">
        <v>1097</v>
      </c>
      <c r="X65" t="s">
        <v>1098</v>
      </c>
      <c r="Y65" t="s">
        <v>941</v>
      </c>
      <c r="Z65" t="s">
        <v>942</v>
      </c>
      <c r="AB65" t="s">
        <v>89</v>
      </c>
      <c r="AC65" t="s">
        <v>24</v>
      </c>
      <c r="AD65" t="s">
        <v>968</v>
      </c>
      <c r="AF65" t="s">
        <v>944</v>
      </c>
      <c r="AG65" t="s">
        <v>976</v>
      </c>
      <c r="AH65" t="s">
        <v>956</v>
      </c>
      <c r="AI65" t="s">
        <v>977</v>
      </c>
      <c r="AJ65" t="s">
        <v>948</v>
      </c>
      <c r="AK65">
        <v>3</v>
      </c>
      <c r="AL65" s="10">
        <v>2226.9</v>
      </c>
      <c r="AM65" s="10">
        <v>2901.4</v>
      </c>
      <c r="AN65" s="10">
        <v>4885.1000000000004</v>
      </c>
      <c r="AO65" s="9">
        <v>6.3284628729200695E-2</v>
      </c>
      <c r="AP65" s="9">
        <v>5.1801000000000004</v>
      </c>
      <c r="AQ65" s="9">
        <v>2.5121334349420121</v>
      </c>
      <c r="AR65" s="9">
        <v>3.7200000000000011</v>
      </c>
      <c r="AS65" s="9">
        <v>6.2321334349420132</v>
      </c>
      <c r="AT65" s="9">
        <v>4.7323017583345104</v>
      </c>
      <c r="AU65" s="9">
        <v>8.6800000000000015</v>
      </c>
      <c r="AV65" s="9">
        <v>13.412301758334513</v>
      </c>
      <c r="AW65" s="11">
        <v>116.056</v>
      </c>
      <c r="AX65" s="11">
        <v>116.056</v>
      </c>
      <c r="AY65" t="s">
        <v>969</v>
      </c>
      <c r="AZ65" t="s">
        <v>950</v>
      </c>
      <c r="BA65" t="s">
        <v>951</v>
      </c>
      <c r="BB65" t="s">
        <v>952</v>
      </c>
      <c r="BC65" t="b">
        <v>1</v>
      </c>
    </row>
    <row r="66" spans="1:55">
      <c r="A66" t="s">
        <v>1099</v>
      </c>
      <c r="B66" t="s">
        <v>939</v>
      </c>
      <c r="C66">
        <v>8736000</v>
      </c>
      <c r="D66">
        <v>4750400</v>
      </c>
      <c r="E66">
        <v>8736000</v>
      </c>
      <c r="F66">
        <v>17707400</v>
      </c>
      <c r="G66" s="9">
        <v>6.3598232670871481E-3</v>
      </c>
      <c r="H66" s="9">
        <v>1.5419000215589207E-2</v>
      </c>
      <c r="I66" s="9">
        <v>2.3128500323383809E-2</v>
      </c>
      <c r="J66" s="10">
        <v>349440</v>
      </c>
      <c r="K66" s="10">
        <v>349002.45295753499</v>
      </c>
      <c r="L66" s="10">
        <v>348564.90591506998</v>
      </c>
      <c r="M66" s="10">
        <v>348127.35887260496</v>
      </c>
      <c r="N66" s="10">
        <v>347689.81183014001</v>
      </c>
      <c r="O66" s="10">
        <v>347252.264787675</v>
      </c>
      <c r="P66" s="10">
        <v>346377.17070274497</v>
      </c>
      <c r="Q66" s="10">
        <v>345502.07661781501</v>
      </c>
      <c r="R66" s="10">
        <v>344626.98253288498</v>
      </c>
      <c r="S66" s="10">
        <v>343751.88844795502</v>
      </c>
      <c r="T66" s="10">
        <v>342876.79436302499</v>
      </c>
      <c r="V66" t="s">
        <v>456</v>
      </c>
      <c r="W66" t="s">
        <v>1099</v>
      </c>
      <c r="X66" t="s">
        <v>1100</v>
      </c>
      <c r="Y66" t="s">
        <v>941</v>
      </c>
      <c r="Z66" t="s">
        <v>942</v>
      </c>
      <c r="AB66" t="s">
        <v>89</v>
      </c>
      <c r="AC66" t="s">
        <v>24</v>
      </c>
      <c r="AD66" t="s">
        <v>943</v>
      </c>
      <c r="AF66" t="s">
        <v>944</v>
      </c>
      <c r="AG66" t="s">
        <v>999</v>
      </c>
      <c r="AH66" t="s">
        <v>946</v>
      </c>
      <c r="AI66" t="s">
        <v>977</v>
      </c>
      <c r="AJ66" t="s">
        <v>948</v>
      </c>
      <c r="AK66">
        <v>8</v>
      </c>
      <c r="AL66" s="10">
        <v>4750.3999999999996</v>
      </c>
      <c r="AM66" s="10">
        <v>8736</v>
      </c>
      <c r="AN66" s="10">
        <v>17707.400000000001</v>
      </c>
      <c r="AO66" s="9">
        <v>0.1905490263151465</v>
      </c>
      <c r="AP66" s="9">
        <v>15.597200000000001</v>
      </c>
      <c r="AQ66" s="9">
        <v>0.15982326708714789</v>
      </c>
      <c r="AR66" s="9">
        <v>6.2000000000000011</v>
      </c>
      <c r="AS66" s="9">
        <v>6.3598232670871484</v>
      </c>
      <c r="AT66" s="9">
        <v>0.53900021558920364</v>
      </c>
      <c r="AU66" s="9">
        <v>14.880000000000004</v>
      </c>
      <c r="AV66" s="9">
        <v>15.419000215589207</v>
      </c>
      <c r="AW66" s="11">
        <v>349.44</v>
      </c>
      <c r="AX66" s="11">
        <v>342.876794363025</v>
      </c>
      <c r="AY66" t="s">
        <v>949</v>
      </c>
      <c r="AZ66" t="s">
        <v>950</v>
      </c>
      <c r="BA66" t="s">
        <v>951</v>
      </c>
      <c r="BB66" t="s">
        <v>952</v>
      </c>
      <c r="BC66" t="b">
        <v>1</v>
      </c>
    </row>
    <row r="67" spans="1:55">
      <c r="A67" t="s">
        <v>1101</v>
      </c>
      <c r="B67" t="s">
        <v>939</v>
      </c>
      <c r="C67">
        <v>23129800</v>
      </c>
      <c r="D67">
        <v>12577500</v>
      </c>
      <c r="E67">
        <v>23129800</v>
      </c>
      <c r="F67">
        <v>46882600</v>
      </c>
      <c r="G67" s="9">
        <v>8.0544938823726674E-3</v>
      </c>
      <c r="H67" s="9">
        <v>2.4303538865990109E-2</v>
      </c>
      <c r="I67" s="9">
        <v>3.6455308298985162E-2</v>
      </c>
      <c r="J67" s="10">
        <v>925192</v>
      </c>
      <c r="K67" s="10">
        <v>924033.53209903766</v>
      </c>
      <c r="L67" s="10">
        <v>922875.06419807533</v>
      </c>
      <c r="M67" s="10">
        <v>921716.59629711288</v>
      </c>
      <c r="N67" s="10">
        <v>920558.12839615066</v>
      </c>
      <c r="O67" s="10">
        <v>919399.66049518832</v>
      </c>
      <c r="P67" s="10">
        <v>917082.72469326353</v>
      </c>
      <c r="Q67" s="10">
        <v>914765.78889133886</v>
      </c>
      <c r="R67" s="10">
        <v>912448.85308941407</v>
      </c>
      <c r="S67" s="10">
        <v>910131.91728748952</v>
      </c>
      <c r="T67" s="10">
        <v>907814.98148556473</v>
      </c>
      <c r="V67" t="s">
        <v>456</v>
      </c>
      <c r="W67" t="s">
        <v>1101</v>
      </c>
      <c r="X67" t="s">
        <v>1102</v>
      </c>
      <c r="Y67" t="s">
        <v>941</v>
      </c>
      <c r="Z67" t="s">
        <v>942</v>
      </c>
      <c r="AB67" t="s">
        <v>89</v>
      </c>
      <c r="AC67" t="s">
        <v>24</v>
      </c>
      <c r="AD67" t="s">
        <v>943</v>
      </c>
      <c r="AF67" t="s">
        <v>944</v>
      </c>
      <c r="AG67" t="s">
        <v>959</v>
      </c>
      <c r="AH67" t="s">
        <v>946</v>
      </c>
      <c r="AI67" t="s">
        <v>960</v>
      </c>
      <c r="AJ67" t="s">
        <v>948</v>
      </c>
      <c r="AK67">
        <v>28</v>
      </c>
      <c r="AL67" s="10">
        <v>12577.5</v>
      </c>
      <c r="AM67" s="10">
        <v>23129.8</v>
      </c>
      <c r="AN67" s="10">
        <v>46882.6</v>
      </c>
      <c r="AO67" s="9">
        <v>0.41323087448383722</v>
      </c>
      <c r="AP67" s="9">
        <v>33.824600000000004</v>
      </c>
      <c r="AQ67" s="9">
        <v>0.3044938823726675</v>
      </c>
      <c r="AR67" s="9">
        <v>7.7499999999999991</v>
      </c>
      <c r="AS67" s="9">
        <v>8.0544938823726682</v>
      </c>
      <c r="AT67" s="9">
        <v>0.7035388659901064</v>
      </c>
      <c r="AU67" s="9">
        <v>23.600000000000009</v>
      </c>
      <c r="AV67" s="9">
        <v>24.303538865990109</v>
      </c>
      <c r="AW67" s="11">
        <v>925.19200000000001</v>
      </c>
      <c r="AX67" s="11">
        <v>907.81498148556477</v>
      </c>
      <c r="AY67" t="s">
        <v>949</v>
      </c>
      <c r="AZ67" t="s">
        <v>950</v>
      </c>
      <c r="BA67" t="s">
        <v>951</v>
      </c>
      <c r="BB67" t="s">
        <v>952</v>
      </c>
      <c r="BC67" t="b">
        <v>1</v>
      </c>
    </row>
    <row r="68" spans="1:55">
      <c r="A68" t="s">
        <v>1103</v>
      </c>
      <c r="B68" t="s">
        <v>939</v>
      </c>
      <c r="C68">
        <v>142396600</v>
      </c>
      <c r="D68">
        <v>77432100</v>
      </c>
      <c r="E68">
        <v>142396600</v>
      </c>
      <c r="F68">
        <v>288629200</v>
      </c>
      <c r="G68" s="9">
        <v>1.4433359520504988E-2</v>
      </c>
      <c r="H68" s="9">
        <v>4.730332272834372E-2</v>
      </c>
      <c r="I68" s="9">
        <v>7.0954984092515577E-2</v>
      </c>
      <c r="J68" s="10">
        <v>5695864.0000000009</v>
      </c>
      <c r="K68" s="10">
        <v>5688731.9932249235</v>
      </c>
      <c r="L68" s="10">
        <v>5681599.9864498461</v>
      </c>
      <c r="M68" s="10">
        <v>5674467.9796747696</v>
      </c>
      <c r="N68" s="10">
        <v>5667335.9728996931</v>
      </c>
      <c r="O68" s="10">
        <v>5660203.9661246166</v>
      </c>
      <c r="P68" s="10">
        <v>5645939.9525744617</v>
      </c>
      <c r="Q68" s="10">
        <v>5631675.9390243087</v>
      </c>
      <c r="R68" s="10">
        <v>5617411.9254741548</v>
      </c>
      <c r="S68" s="10">
        <v>5603147.9119240008</v>
      </c>
      <c r="T68" s="10">
        <v>5588883.8983738469</v>
      </c>
      <c r="V68" t="s">
        <v>456</v>
      </c>
      <c r="W68" t="s">
        <v>1103</v>
      </c>
      <c r="X68" t="s">
        <v>1104</v>
      </c>
      <c r="Y68" t="s">
        <v>941</v>
      </c>
      <c r="Z68" t="s">
        <v>942</v>
      </c>
      <c r="AB68" t="s">
        <v>89</v>
      </c>
      <c r="AC68" t="s">
        <v>24</v>
      </c>
      <c r="AD68" t="s">
        <v>943</v>
      </c>
      <c r="AF68" t="s">
        <v>944</v>
      </c>
      <c r="AG68" t="s">
        <v>945</v>
      </c>
      <c r="AH68" t="s">
        <v>946</v>
      </c>
      <c r="AI68" t="s">
        <v>947</v>
      </c>
      <c r="AJ68" t="s">
        <v>948</v>
      </c>
      <c r="AK68">
        <v>5</v>
      </c>
      <c r="AL68" s="10">
        <v>77432.100000000006</v>
      </c>
      <c r="AM68" s="10">
        <v>142396.6</v>
      </c>
      <c r="AN68" s="10">
        <v>288629.2</v>
      </c>
      <c r="AO68" s="9">
        <v>3.0422459501062801E-2</v>
      </c>
      <c r="AP68" s="9">
        <v>2.4902000000000002</v>
      </c>
      <c r="AQ68" s="9">
        <v>0.3577534335346596</v>
      </c>
      <c r="AR68" s="9">
        <v>14.075606086970328</v>
      </c>
      <c r="AS68" s="9">
        <v>14.433359520504988</v>
      </c>
      <c r="AT68" s="9">
        <v>0.93114081525053038</v>
      </c>
      <c r="AU68" s="9">
        <v>46.372181913093193</v>
      </c>
      <c r="AV68" s="9">
        <v>47.303322728343723</v>
      </c>
      <c r="AW68" s="11">
        <v>5695.8640000000005</v>
      </c>
      <c r="AX68" s="11">
        <v>5588.8838983738469</v>
      </c>
      <c r="AY68" t="s">
        <v>949</v>
      </c>
      <c r="AZ68" t="s">
        <v>950</v>
      </c>
      <c r="BA68" t="s">
        <v>951</v>
      </c>
      <c r="BB68" t="s">
        <v>952</v>
      </c>
      <c r="BC68" t="b">
        <v>1</v>
      </c>
    </row>
    <row r="69" spans="1:55">
      <c r="A69" t="s">
        <v>1105</v>
      </c>
      <c r="B69" t="s">
        <v>939</v>
      </c>
      <c r="C69">
        <v>13153000</v>
      </c>
      <c r="D69">
        <v>7152300</v>
      </c>
      <c r="E69">
        <v>13153000</v>
      </c>
      <c r="F69">
        <v>26660300</v>
      </c>
      <c r="G69" s="9">
        <v>9.4629602048932303E-3</v>
      </c>
      <c r="H69" s="9">
        <v>2.913650494645495E-2</v>
      </c>
      <c r="I69" s="9">
        <v>4.3704757419682425E-2</v>
      </c>
      <c r="J69" s="10">
        <v>526120</v>
      </c>
      <c r="K69" s="10">
        <v>525461.22524616041</v>
      </c>
      <c r="L69" s="10">
        <v>524802.45049232093</v>
      </c>
      <c r="M69" s="10">
        <v>524143.6757384814</v>
      </c>
      <c r="N69" s="10">
        <v>523484.90098464186</v>
      </c>
      <c r="O69" s="10">
        <v>522826.12623080239</v>
      </c>
      <c r="P69" s="10">
        <v>521508.57672312326</v>
      </c>
      <c r="Q69" s="10">
        <v>520191.02721544425</v>
      </c>
      <c r="R69" s="10">
        <v>518873.47770776524</v>
      </c>
      <c r="S69" s="10">
        <v>517555.92820008611</v>
      </c>
      <c r="T69" s="10">
        <v>516238.3786924071</v>
      </c>
      <c r="V69" t="s">
        <v>456</v>
      </c>
      <c r="W69" t="s">
        <v>1105</v>
      </c>
      <c r="X69" t="s">
        <v>1106</v>
      </c>
      <c r="Y69" t="s">
        <v>941</v>
      </c>
      <c r="Z69" t="s">
        <v>942</v>
      </c>
      <c r="AB69" t="s">
        <v>89</v>
      </c>
      <c r="AC69" t="s">
        <v>24</v>
      </c>
      <c r="AD69" t="s">
        <v>943</v>
      </c>
      <c r="AF69" t="s">
        <v>944</v>
      </c>
      <c r="AG69" t="s">
        <v>965</v>
      </c>
      <c r="AH69" t="s">
        <v>956</v>
      </c>
      <c r="AI69" t="s">
        <v>960</v>
      </c>
      <c r="AJ69" t="s">
        <v>948</v>
      </c>
      <c r="AK69">
        <v>19</v>
      </c>
      <c r="AL69" s="10">
        <v>7152.3</v>
      </c>
      <c r="AM69" s="10">
        <v>13153</v>
      </c>
      <c r="AN69" s="10">
        <v>26660.3</v>
      </c>
      <c r="AO69" s="9">
        <v>0.2349879052947931</v>
      </c>
      <c r="AP69" s="9">
        <v>19.2347</v>
      </c>
      <c r="AQ69" s="9">
        <v>1.7129602048932275</v>
      </c>
      <c r="AR69" s="9">
        <v>7.75</v>
      </c>
      <c r="AS69" s="9">
        <v>9.4629602048932302</v>
      </c>
      <c r="AT69" s="9">
        <v>5.5365049464549481</v>
      </c>
      <c r="AU69" s="9">
        <v>23.6</v>
      </c>
      <c r="AV69" s="9">
        <v>29.136504946454949</v>
      </c>
      <c r="AW69" s="11">
        <v>526.12</v>
      </c>
      <c r="AX69" s="11">
        <v>516.23837869240708</v>
      </c>
      <c r="AY69" t="s">
        <v>949</v>
      </c>
      <c r="AZ69" t="s">
        <v>950</v>
      </c>
      <c r="BA69" t="s">
        <v>951</v>
      </c>
      <c r="BB69" t="s">
        <v>952</v>
      </c>
      <c r="BC69" t="b">
        <v>1</v>
      </c>
    </row>
    <row r="70" spans="1:55">
      <c r="A70" t="s">
        <v>1107</v>
      </c>
      <c r="B70" t="s">
        <v>939</v>
      </c>
      <c r="C70">
        <v>1436000</v>
      </c>
      <c r="D70">
        <v>780900</v>
      </c>
      <c r="E70">
        <v>1436000</v>
      </c>
      <c r="F70">
        <v>2910700</v>
      </c>
      <c r="G70" s="9">
        <v>1.3269565204274152E-2</v>
      </c>
      <c r="H70" s="9">
        <v>3.6102116963698347E-2</v>
      </c>
      <c r="I70" s="9">
        <v>5.415317544554752E-2</v>
      </c>
      <c r="J70" s="10">
        <v>57440</v>
      </c>
      <c r="K70" s="10">
        <v>57368.077203184548</v>
      </c>
      <c r="L70" s="10">
        <v>57296.154406369104</v>
      </c>
      <c r="M70" s="10">
        <v>57224.231609553652</v>
      </c>
      <c r="N70" s="10">
        <v>57152.308812738214</v>
      </c>
      <c r="O70" s="10">
        <v>57080.386015922762</v>
      </c>
      <c r="P70" s="10">
        <v>56936.540422291873</v>
      </c>
      <c r="Q70" s="10">
        <v>56792.694828660977</v>
      </c>
      <c r="R70" s="10">
        <v>56648.849235030088</v>
      </c>
      <c r="S70" s="10">
        <v>56505.003641399191</v>
      </c>
      <c r="T70" s="10">
        <v>56361.158047768302</v>
      </c>
      <c r="V70" t="s">
        <v>456</v>
      </c>
      <c r="W70" t="s">
        <v>1107</v>
      </c>
      <c r="X70" t="s">
        <v>1108</v>
      </c>
      <c r="Y70" t="s">
        <v>941</v>
      </c>
      <c r="Z70" t="s">
        <v>942</v>
      </c>
      <c r="AB70" t="s">
        <v>89</v>
      </c>
      <c r="AC70" t="s">
        <v>24</v>
      </c>
      <c r="AD70" t="s">
        <v>943</v>
      </c>
      <c r="AF70" t="s">
        <v>944</v>
      </c>
      <c r="AG70" t="s">
        <v>1042</v>
      </c>
      <c r="AH70" t="s">
        <v>988</v>
      </c>
      <c r="AI70" t="s">
        <v>960</v>
      </c>
      <c r="AJ70" t="s">
        <v>948</v>
      </c>
      <c r="AK70">
        <v>2</v>
      </c>
      <c r="AL70" s="10">
        <v>780.9</v>
      </c>
      <c r="AM70" s="10">
        <v>1436</v>
      </c>
      <c r="AN70" s="10">
        <v>2910.7</v>
      </c>
      <c r="AO70" s="9">
        <v>2.5655435287218701E-2</v>
      </c>
      <c r="AP70" s="9">
        <v>2.1</v>
      </c>
      <c r="AQ70" s="9">
        <v>5.5195652042741523</v>
      </c>
      <c r="AR70" s="9">
        <v>7.7499999999999991</v>
      </c>
      <c r="AS70" s="9">
        <v>13.269565204274151</v>
      </c>
      <c r="AT70" s="9">
        <v>12.502116963698349</v>
      </c>
      <c r="AU70" s="9">
        <v>23.6</v>
      </c>
      <c r="AV70" s="9">
        <v>36.10211696369835</v>
      </c>
      <c r="AW70" s="11">
        <v>57.44</v>
      </c>
      <c r="AX70" s="11">
        <v>56.361158047768299</v>
      </c>
      <c r="AY70" t="s">
        <v>949</v>
      </c>
      <c r="AZ70" t="s">
        <v>950</v>
      </c>
      <c r="BA70" t="s">
        <v>951</v>
      </c>
      <c r="BB70" t="s">
        <v>952</v>
      </c>
      <c r="BC70" t="b">
        <v>1</v>
      </c>
    </row>
    <row r="71" spans="1:55">
      <c r="A71" t="s">
        <v>1109</v>
      </c>
      <c r="B71" t="s">
        <v>939</v>
      </c>
      <c r="C71">
        <v>1762000</v>
      </c>
      <c r="D71">
        <v>958100</v>
      </c>
      <c r="E71">
        <v>1762000</v>
      </c>
      <c r="F71">
        <v>3571400</v>
      </c>
      <c r="G71" s="9">
        <v>9.0874641743869059E-3</v>
      </c>
      <c r="H71" s="9">
        <v>2.5737881605872537E-2</v>
      </c>
      <c r="I71" s="9">
        <v>3.8606822408808805E-2</v>
      </c>
      <c r="J71" s="10">
        <v>31817.284919337471</v>
      </c>
      <c r="K71" s="10">
        <v>30290.662047879308</v>
      </c>
      <c r="L71" s="10">
        <v>28764.039176421145</v>
      </c>
      <c r="M71" s="10">
        <v>27237.416304962986</v>
      </c>
      <c r="N71" s="10">
        <v>25710.793433504823</v>
      </c>
      <c r="O71" s="10">
        <v>24184.17056204666</v>
      </c>
      <c r="P71" s="10">
        <v>21130.924819130334</v>
      </c>
      <c r="Q71" s="10">
        <v>18077.679076214012</v>
      </c>
      <c r="R71" s="10">
        <v>15024.433333297689</v>
      </c>
      <c r="S71" s="10">
        <v>11971.187590381365</v>
      </c>
      <c r="T71" s="10">
        <v>8917.9418474650411</v>
      </c>
      <c r="V71" t="s">
        <v>456</v>
      </c>
      <c r="W71" t="s">
        <v>1109</v>
      </c>
      <c r="X71" t="s">
        <v>1110</v>
      </c>
      <c r="Y71" t="s">
        <v>941</v>
      </c>
      <c r="Z71" t="s">
        <v>942</v>
      </c>
      <c r="AB71" t="s">
        <v>479</v>
      </c>
      <c r="AC71" t="s">
        <v>478</v>
      </c>
      <c r="AD71" t="s">
        <v>943</v>
      </c>
      <c r="AF71" t="s">
        <v>944</v>
      </c>
      <c r="AG71" t="s">
        <v>959</v>
      </c>
      <c r="AH71" t="s">
        <v>946</v>
      </c>
      <c r="AI71" t="s">
        <v>960</v>
      </c>
      <c r="AJ71" t="s">
        <v>948</v>
      </c>
      <c r="AK71">
        <v>4</v>
      </c>
      <c r="AL71" s="10">
        <v>958.1</v>
      </c>
      <c r="AM71" s="10">
        <v>1762</v>
      </c>
      <c r="AN71" s="10">
        <v>3571.4</v>
      </c>
      <c r="AO71" s="9">
        <v>0.84710580278447323</v>
      </c>
      <c r="AP71" s="9">
        <v>2.3546999999999998</v>
      </c>
      <c r="AQ71" s="9">
        <v>1.3374641743869049</v>
      </c>
      <c r="AR71" s="9">
        <v>7.7499999999999991</v>
      </c>
      <c r="AS71" s="9">
        <v>9.0874641743869056</v>
      </c>
      <c r="AT71" s="9">
        <v>2.1378816058725385</v>
      </c>
      <c r="AU71" s="9">
        <v>23.6</v>
      </c>
      <c r="AV71" s="9">
        <v>25.737881605872538</v>
      </c>
      <c r="AW71" s="11">
        <v>31.817284919337471</v>
      </c>
      <c r="AX71" s="11">
        <v>8.9179418474650394</v>
      </c>
      <c r="AY71" t="s">
        <v>949</v>
      </c>
      <c r="AZ71" t="s">
        <v>950</v>
      </c>
      <c r="BA71" t="s">
        <v>951</v>
      </c>
      <c r="BB71" t="s">
        <v>970</v>
      </c>
      <c r="BC71" t="b">
        <v>1</v>
      </c>
    </row>
    <row r="72" spans="1:55">
      <c r="A72" t="s">
        <v>1111</v>
      </c>
      <c r="B72" t="s">
        <v>939</v>
      </c>
      <c r="C72">
        <v>318000</v>
      </c>
      <c r="D72">
        <v>172900</v>
      </c>
      <c r="E72">
        <v>318000</v>
      </c>
      <c r="F72">
        <v>644600</v>
      </c>
      <c r="G72" s="9">
        <v>1.322976238639488E-2</v>
      </c>
      <c r="H72" s="9">
        <v>3.1271667340952831E-2</v>
      </c>
      <c r="I72" s="9">
        <v>4.6907501011429251E-2</v>
      </c>
      <c r="J72" s="10">
        <v>5742.2795711403614</v>
      </c>
      <c r="K72" s="10">
        <v>5466.7596658488201</v>
      </c>
      <c r="L72" s="10">
        <v>5191.2397605572787</v>
      </c>
      <c r="M72" s="10">
        <v>4915.7198552657383</v>
      </c>
      <c r="N72" s="10">
        <v>4640.1999499741969</v>
      </c>
      <c r="O72" s="10">
        <v>4364.6800446826555</v>
      </c>
      <c r="P72" s="10">
        <v>3813.6402340995728</v>
      </c>
      <c r="Q72" s="10">
        <v>3262.600423516491</v>
      </c>
      <c r="R72" s="10">
        <v>2711.5606129334087</v>
      </c>
      <c r="S72" s="10">
        <v>2160.520802350326</v>
      </c>
      <c r="T72" s="10">
        <v>1609.4809917672439</v>
      </c>
      <c r="V72" t="s">
        <v>456</v>
      </c>
      <c r="W72" t="s">
        <v>1111</v>
      </c>
      <c r="X72" t="s">
        <v>1112</v>
      </c>
      <c r="Y72" t="s">
        <v>941</v>
      </c>
      <c r="Z72" t="s">
        <v>942</v>
      </c>
      <c r="AB72" t="s">
        <v>479</v>
      </c>
      <c r="AC72" t="s">
        <v>478</v>
      </c>
      <c r="AD72" t="s">
        <v>943</v>
      </c>
      <c r="AF72" t="s">
        <v>944</v>
      </c>
      <c r="AG72" t="s">
        <v>965</v>
      </c>
      <c r="AH72" t="s">
        <v>956</v>
      </c>
      <c r="AI72" t="s">
        <v>960</v>
      </c>
      <c r="AJ72" t="s">
        <v>948</v>
      </c>
      <c r="AK72">
        <v>1</v>
      </c>
      <c r="AL72" s="10">
        <v>172.9</v>
      </c>
      <c r="AM72" s="10">
        <v>318</v>
      </c>
      <c r="AN72" s="10">
        <v>644.6</v>
      </c>
      <c r="AO72" s="9">
        <v>0.1528941972155268</v>
      </c>
      <c r="AP72" s="9">
        <v>0.42499999999999999</v>
      </c>
      <c r="AQ72" s="9">
        <v>5.4797623863948797</v>
      </c>
      <c r="AR72" s="9">
        <v>7.75</v>
      </c>
      <c r="AS72" s="9">
        <v>13.22976238639488</v>
      </c>
      <c r="AT72" s="9">
        <v>7.6716673409528306</v>
      </c>
      <c r="AU72" s="9">
        <v>23.600000000000005</v>
      </c>
      <c r="AV72" s="9">
        <v>31.271667340952831</v>
      </c>
      <c r="AW72" s="11">
        <v>5.7422795711403616</v>
      </c>
      <c r="AX72" s="11">
        <v>1.6094809917672437</v>
      </c>
      <c r="AY72" t="s">
        <v>949</v>
      </c>
      <c r="AZ72" t="s">
        <v>950</v>
      </c>
      <c r="BA72" t="s">
        <v>951</v>
      </c>
      <c r="BB72" t="s">
        <v>970</v>
      </c>
      <c r="BC72" t="b">
        <v>1</v>
      </c>
    </row>
    <row r="73" spans="1:55">
      <c r="A73" t="s">
        <v>1113</v>
      </c>
      <c r="B73" t="s">
        <v>939</v>
      </c>
      <c r="C73">
        <v>2552000</v>
      </c>
      <c r="D73">
        <v>1958700</v>
      </c>
      <c r="E73">
        <v>2552000</v>
      </c>
      <c r="F73">
        <v>4296900</v>
      </c>
      <c r="G73" s="9">
        <v>1.4186268103398566E-2</v>
      </c>
      <c r="H73" s="9">
        <v>3.5905869267646245E-2</v>
      </c>
      <c r="I73" s="9">
        <v>5.3858803901469368E-2</v>
      </c>
      <c r="J73" s="10">
        <v>25520</v>
      </c>
      <c r="K73" s="10">
        <v>25520</v>
      </c>
      <c r="L73" s="10">
        <v>25520</v>
      </c>
      <c r="M73" s="10">
        <v>25520</v>
      </c>
      <c r="N73" s="10">
        <v>25520</v>
      </c>
      <c r="O73" s="10">
        <v>25520</v>
      </c>
      <c r="P73" s="10">
        <v>25520</v>
      </c>
      <c r="Q73" s="10">
        <v>25520</v>
      </c>
      <c r="R73" s="10">
        <v>25520</v>
      </c>
      <c r="S73" s="10">
        <v>25520</v>
      </c>
      <c r="T73" s="10">
        <v>25520</v>
      </c>
      <c r="V73" t="s">
        <v>456</v>
      </c>
      <c r="W73" t="s">
        <v>1113</v>
      </c>
      <c r="X73" t="s">
        <v>1114</v>
      </c>
      <c r="Y73" t="s">
        <v>941</v>
      </c>
      <c r="Z73" t="s">
        <v>942</v>
      </c>
      <c r="AB73" t="s">
        <v>90</v>
      </c>
      <c r="AC73" t="s">
        <v>25</v>
      </c>
      <c r="AD73" t="s">
        <v>968</v>
      </c>
      <c r="AF73" t="s">
        <v>944</v>
      </c>
      <c r="AG73" t="s">
        <v>1115</v>
      </c>
      <c r="AH73" t="s">
        <v>1116</v>
      </c>
      <c r="AI73" t="s">
        <v>977</v>
      </c>
      <c r="AJ73" t="s">
        <v>948</v>
      </c>
      <c r="AK73">
        <v>5</v>
      </c>
      <c r="AL73" s="10">
        <v>1958.7</v>
      </c>
      <c r="AM73" s="10">
        <v>2552</v>
      </c>
      <c r="AN73" s="10">
        <v>4296.8999999999996</v>
      </c>
      <c r="AO73" s="9">
        <v>0.37414309229946441</v>
      </c>
      <c r="AP73" s="9">
        <v>10.7736</v>
      </c>
      <c r="AQ73" s="9">
        <v>10.466268103398566</v>
      </c>
      <c r="AR73" s="9">
        <v>3.7200000000000006</v>
      </c>
      <c r="AS73" s="9">
        <v>14.186268103398566</v>
      </c>
      <c r="AT73" s="9">
        <v>27.225869267646239</v>
      </c>
      <c r="AU73" s="9">
        <v>8.6800000000000015</v>
      </c>
      <c r="AV73" s="9">
        <v>35.905869267646246</v>
      </c>
      <c r="AW73" s="11">
        <v>25.52</v>
      </c>
      <c r="AX73" s="11">
        <v>25.52</v>
      </c>
      <c r="AY73" t="s">
        <v>969</v>
      </c>
      <c r="AZ73" t="s">
        <v>950</v>
      </c>
      <c r="BA73" t="s">
        <v>951</v>
      </c>
      <c r="BB73" t="s">
        <v>970</v>
      </c>
      <c r="BC73" t="b">
        <v>1</v>
      </c>
    </row>
    <row r="74" spans="1:55">
      <c r="A74" t="s">
        <v>1117</v>
      </c>
      <c r="B74" t="s">
        <v>939</v>
      </c>
      <c r="C74">
        <v>8860500</v>
      </c>
      <c r="D74">
        <v>4818100</v>
      </c>
      <c r="E74">
        <v>8860500</v>
      </c>
      <c r="F74">
        <v>17959600</v>
      </c>
      <c r="G74" s="9">
        <v>1.4504183276591736E-2</v>
      </c>
      <c r="H74" s="9">
        <v>4.7213826656243477E-2</v>
      </c>
      <c r="I74" s="9">
        <v>7.0820739984365222E-2</v>
      </c>
      <c r="J74" s="10">
        <v>354420</v>
      </c>
      <c r="K74" s="10">
        <v>354420</v>
      </c>
      <c r="L74" s="10">
        <v>354420</v>
      </c>
      <c r="M74" s="10">
        <v>354420</v>
      </c>
      <c r="N74" s="10">
        <v>354420</v>
      </c>
      <c r="O74" s="10">
        <v>354420</v>
      </c>
      <c r="P74" s="10">
        <v>354420</v>
      </c>
      <c r="Q74" s="10">
        <v>354420</v>
      </c>
      <c r="R74" s="10">
        <v>354420</v>
      </c>
      <c r="S74" s="10">
        <v>354420</v>
      </c>
      <c r="T74" s="10">
        <v>354420</v>
      </c>
      <c r="V74" t="s">
        <v>456</v>
      </c>
      <c r="W74" t="s">
        <v>1117</v>
      </c>
      <c r="X74" t="s">
        <v>1118</v>
      </c>
      <c r="Y74" t="s">
        <v>941</v>
      </c>
      <c r="Z74" t="s">
        <v>942</v>
      </c>
      <c r="AB74" t="s">
        <v>90</v>
      </c>
      <c r="AC74" t="s">
        <v>25</v>
      </c>
      <c r="AD74" t="s">
        <v>943</v>
      </c>
      <c r="AF74" t="s">
        <v>944</v>
      </c>
      <c r="AG74" t="s">
        <v>945</v>
      </c>
      <c r="AH74" t="s">
        <v>946</v>
      </c>
      <c r="AI74" t="s">
        <v>947</v>
      </c>
      <c r="AJ74" t="s">
        <v>948</v>
      </c>
      <c r="AK74">
        <v>7</v>
      </c>
      <c r="AL74" s="10">
        <v>4818.1000000000004</v>
      </c>
      <c r="AM74" s="10">
        <v>8860.5</v>
      </c>
      <c r="AN74" s="10">
        <v>17959.599999999999</v>
      </c>
      <c r="AO74" s="9">
        <v>0.27940573841655258</v>
      </c>
      <c r="AP74" s="9">
        <v>8.0456000000000003</v>
      </c>
      <c r="AQ74" s="9">
        <v>0.36704008100869417</v>
      </c>
      <c r="AR74" s="9">
        <v>14.137143195583045</v>
      </c>
      <c r="AS74" s="9">
        <v>14.504183276591736</v>
      </c>
      <c r="AT74" s="9">
        <v>0.62011115214452484</v>
      </c>
      <c r="AU74" s="9">
        <v>46.593715504098952</v>
      </c>
      <c r="AV74" s="9">
        <v>47.213826656243477</v>
      </c>
      <c r="AW74" s="11">
        <v>354.42</v>
      </c>
      <c r="AX74" s="11">
        <v>354.42</v>
      </c>
      <c r="AY74" t="s">
        <v>949</v>
      </c>
      <c r="AZ74" t="s">
        <v>950</v>
      </c>
      <c r="BA74" t="s">
        <v>951</v>
      </c>
      <c r="BB74" t="s">
        <v>952</v>
      </c>
      <c r="BC74" t="b">
        <v>1</v>
      </c>
    </row>
    <row r="75" spans="1:55">
      <c r="A75" t="s">
        <v>1119</v>
      </c>
      <c r="B75" t="s">
        <v>939</v>
      </c>
      <c r="C75">
        <v>400900</v>
      </c>
      <c r="D75">
        <v>218000</v>
      </c>
      <c r="E75">
        <v>400900</v>
      </c>
      <c r="F75">
        <v>812500</v>
      </c>
      <c r="G75" s="9">
        <v>1.9803728829949827E-2</v>
      </c>
      <c r="H75" s="9">
        <v>5.4526935392212456E-2</v>
      </c>
      <c r="I75" s="9">
        <v>8.1790403088318683E-2</v>
      </c>
      <c r="J75" s="10">
        <v>16035.999999999998</v>
      </c>
      <c r="K75" s="10">
        <v>16035.999999999998</v>
      </c>
      <c r="L75" s="10">
        <v>16035.999999999998</v>
      </c>
      <c r="M75" s="10">
        <v>16035.999999999998</v>
      </c>
      <c r="N75" s="10">
        <v>16035.999999999998</v>
      </c>
      <c r="O75" s="10">
        <v>16035.999999999998</v>
      </c>
      <c r="P75" s="10">
        <v>16035.999999999998</v>
      </c>
      <c r="Q75" s="10">
        <v>16035.999999999998</v>
      </c>
      <c r="R75" s="10">
        <v>16035.999999999998</v>
      </c>
      <c r="S75" s="10">
        <v>16035.999999999998</v>
      </c>
      <c r="T75" s="10">
        <v>16035.999999999998</v>
      </c>
      <c r="V75" t="s">
        <v>456</v>
      </c>
      <c r="W75" t="s">
        <v>1119</v>
      </c>
      <c r="X75" t="s">
        <v>1120</v>
      </c>
      <c r="Y75" t="s">
        <v>941</v>
      </c>
      <c r="Z75" t="s">
        <v>942</v>
      </c>
      <c r="AB75" t="s">
        <v>90</v>
      </c>
      <c r="AC75" t="s">
        <v>25</v>
      </c>
      <c r="AD75" t="s">
        <v>943</v>
      </c>
      <c r="AF75" t="s">
        <v>944</v>
      </c>
      <c r="AG75" t="s">
        <v>955</v>
      </c>
      <c r="AH75" t="s">
        <v>956</v>
      </c>
      <c r="AI75" t="s">
        <v>947</v>
      </c>
      <c r="AJ75" t="s">
        <v>948</v>
      </c>
      <c r="AK75">
        <v>1</v>
      </c>
      <c r="AL75" s="10">
        <v>218</v>
      </c>
      <c r="AM75" s="10">
        <v>400.9</v>
      </c>
      <c r="AN75" s="10">
        <v>812.5</v>
      </c>
      <c r="AO75" s="9">
        <v>1.2640907922793199E-2</v>
      </c>
      <c r="AP75" s="9">
        <v>0.36399999999999999</v>
      </c>
      <c r="AQ75" s="9">
        <v>5.6665856343667844</v>
      </c>
      <c r="AR75" s="9">
        <v>14.137143195583045</v>
      </c>
      <c r="AS75" s="9">
        <v>19.803728829949826</v>
      </c>
      <c r="AT75" s="9">
        <v>7.9332198881134959</v>
      </c>
      <c r="AU75" s="9">
        <v>46.593715504098967</v>
      </c>
      <c r="AV75" s="9">
        <v>54.526935392212458</v>
      </c>
      <c r="AW75" s="11">
        <v>16.035999999999998</v>
      </c>
      <c r="AX75" s="11">
        <v>16.035999999999998</v>
      </c>
      <c r="AY75" t="s">
        <v>949</v>
      </c>
      <c r="AZ75" t="s">
        <v>950</v>
      </c>
      <c r="BA75" t="s">
        <v>951</v>
      </c>
      <c r="BB75" t="s">
        <v>952</v>
      </c>
      <c r="BC75" t="b">
        <v>1</v>
      </c>
    </row>
    <row r="76" spans="1:55">
      <c r="A76" t="s">
        <v>1121</v>
      </c>
      <c r="B76" t="s">
        <v>939</v>
      </c>
      <c r="C76">
        <v>1161500</v>
      </c>
      <c r="D76">
        <v>631600</v>
      </c>
      <c r="E76">
        <v>1161500</v>
      </c>
      <c r="F76">
        <v>2354200</v>
      </c>
      <c r="G76" s="9">
        <v>1.3333358815714715E-2</v>
      </c>
      <c r="H76" s="9">
        <v>3.6500103978593282E-2</v>
      </c>
      <c r="I76" s="9">
        <v>5.4750155967889923E-2</v>
      </c>
      <c r="J76" s="10">
        <v>46460</v>
      </c>
      <c r="K76" s="10">
        <v>46460</v>
      </c>
      <c r="L76" s="10">
        <v>46460</v>
      </c>
      <c r="M76" s="10">
        <v>46460</v>
      </c>
      <c r="N76" s="10">
        <v>46460</v>
      </c>
      <c r="O76" s="10">
        <v>46460</v>
      </c>
      <c r="P76" s="10">
        <v>46460</v>
      </c>
      <c r="Q76" s="10">
        <v>46460</v>
      </c>
      <c r="R76" s="10">
        <v>46460</v>
      </c>
      <c r="S76" s="10">
        <v>46460</v>
      </c>
      <c r="T76" s="10">
        <v>46460</v>
      </c>
      <c r="V76" t="s">
        <v>456</v>
      </c>
      <c r="W76" t="s">
        <v>1121</v>
      </c>
      <c r="X76" t="s">
        <v>1122</v>
      </c>
      <c r="Y76" t="s">
        <v>941</v>
      </c>
      <c r="Z76" t="s">
        <v>942</v>
      </c>
      <c r="AB76" t="s">
        <v>90</v>
      </c>
      <c r="AC76" t="s">
        <v>25</v>
      </c>
      <c r="AD76" t="s">
        <v>943</v>
      </c>
      <c r="AF76" t="s">
        <v>944</v>
      </c>
      <c r="AG76" t="s">
        <v>1042</v>
      </c>
      <c r="AH76" t="s">
        <v>988</v>
      </c>
      <c r="AI76" t="s">
        <v>960</v>
      </c>
      <c r="AJ76" t="s">
        <v>948</v>
      </c>
      <c r="AK76">
        <v>7</v>
      </c>
      <c r="AL76" s="10">
        <v>631.6</v>
      </c>
      <c r="AM76" s="10">
        <v>1161.5</v>
      </c>
      <c r="AN76" s="10">
        <v>2354.1999999999998</v>
      </c>
      <c r="AO76" s="9">
        <v>0.33381026136118958</v>
      </c>
      <c r="AP76" s="9">
        <v>9.6121999999999996</v>
      </c>
      <c r="AQ76" s="9">
        <v>5.5833588157147123</v>
      </c>
      <c r="AR76" s="9">
        <v>7.7500000000000009</v>
      </c>
      <c r="AS76" s="9">
        <v>13.333358815714714</v>
      </c>
      <c r="AT76" s="9">
        <v>12.900103978593284</v>
      </c>
      <c r="AU76" s="9">
        <v>23.6</v>
      </c>
      <c r="AV76" s="9">
        <v>36.50010397859328</v>
      </c>
      <c r="AW76" s="11">
        <v>46.46</v>
      </c>
      <c r="AX76" s="11">
        <v>46.46</v>
      </c>
      <c r="AY76" t="s">
        <v>949</v>
      </c>
      <c r="AZ76" t="s">
        <v>950</v>
      </c>
      <c r="BA76" t="s">
        <v>951</v>
      </c>
      <c r="BB76" t="s">
        <v>952</v>
      </c>
      <c r="BC76" t="b">
        <v>1</v>
      </c>
    </row>
    <row r="77" spans="1:55">
      <c r="A77" t="s">
        <v>1123</v>
      </c>
      <c r="B77" t="s">
        <v>939</v>
      </c>
      <c r="C77">
        <v>709600</v>
      </c>
      <c r="D77">
        <v>544600</v>
      </c>
      <c r="E77">
        <v>709600</v>
      </c>
      <c r="F77">
        <v>1194800</v>
      </c>
      <c r="G77" s="9">
        <v>9.5322774244074125E-3</v>
      </c>
      <c r="H77" s="9">
        <v>1.9436702359015279E-2</v>
      </c>
      <c r="I77" s="9">
        <v>2.9155053538522921E-2</v>
      </c>
      <c r="J77" s="10">
        <v>2003.9960470216199</v>
      </c>
      <c r="K77" s="10">
        <v>2003.9960470216199</v>
      </c>
      <c r="L77" s="10">
        <v>2003.9960470216199</v>
      </c>
      <c r="M77" s="10">
        <v>2003.9960470216199</v>
      </c>
      <c r="N77" s="10">
        <v>2003.9960470216199</v>
      </c>
      <c r="O77" s="10">
        <v>2003.9960470216199</v>
      </c>
      <c r="P77" s="10">
        <v>2003.9960470216199</v>
      </c>
      <c r="Q77" s="10">
        <v>2003.9960470216199</v>
      </c>
      <c r="R77" s="10">
        <v>2003.9960470216199</v>
      </c>
      <c r="S77" s="10">
        <v>2003.9960470216199</v>
      </c>
      <c r="T77" s="10">
        <v>2003.9960470216199</v>
      </c>
      <c r="V77" t="s">
        <v>456</v>
      </c>
      <c r="W77" t="s">
        <v>1123</v>
      </c>
      <c r="X77" t="s">
        <v>1124</v>
      </c>
      <c r="Y77" t="s">
        <v>941</v>
      </c>
      <c r="Z77" t="s">
        <v>942</v>
      </c>
      <c r="AB77" t="s">
        <v>481</v>
      </c>
      <c r="AC77" t="s">
        <v>480</v>
      </c>
      <c r="AD77" t="s">
        <v>968</v>
      </c>
      <c r="AF77" t="s">
        <v>986</v>
      </c>
      <c r="AG77" t="s">
        <v>976</v>
      </c>
      <c r="AH77" t="s">
        <v>956</v>
      </c>
      <c r="AI77" t="s">
        <v>977</v>
      </c>
      <c r="AJ77" t="s">
        <v>1054</v>
      </c>
      <c r="AK77">
        <v>1</v>
      </c>
      <c r="AL77" s="10">
        <v>544.6</v>
      </c>
      <c r="AM77" s="10">
        <v>709.6</v>
      </c>
      <c r="AN77" s="10">
        <v>1194.8</v>
      </c>
      <c r="AO77" s="9">
        <v>3.0997020466253999E-3</v>
      </c>
      <c r="AP77" s="9">
        <v>25.954599999999999</v>
      </c>
      <c r="AQ77" s="9">
        <v>2.0922774244074107</v>
      </c>
      <c r="AR77" s="9">
        <v>7.4400000000000013</v>
      </c>
      <c r="AS77" s="9">
        <v>9.5322774244074129</v>
      </c>
      <c r="AT77" s="9">
        <v>2.0767023590152776</v>
      </c>
      <c r="AU77" s="9">
        <v>17.360000000000003</v>
      </c>
      <c r="AV77" s="9">
        <v>19.436702359015278</v>
      </c>
      <c r="AW77" s="11">
        <v>2.0039960470216198</v>
      </c>
      <c r="AX77" s="11">
        <v>2.0039960470216198</v>
      </c>
      <c r="AY77" t="s">
        <v>969</v>
      </c>
      <c r="AZ77" t="s">
        <v>950</v>
      </c>
      <c r="BA77" t="s">
        <v>951</v>
      </c>
      <c r="BB77" t="s">
        <v>970</v>
      </c>
      <c r="BC77" t="b">
        <v>1</v>
      </c>
    </row>
    <row r="78" spans="1:55">
      <c r="A78" t="s">
        <v>1125</v>
      </c>
      <c r="B78" t="s">
        <v>939</v>
      </c>
      <c r="C78">
        <v>377400</v>
      </c>
      <c r="D78">
        <v>289700</v>
      </c>
      <c r="E78">
        <v>377400</v>
      </c>
      <c r="F78">
        <v>635400</v>
      </c>
      <c r="G78" s="9">
        <v>1.0904886033058265E-2</v>
      </c>
      <c r="H78" s="9"/>
      <c r="I78" s="9"/>
      <c r="J78" s="10">
        <v>1065.8231512767179</v>
      </c>
      <c r="K78" s="10">
        <v>1065.8231512767179</v>
      </c>
      <c r="L78" s="10">
        <v>1065.8231512767179</v>
      </c>
      <c r="M78" s="10">
        <v>1065.8231512767179</v>
      </c>
      <c r="N78" s="10">
        <v>1065.8231512767179</v>
      </c>
      <c r="O78" s="10">
        <v>1065.8231512767179</v>
      </c>
      <c r="P78" s="10">
        <v>1065.8231512767179</v>
      </c>
      <c r="Q78" s="10">
        <v>1065.8231512767179</v>
      </c>
      <c r="R78" s="10">
        <v>1065.8231512767179</v>
      </c>
      <c r="S78" s="10">
        <v>1065.8231512767179</v>
      </c>
      <c r="T78" s="10">
        <v>1065.8231512767179</v>
      </c>
      <c r="V78" t="s">
        <v>456</v>
      </c>
      <c r="W78" t="s">
        <v>1125</v>
      </c>
      <c r="X78" t="s">
        <v>1126</v>
      </c>
      <c r="Y78" t="s">
        <v>941</v>
      </c>
      <c r="Z78" t="s">
        <v>942</v>
      </c>
      <c r="AB78" t="s">
        <v>481</v>
      </c>
      <c r="AC78" t="s">
        <v>480</v>
      </c>
      <c r="AD78" t="s">
        <v>968</v>
      </c>
      <c r="AF78" t="s">
        <v>986</v>
      </c>
      <c r="AG78" t="s">
        <v>996</v>
      </c>
      <c r="AH78" t="s">
        <v>988</v>
      </c>
      <c r="AI78" t="s">
        <v>977</v>
      </c>
      <c r="AJ78" t="s">
        <v>1054</v>
      </c>
      <c r="AK78">
        <v>1</v>
      </c>
      <c r="AL78" s="10">
        <v>289.7</v>
      </c>
      <c r="AM78" s="10">
        <v>377.4</v>
      </c>
      <c r="AN78" s="10">
        <v>635.4</v>
      </c>
      <c r="AO78" s="9">
        <v>1.6485939687694001E-3</v>
      </c>
      <c r="AP78" s="9">
        <v>13.8041</v>
      </c>
      <c r="AQ78" s="9">
        <v>3.4648860330582631</v>
      </c>
      <c r="AR78" s="9">
        <v>7.4400000000000013</v>
      </c>
      <c r="AS78" s="9">
        <v>10.904886033058265</v>
      </c>
      <c r="AT78" s="9"/>
      <c r="AU78" s="9"/>
      <c r="AV78" s="9"/>
      <c r="AW78" s="11">
        <v>1.065823151276718</v>
      </c>
      <c r="AX78" s="11">
        <v>1.065823151276718</v>
      </c>
      <c r="AY78" t="s">
        <v>969</v>
      </c>
      <c r="AZ78" t="s">
        <v>950</v>
      </c>
      <c r="BA78" t="s">
        <v>951</v>
      </c>
      <c r="BB78" t="s">
        <v>970</v>
      </c>
      <c r="BC78" t="b">
        <v>0</v>
      </c>
    </row>
    <row r="79" spans="1:55">
      <c r="A79" t="s">
        <v>1127</v>
      </c>
      <c r="B79" t="s">
        <v>939</v>
      </c>
      <c r="C79">
        <v>2525600</v>
      </c>
      <c r="D79">
        <v>1938500</v>
      </c>
      <c r="E79">
        <v>2525600</v>
      </c>
      <c r="F79">
        <v>4252400</v>
      </c>
      <c r="G79" s="9">
        <v>3.8166959403184574E-3</v>
      </c>
      <c r="H79" s="9">
        <v>9.4067485462911507E-3</v>
      </c>
      <c r="I79" s="9">
        <v>1.4110122819436726E-2</v>
      </c>
      <c r="J79" s="10">
        <v>7132.5992338751421</v>
      </c>
      <c r="K79" s="10">
        <v>7132.5992338751421</v>
      </c>
      <c r="L79" s="10">
        <v>7132.5992338751421</v>
      </c>
      <c r="M79" s="10">
        <v>7132.5992338751421</v>
      </c>
      <c r="N79" s="10">
        <v>7132.5992338751421</v>
      </c>
      <c r="O79" s="10">
        <v>7132.5992338751421</v>
      </c>
      <c r="P79" s="10">
        <v>7132.5992338751421</v>
      </c>
      <c r="Q79" s="10">
        <v>7132.5992338751421</v>
      </c>
      <c r="R79" s="10">
        <v>7132.5992338751421</v>
      </c>
      <c r="S79" s="10">
        <v>7132.5992338751421</v>
      </c>
      <c r="T79" s="10">
        <v>7132.5992338751421</v>
      </c>
      <c r="V79" t="s">
        <v>456</v>
      </c>
      <c r="W79" t="s">
        <v>1127</v>
      </c>
      <c r="X79" t="s">
        <v>1128</v>
      </c>
      <c r="Y79" t="s">
        <v>941</v>
      </c>
      <c r="Z79" t="s">
        <v>942</v>
      </c>
      <c r="AB79" t="s">
        <v>481</v>
      </c>
      <c r="AC79" t="s">
        <v>480</v>
      </c>
      <c r="AD79" t="s">
        <v>968</v>
      </c>
      <c r="AF79" t="s">
        <v>944</v>
      </c>
      <c r="AG79" t="s">
        <v>999</v>
      </c>
      <c r="AH79" t="s">
        <v>946</v>
      </c>
      <c r="AI79" t="s">
        <v>977</v>
      </c>
      <c r="AJ79" t="s">
        <v>948</v>
      </c>
      <c r="AK79">
        <v>26</v>
      </c>
      <c r="AL79" s="10">
        <v>1938.5</v>
      </c>
      <c r="AM79" s="10">
        <v>2525.6</v>
      </c>
      <c r="AN79" s="10">
        <v>4252.3999999999996</v>
      </c>
      <c r="AO79" s="9">
        <v>1.01953643746058E-2</v>
      </c>
      <c r="AP79" s="9">
        <v>85.368400000000008</v>
      </c>
      <c r="AQ79" s="9">
        <v>9.6695940318456797E-2</v>
      </c>
      <c r="AR79" s="9">
        <v>3.72</v>
      </c>
      <c r="AS79" s="9">
        <v>3.8166959403184575</v>
      </c>
      <c r="AT79" s="9">
        <v>0.72674854629115249</v>
      </c>
      <c r="AU79" s="9">
        <v>8.68</v>
      </c>
      <c r="AV79" s="9">
        <v>9.4067485462911513</v>
      </c>
      <c r="AW79" s="11">
        <v>7.1325992338751423</v>
      </c>
      <c r="AX79" s="11">
        <v>7.1325992338751423</v>
      </c>
      <c r="AY79" t="s">
        <v>969</v>
      </c>
      <c r="AZ79" t="s">
        <v>950</v>
      </c>
      <c r="BA79" t="s">
        <v>951</v>
      </c>
      <c r="BB79" t="s">
        <v>970</v>
      </c>
      <c r="BC79" t="b">
        <v>1</v>
      </c>
    </row>
    <row r="80" spans="1:55">
      <c r="A80" t="s">
        <v>1129</v>
      </c>
      <c r="B80" t="s">
        <v>939</v>
      </c>
      <c r="C80">
        <v>6921500</v>
      </c>
      <c r="D80">
        <v>5312500</v>
      </c>
      <c r="E80">
        <v>6921500</v>
      </c>
      <c r="F80">
        <v>11654000</v>
      </c>
      <c r="G80" s="9">
        <v>3.842354600484064E-3</v>
      </c>
      <c r="H80" s="9">
        <v>9.6499391771696034E-3</v>
      </c>
      <c r="I80" s="9">
        <v>1.4474908765754406E-2</v>
      </c>
      <c r="J80" s="10">
        <v>19547.151408483845</v>
      </c>
      <c r="K80" s="10">
        <v>19547.151408483845</v>
      </c>
      <c r="L80" s="10">
        <v>19547.151408483845</v>
      </c>
      <c r="M80" s="10">
        <v>19547.151408483845</v>
      </c>
      <c r="N80" s="10">
        <v>19547.151408483845</v>
      </c>
      <c r="O80" s="10">
        <v>19547.151408483845</v>
      </c>
      <c r="P80" s="10">
        <v>19547.151408483845</v>
      </c>
      <c r="Q80" s="10">
        <v>19547.151408483845</v>
      </c>
      <c r="R80" s="10">
        <v>19547.151408483845</v>
      </c>
      <c r="S80" s="10">
        <v>19547.151408483845</v>
      </c>
      <c r="T80" s="10">
        <v>19547.151408483845</v>
      </c>
      <c r="V80" t="s">
        <v>456</v>
      </c>
      <c r="W80" t="s">
        <v>1129</v>
      </c>
      <c r="X80" t="s">
        <v>1130</v>
      </c>
      <c r="Y80" t="s">
        <v>941</v>
      </c>
      <c r="Z80" t="s">
        <v>942</v>
      </c>
      <c r="AB80" t="s">
        <v>481</v>
      </c>
      <c r="AC80" t="s">
        <v>480</v>
      </c>
      <c r="AD80" t="s">
        <v>968</v>
      </c>
      <c r="AF80" t="s">
        <v>944</v>
      </c>
      <c r="AG80" t="s">
        <v>976</v>
      </c>
      <c r="AH80" t="s">
        <v>956</v>
      </c>
      <c r="AI80" t="s">
        <v>977</v>
      </c>
      <c r="AJ80" t="s">
        <v>948</v>
      </c>
      <c r="AK80">
        <v>59</v>
      </c>
      <c r="AL80" s="10">
        <v>5312.5</v>
      </c>
      <c r="AM80" s="10">
        <v>6921.5</v>
      </c>
      <c r="AN80" s="10">
        <v>11654</v>
      </c>
      <c r="AO80" s="9">
        <v>2.7941279810803299E-2</v>
      </c>
      <c r="AP80" s="9">
        <v>233.95949999999999</v>
      </c>
      <c r="AQ80" s="9">
        <v>0.1223546004840622</v>
      </c>
      <c r="AR80" s="9">
        <v>3.7200000000000011</v>
      </c>
      <c r="AS80" s="9">
        <v>3.8423546004840641</v>
      </c>
      <c r="AT80" s="9">
        <v>0.96993917716960276</v>
      </c>
      <c r="AU80" s="9">
        <v>8.6800000000000015</v>
      </c>
      <c r="AV80" s="9">
        <v>9.6499391771696033</v>
      </c>
      <c r="AW80" s="11">
        <v>19.547151408483845</v>
      </c>
      <c r="AX80" s="11">
        <v>19.547151408483845</v>
      </c>
      <c r="AY80" t="s">
        <v>969</v>
      </c>
      <c r="AZ80" t="s">
        <v>950</v>
      </c>
      <c r="BA80" t="s">
        <v>951</v>
      </c>
      <c r="BB80" t="s">
        <v>970</v>
      </c>
      <c r="BC80" t="b">
        <v>1</v>
      </c>
    </row>
    <row r="81" spans="1:55">
      <c r="A81" t="s">
        <v>1131</v>
      </c>
      <c r="B81" t="s">
        <v>939</v>
      </c>
      <c r="C81">
        <v>28200</v>
      </c>
      <c r="D81">
        <v>21600</v>
      </c>
      <c r="E81">
        <v>28200</v>
      </c>
      <c r="F81">
        <v>47400</v>
      </c>
      <c r="G81" s="9">
        <v>1.511409306829738E-2</v>
      </c>
      <c r="H81" s="9">
        <v>4.4621797587005504E-2</v>
      </c>
      <c r="I81" s="9">
        <v>6.693269638050825E-2</v>
      </c>
      <c r="J81" s="10">
        <v>79.640203672505095</v>
      </c>
      <c r="K81" s="10">
        <v>79.640203672505095</v>
      </c>
      <c r="L81" s="10">
        <v>79.640203672505095</v>
      </c>
      <c r="M81" s="10">
        <v>79.640203672505095</v>
      </c>
      <c r="N81" s="10">
        <v>79.640203672505095</v>
      </c>
      <c r="O81" s="10">
        <v>79.640203672505095</v>
      </c>
      <c r="P81" s="10">
        <v>79.640203672505095</v>
      </c>
      <c r="Q81" s="10">
        <v>79.640203672505095</v>
      </c>
      <c r="R81" s="10">
        <v>79.640203672505095</v>
      </c>
      <c r="S81" s="10">
        <v>79.640203672505095</v>
      </c>
      <c r="T81" s="10">
        <v>79.640203672505095</v>
      </c>
      <c r="V81" t="s">
        <v>456</v>
      </c>
      <c r="W81" t="s">
        <v>1131</v>
      </c>
      <c r="X81" t="s">
        <v>1132</v>
      </c>
      <c r="Y81" t="s">
        <v>941</v>
      </c>
      <c r="Z81" t="s">
        <v>942</v>
      </c>
      <c r="AB81" t="s">
        <v>481</v>
      </c>
      <c r="AC81" t="s">
        <v>480</v>
      </c>
      <c r="AD81" t="s">
        <v>968</v>
      </c>
      <c r="AF81" t="s">
        <v>944</v>
      </c>
      <c r="AG81" t="s">
        <v>1037</v>
      </c>
      <c r="AH81" t="s">
        <v>988</v>
      </c>
      <c r="AI81" t="s">
        <v>947</v>
      </c>
      <c r="AJ81" t="s">
        <v>948</v>
      </c>
      <c r="AK81">
        <v>1</v>
      </c>
      <c r="AL81" s="10">
        <v>21.6</v>
      </c>
      <c r="AM81" s="10">
        <v>28.2</v>
      </c>
      <c r="AN81" s="10">
        <v>47.4</v>
      </c>
      <c r="AO81" s="9">
        <v>9.2628239593857403E-5</v>
      </c>
      <c r="AP81" s="9">
        <v>0.77559999999999996</v>
      </c>
      <c r="AQ81" s="9">
        <v>6.8986227258020154</v>
      </c>
      <c r="AR81" s="9">
        <v>8.2154703424953652</v>
      </c>
      <c r="AS81" s="9">
        <v>15.114093068297381</v>
      </c>
      <c r="AT81" s="9">
        <v>21.292651388271729</v>
      </c>
      <c r="AU81" s="9">
        <v>23.32914619873377</v>
      </c>
      <c r="AV81" s="9">
        <v>44.621797587005503</v>
      </c>
      <c r="AW81" s="11">
        <v>7.96402036725051E-2</v>
      </c>
      <c r="AX81" s="11">
        <v>7.96402036725051E-2</v>
      </c>
      <c r="AY81" t="s">
        <v>969</v>
      </c>
      <c r="AZ81" t="s">
        <v>950</v>
      </c>
      <c r="BA81" t="s">
        <v>951</v>
      </c>
      <c r="BB81" t="s">
        <v>970</v>
      </c>
      <c r="BC81" t="b">
        <v>1</v>
      </c>
    </row>
    <row r="82" spans="1:55">
      <c r="A82" t="s">
        <v>1133</v>
      </c>
      <c r="B82" t="s">
        <v>939</v>
      </c>
      <c r="C82">
        <v>16159800</v>
      </c>
      <c r="D82">
        <v>12403200</v>
      </c>
      <c r="E82">
        <v>16159800</v>
      </c>
      <c r="F82">
        <v>27208700</v>
      </c>
      <c r="G82" s="9">
        <v>1.1616806098752229E-2</v>
      </c>
      <c r="H82" s="9">
        <v>3.9922233305718001E-2</v>
      </c>
      <c r="I82" s="9">
        <v>5.9883349958576998E-2</v>
      </c>
      <c r="J82" s="10">
        <v>45637.225649182583</v>
      </c>
      <c r="K82" s="10">
        <v>45637.225649182583</v>
      </c>
      <c r="L82" s="10">
        <v>45637.225649182583</v>
      </c>
      <c r="M82" s="10">
        <v>45637.225649182583</v>
      </c>
      <c r="N82" s="10">
        <v>45637.225649182583</v>
      </c>
      <c r="O82" s="10">
        <v>45637.225649182583</v>
      </c>
      <c r="P82" s="10">
        <v>45637.225649182583</v>
      </c>
      <c r="Q82" s="10">
        <v>45637.225649182583</v>
      </c>
      <c r="R82" s="10">
        <v>45637.225649182583</v>
      </c>
      <c r="S82" s="10">
        <v>45637.225649182583</v>
      </c>
      <c r="T82" s="10">
        <v>45637.225649182583</v>
      </c>
      <c r="V82" t="s">
        <v>456</v>
      </c>
      <c r="W82" t="s">
        <v>1133</v>
      </c>
      <c r="X82" t="s">
        <v>1134</v>
      </c>
      <c r="Y82" t="s">
        <v>941</v>
      </c>
      <c r="Z82" t="s">
        <v>942</v>
      </c>
      <c r="AB82" t="s">
        <v>481</v>
      </c>
      <c r="AC82" t="s">
        <v>480</v>
      </c>
      <c r="AD82" t="s">
        <v>968</v>
      </c>
      <c r="AF82" t="s">
        <v>944</v>
      </c>
      <c r="AG82" t="s">
        <v>1135</v>
      </c>
      <c r="AH82" t="s">
        <v>1136</v>
      </c>
      <c r="AI82" t="s">
        <v>947</v>
      </c>
      <c r="AJ82" t="s">
        <v>948</v>
      </c>
      <c r="AK82">
        <v>120</v>
      </c>
      <c r="AL82" s="10">
        <v>12403.2</v>
      </c>
      <c r="AM82" s="10">
        <v>16159.8</v>
      </c>
      <c r="AN82" s="10">
        <v>27208.7</v>
      </c>
      <c r="AO82" s="9">
        <v>5.3155997946031999E-2</v>
      </c>
      <c r="AP82" s="9">
        <v>445.08879999999999</v>
      </c>
      <c r="AQ82" s="9">
        <v>3.4013357562568638</v>
      </c>
      <c r="AR82" s="9">
        <v>8.2154703424953652</v>
      </c>
      <c r="AS82" s="9">
        <v>11.616806098752228</v>
      </c>
      <c r="AT82" s="9">
        <v>16.593087106984221</v>
      </c>
      <c r="AU82" s="9">
        <v>23.32914619873377</v>
      </c>
      <c r="AV82" s="9">
        <v>39.922233305718002</v>
      </c>
      <c r="AW82" s="11">
        <v>45.637225649182582</v>
      </c>
      <c r="AX82" s="11">
        <v>45.637225649182582</v>
      </c>
      <c r="AY82" t="s">
        <v>969</v>
      </c>
      <c r="AZ82" t="s">
        <v>950</v>
      </c>
      <c r="BA82" t="s">
        <v>951</v>
      </c>
      <c r="BB82" t="s">
        <v>970</v>
      </c>
      <c r="BC82" t="b">
        <v>1</v>
      </c>
    </row>
    <row r="83" spans="1:55">
      <c r="A83" t="s">
        <v>1137</v>
      </c>
      <c r="B83" t="s">
        <v>939</v>
      </c>
      <c r="C83">
        <v>122026500</v>
      </c>
      <c r="D83">
        <v>93659000</v>
      </c>
      <c r="E83">
        <v>122026500</v>
      </c>
      <c r="F83">
        <v>205458600</v>
      </c>
      <c r="G83" s="9">
        <v>1.1518341834442931E-2</v>
      </c>
      <c r="H83" s="9">
        <v>4.1729419457475325E-2</v>
      </c>
      <c r="I83" s="9">
        <v>6.2594129186212988E-2</v>
      </c>
      <c r="J83" s="10">
        <v>344617.56430648762</v>
      </c>
      <c r="K83" s="10">
        <v>344617.56430648762</v>
      </c>
      <c r="L83" s="10">
        <v>344617.56430648762</v>
      </c>
      <c r="M83" s="10">
        <v>344617.56430648762</v>
      </c>
      <c r="N83" s="10">
        <v>344617.56430648762</v>
      </c>
      <c r="O83" s="10">
        <v>344617.56430648762</v>
      </c>
      <c r="P83" s="10">
        <v>344617.56430648762</v>
      </c>
      <c r="Q83" s="10">
        <v>344617.56430648762</v>
      </c>
      <c r="R83" s="10">
        <v>344617.56430648762</v>
      </c>
      <c r="S83" s="10">
        <v>344617.56430648762</v>
      </c>
      <c r="T83" s="10">
        <v>344617.56430648762</v>
      </c>
      <c r="V83" t="s">
        <v>456</v>
      </c>
      <c r="W83" t="s">
        <v>1137</v>
      </c>
      <c r="X83" t="s">
        <v>1138</v>
      </c>
      <c r="Y83" t="s">
        <v>941</v>
      </c>
      <c r="Z83" t="s">
        <v>942</v>
      </c>
      <c r="AB83" t="s">
        <v>481</v>
      </c>
      <c r="AC83" t="s">
        <v>480</v>
      </c>
      <c r="AD83" t="s">
        <v>968</v>
      </c>
      <c r="AF83" t="s">
        <v>944</v>
      </c>
      <c r="AG83" t="s">
        <v>1139</v>
      </c>
      <c r="AH83" t="s">
        <v>1116</v>
      </c>
      <c r="AI83" t="s">
        <v>947</v>
      </c>
      <c r="AJ83" t="s">
        <v>948</v>
      </c>
      <c r="AK83">
        <v>943</v>
      </c>
      <c r="AL83" s="10">
        <v>93659</v>
      </c>
      <c r="AM83" s="10">
        <v>122026.5</v>
      </c>
      <c r="AN83" s="10">
        <v>205458.6</v>
      </c>
      <c r="AO83" s="9">
        <v>0.40139256932344741</v>
      </c>
      <c r="AP83" s="9">
        <v>3360.9629</v>
      </c>
      <c r="AQ83" s="9">
        <v>3.3028714919475624</v>
      </c>
      <c r="AR83" s="9">
        <v>8.2154703424953652</v>
      </c>
      <c r="AS83" s="9">
        <v>11.51834183444293</v>
      </c>
      <c r="AT83" s="9">
        <v>18.400273258741557</v>
      </c>
      <c r="AU83" s="9">
        <v>23.32914619873377</v>
      </c>
      <c r="AV83" s="9">
        <v>41.729419457475323</v>
      </c>
      <c r="AW83" s="11">
        <v>344.61756430648762</v>
      </c>
      <c r="AX83" s="11">
        <v>344.61756430648762</v>
      </c>
      <c r="AY83" t="s">
        <v>969</v>
      </c>
      <c r="AZ83" t="s">
        <v>950</v>
      </c>
      <c r="BA83" t="s">
        <v>951</v>
      </c>
      <c r="BB83" t="s">
        <v>970</v>
      </c>
      <c r="BC83" t="b">
        <v>1</v>
      </c>
    </row>
    <row r="84" spans="1:55">
      <c r="A84" t="s">
        <v>1140</v>
      </c>
      <c r="B84" t="s">
        <v>939</v>
      </c>
      <c r="C84">
        <v>22458600</v>
      </c>
      <c r="D84">
        <v>12212500</v>
      </c>
      <c r="E84">
        <v>22458600</v>
      </c>
      <c r="F84">
        <v>45522300</v>
      </c>
      <c r="G84" s="9">
        <v>7.7953414290657568E-3</v>
      </c>
      <c r="H84" s="9">
        <v>2.398513572941607E-2</v>
      </c>
      <c r="I84" s="9">
        <v>3.5977703594124104E-2</v>
      </c>
      <c r="J84" s="10">
        <v>732271.45501592499</v>
      </c>
      <c r="K84" s="10">
        <v>710583.93903093436</v>
      </c>
      <c r="L84" s="10">
        <v>688896.42304594372</v>
      </c>
      <c r="M84" s="10">
        <v>667208.90706095321</v>
      </c>
      <c r="N84" s="10">
        <v>645521.39107596246</v>
      </c>
      <c r="O84" s="10">
        <v>623833.87509097194</v>
      </c>
      <c r="P84" s="10">
        <v>580458.84312099067</v>
      </c>
      <c r="Q84" s="10">
        <v>537083.8111510094</v>
      </c>
      <c r="R84" s="10">
        <v>493708.77918102819</v>
      </c>
      <c r="S84" s="10">
        <v>450333.74721104698</v>
      </c>
      <c r="T84" s="10">
        <v>406958.71524106571</v>
      </c>
      <c r="V84" t="s">
        <v>456</v>
      </c>
      <c r="W84" t="s">
        <v>1140</v>
      </c>
      <c r="X84" t="s">
        <v>1141</v>
      </c>
      <c r="Y84" t="s">
        <v>941</v>
      </c>
      <c r="Z84" t="s">
        <v>942</v>
      </c>
      <c r="AB84" t="s">
        <v>481</v>
      </c>
      <c r="AC84" t="s">
        <v>480</v>
      </c>
      <c r="AD84" t="s">
        <v>943</v>
      </c>
      <c r="AF84" t="s">
        <v>944</v>
      </c>
      <c r="AG84" t="s">
        <v>959</v>
      </c>
      <c r="AH84" t="s">
        <v>946</v>
      </c>
      <c r="AI84" t="s">
        <v>960</v>
      </c>
      <c r="AJ84" t="s">
        <v>948</v>
      </c>
      <c r="AK84">
        <v>174</v>
      </c>
      <c r="AL84" s="10">
        <v>12212.5</v>
      </c>
      <c r="AM84" s="10">
        <v>22458.6</v>
      </c>
      <c r="AN84" s="10">
        <v>45522.3</v>
      </c>
      <c r="AO84" s="9">
        <v>8.9421148025516095E-2</v>
      </c>
      <c r="AP84" s="9">
        <v>748.74620000000004</v>
      </c>
      <c r="AQ84" s="9">
        <v>4.5341429065755598E-2</v>
      </c>
      <c r="AR84" s="9">
        <v>7.7499999999999991</v>
      </c>
      <c r="AS84" s="9">
        <v>7.7953414290657568</v>
      </c>
      <c r="AT84" s="9">
        <v>0.38513572941606972</v>
      </c>
      <c r="AU84" s="9">
        <v>23.600000000000005</v>
      </c>
      <c r="AV84" s="9">
        <v>23.985135729416072</v>
      </c>
      <c r="AW84" s="11">
        <v>732.27145501592497</v>
      </c>
      <c r="AX84" s="11">
        <v>406.9587152410657</v>
      </c>
      <c r="AY84" t="s">
        <v>1142</v>
      </c>
      <c r="AZ84" t="s">
        <v>950</v>
      </c>
      <c r="BA84" t="s">
        <v>951</v>
      </c>
      <c r="BB84" t="s">
        <v>970</v>
      </c>
      <c r="BC84" t="b">
        <v>1</v>
      </c>
    </row>
    <row r="85" spans="1:55">
      <c r="A85" t="s">
        <v>1143</v>
      </c>
      <c r="B85" t="s">
        <v>939</v>
      </c>
      <c r="C85">
        <v>81764400</v>
      </c>
      <c r="D85">
        <v>44461700</v>
      </c>
      <c r="E85">
        <v>81764400</v>
      </c>
      <c r="F85">
        <v>165731400</v>
      </c>
      <c r="G85" s="9">
        <v>1.3828925309628875E-2</v>
      </c>
      <c r="H85" s="9">
        <v>4.5581482784819743E-2</v>
      </c>
      <c r="I85" s="9">
        <v>6.8372224177229615E-2</v>
      </c>
      <c r="J85" s="10">
        <v>2665960.3072544192</v>
      </c>
      <c r="K85" s="10">
        <v>2587003.171368693</v>
      </c>
      <c r="L85" s="10">
        <v>2508046.0354829668</v>
      </c>
      <c r="M85" s="10">
        <v>2429088.8995972411</v>
      </c>
      <c r="N85" s="10">
        <v>2350131.7637115149</v>
      </c>
      <c r="O85" s="10">
        <v>2271174.6278257887</v>
      </c>
      <c r="P85" s="10">
        <v>2113260.3560543368</v>
      </c>
      <c r="Q85" s="10">
        <v>1955346.0842828848</v>
      </c>
      <c r="R85" s="10">
        <v>1797431.8125114327</v>
      </c>
      <c r="S85" s="10">
        <v>1639517.5407399805</v>
      </c>
      <c r="T85" s="10">
        <v>1481603.2689685284</v>
      </c>
      <c r="V85" t="s">
        <v>456</v>
      </c>
      <c r="W85" t="s">
        <v>1143</v>
      </c>
      <c r="X85" t="s">
        <v>1144</v>
      </c>
      <c r="Y85" t="s">
        <v>941</v>
      </c>
      <c r="Z85" t="s">
        <v>942</v>
      </c>
      <c r="AB85" t="s">
        <v>481</v>
      </c>
      <c r="AC85" t="s">
        <v>480</v>
      </c>
      <c r="AD85" t="s">
        <v>943</v>
      </c>
      <c r="AF85" t="s">
        <v>944</v>
      </c>
      <c r="AG85" t="s">
        <v>945</v>
      </c>
      <c r="AH85" t="s">
        <v>946</v>
      </c>
      <c r="AI85" t="s">
        <v>947</v>
      </c>
      <c r="AJ85" t="s">
        <v>948</v>
      </c>
      <c r="AK85">
        <v>714</v>
      </c>
      <c r="AL85" s="10">
        <v>44461.7</v>
      </c>
      <c r="AM85" s="10">
        <v>81764.399999999994</v>
      </c>
      <c r="AN85" s="10">
        <v>165731.4</v>
      </c>
      <c r="AO85" s="9">
        <v>0.26895478800816369</v>
      </c>
      <c r="AP85" s="9">
        <v>2252.0273999999999</v>
      </c>
      <c r="AQ85" s="9">
        <v>0.13647473880326719</v>
      </c>
      <c r="AR85" s="9">
        <v>13.692450570825608</v>
      </c>
      <c r="AS85" s="9">
        <v>13.828925309628875</v>
      </c>
      <c r="AT85" s="9">
        <v>0.58866072984754803</v>
      </c>
      <c r="AU85" s="9">
        <v>44.992822054972187</v>
      </c>
      <c r="AV85" s="9">
        <v>45.581482784819741</v>
      </c>
      <c r="AW85" s="11">
        <v>2665.9603072544191</v>
      </c>
      <c r="AX85" s="11">
        <v>1481.6032689685285</v>
      </c>
      <c r="AY85" t="s">
        <v>1142</v>
      </c>
      <c r="AZ85" t="s">
        <v>950</v>
      </c>
      <c r="BA85" t="s">
        <v>951</v>
      </c>
      <c r="BB85" t="s">
        <v>970</v>
      </c>
      <c r="BC85" t="b">
        <v>1</v>
      </c>
    </row>
    <row r="86" spans="1:55">
      <c r="A86" t="s">
        <v>1145</v>
      </c>
      <c r="B86" t="s">
        <v>939</v>
      </c>
      <c r="C86">
        <v>13729500</v>
      </c>
      <c r="D86">
        <v>7465800</v>
      </c>
      <c r="E86">
        <v>13729500</v>
      </c>
      <c r="F86">
        <v>27828900</v>
      </c>
      <c r="G86" s="9">
        <v>7.9445060031838009E-3</v>
      </c>
      <c r="H86" s="9">
        <v>2.5248122985402105E-2</v>
      </c>
      <c r="I86" s="9">
        <v>3.7872184478103157E-2</v>
      </c>
      <c r="J86" s="10">
        <v>447655.72839095682</v>
      </c>
      <c r="K86" s="10">
        <v>434397.61120128655</v>
      </c>
      <c r="L86" s="10">
        <v>421139.49401161633</v>
      </c>
      <c r="M86" s="10">
        <v>407881.376821946</v>
      </c>
      <c r="N86" s="10">
        <v>394623.25963227573</v>
      </c>
      <c r="O86" s="10">
        <v>381365.14244260546</v>
      </c>
      <c r="P86" s="10">
        <v>354848.90806326491</v>
      </c>
      <c r="Q86" s="10">
        <v>328332.67368392437</v>
      </c>
      <c r="R86" s="10">
        <v>301816.43930458382</v>
      </c>
      <c r="S86" s="10">
        <v>275300.20492524328</v>
      </c>
      <c r="T86" s="10">
        <v>248783.97054590276</v>
      </c>
      <c r="V86" t="s">
        <v>456</v>
      </c>
      <c r="W86" t="s">
        <v>1145</v>
      </c>
      <c r="X86" t="s">
        <v>1146</v>
      </c>
      <c r="Y86" t="s">
        <v>941</v>
      </c>
      <c r="Z86" t="s">
        <v>942</v>
      </c>
      <c r="AB86" t="s">
        <v>481</v>
      </c>
      <c r="AC86" t="s">
        <v>480</v>
      </c>
      <c r="AD86" t="s">
        <v>943</v>
      </c>
      <c r="AF86" t="s">
        <v>944</v>
      </c>
      <c r="AG86" t="s">
        <v>965</v>
      </c>
      <c r="AH86" t="s">
        <v>956</v>
      </c>
      <c r="AI86" t="s">
        <v>960</v>
      </c>
      <c r="AJ86" t="s">
        <v>948</v>
      </c>
      <c r="AK86">
        <v>97</v>
      </c>
      <c r="AL86" s="10">
        <v>7465.8</v>
      </c>
      <c r="AM86" s="10">
        <v>13729.5</v>
      </c>
      <c r="AN86" s="10">
        <v>27828.9</v>
      </c>
      <c r="AO86" s="9">
        <v>5.4665350985788501E-2</v>
      </c>
      <c r="AP86" s="9">
        <v>457.72699999999998</v>
      </c>
      <c r="AQ86" s="9">
        <v>0.1945060031837996</v>
      </c>
      <c r="AR86" s="9">
        <v>7.7500000000000018</v>
      </c>
      <c r="AS86" s="9">
        <v>7.9445060031838004</v>
      </c>
      <c r="AT86" s="9">
        <v>1.6481229854021104</v>
      </c>
      <c r="AU86" s="9">
        <v>23.6</v>
      </c>
      <c r="AV86" s="9">
        <v>25.248122985402105</v>
      </c>
      <c r="AW86" s="11">
        <v>447.65572839095682</v>
      </c>
      <c r="AX86" s="11">
        <v>248.78397054590275</v>
      </c>
      <c r="AY86" t="s">
        <v>1142</v>
      </c>
      <c r="AZ86" t="s">
        <v>950</v>
      </c>
      <c r="BA86" t="s">
        <v>951</v>
      </c>
      <c r="BB86" t="s">
        <v>970</v>
      </c>
      <c r="BC86" t="b">
        <v>1</v>
      </c>
    </row>
    <row r="87" spans="1:55">
      <c r="A87" t="s">
        <v>1147</v>
      </c>
      <c r="B87" t="s">
        <v>939</v>
      </c>
      <c r="C87">
        <v>25912300</v>
      </c>
      <c r="D87">
        <v>14090500</v>
      </c>
      <c r="E87">
        <v>25912300</v>
      </c>
      <c r="F87">
        <v>52522600</v>
      </c>
      <c r="G87" s="9">
        <v>1.4597243492450325E-2</v>
      </c>
      <c r="H87" s="9">
        <v>4.9067108895116118E-2</v>
      </c>
      <c r="I87" s="9">
        <v>7.3600663342674177E-2</v>
      </c>
      <c r="J87" s="10">
        <v>844880.69709639752</v>
      </c>
      <c r="K87" s="10">
        <v>819858.05897746433</v>
      </c>
      <c r="L87" s="10">
        <v>794835.42085853114</v>
      </c>
      <c r="M87" s="10">
        <v>769812.78273959795</v>
      </c>
      <c r="N87" s="10">
        <v>744790.14462066477</v>
      </c>
      <c r="O87" s="10">
        <v>719767.5065017317</v>
      </c>
      <c r="P87" s="10">
        <v>669722.23026386544</v>
      </c>
      <c r="Q87" s="10">
        <v>619676.95402599906</v>
      </c>
      <c r="R87" s="10">
        <v>569631.67778813269</v>
      </c>
      <c r="S87" s="10">
        <v>519586.40155026637</v>
      </c>
      <c r="T87" s="10">
        <v>469541.12531240005</v>
      </c>
      <c r="V87" t="s">
        <v>456</v>
      </c>
      <c r="W87" t="s">
        <v>1147</v>
      </c>
      <c r="X87" t="s">
        <v>1148</v>
      </c>
      <c r="Y87" t="s">
        <v>941</v>
      </c>
      <c r="Z87" t="s">
        <v>942</v>
      </c>
      <c r="AB87" t="s">
        <v>481</v>
      </c>
      <c r="AC87" t="s">
        <v>480</v>
      </c>
      <c r="AD87" t="s">
        <v>943</v>
      </c>
      <c r="AF87" t="s">
        <v>944</v>
      </c>
      <c r="AG87" t="s">
        <v>955</v>
      </c>
      <c r="AH87" t="s">
        <v>956</v>
      </c>
      <c r="AI87" t="s">
        <v>947</v>
      </c>
      <c r="AJ87" t="s">
        <v>948</v>
      </c>
      <c r="AK87">
        <v>263</v>
      </c>
      <c r="AL87" s="10">
        <v>14090.5</v>
      </c>
      <c r="AM87" s="10">
        <v>25912.3</v>
      </c>
      <c r="AN87" s="10">
        <v>52522.6</v>
      </c>
      <c r="AO87" s="9">
        <v>8.52355243773497E-2</v>
      </c>
      <c r="AP87" s="9">
        <v>713.69890000000009</v>
      </c>
      <c r="AQ87" s="9">
        <v>0.90479292162471758</v>
      </c>
      <c r="AR87" s="9">
        <v>13.692450570825606</v>
      </c>
      <c r="AS87" s="9">
        <v>14.597243492450325</v>
      </c>
      <c r="AT87" s="9">
        <v>4.0742868401439383</v>
      </c>
      <c r="AU87" s="9">
        <v>44.992822054972187</v>
      </c>
      <c r="AV87" s="9">
        <v>49.067108895116121</v>
      </c>
      <c r="AW87" s="11">
        <v>844.88069709639751</v>
      </c>
      <c r="AX87" s="11">
        <v>469.54112531240003</v>
      </c>
      <c r="AY87" t="s">
        <v>1142</v>
      </c>
      <c r="AZ87" t="s">
        <v>950</v>
      </c>
      <c r="BA87" t="s">
        <v>951</v>
      </c>
      <c r="BB87" t="s">
        <v>970</v>
      </c>
      <c r="BC87" t="b">
        <v>1</v>
      </c>
    </row>
    <row r="88" spans="1:55">
      <c r="A88" t="s">
        <v>1149</v>
      </c>
      <c r="B88" t="s">
        <v>939</v>
      </c>
      <c r="C88">
        <v>852400</v>
      </c>
      <c r="D88">
        <v>463500</v>
      </c>
      <c r="E88">
        <v>852400</v>
      </c>
      <c r="F88">
        <v>1727800</v>
      </c>
      <c r="G88" s="9">
        <v>9.976941746478148E-3</v>
      </c>
      <c r="H88" s="9">
        <v>3.0518522050410529E-2</v>
      </c>
      <c r="I88" s="9">
        <v>4.5777783075615794E-2</v>
      </c>
      <c r="J88" s="10">
        <v>27792.836074179802</v>
      </c>
      <c r="K88" s="10">
        <v>26969.70201303592</v>
      </c>
      <c r="L88" s="10">
        <v>26146.567951892037</v>
      </c>
      <c r="M88" s="10">
        <v>25323.433890748154</v>
      </c>
      <c r="N88" s="10">
        <v>24500.299829604272</v>
      </c>
      <c r="O88" s="10">
        <v>23677.165768460389</v>
      </c>
      <c r="P88" s="10">
        <v>22030.897646172623</v>
      </c>
      <c r="Q88" s="10">
        <v>20384.629523884854</v>
      </c>
      <c r="R88" s="10">
        <v>18738.361401597089</v>
      </c>
      <c r="S88" s="10">
        <v>17092.093279309323</v>
      </c>
      <c r="T88" s="10">
        <v>15445.825157021558</v>
      </c>
      <c r="V88" t="s">
        <v>456</v>
      </c>
      <c r="W88" t="s">
        <v>1149</v>
      </c>
      <c r="X88" t="s">
        <v>1150</v>
      </c>
      <c r="Y88" t="s">
        <v>941</v>
      </c>
      <c r="Z88" t="s">
        <v>942</v>
      </c>
      <c r="AB88" t="s">
        <v>481</v>
      </c>
      <c r="AC88" t="s">
        <v>480</v>
      </c>
      <c r="AD88" t="s">
        <v>943</v>
      </c>
      <c r="AF88" t="s">
        <v>944</v>
      </c>
      <c r="AG88" t="s">
        <v>1042</v>
      </c>
      <c r="AH88" t="s">
        <v>988</v>
      </c>
      <c r="AI88" t="s">
        <v>960</v>
      </c>
      <c r="AJ88" t="s">
        <v>948</v>
      </c>
      <c r="AK88">
        <v>6</v>
      </c>
      <c r="AL88" s="10">
        <v>463.5</v>
      </c>
      <c r="AM88" s="10">
        <v>852.4</v>
      </c>
      <c r="AN88" s="10">
        <v>1727.8</v>
      </c>
      <c r="AO88" s="9">
        <v>3.3939961518436E-3</v>
      </c>
      <c r="AP88" s="9">
        <v>28.418800000000005</v>
      </c>
      <c r="AQ88" s="9">
        <v>2.2269417464781478</v>
      </c>
      <c r="AR88" s="9">
        <v>7.7499999999999991</v>
      </c>
      <c r="AS88" s="9">
        <v>9.9769417464781487</v>
      </c>
      <c r="AT88" s="9">
        <v>6.9185220504105223</v>
      </c>
      <c r="AU88" s="9">
        <v>23.6</v>
      </c>
      <c r="AV88" s="9">
        <v>30.518522050410528</v>
      </c>
      <c r="AW88" s="11">
        <v>27.792836074179803</v>
      </c>
      <c r="AX88" s="11">
        <v>15.445825157021558</v>
      </c>
      <c r="AY88" t="s">
        <v>1142</v>
      </c>
      <c r="AZ88" t="s">
        <v>950</v>
      </c>
      <c r="BA88" t="s">
        <v>951</v>
      </c>
      <c r="BB88" t="s">
        <v>970</v>
      </c>
      <c r="BC88" t="b">
        <v>1</v>
      </c>
    </row>
    <row r="89" spans="1:55">
      <c r="A89" t="s">
        <v>1151</v>
      </c>
      <c r="B89" t="s">
        <v>939</v>
      </c>
      <c r="C89">
        <v>244100</v>
      </c>
      <c r="D89">
        <v>132800</v>
      </c>
      <c r="E89">
        <v>244100</v>
      </c>
      <c r="F89">
        <v>494800</v>
      </c>
      <c r="G89" s="9">
        <v>2.1627920592843842E-2</v>
      </c>
      <c r="H89" s="9">
        <v>6.1465899986983756E-2</v>
      </c>
      <c r="I89" s="9">
        <v>9.2198849980475631E-2</v>
      </c>
      <c r="J89" s="10">
        <v>7958.9761681221134</v>
      </c>
      <c r="K89" s="10">
        <v>7723.2569936439086</v>
      </c>
      <c r="L89" s="10">
        <v>7487.5378191657037</v>
      </c>
      <c r="M89" s="10">
        <v>7251.8186446874988</v>
      </c>
      <c r="N89" s="10">
        <v>7016.0994702092939</v>
      </c>
      <c r="O89" s="10">
        <v>6780.3802957310891</v>
      </c>
      <c r="P89" s="10">
        <v>6308.9419467746793</v>
      </c>
      <c r="Q89" s="10">
        <v>5837.5035978182696</v>
      </c>
      <c r="R89" s="10">
        <v>5366.0652488618598</v>
      </c>
      <c r="S89" s="10">
        <v>4894.62689990545</v>
      </c>
      <c r="T89" s="10">
        <v>4423.1885509490403</v>
      </c>
      <c r="V89" t="s">
        <v>456</v>
      </c>
      <c r="W89" t="s">
        <v>1151</v>
      </c>
      <c r="X89" t="s">
        <v>1150</v>
      </c>
      <c r="Y89" t="s">
        <v>941</v>
      </c>
      <c r="Z89" t="s">
        <v>942</v>
      </c>
      <c r="AB89" t="s">
        <v>481</v>
      </c>
      <c r="AC89" t="s">
        <v>480</v>
      </c>
      <c r="AD89" t="s">
        <v>943</v>
      </c>
      <c r="AF89" t="s">
        <v>944</v>
      </c>
      <c r="AG89" t="s">
        <v>1037</v>
      </c>
      <c r="AH89" t="s">
        <v>988</v>
      </c>
      <c r="AI89" t="s">
        <v>947</v>
      </c>
      <c r="AJ89" t="s">
        <v>948</v>
      </c>
      <c r="AK89">
        <v>6</v>
      </c>
      <c r="AL89" s="10">
        <v>132.80000000000001</v>
      </c>
      <c r="AM89" s="10">
        <v>244.1</v>
      </c>
      <c r="AN89" s="10">
        <v>494.8</v>
      </c>
      <c r="AO89" s="9">
        <v>8.030567414608E-4</v>
      </c>
      <c r="AP89" s="9">
        <v>6.7242000000000006</v>
      </c>
      <c r="AQ89" s="9">
        <v>7.9354700220182366</v>
      </c>
      <c r="AR89" s="9">
        <v>13.69245057082561</v>
      </c>
      <c r="AS89" s="9">
        <v>21.627920592843843</v>
      </c>
      <c r="AT89" s="9">
        <v>16.473077932011574</v>
      </c>
      <c r="AU89" s="9">
        <v>44.992822054972187</v>
      </c>
      <c r="AV89" s="9">
        <v>61.465899986983757</v>
      </c>
      <c r="AW89" s="11">
        <v>7.9589761681221134</v>
      </c>
      <c r="AX89" s="11">
        <v>4.4231885509490407</v>
      </c>
      <c r="AY89" t="s">
        <v>1142</v>
      </c>
      <c r="AZ89" t="s">
        <v>950</v>
      </c>
      <c r="BA89" t="s">
        <v>951</v>
      </c>
      <c r="BB89" t="s">
        <v>970</v>
      </c>
      <c r="BC89" t="b">
        <v>1</v>
      </c>
    </row>
    <row r="90" spans="1:55">
      <c r="A90" t="s">
        <v>1152</v>
      </c>
      <c r="B90" t="s">
        <v>939</v>
      </c>
      <c r="C90">
        <v>219200</v>
      </c>
      <c r="D90">
        <v>119200</v>
      </c>
      <c r="E90">
        <v>219200</v>
      </c>
      <c r="F90">
        <v>444200</v>
      </c>
      <c r="G90" s="9">
        <v>1.4652333873636908E-2</v>
      </c>
      <c r="H90" s="9"/>
      <c r="I90" s="9"/>
      <c r="J90" s="10">
        <v>8767.9999999999982</v>
      </c>
      <c r="K90" s="10">
        <v>8767.9999999999982</v>
      </c>
      <c r="L90" s="10">
        <v>8767.9999999999982</v>
      </c>
      <c r="M90" s="10">
        <v>8767.9999999999982</v>
      </c>
      <c r="N90" s="10">
        <v>8767.9999999999982</v>
      </c>
      <c r="O90" s="10">
        <v>8767.9999999999982</v>
      </c>
      <c r="P90" s="10">
        <v>8767.9999999999982</v>
      </c>
      <c r="Q90" s="10">
        <v>8767.9999999999982</v>
      </c>
      <c r="R90" s="10">
        <v>8767.9999999999982</v>
      </c>
      <c r="S90" s="10">
        <v>8767.9999999999982</v>
      </c>
      <c r="T90" s="10">
        <v>8767.9999999999982</v>
      </c>
      <c r="V90" t="s">
        <v>456</v>
      </c>
      <c r="W90" t="s">
        <v>1152</v>
      </c>
      <c r="X90" t="s">
        <v>1153</v>
      </c>
      <c r="Y90" t="s">
        <v>941</v>
      </c>
      <c r="Z90" t="s">
        <v>942</v>
      </c>
      <c r="AB90" t="s">
        <v>1154</v>
      </c>
      <c r="AC90" t="s">
        <v>26</v>
      </c>
      <c r="AD90" t="s">
        <v>943</v>
      </c>
      <c r="AF90" t="s">
        <v>944</v>
      </c>
      <c r="AG90" t="s">
        <v>945</v>
      </c>
      <c r="AH90" t="s">
        <v>946</v>
      </c>
      <c r="AI90" t="s">
        <v>947</v>
      </c>
      <c r="AJ90" t="s">
        <v>948</v>
      </c>
      <c r="AK90">
        <v>2</v>
      </c>
      <c r="AL90" s="10">
        <v>119.2</v>
      </c>
      <c r="AM90" s="10">
        <v>219.2</v>
      </c>
      <c r="AN90" s="10">
        <v>444.2</v>
      </c>
      <c r="AO90" s="9">
        <v>1</v>
      </c>
      <c r="AP90" s="9">
        <v>1.5764</v>
      </c>
      <c r="AQ90" s="9">
        <v>0.25612017645013702</v>
      </c>
      <c r="AR90" s="9">
        <v>14.396213697186772</v>
      </c>
      <c r="AS90" s="9">
        <v>14.652333873636907</v>
      </c>
      <c r="AT90" s="9"/>
      <c r="AU90" s="9"/>
      <c r="AV90" s="9"/>
      <c r="AW90" s="11">
        <v>8.7679999999999989</v>
      </c>
      <c r="AX90" s="11">
        <v>8.7679999999999989</v>
      </c>
      <c r="AY90" t="s">
        <v>949</v>
      </c>
      <c r="AZ90" t="s">
        <v>950</v>
      </c>
      <c r="BA90" t="s">
        <v>951</v>
      </c>
      <c r="BB90" t="s">
        <v>952</v>
      </c>
      <c r="BC90" t="b">
        <v>0</v>
      </c>
    </row>
    <row r="91" spans="1:55">
      <c r="A91" t="s">
        <v>1155</v>
      </c>
      <c r="B91" t="s">
        <v>939</v>
      </c>
      <c r="C91">
        <v>152800</v>
      </c>
      <c r="D91">
        <v>83100</v>
      </c>
      <c r="E91">
        <v>152800</v>
      </c>
      <c r="F91">
        <v>309600</v>
      </c>
      <c r="G91" s="9">
        <v>8.4695772935164167E-3</v>
      </c>
      <c r="H91" s="9">
        <v>2.4607408210922985E-2</v>
      </c>
      <c r="I91" s="9">
        <v>3.6911112316384477E-2</v>
      </c>
      <c r="J91" s="10">
        <v>6112</v>
      </c>
      <c r="K91" s="10">
        <v>6112</v>
      </c>
      <c r="L91" s="10">
        <v>6112</v>
      </c>
      <c r="M91" s="10">
        <v>6112</v>
      </c>
      <c r="N91" s="10">
        <v>6112</v>
      </c>
      <c r="O91" s="10">
        <v>6112</v>
      </c>
      <c r="P91" s="10">
        <v>6112</v>
      </c>
      <c r="Q91" s="10">
        <v>6112</v>
      </c>
      <c r="R91" s="10">
        <v>6112</v>
      </c>
      <c r="S91" s="10">
        <v>6112</v>
      </c>
      <c r="T91" s="10">
        <v>6112</v>
      </c>
      <c r="V91" t="s">
        <v>456</v>
      </c>
      <c r="W91" t="s">
        <v>1155</v>
      </c>
      <c r="X91" t="s">
        <v>1156</v>
      </c>
      <c r="Y91" t="s">
        <v>941</v>
      </c>
      <c r="Z91" t="s">
        <v>942</v>
      </c>
      <c r="AB91" t="s">
        <v>91</v>
      </c>
      <c r="AC91" t="s">
        <v>27</v>
      </c>
      <c r="AD91" t="s">
        <v>943</v>
      </c>
      <c r="AF91" t="s">
        <v>944</v>
      </c>
      <c r="AG91" t="s">
        <v>959</v>
      </c>
      <c r="AH91" t="s">
        <v>946</v>
      </c>
      <c r="AI91" t="s">
        <v>960</v>
      </c>
      <c r="AJ91" t="s">
        <v>948</v>
      </c>
      <c r="AK91">
        <v>1</v>
      </c>
      <c r="AL91" s="10">
        <v>83.1</v>
      </c>
      <c r="AM91" s="10">
        <v>152.80000000000001</v>
      </c>
      <c r="AN91" s="10">
        <v>309.60000000000002</v>
      </c>
      <c r="AO91" s="9">
        <v>0.50431447746883995</v>
      </c>
      <c r="AP91" s="9">
        <v>0.31559999999999999</v>
      </c>
      <c r="AQ91" s="9">
        <v>0.71957729351641686</v>
      </c>
      <c r="AR91" s="9">
        <v>7.75</v>
      </c>
      <c r="AS91" s="9">
        <v>8.4695772935164175</v>
      </c>
      <c r="AT91" s="9">
        <v>1.0074082109229836</v>
      </c>
      <c r="AU91" s="9">
        <v>23.6</v>
      </c>
      <c r="AV91" s="9">
        <v>24.607408210922983</v>
      </c>
      <c r="AW91" s="11">
        <v>6.1120000000000001</v>
      </c>
      <c r="AX91" s="11">
        <v>6.1120000000000001</v>
      </c>
      <c r="AY91" t="s">
        <v>949</v>
      </c>
      <c r="AZ91" t="s">
        <v>950</v>
      </c>
      <c r="BA91" t="s">
        <v>951</v>
      </c>
      <c r="BB91" t="s">
        <v>952</v>
      </c>
      <c r="BC91" t="b">
        <v>1</v>
      </c>
    </row>
    <row r="92" spans="1:55">
      <c r="A92" t="s">
        <v>1157</v>
      </c>
      <c r="B92" t="s">
        <v>939</v>
      </c>
      <c r="C92">
        <v>1735700</v>
      </c>
      <c r="D92">
        <v>943800</v>
      </c>
      <c r="E92">
        <v>1735700</v>
      </c>
      <c r="F92">
        <v>3518100</v>
      </c>
      <c r="G92" s="9">
        <v>1.4575219201500372E-2</v>
      </c>
      <c r="H92" s="9"/>
      <c r="I92" s="9"/>
      <c r="J92" s="10">
        <v>69428</v>
      </c>
      <c r="K92" s="10">
        <v>69428</v>
      </c>
      <c r="L92" s="10">
        <v>69428</v>
      </c>
      <c r="M92" s="10">
        <v>69428</v>
      </c>
      <c r="N92" s="10">
        <v>69428</v>
      </c>
      <c r="O92" s="10">
        <v>69428</v>
      </c>
      <c r="P92" s="10">
        <v>69428</v>
      </c>
      <c r="Q92" s="10">
        <v>69428</v>
      </c>
      <c r="R92" s="10">
        <v>69428</v>
      </c>
      <c r="S92" s="10">
        <v>69428</v>
      </c>
      <c r="T92" s="10">
        <v>69428</v>
      </c>
      <c r="V92" t="s">
        <v>456</v>
      </c>
      <c r="W92" t="s">
        <v>1157</v>
      </c>
      <c r="X92" t="s">
        <v>1156</v>
      </c>
      <c r="Y92" t="s">
        <v>941</v>
      </c>
      <c r="Z92" t="s">
        <v>942</v>
      </c>
      <c r="AB92" t="s">
        <v>91</v>
      </c>
      <c r="AC92" t="s">
        <v>27</v>
      </c>
      <c r="AD92" t="s">
        <v>943</v>
      </c>
      <c r="AF92" t="s">
        <v>944</v>
      </c>
      <c r="AG92" t="s">
        <v>945</v>
      </c>
      <c r="AH92" t="s">
        <v>946</v>
      </c>
      <c r="AI92" t="s">
        <v>947</v>
      </c>
      <c r="AJ92" t="s">
        <v>948</v>
      </c>
      <c r="AK92">
        <v>1</v>
      </c>
      <c r="AL92" s="10">
        <v>943.8</v>
      </c>
      <c r="AM92" s="10">
        <v>1735.7</v>
      </c>
      <c r="AN92" s="10">
        <v>3518.1</v>
      </c>
      <c r="AO92" s="9">
        <v>0.49568552253116011</v>
      </c>
      <c r="AP92" s="9">
        <v>0.31019999999999998</v>
      </c>
      <c r="AQ92" s="9">
        <v>0.73210378411921717</v>
      </c>
      <c r="AR92" s="9">
        <v>13.843115417381156</v>
      </c>
      <c r="AS92" s="9">
        <v>14.575219201500373</v>
      </c>
      <c r="AT92" s="9"/>
      <c r="AU92" s="9"/>
      <c r="AV92" s="9"/>
      <c r="AW92" s="11">
        <v>69.427999999999997</v>
      </c>
      <c r="AX92" s="11">
        <v>69.427999999999997</v>
      </c>
      <c r="AY92" t="s">
        <v>949</v>
      </c>
      <c r="AZ92" t="s">
        <v>950</v>
      </c>
      <c r="BA92" t="s">
        <v>951</v>
      </c>
      <c r="BB92" t="s">
        <v>952</v>
      </c>
      <c r="BC92" t="b">
        <v>0</v>
      </c>
    </row>
    <row r="93" spans="1:55">
      <c r="A93" t="s">
        <v>1158</v>
      </c>
      <c r="B93" t="s">
        <v>939</v>
      </c>
      <c r="C93">
        <v>781500</v>
      </c>
      <c r="D93">
        <v>425000</v>
      </c>
      <c r="E93">
        <v>781500</v>
      </c>
      <c r="F93">
        <v>1584100</v>
      </c>
      <c r="G93" s="9">
        <v>8.1544323305040075E-3</v>
      </c>
      <c r="H93" s="9">
        <v>2.4166205262705617E-2</v>
      </c>
      <c r="I93" s="9">
        <v>3.6249307894058426E-2</v>
      </c>
      <c r="J93" s="10">
        <v>31260</v>
      </c>
      <c r="K93" s="10">
        <v>31260</v>
      </c>
      <c r="L93" s="10">
        <v>31260</v>
      </c>
      <c r="M93" s="10">
        <v>31260</v>
      </c>
      <c r="N93" s="10">
        <v>31260</v>
      </c>
      <c r="O93" s="10">
        <v>31260</v>
      </c>
      <c r="P93" s="10">
        <v>31260</v>
      </c>
      <c r="Q93" s="10">
        <v>31260</v>
      </c>
      <c r="R93" s="10">
        <v>31260</v>
      </c>
      <c r="S93" s="10">
        <v>31260</v>
      </c>
      <c r="T93" s="10">
        <v>31260</v>
      </c>
      <c r="V93" t="s">
        <v>456</v>
      </c>
      <c r="W93" t="s">
        <v>1158</v>
      </c>
      <c r="X93" t="s">
        <v>1159</v>
      </c>
      <c r="Y93" t="s">
        <v>941</v>
      </c>
      <c r="Z93" t="s">
        <v>942</v>
      </c>
      <c r="AB93" t="s">
        <v>329</v>
      </c>
      <c r="AC93" t="s">
        <v>29</v>
      </c>
      <c r="AD93" t="s">
        <v>943</v>
      </c>
      <c r="AF93" t="s">
        <v>944</v>
      </c>
      <c r="AG93" t="s">
        <v>959</v>
      </c>
      <c r="AH93" t="s">
        <v>946</v>
      </c>
      <c r="AI93" t="s">
        <v>960</v>
      </c>
      <c r="AJ93" t="s">
        <v>948</v>
      </c>
      <c r="AK93">
        <v>1</v>
      </c>
      <c r="AL93" s="10">
        <v>425</v>
      </c>
      <c r="AM93" s="10">
        <v>781.5</v>
      </c>
      <c r="AN93" s="10">
        <v>1584.1</v>
      </c>
      <c r="AO93" s="9">
        <v>0.53265536723163842</v>
      </c>
      <c r="AP93" s="9">
        <v>0.70709999999999995</v>
      </c>
      <c r="AQ93" s="9">
        <v>0.4044323305040079</v>
      </c>
      <c r="AR93" s="9">
        <v>7.75</v>
      </c>
      <c r="AS93" s="9">
        <v>8.1544323305040081</v>
      </c>
      <c r="AT93" s="9">
        <v>0.566205262705611</v>
      </c>
      <c r="AU93" s="9">
        <v>23.600000000000005</v>
      </c>
      <c r="AV93" s="9">
        <v>24.166205262705617</v>
      </c>
      <c r="AW93" s="11">
        <v>31.26</v>
      </c>
      <c r="AX93" s="11">
        <v>31.26</v>
      </c>
      <c r="AY93" t="s">
        <v>949</v>
      </c>
      <c r="AZ93" t="s">
        <v>950</v>
      </c>
      <c r="BA93" t="s">
        <v>951</v>
      </c>
      <c r="BB93" t="s">
        <v>952</v>
      </c>
      <c r="BC93" t="b">
        <v>1</v>
      </c>
    </row>
    <row r="94" spans="1:55">
      <c r="A94" t="s">
        <v>1160</v>
      </c>
      <c r="B94" t="s">
        <v>939</v>
      </c>
      <c r="C94">
        <v>685700</v>
      </c>
      <c r="D94">
        <v>372900</v>
      </c>
      <c r="E94">
        <v>685700</v>
      </c>
      <c r="F94">
        <v>1389900</v>
      </c>
      <c r="G94" s="9">
        <v>1.7251862033928006E-2</v>
      </c>
      <c r="H94" s="9">
        <v>3.6902606847499207E-2</v>
      </c>
      <c r="I94" s="9">
        <v>5.5353910271248807E-2</v>
      </c>
      <c r="J94" s="10">
        <v>27428</v>
      </c>
      <c r="K94" s="10">
        <v>27428</v>
      </c>
      <c r="L94" s="10">
        <v>27428</v>
      </c>
      <c r="M94" s="10">
        <v>27428</v>
      </c>
      <c r="N94" s="10">
        <v>27428</v>
      </c>
      <c r="O94" s="10">
        <v>27428</v>
      </c>
      <c r="P94" s="10">
        <v>27428</v>
      </c>
      <c r="Q94" s="10">
        <v>27428</v>
      </c>
      <c r="R94" s="10">
        <v>27428</v>
      </c>
      <c r="S94" s="10">
        <v>27428</v>
      </c>
      <c r="T94" s="10">
        <v>27428</v>
      </c>
      <c r="V94" t="s">
        <v>456</v>
      </c>
      <c r="W94" t="s">
        <v>1160</v>
      </c>
      <c r="X94" t="s">
        <v>1161</v>
      </c>
      <c r="Y94" t="s">
        <v>941</v>
      </c>
      <c r="Z94" t="s">
        <v>942</v>
      </c>
      <c r="AB94" t="s">
        <v>329</v>
      </c>
      <c r="AC94" t="s">
        <v>29</v>
      </c>
      <c r="AD94" t="s">
        <v>943</v>
      </c>
      <c r="AF94" t="s">
        <v>944</v>
      </c>
      <c r="AG94" t="s">
        <v>965</v>
      </c>
      <c r="AH94" t="s">
        <v>956</v>
      </c>
      <c r="AI94" t="s">
        <v>960</v>
      </c>
      <c r="AJ94" t="s">
        <v>948</v>
      </c>
      <c r="AK94">
        <v>2</v>
      </c>
      <c r="AL94" s="10">
        <v>372.9</v>
      </c>
      <c r="AM94" s="10">
        <v>685.7</v>
      </c>
      <c r="AN94" s="10">
        <v>1389.9</v>
      </c>
      <c r="AO94" s="9">
        <v>0.46734463276836158</v>
      </c>
      <c r="AP94" s="9">
        <v>0.62039999999999995</v>
      </c>
      <c r="AQ94" s="9">
        <v>9.5018620339280044</v>
      </c>
      <c r="AR94" s="9">
        <v>7.75</v>
      </c>
      <c r="AS94" s="9">
        <v>17.251862033928006</v>
      </c>
      <c r="AT94" s="9">
        <v>13.302606847499204</v>
      </c>
      <c r="AU94" s="9">
        <v>23.6</v>
      </c>
      <c r="AV94" s="9">
        <v>36.902606847499207</v>
      </c>
      <c r="AW94" s="11">
        <v>27.428000000000001</v>
      </c>
      <c r="AX94" s="11">
        <v>27.428000000000001</v>
      </c>
      <c r="AY94" t="s">
        <v>949</v>
      </c>
      <c r="AZ94" t="s">
        <v>950</v>
      </c>
      <c r="BA94" t="s">
        <v>951</v>
      </c>
      <c r="BB94" t="s">
        <v>952</v>
      </c>
      <c r="BC94" t="b">
        <v>1</v>
      </c>
    </row>
    <row r="95" spans="1:55">
      <c r="A95" t="s">
        <v>1162</v>
      </c>
      <c r="B95" t="s">
        <v>939</v>
      </c>
      <c r="C95">
        <v>4084400</v>
      </c>
      <c r="D95">
        <v>3134900</v>
      </c>
      <c r="E95">
        <v>4084400</v>
      </c>
      <c r="F95">
        <v>6877000</v>
      </c>
      <c r="G95" s="9">
        <v>5.5274597774787959E-3</v>
      </c>
      <c r="H95" s="9">
        <v>1.3315853678548687E-2</v>
      </c>
      <c r="I95" s="9">
        <v>1.9973780517823031E-2</v>
      </c>
      <c r="J95" s="10">
        <v>8355.3726905507956</v>
      </c>
      <c r="K95" s="10">
        <v>8355.3726905507956</v>
      </c>
      <c r="L95" s="10">
        <v>8355.3726905507956</v>
      </c>
      <c r="M95" s="10">
        <v>8355.3726905507956</v>
      </c>
      <c r="N95" s="10">
        <v>8355.3726905507956</v>
      </c>
      <c r="O95" s="10">
        <v>8355.3726905507956</v>
      </c>
      <c r="P95" s="10">
        <v>8355.3726905507956</v>
      </c>
      <c r="Q95" s="10">
        <v>8355.3726905507956</v>
      </c>
      <c r="R95" s="10">
        <v>8355.3726905507956</v>
      </c>
      <c r="S95" s="10">
        <v>8355.3726905507956</v>
      </c>
      <c r="T95" s="10">
        <v>8355.3726905507956</v>
      </c>
      <c r="V95" t="s">
        <v>456</v>
      </c>
      <c r="W95" t="s">
        <v>1162</v>
      </c>
      <c r="X95" t="s">
        <v>1163</v>
      </c>
      <c r="Y95" t="s">
        <v>941</v>
      </c>
      <c r="Z95" t="s">
        <v>942</v>
      </c>
      <c r="AB95" t="s">
        <v>92</v>
      </c>
      <c r="AC95" t="s">
        <v>30</v>
      </c>
      <c r="AD95" t="s">
        <v>968</v>
      </c>
      <c r="AF95" t="s">
        <v>944</v>
      </c>
      <c r="AG95" t="s">
        <v>999</v>
      </c>
      <c r="AH95" t="s">
        <v>946</v>
      </c>
      <c r="AI95" t="s">
        <v>977</v>
      </c>
      <c r="AJ95" t="s">
        <v>948</v>
      </c>
      <c r="AK95">
        <v>3</v>
      </c>
      <c r="AL95" s="10">
        <v>3134.9</v>
      </c>
      <c r="AM95" s="10">
        <v>4084.4</v>
      </c>
      <c r="AN95" s="10">
        <v>6877</v>
      </c>
      <c r="AO95" s="9">
        <v>0.1018318564301139</v>
      </c>
      <c r="AP95" s="9">
        <v>1.3674999999999999</v>
      </c>
      <c r="AQ95" s="9">
        <v>1.8074597774787944</v>
      </c>
      <c r="AR95" s="9">
        <v>3.7200000000000006</v>
      </c>
      <c r="AS95" s="9">
        <v>5.5274597774787964</v>
      </c>
      <c r="AT95" s="9">
        <v>4.6358536785486848</v>
      </c>
      <c r="AU95" s="9">
        <v>8.6800000000000015</v>
      </c>
      <c r="AV95" s="9">
        <v>13.315853678548686</v>
      </c>
      <c r="AW95" s="11">
        <v>8.3553726905507961</v>
      </c>
      <c r="AX95" s="11">
        <v>8.3553726905507961</v>
      </c>
      <c r="AY95" t="s">
        <v>969</v>
      </c>
      <c r="AZ95" t="s">
        <v>950</v>
      </c>
      <c r="BA95" t="s">
        <v>951</v>
      </c>
      <c r="BB95" t="s">
        <v>970</v>
      </c>
      <c r="BC95" t="b">
        <v>1</v>
      </c>
    </row>
    <row r="96" spans="1:55">
      <c r="A96" t="s">
        <v>1164</v>
      </c>
      <c r="B96" t="s">
        <v>939</v>
      </c>
      <c r="C96">
        <v>13037800</v>
      </c>
      <c r="D96">
        <v>10006900</v>
      </c>
      <c r="E96">
        <v>13037800</v>
      </c>
      <c r="F96">
        <v>21952000</v>
      </c>
      <c r="G96" s="9">
        <v>6.6896818874428009E-3</v>
      </c>
      <c r="H96" s="9">
        <v>1.4212558801410853E-2</v>
      </c>
      <c r="I96" s="9">
        <v>2.1318838202116278E-2</v>
      </c>
      <c r="J96" s="10">
        <v>26671.15808071275</v>
      </c>
      <c r="K96" s="10">
        <v>26671.15808071275</v>
      </c>
      <c r="L96" s="10">
        <v>26671.15808071275</v>
      </c>
      <c r="M96" s="10">
        <v>26671.15808071275</v>
      </c>
      <c r="N96" s="10">
        <v>26671.15808071275</v>
      </c>
      <c r="O96" s="10">
        <v>26671.15808071275</v>
      </c>
      <c r="P96" s="10">
        <v>26671.15808071275</v>
      </c>
      <c r="Q96" s="10">
        <v>26671.15808071275</v>
      </c>
      <c r="R96" s="10">
        <v>26671.15808071275</v>
      </c>
      <c r="S96" s="10">
        <v>26671.15808071275</v>
      </c>
      <c r="T96" s="10">
        <v>26671.15808071275</v>
      </c>
      <c r="V96" t="s">
        <v>456</v>
      </c>
      <c r="W96" t="s">
        <v>1164</v>
      </c>
      <c r="X96" t="s">
        <v>1165</v>
      </c>
      <c r="Y96" t="s">
        <v>941</v>
      </c>
      <c r="Z96" t="s">
        <v>942</v>
      </c>
      <c r="AB96" t="s">
        <v>92</v>
      </c>
      <c r="AC96" t="s">
        <v>30</v>
      </c>
      <c r="AD96" t="s">
        <v>968</v>
      </c>
      <c r="AF96" t="s">
        <v>944</v>
      </c>
      <c r="AG96" t="s">
        <v>976</v>
      </c>
      <c r="AH96" t="s">
        <v>956</v>
      </c>
      <c r="AI96" t="s">
        <v>977</v>
      </c>
      <c r="AJ96" t="s">
        <v>948</v>
      </c>
      <c r="AK96">
        <v>5</v>
      </c>
      <c r="AL96" s="10">
        <v>10006.9</v>
      </c>
      <c r="AM96" s="10">
        <v>13037.8</v>
      </c>
      <c r="AN96" s="10">
        <v>21952</v>
      </c>
      <c r="AO96" s="9">
        <v>0.32505771092411939</v>
      </c>
      <c r="AP96" s="9">
        <v>4.3651999999999997</v>
      </c>
      <c r="AQ96" s="9">
        <v>2.9696818874428006</v>
      </c>
      <c r="AR96" s="9">
        <v>3.7200000000000011</v>
      </c>
      <c r="AS96" s="9">
        <v>6.6896818874428012</v>
      </c>
      <c r="AT96" s="9">
        <v>5.5325588014108522</v>
      </c>
      <c r="AU96" s="9">
        <v>8.6800000000000015</v>
      </c>
      <c r="AV96" s="9">
        <v>14.212558801410852</v>
      </c>
      <c r="AW96" s="11">
        <v>26.67115808071275</v>
      </c>
      <c r="AX96" s="11">
        <v>26.67115808071275</v>
      </c>
      <c r="AY96" t="s">
        <v>969</v>
      </c>
      <c r="AZ96" t="s">
        <v>950</v>
      </c>
      <c r="BA96" t="s">
        <v>951</v>
      </c>
      <c r="BB96" t="s">
        <v>970</v>
      </c>
      <c r="BC96" t="b">
        <v>1</v>
      </c>
    </row>
    <row r="97" spans="1:55">
      <c r="A97" t="s">
        <v>1166</v>
      </c>
      <c r="B97" t="s">
        <v>939</v>
      </c>
      <c r="C97">
        <v>9366800</v>
      </c>
      <c r="D97">
        <v>7189300</v>
      </c>
      <c r="E97">
        <v>9366800</v>
      </c>
      <c r="F97">
        <v>15771000</v>
      </c>
      <c r="G97" s="9">
        <v>9.255403907120572E-3</v>
      </c>
      <c r="H97" s="9">
        <v>2.0058690851740068E-2</v>
      </c>
      <c r="I97" s="9">
        <v>3.00880362776101E-2</v>
      </c>
      <c r="J97" s="10">
        <v>19161.469228736456</v>
      </c>
      <c r="K97" s="10">
        <v>19161.469228736456</v>
      </c>
      <c r="L97" s="10">
        <v>19161.469228736456</v>
      </c>
      <c r="M97" s="10">
        <v>19161.469228736456</v>
      </c>
      <c r="N97" s="10">
        <v>19161.469228736456</v>
      </c>
      <c r="O97" s="10">
        <v>19161.469228736456</v>
      </c>
      <c r="P97" s="10">
        <v>19161.469228736456</v>
      </c>
      <c r="Q97" s="10">
        <v>19161.469228736456</v>
      </c>
      <c r="R97" s="10">
        <v>19161.469228736456</v>
      </c>
      <c r="S97" s="10">
        <v>19161.469228736456</v>
      </c>
      <c r="T97" s="10">
        <v>19161.469228736456</v>
      </c>
      <c r="V97" t="s">
        <v>456</v>
      </c>
      <c r="W97" t="s">
        <v>1166</v>
      </c>
      <c r="X97" t="s">
        <v>1167</v>
      </c>
      <c r="Y97" t="s">
        <v>941</v>
      </c>
      <c r="Z97" t="s">
        <v>942</v>
      </c>
      <c r="AB97" t="s">
        <v>92</v>
      </c>
      <c r="AC97" t="s">
        <v>30</v>
      </c>
      <c r="AD97" t="s">
        <v>968</v>
      </c>
      <c r="AF97" t="s">
        <v>944</v>
      </c>
      <c r="AG97" t="s">
        <v>996</v>
      </c>
      <c r="AH97" t="s">
        <v>988</v>
      </c>
      <c r="AI97" t="s">
        <v>977</v>
      </c>
      <c r="AJ97" t="s">
        <v>948</v>
      </c>
      <c r="AK97">
        <v>2</v>
      </c>
      <c r="AL97" s="10">
        <v>7189.3</v>
      </c>
      <c r="AM97" s="10">
        <v>9366.7999999999993</v>
      </c>
      <c r="AN97" s="10">
        <v>15771</v>
      </c>
      <c r="AO97" s="9">
        <v>0.23353190855610989</v>
      </c>
      <c r="AP97" s="9">
        <v>3.1360999999999999</v>
      </c>
      <c r="AQ97" s="9">
        <v>5.5354039071205703</v>
      </c>
      <c r="AR97" s="9">
        <v>3.7200000000000006</v>
      </c>
      <c r="AS97" s="9">
        <v>9.2554039071205718</v>
      </c>
      <c r="AT97" s="9">
        <v>11.378690851740068</v>
      </c>
      <c r="AU97" s="9">
        <v>8.6800000000000033</v>
      </c>
      <c r="AV97" s="9">
        <v>20.058690851740067</v>
      </c>
      <c r="AW97" s="11">
        <v>19.161469228736458</v>
      </c>
      <c r="AX97" s="11">
        <v>19.161469228736458</v>
      </c>
      <c r="AY97" t="s">
        <v>969</v>
      </c>
      <c r="AZ97" t="s">
        <v>950</v>
      </c>
      <c r="BA97" t="s">
        <v>951</v>
      </c>
      <c r="BB97" t="s">
        <v>970</v>
      </c>
      <c r="BC97" t="b">
        <v>1</v>
      </c>
    </row>
    <row r="98" spans="1:55">
      <c r="A98" t="s">
        <v>1168</v>
      </c>
      <c r="B98" t="s">
        <v>939</v>
      </c>
      <c r="C98">
        <v>36924800</v>
      </c>
      <c r="D98">
        <v>20078900</v>
      </c>
      <c r="E98">
        <v>36924800</v>
      </c>
      <c r="F98">
        <v>74844200</v>
      </c>
      <c r="G98" s="9">
        <v>1.4436284008755988E-2</v>
      </c>
      <c r="H98" s="9">
        <v>4.6957328389082363E-2</v>
      </c>
      <c r="I98" s="9">
        <v>7.0435992583623541E-2</v>
      </c>
      <c r="J98" s="10">
        <v>1476992.0000000002</v>
      </c>
      <c r="K98" s="10">
        <v>1433531.6471009206</v>
      </c>
      <c r="L98" s="10">
        <v>1390071.2942018409</v>
      </c>
      <c r="M98" s="10">
        <v>1346610.9413027612</v>
      </c>
      <c r="N98" s="10">
        <v>1303150.5884036815</v>
      </c>
      <c r="O98" s="10">
        <v>1259690.2355046018</v>
      </c>
      <c r="P98" s="10">
        <v>1172769.5297064423</v>
      </c>
      <c r="Q98" s="10">
        <v>1085848.8239082829</v>
      </c>
      <c r="R98" s="10">
        <v>998928.11811012344</v>
      </c>
      <c r="S98" s="10">
        <v>912007.41231196397</v>
      </c>
      <c r="T98" s="10">
        <v>825086.70651380462</v>
      </c>
      <c r="V98" t="s">
        <v>456</v>
      </c>
      <c r="W98" t="s">
        <v>1168</v>
      </c>
      <c r="X98" t="s">
        <v>1169</v>
      </c>
      <c r="Y98" t="s">
        <v>941</v>
      </c>
      <c r="Z98" t="s">
        <v>942</v>
      </c>
      <c r="AB98" t="s">
        <v>92</v>
      </c>
      <c r="AC98" t="s">
        <v>30</v>
      </c>
      <c r="AD98" t="s">
        <v>943</v>
      </c>
      <c r="AF98" t="s">
        <v>944</v>
      </c>
      <c r="AG98" t="s">
        <v>945</v>
      </c>
      <c r="AH98" t="s">
        <v>946</v>
      </c>
      <c r="AI98" t="s">
        <v>947</v>
      </c>
      <c r="AJ98" t="s">
        <v>948</v>
      </c>
      <c r="AK98">
        <v>5</v>
      </c>
      <c r="AL98" s="10">
        <v>20078.900000000001</v>
      </c>
      <c r="AM98" s="10">
        <v>36924.800000000003</v>
      </c>
      <c r="AN98" s="10">
        <v>74844.2</v>
      </c>
      <c r="AO98" s="9">
        <v>0.15133665946831479</v>
      </c>
      <c r="AP98" s="9">
        <v>2.0323000000000002</v>
      </c>
      <c r="AQ98" s="9">
        <v>0.41706048057070377</v>
      </c>
      <c r="AR98" s="9">
        <v>14.019223528185281</v>
      </c>
      <c r="AS98" s="9">
        <v>14.436284008755988</v>
      </c>
      <c r="AT98" s="9">
        <v>0.7881236876153338</v>
      </c>
      <c r="AU98" s="9">
        <v>46.169204701467017</v>
      </c>
      <c r="AV98" s="9">
        <v>46.957328389082363</v>
      </c>
      <c r="AW98" s="11">
        <v>1476.9920000000002</v>
      </c>
      <c r="AX98" s="11">
        <v>825.08670651380464</v>
      </c>
      <c r="AY98" t="s">
        <v>949</v>
      </c>
      <c r="AZ98" t="s">
        <v>950</v>
      </c>
      <c r="BA98" t="s">
        <v>951</v>
      </c>
      <c r="BB98" t="s">
        <v>952</v>
      </c>
      <c r="BC98" t="b">
        <v>1</v>
      </c>
    </row>
    <row r="99" spans="1:55">
      <c r="A99" t="s">
        <v>1170</v>
      </c>
      <c r="B99" t="s">
        <v>939</v>
      </c>
      <c r="C99">
        <v>4980400</v>
      </c>
      <c r="D99">
        <v>2708200</v>
      </c>
      <c r="E99">
        <v>4980400</v>
      </c>
      <c r="F99">
        <v>10094900</v>
      </c>
      <c r="G99" s="9">
        <v>1.3543256904784497E-2</v>
      </c>
      <c r="H99" s="9">
        <v>3.2600912540044914E-2</v>
      </c>
      <c r="I99" s="9">
        <v>4.8901368810067375E-2</v>
      </c>
      <c r="J99" s="10">
        <v>199216</v>
      </c>
      <c r="K99" s="10">
        <v>193354.08763815713</v>
      </c>
      <c r="L99" s="10">
        <v>187492.1752763142</v>
      </c>
      <c r="M99" s="10">
        <v>181630.26291447133</v>
      </c>
      <c r="N99" s="10">
        <v>175768.35055262843</v>
      </c>
      <c r="O99" s="10">
        <v>169906.43819078553</v>
      </c>
      <c r="P99" s="10">
        <v>158182.61346709976</v>
      </c>
      <c r="Q99" s="10">
        <v>146458.78874341396</v>
      </c>
      <c r="R99" s="10">
        <v>134734.96401972816</v>
      </c>
      <c r="S99" s="10">
        <v>123011.13929604235</v>
      </c>
      <c r="T99" s="10">
        <v>111287.31457235657</v>
      </c>
      <c r="V99" t="s">
        <v>456</v>
      </c>
      <c r="W99" t="s">
        <v>1170</v>
      </c>
      <c r="X99" t="s">
        <v>1171</v>
      </c>
      <c r="Y99" t="s">
        <v>941</v>
      </c>
      <c r="Z99" t="s">
        <v>942</v>
      </c>
      <c r="AB99" t="s">
        <v>92</v>
      </c>
      <c r="AC99" t="s">
        <v>30</v>
      </c>
      <c r="AD99" t="s">
        <v>943</v>
      </c>
      <c r="AF99" t="s">
        <v>944</v>
      </c>
      <c r="AG99" t="s">
        <v>965</v>
      </c>
      <c r="AH99" t="s">
        <v>956</v>
      </c>
      <c r="AI99" t="s">
        <v>960</v>
      </c>
      <c r="AJ99" t="s">
        <v>948</v>
      </c>
      <c r="AK99">
        <v>2</v>
      </c>
      <c r="AL99" s="10">
        <v>2708.2</v>
      </c>
      <c r="AM99" s="10">
        <v>4980.3999999999996</v>
      </c>
      <c r="AN99" s="10">
        <v>10094.9</v>
      </c>
      <c r="AO99" s="9">
        <v>0.18824186462134179</v>
      </c>
      <c r="AP99" s="9">
        <v>2.5278999999999998</v>
      </c>
      <c r="AQ99" s="9">
        <v>5.7932569047844966</v>
      </c>
      <c r="AR99" s="9">
        <v>7.7500000000000009</v>
      </c>
      <c r="AS99" s="9">
        <v>13.543256904784498</v>
      </c>
      <c r="AT99" s="9">
        <v>9.000912540044915</v>
      </c>
      <c r="AU99" s="9">
        <v>23.600000000000005</v>
      </c>
      <c r="AV99" s="9">
        <v>32.600912540044916</v>
      </c>
      <c r="AW99" s="11">
        <v>199.21600000000001</v>
      </c>
      <c r="AX99" s="11">
        <v>111.28731457235656</v>
      </c>
      <c r="AY99" t="s">
        <v>949</v>
      </c>
      <c r="AZ99" t="s">
        <v>950</v>
      </c>
      <c r="BA99" t="s">
        <v>951</v>
      </c>
      <c r="BB99" t="s">
        <v>952</v>
      </c>
      <c r="BC99" t="b">
        <v>1</v>
      </c>
    </row>
    <row r="100" spans="1:55">
      <c r="A100" t="s">
        <v>1172</v>
      </c>
      <c r="B100" t="s">
        <v>939</v>
      </c>
      <c r="C100">
        <v>180600</v>
      </c>
      <c r="D100">
        <v>98200</v>
      </c>
      <c r="E100">
        <v>180600</v>
      </c>
      <c r="F100">
        <v>366000</v>
      </c>
      <c r="G100" s="9">
        <v>7.9998502356656755E-3</v>
      </c>
      <c r="H100" s="9">
        <v>2.4126517861894074E-2</v>
      </c>
      <c r="I100" s="9">
        <v>3.6189776792841112E-2</v>
      </c>
      <c r="J100" s="10">
        <v>7224</v>
      </c>
      <c r="K100" s="10">
        <v>7224</v>
      </c>
      <c r="L100" s="10">
        <v>7224</v>
      </c>
      <c r="M100" s="10">
        <v>7224</v>
      </c>
      <c r="N100" s="10">
        <v>7224</v>
      </c>
      <c r="O100" s="10">
        <v>7224</v>
      </c>
      <c r="P100" s="10">
        <v>7224</v>
      </c>
      <c r="Q100" s="10">
        <v>7224</v>
      </c>
      <c r="R100" s="10">
        <v>7224</v>
      </c>
      <c r="S100" s="10">
        <v>7224</v>
      </c>
      <c r="T100" s="10">
        <v>7224</v>
      </c>
      <c r="V100" t="s">
        <v>456</v>
      </c>
      <c r="W100" t="s">
        <v>1172</v>
      </c>
      <c r="X100" t="s">
        <v>1173</v>
      </c>
      <c r="Y100" t="s">
        <v>941</v>
      </c>
      <c r="Z100" t="s">
        <v>942</v>
      </c>
      <c r="AB100" t="s">
        <v>482</v>
      </c>
      <c r="AC100" t="s">
        <v>482</v>
      </c>
      <c r="AD100" t="s">
        <v>943</v>
      </c>
      <c r="AF100" t="s">
        <v>944</v>
      </c>
      <c r="AG100" t="s">
        <v>959</v>
      </c>
      <c r="AH100" t="s">
        <v>946</v>
      </c>
      <c r="AI100" t="s">
        <v>960</v>
      </c>
      <c r="AJ100" t="s">
        <v>948</v>
      </c>
      <c r="AK100">
        <v>3</v>
      </c>
      <c r="AL100" s="10">
        <v>98.2</v>
      </c>
      <c r="AM100" s="10">
        <v>180.6</v>
      </c>
      <c r="AN100" s="10">
        <v>366</v>
      </c>
      <c r="AO100" s="9">
        <v>0.49923900360204959</v>
      </c>
      <c r="AP100" s="9">
        <v>1.9681</v>
      </c>
      <c r="AQ100" s="9">
        <v>0.24985023566567671</v>
      </c>
      <c r="AR100" s="9">
        <v>7.7499999999999991</v>
      </c>
      <c r="AS100" s="9">
        <v>7.9998502356656758</v>
      </c>
      <c r="AT100" s="9">
        <v>0.52651786189407268</v>
      </c>
      <c r="AU100" s="9">
        <v>23.6</v>
      </c>
      <c r="AV100" s="9">
        <v>24.126517861894072</v>
      </c>
      <c r="AW100" s="11">
        <v>7.2240000000000002</v>
      </c>
      <c r="AX100" s="11">
        <v>7.2240000000000002</v>
      </c>
      <c r="AY100" t="s">
        <v>949</v>
      </c>
      <c r="AZ100" t="s">
        <v>950</v>
      </c>
      <c r="BA100" t="s">
        <v>951</v>
      </c>
      <c r="BB100" t="s">
        <v>952</v>
      </c>
      <c r="BC100" t="b">
        <v>1</v>
      </c>
    </row>
    <row r="101" spans="1:55">
      <c r="A101" t="s">
        <v>1174</v>
      </c>
      <c r="B101" t="s">
        <v>939</v>
      </c>
      <c r="C101">
        <v>181100</v>
      </c>
      <c r="D101">
        <v>98500</v>
      </c>
      <c r="E101">
        <v>181100</v>
      </c>
      <c r="F101">
        <v>367100</v>
      </c>
      <c r="G101" s="9">
        <v>1.0875380129021565E-2</v>
      </c>
      <c r="H101" s="9">
        <v>2.7975532180630189E-2</v>
      </c>
      <c r="I101" s="9">
        <v>4.1963298270945283E-2</v>
      </c>
      <c r="J101" s="10">
        <v>7244</v>
      </c>
      <c r="K101" s="10">
        <v>7244</v>
      </c>
      <c r="L101" s="10">
        <v>7244</v>
      </c>
      <c r="M101" s="10">
        <v>7244</v>
      </c>
      <c r="N101" s="10">
        <v>7244</v>
      </c>
      <c r="O101" s="10">
        <v>7244</v>
      </c>
      <c r="P101" s="10">
        <v>7244</v>
      </c>
      <c r="Q101" s="10">
        <v>7244</v>
      </c>
      <c r="R101" s="10">
        <v>7244</v>
      </c>
      <c r="S101" s="10">
        <v>7244</v>
      </c>
      <c r="T101" s="10">
        <v>7244</v>
      </c>
      <c r="V101" t="s">
        <v>456</v>
      </c>
      <c r="W101" t="s">
        <v>1174</v>
      </c>
      <c r="X101" t="s">
        <v>1175</v>
      </c>
      <c r="Y101" t="s">
        <v>941</v>
      </c>
      <c r="Z101" t="s">
        <v>942</v>
      </c>
      <c r="AB101" t="s">
        <v>482</v>
      </c>
      <c r="AC101" t="s">
        <v>482</v>
      </c>
      <c r="AD101" t="s">
        <v>943</v>
      </c>
      <c r="AF101" t="s">
        <v>944</v>
      </c>
      <c r="AG101" t="s">
        <v>965</v>
      </c>
      <c r="AH101" t="s">
        <v>956</v>
      </c>
      <c r="AI101" t="s">
        <v>960</v>
      </c>
      <c r="AJ101" t="s">
        <v>948</v>
      </c>
      <c r="AK101">
        <v>2</v>
      </c>
      <c r="AL101" s="10">
        <v>98.5</v>
      </c>
      <c r="AM101" s="10">
        <v>181.1</v>
      </c>
      <c r="AN101" s="10">
        <v>367.1</v>
      </c>
      <c r="AO101" s="9">
        <v>0.50076099639795035</v>
      </c>
      <c r="AP101" s="9">
        <v>1.9741</v>
      </c>
      <c r="AQ101" s="9">
        <v>3.1253801290215635</v>
      </c>
      <c r="AR101" s="9">
        <v>7.75</v>
      </c>
      <c r="AS101" s="9">
        <v>10.875380129021565</v>
      </c>
      <c r="AT101" s="9">
        <v>4.3755321806301888</v>
      </c>
      <c r="AU101" s="9">
        <v>23.6</v>
      </c>
      <c r="AV101" s="9">
        <v>27.975532180630189</v>
      </c>
      <c r="AW101" s="11">
        <v>7.2439999999999998</v>
      </c>
      <c r="AX101" s="11">
        <v>7.2439999999999998</v>
      </c>
      <c r="AY101" t="s">
        <v>949</v>
      </c>
      <c r="AZ101" t="s">
        <v>950</v>
      </c>
      <c r="BA101" t="s">
        <v>951</v>
      </c>
      <c r="BB101" t="s">
        <v>952</v>
      </c>
      <c r="BC101" t="b">
        <v>1</v>
      </c>
    </row>
    <row r="102" spans="1:55">
      <c r="A102" t="s">
        <v>1176</v>
      </c>
      <c r="B102" t="s">
        <v>939</v>
      </c>
      <c r="C102">
        <v>158600</v>
      </c>
      <c r="D102">
        <v>86200</v>
      </c>
      <c r="E102">
        <v>158600</v>
      </c>
      <c r="F102">
        <v>321400</v>
      </c>
      <c r="G102" s="9">
        <v>1.5115717632396476E-2</v>
      </c>
      <c r="H102" s="9"/>
      <c r="I102" s="9"/>
      <c r="J102" s="10">
        <v>6343.9999999999991</v>
      </c>
      <c r="K102" s="10">
        <v>6343.9999999999991</v>
      </c>
      <c r="L102" s="10">
        <v>6343.9999999999991</v>
      </c>
      <c r="M102" s="10">
        <v>6343.9999999999991</v>
      </c>
      <c r="N102" s="10">
        <v>6343.9999999999991</v>
      </c>
      <c r="O102" s="10">
        <v>6343.9999999999991</v>
      </c>
      <c r="P102" s="10">
        <v>6343.9999999999991</v>
      </c>
      <c r="Q102" s="10">
        <v>6343.9999999999991</v>
      </c>
      <c r="R102" s="10">
        <v>6343.9999999999991</v>
      </c>
      <c r="S102" s="10">
        <v>6343.9999999999991</v>
      </c>
      <c r="T102" s="10">
        <v>6343.9999999999991</v>
      </c>
      <c r="V102" t="s">
        <v>456</v>
      </c>
      <c r="W102" t="s">
        <v>1176</v>
      </c>
      <c r="X102" t="s">
        <v>1177</v>
      </c>
      <c r="Y102" t="s">
        <v>941</v>
      </c>
      <c r="Z102" t="s">
        <v>942</v>
      </c>
      <c r="AB102" t="s">
        <v>483</v>
      </c>
      <c r="AC102" t="s">
        <v>483</v>
      </c>
      <c r="AD102" t="s">
        <v>943</v>
      </c>
      <c r="AF102" t="s">
        <v>944</v>
      </c>
      <c r="AG102" t="s">
        <v>945</v>
      </c>
      <c r="AH102" t="s">
        <v>946</v>
      </c>
      <c r="AI102" t="s">
        <v>947</v>
      </c>
      <c r="AJ102" t="s">
        <v>948</v>
      </c>
      <c r="AK102">
        <v>1</v>
      </c>
      <c r="AL102" s="10">
        <v>86.2</v>
      </c>
      <c r="AM102" s="10">
        <v>158.6</v>
      </c>
      <c r="AN102" s="10">
        <v>321.39999999999998</v>
      </c>
      <c r="AO102" s="9">
        <v>1</v>
      </c>
      <c r="AP102" s="9">
        <v>1.8614999999999999</v>
      </c>
      <c r="AQ102" s="9">
        <v>0.29705571143734438</v>
      </c>
      <c r="AR102" s="9">
        <v>14.81866192095913</v>
      </c>
      <c r="AS102" s="9">
        <v>15.115717632396477</v>
      </c>
      <c r="AT102" s="9"/>
      <c r="AU102" s="9"/>
      <c r="AV102" s="9"/>
      <c r="AW102" s="11">
        <v>6.3439999999999994</v>
      </c>
      <c r="AX102" s="11">
        <v>6.3439999999999994</v>
      </c>
      <c r="AY102" t="s">
        <v>949</v>
      </c>
      <c r="AZ102" t="s">
        <v>950</v>
      </c>
      <c r="BA102" t="s">
        <v>951</v>
      </c>
      <c r="BB102" t="s">
        <v>952</v>
      </c>
      <c r="BC102" t="b">
        <v>0</v>
      </c>
    </row>
    <row r="103" spans="1:55">
      <c r="A103" t="s">
        <v>1178</v>
      </c>
      <c r="B103" t="s">
        <v>939</v>
      </c>
      <c r="C103">
        <v>33000</v>
      </c>
      <c r="D103">
        <v>25300</v>
      </c>
      <c r="E103">
        <v>33000</v>
      </c>
      <c r="F103">
        <v>55600</v>
      </c>
      <c r="G103" s="9">
        <v>4.0363916219479544E-3</v>
      </c>
      <c r="H103" s="9">
        <v>9.6070458297775625E-3</v>
      </c>
      <c r="I103" s="9">
        <v>1.4410568744666345E-2</v>
      </c>
      <c r="J103" s="10">
        <v>330</v>
      </c>
      <c r="K103" s="10">
        <v>330</v>
      </c>
      <c r="L103" s="10">
        <v>330</v>
      </c>
      <c r="M103" s="10">
        <v>330</v>
      </c>
      <c r="N103" s="10">
        <v>330</v>
      </c>
      <c r="O103" s="10">
        <v>330</v>
      </c>
      <c r="P103" s="10">
        <v>330</v>
      </c>
      <c r="Q103" s="10">
        <v>330</v>
      </c>
      <c r="R103" s="10">
        <v>330</v>
      </c>
      <c r="S103" s="10">
        <v>330</v>
      </c>
      <c r="T103" s="10">
        <v>330</v>
      </c>
      <c r="V103" t="s">
        <v>456</v>
      </c>
      <c r="W103" t="s">
        <v>1178</v>
      </c>
      <c r="X103" t="s">
        <v>1179</v>
      </c>
      <c r="Y103" t="s">
        <v>941</v>
      </c>
      <c r="Z103" t="s">
        <v>942</v>
      </c>
      <c r="AB103" t="s">
        <v>1180</v>
      </c>
      <c r="AC103" t="s">
        <v>484</v>
      </c>
      <c r="AD103" t="s">
        <v>968</v>
      </c>
      <c r="AF103" t="s">
        <v>944</v>
      </c>
      <c r="AG103" t="s">
        <v>999</v>
      </c>
      <c r="AH103" t="s">
        <v>946</v>
      </c>
      <c r="AI103" t="s">
        <v>977</v>
      </c>
      <c r="AJ103" t="s">
        <v>948</v>
      </c>
      <c r="AK103">
        <v>1</v>
      </c>
      <c r="AL103" s="10">
        <v>25.3</v>
      </c>
      <c r="AM103" s="10">
        <v>33</v>
      </c>
      <c r="AN103" s="10">
        <v>55.6</v>
      </c>
      <c r="AO103" s="9">
        <v>1.15399134506491E-2</v>
      </c>
      <c r="AP103" s="9">
        <v>0.46160000000000001</v>
      </c>
      <c r="AQ103" s="9">
        <v>0.31639162194795351</v>
      </c>
      <c r="AR103" s="9">
        <v>3.7200000000000006</v>
      </c>
      <c r="AS103" s="9">
        <v>4.0363916219479545</v>
      </c>
      <c r="AT103" s="9">
        <v>0.927045829777561</v>
      </c>
      <c r="AU103" s="9">
        <v>8.6800000000000015</v>
      </c>
      <c r="AV103" s="9">
        <v>9.6070458297775616</v>
      </c>
      <c r="AW103" s="11">
        <v>0.33</v>
      </c>
      <c r="AX103" s="11">
        <v>0.33</v>
      </c>
      <c r="AY103" t="s">
        <v>969</v>
      </c>
      <c r="AZ103" t="s">
        <v>950</v>
      </c>
      <c r="BA103" t="s">
        <v>951</v>
      </c>
      <c r="BB103" t="s">
        <v>970</v>
      </c>
      <c r="BC103" t="b">
        <v>1</v>
      </c>
    </row>
    <row r="104" spans="1:55">
      <c r="A104" t="s">
        <v>1181</v>
      </c>
      <c r="B104" t="s">
        <v>939</v>
      </c>
      <c r="C104">
        <v>0</v>
      </c>
      <c r="D104">
        <v>0</v>
      </c>
      <c r="E104">
        <v>0</v>
      </c>
      <c r="F104">
        <v>0</v>
      </c>
      <c r="G104" s="9">
        <v>8.3884361866397819E-2</v>
      </c>
      <c r="H104" s="9">
        <v>0.16038290498456831</v>
      </c>
      <c r="I104" s="9">
        <v>0.24057435747685246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V104" t="s">
        <v>456</v>
      </c>
      <c r="W104" t="s">
        <v>1181</v>
      </c>
      <c r="X104" t="s">
        <v>1182</v>
      </c>
      <c r="Y104" t="s">
        <v>941</v>
      </c>
      <c r="Z104" t="s">
        <v>942</v>
      </c>
      <c r="AB104" t="s">
        <v>1180</v>
      </c>
      <c r="AC104" t="s">
        <v>484</v>
      </c>
      <c r="AD104" t="s">
        <v>943</v>
      </c>
      <c r="AF104" t="s">
        <v>986</v>
      </c>
      <c r="AG104" t="s">
        <v>1042</v>
      </c>
      <c r="AH104" t="s">
        <v>988</v>
      </c>
      <c r="AI104" t="s">
        <v>960</v>
      </c>
      <c r="AJ104" t="s">
        <v>1054</v>
      </c>
      <c r="AK104">
        <v>4</v>
      </c>
      <c r="AL104" s="10">
        <v>0</v>
      </c>
      <c r="AM104" s="10">
        <v>0</v>
      </c>
      <c r="AN104" s="10">
        <v>0</v>
      </c>
      <c r="AO104" s="9">
        <v>3.6559725802056402E-2</v>
      </c>
      <c r="AP104" s="9">
        <v>1.4623999999999999</v>
      </c>
      <c r="AQ104" s="9">
        <v>62.184361866397822</v>
      </c>
      <c r="AR104" s="9">
        <v>21.7</v>
      </c>
      <c r="AS104" s="9">
        <v>83.884361866397825</v>
      </c>
      <c r="AT104" s="9">
        <v>124.38290498456831</v>
      </c>
      <c r="AU104" s="9">
        <v>36</v>
      </c>
      <c r="AV104" s="9">
        <v>160.38290498456831</v>
      </c>
      <c r="AW104" s="11">
        <v>0</v>
      </c>
      <c r="AX104" s="11">
        <v>0</v>
      </c>
      <c r="AY104" t="s">
        <v>949</v>
      </c>
      <c r="AZ104" t="s">
        <v>950</v>
      </c>
      <c r="BA104" t="s">
        <v>951</v>
      </c>
      <c r="BB104" t="s">
        <v>970</v>
      </c>
      <c r="BC104" t="b">
        <v>1</v>
      </c>
    </row>
    <row r="105" spans="1:55">
      <c r="A105" t="s">
        <v>1183</v>
      </c>
      <c r="B105" t="s">
        <v>939</v>
      </c>
      <c r="C105">
        <v>0</v>
      </c>
      <c r="D105">
        <v>0</v>
      </c>
      <c r="E105">
        <v>0</v>
      </c>
      <c r="F105">
        <v>0</v>
      </c>
      <c r="G105" s="9">
        <v>6.7366954156553055E-2</v>
      </c>
      <c r="H105" s="9">
        <v>0.11792052470532448</v>
      </c>
      <c r="I105" s="9">
        <v>0.17688078705798671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V105" t="s">
        <v>456</v>
      </c>
      <c r="W105" t="s">
        <v>1183</v>
      </c>
      <c r="X105" t="s">
        <v>1184</v>
      </c>
      <c r="Y105" t="s">
        <v>941</v>
      </c>
      <c r="Z105" t="s">
        <v>942</v>
      </c>
      <c r="AB105" t="s">
        <v>1180</v>
      </c>
      <c r="AC105" t="s">
        <v>484</v>
      </c>
      <c r="AD105" t="s">
        <v>943</v>
      </c>
      <c r="AF105" t="s">
        <v>986</v>
      </c>
      <c r="AG105" t="s">
        <v>987</v>
      </c>
      <c r="AH105" t="s">
        <v>988</v>
      </c>
      <c r="AI105" t="s">
        <v>947</v>
      </c>
      <c r="AJ105" t="s">
        <v>989</v>
      </c>
      <c r="AK105">
        <v>12</v>
      </c>
      <c r="AL105" s="10">
        <v>0</v>
      </c>
      <c r="AM105" s="10">
        <v>0</v>
      </c>
      <c r="AN105" s="10">
        <v>0</v>
      </c>
      <c r="AO105" s="9">
        <v>0.63225275810431414</v>
      </c>
      <c r="AP105" s="9">
        <v>25.290299999999998</v>
      </c>
      <c r="AQ105" s="9">
        <v>25.851138340737243</v>
      </c>
      <c r="AR105" s="9">
        <v>41.515815815815813</v>
      </c>
      <c r="AS105" s="9">
        <v>67.366954156553049</v>
      </c>
      <c r="AT105" s="9">
        <v>39.458062242862006</v>
      </c>
      <c r="AU105" s="9">
        <v>78.462462462462469</v>
      </c>
      <c r="AV105" s="9">
        <v>117.92052470532448</v>
      </c>
      <c r="AW105" s="11">
        <v>0</v>
      </c>
      <c r="AX105" s="11">
        <v>0</v>
      </c>
      <c r="AY105" t="s">
        <v>949</v>
      </c>
      <c r="AZ105" t="s">
        <v>950</v>
      </c>
      <c r="BA105" t="s">
        <v>951</v>
      </c>
      <c r="BB105" t="s">
        <v>970</v>
      </c>
      <c r="BC105" t="b">
        <v>1</v>
      </c>
    </row>
    <row r="106" spans="1:55">
      <c r="A106" t="s">
        <v>1185</v>
      </c>
      <c r="B106" t="s">
        <v>939</v>
      </c>
      <c r="C106">
        <v>0</v>
      </c>
      <c r="D106">
        <v>0</v>
      </c>
      <c r="E106">
        <v>0</v>
      </c>
      <c r="F106">
        <v>0</v>
      </c>
      <c r="G106" s="9">
        <v>0.14375525337793035</v>
      </c>
      <c r="H106" s="9">
        <v>0.20687735472910251</v>
      </c>
      <c r="I106" s="9">
        <v>0.31031603209365377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V106" t="s">
        <v>456</v>
      </c>
      <c r="W106" t="s">
        <v>1185</v>
      </c>
      <c r="X106" t="s">
        <v>1186</v>
      </c>
      <c r="Y106" t="s">
        <v>941</v>
      </c>
      <c r="Z106" t="s">
        <v>942</v>
      </c>
      <c r="AB106" t="s">
        <v>1180</v>
      </c>
      <c r="AC106" t="s">
        <v>484</v>
      </c>
      <c r="AD106" t="s">
        <v>943</v>
      </c>
      <c r="AF106" t="s">
        <v>986</v>
      </c>
      <c r="AG106" t="s">
        <v>1187</v>
      </c>
      <c r="AH106" t="s">
        <v>1136</v>
      </c>
      <c r="AI106" t="s">
        <v>960</v>
      </c>
      <c r="AJ106" t="s">
        <v>1054</v>
      </c>
      <c r="AK106">
        <v>2</v>
      </c>
      <c r="AL106" s="10">
        <v>0</v>
      </c>
      <c r="AM106" s="10">
        <v>0</v>
      </c>
      <c r="AN106" s="10">
        <v>0</v>
      </c>
      <c r="AO106" s="9">
        <v>1.1324915063137E-2</v>
      </c>
      <c r="AP106" s="9">
        <v>0.45300000000000001</v>
      </c>
      <c r="AQ106" s="9">
        <v>122.05525337793036</v>
      </c>
      <c r="AR106" s="9">
        <v>21.700000000000003</v>
      </c>
      <c r="AS106" s="9">
        <v>143.75525337793036</v>
      </c>
      <c r="AT106" s="9">
        <v>170.87735472910248</v>
      </c>
      <c r="AU106" s="9">
        <v>36</v>
      </c>
      <c r="AV106" s="9">
        <v>206.87735472910251</v>
      </c>
      <c r="AW106" s="11">
        <v>0</v>
      </c>
      <c r="AX106" s="11">
        <v>0</v>
      </c>
      <c r="AY106" t="s">
        <v>949</v>
      </c>
      <c r="AZ106" t="s">
        <v>950</v>
      </c>
      <c r="BA106" t="s">
        <v>951</v>
      </c>
      <c r="BB106" t="s">
        <v>970</v>
      </c>
      <c r="BC106" t="b">
        <v>1</v>
      </c>
    </row>
    <row r="107" spans="1:55">
      <c r="A107" t="s">
        <v>1188</v>
      </c>
      <c r="B107" t="s">
        <v>939</v>
      </c>
      <c r="C107">
        <v>0</v>
      </c>
      <c r="D107">
        <v>0</v>
      </c>
      <c r="E107">
        <v>0</v>
      </c>
      <c r="F107">
        <v>0</v>
      </c>
      <c r="G107" s="9">
        <v>6.8527045321992427E-2</v>
      </c>
      <c r="H107" s="9">
        <v>0.13326624965834905</v>
      </c>
      <c r="I107" s="9">
        <v>0.19989937448752357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V107" t="s">
        <v>456</v>
      </c>
      <c r="W107" t="s">
        <v>1188</v>
      </c>
      <c r="X107" t="s">
        <v>1189</v>
      </c>
      <c r="Y107" t="s">
        <v>941</v>
      </c>
      <c r="Z107" t="s">
        <v>942</v>
      </c>
      <c r="AB107" t="s">
        <v>1180</v>
      </c>
      <c r="AC107" t="s">
        <v>484</v>
      </c>
      <c r="AD107" t="s">
        <v>943</v>
      </c>
      <c r="AF107" t="s">
        <v>986</v>
      </c>
      <c r="AG107" t="s">
        <v>1190</v>
      </c>
      <c r="AH107" t="s">
        <v>1136</v>
      </c>
      <c r="AI107" t="s">
        <v>947</v>
      </c>
      <c r="AJ107" t="s">
        <v>989</v>
      </c>
      <c r="AK107">
        <v>3</v>
      </c>
      <c r="AL107" s="10">
        <v>0</v>
      </c>
      <c r="AM107" s="10">
        <v>0</v>
      </c>
      <c r="AN107" s="10">
        <v>0</v>
      </c>
      <c r="AO107" s="9">
        <v>0.16490376322177569</v>
      </c>
      <c r="AP107" s="9">
        <v>6.5961999999999996</v>
      </c>
      <c r="AQ107" s="9">
        <v>27.011229506176608</v>
      </c>
      <c r="AR107" s="9">
        <v>41.51581581581582</v>
      </c>
      <c r="AS107" s="9">
        <v>68.527045321992432</v>
      </c>
      <c r="AT107" s="9">
        <v>54.803787195886592</v>
      </c>
      <c r="AU107" s="9">
        <v>78.462462462462469</v>
      </c>
      <c r="AV107" s="9">
        <v>133.26624965834904</v>
      </c>
      <c r="AW107" s="11">
        <v>0</v>
      </c>
      <c r="AX107" s="11">
        <v>0</v>
      </c>
      <c r="AY107" t="s">
        <v>949</v>
      </c>
      <c r="AZ107" t="s">
        <v>950</v>
      </c>
      <c r="BA107" t="s">
        <v>951</v>
      </c>
      <c r="BB107" t="s">
        <v>970</v>
      </c>
      <c r="BC107" t="b">
        <v>1</v>
      </c>
    </row>
    <row r="108" spans="1:55">
      <c r="A108" t="s">
        <v>1191</v>
      </c>
      <c r="B108" t="s">
        <v>939</v>
      </c>
      <c r="C108">
        <v>133900</v>
      </c>
      <c r="D108">
        <v>72800</v>
      </c>
      <c r="E108">
        <v>133900</v>
      </c>
      <c r="F108">
        <v>271300</v>
      </c>
      <c r="G108" s="9">
        <v>1.5120224280739563E-2</v>
      </c>
      <c r="H108" s="9">
        <v>4.9351114064342484E-2</v>
      </c>
      <c r="I108" s="9">
        <v>7.402667109651373E-2</v>
      </c>
      <c r="J108" s="10">
        <v>5356</v>
      </c>
      <c r="K108" s="10">
        <v>5356</v>
      </c>
      <c r="L108" s="10">
        <v>5356</v>
      </c>
      <c r="M108" s="10">
        <v>5356</v>
      </c>
      <c r="N108" s="10">
        <v>5356</v>
      </c>
      <c r="O108" s="10">
        <v>5356</v>
      </c>
      <c r="P108" s="10">
        <v>5356</v>
      </c>
      <c r="Q108" s="10">
        <v>5356</v>
      </c>
      <c r="R108" s="10">
        <v>5356</v>
      </c>
      <c r="S108" s="10">
        <v>5356</v>
      </c>
      <c r="T108" s="10">
        <v>5356</v>
      </c>
      <c r="V108" t="s">
        <v>456</v>
      </c>
      <c r="W108" t="s">
        <v>1191</v>
      </c>
      <c r="X108" t="s">
        <v>1192</v>
      </c>
      <c r="Y108" t="s">
        <v>941</v>
      </c>
      <c r="Z108" t="s">
        <v>942</v>
      </c>
      <c r="AB108" t="s">
        <v>1180</v>
      </c>
      <c r="AC108" t="s">
        <v>484</v>
      </c>
      <c r="AD108" t="s">
        <v>943</v>
      </c>
      <c r="AF108" t="s">
        <v>944</v>
      </c>
      <c r="AG108" t="s">
        <v>945</v>
      </c>
      <c r="AH108" t="s">
        <v>946</v>
      </c>
      <c r="AI108" t="s">
        <v>947</v>
      </c>
      <c r="AJ108" t="s">
        <v>948</v>
      </c>
      <c r="AK108">
        <v>2</v>
      </c>
      <c r="AL108" s="10">
        <v>72.8</v>
      </c>
      <c r="AM108" s="10">
        <v>133.9</v>
      </c>
      <c r="AN108" s="10">
        <v>271.3</v>
      </c>
      <c r="AO108" s="9">
        <v>0.12864403516973619</v>
      </c>
      <c r="AP108" s="9">
        <v>5.1458000000000004</v>
      </c>
      <c r="AQ108" s="9">
        <v>0.29314720366248809</v>
      </c>
      <c r="AR108" s="9">
        <v>14.827077077077076</v>
      </c>
      <c r="AS108" s="9">
        <v>15.120224280739563</v>
      </c>
      <c r="AT108" s="9">
        <v>0.27363658686499409</v>
      </c>
      <c r="AU108" s="9">
        <v>49.077477477477487</v>
      </c>
      <c r="AV108" s="9">
        <v>49.351114064342482</v>
      </c>
      <c r="AW108" s="11">
        <v>5.3559999999999999</v>
      </c>
      <c r="AX108" s="11">
        <v>5.3559999999999999</v>
      </c>
      <c r="AY108" t="s">
        <v>949</v>
      </c>
      <c r="AZ108" t="s">
        <v>950</v>
      </c>
      <c r="BA108" t="s">
        <v>951</v>
      </c>
      <c r="BB108" t="s">
        <v>952</v>
      </c>
      <c r="BC108" t="b">
        <v>1</v>
      </c>
    </row>
    <row r="109" spans="1:55">
      <c r="A109" t="s">
        <v>1193</v>
      </c>
      <c r="B109" t="s">
        <v>939</v>
      </c>
      <c r="C109">
        <v>15400</v>
      </c>
      <c r="D109">
        <v>8400</v>
      </c>
      <c r="E109">
        <v>15400</v>
      </c>
      <c r="F109">
        <v>31200</v>
      </c>
      <c r="G109" s="9">
        <v>1.5288911164411967E-2</v>
      </c>
      <c r="H109" s="9"/>
      <c r="I109" s="9"/>
      <c r="J109" s="10">
        <v>616</v>
      </c>
      <c r="K109" s="10">
        <v>616</v>
      </c>
      <c r="L109" s="10">
        <v>616</v>
      </c>
      <c r="M109" s="10">
        <v>616</v>
      </c>
      <c r="N109" s="10">
        <v>616</v>
      </c>
      <c r="O109" s="10">
        <v>616</v>
      </c>
      <c r="P109" s="10">
        <v>616</v>
      </c>
      <c r="Q109" s="10">
        <v>616</v>
      </c>
      <c r="R109" s="10">
        <v>616</v>
      </c>
      <c r="S109" s="10">
        <v>616</v>
      </c>
      <c r="T109" s="10">
        <v>616</v>
      </c>
      <c r="V109" t="s">
        <v>456</v>
      </c>
      <c r="W109" t="s">
        <v>1193</v>
      </c>
      <c r="X109" t="s">
        <v>1194</v>
      </c>
      <c r="Y109" t="s">
        <v>941</v>
      </c>
      <c r="Z109" t="s">
        <v>942</v>
      </c>
      <c r="AB109" t="s">
        <v>1180</v>
      </c>
      <c r="AC109" t="s">
        <v>484</v>
      </c>
      <c r="AD109" t="s">
        <v>943</v>
      </c>
      <c r="AF109" t="s">
        <v>944</v>
      </c>
      <c r="AG109" t="s">
        <v>955</v>
      </c>
      <c r="AH109" t="s">
        <v>956</v>
      </c>
      <c r="AI109" t="s">
        <v>947</v>
      </c>
      <c r="AJ109" t="s">
        <v>948</v>
      </c>
      <c r="AK109">
        <v>1</v>
      </c>
      <c r="AL109" s="10">
        <v>8.4</v>
      </c>
      <c r="AM109" s="10">
        <v>15.4</v>
      </c>
      <c r="AN109" s="10">
        <v>31.2</v>
      </c>
      <c r="AO109" s="9">
        <v>1.4774889188330999E-2</v>
      </c>
      <c r="AP109" s="9">
        <v>0.59099999999999997</v>
      </c>
      <c r="AQ109" s="9">
        <v>0.4618340873348934</v>
      </c>
      <c r="AR109" s="9">
        <v>14.827077077077076</v>
      </c>
      <c r="AS109" s="9">
        <v>15.288911164411967</v>
      </c>
      <c r="AT109" s="9"/>
      <c r="AU109" s="9"/>
      <c r="AV109" s="9"/>
      <c r="AW109" s="11">
        <v>0.61599999999999999</v>
      </c>
      <c r="AX109" s="11">
        <v>0.61599999999999999</v>
      </c>
      <c r="AY109" t="s">
        <v>949</v>
      </c>
      <c r="AZ109" t="s">
        <v>950</v>
      </c>
      <c r="BA109" t="s">
        <v>951</v>
      </c>
      <c r="BB109" t="s">
        <v>952</v>
      </c>
      <c r="BC109" t="b">
        <v>0</v>
      </c>
    </row>
    <row r="110" spans="1:55">
      <c r="A110" t="s">
        <v>1195</v>
      </c>
      <c r="B110" t="s">
        <v>939</v>
      </c>
      <c r="C110">
        <v>1756400</v>
      </c>
      <c r="D110">
        <v>1348100</v>
      </c>
      <c r="E110">
        <v>1756400</v>
      </c>
      <c r="F110">
        <v>2957200</v>
      </c>
      <c r="G110" s="9">
        <v>5.6740097180419816E-3</v>
      </c>
      <c r="H110" s="9">
        <v>1.6703127485735735E-2</v>
      </c>
      <c r="I110" s="9">
        <v>2.5054691228603602E-2</v>
      </c>
      <c r="J110" s="10">
        <v>17564</v>
      </c>
      <c r="K110" s="10">
        <v>17564</v>
      </c>
      <c r="L110" s="10">
        <v>17564</v>
      </c>
      <c r="M110" s="10">
        <v>17564</v>
      </c>
      <c r="N110" s="10">
        <v>17564</v>
      </c>
      <c r="O110" s="10">
        <v>17564</v>
      </c>
      <c r="P110" s="10">
        <v>17564</v>
      </c>
      <c r="Q110" s="10">
        <v>17564</v>
      </c>
      <c r="R110" s="10">
        <v>17564</v>
      </c>
      <c r="S110" s="10">
        <v>17564</v>
      </c>
      <c r="T110" s="10">
        <v>17564</v>
      </c>
      <c r="V110" t="s">
        <v>456</v>
      </c>
      <c r="W110" t="s">
        <v>1195</v>
      </c>
      <c r="X110" t="s">
        <v>1196</v>
      </c>
      <c r="Y110" t="s">
        <v>941</v>
      </c>
      <c r="Z110" t="s">
        <v>942</v>
      </c>
      <c r="AB110" t="s">
        <v>486</v>
      </c>
      <c r="AC110" t="s">
        <v>485</v>
      </c>
      <c r="AD110" t="s">
        <v>968</v>
      </c>
      <c r="AF110" t="s">
        <v>944</v>
      </c>
      <c r="AG110" t="s">
        <v>976</v>
      </c>
      <c r="AH110" t="s">
        <v>956</v>
      </c>
      <c r="AI110" t="s">
        <v>977</v>
      </c>
      <c r="AJ110" t="s">
        <v>948</v>
      </c>
      <c r="AK110">
        <v>25</v>
      </c>
      <c r="AL110" s="10">
        <v>1348.1</v>
      </c>
      <c r="AM110" s="10">
        <v>1756.4</v>
      </c>
      <c r="AN110" s="10">
        <v>2957.2</v>
      </c>
      <c r="AO110" s="9">
        <v>0.1246281901913803</v>
      </c>
      <c r="AP110" s="9">
        <v>34.99</v>
      </c>
      <c r="AQ110" s="9">
        <v>1.9540097180419809</v>
      </c>
      <c r="AR110" s="9">
        <v>3.72</v>
      </c>
      <c r="AS110" s="9">
        <v>5.6740097180419813</v>
      </c>
      <c r="AT110" s="9">
        <v>8.0231274857357331</v>
      </c>
      <c r="AU110" s="9">
        <v>8.68</v>
      </c>
      <c r="AV110" s="9">
        <v>16.703127485735735</v>
      </c>
      <c r="AW110" s="11">
        <v>17.564</v>
      </c>
      <c r="AX110" s="11">
        <v>17.564</v>
      </c>
      <c r="AY110" t="s">
        <v>969</v>
      </c>
      <c r="AZ110" t="s">
        <v>950</v>
      </c>
      <c r="BA110" t="s">
        <v>951</v>
      </c>
      <c r="BB110" t="s">
        <v>970</v>
      </c>
      <c r="BC110" t="b">
        <v>1</v>
      </c>
    </row>
    <row r="111" spans="1:55">
      <c r="A111" t="s">
        <v>1197</v>
      </c>
      <c r="B111" t="s">
        <v>939</v>
      </c>
      <c r="C111">
        <v>243600</v>
      </c>
      <c r="D111">
        <v>187000</v>
      </c>
      <c r="E111">
        <v>243600</v>
      </c>
      <c r="F111">
        <v>410200</v>
      </c>
      <c r="G111" s="9">
        <v>9.3210196468755616E-3</v>
      </c>
      <c r="H111" s="9">
        <v>1.6521427505625783E-2</v>
      </c>
      <c r="I111" s="9">
        <v>2.4782141258438674E-2</v>
      </c>
      <c r="J111" s="10">
        <v>2436</v>
      </c>
      <c r="K111" s="10">
        <v>2436</v>
      </c>
      <c r="L111" s="10">
        <v>2436</v>
      </c>
      <c r="M111" s="10">
        <v>2436</v>
      </c>
      <c r="N111" s="10">
        <v>2436</v>
      </c>
      <c r="O111" s="10">
        <v>2436</v>
      </c>
      <c r="P111" s="10">
        <v>2436</v>
      </c>
      <c r="Q111" s="10">
        <v>2436</v>
      </c>
      <c r="R111" s="10">
        <v>2436</v>
      </c>
      <c r="S111" s="10">
        <v>2436</v>
      </c>
      <c r="T111" s="10">
        <v>2436</v>
      </c>
      <c r="V111" t="s">
        <v>456</v>
      </c>
      <c r="W111" t="s">
        <v>1197</v>
      </c>
      <c r="X111" t="s">
        <v>1198</v>
      </c>
      <c r="Y111" t="s">
        <v>941</v>
      </c>
      <c r="Z111" t="s">
        <v>942</v>
      </c>
      <c r="AB111" t="s">
        <v>486</v>
      </c>
      <c r="AC111" t="s">
        <v>485</v>
      </c>
      <c r="AD111" t="s">
        <v>968</v>
      </c>
      <c r="AF111" t="s">
        <v>944</v>
      </c>
      <c r="AG111" t="s">
        <v>996</v>
      </c>
      <c r="AH111" t="s">
        <v>988</v>
      </c>
      <c r="AI111" t="s">
        <v>977</v>
      </c>
      <c r="AJ111" t="s">
        <v>948</v>
      </c>
      <c r="AK111">
        <v>2</v>
      </c>
      <c r="AL111" s="10">
        <v>187</v>
      </c>
      <c r="AM111" s="10">
        <v>243.6</v>
      </c>
      <c r="AN111" s="10">
        <v>410.2</v>
      </c>
      <c r="AO111" s="9">
        <v>1.7288376952012598E-2</v>
      </c>
      <c r="AP111" s="9">
        <v>4.8537999999999997</v>
      </c>
      <c r="AQ111" s="9">
        <v>5.6010196468755593</v>
      </c>
      <c r="AR111" s="9">
        <v>3.7200000000000006</v>
      </c>
      <c r="AS111" s="9">
        <v>9.3210196468755608</v>
      </c>
      <c r="AT111" s="9">
        <v>7.8414275056257816</v>
      </c>
      <c r="AU111" s="9">
        <v>8.6800000000000015</v>
      </c>
      <c r="AV111" s="9">
        <v>16.521427505625784</v>
      </c>
      <c r="AW111" s="11">
        <v>2.4359999999999999</v>
      </c>
      <c r="AX111" s="11">
        <v>2.4359999999999999</v>
      </c>
      <c r="AY111" t="s">
        <v>969</v>
      </c>
      <c r="AZ111" t="s">
        <v>950</v>
      </c>
      <c r="BA111" t="s">
        <v>951</v>
      </c>
      <c r="BB111" t="s">
        <v>970</v>
      </c>
      <c r="BC111" t="b">
        <v>1</v>
      </c>
    </row>
    <row r="112" spans="1:55">
      <c r="A112" t="s">
        <v>1199</v>
      </c>
      <c r="B112" t="s">
        <v>939</v>
      </c>
      <c r="C112">
        <v>254800</v>
      </c>
      <c r="D112">
        <v>138500</v>
      </c>
      <c r="E112">
        <v>254800</v>
      </c>
      <c r="F112">
        <v>516400</v>
      </c>
      <c r="G112" s="9">
        <v>2.2452253484739809E-2</v>
      </c>
      <c r="H112" s="9">
        <v>3.7053154878635731E-2</v>
      </c>
      <c r="I112" s="9">
        <v>5.5579732317953601E-2</v>
      </c>
      <c r="J112" s="10">
        <v>10192</v>
      </c>
      <c r="K112" s="10">
        <v>9967.2162328192844</v>
      </c>
      <c r="L112" s="10">
        <v>9742.4324656385688</v>
      </c>
      <c r="M112" s="10">
        <v>9517.6486984578532</v>
      </c>
      <c r="N112" s="10">
        <v>9292.8649312771395</v>
      </c>
      <c r="O112" s="10">
        <v>9068.0811640964221</v>
      </c>
      <c r="P112" s="10">
        <v>8618.5136297349909</v>
      </c>
      <c r="Q112" s="10">
        <v>8168.9460953735597</v>
      </c>
      <c r="R112" s="10">
        <v>7719.3785610121295</v>
      </c>
      <c r="S112" s="10">
        <v>7269.8110266506983</v>
      </c>
      <c r="T112" s="10">
        <v>6820.2434922892671</v>
      </c>
      <c r="V112" t="s">
        <v>456</v>
      </c>
      <c r="W112" t="s">
        <v>1199</v>
      </c>
      <c r="X112" t="s">
        <v>1200</v>
      </c>
      <c r="Y112" t="s">
        <v>941</v>
      </c>
      <c r="Z112" t="s">
        <v>942</v>
      </c>
      <c r="AB112" t="s">
        <v>486</v>
      </c>
      <c r="AC112" t="s">
        <v>485</v>
      </c>
      <c r="AD112" t="s">
        <v>943</v>
      </c>
      <c r="AF112" t="s">
        <v>986</v>
      </c>
      <c r="AG112" t="s">
        <v>959</v>
      </c>
      <c r="AH112" t="s">
        <v>946</v>
      </c>
      <c r="AI112" t="s">
        <v>960</v>
      </c>
      <c r="AJ112" t="s">
        <v>1054</v>
      </c>
      <c r="AK112">
        <v>7</v>
      </c>
      <c r="AL112" s="10">
        <v>138.5</v>
      </c>
      <c r="AM112" s="10">
        <v>254.8</v>
      </c>
      <c r="AN112" s="10">
        <v>516.4</v>
      </c>
      <c r="AO112" s="9">
        <v>3.4592069743345701E-2</v>
      </c>
      <c r="AP112" s="9">
        <v>9.7118999999999982</v>
      </c>
      <c r="AQ112" s="9">
        <v>0.75225348473980114</v>
      </c>
      <c r="AR112" s="9">
        <v>21.700000000000003</v>
      </c>
      <c r="AS112" s="9">
        <v>22.45225348473981</v>
      </c>
      <c r="AT112" s="9">
        <v>1.0531548786357217</v>
      </c>
      <c r="AU112" s="9">
        <v>36.000000000000007</v>
      </c>
      <c r="AV112" s="9">
        <v>37.053154878635731</v>
      </c>
      <c r="AW112" s="11">
        <v>10.192</v>
      </c>
      <c r="AX112" s="11">
        <v>6.8202434922892667</v>
      </c>
      <c r="AY112" t="s">
        <v>949</v>
      </c>
      <c r="AZ112" t="s">
        <v>950</v>
      </c>
      <c r="BA112" t="s">
        <v>951</v>
      </c>
      <c r="BB112" t="s">
        <v>952</v>
      </c>
      <c r="BC112" t="b">
        <v>1</v>
      </c>
    </row>
    <row r="113" spans="1:55">
      <c r="A113" t="s">
        <v>1201</v>
      </c>
      <c r="B113" t="s">
        <v>939</v>
      </c>
      <c r="C113">
        <v>748300</v>
      </c>
      <c r="D113">
        <v>406900</v>
      </c>
      <c r="E113">
        <v>748300</v>
      </c>
      <c r="F113">
        <v>1516900</v>
      </c>
      <c r="G113" s="9">
        <v>2.4034041284674141E-2</v>
      </c>
      <c r="H113" s="9">
        <v>3.9267657798543812E-2</v>
      </c>
      <c r="I113" s="9">
        <v>5.8901486697815718E-2</v>
      </c>
      <c r="J113" s="10">
        <v>29932</v>
      </c>
      <c r="K113" s="10">
        <v>29271.852068362128</v>
      </c>
      <c r="L113" s="10">
        <v>28611.704136724256</v>
      </c>
      <c r="M113" s="10">
        <v>27951.556205086388</v>
      </c>
      <c r="N113" s="10">
        <v>27291.408273448516</v>
      </c>
      <c r="O113" s="10">
        <v>26631.260341810645</v>
      </c>
      <c r="P113" s="10">
        <v>25310.964478534905</v>
      </c>
      <c r="Q113" s="10">
        <v>23990.668615259165</v>
      </c>
      <c r="R113" s="10">
        <v>22670.372751983421</v>
      </c>
      <c r="S113" s="10">
        <v>21350.076888707685</v>
      </c>
      <c r="T113" s="10">
        <v>20029.781025431941</v>
      </c>
      <c r="V113" t="s">
        <v>456</v>
      </c>
      <c r="W113" t="s">
        <v>1201</v>
      </c>
      <c r="X113" t="s">
        <v>1202</v>
      </c>
      <c r="Y113" t="s">
        <v>941</v>
      </c>
      <c r="Z113" t="s">
        <v>942</v>
      </c>
      <c r="AB113" t="s">
        <v>486</v>
      </c>
      <c r="AC113" t="s">
        <v>485</v>
      </c>
      <c r="AD113" t="s">
        <v>943</v>
      </c>
      <c r="AF113" t="s">
        <v>986</v>
      </c>
      <c r="AG113" t="s">
        <v>965</v>
      </c>
      <c r="AH113" t="s">
        <v>956</v>
      </c>
      <c r="AI113" t="s">
        <v>960</v>
      </c>
      <c r="AJ113" t="s">
        <v>1054</v>
      </c>
      <c r="AK113">
        <v>3</v>
      </c>
      <c r="AL113" s="10">
        <v>406.9</v>
      </c>
      <c r="AM113" s="10">
        <v>748.3</v>
      </c>
      <c r="AN113" s="10">
        <v>1516.9</v>
      </c>
      <c r="AO113" s="9">
        <v>0.1016042095050099</v>
      </c>
      <c r="AP113" s="9">
        <v>28.5259</v>
      </c>
      <c r="AQ113" s="9">
        <v>2.3340412846741505</v>
      </c>
      <c r="AR113" s="9">
        <v>21.7</v>
      </c>
      <c r="AS113" s="9">
        <v>24.034041284674142</v>
      </c>
      <c r="AT113" s="9">
        <v>3.2676577985438104</v>
      </c>
      <c r="AU113" s="9">
        <v>36.000000000000007</v>
      </c>
      <c r="AV113" s="9">
        <v>39.267657798543809</v>
      </c>
      <c r="AW113" s="11">
        <v>29.931999999999999</v>
      </c>
      <c r="AX113" s="11">
        <v>20.029781025431941</v>
      </c>
      <c r="AY113" t="s">
        <v>949</v>
      </c>
      <c r="AZ113" t="s">
        <v>950</v>
      </c>
      <c r="BA113" t="s">
        <v>951</v>
      </c>
      <c r="BB113" t="s">
        <v>952</v>
      </c>
      <c r="BC113" t="b">
        <v>1</v>
      </c>
    </row>
    <row r="114" spans="1:55">
      <c r="A114" t="s">
        <v>1203</v>
      </c>
      <c r="B114" t="s">
        <v>939</v>
      </c>
      <c r="C114">
        <v>19859000</v>
      </c>
      <c r="D114">
        <v>10798900</v>
      </c>
      <c r="E114">
        <v>19859000</v>
      </c>
      <c r="F114">
        <v>40253100</v>
      </c>
      <c r="G114" s="9">
        <v>2.9051414361591338E-2</v>
      </c>
      <c r="H114" s="9">
        <v>9.609983436612822E-2</v>
      </c>
      <c r="I114" s="9">
        <v>0.14414975154919232</v>
      </c>
      <c r="J114" s="10">
        <v>794360</v>
      </c>
      <c r="K114" s="10">
        <v>776840.4519919866</v>
      </c>
      <c r="L114" s="10">
        <v>759320.90398397308</v>
      </c>
      <c r="M114" s="10">
        <v>741801.35597595957</v>
      </c>
      <c r="N114" s="10">
        <v>724281.80796794617</v>
      </c>
      <c r="O114" s="10">
        <v>706762.25995993277</v>
      </c>
      <c r="P114" s="10">
        <v>671723.16394390573</v>
      </c>
      <c r="Q114" s="10">
        <v>636684.06792787893</v>
      </c>
      <c r="R114" s="10">
        <v>601644.9719118519</v>
      </c>
      <c r="S114" s="10">
        <v>566605.87589582498</v>
      </c>
      <c r="T114" s="10">
        <v>531566.77987979806</v>
      </c>
      <c r="V114" t="s">
        <v>456</v>
      </c>
      <c r="W114" t="s">
        <v>1203</v>
      </c>
      <c r="X114" t="s">
        <v>1204</v>
      </c>
      <c r="Y114" t="s">
        <v>941</v>
      </c>
      <c r="Z114" t="s">
        <v>942</v>
      </c>
      <c r="AB114" t="s">
        <v>486</v>
      </c>
      <c r="AC114" t="s">
        <v>485</v>
      </c>
      <c r="AD114" t="s">
        <v>943</v>
      </c>
      <c r="AF114" t="s">
        <v>944</v>
      </c>
      <c r="AG114" t="s">
        <v>945</v>
      </c>
      <c r="AH114" t="s">
        <v>946</v>
      </c>
      <c r="AI114" t="s">
        <v>947</v>
      </c>
      <c r="AJ114" t="s">
        <v>948</v>
      </c>
      <c r="AK114">
        <v>95</v>
      </c>
      <c r="AL114" s="10">
        <v>10798.9</v>
      </c>
      <c r="AM114" s="10">
        <v>19859</v>
      </c>
      <c r="AN114" s="10">
        <v>40253.1</v>
      </c>
      <c r="AO114" s="9">
        <v>0.71247574843698325</v>
      </c>
      <c r="AP114" s="9">
        <v>200.03120000000004</v>
      </c>
      <c r="AQ114" s="9">
        <v>6.2139118262991302E-2</v>
      </c>
      <c r="AR114" s="9">
        <v>28.989275243328347</v>
      </c>
      <c r="AS114" s="9">
        <v>29.051414361591338</v>
      </c>
      <c r="AT114" s="9">
        <v>0.33844349014614578</v>
      </c>
      <c r="AU114" s="9">
        <v>95.761390875982073</v>
      </c>
      <c r="AV114" s="9">
        <v>96.099834366128221</v>
      </c>
      <c r="AW114" s="11">
        <v>794.36</v>
      </c>
      <c r="AX114" s="11">
        <v>531.5667798797981</v>
      </c>
      <c r="AY114" t="s">
        <v>949</v>
      </c>
      <c r="AZ114" t="s">
        <v>950</v>
      </c>
      <c r="BA114" t="s">
        <v>951</v>
      </c>
      <c r="BB114" t="s">
        <v>952</v>
      </c>
      <c r="BC114" t="b">
        <v>1</v>
      </c>
    </row>
    <row r="115" spans="1:55">
      <c r="A115" t="s">
        <v>1205</v>
      </c>
      <c r="B115" t="s">
        <v>939</v>
      </c>
      <c r="C115">
        <v>262300</v>
      </c>
      <c r="D115">
        <v>142600</v>
      </c>
      <c r="E115">
        <v>262300</v>
      </c>
      <c r="F115">
        <v>531700</v>
      </c>
      <c r="G115" s="9">
        <v>3.0821005726033052E-2</v>
      </c>
      <c r="H115" s="9">
        <v>0.1017592463449825</v>
      </c>
      <c r="I115" s="9">
        <v>0.15263886951747374</v>
      </c>
      <c r="J115" s="10">
        <v>10492</v>
      </c>
      <c r="K115" s="10">
        <v>10260.599756155802</v>
      </c>
      <c r="L115" s="10">
        <v>10029.199512311605</v>
      </c>
      <c r="M115" s="10">
        <v>9797.7992684674064</v>
      </c>
      <c r="N115" s="10">
        <v>9566.3990246232097</v>
      </c>
      <c r="O115" s="10">
        <v>9334.9987807790094</v>
      </c>
      <c r="P115" s="10">
        <v>8872.1982930906142</v>
      </c>
      <c r="Q115" s="10">
        <v>8409.3978054022173</v>
      </c>
      <c r="R115" s="10">
        <v>7946.5973177138212</v>
      </c>
      <c r="S115" s="10">
        <v>7483.7968300254242</v>
      </c>
      <c r="T115" s="10">
        <v>7020.9963423370282</v>
      </c>
      <c r="V115" t="s">
        <v>456</v>
      </c>
      <c r="W115" t="s">
        <v>1205</v>
      </c>
      <c r="X115" t="s">
        <v>1206</v>
      </c>
      <c r="Y115" t="s">
        <v>941</v>
      </c>
      <c r="Z115" t="s">
        <v>942</v>
      </c>
      <c r="AB115" t="s">
        <v>486</v>
      </c>
      <c r="AC115" t="s">
        <v>485</v>
      </c>
      <c r="AD115" t="s">
        <v>943</v>
      </c>
      <c r="AF115" t="s">
        <v>944</v>
      </c>
      <c r="AG115" t="s">
        <v>955</v>
      </c>
      <c r="AH115" t="s">
        <v>956</v>
      </c>
      <c r="AI115" t="s">
        <v>947</v>
      </c>
      <c r="AJ115" t="s">
        <v>948</v>
      </c>
      <c r="AK115">
        <v>4</v>
      </c>
      <c r="AL115" s="10">
        <v>142.6</v>
      </c>
      <c r="AM115" s="10">
        <v>262.3</v>
      </c>
      <c r="AN115" s="10">
        <v>531.70000000000005</v>
      </c>
      <c r="AO115" s="9">
        <v>9.4114051712683999E-3</v>
      </c>
      <c r="AP115" s="9">
        <v>2.6423000000000001</v>
      </c>
      <c r="AQ115" s="9">
        <v>1.8317304827046987</v>
      </c>
      <c r="AR115" s="9">
        <v>28.989275243328361</v>
      </c>
      <c r="AS115" s="9">
        <v>30.82100572603305</v>
      </c>
      <c r="AT115" s="9">
        <v>5.9978554690004078</v>
      </c>
      <c r="AU115" s="9">
        <v>95.761390875982102</v>
      </c>
      <c r="AV115" s="9">
        <v>101.7592463449825</v>
      </c>
      <c r="AW115" s="11">
        <v>10.492000000000001</v>
      </c>
      <c r="AX115" s="11">
        <v>7.0209963423370283</v>
      </c>
      <c r="AY115" t="s">
        <v>949</v>
      </c>
      <c r="AZ115" t="s">
        <v>950</v>
      </c>
      <c r="BA115" t="s">
        <v>951</v>
      </c>
      <c r="BB115" t="s">
        <v>952</v>
      </c>
      <c r="BC115" t="b">
        <v>1</v>
      </c>
    </row>
    <row r="116" spans="1:55">
      <c r="A116" t="s">
        <v>1207</v>
      </c>
      <c r="B116" t="s">
        <v>939</v>
      </c>
      <c r="C116">
        <v>2907500</v>
      </c>
      <c r="D116">
        <v>1581100</v>
      </c>
      <c r="E116">
        <v>2907500</v>
      </c>
      <c r="F116">
        <v>5893400</v>
      </c>
      <c r="G116" s="9">
        <v>7.9901606409321733E-3</v>
      </c>
      <c r="H116" s="9">
        <v>2.4057298683552726E-2</v>
      </c>
      <c r="I116" s="9">
        <v>3.6085948025329093E-2</v>
      </c>
      <c r="J116" s="10">
        <v>116300</v>
      </c>
      <c r="K116" s="10">
        <v>116300</v>
      </c>
      <c r="L116" s="10">
        <v>116300</v>
      </c>
      <c r="M116" s="10">
        <v>116300</v>
      </c>
      <c r="N116" s="10">
        <v>116300</v>
      </c>
      <c r="O116" s="10">
        <v>116300</v>
      </c>
      <c r="P116" s="10">
        <v>116300</v>
      </c>
      <c r="Q116" s="10">
        <v>116300</v>
      </c>
      <c r="R116" s="10">
        <v>116300</v>
      </c>
      <c r="S116" s="10">
        <v>116300</v>
      </c>
      <c r="T116" s="10">
        <v>116300</v>
      </c>
      <c r="V116" t="s">
        <v>456</v>
      </c>
      <c r="W116" t="s">
        <v>1207</v>
      </c>
      <c r="X116" t="s">
        <v>1208</v>
      </c>
      <c r="Y116" t="s">
        <v>941</v>
      </c>
      <c r="Z116" t="s">
        <v>942</v>
      </c>
      <c r="AB116" t="s">
        <v>488</v>
      </c>
      <c r="AC116" t="s">
        <v>487</v>
      </c>
      <c r="AD116" t="s">
        <v>943</v>
      </c>
      <c r="AF116" t="s">
        <v>944</v>
      </c>
      <c r="AG116" t="s">
        <v>959</v>
      </c>
      <c r="AH116" t="s">
        <v>946</v>
      </c>
      <c r="AI116" t="s">
        <v>960</v>
      </c>
      <c r="AJ116" t="s">
        <v>948</v>
      </c>
      <c r="AK116">
        <v>6</v>
      </c>
      <c r="AL116" s="10">
        <v>1581.1</v>
      </c>
      <c r="AM116" s="10">
        <v>2907.5</v>
      </c>
      <c r="AN116" s="10">
        <v>5893.4</v>
      </c>
      <c r="AO116" s="9">
        <v>1</v>
      </c>
      <c r="AP116" s="9">
        <v>9.0533999999999981</v>
      </c>
      <c r="AQ116" s="9">
        <v>0.24016064093217129</v>
      </c>
      <c r="AR116" s="9">
        <v>7.7500000000000009</v>
      </c>
      <c r="AS116" s="9">
        <v>7.9901606409321726</v>
      </c>
      <c r="AT116" s="9">
        <v>0.45729868355272429</v>
      </c>
      <c r="AU116" s="9">
        <v>23.6</v>
      </c>
      <c r="AV116" s="9">
        <v>24.057298683552727</v>
      </c>
      <c r="AW116" s="11">
        <v>116.3</v>
      </c>
      <c r="AX116" s="11">
        <v>116.3</v>
      </c>
      <c r="AY116" t="s">
        <v>949</v>
      </c>
      <c r="AZ116" t="s">
        <v>950</v>
      </c>
      <c r="BA116" t="s">
        <v>951</v>
      </c>
      <c r="BB116" t="s">
        <v>952</v>
      </c>
      <c r="BC116" t="b">
        <v>1</v>
      </c>
    </row>
    <row r="117" spans="1:55">
      <c r="A117" t="s">
        <v>1209</v>
      </c>
      <c r="B117" t="s">
        <v>939</v>
      </c>
      <c r="C117">
        <v>841700</v>
      </c>
      <c r="D117">
        <v>457700</v>
      </c>
      <c r="E117">
        <v>841700</v>
      </c>
      <c r="F117">
        <v>1706000</v>
      </c>
      <c r="G117" s="9">
        <v>1.4958288247526944E-2</v>
      </c>
      <c r="H117" s="9">
        <v>4.991942065815199E-2</v>
      </c>
      <c r="I117" s="9">
        <v>7.4879130987227982E-2</v>
      </c>
      <c r="J117" s="10">
        <v>33668</v>
      </c>
      <c r="K117" s="10">
        <v>33668</v>
      </c>
      <c r="L117" s="10">
        <v>33668</v>
      </c>
      <c r="M117" s="10">
        <v>33668</v>
      </c>
      <c r="N117" s="10">
        <v>33668</v>
      </c>
      <c r="O117" s="10">
        <v>33668</v>
      </c>
      <c r="P117" s="10">
        <v>33668</v>
      </c>
      <c r="Q117" s="10">
        <v>33668</v>
      </c>
      <c r="R117" s="10">
        <v>33668</v>
      </c>
      <c r="S117" s="10">
        <v>33668</v>
      </c>
      <c r="T117" s="10">
        <v>33668</v>
      </c>
      <c r="V117" t="s">
        <v>456</v>
      </c>
      <c r="W117" t="s">
        <v>1209</v>
      </c>
      <c r="X117" t="s">
        <v>1210</v>
      </c>
      <c r="Y117" t="s">
        <v>941</v>
      </c>
      <c r="Z117" t="s">
        <v>942</v>
      </c>
      <c r="AB117" t="s">
        <v>489</v>
      </c>
      <c r="AC117" t="s">
        <v>489</v>
      </c>
      <c r="AD117" t="s">
        <v>943</v>
      </c>
      <c r="AF117" t="s">
        <v>944</v>
      </c>
      <c r="AG117" t="s">
        <v>945</v>
      </c>
      <c r="AH117" t="s">
        <v>946</v>
      </c>
      <c r="AI117" t="s">
        <v>947</v>
      </c>
      <c r="AJ117" t="s">
        <v>948</v>
      </c>
      <c r="AK117">
        <v>11</v>
      </c>
      <c r="AL117" s="10">
        <v>457.7</v>
      </c>
      <c r="AM117" s="10">
        <v>841.7</v>
      </c>
      <c r="AN117" s="10">
        <v>1706</v>
      </c>
      <c r="AO117" s="9">
        <v>0.86221468759981335</v>
      </c>
      <c r="AP117" s="9">
        <v>7.0186000000000011</v>
      </c>
      <c r="AQ117" s="9">
        <v>0.13737865941049229</v>
      </c>
      <c r="AR117" s="9">
        <v>14.82090958811645</v>
      </c>
      <c r="AS117" s="9">
        <v>14.958288247526944</v>
      </c>
      <c r="AT117" s="9">
        <v>0.86414614093275566</v>
      </c>
      <c r="AU117" s="9">
        <v>49.055274517219239</v>
      </c>
      <c r="AV117" s="9">
        <v>49.919420658151992</v>
      </c>
      <c r="AW117" s="11">
        <v>33.667999999999999</v>
      </c>
      <c r="AX117" s="11">
        <v>33.667999999999999</v>
      </c>
      <c r="AY117" t="s">
        <v>949</v>
      </c>
      <c r="AZ117" t="s">
        <v>950</v>
      </c>
      <c r="BA117" t="s">
        <v>951</v>
      </c>
      <c r="BB117" t="s">
        <v>952</v>
      </c>
      <c r="BC117" t="b">
        <v>1</v>
      </c>
    </row>
    <row r="118" spans="1:55">
      <c r="A118" t="s">
        <v>1211</v>
      </c>
      <c r="B118" t="s">
        <v>939</v>
      </c>
      <c r="C118">
        <v>0</v>
      </c>
      <c r="D118">
        <v>0</v>
      </c>
      <c r="E118">
        <v>0</v>
      </c>
      <c r="F118">
        <v>0</v>
      </c>
      <c r="G118" s="9">
        <v>1.2588778254809115E-2</v>
      </c>
      <c r="H118" s="9">
        <v>3.1409540297778607E-2</v>
      </c>
      <c r="I118" s="9">
        <v>4.7114310446667911E-2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V118" t="s">
        <v>456</v>
      </c>
      <c r="W118" t="s">
        <v>1211</v>
      </c>
      <c r="X118" t="s">
        <v>1212</v>
      </c>
      <c r="Y118" t="s">
        <v>941</v>
      </c>
      <c r="Z118" t="s">
        <v>942</v>
      </c>
      <c r="AB118" t="s">
        <v>489</v>
      </c>
      <c r="AC118" t="s">
        <v>489</v>
      </c>
      <c r="AD118" t="s">
        <v>943</v>
      </c>
      <c r="AF118" t="s">
        <v>944</v>
      </c>
      <c r="AG118" t="s">
        <v>1042</v>
      </c>
      <c r="AH118" t="s">
        <v>988</v>
      </c>
      <c r="AI118" t="s">
        <v>960</v>
      </c>
      <c r="AJ118" t="s">
        <v>948</v>
      </c>
      <c r="AK118">
        <v>1</v>
      </c>
      <c r="AL118" s="10">
        <v>0</v>
      </c>
      <c r="AM118" s="10">
        <v>0</v>
      </c>
      <c r="AN118" s="10">
        <v>0</v>
      </c>
      <c r="AO118" s="9">
        <v>0.13778531240018671</v>
      </c>
      <c r="AP118" s="9">
        <v>1.1215999999999999</v>
      </c>
      <c r="AQ118" s="9">
        <v>4.8387782548091156</v>
      </c>
      <c r="AR118" s="9">
        <v>7.75</v>
      </c>
      <c r="AS118" s="9">
        <v>12.588778254809116</v>
      </c>
      <c r="AT118" s="9">
        <v>7.8095402977786019</v>
      </c>
      <c r="AU118" s="9">
        <v>23.6</v>
      </c>
      <c r="AV118" s="9">
        <v>31.409540297778605</v>
      </c>
      <c r="AW118" s="11">
        <v>0</v>
      </c>
      <c r="AX118" s="11">
        <v>0</v>
      </c>
      <c r="AY118" t="s">
        <v>949</v>
      </c>
      <c r="AZ118" t="s">
        <v>950</v>
      </c>
      <c r="BA118" t="s">
        <v>951</v>
      </c>
      <c r="BB118" t="s">
        <v>970</v>
      </c>
      <c r="BC118" t="b">
        <v>1</v>
      </c>
    </row>
    <row r="119" spans="1:55">
      <c r="A119" t="s">
        <v>1213</v>
      </c>
      <c r="B119" t="s">
        <v>939</v>
      </c>
      <c r="C119">
        <v>6226500</v>
      </c>
      <c r="D119">
        <v>3385800</v>
      </c>
      <c r="E119">
        <v>6226500</v>
      </c>
      <c r="F119">
        <v>12620700</v>
      </c>
      <c r="G119" s="9">
        <v>8.1418796697446619E-3</v>
      </c>
      <c r="H119" s="9">
        <v>2.4319777434683418E-2</v>
      </c>
      <c r="I119" s="9">
        <v>3.6479666152025129E-2</v>
      </c>
      <c r="J119" s="10">
        <v>131240.65657255953</v>
      </c>
      <c r="K119" s="10">
        <v>126999.97641640686</v>
      </c>
      <c r="L119" s="10">
        <v>122759.29626025421</v>
      </c>
      <c r="M119" s="10">
        <v>118518.61610410156</v>
      </c>
      <c r="N119" s="10">
        <v>114277.93594794891</v>
      </c>
      <c r="O119" s="10">
        <v>110037.25579179625</v>
      </c>
      <c r="P119" s="10">
        <v>101555.89547949094</v>
      </c>
      <c r="Q119" s="10">
        <v>93074.535167185648</v>
      </c>
      <c r="R119" s="10">
        <v>84593.174854880344</v>
      </c>
      <c r="S119" s="10">
        <v>76111.814542575012</v>
      </c>
      <c r="T119" s="10">
        <v>67630.454230269723</v>
      </c>
      <c r="V119" t="s">
        <v>456</v>
      </c>
      <c r="W119" t="s">
        <v>1213</v>
      </c>
      <c r="X119" t="s">
        <v>1214</v>
      </c>
      <c r="Y119" t="s">
        <v>941</v>
      </c>
      <c r="Z119" t="s">
        <v>942</v>
      </c>
      <c r="AB119" t="s">
        <v>491</v>
      </c>
      <c r="AC119" t="s">
        <v>490</v>
      </c>
      <c r="AD119" t="s">
        <v>943</v>
      </c>
      <c r="AF119" t="s">
        <v>944</v>
      </c>
      <c r="AG119" t="s">
        <v>959</v>
      </c>
      <c r="AH119" t="s">
        <v>946</v>
      </c>
      <c r="AI119" t="s">
        <v>960</v>
      </c>
      <c r="AJ119" t="s">
        <v>948</v>
      </c>
      <c r="AK119">
        <v>10</v>
      </c>
      <c r="AL119" s="10">
        <v>3385.8</v>
      </c>
      <c r="AM119" s="10">
        <v>6226.5</v>
      </c>
      <c r="AN119" s="10">
        <v>12620.7</v>
      </c>
      <c r="AO119" s="9">
        <v>0.13754909717214289</v>
      </c>
      <c r="AP119" s="9">
        <v>7.8583999999999996</v>
      </c>
      <c r="AQ119" s="9">
        <v>0.39187966974466087</v>
      </c>
      <c r="AR119" s="9">
        <v>7.7499999999999991</v>
      </c>
      <c r="AS119" s="9">
        <v>8.1418796697446627</v>
      </c>
      <c r="AT119" s="9">
        <v>0.71977743468342326</v>
      </c>
      <c r="AU119" s="9">
        <v>23.6</v>
      </c>
      <c r="AV119" s="9">
        <v>24.31977743468342</v>
      </c>
      <c r="AW119" s="11">
        <v>131.24065657255952</v>
      </c>
      <c r="AX119" s="11">
        <v>67.63045423026972</v>
      </c>
      <c r="AY119" t="s">
        <v>949</v>
      </c>
      <c r="AZ119" t="s">
        <v>950</v>
      </c>
      <c r="BA119" t="s">
        <v>951</v>
      </c>
      <c r="BB119" t="s">
        <v>970</v>
      </c>
      <c r="BC119" t="b">
        <v>1</v>
      </c>
    </row>
    <row r="120" spans="1:55">
      <c r="A120" t="s">
        <v>1215</v>
      </c>
      <c r="B120" t="s">
        <v>939</v>
      </c>
      <c r="C120">
        <v>99087600</v>
      </c>
      <c r="D120">
        <v>53881700</v>
      </c>
      <c r="E120">
        <v>99087600</v>
      </c>
      <c r="F120">
        <v>200844500</v>
      </c>
      <c r="G120" s="9">
        <v>1.3201183115414284E-2</v>
      </c>
      <c r="H120" s="9">
        <v>4.2703085887053044E-2</v>
      </c>
      <c r="I120" s="9">
        <v>6.4054628830579566E-2</v>
      </c>
      <c r="J120" s="10">
        <v>2088544.3960811286</v>
      </c>
      <c r="K120" s="10">
        <v>2021058.83934126</v>
      </c>
      <c r="L120" s="10">
        <v>1953573.2826013914</v>
      </c>
      <c r="M120" s="10">
        <v>1886087.7258615228</v>
      </c>
      <c r="N120" s="10">
        <v>1818602.1691216542</v>
      </c>
      <c r="O120" s="10">
        <v>1751116.6123817856</v>
      </c>
      <c r="P120" s="10">
        <v>1616145.4989020484</v>
      </c>
      <c r="Q120" s="10">
        <v>1481174.3854223115</v>
      </c>
      <c r="R120" s="10">
        <v>1346203.2719425745</v>
      </c>
      <c r="S120" s="10">
        <v>1211232.1584628371</v>
      </c>
      <c r="T120" s="10">
        <v>1076261.0449831001</v>
      </c>
      <c r="V120" t="s">
        <v>456</v>
      </c>
      <c r="W120" t="s">
        <v>1215</v>
      </c>
      <c r="X120" t="s">
        <v>1216</v>
      </c>
      <c r="Y120" t="s">
        <v>941</v>
      </c>
      <c r="Z120" t="s">
        <v>942</v>
      </c>
      <c r="AB120" t="s">
        <v>491</v>
      </c>
      <c r="AC120" t="s">
        <v>490</v>
      </c>
      <c r="AD120" t="s">
        <v>943</v>
      </c>
      <c r="AF120" t="s">
        <v>944</v>
      </c>
      <c r="AG120" t="s">
        <v>945</v>
      </c>
      <c r="AH120" t="s">
        <v>946</v>
      </c>
      <c r="AI120" t="s">
        <v>947</v>
      </c>
      <c r="AJ120" t="s">
        <v>948</v>
      </c>
      <c r="AK120">
        <v>1</v>
      </c>
      <c r="AL120" s="10">
        <v>53881.7</v>
      </c>
      <c r="AM120" s="10">
        <v>99087.6</v>
      </c>
      <c r="AN120" s="10">
        <v>200844.5</v>
      </c>
      <c r="AO120" s="9">
        <v>1.0689355803093201E-2</v>
      </c>
      <c r="AP120" s="9">
        <v>0.61070000000000002</v>
      </c>
      <c r="AQ120" s="9">
        <v>0.46827263942915331</v>
      </c>
      <c r="AR120" s="9">
        <v>12.732910475985127</v>
      </c>
      <c r="AS120" s="9">
        <v>13.201183115414285</v>
      </c>
      <c r="AT120" s="9">
        <v>1.1646081735065701</v>
      </c>
      <c r="AU120" s="9">
        <v>41.53847771354647</v>
      </c>
      <c r="AV120" s="9">
        <v>42.703085887053042</v>
      </c>
      <c r="AW120" s="11">
        <v>2088.5443960811285</v>
      </c>
      <c r="AX120" s="11">
        <v>1076.2610449831002</v>
      </c>
      <c r="AY120" t="s">
        <v>949</v>
      </c>
      <c r="AZ120" t="s">
        <v>950</v>
      </c>
      <c r="BA120" t="s">
        <v>951</v>
      </c>
      <c r="BB120" t="s">
        <v>970</v>
      </c>
      <c r="BC120" t="b">
        <v>1</v>
      </c>
    </row>
    <row r="121" spans="1:55">
      <c r="A121" t="s">
        <v>1217</v>
      </c>
      <c r="B121" t="s">
        <v>939</v>
      </c>
      <c r="C121">
        <v>29515800</v>
      </c>
      <c r="D121">
        <v>16050000</v>
      </c>
      <c r="E121">
        <v>29515800</v>
      </c>
      <c r="F121">
        <v>59826700</v>
      </c>
      <c r="G121" s="9">
        <v>9.4140354094062566E-3</v>
      </c>
      <c r="H121" s="9">
        <v>2.8905110189155016E-2</v>
      </c>
      <c r="I121" s="9">
        <v>4.3357665283732527E-2</v>
      </c>
      <c r="J121" s="10">
        <v>622126.87244268064</v>
      </c>
      <c r="K121" s="10">
        <v>602024.55695999053</v>
      </c>
      <c r="L121" s="10">
        <v>581922.2414773003</v>
      </c>
      <c r="M121" s="10">
        <v>561819.92599461006</v>
      </c>
      <c r="N121" s="10">
        <v>541717.61051191995</v>
      </c>
      <c r="O121" s="10">
        <v>521615.29502922972</v>
      </c>
      <c r="P121" s="10">
        <v>481410.66406384937</v>
      </c>
      <c r="Q121" s="10">
        <v>441206.03309846896</v>
      </c>
      <c r="R121" s="10">
        <v>401001.40213308868</v>
      </c>
      <c r="S121" s="10">
        <v>360796.77116770833</v>
      </c>
      <c r="T121" s="10">
        <v>320592.14020232792</v>
      </c>
      <c r="V121" t="s">
        <v>456</v>
      </c>
      <c r="W121" t="s">
        <v>1217</v>
      </c>
      <c r="X121" t="s">
        <v>1218</v>
      </c>
      <c r="Y121" t="s">
        <v>941</v>
      </c>
      <c r="Z121" t="s">
        <v>942</v>
      </c>
      <c r="AB121" t="s">
        <v>491</v>
      </c>
      <c r="AC121" t="s">
        <v>490</v>
      </c>
      <c r="AD121" t="s">
        <v>943</v>
      </c>
      <c r="AF121" t="s">
        <v>944</v>
      </c>
      <c r="AG121" t="s">
        <v>965</v>
      </c>
      <c r="AH121" t="s">
        <v>956</v>
      </c>
      <c r="AI121" t="s">
        <v>960</v>
      </c>
      <c r="AJ121" t="s">
        <v>948</v>
      </c>
      <c r="AK121">
        <v>30</v>
      </c>
      <c r="AL121" s="10">
        <v>16050</v>
      </c>
      <c r="AM121" s="10">
        <v>29515.8</v>
      </c>
      <c r="AN121" s="10">
        <v>59826.7</v>
      </c>
      <c r="AO121" s="9">
        <v>0.65203145019568853</v>
      </c>
      <c r="AP121" s="9">
        <v>37.251600000000003</v>
      </c>
      <c r="AQ121" s="9">
        <v>1.6640354094062582</v>
      </c>
      <c r="AR121" s="9">
        <v>7.7499999999999982</v>
      </c>
      <c r="AS121" s="9">
        <v>9.4140354094062566</v>
      </c>
      <c r="AT121" s="9">
        <v>5.305110189155017</v>
      </c>
      <c r="AU121" s="9">
        <v>23.600000000000005</v>
      </c>
      <c r="AV121" s="9">
        <v>28.905110189155018</v>
      </c>
      <c r="AW121" s="11">
        <v>622.12687244268068</v>
      </c>
      <c r="AX121" s="11">
        <v>320.59214020232793</v>
      </c>
      <c r="AY121" t="s">
        <v>949</v>
      </c>
      <c r="AZ121" t="s">
        <v>950</v>
      </c>
      <c r="BA121" t="s">
        <v>951</v>
      </c>
      <c r="BB121" t="s">
        <v>970</v>
      </c>
      <c r="BC121" t="b">
        <v>1</v>
      </c>
    </row>
    <row r="122" spans="1:55">
      <c r="A122" t="s">
        <v>1219</v>
      </c>
      <c r="B122" t="s">
        <v>939</v>
      </c>
      <c r="C122">
        <v>9041300</v>
      </c>
      <c r="D122">
        <v>4916400</v>
      </c>
      <c r="E122">
        <v>9041300</v>
      </c>
      <c r="F122">
        <v>18326100</v>
      </c>
      <c r="G122" s="9">
        <v>1.1169161051118063E-2</v>
      </c>
      <c r="H122" s="9">
        <v>3.2159140699628275E-2</v>
      </c>
      <c r="I122" s="9">
        <v>4.8238711049442412E-2</v>
      </c>
      <c r="J122" s="10">
        <v>190570.32815698738</v>
      </c>
      <c r="K122" s="10">
        <v>184412.57315886277</v>
      </c>
      <c r="L122" s="10">
        <v>178254.81816073816</v>
      </c>
      <c r="M122" s="10">
        <v>172097.06316261351</v>
      </c>
      <c r="N122" s="10">
        <v>165939.3081644889</v>
      </c>
      <c r="O122" s="10">
        <v>159781.55316636426</v>
      </c>
      <c r="P122" s="10">
        <v>147466.04317011504</v>
      </c>
      <c r="Q122" s="10">
        <v>135150.53317386576</v>
      </c>
      <c r="R122" s="10">
        <v>122835.02317761653</v>
      </c>
      <c r="S122" s="10">
        <v>110519.51318136729</v>
      </c>
      <c r="T122" s="10">
        <v>98204.003185118039</v>
      </c>
      <c r="V122" t="s">
        <v>456</v>
      </c>
      <c r="W122" t="s">
        <v>1219</v>
      </c>
      <c r="X122" t="s">
        <v>1220</v>
      </c>
      <c r="Y122" t="s">
        <v>941</v>
      </c>
      <c r="Z122" t="s">
        <v>942</v>
      </c>
      <c r="AB122" t="s">
        <v>491</v>
      </c>
      <c r="AC122" t="s">
        <v>490</v>
      </c>
      <c r="AD122" t="s">
        <v>943</v>
      </c>
      <c r="AF122" t="s">
        <v>944</v>
      </c>
      <c r="AG122" t="s">
        <v>1042</v>
      </c>
      <c r="AH122" t="s">
        <v>988</v>
      </c>
      <c r="AI122" t="s">
        <v>960</v>
      </c>
      <c r="AJ122" t="s">
        <v>948</v>
      </c>
      <c r="AK122">
        <v>9</v>
      </c>
      <c r="AL122" s="10">
        <v>4916.3999999999996</v>
      </c>
      <c r="AM122" s="10">
        <v>9041.2999999999993</v>
      </c>
      <c r="AN122" s="10">
        <v>18326.099999999999</v>
      </c>
      <c r="AO122" s="9">
        <v>0.1997300968290753</v>
      </c>
      <c r="AP122" s="9">
        <v>11.4109</v>
      </c>
      <c r="AQ122" s="9">
        <v>3.4191610511180621</v>
      </c>
      <c r="AR122" s="9">
        <v>7.7499999999999991</v>
      </c>
      <c r="AS122" s="9">
        <v>11.169161051118063</v>
      </c>
      <c r="AT122" s="9">
        <v>8.5591406996282746</v>
      </c>
      <c r="AU122" s="9">
        <v>23.6</v>
      </c>
      <c r="AV122" s="9">
        <v>32.159140699628274</v>
      </c>
      <c r="AW122" s="11">
        <v>190.57032815698739</v>
      </c>
      <c r="AX122" s="11">
        <v>98.20400318511804</v>
      </c>
      <c r="AY122" t="s">
        <v>949</v>
      </c>
      <c r="AZ122" t="s">
        <v>950</v>
      </c>
      <c r="BA122" t="s">
        <v>951</v>
      </c>
      <c r="BB122" t="s">
        <v>970</v>
      </c>
      <c r="BC122" t="b">
        <v>1</v>
      </c>
    </row>
    <row r="123" spans="1:55">
      <c r="A123" t="s">
        <v>1221</v>
      </c>
      <c r="B123" t="s">
        <v>939</v>
      </c>
      <c r="C123">
        <v>14161400</v>
      </c>
      <c r="D123">
        <v>7700600</v>
      </c>
      <c r="E123">
        <v>14161400</v>
      </c>
      <c r="F123">
        <v>28704200</v>
      </c>
      <c r="G123" s="9">
        <v>1.6001206655774876E-2</v>
      </c>
      <c r="H123" s="9">
        <v>5.2407725549620275E-2</v>
      </c>
      <c r="I123" s="9">
        <v>7.8611588324430409E-2</v>
      </c>
      <c r="J123" s="10">
        <v>332165.26493694086</v>
      </c>
      <c r="K123" s="10">
        <v>323202.25693793362</v>
      </c>
      <c r="L123" s="10">
        <v>314239.24893892638</v>
      </c>
      <c r="M123" s="10">
        <v>305276.24093991914</v>
      </c>
      <c r="N123" s="10">
        <v>296313.23294091196</v>
      </c>
      <c r="O123" s="10">
        <v>287350.22494190471</v>
      </c>
      <c r="P123" s="10">
        <v>269424.20894389029</v>
      </c>
      <c r="Q123" s="10">
        <v>251498.19294587584</v>
      </c>
      <c r="R123" s="10">
        <v>233572.17694786142</v>
      </c>
      <c r="S123" s="10">
        <v>215646.16094984693</v>
      </c>
      <c r="T123" s="10">
        <v>197720.14495183251</v>
      </c>
      <c r="V123" t="s">
        <v>456</v>
      </c>
      <c r="W123" t="s">
        <v>1221</v>
      </c>
      <c r="X123" t="s">
        <v>1222</v>
      </c>
      <c r="Y123" t="s">
        <v>941</v>
      </c>
      <c r="Z123" t="s">
        <v>942</v>
      </c>
      <c r="AB123" t="s">
        <v>31</v>
      </c>
      <c r="AC123" t="s">
        <v>31</v>
      </c>
      <c r="AD123" t="s">
        <v>943</v>
      </c>
      <c r="AF123" t="s">
        <v>944</v>
      </c>
      <c r="AG123" t="s">
        <v>945</v>
      </c>
      <c r="AH123" t="s">
        <v>946</v>
      </c>
      <c r="AI123" t="s">
        <v>947</v>
      </c>
      <c r="AJ123" t="s">
        <v>948</v>
      </c>
      <c r="AK123">
        <v>3</v>
      </c>
      <c r="AL123" s="10">
        <v>7700.6</v>
      </c>
      <c r="AM123" s="10">
        <v>14161.4</v>
      </c>
      <c r="AN123" s="10">
        <v>28704.2</v>
      </c>
      <c r="AO123" s="9">
        <v>1</v>
      </c>
      <c r="AP123" s="9">
        <v>2.448</v>
      </c>
      <c r="AQ123" s="9">
        <v>1.3859828763877544</v>
      </c>
      <c r="AR123" s="9">
        <v>14.61522377938712</v>
      </c>
      <c r="AS123" s="9">
        <v>16.001206655774876</v>
      </c>
      <c r="AT123" s="9">
        <v>4.0929199438266437</v>
      </c>
      <c r="AU123" s="9">
        <v>48.31480560579363</v>
      </c>
      <c r="AV123" s="9">
        <v>52.407725549620274</v>
      </c>
      <c r="AW123" s="11">
        <v>332.16526493694084</v>
      </c>
      <c r="AX123" s="11">
        <v>197.72014495183251</v>
      </c>
      <c r="AY123" t="s">
        <v>949</v>
      </c>
      <c r="AZ123" t="s">
        <v>950</v>
      </c>
      <c r="BA123" t="s">
        <v>951</v>
      </c>
      <c r="BB123" t="s">
        <v>970</v>
      </c>
      <c r="BC123" t="b">
        <v>1</v>
      </c>
    </row>
    <row r="124" spans="1:55">
      <c r="A124" t="s">
        <v>1223</v>
      </c>
      <c r="B124" t="s">
        <v>939</v>
      </c>
      <c r="C124">
        <v>12728200</v>
      </c>
      <c r="D124">
        <v>6921300</v>
      </c>
      <c r="E124">
        <v>12728200</v>
      </c>
      <c r="F124">
        <v>25799200</v>
      </c>
      <c r="G124" s="9">
        <v>7.8395269685659318E-3</v>
      </c>
      <c r="H124" s="9">
        <v>2.4085498807410708E-2</v>
      </c>
      <c r="I124" s="9">
        <v>3.6128248211116064E-2</v>
      </c>
      <c r="J124" s="10">
        <v>509128</v>
      </c>
      <c r="K124" s="10">
        <v>509128</v>
      </c>
      <c r="L124" s="10">
        <v>509128</v>
      </c>
      <c r="M124" s="10">
        <v>509128</v>
      </c>
      <c r="N124" s="10">
        <v>509128</v>
      </c>
      <c r="O124" s="10">
        <v>509128</v>
      </c>
      <c r="P124" s="10">
        <v>509128</v>
      </c>
      <c r="Q124" s="10">
        <v>509128</v>
      </c>
      <c r="R124" s="10">
        <v>509128</v>
      </c>
      <c r="S124" s="10">
        <v>509128</v>
      </c>
      <c r="T124" s="10">
        <v>509128</v>
      </c>
      <c r="V124" t="s">
        <v>456</v>
      </c>
      <c r="W124" t="s">
        <v>1223</v>
      </c>
      <c r="X124" t="s">
        <v>1224</v>
      </c>
      <c r="Y124" t="s">
        <v>941</v>
      </c>
      <c r="Z124" t="s">
        <v>942</v>
      </c>
      <c r="AB124" t="s">
        <v>493</v>
      </c>
      <c r="AC124" t="s">
        <v>492</v>
      </c>
      <c r="AD124" t="s">
        <v>943</v>
      </c>
      <c r="AF124" t="s">
        <v>944</v>
      </c>
      <c r="AG124" t="s">
        <v>959</v>
      </c>
      <c r="AH124" t="s">
        <v>946</v>
      </c>
      <c r="AI124" t="s">
        <v>960</v>
      </c>
      <c r="AJ124" t="s">
        <v>948</v>
      </c>
      <c r="AK124">
        <v>56</v>
      </c>
      <c r="AL124" s="10">
        <v>6921.3</v>
      </c>
      <c r="AM124" s="10">
        <v>12728.2</v>
      </c>
      <c r="AN124" s="10">
        <v>25799.200000000001</v>
      </c>
      <c r="AO124" s="9">
        <v>0.81543969951824935</v>
      </c>
      <c r="AP124" s="9">
        <v>99.866900000000015</v>
      </c>
      <c r="AQ124" s="9">
        <v>8.9526968565935894E-2</v>
      </c>
      <c r="AR124" s="9">
        <v>7.7499999999999991</v>
      </c>
      <c r="AS124" s="9">
        <v>7.8395269685659326</v>
      </c>
      <c r="AT124" s="9">
        <v>0.48549880741071111</v>
      </c>
      <c r="AU124" s="9">
        <v>23.6</v>
      </c>
      <c r="AV124" s="9">
        <v>24.085498807410708</v>
      </c>
      <c r="AW124" s="11">
        <v>509.12799999999999</v>
      </c>
      <c r="AX124" s="11">
        <v>509.12799999999999</v>
      </c>
      <c r="AY124" t="s">
        <v>949</v>
      </c>
      <c r="AZ124" t="s">
        <v>950</v>
      </c>
      <c r="BA124" t="s">
        <v>951</v>
      </c>
      <c r="BB124" t="s">
        <v>952</v>
      </c>
      <c r="BC124" t="b">
        <v>1</v>
      </c>
    </row>
    <row r="125" spans="1:55">
      <c r="A125" t="s">
        <v>1225</v>
      </c>
      <c r="B125" t="s">
        <v>939</v>
      </c>
      <c r="C125">
        <v>2880800</v>
      </c>
      <c r="D125">
        <v>1566500</v>
      </c>
      <c r="E125">
        <v>2880800</v>
      </c>
      <c r="F125">
        <v>5839200</v>
      </c>
      <c r="G125" s="9">
        <v>8.2119485884916913E-3</v>
      </c>
      <c r="H125" s="9">
        <v>2.5249814780194332E-2</v>
      </c>
      <c r="I125" s="9">
        <v>3.7874722170291496E-2</v>
      </c>
      <c r="J125" s="10">
        <v>115232</v>
      </c>
      <c r="K125" s="10">
        <v>115232</v>
      </c>
      <c r="L125" s="10">
        <v>115232</v>
      </c>
      <c r="M125" s="10">
        <v>115232</v>
      </c>
      <c r="N125" s="10">
        <v>115232</v>
      </c>
      <c r="O125" s="10">
        <v>115232</v>
      </c>
      <c r="P125" s="10">
        <v>115232</v>
      </c>
      <c r="Q125" s="10">
        <v>115232</v>
      </c>
      <c r="R125" s="10">
        <v>115232</v>
      </c>
      <c r="S125" s="10">
        <v>115232</v>
      </c>
      <c r="T125" s="10">
        <v>115232</v>
      </c>
      <c r="V125" t="s">
        <v>456</v>
      </c>
      <c r="W125" t="s">
        <v>1225</v>
      </c>
      <c r="X125" t="s">
        <v>1226</v>
      </c>
      <c r="Y125" t="s">
        <v>941</v>
      </c>
      <c r="Z125" t="s">
        <v>942</v>
      </c>
      <c r="AB125" t="s">
        <v>493</v>
      </c>
      <c r="AC125" t="s">
        <v>492</v>
      </c>
      <c r="AD125" t="s">
        <v>943</v>
      </c>
      <c r="AF125" t="s">
        <v>944</v>
      </c>
      <c r="AG125" t="s">
        <v>965</v>
      </c>
      <c r="AH125" t="s">
        <v>956</v>
      </c>
      <c r="AI125" t="s">
        <v>960</v>
      </c>
      <c r="AJ125" t="s">
        <v>948</v>
      </c>
      <c r="AK125">
        <v>10</v>
      </c>
      <c r="AL125" s="10">
        <v>1566.5</v>
      </c>
      <c r="AM125" s="10">
        <v>2880.8</v>
      </c>
      <c r="AN125" s="10">
        <v>5839.2</v>
      </c>
      <c r="AO125" s="9">
        <v>0.18456030048175059</v>
      </c>
      <c r="AP125" s="9">
        <v>22.603100000000001</v>
      </c>
      <c r="AQ125" s="9">
        <v>0.46194858849169068</v>
      </c>
      <c r="AR125" s="9">
        <v>7.75</v>
      </c>
      <c r="AS125" s="9">
        <v>8.2119485884916905</v>
      </c>
      <c r="AT125" s="9">
        <v>1.6498147801943319</v>
      </c>
      <c r="AU125" s="9">
        <v>23.6</v>
      </c>
      <c r="AV125" s="9">
        <v>25.249814780194331</v>
      </c>
      <c r="AW125" s="11">
        <v>115.232</v>
      </c>
      <c r="AX125" s="11">
        <v>115.232</v>
      </c>
      <c r="AY125" t="s">
        <v>949</v>
      </c>
      <c r="AZ125" t="s">
        <v>950</v>
      </c>
      <c r="BA125" t="s">
        <v>951</v>
      </c>
      <c r="BB125" t="s">
        <v>952</v>
      </c>
      <c r="BC125" t="b">
        <v>1</v>
      </c>
    </row>
    <row r="126" spans="1:55">
      <c r="A126" t="s">
        <v>1227</v>
      </c>
      <c r="B126" t="s">
        <v>939</v>
      </c>
      <c r="C126">
        <v>438000</v>
      </c>
      <c r="D126">
        <v>336100</v>
      </c>
      <c r="E126">
        <v>438000</v>
      </c>
      <c r="F126">
        <v>737400</v>
      </c>
      <c r="G126" s="9">
        <v>4.6987128691024704E-3</v>
      </c>
      <c r="H126" s="9">
        <v>1.0284512008475572E-2</v>
      </c>
      <c r="I126" s="9">
        <v>1.5426768012713359E-2</v>
      </c>
      <c r="J126" s="10">
        <v>204.86435921421881</v>
      </c>
      <c r="K126" s="10">
        <v>204.86435921421881</v>
      </c>
      <c r="L126" s="10">
        <v>204.86435921421881</v>
      </c>
      <c r="M126" s="10">
        <v>204.86435921421881</v>
      </c>
      <c r="N126" s="10">
        <v>204.86435921421881</v>
      </c>
      <c r="O126" s="10">
        <v>204.86435921421881</v>
      </c>
      <c r="P126" s="10">
        <v>204.86435921421881</v>
      </c>
      <c r="Q126" s="10">
        <v>204.86435921421881</v>
      </c>
      <c r="R126" s="10">
        <v>204.86435921421881</v>
      </c>
      <c r="S126" s="10">
        <v>204.86435921421881</v>
      </c>
      <c r="T126" s="10">
        <v>204.86435921421881</v>
      </c>
      <c r="V126" t="s">
        <v>456</v>
      </c>
      <c r="W126" t="s">
        <v>1227</v>
      </c>
      <c r="X126" t="s">
        <v>1228</v>
      </c>
      <c r="Y126" t="s">
        <v>941</v>
      </c>
      <c r="Z126" t="s">
        <v>942</v>
      </c>
      <c r="AB126" t="s">
        <v>495</v>
      </c>
      <c r="AC126" t="s">
        <v>494</v>
      </c>
      <c r="AD126" t="s">
        <v>968</v>
      </c>
      <c r="AF126" t="s">
        <v>944</v>
      </c>
      <c r="AG126" t="s">
        <v>999</v>
      </c>
      <c r="AH126" t="s">
        <v>946</v>
      </c>
      <c r="AI126" t="s">
        <v>977</v>
      </c>
      <c r="AJ126" t="s">
        <v>948</v>
      </c>
      <c r="AK126">
        <v>1</v>
      </c>
      <c r="AL126" s="10">
        <v>336.1</v>
      </c>
      <c r="AM126" s="10">
        <v>438</v>
      </c>
      <c r="AN126" s="10">
        <v>737.4</v>
      </c>
      <c r="AO126" s="9">
        <v>2.65084262382876E-2</v>
      </c>
      <c r="AP126" s="9">
        <v>2.4649999999999999</v>
      </c>
      <c r="AQ126" s="9">
        <v>0.97871286910246957</v>
      </c>
      <c r="AR126" s="9">
        <v>3.72</v>
      </c>
      <c r="AS126" s="9">
        <v>4.6987128691024704</v>
      </c>
      <c r="AT126" s="9">
        <v>1.6045120084755715</v>
      </c>
      <c r="AU126" s="9">
        <v>8.6800000000000015</v>
      </c>
      <c r="AV126" s="9">
        <v>10.284512008475572</v>
      </c>
      <c r="AW126" s="11">
        <v>0.20486435921421881</v>
      </c>
      <c r="AX126" s="11">
        <v>0.20486435921421881</v>
      </c>
      <c r="AY126" t="s">
        <v>969</v>
      </c>
      <c r="AZ126" t="s">
        <v>950</v>
      </c>
      <c r="BA126" t="s">
        <v>951</v>
      </c>
      <c r="BB126" t="s">
        <v>970</v>
      </c>
      <c r="BC126" t="b">
        <v>1</v>
      </c>
    </row>
    <row r="127" spans="1:55">
      <c r="A127" t="s">
        <v>1229</v>
      </c>
      <c r="B127" t="s">
        <v>939</v>
      </c>
      <c r="C127">
        <v>310300</v>
      </c>
      <c r="D127">
        <v>238200</v>
      </c>
      <c r="E127">
        <v>310300</v>
      </c>
      <c r="F127">
        <v>522400</v>
      </c>
      <c r="G127" s="9">
        <v>6.1770175979810266E-3</v>
      </c>
      <c r="H127" s="9">
        <v>1.5015812869782732E-2</v>
      </c>
      <c r="I127" s="9">
        <v>2.2523719304674096E-2</v>
      </c>
      <c r="J127" s="10">
        <v>145.13564078578099</v>
      </c>
      <c r="K127" s="10">
        <v>145.13564078578099</v>
      </c>
      <c r="L127" s="10">
        <v>145.13564078578099</v>
      </c>
      <c r="M127" s="10">
        <v>145.13564078578099</v>
      </c>
      <c r="N127" s="10">
        <v>145.13564078578099</v>
      </c>
      <c r="O127" s="10">
        <v>145.13564078578099</v>
      </c>
      <c r="P127" s="10">
        <v>145.13564078578099</v>
      </c>
      <c r="Q127" s="10">
        <v>145.13564078578099</v>
      </c>
      <c r="R127" s="10">
        <v>145.13564078578099</v>
      </c>
      <c r="S127" s="10">
        <v>145.13564078578099</v>
      </c>
      <c r="T127" s="10">
        <v>145.13564078578099</v>
      </c>
      <c r="V127" t="s">
        <v>456</v>
      </c>
      <c r="W127" t="s">
        <v>1229</v>
      </c>
      <c r="X127" t="s">
        <v>1230</v>
      </c>
      <c r="Y127" t="s">
        <v>941</v>
      </c>
      <c r="Z127" t="s">
        <v>942</v>
      </c>
      <c r="AB127" t="s">
        <v>495</v>
      </c>
      <c r="AC127" t="s">
        <v>494</v>
      </c>
      <c r="AD127" t="s">
        <v>968</v>
      </c>
      <c r="AF127" t="s">
        <v>944</v>
      </c>
      <c r="AG127" t="s">
        <v>976</v>
      </c>
      <c r="AH127" t="s">
        <v>956</v>
      </c>
      <c r="AI127" t="s">
        <v>977</v>
      </c>
      <c r="AJ127" t="s">
        <v>948</v>
      </c>
      <c r="AK127">
        <v>3</v>
      </c>
      <c r="AL127" s="10">
        <v>238.2</v>
      </c>
      <c r="AM127" s="10">
        <v>310.3</v>
      </c>
      <c r="AN127" s="10">
        <v>522.4</v>
      </c>
      <c r="AO127" s="9">
        <v>1.87806554087405E-2</v>
      </c>
      <c r="AP127" s="9">
        <v>1.7464</v>
      </c>
      <c r="AQ127" s="9">
        <v>2.4570175979810265</v>
      </c>
      <c r="AR127" s="9">
        <v>3.72</v>
      </c>
      <c r="AS127" s="9">
        <v>6.1770175979810267</v>
      </c>
      <c r="AT127" s="9">
        <v>6.3358128697827318</v>
      </c>
      <c r="AU127" s="9">
        <v>8.6800000000000015</v>
      </c>
      <c r="AV127" s="9">
        <v>15.015812869782732</v>
      </c>
      <c r="AW127" s="11">
        <v>0.14513564078578101</v>
      </c>
      <c r="AX127" s="11">
        <v>0.14513564078578101</v>
      </c>
      <c r="AY127" t="s">
        <v>969</v>
      </c>
      <c r="AZ127" t="s">
        <v>950</v>
      </c>
      <c r="BA127" t="s">
        <v>951</v>
      </c>
      <c r="BB127" t="s">
        <v>970</v>
      </c>
      <c r="BC127" t="b">
        <v>1</v>
      </c>
    </row>
    <row r="128" spans="1:55">
      <c r="A128" t="s">
        <v>1231</v>
      </c>
      <c r="B128" t="s">
        <v>939</v>
      </c>
      <c r="C128">
        <v>5021900</v>
      </c>
      <c r="D128">
        <v>2730800</v>
      </c>
      <c r="E128">
        <v>5021900</v>
      </c>
      <c r="F128">
        <v>10179000</v>
      </c>
      <c r="G128" s="9">
        <v>6.8486922774310165E-3</v>
      </c>
      <c r="H128" s="9">
        <v>1.7276998396110729E-2</v>
      </c>
      <c r="I128" s="9">
        <v>2.5915497594166094E-2</v>
      </c>
      <c r="J128" s="10">
        <v>200876</v>
      </c>
      <c r="K128" s="10">
        <v>200876</v>
      </c>
      <c r="L128" s="10">
        <v>200876</v>
      </c>
      <c r="M128" s="10">
        <v>200876</v>
      </c>
      <c r="N128" s="10">
        <v>200876</v>
      </c>
      <c r="O128" s="10">
        <v>200876</v>
      </c>
      <c r="P128" s="10">
        <v>200876</v>
      </c>
      <c r="Q128" s="10">
        <v>200876</v>
      </c>
      <c r="R128" s="10">
        <v>200876</v>
      </c>
      <c r="S128" s="10">
        <v>200876</v>
      </c>
      <c r="T128" s="10">
        <v>200876</v>
      </c>
      <c r="V128" t="s">
        <v>456</v>
      </c>
      <c r="W128" t="s">
        <v>1231</v>
      </c>
      <c r="X128" t="s">
        <v>1232</v>
      </c>
      <c r="Y128" t="s">
        <v>941</v>
      </c>
      <c r="Z128" t="s">
        <v>942</v>
      </c>
      <c r="AB128" t="s">
        <v>495</v>
      </c>
      <c r="AC128" t="s">
        <v>494</v>
      </c>
      <c r="AD128" t="s">
        <v>943</v>
      </c>
      <c r="AF128" t="s">
        <v>944</v>
      </c>
      <c r="AG128" t="s">
        <v>999</v>
      </c>
      <c r="AH128" t="s">
        <v>946</v>
      </c>
      <c r="AI128" t="s">
        <v>977</v>
      </c>
      <c r="AJ128" t="s">
        <v>948</v>
      </c>
      <c r="AK128">
        <v>29</v>
      </c>
      <c r="AL128" s="10">
        <v>2730.8</v>
      </c>
      <c r="AM128" s="10">
        <v>5021.8999999999996</v>
      </c>
      <c r="AN128" s="10">
        <v>10179</v>
      </c>
      <c r="AO128" s="9">
        <v>0.30395755210545727</v>
      </c>
      <c r="AP128" s="9">
        <v>28.264800000000001</v>
      </c>
      <c r="AQ128" s="9">
        <v>0.64869227743101676</v>
      </c>
      <c r="AR128" s="9">
        <v>6.2000000000000011</v>
      </c>
      <c r="AS128" s="9">
        <v>6.8486922774310166</v>
      </c>
      <c r="AT128" s="9">
        <v>2.3969983961107317</v>
      </c>
      <c r="AU128" s="9">
        <v>14.880000000000004</v>
      </c>
      <c r="AV128" s="9">
        <v>17.276998396110731</v>
      </c>
      <c r="AW128" s="11">
        <v>200.876</v>
      </c>
      <c r="AX128" s="11">
        <v>200.876</v>
      </c>
      <c r="AY128" t="s">
        <v>949</v>
      </c>
      <c r="AZ128" t="s">
        <v>950</v>
      </c>
      <c r="BA128" t="s">
        <v>951</v>
      </c>
      <c r="BB128" t="s">
        <v>952</v>
      </c>
      <c r="BC128" t="b">
        <v>1</v>
      </c>
    </row>
    <row r="129" spans="1:55">
      <c r="A129" t="s">
        <v>1233</v>
      </c>
      <c r="B129" t="s">
        <v>939</v>
      </c>
      <c r="C129">
        <v>1005800</v>
      </c>
      <c r="D129">
        <v>546900</v>
      </c>
      <c r="E129">
        <v>1005800</v>
      </c>
      <c r="F129">
        <v>2038700</v>
      </c>
      <c r="G129" s="9">
        <v>7.926796615794679E-3</v>
      </c>
      <c r="H129" s="9">
        <v>2.4313926612426092E-2</v>
      </c>
      <c r="I129" s="9">
        <v>3.6470889918639136E-2</v>
      </c>
      <c r="J129" s="10">
        <v>40232</v>
      </c>
      <c r="K129" s="10">
        <v>40232</v>
      </c>
      <c r="L129" s="10">
        <v>40232</v>
      </c>
      <c r="M129" s="10">
        <v>40232</v>
      </c>
      <c r="N129" s="10">
        <v>40232</v>
      </c>
      <c r="O129" s="10">
        <v>40232</v>
      </c>
      <c r="P129" s="10">
        <v>40232</v>
      </c>
      <c r="Q129" s="10">
        <v>40232</v>
      </c>
      <c r="R129" s="10">
        <v>40232</v>
      </c>
      <c r="S129" s="10">
        <v>40232</v>
      </c>
      <c r="T129" s="10">
        <v>40232</v>
      </c>
      <c r="V129" t="s">
        <v>456</v>
      </c>
      <c r="W129" t="s">
        <v>1233</v>
      </c>
      <c r="X129" t="s">
        <v>1234</v>
      </c>
      <c r="Y129" t="s">
        <v>941</v>
      </c>
      <c r="Z129" t="s">
        <v>942</v>
      </c>
      <c r="AB129" t="s">
        <v>495</v>
      </c>
      <c r="AC129" t="s">
        <v>494</v>
      </c>
      <c r="AD129" t="s">
        <v>943</v>
      </c>
      <c r="AF129" t="s">
        <v>944</v>
      </c>
      <c r="AG129" t="s">
        <v>959</v>
      </c>
      <c r="AH129" t="s">
        <v>946</v>
      </c>
      <c r="AI129" t="s">
        <v>960</v>
      </c>
      <c r="AJ129" t="s">
        <v>948</v>
      </c>
      <c r="AK129">
        <v>27</v>
      </c>
      <c r="AL129" s="10">
        <v>546.9</v>
      </c>
      <c r="AM129" s="10">
        <v>1005.8</v>
      </c>
      <c r="AN129" s="10">
        <v>2038.7</v>
      </c>
      <c r="AO129" s="9">
        <v>0.36399241633177148</v>
      </c>
      <c r="AP129" s="9">
        <v>33.8474</v>
      </c>
      <c r="AQ129" s="9">
        <v>0.17679661579468001</v>
      </c>
      <c r="AR129" s="9">
        <v>7.7499999999999991</v>
      </c>
      <c r="AS129" s="9">
        <v>7.9267966157946788</v>
      </c>
      <c r="AT129" s="9">
        <v>0.71392661242609068</v>
      </c>
      <c r="AU129" s="9">
        <v>23.6</v>
      </c>
      <c r="AV129" s="9">
        <v>24.313926612426091</v>
      </c>
      <c r="AW129" s="11">
        <v>40.231999999999999</v>
      </c>
      <c r="AX129" s="11">
        <v>40.231999999999999</v>
      </c>
      <c r="AY129" t="s">
        <v>949</v>
      </c>
      <c r="AZ129" t="s">
        <v>950</v>
      </c>
      <c r="BA129" t="s">
        <v>951</v>
      </c>
      <c r="BB129" t="s">
        <v>952</v>
      </c>
      <c r="BC129" t="b">
        <v>1</v>
      </c>
    </row>
    <row r="130" spans="1:55">
      <c r="A130" t="s">
        <v>1235</v>
      </c>
      <c r="B130" t="s">
        <v>939</v>
      </c>
      <c r="C130">
        <v>3303000</v>
      </c>
      <c r="D130">
        <v>1796100</v>
      </c>
      <c r="E130">
        <v>3303000</v>
      </c>
      <c r="F130">
        <v>6694900</v>
      </c>
      <c r="G130" s="9">
        <v>8.5806967640405674E-3</v>
      </c>
      <c r="H130" s="9">
        <v>2.1337373432804611E-2</v>
      </c>
      <c r="I130" s="9">
        <v>3.2006060149206914E-2</v>
      </c>
      <c r="J130" s="10">
        <v>132120</v>
      </c>
      <c r="K130" s="10">
        <v>132120</v>
      </c>
      <c r="L130" s="10">
        <v>132120</v>
      </c>
      <c r="M130" s="10">
        <v>132120</v>
      </c>
      <c r="N130" s="10">
        <v>132120</v>
      </c>
      <c r="O130" s="10">
        <v>132120</v>
      </c>
      <c r="P130" s="10">
        <v>132120</v>
      </c>
      <c r="Q130" s="10">
        <v>132120</v>
      </c>
      <c r="R130" s="10">
        <v>132120</v>
      </c>
      <c r="S130" s="10">
        <v>132120</v>
      </c>
      <c r="T130" s="10">
        <v>132120</v>
      </c>
      <c r="V130" t="s">
        <v>456</v>
      </c>
      <c r="W130" t="s">
        <v>1235</v>
      </c>
      <c r="X130" t="s">
        <v>1236</v>
      </c>
      <c r="Y130" t="s">
        <v>941</v>
      </c>
      <c r="Z130" t="s">
        <v>942</v>
      </c>
      <c r="AB130" t="s">
        <v>495</v>
      </c>
      <c r="AC130" t="s">
        <v>494</v>
      </c>
      <c r="AD130" t="s">
        <v>943</v>
      </c>
      <c r="AF130" t="s">
        <v>944</v>
      </c>
      <c r="AG130" t="s">
        <v>976</v>
      </c>
      <c r="AH130" t="s">
        <v>956</v>
      </c>
      <c r="AI130" t="s">
        <v>977</v>
      </c>
      <c r="AJ130" t="s">
        <v>948</v>
      </c>
      <c r="AK130">
        <v>20</v>
      </c>
      <c r="AL130" s="10">
        <v>1796.1</v>
      </c>
      <c r="AM130" s="10">
        <v>3303</v>
      </c>
      <c r="AN130" s="10">
        <v>6694.9</v>
      </c>
      <c r="AO130" s="9">
        <v>0.19991870032358561</v>
      </c>
      <c r="AP130" s="9">
        <v>18.590299999999999</v>
      </c>
      <c r="AQ130" s="9">
        <v>2.3806967640405681</v>
      </c>
      <c r="AR130" s="9">
        <v>6.2</v>
      </c>
      <c r="AS130" s="9">
        <v>8.5806967640405674</v>
      </c>
      <c r="AT130" s="9">
        <v>6.4573734328046122</v>
      </c>
      <c r="AU130" s="9">
        <v>14.880000000000004</v>
      </c>
      <c r="AV130" s="9">
        <v>21.337373432804611</v>
      </c>
      <c r="AW130" s="11">
        <v>132.12</v>
      </c>
      <c r="AX130" s="11">
        <v>132.12</v>
      </c>
      <c r="AY130" t="s">
        <v>949</v>
      </c>
      <c r="AZ130" t="s">
        <v>950</v>
      </c>
      <c r="BA130" t="s">
        <v>951</v>
      </c>
      <c r="BB130" t="s">
        <v>952</v>
      </c>
      <c r="BC130" t="b">
        <v>1</v>
      </c>
    </row>
    <row r="131" spans="1:55">
      <c r="A131" t="s">
        <v>1237</v>
      </c>
      <c r="B131" t="s">
        <v>939</v>
      </c>
      <c r="C131">
        <v>240000</v>
      </c>
      <c r="D131">
        <v>130500</v>
      </c>
      <c r="E131">
        <v>240000</v>
      </c>
      <c r="F131">
        <v>486400</v>
      </c>
      <c r="G131" s="9">
        <v>9.0402724214135571E-3</v>
      </c>
      <c r="H131" s="9">
        <v>2.6124620434425559E-2</v>
      </c>
      <c r="I131" s="9">
        <v>3.9186930651638335E-2</v>
      </c>
      <c r="J131" s="10">
        <v>9600</v>
      </c>
      <c r="K131" s="10">
        <v>9600</v>
      </c>
      <c r="L131" s="10">
        <v>9600</v>
      </c>
      <c r="M131" s="10">
        <v>9600</v>
      </c>
      <c r="N131" s="10">
        <v>9600</v>
      </c>
      <c r="O131" s="10">
        <v>9600</v>
      </c>
      <c r="P131" s="10">
        <v>9600</v>
      </c>
      <c r="Q131" s="10">
        <v>9600</v>
      </c>
      <c r="R131" s="10">
        <v>9600</v>
      </c>
      <c r="S131" s="10">
        <v>9600</v>
      </c>
      <c r="T131" s="10">
        <v>9600</v>
      </c>
      <c r="V131" t="s">
        <v>456</v>
      </c>
      <c r="W131" t="s">
        <v>1237</v>
      </c>
      <c r="X131" t="s">
        <v>1238</v>
      </c>
      <c r="Y131" t="s">
        <v>941</v>
      </c>
      <c r="Z131" t="s">
        <v>942</v>
      </c>
      <c r="AB131" t="s">
        <v>495</v>
      </c>
      <c r="AC131" t="s">
        <v>494</v>
      </c>
      <c r="AD131" t="s">
        <v>943</v>
      </c>
      <c r="AF131" t="s">
        <v>944</v>
      </c>
      <c r="AG131" t="s">
        <v>965</v>
      </c>
      <c r="AH131" t="s">
        <v>956</v>
      </c>
      <c r="AI131" t="s">
        <v>960</v>
      </c>
      <c r="AJ131" t="s">
        <v>948</v>
      </c>
      <c r="AK131">
        <v>2</v>
      </c>
      <c r="AL131" s="10">
        <v>130.5</v>
      </c>
      <c r="AM131" s="10">
        <v>240</v>
      </c>
      <c r="AN131" s="10">
        <v>486.4</v>
      </c>
      <c r="AO131" s="9">
        <v>8.6842249592157306E-2</v>
      </c>
      <c r="AP131" s="9">
        <v>8.0754000000000001</v>
      </c>
      <c r="AQ131" s="9">
        <v>1.2902724214135579</v>
      </c>
      <c r="AR131" s="9">
        <v>7.75</v>
      </c>
      <c r="AS131" s="9">
        <v>9.0402724214135564</v>
      </c>
      <c r="AT131" s="9">
        <v>2.5246204344255565</v>
      </c>
      <c r="AU131" s="9">
        <v>23.6</v>
      </c>
      <c r="AV131" s="9">
        <v>26.124620434425559</v>
      </c>
      <c r="AW131" s="11">
        <v>9.6</v>
      </c>
      <c r="AX131" s="11">
        <v>9.6</v>
      </c>
      <c r="AY131" t="s">
        <v>949</v>
      </c>
      <c r="AZ131" t="s">
        <v>950</v>
      </c>
      <c r="BA131" t="s">
        <v>951</v>
      </c>
      <c r="BB131" t="s">
        <v>952</v>
      </c>
      <c r="BC131" t="b">
        <v>1</v>
      </c>
    </row>
    <row r="132" spans="1:55">
      <c r="A132" t="s">
        <v>1239</v>
      </c>
      <c r="B132" t="s">
        <v>939</v>
      </c>
      <c r="C132">
        <v>13187300</v>
      </c>
      <c r="D132">
        <v>7171000</v>
      </c>
      <c r="E132">
        <v>13187300</v>
      </c>
      <c r="F132">
        <v>26729900</v>
      </c>
      <c r="G132" s="9">
        <v>1.3769762797636934E-2</v>
      </c>
      <c r="H132" s="9"/>
      <c r="I132" s="9"/>
      <c r="J132" s="10">
        <v>314620.21999081655</v>
      </c>
      <c r="K132" s="10">
        <v>306862.84876176389</v>
      </c>
      <c r="L132" s="10">
        <v>299105.47753271123</v>
      </c>
      <c r="M132" s="10">
        <v>291348.10630365851</v>
      </c>
      <c r="N132" s="10">
        <v>283590.73507460591</v>
      </c>
      <c r="O132" s="10">
        <v>275833.36384555319</v>
      </c>
      <c r="P132" s="10">
        <v>260318.62138744787</v>
      </c>
      <c r="Q132" s="10">
        <v>244803.87892934255</v>
      </c>
      <c r="R132" s="10">
        <v>229289.13647123717</v>
      </c>
      <c r="S132" s="10">
        <v>213774.39401313182</v>
      </c>
      <c r="T132" s="10">
        <v>198259.6515550265</v>
      </c>
      <c r="V132" t="s">
        <v>456</v>
      </c>
      <c r="W132" t="s">
        <v>1239</v>
      </c>
      <c r="X132" t="s">
        <v>1240</v>
      </c>
      <c r="Y132" t="s">
        <v>941</v>
      </c>
      <c r="Z132" t="s">
        <v>942</v>
      </c>
      <c r="AB132" t="s">
        <v>32</v>
      </c>
      <c r="AC132" t="s">
        <v>32</v>
      </c>
      <c r="AD132" t="s">
        <v>943</v>
      </c>
      <c r="AF132" t="s">
        <v>944</v>
      </c>
      <c r="AG132" t="s">
        <v>945</v>
      </c>
      <c r="AH132" t="s">
        <v>946</v>
      </c>
      <c r="AI132" t="s">
        <v>947</v>
      </c>
      <c r="AJ132" t="s">
        <v>948</v>
      </c>
      <c r="AK132">
        <v>1</v>
      </c>
      <c r="AL132" s="10">
        <v>7171</v>
      </c>
      <c r="AM132" s="10">
        <v>13187.3</v>
      </c>
      <c r="AN132" s="10">
        <v>26729.9</v>
      </c>
      <c r="AO132" s="9">
        <v>8.6682427107958995E-2</v>
      </c>
      <c r="AP132" s="9">
        <v>0.93500000000000005</v>
      </c>
      <c r="AQ132" s="9">
        <v>0.77867905860958098</v>
      </c>
      <c r="AR132" s="9">
        <v>12.991083739027353</v>
      </c>
      <c r="AS132" s="9">
        <v>13.769762797636934</v>
      </c>
      <c r="AT132" s="9"/>
      <c r="AU132" s="9"/>
      <c r="AV132" s="9"/>
      <c r="AW132" s="11">
        <v>314.62021999081657</v>
      </c>
      <c r="AX132" s="11">
        <v>198.25965155502649</v>
      </c>
      <c r="AY132" t="s">
        <v>949</v>
      </c>
      <c r="AZ132" t="s">
        <v>950</v>
      </c>
      <c r="BA132" t="s">
        <v>951</v>
      </c>
      <c r="BB132" t="s">
        <v>970</v>
      </c>
      <c r="BC132" t="b">
        <v>0</v>
      </c>
    </row>
    <row r="133" spans="1:55">
      <c r="A133" t="s">
        <v>1241</v>
      </c>
      <c r="B133" t="s">
        <v>939</v>
      </c>
      <c r="C133">
        <v>10190200</v>
      </c>
      <c r="D133">
        <v>5541200</v>
      </c>
      <c r="E133">
        <v>10190200</v>
      </c>
      <c r="F133">
        <v>20654900</v>
      </c>
      <c r="G133" s="9">
        <v>1.6270303949364445E-2</v>
      </c>
      <c r="H133" s="9"/>
      <c r="I133" s="9"/>
      <c r="J133" s="10">
        <v>243115.94987225733</v>
      </c>
      <c r="K133" s="10">
        <v>237121.60953736753</v>
      </c>
      <c r="L133" s="10">
        <v>231127.26920247771</v>
      </c>
      <c r="M133" s="10">
        <v>225132.92886758788</v>
      </c>
      <c r="N133" s="10">
        <v>219138.58853269808</v>
      </c>
      <c r="O133" s="10">
        <v>213144.24819780822</v>
      </c>
      <c r="P133" s="10">
        <v>201155.56752802859</v>
      </c>
      <c r="Q133" s="10">
        <v>189166.88685824894</v>
      </c>
      <c r="R133" s="10">
        <v>177178.20618846928</v>
      </c>
      <c r="S133" s="10">
        <v>165189.52551868965</v>
      </c>
      <c r="T133" s="10">
        <v>153200.84484891</v>
      </c>
      <c r="V133" t="s">
        <v>456</v>
      </c>
      <c r="W133" t="s">
        <v>1241</v>
      </c>
      <c r="X133" t="s">
        <v>1242</v>
      </c>
      <c r="Y133" t="s">
        <v>941</v>
      </c>
      <c r="Z133" t="s">
        <v>942</v>
      </c>
      <c r="AB133" t="s">
        <v>32</v>
      </c>
      <c r="AC133" t="s">
        <v>32</v>
      </c>
      <c r="AD133" t="s">
        <v>943</v>
      </c>
      <c r="AF133" t="s">
        <v>944</v>
      </c>
      <c r="AG133" t="s">
        <v>955</v>
      </c>
      <c r="AH133" t="s">
        <v>956</v>
      </c>
      <c r="AI133" t="s">
        <v>947</v>
      </c>
      <c r="AJ133" t="s">
        <v>948</v>
      </c>
      <c r="AK133">
        <v>1</v>
      </c>
      <c r="AL133" s="10">
        <v>5541.2</v>
      </c>
      <c r="AM133" s="10">
        <v>10190.200000000001</v>
      </c>
      <c r="AN133" s="10">
        <v>20654.900000000001</v>
      </c>
      <c r="AO133" s="9">
        <v>6.6981875492513707E-2</v>
      </c>
      <c r="AP133" s="9">
        <v>0.72250000000000003</v>
      </c>
      <c r="AQ133" s="9">
        <v>3.2792202103370891</v>
      </c>
      <c r="AR133" s="9">
        <v>12.991083739027353</v>
      </c>
      <c r="AS133" s="9">
        <v>16.270303949364443</v>
      </c>
      <c r="AT133" s="9"/>
      <c r="AU133" s="9"/>
      <c r="AV133" s="9"/>
      <c r="AW133" s="11">
        <v>243.11594987225735</v>
      </c>
      <c r="AX133" s="11">
        <v>153.20084484891001</v>
      </c>
      <c r="AY133" t="s">
        <v>949</v>
      </c>
      <c r="AZ133" t="s">
        <v>950</v>
      </c>
      <c r="BA133" t="s">
        <v>951</v>
      </c>
      <c r="BB133" t="s">
        <v>970</v>
      </c>
      <c r="BC133" t="b">
        <v>0</v>
      </c>
    </row>
    <row r="134" spans="1:55">
      <c r="A134" t="s">
        <v>1243</v>
      </c>
      <c r="B134" t="s">
        <v>939</v>
      </c>
      <c r="C134">
        <v>8189300</v>
      </c>
      <c r="D134">
        <v>4453200</v>
      </c>
      <c r="E134">
        <v>8189300</v>
      </c>
      <c r="F134">
        <v>16599300</v>
      </c>
      <c r="G134" s="9">
        <v>1.2424035776830055E-2</v>
      </c>
      <c r="H134" s="9">
        <v>3.7410855343489785E-2</v>
      </c>
      <c r="I134" s="9">
        <v>5.6116283015234678E-2</v>
      </c>
      <c r="J134" s="10">
        <v>195378.83930530088</v>
      </c>
      <c r="K134" s="10">
        <v>190561.51959572569</v>
      </c>
      <c r="L134" s="10">
        <v>185744.19988615048</v>
      </c>
      <c r="M134" s="10">
        <v>180926.88017657527</v>
      </c>
      <c r="N134" s="10">
        <v>176109.56046700009</v>
      </c>
      <c r="O134" s="10">
        <v>171292.24075742488</v>
      </c>
      <c r="P134" s="10">
        <v>161657.60133827449</v>
      </c>
      <c r="Q134" s="10">
        <v>152022.96191912406</v>
      </c>
      <c r="R134" s="10">
        <v>142388.32249997367</v>
      </c>
      <c r="S134" s="10">
        <v>132753.68308082328</v>
      </c>
      <c r="T134" s="10">
        <v>123119.04366167285</v>
      </c>
      <c r="V134" t="s">
        <v>456</v>
      </c>
      <c r="W134" t="s">
        <v>1243</v>
      </c>
      <c r="X134" t="s">
        <v>1244</v>
      </c>
      <c r="Y134" t="s">
        <v>941</v>
      </c>
      <c r="Z134" t="s">
        <v>942</v>
      </c>
      <c r="AB134" t="s">
        <v>32</v>
      </c>
      <c r="AC134" t="s">
        <v>32</v>
      </c>
      <c r="AD134" t="s">
        <v>943</v>
      </c>
      <c r="AF134" t="s">
        <v>944</v>
      </c>
      <c r="AG134" t="s">
        <v>1042</v>
      </c>
      <c r="AH134" t="s">
        <v>988</v>
      </c>
      <c r="AI134" t="s">
        <v>960</v>
      </c>
      <c r="AJ134" t="s">
        <v>948</v>
      </c>
      <c r="AK134">
        <v>7</v>
      </c>
      <c r="AL134" s="10">
        <v>4453.2</v>
      </c>
      <c r="AM134" s="10">
        <v>8189.3</v>
      </c>
      <c r="AN134" s="10">
        <v>16599.3</v>
      </c>
      <c r="AO134" s="9">
        <v>0.84633569739952708</v>
      </c>
      <c r="AP134" s="9">
        <v>9.1289999999999996</v>
      </c>
      <c r="AQ134" s="9">
        <v>4.6740357768300518</v>
      </c>
      <c r="AR134" s="9">
        <v>7.7500000000000009</v>
      </c>
      <c r="AS134" s="9">
        <v>12.424035776830054</v>
      </c>
      <c r="AT134" s="9">
        <v>13.810855343489784</v>
      </c>
      <c r="AU134" s="9">
        <v>23.600000000000005</v>
      </c>
      <c r="AV134" s="9">
        <v>37.410855343489786</v>
      </c>
      <c r="AW134" s="11">
        <v>195.37883930530089</v>
      </c>
      <c r="AX134" s="11">
        <v>123.11904366167286</v>
      </c>
      <c r="AY134" t="s">
        <v>949</v>
      </c>
      <c r="AZ134" t="s">
        <v>950</v>
      </c>
      <c r="BA134" t="s">
        <v>951</v>
      </c>
      <c r="BB134" t="s">
        <v>970</v>
      </c>
      <c r="BC134" t="b">
        <v>1</v>
      </c>
    </row>
    <row r="135" spans="1:55">
      <c r="A135" t="s">
        <v>1245</v>
      </c>
      <c r="B135" t="s">
        <v>939</v>
      </c>
      <c r="C135">
        <v>200</v>
      </c>
      <c r="D135">
        <v>100</v>
      </c>
      <c r="E135">
        <v>200</v>
      </c>
      <c r="F135">
        <v>500</v>
      </c>
      <c r="G135" s="9">
        <v>6.7401288120764569E-2</v>
      </c>
      <c r="H135" s="9">
        <v>0.12790078580141911</v>
      </c>
      <c r="I135" s="9">
        <v>0.19185117870212867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V135" t="s">
        <v>456</v>
      </c>
      <c r="W135" t="s">
        <v>1245</v>
      </c>
      <c r="X135" t="s">
        <v>1246</v>
      </c>
      <c r="Y135" t="s">
        <v>941</v>
      </c>
      <c r="Z135" t="s">
        <v>942</v>
      </c>
      <c r="AB135" t="s">
        <v>496</v>
      </c>
      <c r="AC135" t="s">
        <v>496</v>
      </c>
      <c r="AD135" t="s">
        <v>943</v>
      </c>
      <c r="AF135" t="s">
        <v>986</v>
      </c>
      <c r="AG135" t="s">
        <v>1028</v>
      </c>
      <c r="AH135" t="s">
        <v>956</v>
      </c>
      <c r="AI135" t="s">
        <v>947</v>
      </c>
      <c r="AJ135" t="s">
        <v>989</v>
      </c>
      <c r="AK135">
        <v>5</v>
      </c>
      <c r="AL135" s="10">
        <v>0.1</v>
      </c>
      <c r="AM135" s="10">
        <v>0.2</v>
      </c>
      <c r="AN135" s="10">
        <v>0.5</v>
      </c>
      <c r="AO135" s="9">
        <v>0.26324793099120869</v>
      </c>
      <c r="AP135" s="9">
        <v>3.9855999999999998</v>
      </c>
      <c r="AQ135" s="9">
        <v>25.885472304948763</v>
      </c>
      <c r="AR135" s="9">
        <v>41.515815815815813</v>
      </c>
      <c r="AS135" s="9">
        <v>67.401288120764562</v>
      </c>
      <c r="AT135" s="9">
        <v>49.438323338956621</v>
      </c>
      <c r="AU135" s="9">
        <v>78.462462462462469</v>
      </c>
      <c r="AV135" s="9">
        <v>127.9007858014191</v>
      </c>
      <c r="AW135" s="11">
        <v>0</v>
      </c>
      <c r="AX135" s="11">
        <v>0</v>
      </c>
      <c r="AY135" t="s">
        <v>973</v>
      </c>
      <c r="AZ135" t="s">
        <v>950</v>
      </c>
      <c r="BA135" t="s">
        <v>951</v>
      </c>
      <c r="BB135" t="s">
        <v>970</v>
      </c>
      <c r="BC135" t="b">
        <v>1</v>
      </c>
    </row>
    <row r="136" spans="1:55">
      <c r="A136" t="s">
        <v>1247</v>
      </c>
      <c r="B136" t="s">
        <v>939</v>
      </c>
      <c r="C136">
        <v>0</v>
      </c>
      <c r="D136">
        <v>0</v>
      </c>
      <c r="E136">
        <v>0</v>
      </c>
      <c r="F136">
        <v>0</v>
      </c>
      <c r="G136" s="9">
        <v>8.6661516508400496E-2</v>
      </c>
      <c r="H136" s="9"/>
      <c r="I136" s="9"/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V136" t="s">
        <v>456</v>
      </c>
      <c r="W136" t="s">
        <v>1247</v>
      </c>
      <c r="X136" t="s">
        <v>1248</v>
      </c>
      <c r="Y136" t="s">
        <v>941</v>
      </c>
      <c r="Z136" t="s">
        <v>942</v>
      </c>
      <c r="AB136" t="s">
        <v>496</v>
      </c>
      <c r="AC136" t="s">
        <v>496</v>
      </c>
      <c r="AD136" t="s">
        <v>943</v>
      </c>
      <c r="AF136" t="s">
        <v>986</v>
      </c>
      <c r="AG136" t="s">
        <v>1042</v>
      </c>
      <c r="AH136" t="s">
        <v>988</v>
      </c>
      <c r="AI136" t="s">
        <v>960</v>
      </c>
      <c r="AJ136" t="s">
        <v>1054</v>
      </c>
      <c r="AK136">
        <v>3</v>
      </c>
      <c r="AL136" s="10">
        <v>0</v>
      </c>
      <c r="AM136" s="10">
        <v>0</v>
      </c>
      <c r="AN136" s="10">
        <v>0</v>
      </c>
      <c r="AO136" s="9">
        <v>6.35662908435215E-2</v>
      </c>
      <c r="AP136" s="9">
        <v>0.96240000000000003</v>
      </c>
      <c r="AQ136" s="9">
        <v>64.961516508400493</v>
      </c>
      <c r="AR136" s="9">
        <v>21.7</v>
      </c>
      <c r="AS136" s="9">
        <v>86.661516508400496</v>
      </c>
      <c r="AT136" s="9"/>
      <c r="AU136" s="9"/>
      <c r="AV136" s="9"/>
      <c r="AW136" s="11">
        <v>0</v>
      </c>
      <c r="AX136" s="11">
        <v>0</v>
      </c>
      <c r="AY136" t="s">
        <v>973</v>
      </c>
      <c r="AZ136" t="s">
        <v>950</v>
      </c>
      <c r="BA136" t="s">
        <v>951</v>
      </c>
      <c r="BB136" t="s">
        <v>970</v>
      </c>
      <c r="BC136" t="b">
        <v>0</v>
      </c>
    </row>
    <row r="137" spans="1:55">
      <c r="A137" t="s">
        <v>1249</v>
      </c>
      <c r="B137" t="s">
        <v>939</v>
      </c>
      <c r="C137">
        <v>200</v>
      </c>
      <c r="D137">
        <v>100</v>
      </c>
      <c r="E137">
        <v>200</v>
      </c>
      <c r="F137">
        <v>500</v>
      </c>
      <c r="G137" s="9">
        <v>7.154145429134133E-2</v>
      </c>
      <c r="H137" s="9">
        <v>0.11407199263074207</v>
      </c>
      <c r="I137" s="9">
        <v>0.17110798894611309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V137" t="s">
        <v>456</v>
      </c>
      <c r="W137" t="s">
        <v>1249</v>
      </c>
      <c r="X137" t="s">
        <v>1250</v>
      </c>
      <c r="Y137" t="s">
        <v>941</v>
      </c>
      <c r="Z137" t="s">
        <v>942</v>
      </c>
      <c r="AB137" t="s">
        <v>496</v>
      </c>
      <c r="AC137" t="s">
        <v>496</v>
      </c>
      <c r="AD137" t="s">
        <v>943</v>
      </c>
      <c r="AF137" t="s">
        <v>986</v>
      </c>
      <c r="AG137" t="s">
        <v>987</v>
      </c>
      <c r="AH137" t="s">
        <v>988</v>
      </c>
      <c r="AI137" t="s">
        <v>947</v>
      </c>
      <c r="AJ137" t="s">
        <v>989</v>
      </c>
      <c r="AK137">
        <v>3</v>
      </c>
      <c r="AL137" s="10">
        <v>0.1</v>
      </c>
      <c r="AM137" s="10">
        <v>0.2</v>
      </c>
      <c r="AN137" s="10">
        <v>0.5</v>
      </c>
      <c r="AO137" s="9">
        <v>0.27424521634599508</v>
      </c>
      <c r="AP137" s="9">
        <v>4.1520999999999999</v>
      </c>
      <c r="AQ137" s="9">
        <v>30.025638475525525</v>
      </c>
      <c r="AR137" s="9">
        <v>41.515815815815806</v>
      </c>
      <c r="AS137" s="9">
        <v>71.541454291341324</v>
      </c>
      <c r="AT137" s="9">
        <v>35.609530168279612</v>
      </c>
      <c r="AU137" s="9">
        <v>78.462462462462469</v>
      </c>
      <c r="AV137" s="9">
        <v>114.07199263074207</v>
      </c>
      <c r="AW137" s="11">
        <v>0</v>
      </c>
      <c r="AX137" s="11">
        <v>0</v>
      </c>
      <c r="AY137" t="s">
        <v>973</v>
      </c>
      <c r="AZ137" t="s">
        <v>950</v>
      </c>
      <c r="BA137" t="s">
        <v>951</v>
      </c>
      <c r="BB137" t="s">
        <v>970</v>
      </c>
      <c r="BC137" t="b">
        <v>1</v>
      </c>
    </row>
    <row r="138" spans="1:55">
      <c r="A138" t="s">
        <v>1251</v>
      </c>
      <c r="B138" t="s">
        <v>939</v>
      </c>
      <c r="C138">
        <v>400</v>
      </c>
      <c r="D138">
        <v>200</v>
      </c>
      <c r="E138">
        <v>400</v>
      </c>
      <c r="F138">
        <v>700</v>
      </c>
      <c r="G138" s="9">
        <v>7.0485459401384037E-2</v>
      </c>
      <c r="H138" s="9">
        <v>0.11662710884763951</v>
      </c>
      <c r="I138" s="9">
        <v>0.17494066327145927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V138" t="s">
        <v>456</v>
      </c>
      <c r="W138" t="s">
        <v>1251</v>
      </c>
      <c r="X138" t="s">
        <v>1252</v>
      </c>
      <c r="Y138" t="s">
        <v>941</v>
      </c>
      <c r="Z138" t="s">
        <v>942</v>
      </c>
      <c r="AB138" t="s">
        <v>496</v>
      </c>
      <c r="AC138" t="s">
        <v>496</v>
      </c>
      <c r="AD138" t="s">
        <v>943</v>
      </c>
      <c r="AF138" t="s">
        <v>986</v>
      </c>
      <c r="AG138" t="s">
        <v>1190</v>
      </c>
      <c r="AH138" t="s">
        <v>1136</v>
      </c>
      <c r="AI138" t="s">
        <v>947</v>
      </c>
      <c r="AJ138" t="s">
        <v>989</v>
      </c>
      <c r="AK138">
        <v>2</v>
      </c>
      <c r="AL138" s="10">
        <v>0.2</v>
      </c>
      <c r="AM138" s="10">
        <v>0.4</v>
      </c>
      <c r="AN138" s="10">
        <v>0.7</v>
      </c>
      <c r="AO138" s="9">
        <v>0.39894056181927462</v>
      </c>
      <c r="AP138" s="9">
        <v>6.04</v>
      </c>
      <c r="AQ138" s="9">
        <v>28.969643585568228</v>
      </c>
      <c r="AR138" s="9">
        <v>41.515815815815813</v>
      </c>
      <c r="AS138" s="9">
        <v>70.485459401384034</v>
      </c>
      <c r="AT138" s="9">
        <v>38.164646385177029</v>
      </c>
      <c r="AU138" s="9">
        <v>78.462462462462469</v>
      </c>
      <c r="AV138" s="9">
        <v>116.62710884763951</v>
      </c>
      <c r="AW138" s="11">
        <v>0</v>
      </c>
      <c r="AX138" s="11">
        <v>0</v>
      </c>
      <c r="AY138" t="s">
        <v>973</v>
      </c>
      <c r="AZ138" t="s">
        <v>950</v>
      </c>
      <c r="BA138" t="s">
        <v>951</v>
      </c>
      <c r="BB138" t="s">
        <v>970</v>
      </c>
      <c r="BC138" t="b">
        <v>1</v>
      </c>
    </row>
    <row r="139" spans="1:55">
      <c r="A139" t="s">
        <v>1253</v>
      </c>
      <c r="B139" t="s">
        <v>939</v>
      </c>
      <c r="C139">
        <v>860600</v>
      </c>
      <c r="D139">
        <v>660500</v>
      </c>
      <c r="E139">
        <v>860600</v>
      </c>
      <c r="F139">
        <v>1449000</v>
      </c>
      <c r="G139" s="9">
        <v>5.0847513598634491E-3</v>
      </c>
      <c r="H139" s="9">
        <v>1.1032171596805217E-2</v>
      </c>
      <c r="I139" s="9">
        <v>1.6548257395207825E-2</v>
      </c>
      <c r="J139" s="10">
        <v>8521.4012511170695</v>
      </c>
      <c r="K139" s="10">
        <v>8521.4012511170695</v>
      </c>
      <c r="L139" s="10">
        <v>8521.4012511170695</v>
      </c>
      <c r="M139" s="10">
        <v>8521.4012511170695</v>
      </c>
      <c r="N139" s="10">
        <v>8521.4012511170695</v>
      </c>
      <c r="O139" s="10">
        <v>8521.4012511170695</v>
      </c>
      <c r="P139" s="10">
        <v>8521.4012511170695</v>
      </c>
      <c r="Q139" s="10">
        <v>8521.4012511170695</v>
      </c>
      <c r="R139" s="10">
        <v>8521.4012511170695</v>
      </c>
      <c r="S139" s="10">
        <v>8521.4012511170695</v>
      </c>
      <c r="T139" s="10">
        <v>8521.4012511170695</v>
      </c>
      <c r="V139" t="s">
        <v>456</v>
      </c>
      <c r="W139" t="s">
        <v>1253</v>
      </c>
      <c r="X139" t="s">
        <v>1254</v>
      </c>
      <c r="Y139" t="s">
        <v>941</v>
      </c>
      <c r="Z139" t="s">
        <v>942</v>
      </c>
      <c r="AB139" t="s">
        <v>498</v>
      </c>
      <c r="AC139" t="s">
        <v>497</v>
      </c>
      <c r="AD139" t="s">
        <v>968</v>
      </c>
      <c r="AF139" t="s">
        <v>944</v>
      </c>
      <c r="AG139" t="s">
        <v>999</v>
      </c>
      <c r="AH139" t="s">
        <v>946</v>
      </c>
      <c r="AI139" t="s">
        <v>977</v>
      </c>
      <c r="AJ139" t="s">
        <v>948</v>
      </c>
      <c r="AK139">
        <v>3</v>
      </c>
      <c r="AL139" s="10">
        <v>660.5</v>
      </c>
      <c r="AM139" s="10">
        <v>860.6</v>
      </c>
      <c r="AN139" s="10">
        <v>1449</v>
      </c>
      <c r="AO139" s="9">
        <v>3.6627011396424498E-2</v>
      </c>
      <c r="AP139" s="9">
        <v>1.7428999999999999</v>
      </c>
      <c r="AQ139" s="9">
        <v>1.3647513598634486</v>
      </c>
      <c r="AR139" s="9">
        <v>3.72</v>
      </c>
      <c r="AS139" s="9">
        <v>5.0847513598634491</v>
      </c>
      <c r="AT139" s="9">
        <v>2.3521715968052157</v>
      </c>
      <c r="AU139" s="9">
        <v>8.6800000000000015</v>
      </c>
      <c r="AV139" s="9">
        <v>11.032171596805217</v>
      </c>
      <c r="AW139" s="11">
        <v>8.5214012511170694</v>
      </c>
      <c r="AX139" s="11">
        <v>8.5214012511170694</v>
      </c>
      <c r="AY139" t="s">
        <v>969</v>
      </c>
      <c r="AZ139" t="s">
        <v>950</v>
      </c>
      <c r="BA139" t="s">
        <v>951</v>
      </c>
      <c r="BB139" t="s">
        <v>970</v>
      </c>
      <c r="BC139" t="b">
        <v>1</v>
      </c>
    </row>
    <row r="140" spans="1:55">
      <c r="A140" t="s">
        <v>1255</v>
      </c>
      <c r="B140" t="s">
        <v>939</v>
      </c>
      <c r="C140">
        <v>146500</v>
      </c>
      <c r="D140">
        <v>112400</v>
      </c>
      <c r="E140">
        <v>146500</v>
      </c>
      <c r="F140">
        <v>246600</v>
      </c>
      <c r="G140" s="9">
        <v>1.2055656346279957E-2</v>
      </c>
      <c r="H140" s="9">
        <v>2.1036208237881583E-2</v>
      </c>
      <c r="I140" s="9">
        <v>3.1554312356822378E-2</v>
      </c>
      <c r="J140" s="10">
        <v>1450.598748882931</v>
      </c>
      <c r="K140" s="10">
        <v>1450.598748882931</v>
      </c>
      <c r="L140" s="10">
        <v>1450.598748882931</v>
      </c>
      <c r="M140" s="10">
        <v>1450.598748882931</v>
      </c>
      <c r="N140" s="10">
        <v>1450.598748882931</v>
      </c>
      <c r="O140" s="10">
        <v>1450.598748882931</v>
      </c>
      <c r="P140" s="10">
        <v>1450.598748882931</v>
      </c>
      <c r="Q140" s="10">
        <v>1450.598748882931</v>
      </c>
      <c r="R140" s="10">
        <v>1450.598748882931</v>
      </c>
      <c r="S140" s="10">
        <v>1450.598748882931</v>
      </c>
      <c r="T140" s="10">
        <v>1450.598748882931</v>
      </c>
      <c r="V140" t="s">
        <v>456</v>
      </c>
      <c r="W140" t="s">
        <v>1255</v>
      </c>
      <c r="X140" t="s">
        <v>1256</v>
      </c>
      <c r="Y140" t="s">
        <v>941</v>
      </c>
      <c r="Z140" t="s">
        <v>942</v>
      </c>
      <c r="AB140" t="s">
        <v>498</v>
      </c>
      <c r="AC140" t="s">
        <v>497</v>
      </c>
      <c r="AD140" t="s">
        <v>968</v>
      </c>
      <c r="AF140" t="s">
        <v>944</v>
      </c>
      <c r="AG140" t="s">
        <v>976</v>
      </c>
      <c r="AH140" t="s">
        <v>956</v>
      </c>
      <c r="AI140" t="s">
        <v>977</v>
      </c>
      <c r="AJ140" t="s">
        <v>948</v>
      </c>
      <c r="AK140">
        <v>1</v>
      </c>
      <c r="AL140" s="10">
        <v>112.4</v>
      </c>
      <c r="AM140" s="10">
        <v>146.5</v>
      </c>
      <c r="AN140" s="10">
        <v>246.6</v>
      </c>
      <c r="AO140" s="9">
        <v>6.2330435367373002E-3</v>
      </c>
      <c r="AP140" s="9">
        <v>0.29659999999999997</v>
      </c>
      <c r="AQ140" s="9">
        <v>8.335656346279956</v>
      </c>
      <c r="AR140" s="9">
        <v>3.7200000000000006</v>
      </c>
      <c r="AS140" s="9">
        <v>12.055656346279957</v>
      </c>
      <c r="AT140" s="9">
        <v>12.356208237881582</v>
      </c>
      <c r="AU140" s="9">
        <v>8.6800000000000015</v>
      </c>
      <c r="AV140" s="9">
        <v>21.036208237881585</v>
      </c>
      <c r="AW140" s="11">
        <v>1.4505987488829311</v>
      </c>
      <c r="AX140" s="11">
        <v>1.4505987488829311</v>
      </c>
      <c r="AY140" t="s">
        <v>969</v>
      </c>
      <c r="AZ140" t="s">
        <v>950</v>
      </c>
      <c r="BA140" t="s">
        <v>951</v>
      </c>
      <c r="BB140" t="s">
        <v>970</v>
      </c>
      <c r="BC140" t="b">
        <v>1</v>
      </c>
    </row>
    <row r="141" spans="1:55">
      <c r="A141" t="s">
        <v>1257</v>
      </c>
      <c r="B141" t="s">
        <v>939</v>
      </c>
      <c r="C141">
        <v>516600</v>
      </c>
      <c r="D141">
        <v>280900</v>
      </c>
      <c r="E141">
        <v>516600</v>
      </c>
      <c r="F141">
        <v>1047200</v>
      </c>
      <c r="G141" s="9">
        <v>8.0127007375978016E-3</v>
      </c>
      <c r="H141" s="9">
        <v>2.3782414457029506E-2</v>
      </c>
      <c r="I141" s="9">
        <v>3.5673621685544263E-2</v>
      </c>
      <c r="J141" s="10">
        <v>20664</v>
      </c>
      <c r="K141" s="10">
        <v>20197.708844301378</v>
      </c>
      <c r="L141" s="10">
        <v>19731.417688602749</v>
      </c>
      <c r="M141" s="10">
        <v>19265.126532904127</v>
      </c>
      <c r="N141" s="10">
        <v>18798.835377205498</v>
      </c>
      <c r="O141" s="10">
        <v>18332.544221506876</v>
      </c>
      <c r="P141" s="10">
        <v>17399.961910109625</v>
      </c>
      <c r="Q141" s="10">
        <v>16467.379598712374</v>
      </c>
      <c r="R141" s="10">
        <v>15534.797287315123</v>
      </c>
      <c r="S141" s="10">
        <v>14602.21497591787</v>
      </c>
      <c r="T141" s="10">
        <v>13669.632664520621</v>
      </c>
      <c r="V141" t="s">
        <v>456</v>
      </c>
      <c r="W141" t="s">
        <v>1257</v>
      </c>
      <c r="X141" t="s">
        <v>1258</v>
      </c>
      <c r="Y141" t="s">
        <v>941</v>
      </c>
      <c r="Z141" t="s">
        <v>942</v>
      </c>
      <c r="AB141" t="s">
        <v>498</v>
      </c>
      <c r="AC141" t="s">
        <v>497</v>
      </c>
      <c r="AD141" t="s">
        <v>943</v>
      </c>
      <c r="AF141" t="s">
        <v>944</v>
      </c>
      <c r="AG141" t="s">
        <v>959</v>
      </c>
      <c r="AH141" t="s">
        <v>946</v>
      </c>
      <c r="AI141" t="s">
        <v>960</v>
      </c>
      <c r="AJ141" t="s">
        <v>948</v>
      </c>
      <c r="AK141">
        <v>13</v>
      </c>
      <c r="AL141" s="10">
        <v>280.89999999999998</v>
      </c>
      <c r="AM141" s="10">
        <v>516.6</v>
      </c>
      <c r="AN141" s="10">
        <v>1047.2</v>
      </c>
      <c r="AO141" s="9">
        <v>0.3665180907468934</v>
      </c>
      <c r="AP141" s="9">
        <v>17.440799999999999</v>
      </c>
      <c r="AQ141" s="9">
        <v>0.26270073759780188</v>
      </c>
      <c r="AR141" s="9">
        <v>7.7500000000000009</v>
      </c>
      <c r="AS141" s="9">
        <v>8.0127007375978021</v>
      </c>
      <c r="AT141" s="9">
        <v>0.18241445702950451</v>
      </c>
      <c r="AU141" s="9">
        <v>23.6</v>
      </c>
      <c r="AV141" s="9">
        <v>23.782414457029507</v>
      </c>
      <c r="AW141" s="11">
        <v>20.664000000000001</v>
      </c>
      <c r="AX141" s="11">
        <v>13.669632664520622</v>
      </c>
      <c r="AY141" t="s">
        <v>949</v>
      </c>
      <c r="AZ141" t="s">
        <v>950</v>
      </c>
      <c r="BA141" t="s">
        <v>951</v>
      </c>
      <c r="BB141" t="s">
        <v>952</v>
      </c>
      <c r="BC141" t="b">
        <v>1</v>
      </c>
    </row>
    <row r="142" spans="1:55">
      <c r="A142" t="s">
        <v>1259</v>
      </c>
      <c r="B142" t="s">
        <v>939</v>
      </c>
      <c r="C142">
        <v>17219200</v>
      </c>
      <c r="D142">
        <v>9363400</v>
      </c>
      <c r="E142">
        <v>17219200</v>
      </c>
      <c r="F142">
        <v>34902200</v>
      </c>
      <c r="G142" s="9">
        <v>1.4911275232143474E-2</v>
      </c>
      <c r="H142" s="9">
        <v>4.8739243956815767E-2</v>
      </c>
      <c r="I142" s="9">
        <v>7.3108865935223644E-2</v>
      </c>
      <c r="J142" s="10">
        <v>688768</v>
      </c>
      <c r="K142" s="10">
        <v>673225.68356909463</v>
      </c>
      <c r="L142" s="10">
        <v>657683.36713818903</v>
      </c>
      <c r="M142" s="10">
        <v>642141.05070728366</v>
      </c>
      <c r="N142" s="10">
        <v>626598.73427637806</v>
      </c>
      <c r="O142" s="10">
        <v>611056.41784547269</v>
      </c>
      <c r="P142" s="10">
        <v>579971.78498366172</v>
      </c>
      <c r="Q142" s="10">
        <v>548887.15212185076</v>
      </c>
      <c r="R142" s="10">
        <v>517802.51926003984</v>
      </c>
      <c r="S142" s="10">
        <v>486717.88639822887</v>
      </c>
      <c r="T142" s="10">
        <v>455633.25353641791</v>
      </c>
      <c r="V142" t="s">
        <v>456</v>
      </c>
      <c r="W142" t="s">
        <v>1259</v>
      </c>
      <c r="X142" t="s">
        <v>1260</v>
      </c>
      <c r="Y142" t="s">
        <v>941</v>
      </c>
      <c r="Z142" t="s">
        <v>942</v>
      </c>
      <c r="AB142" t="s">
        <v>498</v>
      </c>
      <c r="AC142" t="s">
        <v>497</v>
      </c>
      <c r="AD142" t="s">
        <v>943</v>
      </c>
      <c r="AF142" t="s">
        <v>944</v>
      </c>
      <c r="AG142" t="s">
        <v>945</v>
      </c>
      <c r="AH142" t="s">
        <v>946</v>
      </c>
      <c r="AI142" t="s">
        <v>947</v>
      </c>
      <c r="AJ142" t="s">
        <v>948</v>
      </c>
      <c r="AK142">
        <v>16</v>
      </c>
      <c r="AL142" s="10">
        <v>9363.4</v>
      </c>
      <c r="AM142" s="10">
        <v>17219.2</v>
      </c>
      <c r="AN142" s="10">
        <v>34902.199999999997</v>
      </c>
      <c r="AO142" s="9">
        <v>0.56977078959590299</v>
      </c>
      <c r="AP142" s="9">
        <v>27.1126</v>
      </c>
      <c r="AQ142" s="9">
        <v>0.37039894343402802</v>
      </c>
      <c r="AR142" s="9">
        <v>14.540876288709448</v>
      </c>
      <c r="AS142" s="9">
        <v>14.911275232143474</v>
      </c>
      <c r="AT142" s="9">
        <v>0.69208931746175539</v>
      </c>
      <c r="AU142" s="9">
        <v>48.047154639354019</v>
      </c>
      <c r="AV142" s="9">
        <v>48.73924395681577</v>
      </c>
      <c r="AW142" s="11">
        <v>688.76800000000003</v>
      </c>
      <c r="AX142" s="11">
        <v>455.6332535364179</v>
      </c>
      <c r="AY142" t="s">
        <v>949</v>
      </c>
      <c r="AZ142" t="s">
        <v>950</v>
      </c>
      <c r="BA142" t="s">
        <v>951</v>
      </c>
      <c r="BB142" t="s">
        <v>952</v>
      </c>
      <c r="BC142" t="b">
        <v>1</v>
      </c>
    </row>
    <row r="143" spans="1:55">
      <c r="A143" t="s">
        <v>1261</v>
      </c>
      <c r="B143" t="s">
        <v>939</v>
      </c>
      <c r="C143">
        <v>630100</v>
      </c>
      <c r="D143">
        <v>342700</v>
      </c>
      <c r="E143">
        <v>630100</v>
      </c>
      <c r="F143">
        <v>1277300</v>
      </c>
      <c r="G143" s="9">
        <v>3.7540749518866004E-2</v>
      </c>
      <c r="H143" s="9"/>
      <c r="I143" s="9"/>
      <c r="J143" s="10">
        <v>25204</v>
      </c>
      <c r="K143" s="10">
        <v>24635.261987600265</v>
      </c>
      <c r="L143" s="10">
        <v>24066.523975200529</v>
      </c>
      <c r="M143" s="10">
        <v>23497.78596280079</v>
      </c>
      <c r="N143" s="10">
        <v>22929.047950401055</v>
      </c>
      <c r="O143" s="10">
        <v>22360.309938001319</v>
      </c>
      <c r="P143" s="10">
        <v>21222.833913201845</v>
      </c>
      <c r="Q143" s="10">
        <v>20085.357888402374</v>
      </c>
      <c r="R143" s="10">
        <v>18947.881863602903</v>
      </c>
      <c r="S143" s="10">
        <v>17810.405838803425</v>
      </c>
      <c r="T143" s="10">
        <v>16672.929814003954</v>
      </c>
      <c r="V143" t="s">
        <v>456</v>
      </c>
      <c r="W143" t="s">
        <v>1261</v>
      </c>
      <c r="X143" t="s">
        <v>1262</v>
      </c>
      <c r="Y143" t="s">
        <v>941</v>
      </c>
      <c r="Z143" t="s">
        <v>942</v>
      </c>
      <c r="AB143" t="s">
        <v>498</v>
      </c>
      <c r="AC143" t="s">
        <v>497</v>
      </c>
      <c r="AD143" t="s">
        <v>943</v>
      </c>
      <c r="AF143" t="s">
        <v>944</v>
      </c>
      <c r="AG143" t="s">
        <v>1135</v>
      </c>
      <c r="AH143" t="s">
        <v>1136</v>
      </c>
      <c r="AI143" t="s">
        <v>947</v>
      </c>
      <c r="AJ143" t="s">
        <v>948</v>
      </c>
      <c r="AK143">
        <v>2</v>
      </c>
      <c r="AL143" s="10">
        <v>342.7</v>
      </c>
      <c r="AM143" s="10">
        <v>630.1</v>
      </c>
      <c r="AN143" s="10">
        <v>1277.3</v>
      </c>
      <c r="AO143" s="9">
        <v>2.0851064724041701E-2</v>
      </c>
      <c r="AP143" s="9">
        <v>0.99219999999999997</v>
      </c>
      <c r="AQ143" s="9">
        <v>22.99987323015656</v>
      </c>
      <c r="AR143" s="9">
        <v>14.540876288709448</v>
      </c>
      <c r="AS143" s="9">
        <v>37.540749518866001</v>
      </c>
      <c r="AT143" s="9"/>
      <c r="AU143" s="9"/>
      <c r="AV143" s="9"/>
      <c r="AW143" s="11">
        <v>25.204000000000001</v>
      </c>
      <c r="AX143" s="11">
        <v>16.672929814003954</v>
      </c>
      <c r="AY143" t="s">
        <v>949</v>
      </c>
      <c r="AZ143" t="s">
        <v>950</v>
      </c>
      <c r="BA143" t="s">
        <v>951</v>
      </c>
      <c r="BB143" t="s">
        <v>952</v>
      </c>
      <c r="BC143" t="b">
        <v>0</v>
      </c>
    </row>
    <row r="144" spans="1:55">
      <c r="A144" t="s">
        <v>1263</v>
      </c>
      <c r="B144" t="s">
        <v>939</v>
      </c>
      <c r="C144">
        <v>1300000</v>
      </c>
      <c r="D144">
        <v>1300000</v>
      </c>
      <c r="E144">
        <v>1300000</v>
      </c>
      <c r="F144">
        <v>1300000</v>
      </c>
      <c r="G144" s="9">
        <v>2.0717131192760887E-2</v>
      </c>
      <c r="H144" s="9"/>
      <c r="I144" s="9"/>
      <c r="J144" s="10">
        <v>13000</v>
      </c>
      <c r="K144" s="10">
        <v>13000</v>
      </c>
      <c r="L144" s="10">
        <v>13000</v>
      </c>
      <c r="M144" s="10">
        <v>13000</v>
      </c>
      <c r="N144" s="10">
        <v>13000</v>
      </c>
      <c r="O144" s="10">
        <v>13000</v>
      </c>
      <c r="P144" s="10">
        <v>13000</v>
      </c>
      <c r="Q144" s="10">
        <v>13000</v>
      </c>
      <c r="R144" s="10">
        <v>13000</v>
      </c>
      <c r="S144" s="10">
        <v>13000</v>
      </c>
      <c r="T144" s="10">
        <v>13000</v>
      </c>
      <c r="V144" t="s">
        <v>456</v>
      </c>
      <c r="W144" t="s">
        <v>1263</v>
      </c>
      <c r="X144" t="s">
        <v>1264</v>
      </c>
      <c r="Y144" t="s">
        <v>941</v>
      </c>
      <c r="Z144" t="s">
        <v>942</v>
      </c>
      <c r="AB144" t="s">
        <v>95</v>
      </c>
      <c r="AC144" t="s">
        <v>33</v>
      </c>
      <c r="AD144" t="s">
        <v>968</v>
      </c>
      <c r="AF144" t="s">
        <v>986</v>
      </c>
      <c r="AG144" t="s">
        <v>965</v>
      </c>
      <c r="AH144" t="s">
        <v>956</v>
      </c>
      <c r="AI144" t="s">
        <v>960</v>
      </c>
      <c r="AJ144" t="s">
        <v>1054</v>
      </c>
      <c r="AK144">
        <v>1</v>
      </c>
      <c r="AL144" s="10">
        <v>1300</v>
      </c>
      <c r="AM144" s="10">
        <v>1300</v>
      </c>
      <c r="AN144" s="10">
        <v>1300</v>
      </c>
      <c r="AO144" s="9">
        <v>0</v>
      </c>
      <c r="AP144" s="9">
        <v>0</v>
      </c>
      <c r="AQ144" s="9">
        <v>2.7171311927608888</v>
      </c>
      <c r="AR144" s="9">
        <v>18</v>
      </c>
      <c r="AS144" s="9">
        <v>20.717131192760888</v>
      </c>
      <c r="AT144" s="9"/>
      <c r="AU144" s="9"/>
      <c r="AV144" s="9"/>
      <c r="AW144" s="11">
        <v>13</v>
      </c>
      <c r="AX144" s="11">
        <v>13</v>
      </c>
      <c r="AY144" t="s">
        <v>969</v>
      </c>
      <c r="AZ144" t="b">
        <v>0</v>
      </c>
      <c r="BA144" t="s">
        <v>1087</v>
      </c>
      <c r="BB144" t="s">
        <v>1088</v>
      </c>
      <c r="BC144" t="b">
        <v>0</v>
      </c>
    </row>
    <row r="145" spans="1:55">
      <c r="A145" t="s">
        <v>1265</v>
      </c>
      <c r="B145" t="s">
        <v>939</v>
      </c>
      <c r="C145">
        <v>610900</v>
      </c>
      <c r="D145">
        <v>468900</v>
      </c>
      <c r="E145">
        <v>610900</v>
      </c>
      <c r="F145">
        <v>1028700</v>
      </c>
      <c r="G145" s="9">
        <v>1.2114922438279434E-2</v>
      </c>
      <c r="H145" s="9">
        <v>2.3904891413591207E-2</v>
      </c>
      <c r="I145" s="9">
        <v>3.5857337120386815E-2</v>
      </c>
      <c r="J145" s="10">
        <v>4743.6835276703714</v>
      </c>
      <c r="K145" s="10">
        <v>4743.6835276703714</v>
      </c>
      <c r="L145" s="10">
        <v>4743.6835276703714</v>
      </c>
      <c r="M145" s="10">
        <v>4743.6835276703714</v>
      </c>
      <c r="N145" s="10">
        <v>4743.6835276703714</v>
      </c>
      <c r="O145" s="10">
        <v>4743.6835276703714</v>
      </c>
      <c r="P145" s="10">
        <v>4743.6835276703714</v>
      </c>
      <c r="Q145" s="10">
        <v>4743.6835276703714</v>
      </c>
      <c r="R145" s="10">
        <v>4743.6835276703714</v>
      </c>
      <c r="S145" s="10">
        <v>4743.6835276703714</v>
      </c>
      <c r="T145" s="10">
        <v>4743.6835276703714</v>
      </c>
      <c r="V145" t="s">
        <v>456</v>
      </c>
      <c r="W145" t="s">
        <v>1265</v>
      </c>
      <c r="X145" t="s">
        <v>1266</v>
      </c>
      <c r="Y145" t="s">
        <v>941</v>
      </c>
      <c r="Z145" t="s">
        <v>942</v>
      </c>
      <c r="AB145" t="s">
        <v>500</v>
      </c>
      <c r="AC145" t="s">
        <v>499</v>
      </c>
      <c r="AD145" t="s">
        <v>968</v>
      </c>
      <c r="AF145" t="s">
        <v>986</v>
      </c>
      <c r="AG145" t="s">
        <v>999</v>
      </c>
      <c r="AH145" t="s">
        <v>946</v>
      </c>
      <c r="AI145" t="s">
        <v>977</v>
      </c>
      <c r="AJ145" t="s">
        <v>1054</v>
      </c>
      <c r="AK145">
        <v>2</v>
      </c>
      <c r="AL145" s="10">
        <v>468.9</v>
      </c>
      <c r="AM145" s="10">
        <v>610.9</v>
      </c>
      <c r="AN145" s="10">
        <v>1028.7</v>
      </c>
      <c r="AO145" s="9">
        <v>1.94447480244157E-2</v>
      </c>
      <c r="AP145" s="9">
        <v>1.7970000000000002</v>
      </c>
      <c r="AQ145" s="9">
        <v>4.6749224382794337</v>
      </c>
      <c r="AR145" s="9">
        <v>7.44</v>
      </c>
      <c r="AS145" s="9">
        <v>12.114922438279434</v>
      </c>
      <c r="AT145" s="9">
        <v>6.5448914135912055</v>
      </c>
      <c r="AU145" s="9">
        <v>17.360000000000003</v>
      </c>
      <c r="AV145" s="9">
        <v>23.904891413591209</v>
      </c>
      <c r="AW145" s="11">
        <v>4.7436835276703713</v>
      </c>
      <c r="AX145" s="11">
        <v>4.7436835276703713</v>
      </c>
      <c r="AY145" t="s">
        <v>969</v>
      </c>
      <c r="AZ145" t="s">
        <v>950</v>
      </c>
      <c r="BA145" t="s">
        <v>951</v>
      </c>
      <c r="BB145" t="s">
        <v>970</v>
      </c>
      <c r="BC145" t="b">
        <v>1</v>
      </c>
    </row>
    <row r="146" spans="1:55">
      <c r="A146" t="s">
        <v>1267</v>
      </c>
      <c r="B146" t="s">
        <v>939</v>
      </c>
      <c r="C146">
        <v>16562500</v>
      </c>
      <c r="D146">
        <v>12712200</v>
      </c>
      <c r="E146">
        <v>16562500</v>
      </c>
      <c r="F146">
        <v>27886500</v>
      </c>
      <c r="G146" s="9">
        <v>1.0717428360559176E-2</v>
      </c>
      <c r="H146" s="9">
        <v>2.3252236282815402E-2</v>
      </c>
      <c r="I146" s="9">
        <v>3.4878354424223101E-2</v>
      </c>
      <c r="J146" s="10">
        <v>128609.03327392461</v>
      </c>
      <c r="K146" s="10">
        <v>128609.03327392461</v>
      </c>
      <c r="L146" s="10">
        <v>128609.03327392461</v>
      </c>
      <c r="M146" s="10">
        <v>128609.03327392461</v>
      </c>
      <c r="N146" s="10">
        <v>128609.03327392461</v>
      </c>
      <c r="O146" s="10">
        <v>128609.03327392461</v>
      </c>
      <c r="P146" s="10">
        <v>128609.03327392461</v>
      </c>
      <c r="Q146" s="10">
        <v>128609.03327392461</v>
      </c>
      <c r="R146" s="10">
        <v>128609.03327392461</v>
      </c>
      <c r="S146" s="10">
        <v>128609.03327392461</v>
      </c>
      <c r="T146" s="10">
        <v>128609.03327392461</v>
      </c>
      <c r="V146" t="s">
        <v>456</v>
      </c>
      <c r="W146" t="s">
        <v>1267</v>
      </c>
      <c r="X146" t="s">
        <v>1268</v>
      </c>
      <c r="Y146" t="s">
        <v>941</v>
      </c>
      <c r="Z146" t="s">
        <v>942</v>
      </c>
      <c r="AB146" t="s">
        <v>500</v>
      </c>
      <c r="AC146" t="s">
        <v>499</v>
      </c>
      <c r="AD146" t="s">
        <v>968</v>
      </c>
      <c r="AF146" t="s">
        <v>986</v>
      </c>
      <c r="AG146" t="s">
        <v>976</v>
      </c>
      <c r="AH146" t="s">
        <v>956</v>
      </c>
      <c r="AI146" t="s">
        <v>977</v>
      </c>
      <c r="AJ146" t="s">
        <v>1054</v>
      </c>
      <c r="AK146">
        <v>13</v>
      </c>
      <c r="AL146" s="10">
        <v>12712.2</v>
      </c>
      <c r="AM146" s="10">
        <v>16562.5</v>
      </c>
      <c r="AN146" s="10">
        <v>27886.5</v>
      </c>
      <c r="AO146" s="9">
        <v>0.52713662288983365</v>
      </c>
      <c r="AP146" s="9">
        <v>48.715699999999991</v>
      </c>
      <c r="AQ146" s="9">
        <v>3.2774283605591705</v>
      </c>
      <c r="AR146" s="9">
        <v>7.4400000000000039</v>
      </c>
      <c r="AS146" s="9">
        <v>10.717428360559175</v>
      </c>
      <c r="AT146" s="9">
        <v>5.8922362828153947</v>
      </c>
      <c r="AU146" s="9">
        <v>17.360000000000007</v>
      </c>
      <c r="AV146" s="9">
        <v>23.252236282815403</v>
      </c>
      <c r="AW146" s="11">
        <v>128.60903327392461</v>
      </c>
      <c r="AX146" s="11">
        <v>128.60903327392461</v>
      </c>
      <c r="AY146" t="s">
        <v>969</v>
      </c>
      <c r="AZ146" t="s">
        <v>950</v>
      </c>
      <c r="BA146" t="s">
        <v>951</v>
      </c>
      <c r="BB146" t="s">
        <v>970</v>
      </c>
      <c r="BC146" t="b">
        <v>1</v>
      </c>
    </row>
    <row r="147" spans="1:55">
      <c r="A147" t="s">
        <v>1269</v>
      </c>
      <c r="B147" t="s">
        <v>939</v>
      </c>
      <c r="C147">
        <v>149600</v>
      </c>
      <c r="D147">
        <v>114800</v>
      </c>
      <c r="E147">
        <v>149600</v>
      </c>
      <c r="F147">
        <v>251800</v>
      </c>
      <c r="G147" s="9">
        <v>4.1938458684570848E-3</v>
      </c>
      <c r="H147" s="9">
        <v>1.1857925094244791E-2</v>
      </c>
      <c r="I147" s="9">
        <v>1.7786887641367186E-2</v>
      </c>
      <c r="J147" s="10">
        <v>1161.6550265828903</v>
      </c>
      <c r="K147" s="10">
        <v>1161.6550265828903</v>
      </c>
      <c r="L147" s="10">
        <v>1161.6550265828903</v>
      </c>
      <c r="M147" s="10">
        <v>1161.6550265828903</v>
      </c>
      <c r="N147" s="10">
        <v>1161.6550265828903</v>
      </c>
      <c r="O147" s="10">
        <v>1161.6550265828903</v>
      </c>
      <c r="P147" s="10">
        <v>1161.6550265828903</v>
      </c>
      <c r="Q147" s="10">
        <v>1161.6550265828903</v>
      </c>
      <c r="R147" s="10">
        <v>1161.6550265828903</v>
      </c>
      <c r="S147" s="10">
        <v>1161.6550265828903</v>
      </c>
      <c r="T147" s="10">
        <v>1161.6550265828903</v>
      </c>
      <c r="V147" t="s">
        <v>456</v>
      </c>
      <c r="W147" t="s">
        <v>1269</v>
      </c>
      <c r="X147" t="s">
        <v>1270</v>
      </c>
      <c r="Y147" t="s">
        <v>941</v>
      </c>
      <c r="Z147" t="s">
        <v>942</v>
      </c>
      <c r="AB147" t="s">
        <v>500</v>
      </c>
      <c r="AC147" t="s">
        <v>499</v>
      </c>
      <c r="AD147" t="s">
        <v>968</v>
      </c>
      <c r="AF147" t="s">
        <v>944</v>
      </c>
      <c r="AG147" t="s">
        <v>999</v>
      </c>
      <c r="AH147" t="s">
        <v>946</v>
      </c>
      <c r="AI147" t="s">
        <v>977</v>
      </c>
      <c r="AJ147" t="s">
        <v>948</v>
      </c>
      <c r="AK147">
        <v>1</v>
      </c>
      <c r="AL147" s="10">
        <v>114.8</v>
      </c>
      <c r="AM147" s="10">
        <v>149.6</v>
      </c>
      <c r="AN147" s="10">
        <v>251.8</v>
      </c>
      <c r="AO147" s="9">
        <v>6.6395644895833996E-3</v>
      </c>
      <c r="AP147" s="9">
        <v>0.61360000000000003</v>
      </c>
      <c r="AQ147" s="9">
        <v>0.4738458684570836</v>
      </c>
      <c r="AR147" s="9">
        <v>3.7200000000000006</v>
      </c>
      <c r="AS147" s="9">
        <v>4.1938458684570845</v>
      </c>
      <c r="AT147" s="9">
        <v>3.1779250942447894</v>
      </c>
      <c r="AU147" s="9">
        <v>8.6800000000000015</v>
      </c>
      <c r="AV147" s="9">
        <v>11.857925094244791</v>
      </c>
      <c r="AW147" s="11">
        <v>1.1616550265828902</v>
      </c>
      <c r="AX147" s="11">
        <v>1.1616550265828902</v>
      </c>
      <c r="AY147" t="s">
        <v>969</v>
      </c>
      <c r="AZ147" t="s">
        <v>950</v>
      </c>
      <c r="BA147" t="s">
        <v>951</v>
      </c>
      <c r="BB147" t="s">
        <v>970</v>
      </c>
      <c r="BC147" t="b">
        <v>1</v>
      </c>
    </row>
    <row r="148" spans="1:55">
      <c r="A148" t="s">
        <v>1271</v>
      </c>
      <c r="B148" t="s">
        <v>939</v>
      </c>
      <c r="C148">
        <v>1914400</v>
      </c>
      <c r="D148">
        <v>1469400</v>
      </c>
      <c r="E148">
        <v>1914400</v>
      </c>
      <c r="F148">
        <v>3223400</v>
      </c>
      <c r="G148" s="9">
        <v>6.3067170795933917E-3</v>
      </c>
      <c r="H148" s="9">
        <v>1.5655389955859089E-2</v>
      </c>
      <c r="I148" s="9">
        <v>2.3483084933788631E-2</v>
      </c>
      <c r="J148" s="10">
        <v>14865.457104881583</v>
      </c>
      <c r="K148" s="10">
        <v>14865.457104881583</v>
      </c>
      <c r="L148" s="10">
        <v>14865.457104881583</v>
      </c>
      <c r="M148" s="10">
        <v>14865.457104881583</v>
      </c>
      <c r="N148" s="10">
        <v>14865.457104881583</v>
      </c>
      <c r="O148" s="10">
        <v>14865.457104881583</v>
      </c>
      <c r="P148" s="10">
        <v>14865.457104881583</v>
      </c>
      <c r="Q148" s="10">
        <v>14865.457104881583</v>
      </c>
      <c r="R148" s="10">
        <v>14865.457104881583</v>
      </c>
      <c r="S148" s="10">
        <v>14865.457104881583</v>
      </c>
      <c r="T148" s="10">
        <v>14865.457104881583</v>
      </c>
      <c r="V148" t="s">
        <v>456</v>
      </c>
      <c r="W148" t="s">
        <v>1271</v>
      </c>
      <c r="X148" t="s">
        <v>1272</v>
      </c>
      <c r="Y148" t="s">
        <v>941</v>
      </c>
      <c r="Z148" t="s">
        <v>942</v>
      </c>
      <c r="AB148" t="s">
        <v>500</v>
      </c>
      <c r="AC148" t="s">
        <v>499</v>
      </c>
      <c r="AD148" t="s">
        <v>968</v>
      </c>
      <c r="AF148" t="s">
        <v>944</v>
      </c>
      <c r="AG148" t="s">
        <v>976</v>
      </c>
      <c r="AH148" t="s">
        <v>956</v>
      </c>
      <c r="AI148" t="s">
        <v>977</v>
      </c>
      <c r="AJ148" t="s">
        <v>948</v>
      </c>
      <c r="AK148">
        <v>5</v>
      </c>
      <c r="AL148" s="10">
        <v>1469.4</v>
      </c>
      <c r="AM148" s="10">
        <v>1914.4</v>
      </c>
      <c r="AN148" s="10">
        <v>3223.4</v>
      </c>
      <c r="AO148" s="9">
        <v>8.4983395678439905E-2</v>
      </c>
      <c r="AP148" s="9">
        <v>7.8538000000000006</v>
      </c>
      <c r="AQ148" s="9">
        <v>2.5867170795933911</v>
      </c>
      <c r="AR148" s="9">
        <v>3.72</v>
      </c>
      <c r="AS148" s="9">
        <v>6.3067170795933913</v>
      </c>
      <c r="AT148" s="9">
        <v>6.9753899558590851</v>
      </c>
      <c r="AU148" s="9">
        <v>8.6800000000000015</v>
      </c>
      <c r="AV148" s="9">
        <v>15.655389955859089</v>
      </c>
      <c r="AW148" s="11">
        <v>14.865457104881584</v>
      </c>
      <c r="AX148" s="11">
        <v>14.865457104881584</v>
      </c>
      <c r="AY148" t="s">
        <v>969</v>
      </c>
      <c r="AZ148" t="s">
        <v>950</v>
      </c>
      <c r="BA148" t="s">
        <v>951</v>
      </c>
      <c r="BB148" t="s">
        <v>970</v>
      </c>
      <c r="BC148" t="b">
        <v>1</v>
      </c>
    </row>
    <row r="149" spans="1:55">
      <c r="A149" t="s">
        <v>1273</v>
      </c>
      <c r="B149" t="s">
        <v>939</v>
      </c>
      <c r="C149">
        <v>625000</v>
      </c>
      <c r="D149">
        <v>479700</v>
      </c>
      <c r="E149">
        <v>625000</v>
      </c>
      <c r="F149">
        <v>1052300</v>
      </c>
      <c r="G149" s="9">
        <v>1.2198464485410052E-2</v>
      </c>
      <c r="H149" s="9">
        <v>2.0549850279574077E-2</v>
      </c>
      <c r="I149" s="9">
        <v>3.0824775419361114E-2</v>
      </c>
      <c r="J149" s="10">
        <v>4853.1710669405502</v>
      </c>
      <c r="K149" s="10">
        <v>4853.1710669405502</v>
      </c>
      <c r="L149" s="10">
        <v>4853.1710669405502</v>
      </c>
      <c r="M149" s="10">
        <v>4853.1710669405502</v>
      </c>
      <c r="N149" s="10">
        <v>4853.1710669405502</v>
      </c>
      <c r="O149" s="10">
        <v>4853.1710669405502</v>
      </c>
      <c r="P149" s="10">
        <v>4853.1710669405502</v>
      </c>
      <c r="Q149" s="10">
        <v>4853.1710669405502</v>
      </c>
      <c r="R149" s="10">
        <v>4853.1710669405502</v>
      </c>
      <c r="S149" s="10">
        <v>4853.1710669405502</v>
      </c>
      <c r="T149" s="10">
        <v>4853.1710669405502</v>
      </c>
      <c r="V149" t="s">
        <v>456</v>
      </c>
      <c r="W149" t="s">
        <v>1273</v>
      </c>
      <c r="X149" t="s">
        <v>1274</v>
      </c>
      <c r="Y149" t="s">
        <v>941</v>
      </c>
      <c r="Z149" t="s">
        <v>942</v>
      </c>
      <c r="AB149" t="s">
        <v>500</v>
      </c>
      <c r="AC149" t="s">
        <v>499</v>
      </c>
      <c r="AD149" t="s">
        <v>968</v>
      </c>
      <c r="AF149" t="s">
        <v>944</v>
      </c>
      <c r="AG149" t="s">
        <v>996</v>
      </c>
      <c r="AH149" t="s">
        <v>988</v>
      </c>
      <c r="AI149" t="s">
        <v>977</v>
      </c>
      <c r="AJ149" t="s">
        <v>948</v>
      </c>
      <c r="AK149">
        <v>2</v>
      </c>
      <c r="AL149" s="10">
        <v>479.7</v>
      </c>
      <c r="AM149" s="10">
        <v>625</v>
      </c>
      <c r="AN149" s="10">
        <v>1052.3</v>
      </c>
      <c r="AO149" s="9">
        <v>2.7744203636395098E-2</v>
      </c>
      <c r="AP149" s="9">
        <v>2.5640000000000001</v>
      </c>
      <c r="AQ149" s="9">
        <v>8.4784644854100542</v>
      </c>
      <c r="AR149" s="9">
        <v>3.72</v>
      </c>
      <c r="AS149" s="9">
        <v>12.198464485410051</v>
      </c>
      <c r="AT149" s="9">
        <v>11.869850279574075</v>
      </c>
      <c r="AU149" s="9">
        <v>8.6800000000000015</v>
      </c>
      <c r="AV149" s="9">
        <v>20.549850279574077</v>
      </c>
      <c r="AW149" s="11">
        <v>4.8531710669405506</v>
      </c>
      <c r="AX149" s="11">
        <v>4.8531710669405506</v>
      </c>
      <c r="AY149" t="s">
        <v>969</v>
      </c>
      <c r="AZ149" t="s">
        <v>950</v>
      </c>
      <c r="BA149" t="s">
        <v>951</v>
      </c>
      <c r="BB149" t="s">
        <v>970</v>
      </c>
      <c r="BC149" t="b">
        <v>1</v>
      </c>
    </row>
    <row r="150" spans="1:55">
      <c r="A150" t="s">
        <v>1275</v>
      </c>
      <c r="B150" t="s">
        <v>939</v>
      </c>
      <c r="C150">
        <v>13900</v>
      </c>
      <c r="D150">
        <v>7500</v>
      </c>
      <c r="E150">
        <v>13900</v>
      </c>
      <c r="F150">
        <v>28100</v>
      </c>
      <c r="G150" s="9">
        <v>7.7921080035197191E-3</v>
      </c>
      <c r="H150" s="9">
        <v>2.38298838607842E-2</v>
      </c>
      <c r="I150" s="9">
        <v>3.5744825791176299E-2</v>
      </c>
      <c r="J150" s="10">
        <v>556</v>
      </c>
      <c r="K150" s="10">
        <v>556</v>
      </c>
      <c r="L150" s="10">
        <v>556</v>
      </c>
      <c r="M150" s="10">
        <v>556</v>
      </c>
      <c r="N150" s="10">
        <v>556</v>
      </c>
      <c r="O150" s="10">
        <v>556</v>
      </c>
      <c r="P150" s="10">
        <v>556</v>
      </c>
      <c r="Q150" s="10">
        <v>556</v>
      </c>
      <c r="R150" s="10">
        <v>556</v>
      </c>
      <c r="S150" s="10">
        <v>556</v>
      </c>
      <c r="T150" s="10">
        <v>556</v>
      </c>
      <c r="V150" t="s">
        <v>456</v>
      </c>
      <c r="W150" t="s">
        <v>1275</v>
      </c>
      <c r="X150" t="s">
        <v>1276</v>
      </c>
      <c r="Y150" t="s">
        <v>941</v>
      </c>
      <c r="Z150" t="s">
        <v>942</v>
      </c>
      <c r="AB150" t="s">
        <v>500</v>
      </c>
      <c r="AC150" t="s">
        <v>499</v>
      </c>
      <c r="AD150" t="s">
        <v>943</v>
      </c>
      <c r="AF150" t="s">
        <v>944</v>
      </c>
      <c r="AG150" t="s">
        <v>959</v>
      </c>
      <c r="AH150" t="s">
        <v>946</v>
      </c>
      <c r="AI150" t="s">
        <v>960</v>
      </c>
      <c r="AJ150" t="s">
        <v>948</v>
      </c>
      <c r="AK150">
        <v>1</v>
      </c>
      <c r="AL150" s="10">
        <v>7.5</v>
      </c>
      <c r="AM150" s="10">
        <v>13.9</v>
      </c>
      <c r="AN150" s="10">
        <v>28.1</v>
      </c>
      <c r="AO150" s="9">
        <v>2.80136383752977E-2</v>
      </c>
      <c r="AP150" s="9">
        <v>2.5889000000000002</v>
      </c>
      <c r="AQ150" s="9">
        <v>4.2108003519719099E-2</v>
      </c>
      <c r="AR150" s="9">
        <v>7.7500000000000009</v>
      </c>
      <c r="AS150" s="9">
        <v>7.7921080035197194</v>
      </c>
      <c r="AT150" s="9">
        <v>0.22988386078419731</v>
      </c>
      <c r="AU150" s="9">
        <v>23.600000000000005</v>
      </c>
      <c r="AV150" s="9">
        <v>23.8298838607842</v>
      </c>
      <c r="AW150" s="11">
        <v>0.55600000000000005</v>
      </c>
      <c r="AX150" s="11">
        <v>0.55600000000000005</v>
      </c>
      <c r="AY150" t="s">
        <v>949</v>
      </c>
      <c r="AZ150" t="s">
        <v>950</v>
      </c>
      <c r="BA150" t="s">
        <v>951</v>
      </c>
      <c r="BB150" t="s">
        <v>952</v>
      </c>
      <c r="BC150" t="b">
        <v>1</v>
      </c>
    </row>
    <row r="151" spans="1:55">
      <c r="A151" t="s">
        <v>1277</v>
      </c>
      <c r="B151" t="s">
        <v>939</v>
      </c>
      <c r="C151">
        <v>3822600</v>
      </c>
      <c r="D151">
        <v>2078699.9999999998</v>
      </c>
      <c r="E151">
        <v>3822600</v>
      </c>
      <c r="F151">
        <v>7748300</v>
      </c>
      <c r="G151" s="9">
        <v>1.4437383186895272E-2</v>
      </c>
      <c r="H151" s="9">
        <v>4.8589422421380486E-2</v>
      </c>
      <c r="I151" s="9">
        <v>7.2884133632070733E-2</v>
      </c>
      <c r="J151" s="10">
        <v>152904</v>
      </c>
      <c r="K151" s="10">
        <v>152904</v>
      </c>
      <c r="L151" s="10">
        <v>152904</v>
      </c>
      <c r="M151" s="10">
        <v>152904</v>
      </c>
      <c r="N151" s="10">
        <v>152904</v>
      </c>
      <c r="O151" s="10">
        <v>152904</v>
      </c>
      <c r="P151" s="10">
        <v>152904</v>
      </c>
      <c r="Q151" s="10">
        <v>152904</v>
      </c>
      <c r="R151" s="10">
        <v>152904</v>
      </c>
      <c r="S151" s="10">
        <v>152904</v>
      </c>
      <c r="T151" s="10">
        <v>152904</v>
      </c>
      <c r="V151" t="s">
        <v>456</v>
      </c>
      <c r="W151" t="s">
        <v>1277</v>
      </c>
      <c r="X151" t="s">
        <v>1278</v>
      </c>
      <c r="Y151" t="s">
        <v>941</v>
      </c>
      <c r="Z151" t="s">
        <v>942</v>
      </c>
      <c r="AB151" t="s">
        <v>500</v>
      </c>
      <c r="AC151" t="s">
        <v>499</v>
      </c>
      <c r="AD151" t="s">
        <v>943</v>
      </c>
      <c r="AF151" t="s">
        <v>944</v>
      </c>
      <c r="AG151" t="s">
        <v>945</v>
      </c>
      <c r="AH151" t="s">
        <v>946</v>
      </c>
      <c r="AI151" t="s">
        <v>947</v>
      </c>
      <c r="AJ151" t="s">
        <v>948</v>
      </c>
      <c r="AK151">
        <v>29</v>
      </c>
      <c r="AL151" s="10">
        <v>2078.6999999999998</v>
      </c>
      <c r="AM151" s="10">
        <v>3822.6</v>
      </c>
      <c r="AN151" s="10">
        <v>7748.3</v>
      </c>
      <c r="AO151" s="9">
        <v>0.30603782690603443</v>
      </c>
      <c r="AP151" s="9">
        <v>28.282699999999998</v>
      </c>
      <c r="AQ151" s="9">
        <v>0.2164228220031843</v>
      </c>
      <c r="AR151" s="9">
        <v>14.22096036489209</v>
      </c>
      <c r="AS151" s="9">
        <v>14.437383186895271</v>
      </c>
      <c r="AT151" s="9">
        <v>1.6939651077689424</v>
      </c>
      <c r="AU151" s="9">
        <v>46.895457313611537</v>
      </c>
      <c r="AV151" s="9">
        <v>48.589422421380483</v>
      </c>
      <c r="AW151" s="11">
        <v>152.904</v>
      </c>
      <c r="AX151" s="11">
        <v>152.904</v>
      </c>
      <c r="AY151" t="s">
        <v>949</v>
      </c>
      <c r="AZ151" t="s">
        <v>950</v>
      </c>
      <c r="BA151" t="s">
        <v>951</v>
      </c>
      <c r="BB151" t="s">
        <v>952</v>
      </c>
      <c r="BC151" t="b">
        <v>1</v>
      </c>
    </row>
    <row r="152" spans="1:55">
      <c r="A152" t="s">
        <v>1279</v>
      </c>
      <c r="B152" t="s">
        <v>939</v>
      </c>
      <c r="C152">
        <v>4793400</v>
      </c>
      <c r="D152">
        <v>3679000</v>
      </c>
      <c r="E152">
        <v>4793400</v>
      </c>
      <c r="F152">
        <v>8070700</v>
      </c>
      <c r="G152" s="9">
        <v>1.4281379567917174E-2</v>
      </c>
      <c r="H152" s="9">
        <v>3.6629306659115304E-2</v>
      </c>
      <c r="I152" s="9">
        <v>5.4943959988672957E-2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V152" t="s">
        <v>456</v>
      </c>
      <c r="W152" t="s">
        <v>1279</v>
      </c>
      <c r="X152" t="s">
        <v>1280</v>
      </c>
      <c r="Y152" t="s">
        <v>941</v>
      </c>
      <c r="Z152" t="s">
        <v>942</v>
      </c>
      <c r="AB152" t="s">
        <v>501</v>
      </c>
      <c r="AC152" t="s">
        <v>501</v>
      </c>
      <c r="AD152" t="s">
        <v>968</v>
      </c>
      <c r="AF152" t="s">
        <v>944</v>
      </c>
      <c r="AG152" t="s">
        <v>955</v>
      </c>
      <c r="AH152" t="s">
        <v>956</v>
      </c>
      <c r="AI152" t="s">
        <v>947</v>
      </c>
      <c r="AJ152" t="s">
        <v>948</v>
      </c>
      <c r="AK152">
        <v>2</v>
      </c>
      <c r="AL152" s="10">
        <v>3679</v>
      </c>
      <c r="AM152" s="10">
        <v>4793.3999999999996</v>
      </c>
      <c r="AN152" s="10">
        <v>8070.7</v>
      </c>
      <c r="AO152" s="9">
        <v>0.64524207011686152</v>
      </c>
      <c r="AP152" s="9">
        <v>1.546</v>
      </c>
      <c r="AQ152" s="9">
        <v>5.4166345386129917</v>
      </c>
      <c r="AR152" s="9">
        <v>8.8647450293041814</v>
      </c>
      <c r="AS152" s="9">
        <v>14.281379567917174</v>
      </c>
      <c r="AT152" s="9">
        <v>11.027699056550675</v>
      </c>
      <c r="AU152" s="9">
        <v>25.601607602564638</v>
      </c>
      <c r="AV152" s="9">
        <v>36.629306659115308</v>
      </c>
      <c r="AW152" s="11">
        <v>0</v>
      </c>
      <c r="AX152" s="11">
        <v>0</v>
      </c>
      <c r="AY152" t="s">
        <v>969</v>
      </c>
      <c r="AZ152" t="s">
        <v>950</v>
      </c>
      <c r="BA152" t="s">
        <v>951</v>
      </c>
      <c r="BB152" t="s">
        <v>970</v>
      </c>
      <c r="BC152" t="b">
        <v>1</v>
      </c>
    </row>
    <row r="153" spans="1:55">
      <c r="A153" t="s">
        <v>1281</v>
      </c>
      <c r="B153" t="s">
        <v>939</v>
      </c>
      <c r="C153">
        <v>0</v>
      </c>
      <c r="D153">
        <v>0</v>
      </c>
      <c r="E153">
        <v>0</v>
      </c>
      <c r="F153">
        <v>100</v>
      </c>
      <c r="G153" s="9">
        <v>1.2956479777146118E-2</v>
      </c>
      <c r="H153" s="9">
        <v>3.0889071688004564E-2</v>
      </c>
      <c r="I153" s="9">
        <v>4.6333607532006847E-2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V153" t="s">
        <v>456</v>
      </c>
      <c r="W153" t="s">
        <v>1281</v>
      </c>
      <c r="X153" t="s">
        <v>1282</v>
      </c>
      <c r="Y153" t="s">
        <v>941</v>
      </c>
      <c r="Z153" t="s">
        <v>942</v>
      </c>
      <c r="AB153" t="s">
        <v>501</v>
      </c>
      <c r="AC153" t="s">
        <v>501</v>
      </c>
      <c r="AD153" t="s">
        <v>943</v>
      </c>
      <c r="AF153" t="s">
        <v>944</v>
      </c>
      <c r="AG153" t="s">
        <v>965</v>
      </c>
      <c r="AH153" t="s">
        <v>956</v>
      </c>
      <c r="AI153" t="s">
        <v>960</v>
      </c>
      <c r="AJ153" t="s">
        <v>948</v>
      </c>
      <c r="AK153">
        <v>1</v>
      </c>
      <c r="AL153" s="10">
        <v>0</v>
      </c>
      <c r="AM153" s="10">
        <v>0</v>
      </c>
      <c r="AN153" s="10">
        <v>0.1</v>
      </c>
      <c r="AO153" s="9">
        <v>0.35475792988313859</v>
      </c>
      <c r="AP153" s="9">
        <v>0.85</v>
      </c>
      <c r="AQ153" s="9">
        <v>5.2064797771461189</v>
      </c>
      <c r="AR153" s="9">
        <v>7.75</v>
      </c>
      <c r="AS153" s="9">
        <v>12.956479777146118</v>
      </c>
      <c r="AT153" s="9">
        <v>7.2890716880045652</v>
      </c>
      <c r="AU153" s="9">
        <v>23.600000000000005</v>
      </c>
      <c r="AV153" s="9">
        <v>30.889071688004563</v>
      </c>
      <c r="AW153" s="11">
        <v>0</v>
      </c>
      <c r="AX153" s="11">
        <v>0</v>
      </c>
      <c r="AY153" t="s">
        <v>949</v>
      </c>
      <c r="AZ153" t="s">
        <v>950</v>
      </c>
      <c r="BA153" t="s">
        <v>951</v>
      </c>
      <c r="BB153" t="s">
        <v>970</v>
      </c>
      <c r="BC153" t="b">
        <v>1</v>
      </c>
    </row>
    <row r="154" spans="1:55">
      <c r="A154" t="s">
        <v>1283</v>
      </c>
      <c r="B154" t="s">
        <v>939</v>
      </c>
      <c r="C154">
        <v>1179500</v>
      </c>
      <c r="D154">
        <v>641400</v>
      </c>
      <c r="E154">
        <v>1179500</v>
      </c>
      <c r="F154">
        <v>2390700</v>
      </c>
      <c r="G154" s="9">
        <v>8.2890589013136836E-3</v>
      </c>
      <c r="H154" s="9">
        <v>2.6003122150868377E-2</v>
      </c>
      <c r="I154" s="9">
        <v>3.9004683226302565E-2</v>
      </c>
      <c r="J154" s="10">
        <v>47180</v>
      </c>
      <c r="K154" s="10">
        <v>47180</v>
      </c>
      <c r="L154" s="10">
        <v>47180</v>
      </c>
      <c r="M154" s="10">
        <v>47180</v>
      </c>
      <c r="N154" s="10">
        <v>47180</v>
      </c>
      <c r="O154" s="10">
        <v>47180</v>
      </c>
      <c r="P154" s="10">
        <v>47180</v>
      </c>
      <c r="Q154" s="10">
        <v>47180</v>
      </c>
      <c r="R154" s="10">
        <v>47180</v>
      </c>
      <c r="S154" s="10">
        <v>47180</v>
      </c>
      <c r="T154" s="10">
        <v>47180</v>
      </c>
      <c r="V154" t="s">
        <v>456</v>
      </c>
      <c r="W154" t="s">
        <v>1283</v>
      </c>
      <c r="X154" t="s">
        <v>1284</v>
      </c>
      <c r="Y154" t="s">
        <v>941</v>
      </c>
      <c r="Z154" t="s">
        <v>942</v>
      </c>
      <c r="AB154" t="s">
        <v>503</v>
      </c>
      <c r="AC154" t="s">
        <v>502</v>
      </c>
      <c r="AD154" t="s">
        <v>943</v>
      </c>
      <c r="AF154" t="s">
        <v>944</v>
      </c>
      <c r="AG154" t="s">
        <v>959</v>
      </c>
      <c r="AH154" t="s">
        <v>946</v>
      </c>
      <c r="AI154" t="s">
        <v>960</v>
      </c>
      <c r="AJ154" t="s">
        <v>948</v>
      </c>
      <c r="AK154">
        <v>11</v>
      </c>
      <c r="AL154" s="10">
        <v>641.4</v>
      </c>
      <c r="AM154" s="10">
        <v>1179.5</v>
      </c>
      <c r="AN154" s="10">
        <v>2390.6999999999998</v>
      </c>
      <c r="AO154" s="9">
        <v>1</v>
      </c>
      <c r="AP154" s="9">
        <v>5.3417999999999992</v>
      </c>
      <c r="AQ154" s="9">
        <v>0.53905890131368261</v>
      </c>
      <c r="AR154" s="9">
        <v>7.7500000000000027</v>
      </c>
      <c r="AS154" s="9">
        <v>8.2890589013136839</v>
      </c>
      <c r="AT154" s="9">
        <v>2.4031221508683771</v>
      </c>
      <c r="AU154" s="9">
        <v>23.6</v>
      </c>
      <c r="AV154" s="9">
        <v>26.003122150868379</v>
      </c>
      <c r="AW154" s="11">
        <v>47.18</v>
      </c>
      <c r="AX154" s="11">
        <v>47.18</v>
      </c>
      <c r="AY154" t="s">
        <v>949</v>
      </c>
      <c r="AZ154" t="s">
        <v>950</v>
      </c>
      <c r="BA154" t="s">
        <v>951</v>
      </c>
      <c r="BB154" t="s">
        <v>952</v>
      </c>
      <c r="BC154" t="b">
        <v>1</v>
      </c>
    </row>
    <row r="155" spans="1:55">
      <c r="A155" t="s">
        <v>1285</v>
      </c>
      <c r="B155" t="s">
        <v>939</v>
      </c>
      <c r="C155">
        <v>18400</v>
      </c>
      <c r="D155">
        <v>10000</v>
      </c>
      <c r="E155">
        <v>18400</v>
      </c>
      <c r="F155">
        <v>37200</v>
      </c>
      <c r="G155" s="9">
        <v>1.4374292089923232E-2</v>
      </c>
      <c r="H155" s="9"/>
      <c r="I155" s="9"/>
      <c r="J155" s="10">
        <v>736</v>
      </c>
      <c r="K155" s="10">
        <v>736</v>
      </c>
      <c r="L155" s="10">
        <v>736</v>
      </c>
      <c r="M155" s="10">
        <v>736</v>
      </c>
      <c r="N155" s="10">
        <v>736</v>
      </c>
      <c r="O155" s="10">
        <v>736</v>
      </c>
      <c r="P155" s="10">
        <v>736</v>
      </c>
      <c r="Q155" s="10">
        <v>736</v>
      </c>
      <c r="R155" s="10">
        <v>736</v>
      </c>
      <c r="S155" s="10">
        <v>736</v>
      </c>
      <c r="T155" s="10">
        <v>736</v>
      </c>
      <c r="V155" t="s">
        <v>456</v>
      </c>
      <c r="W155" t="s">
        <v>1285</v>
      </c>
      <c r="X155" t="s">
        <v>1286</v>
      </c>
      <c r="Y155" t="s">
        <v>941</v>
      </c>
      <c r="Z155" t="s">
        <v>942</v>
      </c>
      <c r="AB155" t="s">
        <v>34</v>
      </c>
      <c r="AC155" t="s">
        <v>34</v>
      </c>
      <c r="AD155" t="s">
        <v>943</v>
      </c>
      <c r="AF155" t="s">
        <v>944</v>
      </c>
      <c r="AG155" t="s">
        <v>945</v>
      </c>
      <c r="AH155" t="s">
        <v>946</v>
      </c>
      <c r="AI155" t="s">
        <v>947</v>
      </c>
      <c r="AJ155" t="s">
        <v>948</v>
      </c>
      <c r="AK155">
        <v>1</v>
      </c>
      <c r="AL155" s="10">
        <v>10</v>
      </c>
      <c r="AM155" s="10">
        <v>18.399999999999999</v>
      </c>
      <c r="AN155" s="10">
        <v>37.200000000000003</v>
      </c>
      <c r="AO155" s="9">
        <v>1</v>
      </c>
      <c r="AP155" s="9">
        <v>0.59499999999999997</v>
      </c>
      <c r="AQ155" s="9">
        <v>1.4331325969653028</v>
      </c>
      <c r="AR155" s="9">
        <v>12.941159492957929</v>
      </c>
      <c r="AS155" s="9">
        <v>14.374292089923232</v>
      </c>
      <c r="AT155" s="9"/>
      <c r="AU155" s="9"/>
      <c r="AV155" s="9"/>
      <c r="AW155" s="11">
        <v>0.73599999999999999</v>
      </c>
      <c r="AX155" s="11">
        <v>0.73599999999999999</v>
      </c>
      <c r="AY155" t="s">
        <v>949</v>
      </c>
      <c r="AZ155" t="s">
        <v>950</v>
      </c>
      <c r="BA155" t="s">
        <v>951</v>
      </c>
      <c r="BB155" t="s">
        <v>952</v>
      </c>
      <c r="BC155" t="b">
        <v>0</v>
      </c>
    </row>
    <row r="156" spans="1:55">
      <c r="A156" t="s">
        <v>1287</v>
      </c>
      <c r="B156" t="s">
        <v>939</v>
      </c>
      <c r="C156">
        <v>2192500</v>
      </c>
      <c r="D156">
        <v>1192200</v>
      </c>
      <c r="E156">
        <v>2192500</v>
      </c>
      <c r="F156">
        <v>4444000</v>
      </c>
      <c r="G156" s="9">
        <v>1.5106304089886224E-2</v>
      </c>
      <c r="H156" s="9">
        <v>4.8808842467732129E-2</v>
      </c>
      <c r="I156" s="9">
        <v>7.3213263701598197E-2</v>
      </c>
      <c r="J156" s="10">
        <v>87700</v>
      </c>
      <c r="K156" s="10">
        <v>87700</v>
      </c>
      <c r="L156" s="10">
        <v>87700</v>
      </c>
      <c r="M156" s="10">
        <v>87700</v>
      </c>
      <c r="N156" s="10">
        <v>87700</v>
      </c>
      <c r="O156" s="10">
        <v>87700</v>
      </c>
      <c r="P156" s="10">
        <v>87700</v>
      </c>
      <c r="Q156" s="10">
        <v>87700</v>
      </c>
      <c r="R156" s="10">
        <v>87700</v>
      </c>
      <c r="S156" s="10">
        <v>87700</v>
      </c>
      <c r="T156" s="10">
        <v>87700</v>
      </c>
      <c r="V156" t="s">
        <v>456</v>
      </c>
      <c r="W156" t="s">
        <v>1287</v>
      </c>
      <c r="X156" t="s">
        <v>1288</v>
      </c>
      <c r="Y156" t="s">
        <v>941</v>
      </c>
      <c r="Z156" t="s">
        <v>942</v>
      </c>
      <c r="AB156" t="s">
        <v>505</v>
      </c>
      <c r="AC156" t="s">
        <v>504</v>
      </c>
      <c r="AD156" t="s">
        <v>943</v>
      </c>
      <c r="AF156" t="s">
        <v>944</v>
      </c>
      <c r="AG156" t="s">
        <v>945</v>
      </c>
      <c r="AH156" t="s">
        <v>946</v>
      </c>
      <c r="AI156" t="s">
        <v>947</v>
      </c>
      <c r="AJ156" t="s">
        <v>948</v>
      </c>
      <c r="AK156">
        <v>10</v>
      </c>
      <c r="AL156" s="10">
        <v>1192.2</v>
      </c>
      <c r="AM156" s="10">
        <v>2192.5</v>
      </c>
      <c r="AN156" s="10">
        <v>4444</v>
      </c>
      <c r="AO156" s="9">
        <v>0.70013244073377801</v>
      </c>
      <c r="AP156" s="9">
        <v>17.392199999999999</v>
      </c>
      <c r="AQ156" s="9">
        <v>0.58373042854239987</v>
      </c>
      <c r="AR156" s="9">
        <v>14.52257366134382</v>
      </c>
      <c r="AS156" s="9">
        <v>15.106304089886224</v>
      </c>
      <c r="AT156" s="9">
        <v>0.82757728689436438</v>
      </c>
      <c r="AU156" s="9">
        <v>47.981265180837767</v>
      </c>
      <c r="AV156" s="9">
        <v>48.808842467732127</v>
      </c>
      <c r="AW156" s="11">
        <v>87.7</v>
      </c>
      <c r="AX156" s="11">
        <v>87.7</v>
      </c>
      <c r="AY156" t="s">
        <v>949</v>
      </c>
      <c r="AZ156" t="s">
        <v>950</v>
      </c>
      <c r="BA156" t="s">
        <v>951</v>
      </c>
      <c r="BB156" t="s">
        <v>952</v>
      </c>
      <c r="BC156" t="b">
        <v>1</v>
      </c>
    </row>
    <row r="157" spans="1:55">
      <c r="A157" t="s">
        <v>1289</v>
      </c>
      <c r="B157" t="s">
        <v>939</v>
      </c>
      <c r="C157">
        <v>200</v>
      </c>
      <c r="D157">
        <v>100</v>
      </c>
      <c r="E157">
        <v>200</v>
      </c>
      <c r="F157">
        <v>300</v>
      </c>
      <c r="G157" s="9">
        <v>1.0393665918856619E-2</v>
      </c>
      <c r="H157" s="9">
        <v>2.7394193761391825E-2</v>
      </c>
      <c r="I157" s="9">
        <v>4.109129064208774E-2</v>
      </c>
      <c r="J157" s="10">
        <v>8</v>
      </c>
      <c r="K157" s="10">
        <v>8</v>
      </c>
      <c r="L157" s="10">
        <v>8</v>
      </c>
      <c r="M157" s="10">
        <v>8</v>
      </c>
      <c r="N157" s="10">
        <v>8</v>
      </c>
      <c r="O157" s="10">
        <v>8</v>
      </c>
      <c r="P157" s="10">
        <v>8</v>
      </c>
      <c r="Q157" s="10">
        <v>8</v>
      </c>
      <c r="R157" s="10">
        <v>8</v>
      </c>
      <c r="S157" s="10">
        <v>8</v>
      </c>
      <c r="T157" s="10">
        <v>8</v>
      </c>
      <c r="V157" t="s">
        <v>456</v>
      </c>
      <c r="W157" t="s">
        <v>1289</v>
      </c>
      <c r="X157" t="s">
        <v>1290</v>
      </c>
      <c r="Y157" t="s">
        <v>941</v>
      </c>
      <c r="Z157" t="s">
        <v>942</v>
      </c>
      <c r="AB157" t="s">
        <v>505</v>
      </c>
      <c r="AC157" t="s">
        <v>504</v>
      </c>
      <c r="AD157" t="s">
        <v>943</v>
      </c>
      <c r="AF157" t="s">
        <v>944</v>
      </c>
      <c r="AG157" t="s">
        <v>965</v>
      </c>
      <c r="AH157" t="s">
        <v>956</v>
      </c>
      <c r="AI157" t="s">
        <v>960</v>
      </c>
      <c r="AJ157" t="s">
        <v>948</v>
      </c>
      <c r="AK157">
        <v>1</v>
      </c>
      <c r="AL157" s="10">
        <v>0.1</v>
      </c>
      <c r="AM157" s="10">
        <v>0.2</v>
      </c>
      <c r="AN157" s="10">
        <v>0.3</v>
      </c>
      <c r="AO157" s="9">
        <v>0.114611554145717</v>
      </c>
      <c r="AP157" s="9">
        <v>2.8471000000000002</v>
      </c>
      <c r="AQ157" s="9">
        <v>2.6436659188566201</v>
      </c>
      <c r="AR157" s="9">
        <v>7.75</v>
      </c>
      <c r="AS157" s="9">
        <v>10.39366591885662</v>
      </c>
      <c r="AT157" s="9">
        <v>3.7941937613918255</v>
      </c>
      <c r="AU157" s="9">
        <v>23.6</v>
      </c>
      <c r="AV157" s="9">
        <v>27.394193761391826</v>
      </c>
      <c r="AW157" s="11">
        <v>8.0000000000000002E-3</v>
      </c>
      <c r="AX157" s="11">
        <v>8.0000000000000002E-3</v>
      </c>
      <c r="AY157" t="s">
        <v>949</v>
      </c>
      <c r="AZ157" t="s">
        <v>950</v>
      </c>
      <c r="BA157" t="s">
        <v>951</v>
      </c>
      <c r="BB157" t="s">
        <v>952</v>
      </c>
      <c r="BC157" t="b">
        <v>1</v>
      </c>
    </row>
    <row r="158" spans="1:55">
      <c r="A158" t="s">
        <v>1291</v>
      </c>
      <c r="B158" t="s">
        <v>939</v>
      </c>
      <c r="C158">
        <v>580100</v>
      </c>
      <c r="D158">
        <v>315500</v>
      </c>
      <c r="E158">
        <v>580100</v>
      </c>
      <c r="F158">
        <v>1175900</v>
      </c>
      <c r="G158" s="9">
        <v>1.6356030139493511E-2</v>
      </c>
      <c r="H158" s="9"/>
      <c r="I158" s="9"/>
      <c r="J158" s="10">
        <v>23204</v>
      </c>
      <c r="K158" s="10">
        <v>23204</v>
      </c>
      <c r="L158" s="10">
        <v>23204</v>
      </c>
      <c r="M158" s="10">
        <v>23204</v>
      </c>
      <c r="N158" s="10">
        <v>23204</v>
      </c>
      <c r="O158" s="10">
        <v>23204</v>
      </c>
      <c r="P158" s="10">
        <v>23204</v>
      </c>
      <c r="Q158" s="10">
        <v>23204</v>
      </c>
      <c r="R158" s="10">
        <v>23204</v>
      </c>
      <c r="S158" s="10">
        <v>23204</v>
      </c>
      <c r="T158" s="10">
        <v>23204</v>
      </c>
      <c r="V158" t="s">
        <v>456</v>
      </c>
      <c r="W158" t="s">
        <v>1291</v>
      </c>
      <c r="X158" t="s">
        <v>1292</v>
      </c>
      <c r="Y158" t="s">
        <v>941</v>
      </c>
      <c r="Z158" t="s">
        <v>942</v>
      </c>
      <c r="AB158" t="s">
        <v>505</v>
      </c>
      <c r="AC158" t="s">
        <v>504</v>
      </c>
      <c r="AD158" t="s">
        <v>943</v>
      </c>
      <c r="AF158" t="s">
        <v>944</v>
      </c>
      <c r="AG158" t="s">
        <v>955</v>
      </c>
      <c r="AH158" t="s">
        <v>956</v>
      </c>
      <c r="AI158" t="s">
        <v>947</v>
      </c>
      <c r="AJ158" t="s">
        <v>948</v>
      </c>
      <c r="AK158">
        <v>4</v>
      </c>
      <c r="AL158" s="10">
        <v>315.5</v>
      </c>
      <c r="AM158" s="10">
        <v>580.1</v>
      </c>
      <c r="AN158" s="10">
        <v>1175.9000000000001</v>
      </c>
      <c r="AO158" s="9">
        <v>0.18525600512050491</v>
      </c>
      <c r="AP158" s="9">
        <v>4.6019999999999994</v>
      </c>
      <c r="AQ158" s="9">
        <v>1.833456478149688</v>
      </c>
      <c r="AR158" s="9">
        <v>14.522573661343824</v>
      </c>
      <c r="AS158" s="9">
        <v>16.356030139493512</v>
      </c>
      <c r="AT158" s="9"/>
      <c r="AU158" s="9"/>
      <c r="AV158" s="9"/>
      <c r="AW158" s="11">
        <v>23.204000000000001</v>
      </c>
      <c r="AX158" s="11">
        <v>23.204000000000001</v>
      </c>
      <c r="AY158" t="s">
        <v>949</v>
      </c>
      <c r="AZ158" t="s">
        <v>950</v>
      </c>
      <c r="BA158" t="s">
        <v>951</v>
      </c>
      <c r="BB158" t="s">
        <v>952</v>
      </c>
      <c r="BC158" t="b">
        <v>0</v>
      </c>
    </row>
    <row r="159" spans="1:55">
      <c r="A159" t="s">
        <v>1293</v>
      </c>
      <c r="B159" t="s">
        <v>939</v>
      </c>
      <c r="C159">
        <v>2595800</v>
      </c>
      <c r="D159">
        <v>1992400</v>
      </c>
      <c r="E159">
        <v>2595800</v>
      </c>
      <c r="F159">
        <v>4370600</v>
      </c>
      <c r="G159" s="9">
        <v>1.1286334872080628E-2</v>
      </c>
      <c r="H159" s="9">
        <v>3.100061352547797E-2</v>
      </c>
      <c r="I159" s="9">
        <v>4.6500920288216951E-2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V159" t="s">
        <v>456</v>
      </c>
      <c r="W159" t="s">
        <v>1293</v>
      </c>
      <c r="X159" t="s">
        <v>1294</v>
      </c>
      <c r="Y159" t="s">
        <v>941</v>
      </c>
      <c r="Z159" t="s">
        <v>942</v>
      </c>
      <c r="AB159" t="s">
        <v>35</v>
      </c>
      <c r="AC159" t="s">
        <v>35</v>
      </c>
      <c r="AD159" t="s">
        <v>968</v>
      </c>
      <c r="AF159" t="s">
        <v>944</v>
      </c>
      <c r="AG159" t="s">
        <v>955</v>
      </c>
      <c r="AH159" t="s">
        <v>956</v>
      </c>
      <c r="AI159" t="s">
        <v>947</v>
      </c>
      <c r="AJ159" t="s">
        <v>948</v>
      </c>
      <c r="AK159">
        <v>2</v>
      </c>
      <c r="AL159" s="10">
        <v>1992.4</v>
      </c>
      <c r="AM159" s="10">
        <v>2595.8000000000002</v>
      </c>
      <c r="AN159" s="10">
        <v>4370.6000000000004</v>
      </c>
      <c r="AO159" s="9">
        <v>0.57559536194601557</v>
      </c>
      <c r="AP159" s="9">
        <v>3.0430000000000001</v>
      </c>
      <c r="AQ159" s="9">
        <v>2.8368982463892962</v>
      </c>
      <c r="AR159" s="9">
        <v>8.4494366256913338</v>
      </c>
      <c r="AS159" s="9">
        <v>11.286334872080628</v>
      </c>
      <c r="AT159" s="9">
        <v>6.8525853355582971</v>
      </c>
      <c r="AU159" s="9">
        <v>24.148028189919671</v>
      </c>
      <c r="AV159" s="9">
        <v>31.00061352547797</v>
      </c>
      <c r="AW159" s="11">
        <v>0</v>
      </c>
      <c r="AX159" s="11">
        <v>0</v>
      </c>
      <c r="AY159" t="s">
        <v>969</v>
      </c>
      <c r="AZ159" t="s">
        <v>950</v>
      </c>
      <c r="BA159" t="s">
        <v>951</v>
      </c>
      <c r="BB159" t="s">
        <v>970</v>
      </c>
      <c r="BC159" t="b">
        <v>1</v>
      </c>
    </row>
    <row r="160" spans="1:55">
      <c r="A160" t="s">
        <v>1295</v>
      </c>
      <c r="B160" t="s">
        <v>939</v>
      </c>
      <c r="C160">
        <v>1914000</v>
      </c>
      <c r="D160">
        <v>1469000</v>
      </c>
      <c r="E160">
        <v>1914000</v>
      </c>
      <c r="F160">
        <v>3222600</v>
      </c>
      <c r="G160" s="9">
        <v>1.3581259022705001E-2</v>
      </c>
      <c r="H160" s="9">
        <v>3.3345458994876738E-2</v>
      </c>
      <c r="I160" s="9">
        <v>5.001818849231511E-2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V160" t="s">
        <v>456</v>
      </c>
      <c r="W160" t="s">
        <v>1295</v>
      </c>
      <c r="X160" t="s">
        <v>1296</v>
      </c>
      <c r="Y160" t="s">
        <v>941</v>
      </c>
      <c r="Z160" t="s">
        <v>942</v>
      </c>
      <c r="AB160" t="s">
        <v>35</v>
      </c>
      <c r="AC160" t="s">
        <v>35</v>
      </c>
      <c r="AD160" t="s">
        <v>968</v>
      </c>
      <c r="AF160" t="s">
        <v>944</v>
      </c>
      <c r="AG160" t="s">
        <v>1037</v>
      </c>
      <c r="AH160" t="s">
        <v>988</v>
      </c>
      <c r="AI160" t="s">
        <v>947</v>
      </c>
      <c r="AJ160" t="s">
        <v>948</v>
      </c>
      <c r="AK160">
        <v>3</v>
      </c>
      <c r="AL160" s="10">
        <v>1469</v>
      </c>
      <c r="AM160" s="10">
        <v>1914</v>
      </c>
      <c r="AN160" s="10">
        <v>3222.6</v>
      </c>
      <c r="AO160" s="9">
        <v>0.42440463805398448</v>
      </c>
      <c r="AP160" s="9">
        <v>2.2437</v>
      </c>
      <c r="AQ160" s="9">
        <v>5.1318223970136652</v>
      </c>
      <c r="AR160" s="9">
        <v>8.4494366256913338</v>
      </c>
      <c r="AS160" s="9">
        <v>13.581259022705002</v>
      </c>
      <c r="AT160" s="9">
        <v>9.1974308049570617</v>
      </c>
      <c r="AU160" s="9">
        <v>24.148028189919671</v>
      </c>
      <c r="AV160" s="9">
        <v>33.345458994876736</v>
      </c>
      <c r="AW160" s="11">
        <v>0</v>
      </c>
      <c r="AX160" s="11">
        <v>0</v>
      </c>
      <c r="AY160" t="s">
        <v>969</v>
      </c>
      <c r="AZ160" t="s">
        <v>950</v>
      </c>
      <c r="BA160" t="s">
        <v>951</v>
      </c>
      <c r="BB160" t="s">
        <v>970</v>
      </c>
      <c r="BC160" t="b">
        <v>1</v>
      </c>
    </row>
    <row r="161" spans="1:55">
      <c r="A161" t="s">
        <v>1297</v>
      </c>
      <c r="B161" t="s">
        <v>939</v>
      </c>
      <c r="C161">
        <v>0</v>
      </c>
      <c r="D161">
        <v>0</v>
      </c>
      <c r="E161">
        <v>0</v>
      </c>
      <c r="F161">
        <v>0</v>
      </c>
      <c r="G161" s="9">
        <v>6.1636974168631842E-2</v>
      </c>
      <c r="H161" s="9">
        <v>0.10561853573729418</v>
      </c>
      <c r="I161" s="9">
        <v>0.15842780360594128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V161" t="s">
        <v>456</v>
      </c>
      <c r="W161" t="s">
        <v>1297</v>
      </c>
      <c r="X161" t="s">
        <v>1298</v>
      </c>
      <c r="Y161" t="s">
        <v>941</v>
      </c>
      <c r="Z161" t="s">
        <v>942</v>
      </c>
      <c r="AB161" t="s">
        <v>1299</v>
      </c>
      <c r="AC161" t="s">
        <v>1299</v>
      </c>
      <c r="AD161" t="s">
        <v>943</v>
      </c>
      <c r="AF161" t="s">
        <v>986</v>
      </c>
      <c r="AG161" t="s">
        <v>1025</v>
      </c>
      <c r="AH161" t="s">
        <v>946</v>
      </c>
      <c r="AI161" t="s">
        <v>947</v>
      </c>
      <c r="AJ161" t="s">
        <v>989</v>
      </c>
      <c r="AK161">
        <v>4</v>
      </c>
      <c r="AL161" s="10">
        <v>0</v>
      </c>
      <c r="AM161" s="10">
        <v>0</v>
      </c>
      <c r="AN161" s="10">
        <v>0</v>
      </c>
      <c r="AO161" s="9">
        <v>1</v>
      </c>
      <c r="AP161" s="9">
        <v>36.6327</v>
      </c>
      <c r="AQ161" s="9">
        <v>22.576974168631839</v>
      </c>
      <c r="AR161" s="9">
        <v>39.06</v>
      </c>
      <c r="AS161" s="9">
        <v>61.636974168631845</v>
      </c>
      <c r="AT161" s="9">
        <v>32.418535737294178</v>
      </c>
      <c r="AU161" s="9">
        <v>73.2</v>
      </c>
      <c r="AV161" s="9">
        <v>105.61853573729418</v>
      </c>
      <c r="AW161" s="11">
        <v>0</v>
      </c>
      <c r="AX161" s="11">
        <v>0</v>
      </c>
      <c r="AY161" t="s">
        <v>973</v>
      </c>
      <c r="AZ161" t="s">
        <v>950</v>
      </c>
      <c r="BA161" t="s">
        <v>951</v>
      </c>
      <c r="BB161" t="s">
        <v>970</v>
      </c>
      <c r="BC161" t="b">
        <v>1</v>
      </c>
    </row>
    <row r="162" spans="1:55">
      <c r="A162" t="s">
        <v>1300</v>
      </c>
      <c r="B162" t="s">
        <v>939</v>
      </c>
      <c r="C162">
        <v>898200</v>
      </c>
      <c r="D162">
        <v>488400</v>
      </c>
      <c r="E162">
        <v>898200</v>
      </c>
      <c r="F162">
        <v>1820500</v>
      </c>
      <c r="G162" s="9">
        <v>1.4265162002785201E-2</v>
      </c>
      <c r="H162" s="9"/>
      <c r="I162" s="9"/>
      <c r="J162" s="10">
        <v>35928.000000000007</v>
      </c>
      <c r="K162" s="10">
        <v>35928.000000000007</v>
      </c>
      <c r="L162" s="10">
        <v>35928.000000000007</v>
      </c>
      <c r="M162" s="10">
        <v>35928.000000000007</v>
      </c>
      <c r="N162" s="10">
        <v>35928.000000000007</v>
      </c>
      <c r="O162" s="10">
        <v>35928.000000000007</v>
      </c>
      <c r="P162" s="10">
        <v>35928.000000000007</v>
      </c>
      <c r="Q162" s="10">
        <v>35928.000000000007</v>
      </c>
      <c r="R162" s="10">
        <v>35928.000000000007</v>
      </c>
      <c r="S162" s="10">
        <v>35928.000000000007</v>
      </c>
      <c r="T162" s="10">
        <v>35928.000000000007</v>
      </c>
      <c r="V162" t="s">
        <v>456</v>
      </c>
      <c r="W162" t="s">
        <v>1300</v>
      </c>
      <c r="X162" t="s">
        <v>1301</v>
      </c>
      <c r="Y162" t="s">
        <v>941</v>
      </c>
      <c r="Z162" t="s">
        <v>942</v>
      </c>
      <c r="AB162" t="s">
        <v>37</v>
      </c>
      <c r="AC162" t="s">
        <v>37</v>
      </c>
      <c r="AD162" t="s">
        <v>943</v>
      </c>
      <c r="AF162" t="s">
        <v>944</v>
      </c>
      <c r="AG162" t="s">
        <v>945</v>
      </c>
      <c r="AH162" t="s">
        <v>946</v>
      </c>
      <c r="AI162" t="s">
        <v>947</v>
      </c>
      <c r="AJ162" t="s">
        <v>948</v>
      </c>
      <c r="AK162">
        <v>2</v>
      </c>
      <c r="AL162" s="10">
        <v>488.4</v>
      </c>
      <c r="AM162" s="10">
        <v>898.2</v>
      </c>
      <c r="AN162" s="10">
        <v>1820.5</v>
      </c>
      <c r="AO162" s="9">
        <v>0.47081227569032452</v>
      </c>
      <c r="AP162" s="9">
        <v>1.2856000000000001</v>
      </c>
      <c r="AQ162" s="9">
        <v>1.1015883230815591</v>
      </c>
      <c r="AR162" s="9">
        <v>13.16357367970364</v>
      </c>
      <c r="AS162" s="9">
        <v>14.2651620027852</v>
      </c>
      <c r="AT162" s="9"/>
      <c r="AU162" s="9"/>
      <c r="AV162" s="9"/>
      <c r="AW162" s="11">
        <v>35.928000000000004</v>
      </c>
      <c r="AX162" s="11">
        <v>35.928000000000004</v>
      </c>
      <c r="AY162" t="s">
        <v>949</v>
      </c>
      <c r="AZ162" t="s">
        <v>950</v>
      </c>
      <c r="BA162" t="s">
        <v>951</v>
      </c>
      <c r="BB162" t="s">
        <v>952</v>
      </c>
      <c r="BC162" t="b">
        <v>0</v>
      </c>
    </row>
    <row r="163" spans="1:55">
      <c r="A163" t="s">
        <v>1302</v>
      </c>
      <c r="B163" t="s">
        <v>939</v>
      </c>
      <c r="C163">
        <v>177200</v>
      </c>
      <c r="D163">
        <v>96400</v>
      </c>
      <c r="E163">
        <v>177200</v>
      </c>
      <c r="F163">
        <v>359200</v>
      </c>
      <c r="G163" s="9">
        <v>1.1342876699483936E-2</v>
      </c>
      <c r="H163" s="9">
        <v>3.150757984876594E-2</v>
      </c>
      <c r="I163" s="9">
        <v>4.726136977314891E-2</v>
      </c>
      <c r="J163" s="10">
        <v>7087.9999999999991</v>
      </c>
      <c r="K163" s="10">
        <v>7087.9999999999991</v>
      </c>
      <c r="L163" s="10">
        <v>7087.9999999999991</v>
      </c>
      <c r="M163" s="10">
        <v>7087.9999999999991</v>
      </c>
      <c r="N163" s="10">
        <v>7087.9999999999991</v>
      </c>
      <c r="O163" s="10">
        <v>7087.9999999999991</v>
      </c>
      <c r="P163" s="10">
        <v>7087.9999999999991</v>
      </c>
      <c r="Q163" s="10">
        <v>7087.9999999999991</v>
      </c>
      <c r="R163" s="10">
        <v>7087.9999999999991</v>
      </c>
      <c r="S163" s="10">
        <v>7087.9999999999991</v>
      </c>
      <c r="T163" s="10">
        <v>7087.9999999999991</v>
      </c>
      <c r="V163" t="s">
        <v>456</v>
      </c>
      <c r="W163" t="s">
        <v>1302</v>
      </c>
      <c r="X163" t="s">
        <v>1303</v>
      </c>
      <c r="Y163" t="s">
        <v>941</v>
      </c>
      <c r="Z163" t="s">
        <v>942</v>
      </c>
      <c r="AB163" t="s">
        <v>37</v>
      </c>
      <c r="AC163" t="s">
        <v>37</v>
      </c>
      <c r="AD163" t="s">
        <v>943</v>
      </c>
      <c r="AF163" t="s">
        <v>944</v>
      </c>
      <c r="AG163" t="s">
        <v>965</v>
      </c>
      <c r="AH163" t="s">
        <v>956</v>
      </c>
      <c r="AI163" t="s">
        <v>960</v>
      </c>
      <c r="AJ163" t="s">
        <v>948</v>
      </c>
      <c r="AK163">
        <v>1</v>
      </c>
      <c r="AL163" s="10">
        <v>96.4</v>
      </c>
      <c r="AM163" s="10">
        <v>177.2</v>
      </c>
      <c r="AN163" s="10">
        <v>359.2</v>
      </c>
      <c r="AO163" s="9">
        <v>0.52918772430967553</v>
      </c>
      <c r="AP163" s="9">
        <v>1.4450000000000001</v>
      </c>
      <c r="AQ163" s="9">
        <v>3.5928766994839365</v>
      </c>
      <c r="AR163" s="9">
        <v>7.75</v>
      </c>
      <c r="AS163" s="9">
        <v>11.342876699483936</v>
      </c>
      <c r="AT163" s="9">
        <v>7.907579848765943</v>
      </c>
      <c r="AU163" s="9">
        <v>23.6</v>
      </c>
      <c r="AV163" s="9">
        <v>31.507579848765943</v>
      </c>
      <c r="AW163" s="11">
        <v>7.0879999999999992</v>
      </c>
      <c r="AX163" s="11">
        <v>7.0879999999999992</v>
      </c>
      <c r="AY163" t="s">
        <v>949</v>
      </c>
      <c r="AZ163" t="s">
        <v>950</v>
      </c>
      <c r="BA163" t="s">
        <v>951</v>
      </c>
      <c r="BB163" t="s">
        <v>952</v>
      </c>
      <c r="BC163" t="b">
        <v>1</v>
      </c>
    </row>
    <row r="164" spans="1:55">
      <c r="A164" t="s">
        <v>1304</v>
      </c>
      <c r="B164" t="s">
        <v>939</v>
      </c>
      <c r="C164">
        <v>98200</v>
      </c>
      <c r="D164">
        <v>75400</v>
      </c>
      <c r="E164">
        <v>98200</v>
      </c>
      <c r="F164">
        <v>165300</v>
      </c>
      <c r="G164" s="9">
        <v>9.0821243645211672E-3</v>
      </c>
      <c r="H164" s="9">
        <v>1.6186974110329634E-2</v>
      </c>
      <c r="I164" s="9">
        <v>2.4280461165494451E-2</v>
      </c>
      <c r="J164" s="10">
        <v>1206</v>
      </c>
      <c r="K164" s="10">
        <v>1206</v>
      </c>
      <c r="L164" s="10">
        <v>1206</v>
      </c>
      <c r="M164" s="10">
        <v>1206</v>
      </c>
      <c r="N164" s="10">
        <v>1206</v>
      </c>
      <c r="O164" s="10">
        <v>1206</v>
      </c>
      <c r="P164" s="10">
        <v>1206</v>
      </c>
      <c r="Q164" s="10">
        <v>1206</v>
      </c>
      <c r="R164" s="10">
        <v>1206</v>
      </c>
      <c r="S164" s="10">
        <v>1206</v>
      </c>
      <c r="T164" s="10">
        <v>1206</v>
      </c>
      <c r="V164" t="s">
        <v>456</v>
      </c>
      <c r="W164" t="s">
        <v>1304</v>
      </c>
      <c r="X164" t="s">
        <v>1305</v>
      </c>
      <c r="Y164" t="s">
        <v>941</v>
      </c>
      <c r="Z164" t="s">
        <v>942</v>
      </c>
      <c r="AB164" t="s">
        <v>507</v>
      </c>
      <c r="AC164" t="s">
        <v>506</v>
      </c>
      <c r="AD164" t="s">
        <v>968</v>
      </c>
      <c r="AF164" t="s">
        <v>944</v>
      </c>
      <c r="AG164" t="s">
        <v>999</v>
      </c>
      <c r="AH164" t="s">
        <v>946</v>
      </c>
      <c r="AI164" t="s">
        <v>977</v>
      </c>
      <c r="AJ164" t="s">
        <v>948</v>
      </c>
      <c r="AK164">
        <v>1</v>
      </c>
      <c r="AL164" s="10">
        <v>75.400000000000006</v>
      </c>
      <c r="AM164" s="10">
        <v>98.2</v>
      </c>
      <c r="AN164" s="10">
        <v>165.3</v>
      </c>
      <c r="AO164" s="9">
        <v>0.1234375579540818</v>
      </c>
      <c r="AP164" s="9">
        <v>0.33279999999999998</v>
      </c>
      <c r="AQ164" s="9">
        <v>5.3621243645211658</v>
      </c>
      <c r="AR164" s="9">
        <v>3.7200000000000006</v>
      </c>
      <c r="AS164" s="9">
        <v>9.0821243645211673</v>
      </c>
      <c r="AT164" s="9">
        <v>7.5069741103296312</v>
      </c>
      <c r="AU164" s="9">
        <v>8.6800000000000015</v>
      </c>
      <c r="AV164" s="9">
        <v>16.186974110329633</v>
      </c>
      <c r="AW164" s="11">
        <v>1.206</v>
      </c>
      <c r="AX164" s="11">
        <v>1.206</v>
      </c>
      <c r="AY164" t="s">
        <v>969</v>
      </c>
      <c r="AZ164" t="s">
        <v>950</v>
      </c>
      <c r="BA164" t="s">
        <v>951</v>
      </c>
      <c r="BB164" t="s">
        <v>970</v>
      </c>
      <c r="BC164" t="b">
        <v>1</v>
      </c>
    </row>
    <row r="165" spans="1:55">
      <c r="A165" t="s">
        <v>1306</v>
      </c>
      <c r="B165" t="s">
        <v>939</v>
      </c>
      <c r="C165">
        <v>19600</v>
      </c>
      <c r="D165">
        <v>10600</v>
      </c>
      <c r="E165">
        <v>19600</v>
      </c>
      <c r="F165">
        <v>39600</v>
      </c>
      <c r="G165" s="9">
        <v>9.079687735041142E-3</v>
      </c>
      <c r="H165" s="9">
        <v>2.5461562829057597E-2</v>
      </c>
      <c r="I165" s="9">
        <v>3.8192344243586397E-2</v>
      </c>
      <c r="J165" s="10">
        <v>784</v>
      </c>
      <c r="K165" s="10">
        <v>784</v>
      </c>
      <c r="L165" s="10">
        <v>784</v>
      </c>
      <c r="M165" s="10">
        <v>784</v>
      </c>
      <c r="N165" s="10">
        <v>784</v>
      </c>
      <c r="O165" s="10">
        <v>784</v>
      </c>
      <c r="P165" s="10">
        <v>784</v>
      </c>
      <c r="Q165" s="10">
        <v>784</v>
      </c>
      <c r="R165" s="10">
        <v>784</v>
      </c>
      <c r="S165" s="10">
        <v>784</v>
      </c>
      <c r="T165" s="10">
        <v>784</v>
      </c>
      <c r="V165" t="s">
        <v>456</v>
      </c>
      <c r="W165" t="s">
        <v>1306</v>
      </c>
      <c r="X165" t="s">
        <v>1307</v>
      </c>
      <c r="Y165" t="s">
        <v>941</v>
      </c>
      <c r="Z165" t="s">
        <v>942</v>
      </c>
      <c r="AB165" t="s">
        <v>507</v>
      </c>
      <c r="AC165" t="s">
        <v>506</v>
      </c>
      <c r="AD165" t="s">
        <v>943</v>
      </c>
      <c r="AF165" t="s">
        <v>944</v>
      </c>
      <c r="AG165" t="s">
        <v>959</v>
      </c>
      <c r="AH165" t="s">
        <v>946</v>
      </c>
      <c r="AI165" t="s">
        <v>960</v>
      </c>
      <c r="AJ165" t="s">
        <v>948</v>
      </c>
      <c r="AK165">
        <v>1</v>
      </c>
      <c r="AL165" s="10">
        <v>10.6</v>
      </c>
      <c r="AM165" s="10">
        <v>19.600000000000001</v>
      </c>
      <c r="AN165" s="10">
        <v>39.6</v>
      </c>
      <c r="AO165" s="9">
        <v>0.3472052223582211</v>
      </c>
      <c r="AP165" s="9">
        <v>0.93610000000000004</v>
      </c>
      <c r="AQ165" s="9">
        <v>1.329687735041142</v>
      </c>
      <c r="AR165" s="9">
        <v>7.75</v>
      </c>
      <c r="AS165" s="9">
        <v>9.0796877350411425</v>
      </c>
      <c r="AT165" s="9">
        <v>1.8615628290575987</v>
      </c>
      <c r="AU165" s="9">
        <v>23.6</v>
      </c>
      <c r="AV165" s="9">
        <v>25.461562829057598</v>
      </c>
      <c r="AW165" s="11">
        <v>0.78400000000000003</v>
      </c>
      <c r="AX165" s="11">
        <v>0.78400000000000003</v>
      </c>
      <c r="AY165" t="s">
        <v>949</v>
      </c>
      <c r="AZ165" t="s">
        <v>950</v>
      </c>
      <c r="BA165" t="s">
        <v>951</v>
      </c>
      <c r="BB165" t="s">
        <v>952</v>
      </c>
      <c r="BC165" t="b">
        <v>1</v>
      </c>
    </row>
    <row r="166" spans="1:55">
      <c r="A166" t="s">
        <v>1308</v>
      </c>
      <c r="B166" t="s">
        <v>939</v>
      </c>
      <c r="C166">
        <v>1917700</v>
      </c>
      <c r="D166">
        <v>1042800</v>
      </c>
      <c r="E166">
        <v>1917700</v>
      </c>
      <c r="F166">
        <v>3887100</v>
      </c>
      <c r="G166" s="9">
        <v>1.4118825131987912E-2</v>
      </c>
      <c r="H166" s="9"/>
      <c r="I166" s="9"/>
      <c r="J166" s="10">
        <v>76708</v>
      </c>
      <c r="K166" s="10">
        <v>76708</v>
      </c>
      <c r="L166" s="10">
        <v>76708</v>
      </c>
      <c r="M166" s="10">
        <v>76708</v>
      </c>
      <c r="N166" s="10">
        <v>76708</v>
      </c>
      <c r="O166" s="10">
        <v>76708</v>
      </c>
      <c r="P166" s="10">
        <v>76708</v>
      </c>
      <c r="Q166" s="10">
        <v>76708</v>
      </c>
      <c r="R166" s="10">
        <v>76708</v>
      </c>
      <c r="S166" s="10">
        <v>76708</v>
      </c>
      <c r="T166" s="10">
        <v>76708</v>
      </c>
      <c r="V166" t="s">
        <v>456</v>
      </c>
      <c r="W166" t="s">
        <v>1308</v>
      </c>
      <c r="X166" t="s">
        <v>1309</v>
      </c>
      <c r="Y166" t="s">
        <v>941</v>
      </c>
      <c r="Z166" t="s">
        <v>942</v>
      </c>
      <c r="AB166" t="s">
        <v>507</v>
      </c>
      <c r="AC166" t="s">
        <v>506</v>
      </c>
      <c r="AD166" t="s">
        <v>943</v>
      </c>
      <c r="AF166" t="s">
        <v>944</v>
      </c>
      <c r="AG166" t="s">
        <v>945</v>
      </c>
      <c r="AH166" t="s">
        <v>946</v>
      </c>
      <c r="AI166" t="s">
        <v>947</v>
      </c>
      <c r="AJ166" t="s">
        <v>948</v>
      </c>
      <c r="AK166">
        <v>2</v>
      </c>
      <c r="AL166" s="10">
        <v>1042.8</v>
      </c>
      <c r="AM166" s="10">
        <v>1917.7</v>
      </c>
      <c r="AN166" s="10">
        <v>3887.1</v>
      </c>
      <c r="AO166" s="9">
        <v>0.52935721968769711</v>
      </c>
      <c r="AP166" s="9">
        <v>1.4272</v>
      </c>
      <c r="AQ166" s="9">
        <v>0.27192121880700659</v>
      </c>
      <c r="AR166" s="9">
        <v>13.846903913180904</v>
      </c>
      <c r="AS166" s="9">
        <v>14.118825131987911</v>
      </c>
      <c r="AT166" s="9"/>
      <c r="AU166" s="9"/>
      <c r="AV166" s="9"/>
      <c r="AW166" s="11">
        <v>76.707999999999998</v>
      </c>
      <c r="AX166" s="11">
        <v>76.707999999999998</v>
      </c>
      <c r="AY166" t="s">
        <v>949</v>
      </c>
      <c r="AZ166" t="s">
        <v>950</v>
      </c>
      <c r="BA166" t="s">
        <v>951</v>
      </c>
      <c r="BB166" t="s">
        <v>952</v>
      </c>
      <c r="BC166" t="b">
        <v>0</v>
      </c>
    </row>
    <row r="167" spans="1:55">
      <c r="A167" t="s">
        <v>1310</v>
      </c>
      <c r="B167" t="s">
        <v>939</v>
      </c>
      <c r="C167">
        <v>3090000</v>
      </c>
      <c r="D167">
        <v>2371700</v>
      </c>
      <c r="E167">
        <v>3090000</v>
      </c>
      <c r="F167">
        <v>5202700</v>
      </c>
      <c r="G167" s="9">
        <v>4.8621251025761265E-3</v>
      </c>
      <c r="H167" s="9">
        <v>1.3737729362601576E-2</v>
      </c>
      <c r="I167" s="9">
        <v>2.0606594043902363E-2</v>
      </c>
      <c r="J167" s="10">
        <v>28400</v>
      </c>
      <c r="K167" s="10">
        <v>28400</v>
      </c>
      <c r="L167" s="10">
        <v>28400</v>
      </c>
      <c r="M167" s="10">
        <v>28400</v>
      </c>
      <c r="N167" s="10">
        <v>28400</v>
      </c>
      <c r="O167" s="10">
        <v>28400</v>
      </c>
      <c r="P167" s="10">
        <v>28400</v>
      </c>
      <c r="Q167" s="10">
        <v>28400</v>
      </c>
      <c r="R167" s="10">
        <v>28400</v>
      </c>
      <c r="S167" s="10">
        <v>28400</v>
      </c>
      <c r="T167" s="10">
        <v>28400</v>
      </c>
      <c r="V167" t="s">
        <v>456</v>
      </c>
      <c r="W167" t="s">
        <v>1310</v>
      </c>
      <c r="X167" t="s">
        <v>1311</v>
      </c>
      <c r="Y167" t="s">
        <v>941</v>
      </c>
      <c r="Z167" t="s">
        <v>942</v>
      </c>
      <c r="AB167" t="s">
        <v>100</v>
      </c>
      <c r="AC167" t="s">
        <v>38</v>
      </c>
      <c r="AD167" t="s">
        <v>968</v>
      </c>
      <c r="AF167" t="s">
        <v>944</v>
      </c>
      <c r="AG167" t="s">
        <v>999</v>
      </c>
      <c r="AH167" t="s">
        <v>946</v>
      </c>
      <c r="AI167" t="s">
        <v>977</v>
      </c>
      <c r="AJ167" t="s">
        <v>948</v>
      </c>
      <c r="AK167">
        <v>1</v>
      </c>
      <c r="AL167" s="10">
        <v>2371.6999999999998</v>
      </c>
      <c r="AM167" s="10">
        <v>3090</v>
      </c>
      <c r="AN167" s="10">
        <v>5202.7</v>
      </c>
      <c r="AO167" s="9">
        <v>5.3946189275368303E-2</v>
      </c>
      <c r="AP167" s="9">
        <v>0.51770000000000005</v>
      </c>
      <c r="AQ167" s="9">
        <v>1.1421251025761261</v>
      </c>
      <c r="AR167" s="9">
        <v>3.7200000000000006</v>
      </c>
      <c r="AS167" s="9">
        <v>4.862125102576127</v>
      </c>
      <c r="AT167" s="9">
        <v>5.0577293626015747</v>
      </c>
      <c r="AU167" s="9">
        <v>8.6800000000000015</v>
      </c>
      <c r="AV167" s="9">
        <v>13.737729362601575</v>
      </c>
      <c r="AW167" s="11">
        <v>28.4</v>
      </c>
      <c r="AX167" s="11">
        <v>28.4</v>
      </c>
      <c r="AY167" t="s">
        <v>969</v>
      </c>
      <c r="AZ167" t="s">
        <v>950</v>
      </c>
      <c r="BA167" t="s">
        <v>951</v>
      </c>
      <c r="BB167" t="s">
        <v>970</v>
      </c>
      <c r="BC167" t="b">
        <v>1</v>
      </c>
    </row>
    <row r="168" spans="1:55">
      <c r="A168" t="s">
        <v>1312</v>
      </c>
      <c r="B168" t="s">
        <v>939</v>
      </c>
      <c r="C168">
        <v>21700</v>
      </c>
      <c r="D168">
        <v>11800</v>
      </c>
      <c r="E168">
        <v>21700</v>
      </c>
      <c r="F168">
        <v>44100</v>
      </c>
      <c r="G168" s="9">
        <v>7.8660925739202497E-3</v>
      </c>
      <c r="H168" s="9">
        <v>2.3858222251475568E-2</v>
      </c>
      <c r="I168" s="9">
        <v>3.5787333377213348E-2</v>
      </c>
      <c r="J168" s="10">
        <v>868</v>
      </c>
      <c r="K168" s="10">
        <v>838.37585087641378</v>
      </c>
      <c r="L168" s="10">
        <v>808.75170175282744</v>
      </c>
      <c r="M168" s="10">
        <v>779.12755262924111</v>
      </c>
      <c r="N168" s="10">
        <v>749.50340350565489</v>
      </c>
      <c r="O168" s="10">
        <v>719.87925438206867</v>
      </c>
      <c r="P168" s="10">
        <v>660.63095613489611</v>
      </c>
      <c r="Q168" s="10">
        <v>601.38265788772344</v>
      </c>
      <c r="R168" s="10">
        <v>542.134359640551</v>
      </c>
      <c r="S168" s="10">
        <v>482.88606139337838</v>
      </c>
      <c r="T168" s="10">
        <v>423.63776314620583</v>
      </c>
      <c r="V168" t="s">
        <v>456</v>
      </c>
      <c r="W168" t="s">
        <v>1312</v>
      </c>
      <c r="X168" t="s">
        <v>1313</v>
      </c>
      <c r="Y168" t="s">
        <v>941</v>
      </c>
      <c r="Z168" t="s">
        <v>942</v>
      </c>
      <c r="AB168" t="s">
        <v>100</v>
      </c>
      <c r="AC168" t="s">
        <v>38</v>
      </c>
      <c r="AD168" t="s">
        <v>943</v>
      </c>
      <c r="AF168" t="s">
        <v>944</v>
      </c>
      <c r="AG168" t="s">
        <v>959</v>
      </c>
      <c r="AH168" t="s">
        <v>946</v>
      </c>
      <c r="AI168" t="s">
        <v>960</v>
      </c>
      <c r="AJ168" t="s">
        <v>948</v>
      </c>
      <c r="AK168">
        <v>1</v>
      </c>
      <c r="AL168" s="10">
        <v>11.8</v>
      </c>
      <c r="AM168" s="10">
        <v>21.7</v>
      </c>
      <c r="AN168" s="10">
        <v>44.1</v>
      </c>
      <c r="AO168" s="9">
        <v>7.7589979784507004E-2</v>
      </c>
      <c r="AP168" s="9">
        <v>0.74460000000000004</v>
      </c>
      <c r="AQ168" s="9">
        <v>0.11609257392024951</v>
      </c>
      <c r="AR168" s="9">
        <v>7.7500000000000009</v>
      </c>
      <c r="AS168" s="9">
        <v>7.8660925739202492</v>
      </c>
      <c r="AT168" s="9">
        <v>0.25822225147556632</v>
      </c>
      <c r="AU168" s="9">
        <v>23.6</v>
      </c>
      <c r="AV168" s="9">
        <v>23.858222251475567</v>
      </c>
      <c r="AW168" s="11">
        <v>0.86799999999999999</v>
      </c>
      <c r="AX168" s="11">
        <v>0.42363776314620583</v>
      </c>
      <c r="AY168" t="s">
        <v>949</v>
      </c>
      <c r="AZ168" t="s">
        <v>950</v>
      </c>
      <c r="BA168" t="s">
        <v>951</v>
      </c>
      <c r="BB168" t="s">
        <v>952</v>
      </c>
      <c r="BC168" t="b">
        <v>1</v>
      </c>
    </row>
    <row r="169" spans="1:55">
      <c r="A169" t="s">
        <v>1314</v>
      </c>
      <c r="B169" t="s">
        <v>939</v>
      </c>
      <c r="C169">
        <v>5228800</v>
      </c>
      <c r="D169">
        <v>2843300</v>
      </c>
      <c r="E169">
        <v>5228800</v>
      </c>
      <c r="F169">
        <v>10598500</v>
      </c>
      <c r="G169" s="9">
        <v>1.4975991067212206E-2</v>
      </c>
      <c r="H169" s="9">
        <v>4.9661903376967534E-2</v>
      </c>
      <c r="I169" s="9">
        <v>7.4492855065451308E-2</v>
      </c>
      <c r="J169" s="10">
        <v>209152</v>
      </c>
      <c r="K169" s="10">
        <v>202013.80871256182</v>
      </c>
      <c r="L169" s="10">
        <v>194875.6174251237</v>
      </c>
      <c r="M169" s="10">
        <v>187737.42613768554</v>
      </c>
      <c r="N169" s="10">
        <v>180599.23485024739</v>
      </c>
      <c r="O169" s="10">
        <v>173461.04356280924</v>
      </c>
      <c r="P169" s="10">
        <v>159184.66098793293</v>
      </c>
      <c r="Q169" s="10">
        <v>144908.27841305663</v>
      </c>
      <c r="R169" s="10">
        <v>130631.89583818032</v>
      </c>
      <c r="S169" s="10">
        <v>116355.51326330402</v>
      </c>
      <c r="T169" s="10">
        <v>102079.13068842773</v>
      </c>
      <c r="V169" t="s">
        <v>456</v>
      </c>
      <c r="W169" t="s">
        <v>1314</v>
      </c>
      <c r="X169" t="s">
        <v>1315</v>
      </c>
      <c r="Y169" t="s">
        <v>941</v>
      </c>
      <c r="Z169" t="s">
        <v>942</v>
      </c>
      <c r="AB169" t="s">
        <v>100</v>
      </c>
      <c r="AC169" t="s">
        <v>38</v>
      </c>
      <c r="AD169" t="s">
        <v>943</v>
      </c>
      <c r="AF169" t="s">
        <v>944</v>
      </c>
      <c r="AG169" t="s">
        <v>945</v>
      </c>
      <c r="AH169" t="s">
        <v>946</v>
      </c>
      <c r="AI169" t="s">
        <v>947</v>
      </c>
      <c r="AJ169" t="s">
        <v>948</v>
      </c>
      <c r="AK169">
        <v>7</v>
      </c>
      <c r="AL169" s="10">
        <v>2843.3</v>
      </c>
      <c r="AM169" s="10">
        <v>5228.8</v>
      </c>
      <c r="AN169" s="10">
        <v>10598.5</v>
      </c>
      <c r="AO169" s="9">
        <v>0.86846383094012458</v>
      </c>
      <c r="AP169" s="9">
        <v>8.3342999999999989</v>
      </c>
      <c r="AQ169" s="9">
        <v>0.17822770724581019</v>
      </c>
      <c r="AR169" s="9">
        <v>14.797763359966394</v>
      </c>
      <c r="AS169" s="9">
        <v>14.975991067212206</v>
      </c>
      <c r="AT169" s="9">
        <v>0.68995528108852466</v>
      </c>
      <c r="AU169" s="9">
        <v>48.971948095879029</v>
      </c>
      <c r="AV169" s="9">
        <v>49.661903376967537</v>
      </c>
      <c r="AW169" s="11">
        <v>209.15199999999999</v>
      </c>
      <c r="AX169" s="11">
        <v>102.07913068842772</v>
      </c>
      <c r="AY169" t="s">
        <v>949</v>
      </c>
      <c r="AZ169" t="s">
        <v>950</v>
      </c>
      <c r="BA169" t="s">
        <v>951</v>
      </c>
      <c r="BB169" t="s">
        <v>952</v>
      </c>
      <c r="BC169" t="b">
        <v>1</v>
      </c>
    </row>
    <row r="170" spans="1:55">
      <c r="A170" t="s">
        <v>1316</v>
      </c>
      <c r="B170" t="s">
        <v>939</v>
      </c>
      <c r="C170">
        <v>318000</v>
      </c>
      <c r="D170">
        <v>244100</v>
      </c>
      <c r="E170">
        <v>318000</v>
      </c>
      <c r="F170">
        <v>535400</v>
      </c>
      <c r="G170" s="9">
        <v>9.5790983940744825E-3</v>
      </c>
      <c r="H170" s="9">
        <v>2.0158908166606128E-2</v>
      </c>
      <c r="I170" s="9">
        <v>3.0238362249909192E-2</v>
      </c>
      <c r="J170" s="10">
        <v>12024.726069646162</v>
      </c>
      <c r="K170" s="10">
        <v>12024.726069646162</v>
      </c>
      <c r="L170" s="10">
        <v>12024.726069646162</v>
      </c>
      <c r="M170" s="10">
        <v>12024.726069646162</v>
      </c>
      <c r="N170" s="10">
        <v>12024.726069646162</v>
      </c>
      <c r="O170" s="10">
        <v>12024.726069646162</v>
      </c>
      <c r="P170" s="10">
        <v>12024.726069646162</v>
      </c>
      <c r="Q170" s="10">
        <v>12024.726069646162</v>
      </c>
      <c r="R170" s="10">
        <v>12024.726069646162</v>
      </c>
      <c r="S170" s="10">
        <v>12024.726069646162</v>
      </c>
      <c r="T170" s="10">
        <v>12024.726069646162</v>
      </c>
      <c r="V170" t="s">
        <v>456</v>
      </c>
      <c r="W170" t="s">
        <v>1316</v>
      </c>
      <c r="X170" t="s">
        <v>1317</v>
      </c>
      <c r="Y170" t="s">
        <v>941</v>
      </c>
      <c r="Z170" t="s">
        <v>942</v>
      </c>
      <c r="AB170" t="s">
        <v>101</v>
      </c>
      <c r="AC170" t="s">
        <v>39</v>
      </c>
      <c r="AD170" t="s">
        <v>968</v>
      </c>
      <c r="AF170" t="s">
        <v>986</v>
      </c>
      <c r="AG170" t="s">
        <v>976</v>
      </c>
      <c r="AH170" t="s">
        <v>956</v>
      </c>
      <c r="AI170" t="s">
        <v>977</v>
      </c>
      <c r="AJ170" t="s">
        <v>1054</v>
      </c>
      <c r="AK170">
        <v>3</v>
      </c>
      <c r="AL170" s="10">
        <v>244.1</v>
      </c>
      <c r="AM170" s="10">
        <v>318</v>
      </c>
      <c r="AN170" s="10">
        <v>535.4</v>
      </c>
      <c r="AO170" s="9">
        <v>3.2121531996424202E-2</v>
      </c>
      <c r="AP170" s="9">
        <v>11.386900000000001</v>
      </c>
      <c r="AQ170" s="9">
        <v>2.1390983940744852</v>
      </c>
      <c r="AR170" s="9">
        <v>7.44</v>
      </c>
      <c r="AS170" s="9">
        <v>9.5790983940744834</v>
      </c>
      <c r="AT170" s="9">
        <v>2.7989081666061262</v>
      </c>
      <c r="AU170" s="9">
        <v>17.360000000000003</v>
      </c>
      <c r="AV170" s="9">
        <v>20.158908166606128</v>
      </c>
      <c r="AW170" s="11">
        <v>12.024726069646162</v>
      </c>
      <c r="AX170" s="11">
        <v>12.024726069646162</v>
      </c>
      <c r="AY170" t="s">
        <v>969</v>
      </c>
      <c r="AZ170" t="s">
        <v>950</v>
      </c>
      <c r="BA170" t="s">
        <v>951</v>
      </c>
      <c r="BB170" t="s">
        <v>970</v>
      </c>
      <c r="BC170" t="b">
        <v>1</v>
      </c>
    </row>
    <row r="171" spans="1:55">
      <c r="A171" t="s">
        <v>1318</v>
      </c>
      <c r="B171" t="s">
        <v>939</v>
      </c>
      <c r="C171">
        <v>627000</v>
      </c>
      <c r="D171">
        <v>481200</v>
      </c>
      <c r="E171">
        <v>627000</v>
      </c>
      <c r="F171">
        <v>1055700</v>
      </c>
      <c r="G171" s="9">
        <v>4.1569088908724712E-3</v>
      </c>
      <c r="H171" s="9">
        <v>9.7528371476742134E-3</v>
      </c>
      <c r="I171" s="9">
        <v>1.462925572151132E-2</v>
      </c>
      <c r="J171" s="10">
        <v>23709.129703358947</v>
      </c>
      <c r="K171" s="10">
        <v>23709.129703358947</v>
      </c>
      <c r="L171" s="10">
        <v>23709.129703358947</v>
      </c>
      <c r="M171" s="10">
        <v>23709.129703358947</v>
      </c>
      <c r="N171" s="10">
        <v>23709.129703358947</v>
      </c>
      <c r="O171" s="10">
        <v>23709.129703358947</v>
      </c>
      <c r="P171" s="10">
        <v>23709.129703358947</v>
      </c>
      <c r="Q171" s="10">
        <v>23709.129703358947</v>
      </c>
      <c r="R171" s="10">
        <v>23709.129703358947</v>
      </c>
      <c r="S171" s="10">
        <v>23709.129703358947</v>
      </c>
      <c r="T171" s="10">
        <v>23709.129703358947</v>
      </c>
      <c r="V171" t="s">
        <v>456</v>
      </c>
      <c r="W171" t="s">
        <v>1318</v>
      </c>
      <c r="X171" t="s">
        <v>1319</v>
      </c>
      <c r="Y171" t="s">
        <v>941</v>
      </c>
      <c r="Z171" t="s">
        <v>942</v>
      </c>
      <c r="AB171" t="s">
        <v>101</v>
      </c>
      <c r="AC171" t="s">
        <v>39</v>
      </c>
      <c r="AD171" t="s">
        <v>968</v>
      </c>
      <c r="AF171" t="s">
        <v>944</v>
      </c>
      <c r="AG171" t="s">
        <v>999</v>
      </c>
      <c r="AH171" t="s">
        <v>946</v>
      </c>
      <c r="AI171" t="s">
        <v>977</v>
      </c>
      <c r="AJ171" t="s">
        <v>948</v>
      </c>
      <c r="AK171">
        <v>10</v>
      </c>
      <c r="AL171" s="10">
        <v>481.2</v>
      </c>
      <c r="AM171" s="10">
        <v>627</v>
      </c>
      <c r="AN171" s="10">
        <v>1055.7</v>
      </c>
      <c r="AO171" s="9">
        <v>6.1709031710806002E-2</v>
      </c>
      <c r="AP171" s="9">
        <v>21.875499999999999</v>
      </c>
      <c r="AQ171" s="9">
        <v>0.43690889087247098</v>
      </c>
      <c r="AR171" s="9">
        <v>3.7200000000000006</v>
      </c>
      <c r="AS171" s="9">
        <v>4.1569088908724714</v>
      </c>
      <c r="AT171" s="9">
        <v>1.0728371476742131</v>
      </c>
      <c r="AU171" s="9">
        <v>8.6800000000000015</v>
      </c>
      <c r="AV171" s="9">
        <v>9.7528371476742137</v>
      </c>
      <c r="AW171" s="11">
        <v>23.709129703358947</v>
      </c>
      <c r="AX171" s="11">
        <v>23.709129703358947</v>
      </c>
      <c r="AY171" t="s">
        <v>969</v>
      </c>
      <c r="AZ171" t="s">
        <v>950</v>
      </c>
      <c r="BA171" t="s">
        <v>951</v>
      </c>
      <c r="BB171" t="s">
        <v>970</v>
      </c>
      <c r="BC171" t="b">
        <v>1</v>
      </c>
    </row>
    <row r="172" spans="1:55">
      <c r="A172" t="s">
        <v>1320</v>
      </c>
      <c r="B172" t="s">
        <v>939</v>
      </c>
      <c r="C172">
        <v>838300</v>
      </c>
      <c r="D172">
        <v>643400</v>
      </c>
      <c r="E172">
        <v>838300</v>
      </c>
      <c r="F172">
        <v>1411500</v>
      </c>
      <c r="G172" s="9">
        <v>4.8512666255279575E-3</v>
      </c>
      <c r="H172" s="9">
        <v>1.0064225025230024E-2</v>
      </c>
      <c r="I172" s="9">
        <v>1.5096337537845037E-2</v>
      </c>
      <c r="J172" s="10">
        <v>31699.1442269949</v>
      </c>
      <c r="K172" s="10">
        <v>31699.1442269949</v>
      </c>
      <c r="L172" s="10">
        <v>31699.1442269949</v>
      </c>
      <c r="M172" s="10">
        <v>31699.1442269949</v>
      </c>
      <c r="N172" s="10">
        <v>31699.1442269949</v>
      </c>
      <c r="O172" s="10">
        <v>31699.1442269949</v>
      </c>
      <c r="P172" s="10">
        <v>31699.1442269949</v>
      </c>
      <c r="Q172" s="10">
        <v>31699.1442269949</v>
      </c>
      <c r="R172" s="10">
        <v>31699.1442269949</v>
      </c>
      <c r="S172" s="10">
        <v>31699.1442269949</v>
      </c>
      <c r="T172" s="10">
        <v>31699.1442269949</v>
      </c>
      <c r="V172" t="s">
        <v>456</v>
      </c>
      <c r="W172" t="s">
        <v>1320</v>
      </c>
      <c r="X172" t="s">
        <v>1321</v>
      </c>
      <c r="Y172" t="s">
        <v>941</v>
      </c>
      <c r="Z172" t="s">
        <v>942</v>
      </c>
      <c r="AB172" t="s">
        <v>101</v>
      </c>
      <c r="AC172" t="s">
        <v>39</v>
      </c>
      <c r="AD172" t="s">
        <v>968</v>
      </c>
      <c r="AF172" t="s">
        <v>944</v>
      </c>
      <c r="AG172" t="s">
        <v>976</v>
      </c>
      <c r="AH172" t="s">
        <v>956</v>
      </c>
      <c r="AI172" t="s">
        <v>977</v>
      </c>
      <c r="AJ172" t="s">
        <v>948</v>
      </c>
      <c r="AK172">
        <v>11</v>
      </c>
      <c r="AL172" s="10">
        <v>643.4</v>
      </c>
      <c r="AM172" s="10">
        <v>838.3</v>
      </c>
      <c r="AN172" s="10">
        <v>1411.5</v>
      </c>
      <c r="AO172" s="9">
        <v>8.2506263147249403E-2</v>
      </c>
      <c r="AP172" s="9">
        <v>29.248000000000001</v>
      </c>
      <c r="AQ172" s="9">
        <v>1.1312666255279564</v>
      </c>
      <c r="AR172" s="9">
        <v>3.7200000000000006</v>
      </c>
      <c r="AS172" s="9">
        <v>4.8512666255279573</v>
      </c>
      <c r="AT172" s="9">
        <v>1.3842250252300228</v>
      </c>
      <c r="AU172" s="9">
        <v>8.6800000000000015</v>
      </c>
      <c r="AV172" s="9">
        <v>10.064225025230025</v>
      </c>
      <c r="AW172" s="11">
        <v>31.6991442269949</v>
      </c>
      <c r="AX172" s="11">
        <v>31.6991442269949</v>
      </c>
      <c r="AY172" t="s">
        <v>969</v>
      </c>
      <c r="AZ172" t="s">
        <v>950</v>
      </c>
      <c r="BA172" t="s">
        <v>951</v>
      </c>
      <c r="BB172" t="s">
        <v>970</v>
      </c>
      <c r="BC172" t="b">
        <v>1</v>
      </c>
    </row>
    <row r="173" spans="1:55">
      <c r="A173" t="s">
        <v>1322</v>
      </c>
      <c r="B173" t="s">
        <v>939</v>
      </c>
      <c r="C173">
        <v>1592500</v>
      </c>
      <c r="D173">
        <v>866000</v>
      </c>
      <c r="E173">
        <v>1592500</v>
      </c>
      <c r="F173">
        <v>3227900</v>
      </c>
      <c r="G173" s="9">
        <v>7.8975168262756697E-3</v>
      </c>
      <c r="H173" s="9">
        <v>2.4168722167364612E-2</v>
      </c>
      <c r="I173" s="9">
        <v>3.6253083251046918E-2</v>
      </c>
      <c r="J173" s="10">
        <v>63700</v>
      </c>
      <c r="K173" s="10">
        <v>63700</v>
      </c>
      <c r="L173" s="10">
        <v>63700</v>
      </c>
      <c r="M173" s="10">
        <v>63700</v>
      </c>
      <c r="N173" s="10">
        <v>63700</v>
      </c>
      <c r="O173" s="10">
        <v>63700</v>
      </c>
      <c r="P173" s="10">
        <v>63700</v>
      </c>
      <c r="Q173" s="10">
        <v>63700</v>
      </c>
      <c r="R173" s="10">
        <v>63700</v>
      </c>
      <c r="S173" s="10">
        <v>63700</v>
      </c>
      <c r="T173" s="10">
        <v>63700</v>
      </c>
      <c r="V173" t="s">
        <v>456</v>
      </c>
      <c r="W173" t="s">
        <v>1322</v>
      </c>
      <c r="X173" t="s">
        <v>1323</v>
      </c>
      <c r="Y173" t="s">
        <v>941</v>
      </c>
      <c r="Z173" t="s">
        <v>942</v>
      </c>
      <c r="AB173" t="s">
        <v>101</v>
      </c>
      <c r="AC173" t="s">
        <v>39</v>
      </c>
      <c r="AD173" t="s">
        <v>943</v>
      </c>
      <c r="AF173" t="s">
        <v>944</v>
      </c>
      <c r="AG173" t="s">
        <v>959</v>
      </c>
      <c r="AH173" t="s">
        <v>946</v>
      </c>
      <c r="AI173" t="s">
        <v>960</v>
      </c>
      <c r="AJ173" t="s">
        <v>948</v>
      </c>
      <c r="AK173">
        <v>26</v>
      </c>
      <c r="AL173" s="10">
        <v>866</v>
      </c>
      <c r="AM173" s="10">
        <v>1592.5</v>
      </c>
      <c r="AN173" s="10">
        <v>3227.9</v>
      </c>
      <c r="AO173" s="9">
        <v>0.152267610508829</v>
      </c>
      <c r="AP173" s="9">
        <v>53.978000000000002</v>
      </c>
      <c r="AQ173" s="9">
        <v>0.1475168262756702</v>
      </c>
      <c r="AR173" s="9">
        <v>7.75</v>
      </c>
      <c r="AS173" s="9">
        <v>7.8975168262756696</v>
      </c>
      <c r="AT173" s="9">
        <v>0.56872216736461689</v>
      </c>
      <c r="AU173" s="9">
        <v>23.599999999999994</v>
      </c>
      <c r="AV173" s="9">
        <v>24.168722167364614</v>
      </c>
      <c r="AW173" s="11">
        <v>63.7</v>
      </c>
      <c r="AX173" s="11">
        <v>63.7</v>
      </c>
      <c r="AY173" t="s">
        <v>949</v>
      </c>
      <c r="AZ173" t="s">
        <v>950</v>
      </c>
      <c r="BA173" t="s">
        <v>951</v>
      </c>
      <c r="BB173" t="s">
        <v>952</v>
      </c>
      <c r="BC173" t="b">
        <v>1</v>
      </c>
    </row>
    <row r="174" spans="1:55">
      <c r="A174" t="s">
        <v>1324</v>
      </c>
      <c r="B174" t="s">
        <v>939</v>
      </c>
      <c r="C174">
        <v>55204700</v>
      </c>
      <c r="D174">
        <v>30019100</v>
      </c>
      <c r="E174">
        <v>55204700</v>
      </c>
      <c r="F174">
        <v>111896500</v>
      </c>
      <c r="G174" s="9">
        <v>1.4207021771170305E-2</v>
      </c>
      <c r="H174" s="9">
        <v>4.7073282370217372E-2</v>
      </c>
      <c r="I174" s="9">
        <v>7.0609923555326054E-2</v>
      </c>
      <c r="J174" s="10">
        <v>2208188</v>
      </c>
      <c r="K174" s="10">
        <v>2208188</v>
      </c>
      <c r="L174" s="10">
        <v>2208188</v>
      </c>
      <c r="M174" s="10">
        <v>2208188</v>
      </c>
      <c r="N174" s="10">
        <v>2208188</v>
      </c>
      <c r="O174" s="10">
        <v>2208188</v>
      </c>
      <c r="P174" s="10">
        <v>2208188</v>
      </c>
      <c r="Q174" s="10">
        <v>2208188</v>
      </c>
      <c r="R174" s="10">
        <v>2208188</v>
      </c>
      <c r="S174" s="10">
        <v>2208188</v>
      </c>
      <c r="T174" s="10">
        <v>2208188</v>
      </c>
      <c r="V174" t="s">
        <v>456</v>
      </c>
      <c r="W174" t="s">
        <v>1324</v>
      </c>
      <c r="X174" t="s">
        <v>1325</v>
      </c>
      <c r="Y174" t="s">
        <v>941</v>
      </c>
      <c r="Z174" t="s">
        <v>942</v>
      </c>
      <c r="AB174" t="s">
        <v>101</v>
      </c>
      <c r="AC174" t="s">
        <v>39</v>
      </c>
      <c r="AD174" t="s">
        <v>943</v>
      </c>
      <c r="AF174" t="s">
        <v>944</v>
      </c>
      <c r="AG174" t="s">
        <v>945</v>
      </c>
      <c r="AH174" t="s">
        <v>946</v>
      </c>
      <c r="AI174" t="s">
        <v>947</v>
      </c>
      <c r="AJ174" t="s">
        <v>948</v>
      </c>
      <c r="AK174">
        <v>50</v>
      </c>
      <c r="AL174" s="10">
        <v>30019.1</v>
      </c>
      <c r="AM174" s="10">
        <v>55204.7</v>
      </c>
      <c r="AN174" s="10">
        <v>111896.5</v>
      </c>
      <c r="AO174" s="9">
        <v>0.15348399113892661</v>
      </c>
      <c r="AP174" s="9">
        <v>54.409199999999998</v>
      </c>
      <c r="AQ174" s="9">
        <v>0.33603899776413909</v>
      </c>
      <c r="AR174" s="9">
        <v>13.870982773406167</v>
      </c>
      <c r="AS174" s="9">
        <v>14.207021771170306</v>
      </c>
      <c r="AT174" s="9">
        <v>1.4377443859551784</v>
      </c>
      <c r="AU174" s="9">
        <v>45.635537984262207</v>
      </c>
      <c r="AV174" s="9">
        <v>47.07328237021737</v>
      </c>
      <c r="AW174" s="11">
        <v>2208.1880000000001</v>
      </c>
      <c r="AX174" s="11">
        <v>2208.1880000000001</v>
      </c>
      <c r="AY174" t="s">
        <v>949</v>
      </c>
      <c r="AZ174" t="s">
        <v>950</v>
      </c>
      <c r="BA174" t="s">
        <v>951</v>
      </c>
      <c r="BB174" t="s">
        <v>952</v>
      </c>
      <c r="BC174" t="b">
        <v>1</v>
      </c>
    </row>
    <row r="175" spans="1:55">
      <c r="A175" t="s">
        <v>1326</v>
      </c>
      <c r="B175" t="s">
        <v>939</v>
      </c>
      <c r="C175">
        <v>1992700</v>
      </c>
      <c r="D175">
        <v>1083600</v>
      </c>
      <c r="E175">
        <v>1992700</v>
      </c>
      <c r="F175">
        <v>4039000</v>
      </c>
      <c r="G175" s="9">
        <v>8.7632210772981434E-3</v>
      </c>
      <c r="H175" s="9">
        <v>2.64531164605953E-2</v>
      </c>
      <c r="I175" s="9">
        <v>3.9679674690892952E-2</v>
      </c>
      <c r="J175" s="10">
        <v>79708</v>
      </c>
      <c r="K175" s="10">
        <v>79708</v>
      </c>
      <c r="L175" s="10">
        <v>79708</v>
      </c>
      <c r="M175" s="10">
        <v>79708</v>
      </c>
      <c r="N175" s="10">
        <v>79708</v>
      </c>
      <c r="O175" s="10">
        <v>79708</v>
      </c>
      <c r="P175" s="10">
        <v>79708</v>
      </c>
      <c r="Q175" s="10">
        <v>79708</v>
      </c>
      <c r="R175" s="10">
        <v>79708</v>
      </c>
      <c r="S175" s="10">
        <v>79708</v>
      </c>
      <c r="T175" s="10">
        <v>79708</v>
      </c>
      <c r="V175" t="s">
        <v>456</v>
      </c>
      <c r="W175" t="s">
        <v>1326</v>
      </c>
      <c r="X175" t="s">
        <v>1327</v>
      </c>
      <c r="Y175" t="s">
        <v>941</v>
      </c>
      <c r="Z175" t="s">
        <v>942</v>
      </c>
      <c r="AB175" t="s">
        <v>101</v>
      </c>
      <c r="AC175" t="s">
        <v>39</v>
      </c>
      <c r="AD175" t="s">
        <v>943</v>
      </c>
      <c r="AF175" t="s">
        <v>944</v>
      </c>
      <c r="AG175" t="s">
        <v>965</v>
      </c>
      <c r="AH175" t="s">
        <v>956</v>
      </c>
      <c r="AI175" t="s">
        <v>960</v>
      </c>
      <c r="AJ175" t="s">
        <v>948</v>
      </c>
      <c r="AK175">
        <v>13</v>
      </c>
      <c r="AL175" s="10">
        <v>1083.5999999999999</v>
      </c>
      <c r="AM175" s="10">
        <v>1992.7</v>
      </c>
      <c r="AN175" s="10">
        <v>4039</v>
      </c>
      <c r="AO175" s="9">
        <v>0.19052774614429621</v>
      </c>
      <c r="AP175" s="9">
        <v>67.540999999999997</v>
      </c>
      <c r="AQ175" s="9">
        <v>1.0132210772981425</v>
      </c>
      <c r="AR175" s="9">
        <v>7.7500000000000009</v>
      </c>
      <c r="AS175" s="9">
        <v>8.7632210772981427</v>
      </c>
      <c r="AT175" s="9">
        <v>2.8531164605952979</v>
      </c>
      <c r="AU175" s="9">
        <v>23.6</v>
      </c>
      <c r="AV175" s="9">
        <v>26.4531164605953</v>
      </c>
      <c r="AW175" s="11">
        <v>79.707999999999998</v>
      </c>
      <c r="AX175" s="11">
        <v>79.707999999999998</v>
      </c>
      <c r="AY175" t="s">
        <v>949</v>
      </c>
      <c r="AZ175" t="s">
        <v>950</v>
      </c>
      <c r="BA175" t="s">
        <v>951</v>
      </c>
      <c r="BB175" t="s">
        <v>952</v>
      </c>
      <c r="BC175" t="b">
        <v>1</v>
      </c>
    </row>
    <row r="176" spans="1:55">
      <c r="A176" t="s">
        <v>1328</v>
      </c>
      <c r="B176" t="s">
        <v>939</v>
      </c>
      <c r="C176">
        <v>3002600</v>
      </c>
      <c r="D176">
        <v>1632700</v>
      </c>
      <c r="E176">
        <v>3002600</v>
      </c>
      <c r="F176">
        <v>6086000</v>
      </c>
      <c r="G176" s="9">
        <v>1.6941217502237586E-2</v>
      </c>
      <c r="H176" s="9"/>
      <c r="I176" s="9"/>
      <c r="J176" s="10">
        <v>120104</v>
      </c>
      <c r="K176" s="10">
        <v>120104</v>
      </c>
      <c r="L176" s="10">
        <v>120104</v>
      </c>
      <c r="M176" s="10">
        <v>120104</v>
      </c>
      <c r="N176" s="10">
        <v>120104</v>
      </c>
      <c r="O176" s="10">
        <v>120104</v>
      </c>
      <c r="P176" s="10">
        <v>120104</v>
      </c>
      <c r="Q176" s="10">
        <v>120104</v>
      </c>
      <c r="R176" s="10">
        <v>120104</v>
      </c>
      <c r="S176" s="10">
        <v>120104</v>
      </c>
      <c r="T176" s="10">
        <v>120104</v>
      </c>
      <c r="V176" t="s">
        <v>456</v>
      </c>
      <c r="W176" t="s">
        <v>1328</v>
      </c>
      <c r="X176" t="s">
        <v>1329</v>
      </c>
      <c r="Y176" t="s">
        <v>941</v>
      </c>
      <c r="Z176" t="s">
        <v>942</v>
      </c>
      <c r="AB176" t="s">
        <v>101</v>
      </c>
      <c r="AC176" t="s">
        <v>39</v>
      </c>
      <c r="AD176" t="s">
        <v>943</v>
      </c>
      <c r="AF176" t="s">
        <v>944</v>
      </c>
      <c r="AG176" t="s">
        <v>955</v>
      </c>
      <c r="AH176" t="s">
        <v>956</v>
      </c>
      <c r="AI176" t="s">
        <v>947</v>
      </c>
      <c r="AJ176" t="s">
        <v>948</v>
      </c>
      <c r="AK176">
        <v>3</v>
      </c>
      <c r="AL176" s="10">
        <v>1632.7</v>
      </c>
      <c r="AM176" s="10">
        <v>3002.6</v>
      </c>
      <c r="AN176" s="10">
        <v>6086</v>
      </c>
      <c r="AO176" s="9">
        <v>8.3479480488120004E-3</v>
      </c>
      <c r="AP176" s="9">
        <v>2.9592999999999998</v>
      </c>
      <c r="AQ176" s="9">
        <v>3.0702347288314176</v>
      </c>
      <c r="AR176" s="9">
        <v>13.870982773406167</v>
      </c>
      <c r="AS176" s="9">
        <v>16.941217502237585</v>
      </c>
      <c r="AT176" s="9"/>
      <c r="AU176" s="9"/>
      <c r="AV176" s="9"/>
      <c r="AW176" s="11">
        <v>120.104</v>
      </c>
      <c r="AX176" s="11">
        <v>120.104</v>
      </c>
      <c r="AY176" t="s">
        <v>949</v>
      </c>
      <c r="AZ176" t="s">
        <v>950</v>
      </c>
      <c r="BA176" t="s">
        <v>951</v>
      </c>
      <c r="BB176" t="s">
        <v>952</v>
      </c>
      <c r="BC176" t="b">
        <v>0</v>
      </c>
    </row>
    <row r="177" spans="1:55">
      <c r="A177" t="s">
        <v>1330</v>
      </c>
      <c r="B177" t="s">
        <v>939</v>
      </c>
      <c r="C177">
        <v>2525500</v>
      </c>
      <c r="D177">
        <v>1373300</v>
      </c>
      <c r="E177">
        <v>2525500</v>
      </c>
      <c r="F177">
        <v>5119000</v>
      </c>
      <c r="G177" s="9">
        <v>8.8478885523346016E-3</v>
      </c>
      <c r="H177" s="9">
        <v>2.9055203742335216E-2</v>
      </c>
      <c r="I177" s="9">
        <v>4.358280561350282E-2</v>
      </c>
      <c r="J177" s="10">
        <v>101020</v>
      </c>
      <c r="K177" s="10">
        <v>101020</v>
      </c>
      <c r="L177" s="10">
        <v>101020</v>
      </c>
      <c r="M177" s="10">
        <v>101020</v>
      </c>
      <c r="N177" s="10">
        <v>101020</v>
      </c>
      <c r="O177" s="10">
        <v>101020</v>
      </c>
      <c r="P177" s="10">
        <v>101020</v>
      </c>
      <c r="Q177" s="10">
        <v>101020</v>
      </c>
      <c r="R177" s="10">
        <v>101020</v>
      </c>
      <c r="S177" s="10">
        <v>101020</v>
      </c>
      <c r="T177" s="10">
        <v>101020</v>
      </c>
      <c r="V177" t="s">
        <v>456</v>
      </c>
      <c r="W177" t="s">
        <v>1330</v>
      </c>
      <c r="X177" t="s">
        <v>1331</v>
      </c>
      <c r="Y177" t="s">
        <v>941</v>
      </c>
      <c r="Z177" t="s">
        <v>942</v>
      </c>
      <c r="AB177" t="s">
        <v>101</v>
      </c>
      <c r="AC177" t="s">
        <v>39</v>
      </c>
      <c r="AD177" t="s">
        <v>943</v>
      </c>
      <c r="AF177" t="s">
        <v>944</v>
      </c>
      <c r="AG177" t="s">
        <v>1042</v>
      </c>
      <c r="AH177" t="s">
        <v>988</v>
      </c>
      <c r="AI177" t="s">
        <v>960</v>
      </c>
      <c r="AJ177" t="s">
        <v>948</v>
      </c>
      <c r="AK177">
        <v>18</v>
      </c>
      <c r="AL177" s="10">
        <v>1373.3</v>
      </c>
      <c r="AM177" s="10">
        <v>2525.5</v>
      </c>
      <c r="AN177" s="10">
        <v>5119</v>
      </c>
      <c r="AO177" s="9">
        <v>0.24147130151316959</v>
      </c>
      <c r="AP177" s="9">
        <v>85.600200000000015</v>
      </c>
      <c r="AQ177" s="9">
        <v>1.0978885523346018</v>
      </c>
      <c r="AR177" s="9">
        <v>7.7499999999999982</v>
      </c>
      <c r="AS177" s="9">
        <v>8.8478885523346023</v>
      </c>
      <c r="AT177" s="9">
        <v>5.4552037423352111</v>
      </c>
      <c r="AU177" s="9">
        <v>23.6</v>
      </c>
      <c r="AV177" s="9">
        <v>29.055203742335216</v>
      </c>
      <c r="AW177" s="11">
        <v>101.02</v>
      </c>
      <c r="AX177" s="11">
        <v>101.02</v>
      </c>
      <c r="AY177" t="s">
        <v>949</v>
      </c>
      <c r="AZ177" t="s">
        <v>950</v>
      </c>
      <c r="BA177" t="s">
        <v>951</v>
      </c>
      <c r="BB177" t="s">
        <v>952</v>
      </c>
      <c r="BC177" t="b">
        <v>1</v>
      </c>
    </row>
    <row r="178" spans="1:55">
      <c r="A178" t="s">
        <v>1332</v>
      </c>
      <c r="B178" t="s">
        <v>939</v>
      </c>
      <c r="C178">
        <v>811200</v>
      </c>
      <c r="D178">
        <v>441100</v>
      </c>
      <c r="E178">
        <v>811200</v>
      </c>
      <c r="F178">
        <v>1644300</v>
      </c>
      <c r="G178" s="9">
        <v>1.3089697090601848E-2</v>
      </c>
      <c r="H178" s="9">
        <v>3.4461968705146007E-2</v>
      </c>
      <c r="I178" s="9">
        <v>5.169295305771901E-2</v>
      </c>
      <c r="J178" s="10">
        <v>32448</v>
      </c>
      <c r="K178" s="10">
        <v>32448</v>
      </c>
      <c r="L178" s="10">
        <v>32448</v>
      </c>
      <c r="M178" s="10">
        <v>32448</v>
      </c>
      <c r="N178" s="10">
        <v>32448</v>
      </c>
      <c r="O178" s="10">
        <v>32448</v>
      </c>
      <c r="P178" s="10">
        <v>32448</v>
      </c>
      <c r="Q178" s="10">
        <v>32448</v>
      </c>
      <c r="R178" s="10">
        <v>32448</v>
      </c>
      <c r="S178" s="10">
        <v>32448</v>
      </c>
      <c r="T178" s="10">
        <v>32448</v>
      </c>
      <c r="V178" t="s">
        <v>456</v>
      </c>
      <c r="W178" t="s">
        <v>1332</v>
      </c>
      <c r="X178" t="s">
        <v>1333</v>
      </c>
      <c r="Y178" t="s">
        <v>941</v>
      </c>
      <c r="Z178" t="s">
        <v>942</v>
      </c>
      <c r="AB178" t="s">
        <v>101</v>
      </c>
      <c r="AC178" t="s">
        <v>39</v>
      </c>
      <c r="AD178" t="s">
        <v>943</v>
      </c>
      <c r="AF178" t="s">
        <v>944</v>
      </c>
      <c r="AG178" t="s">
        <v>1187</v>
      </c>
      <c r="AH178" t="s">
        <v>1136</v>
      </c>
      <c r="AI178" t="s">
        <v>960</v>
      </c>
      <c r="AJ178" t="s">
        <v>948</v>
      </c>
      <c r="AK178">
        <v>4</v>
      </c>
      <c r="AL178" s="10">
        <v>441.1</v>
      </c>
      <c r="AM178" s="10">
        <v>811.2</v>
      </c>
      <c r="AN178" s="10">
        <v>1644.3</v>
      </c>
      <c r="AO178" s="9">
        <v>7.7564575791486595E-2</v>
      </c>
      <c r="AP178" s="9">
        <v>27.496200000000002</v>
      </c>
      <c r="AQ178" s="9">
        <v>5.3396970906018479</v>
      </c>
      <c r="AR178" s="9">
        <v>7.75</v>
      </c>
      <c r="AS178" s="9">
        <v>13.089697090601849</v>
      </c>
      <c r="AT178" s="9">
        <v>10.861968705146005</v>
      </c>
      <c r="AU178" s="9">
        <v>23.6</v>
      </c>
      <c r="AV178" s="9">
        <v>34.461968705146006</v>
      </c>
      <c r="AW178" s="11">
        <v>32.448</v>
      </c>
      <c r="AX178" s="11">
        <v>32.448</v>
      </c>
      <c r="AY178" t="s">
        <v>949</v>
      </c>
      <c r="AZ178" t="s">
        <v>950</v>
      </c>
      <c r="BA178" t="s">
        <v>951</v>
      </c>
      <c r="BB178" t="s">
        <v>952</v>
      </c>
      <c r="BC178" t="b">
        <v>1</v>
      </c>
    </row>
    <row r="179" spans="1:55">
      <c r="A179" t="s">
        <v>1334</v>
      </c>
      <c r="B179" t="s">
        <v>939</v>
      </c>
      <c r="C179">
        <v>469000</v>
      </c>
      <c r="D179">
        <v>360000</v>
      </c>
      <c r="E179">
        <v>469000</v>
      </c>
      <c r="F179">
        <v>789700</v>
      </c>
      <c r="G179" s="9">
        <v>9.3489690550479041E-3</v>
      </c>
      <c r="H179" s="9">
        <v>2.0032556677067066E-2</v>
      </c>
      <c r="I179" s="9">
        <v>3.00488350156006E-2</v>
      </c>
      <c r="J179" s="10">
        <v>1436.8556228215009</v>
      </c>
      <c r="K179" s="10">
        <v>1436.8556228215009</v>
      </c>
      <c r="L179" s="10">
        <v>1436.8556228215009</v>
      </c>
      <c r="M179" s="10">
        <v>1436.8556228215009</v>
      </c>
      <c r="N179" s="10">
        <v>1436.8556228215009</v>
      </c>
      <c r="O179" s="10">
        <v>1436.8556228215009</v>
      </c>
      <c r="P179" s="10">
        <v>1436.8556228215009</v>
      </c>
      <c r="Q179" s="10">
        <v>1436.8556228215009</v>
      </c>
      <c r="R179" s="10">
        <v>1436.8556228215009</v>
      </c>
      <c r="S179" s="10">
        <v>1436.8556228215009</v>
      </c>
      <c r="T179" s="10">
        <v>1436.8556228215009</v>
      </c>
      <c r="V179" t="s">
        <v>456</v>
      </c>
      <c r="W179" t="s">
        <v>1334</v>
      </c>
      <c r="X179" t="s">
        <v>1335</v>
      </c>
      <c r="Y179" t="s">
        <v>941</v>
      </c>
      <c r="Z179" t="s">
        <v>942</v>
      </c>
      <c r="AB179" t="s">
        <v>102</v>
      </c>
      <c r="AC179" t="s">
        <v>40</v>
      </c>
      <c r="AD179" t="s">
        <v>968</v>
      </c>
      <c r="AF179" t="s">
        <v>986</v>
      </c>
      <c r="AG179" t="s">
        <v>976</v>
      </c>
      <c r="AH179" t="s">
        <v>956</v>
      </c>
      <c r="AI179" t="s">
        <v>977</v>
      </c>
      <c r="AJ179" t="s">
        <v>1054</v>
      </c>
      <c r="AK179">
        <v>1</v>
      </c>
      <c r="AL179" s="10">
        <v>360</v>
      </c>
      <c r="AM179" s="10">
        <v>469</v>
      </c>
      <c r="AN179" s="10">
        <v>789.7</v>
      </c>
      <c r="AO179" s="9">
        <v>1.0701057981566E-2</v>
      </c>
      <c r="AP179" s="9">
        <v>17.670000000000002</v>
      </c>
      <c r="AQ179" s="9">
        <v>1.9089690550479024</v>
      </c>
      <c r="AR179" s="9">
        <v>7.44</v>
      </c>
      <c r="AS179" s="9">
        <v>9.3489690550479043</v>
      </c>
      <c r="AT179" s="9">
        <v>2.672556677067063</v>
      </c>
      <c r="AU179" s="9">
        <v>17.360000000000003</v>
      </c>
      <c r="AV179" s="9">
        <v>20.032556677067067</v>
      </c>
      <c r="AW179" s="11">
        <v>1.4368556228215008</v>
      </c>
      <c r="AX179" s="11">
        <v>1.4368556228215008</v>
      </c>
      <c r="AY179" t="s">
        <v>969</v>
      </c>
      <c r="AZ179" t="s">
        <v>950</v>
      </c>
      <c r="BA179" t="s">
        <v>951</v>
      </c>
      <c r="BB179" t="s">
        <v>970</v>
      </c>
      <c r="BC179" t="b">
        <v>1</v>
      </c>
    </row>
    <row r="180" spans="1:55">
      <c r="A180" t="s">
        <v>1336</v>
      </c>
      <c r="B180" t="s">
        <v>939</v>
      </c>
      <c r="C180">
        <v>30200</v>
      </c>
      <c r="D180">
        <v>23200</v>
      </c>
      <c r="E180">
        <v>30200</v>
      </c>
      <c r="F180">
        <v>50800</v>
      </c>
      <c r="G180" s="9">
        <v>4.0784969918571971E-3</v>
      </c>
      <c r="H180" s="9"/>
      <c r="I180" s="9"/>
      <c r="J180" s="10">
        <v>92.522472940744791</v>
      </c>
      <c r="K180" s="10">
        <v>92.522472940744791</v>
      </c>
      <c r="L180" s="10">
        <v>92.522472940744791</v>
      </c>
      <c r="M180" s="10">
        <v>92.522472940744791</v>
      </c>
      <c r="N180" s="10">
        <v>92.522472940744791</v>
      </c>
      <c r="O180" s="10">
        <v>92.522472940744791</v>
      </c>
      <c r="P180" s="10">
        <v>92.522472940744791</v>
      </c>
      <c r="Q180" s="10">
        <v>92.522472940744791</v>
      </c>
      <c r="R180" s="10">
        <v>92.522472940744791</v>
      </c>
      <c r="S180" s="10">
        <v>92.522472940744791</v>
      </c>
      <c r="T180" s="10">
        <v>92.522472940744791</v>
      </c>
      <c r="V180" t="s">
        <v>456</v>
      </c>
      <c r="W180" t="s">
        <v>1336</v>
      </c>
      <c r="X180" t="s">
        <v>1337</v>
      </c>
      <c r="Y180" t="s">
        <v>941</v>
      </c>
      <c r="Z180" t="s">
        <v>942</v>
      </c>
      <c r="AB180" t="s">
        <v>102</v>
      </c>
      <c r="AC180" t="s">
        <v>40</v>
      </c>
      <c r="AD180" t="s">
        <v>968</v>
      </c>
      <c r="AF180" t="s">
        <v>944</v>
      </c>
      <c r="AG180" t="s">
        <v>999</v>
      </c>
      <c r="AH180" t="s">
        <v>946</v>
      </c>
      <c r="AI180" t="s">
        <v>977</v>
      </c>
      <c r="AJ180" t="s">
        <v>948</v>
      </c>
      <c r="AK180">
        <v>2</v>
      </c>
      <c r="AL180" s="10">
        <v>23.2</v>
      </c>
      <c r="AM180" s="10">
        <v>30.2</v>
      </c>
      <c r="AN180" s="10">
        <v>50.8</v>
      </c>
      <c r="AO180" s="9">
        <v>7.998238413273E-4</v>
      </c>
      <c r="AP180" s="9">
        <v>1.3207</v>
      </c>
      <c r="AQ180" s="9">
        <v>0.35849699185719602</v>
      </c>
      <c r="AR180" s="9">
        <v>3.7200000000000006</v>
      </c>
      <c r="AS180" s="9">
        <v>4.0784969918571967</v>
      </c>
      <c r="AT180" s="9"/>
      <c r="AU180" s="9"/>
      <c r="AV180" s="9"/>
      <c r="AW180" s="11">
        <v>9.2522472940744796E-2</v>
      </c>
      <c r="AX180" s="11">
        <v>9.2522472940744796E-2</v>
      </c>
      <c r="AY180" t="s">
        <v>969</v>
      </c>
      <c r="AZ180" t="s">
        <v>950</v>
      </c>
      <c r="BA180" t="s">
        <v>951</v>
      </c>
      <c r="BB180" t="s">
        <v>970</v>
      </c>
      <c r="BC180" t="b">
        <v>0</v>
      </c>
    </row>
    <row r="181" spans="1:55">
      <c r="A181" t="s">
        <v>1338</v>
      </c>
      <c r="B181" t="s">
        <v>939</v>
      </c>
      <c r="C181">
        <v>335800</v>
      </c>
      <c r="D181">
        <v>257800</v>
      </c>
      <c r="E181">
        <v>335800</v>
      </c>
      <c r="F181">
        <v>565400</v>
      </c>
      <c r="G181" s="9">
        <v>4.369591217250321E-3</v>
      </c>
      <c r="H181" s="9">
        <v>1.019794504665864E-2</v>
      </c>
      <c r="I181" s="9">
        <v>1.529691756998796E-2</v>
      </c>
      <c r="J181" s="10">
        <v>1028.7763713080171</v>
      </c>
      <c r="K181" s="10">
        <v>1028.7763713080171</v>
      </c>
      <c r="L181" s="10">
        <v>1028.7763713080171</v>
      </c>
      <c r="M181" s="10">
        <v>1028.7763713080171</v>
      </c>
      <c r="N181" s="10">
        <v>1028.7763713080171</v>
      </c>
      <c r="O181" s="10">
        <v>1028.7763713080171</v>
      </c>
      <c r="P181" s="10">
        <v>1028.7763713080171</v>
      </c>
      <c r="Q181" s="10">
        <v>1028.7763713080171</v>
      </c>
      <c r="R181" s="10">
        <v>1028.7763713080171</v>
      </c>
      <c r="S181" s="10">
        <v>1028.7763713080171</v>
      </c>
      <c r="T181" s="10">
        <v>1028.7763713080171</v>
      </c>
      <c r="V181" t="s">
        <v>456</v>
      </c>
      <c r="W181" t="s">
        <v>1338</v>
      </c>
      <c r="X181" t="s">
        <v>1339</v>
      </c>
      <c r="Y181" t="s">
        <v>941</v>
      </c>
      <c r="Z181" t="s">
        <v>942</v>
      </c>
      <c r="AB181" t="s">
        <v>102</v>
      </c>
      <c r="AC181" t="s">
        <v>40</v>
      </c>
      <c r="AD181" t="s">
        <v>968</v>
      </c>
      <c r="AF181" t="s">
        <v>944</v>
      </c>
      <c r="AG181" t="s">
        <v>976</v>
      </c>
      <c r="AH181" t="s">
        <v>956</v>
      </c>
      <c r="AI181" t="s">
        <v>977</v>
      </c>
      <c r="AJ181" t="s">
        <v>948</v>
      </c>
      <c r="AK181">
        <v>7</v>
      </c>
      <c r="AL181" s="10">
        <v>257.8</v>
      </c>
      <c r="AM181" s="10">
        <v>335.8</v>
      </c>
      <c r="AN181" s="10">
        <v>565.4</v>
      </c>
      <c r="AO181" s="9">
        <v>8.9001674258340994E-3</v>
      </c>
      <c r="AP181" s="9">
        <v>14.696300000000001</v>
      </c>
      <c r="AQ181" s="9">
        <v>0.64959121725031987</v>
      </c>
      <c r="AR181" s="9">
        <v>3.7200000000000006</v>
      </c>
      <c r="AS181" s="9">
        <v>4.3695912172503206</v>
      </c>
      <c r="AT181" s="9">
        <v>1.5179450466586406</v>
      </c>
      <c r="AU181" s="9">
        <v>8.6800000000000033</v>
      </c>
      <c r="AV181" s="9">
        <v>10.19794504665864</v>
      </c>
      <c r="AW181" s="11">
        <v>1.0287763713080171</v>
      </c>
      <c r="AX181" s="11">
        <v>1.0287763713080171</v>
      </c>
      <c r="AY181" t="s">
        <v>969</v>
      </c>
      <c r="AZ181" t="s">
        <v>950</v>
      </c>
      <c r="BA181" t="s">
        <v>951</v>
      </c>
      <c r="BB181" t="s">
        <v>970</v>
      </c>
      <c r="BC181" t="b">
        <v>1</v>
      </c>
    </row>
    <row r="182" spans="1:55">
      <c r="A182" t="s">
        <v>1340</v>
      </c>
      <c r="B182" t="s">
        <v>939</v>
      </c>
      <c r="C182">
        <v>218900</v>
      </c>
      <c r="D182">
        <v>168000</v>
      </c>
      <c r="E182">
        <v>218900</v>
      </c>
      <c r="F182">
        <v>368500</v>
      </c>
      <c r="G182" s="9">
        <v>1.3782064728582611E-2</v>
      </c>
      <c r="H182" s="9">
        <v>4.4359465129046823E-2</v>
      </c>
      <c r="I182" s="9">
        <v>6.6539197693570237E-2</v>
      </c>
      <c r="J182" s="10">
        <v>670.63474591818033</v>
      </c>
      <c r="K182" s="10">
        <v>670.63474591818033</v>
      </c>
      <c r="L182" s="10">
        <v>670.63474591818033</v>
      </c>
      <c r="M182" s="10">
        <v>670.63474591818033</v>
      </c>
      <c r="N182" s="10">
        <v>670.63474591818033</v>
      </c>
      <c r="O182" s="10">
        <v>670.63474591818033</v>
      </c>
      <c r="P182" s="10">
        <v>670.63474591818033</v>
      </c>
      <c r="Q182" s="10">
        <v>670.63474591818033</v>
      </c>
      <c r="R182" s="10">
        <v>670.63474591818033</v>
      </c>
      <c r="S182" s="10">
        <v>670.63474591818033</v>
      </c>
      <c r="T182" s="10">
        <v>670.63474591818033</v>
      </c>
      <c r="V182" t="s">
        <v>456</v>
      </c>
      <c r="W182" t="s">
        <v>1340</v>
      </c>
      <c r="X182" t="s">
        <v>1341</v>
      </c>
      <c r="Y182" t="s">
        <v>941</v>
      </c>
      <c r="Z182" t="s">
        <v>942</v>
      </c>
      <c r="AB182" t="s">
        <v>102</v>
      </c>
      <c r="AC182" t="s">
        <v>40</v>
      </c>
      <c r="AD182" t="s">
        <v>968</v>
      </c>
      <c r="AF182" t="s">
        <v>944</v>
      </c>
      <c r="AG182" t="s">
        <v>1037</v>
      </c>
      <c r="AH182" t="s">
        <v>988</v>
      </c>
      <c r="AI182" t="s">
        <v>947</v>
      </c>
      <c r="AJ182" t="s">
        <v>948</v>
      </c>
      <c r="AK182">
        <v>7</v>
      </c>
      <c r="AL182" s="10">
        <v>168</v>
      </c>
      <c r="AM182" s="10">
        <v>218.9</v>
      </c>
      <c r="AN182" s="10">
        <v>368.5</v>
      </c>
      <c r="AO182" s="9">
        <v>3.5027645308193999E-3</v>
      </c>
      <c r="AP182" s="9">
        <v>5.7838999999999992</v>
      </c>
      <c r="AQ182" s="9">
        <v>5.0247994624912868</v>
      </c>
      <c r="AR182" s="9">
        <v>8.7572652660913217</v>
      </c>
      <c r="AS182" s="9">
        <v>13.782064728582611</v>
      </c>
      <c r="AT182" s="9">
        <v>19.134036697727204</v>
      </c>
      <c r="AU182" s="9">
        <v>25.225428431319624</v>
      </c>
      <c r="AV182" s="9">
        <v>44.359465129046825</v>
      </c>
      <c r="AW182" s="11">
        <v>0.67063474591818029</v>
      </c>
      <c r="AX182" s="11">
        <v>0.67063474591818029</v>
      </c>
      <c r="AY182" t="s">
        <v>969</v>
      </c>
      <c r="AZ182" t="s">
        <v>950</v>
      </c>
      <c r="BA182" t="s">
        <v>951</v>
      </c>
      <c r="BB182" t="s">
        <v>970</v>
      </c>
      <c r="BC182" t="b">
        <v>1</v>
      </c>
    </row>
    <row r="183" spans="1:55">
      <c r="A183" t="s">
        <v>1342</v>
      </c>
      <c r="B183" t="s">
        <v>939</v>
      </c>
      <c r="C183">
        <v>18300</v>
      </c>
      <c r="D183">
        <v>14000</v>
      </c>
      <c r="E183">
        <v>18300</v>
      </c>
      <c r="F183">
        <v>30800</v>
      </c>
      <c r="G183" s="9">
        <v>1.4361160179433815E-2</v>
      </c>
      <c r="H183" s="9">
        <v>4.362761457240194E-2</v>
      </c>
      <c r="I183" s="9">
        <v>6.5441421858602911E-2</v>
      </c>
      <c r="J183" s="10">
        <v>56.064942212437998</v>
      </c>
      <c r="K183" s="10">
        <v>56.064942212437998</v>
      </c>
      <c r="L183" s="10">
        <v>56.064942212437998</v>
      </c>
      <c r="M183" s="10">
        <v>56.064942212437998</v>
      </c>
      <c r="N183" s="10">
        <v>56.064942212437998</v>
      </c>
      <c r="O183" s="10">
        <v>56.064942212437998</v>
      </c>
      <c r="P183" s="10">
        <v>56.064942212437998</v>
      </c>
      <c r="Q183" s="10">
        <v>56.064942212437998</v>
      </c>
      <c r="R183" s="10">
        <v>56.064942212437998</v>
      </c>
      <c r="S183" s="10">
        <v>56.064942212437998</v>
      </c>
      <c r="T183" s="10">
        <v>56.064942212437998</v>
      </c>
      <c r="V183" t="s">
        <v>456</v>
      </c>
      <c r="W183" t="s">
        <v>1342</v>
      </c>
      <c r="X183" t="s">
        <v>1343</v>
      </c>
      <c r="Y183" t="s">
        <v>941</v>
      </c>
      <c r="Z183" t="s">
        <v>942</v>
      </c>
      <c r="AB183" t="s">
        <v>102</v>
      </c>
      <c r="AC183" t="s">
        <v>40</v>
      </c>
      <c r="AD183" t="s">
        <v>968</v>
      </c>
      <c r="AF183" t="s">
        <v>944</v>
      </c>
      <c r="AG183" t="s">
        <v>1135</v>
      </c>
      <c r="AH183" t="s">
        <v>1136</v>
      </c>
      <c r="AI183" t="s">
        <v>947</v>
      </c>
      <c r="AJ183" t="s">
        <v>948</v>
      </c>
      <c r="AK183">
        <v>1</v>
      </c>
      <c r="AL183" s="10">
        <v>14</v>
      </c>
      <c r="AM183" s="10">
        <v>18.3</v>
      </c>
      <c r="AN183" s="10">
        <v>30.8</v>
      </c>
      <c r="AO183" s="9">
        <v>2.9232601514999999E-4</v>
      </c>
      <c r="AP183" s="9">
        <v>0.48270000000000002</v>
      </c>
      <c r="AQ183" s="9">
        <v>5.6038949133424953</v>
      </c>
      <c r="AR183" s="9">
        <v>8.7572652660913217</v>
      </c>
      <c r="AS183" s="9">
        <v>14.361160179433815</v>
      </c>
      <c r="AT183" s="9">
        <v>18.402186141082318</v>
      </c>
      <c r="AU183" s="9">
        <v>25.225428431319624</v>
      </c>
      <c r="AV183" s="9">
        <v>43.627614572401939</v>
      </c>
      <c r="AW183" s="11">
        <v>5.6064942212437997E-2</v>
      </c>
      <c r="AX183" s="11">
        <v>5.6064942212437997E-2</v>
      </c>
      <c r="AY183" t="s">
        <v>969</v>
      </c>
      <c r="AZ183" t="s">
        <v>950</v>
      </c>
      <c r="BA183" t="s">
        <v>951</v>
      </c>
      <c r="BB183" t="s">
        <v>970</v>
      </c>
      <c r="BC183" t="b">
        <v>1</v>
      </c>
    </row>
    <row r="184" spans="1:55">
      <c r="A184" t="s">
        <v>1344</v>
      </c>
      <c r="B184" t="s">
        <v>939</v>
      </c>
      <c r="C184">
        <v>1653300</v>
      </c>
      <c r="D184">
        <v>1268900</v>
      </c>
      <c r="E184">
        <v>1653300</v>
      </c>
      <c r="F184">
        <v>2783700</v>
      </c>
      <c r="G184" s="9">
        <v>1.4954745250507096E-2</v>
      </c>
      <c r="H184" s="9">
        <v>4.584676282988176E-2</v>
      </c>
      <c r="I184" s="9">
        <v>6.877014424482264E-2</v>
      </c>
      <c r="J184" s="10">
        <v>5065.1458447991199</v>
      </c>
      <c r="K184" s="10">
        <v>5065.1458447991199</v>
      </c>
      <c r="L184" s="10">
        <v>5065.1458447991199</v>
      </c>
      <c r="M184" s="10">
        <v>5065.1458447991199</v>
      </c>
      <c r="N184" s="10">
        <v>5065.1458447991199</v>
      </c>
      <c r="O184" s="10">
        <v>5065.1458447991199</v>
      </c>
      <c r="P184" s="10">
        <v>5065.1458447991199</v>
      </c>
      <c r="Q184" s="10">
        <v>5065.1458447991199</v>
      </c>
      <c r="R184" s="10">
        <v>5065.1458447991199</v>
      </c>
      <c r="S184" s="10">
        <v>5065.1458447991199</v>
      </c>
      <c r="T184" s="10">
        <v>5065.1458447991199</v>
      </c>
      <c r="V184" t="s">
        <v>456</v>
      </c>
      <c r="W184" t="s">
        <v>1344</v>
      </c>
      <c r="X184" t="s">
        <v>1345</v>
      </c>
      <c r="Y184" t="s">
        <v>941</v>
      </c>
      <c r="Z184" t="s">
        <v>942</v>
      </c>
      <c r="AB184" t="s">
        <v>102</v>
      </c>
      <c r="AC184" t="s">
        <v>40</v>
      </c>
      <c r="AD184" t="s">
        <v>968</v>
      </c>
      <c r="AF184" t="s">
        <v>944</v>
      </c>
      <c r="AG184" t="s">
        <v>1139</v>
      </c>
      <c r="AH184" t="s">
        <v>1116</v>
      </c>
      <c r="AI184" t="s">
        <v>947</v>
      </c>
      <c r="AJ184" t="s">
        <v>948</v>
      </c>
      <c r="AK184">
        <v>14</v>
      </c>
      <c r="AL184" s="10">
        <v>1268.9000000000001</v>
      </c>
      <c r="AM184" s="10">
        <v>1653.3</v>
      </c>
      <c r="AN184" s="10">
        <v>2783.7</v>
      </c>
      <c r="AO184" s="9">
        <v>2.6457048666376801E-2</v>
      </c>
      <c r="AP184" s="9">
        <v>43.686900000000001</v>
      </c>
      <c r="AQ184" s="9">
        <v>6.1974799844157804</v>
      </c>
      <c r="AR184" s="9">
        <v>8.7572652660913217</v>
      </c>
      <c r="AS184" s="9">
        <v>14.954745250507097</v>
      </c>
      <c r="AT184" s="9">
        <v>20.621334398562141</v>
      </c>
      <c r="AU184" s="9">
        <v>25.225428431319628</v>
      </c>
      <c r="AV184" s="9">
        <v>45.846762829881762</v>
      </c>
      <c r="AW184" s="11">
        <v>5.0651458447991198</v>
      </c>
      <c r="AX184" s="11">
        <v>5.0651458447991198</v>
      </c>
      <c r="AY184" t="s">
        <v>969</v>
      </c>
      <c r="AZ184" t="s">
        <v>950</v>
      </c>
      <c r="BA184" t="s">
        <v>951</v>
      </c>
      <c r="BB184" t="s">
        <v>970</v>
      </c>
      <c r="BC184" t="b">
        <v>1</v>
      </c>
    </row>
    <row r="185" spans="1:55">
      <c r="A185" t="s">
        <v>1346</v>
      </c>
      <c r="B185" t="s">
        <v>939</v>
      </c>
      <c r="C185">
        <v>9381700</v>
      </c>
      <c r="D185">
        <v>5101600</v>
      </c>
      <c r="E185">
        <v>9381700</v>
      </c>
      <c r="F185">
        <v>19016200</v>
      </c>
      <c r="G185" s="9">
        <v>7.6332879103729684E-2</v>
      </c>
      <c r="H185" s="9"/>
      <c r="I185" s="9"/>
      <c r="J185" s="10">
        <v>375268</v>
      </c>
      <c r="K185" s="10">
        <v>375268</v>
      </c>
      <c r="L185" s="10">
        <v>375268</v>
      </c>
      <c r="M185" s="10">
        <v>375268</v>
      </c>
      <c r="N185" s="10">
        <v>375268</v>
      </c>
      <c r="O185" s="10">
        <v>375268</v>
      </c>
      <c r="P185" s="10">
        <v>375268</v>
      </c>
      <c r="Q185" s="10">
        <v>375268</v>
      </c>
      <c r="R185" s="10">
        <v>375268</v>
      </c>
      <c r="S185" s="10">
        <v>375268</v>
      </c>
      <c r="T185" s="10">
        <v>375268</v>
      </c>
      <c r="V185" t="s">
        <v>456</v>
      </c>
      <c r="W185" t="s">
        <v>1346</v>
      </c>
      <c r="X185" t="s">
        <v>1347</v>
      </c>
      <c r="Y185" t="s">
        <v>941</v>
      </c>
      <c r="Z185" t="s">
        <v>942</v>
      </c>
      <c r="AB185" t="s">
        <v>102</v>
      </c>
      <c r="AC185" t="s">
        <v>40</v>
      </c>
      <c r="AD185" t="s">
        <v>943</v>
      </c>
      <c r="AF185" t="s">
        <v>986</v>
      </c>
      <c r="AG185" t="s">
        <v>1348</v>
      </c>
      <c r="AH185" t="s">
        <v>988</v>
      </c>
      <c r="AI185" t="s">
        <v>960</v>
      </c>
      <c r="AJ185" t="s">
        <v>989</v>
      </c>
      <c r="AK185">
        <v>1</v>
      </c>
      <c r="AL185" s="10">
        <v>5101.6000000000004</v>
      </c>
      <c r="AM185" s="10">
        <v>9381.7000000000007</v>
      </c>
      <c r="AN185" s="10">
        <v>19016.2</v>
      </c>
      <c r="AO185" s="9">
        <v>4.0696723053833656E-5</v>
      </c>
      <c r="AP185" s="9">
        <v>6.7199999999999996E-2</v>
      </c>
      <c r="AQ185" s="9">
        <v>54.632879103729678</v>
      </c>
      <c r="AR185" s="9">
        <v>21.7</v>
      </c>
      <c r="AS185" s="9">
        <v>76.332879103729681</v>
      </c>
      <c r="AT185" s="9"/>
      <c r="AU185" s="9"/>
      <c r="AV185" s="9"/>
      <c r="AW185" s="11">
        <v>375.26799999999997</v>
      </c>
      <c r="AX185" s="11">
        <v>375.26799999999997</v>
      </c>
      <c r="AY185" t="s">
        <v>949</v>
      </c>
      <c r="AZ185" t="s">
        <v>950</v>
      </c>
      <c r="BA185" t="s">
        <v>951</v>
      </c>
      <c r="BB185" t="s">
        <v>952</v>
      </c>
      <c r="BC185" t="b">
        <v>0</v>
      </c>
    </row>
    <row r="186" spans="1:55">
      <c r="A186" t="s">
        <v>1349</v>
      </c>
      <c r="B186" t="s">
        <v>939</v>
      </c>
      <c r="C186">
        <v>129699.99999999999</v>
      </c>
      <c r="D186">
        <v>70500</v>
      </c>
      <c r="E186">
        <v>129699.99999999999</v>
      </c>
      <c r="F186">
        <v>262900</v>
      </c>
      <c r="G186" s="9">
        <v>7.9349146609154451E-3</v>
      </c>
      <c r="H186" s="9">
        <v>2.4221083897524216E-2</v>
      </c>
      <c r="I186" s="9">
        <v>3.6331625846286325E-2</v>
      </c>
      <c r="J186" s="10">
        <v>5188</v>
      </c>
      <c r="K186" s="10">
        <v>5188</v>
      </c>
      <c r="L186" s="10">
        <v>5188</v>
      </c>
      <c r="M186" s="10">
        <v>5188</v>
      </c>
      <c r="N186" s="10">
        <v>5188</v>
      </c>
      <c r="O186" s="10">
        <v>5188</v>
      </c>
      <c r="P186" s="10">
        <v>5188</v>
      </c>
      <c r="Q186" s="10">
        <v>5188</v>
      </c>
      <c r="R186" s="10">
        <v>5188</v>
      </c>
      <c r="S186" s="10">
        <v>5188</v>
      </c>
      <c r="T186" s="10">
        <v>5188</v>
      </c>
      <c r="V186" t="s">
        <v>456</v>
      </c>
      <c r="W186" t="s">
        <v>1349</v>
      </c>
      <c r="X186" t="s">
        <v>1350</v>
      </c>
      <c r="Y186" t="s">
        <v>941</v>
      </c>
      <c r="Z186" t="s">
        <v>942</v>
      </c>
      <c r="AB186" t="s">
        <v>102</v>
      </c>
      <c r="AC186" t="s">
        <v>40</v>
      </c>
      <c r="AD186" t="s">
        <v>943</v>
      </c>
      <c r="AF186" t="s">
        <v>944</v>
      </c>
      <c r="AG186" t="s">
        <v>959</v>
      </c>
      <c r="AH186" t="s">
        <v>946</v>
      </c>
      <c r="AI186" t="s">
        <v>960</v>
      </c>
      <c r="AJ186" t="s">
        <v>948</v>
      </c>
      <c r="AK186">
        <v>4</v>
      </c>
      <c r="AL186" s="10">
        <v>70.5</v>
      </c>
      <c r="AM186" s="10">
        <v>129.69999999999999</v>
      </c>
      <c r="AN186" s="10">
        <v>262.89999999999998</v>
      </c>
      <c r="AO186" s="9">
        <v>2.9926625988515002E-3</v>
      </c>
      <c r="AP186" s="9">
        <v>4.9416000000000002</v>
      </c>
      <c r="AQ186" s="9">
        <v>0.18491466091544539</v>
      </c>
      <c r="AR186" s="9">
        <v>7.75</v>
      </c>
      <c r="AS186" s="9">
        <v>7.9349146609154451</v>
      </c>
      <c r="AT186" s="9">
        <v>0.621083897524216</v>
      </c>
      <c r="AU186" s="9">
        <v>23.6</v>
      </c>
      <c r="AV186" s="9">
        <v>24.221083897524217</v>
      </c>
      <c r="AW186" s="11">
        <v>5.1879999999999997</v>
      </c>
      <c r="AX186" s="11">
        <v>5.1879999999999997</v>
      </c>
      <c r="AY186" t="s">
        <v>949</v>
      </c>
      <c r="AZ186" t="s">
        <v>950</v>
      </c>
      <c r="BA186" t="s">
        <v>951</v>
      </c>
      <c r="BB186" t="s">
        <v>952</v>
      </c>
      <c r="BC186" t="b">
        <v>1</v>
      </c>
    </row>
    <row r="187" spans="1:55">
      <c r="A187" t="s">
        <v>1351</v>
      </c>
      <c r="B187" t="s">
        <v>939</v>
      </c>
      <c r="C187">
        <v>37417900</v>
      </c>
      <c r="D187">
        <v>20347000</v>
      </c>
      <c r="E187">
        <v>37417900</v>
      </c>
      <c r="F187">
        <v>75843800</v>
      </c>
      <c r="G187" s="9">
        <v>1.4693975362679326E-2</v>
      </c>
      <c r="H187" s="9">
        <v>4.8695354538485232E-2</v>
      </c>
      <c r="I187" s="9">
        <v>7.3043031807727851E-2</v>
      </c>
      <c r="J187" s="10">
        <v>1496716</v>
      </c>
      <c r="K187" s="10">
        <v>1496716</v>
      </c>
      <c r="L187" s="10">
        <v>1496716</v>
      </c>
      <c r="M187" s="10">
        <v>1496716</v>
      </c>
      <c r="N187" s="10">
        <v>1496716</v>
      </c>
      <c r="O187" s="10">
        <v>1496716</v>
      </c>
      <c r="P187" s="10">
        <v>1496716</v>
      </c>
      <c r="Q187" s="10">
        <v>1496716</v>
      </c>
      <c r="R187" s="10">
        <v>1496716</v>
      </c>
      <c r="S187" s="10">
        <v>1496716</v>
      </c>
      <c r="T187" s="10">
        <v>1496716</v>
      </c>
      <c r="V187" t="s">
        <v>456</v>
      </c>
      <c r="W187" t="s">
        <v>1351</v>
      </c>
      <c r="X187" t="s">
        <v>1352</v>
      </c>
      <c r="Y187" t="s">
        <v>941</v>
      </c>
      <c r="Z187" t="s">
        <v>942</v>
      </c>
      <c r="AB187" t="s">
        <v>102</v>
      </c>
      <c r="AC187" t="s">
        <v>40</v>
      </c>
      <c r="AD187" t="s">
        <v>943</v>
      </c>
      <c r="AF187" t="s">
        <v>944</v>
      </c>
      <c r="AG187" t="s">
        <v>945</v>
      </c>
      <c r="AH187" t="s">
        <v>946</v>
      </c>
      <c r="AI187" t="s">
        <v>947</v>
      </c>
      <c r="AJ187" t="s">
        <v>948</v>
      </c>
      <c r="AK187">
        <v>303</v>
      </c>
      <c r="AL187" s="10">
        <v>20347</v>
      </c>
      <c r="AM187" s="10">
        <v>37417.9</v>
      </c>
      <c r="AN187" s="10">
        <v>75843.8</v>
      </c>
      <c r="AO187" s="9">
        <v>0.59879147689498069</v>
      </c>
      <c r="AP187" s="9">
        <v>988.74760000000003</v>
      </c>
      <c r="AQ187" s="9">
        <v>9.8533252527125095E-2</v>
      </c>
      <c r="AR187" s="9">
        <v>14.5954421101522</v>
      </c>
      <c r="AS187" s="9">
        <v>14.693975362679325</v>
      </c>
      <c r="AT187" s="9">
        <v>0.45176294193730621</v>
      </c>
      <c r="AU187" s="9">
        <v>48.24359159654793</v>
      </c>
      <c r="AV187" s="9">
        <v>48.695354538485233</v>
      </c>
      <c r="AW187" s="11">
        <v>1496.7159999999999</v>
      </c>
      <c r="AX187" s="11">
        <v>1496.7159999999999</v>
      </c>
      <c r="AY187" t="s">
        <v>949</v>
      </c>
      <c r="AZ187" t="s">
        <v>950</v>
      </c>
      <c r="BA187" t="s">
        <v>951</v>
      </c>
      <c r="BB187" t="s">
        <v>952</v>
      </c>
      <c r="BC187" t="b">
        <v>1</v>
      </c>
    </row>
    <row r="188" spans="1:55">
      <c r="A188" t="s">
        <v>1353</v>
      </c>
      <c r="B188" t="s">
        <v>939</v>
      </c>
      <c r="C188">
        <v>14574700</v>
      </c>
      <c r="D188">
        <v>7925400</v>
      </c>
      <c r="E188">
        <v>14574700</v>
      </c>
      <c r="F188">
        <v>29542000</v>
      </c>
      <c r="G188" s="9">
        <v>1.5477334498066368E-2</v>
      </c>
      <c r="H188" s="9">
        <v>5.1800068989633415E-2</v>
      </c>
      <c r="I188" s="9">
        <v>7.7700103484450125E-2</v>
      </c>
      <c r="J188" s="10">
        <v>582988</v>
      </c>
      <c r="K188" s="10">
        <v>582988</v>
      </c>
      <c r="L188" s="10">
        <v>582988</v>
      </c>
      <c r="M188" s="10">
        <v>582988</v>
      </c>
      <c r="N188" s="10">
        <v>582988</v>
      </c>
      <c r="O188" s="10">
        <v>582988</v>
      </c>
      <c r="P188" s="10">
        <v>582988</v>
      </c>
      <c r="Q188" s="10">
        <v>582988</v>
      </c>
      <c r="R188" s="10">
        <v>582988</v>
      </c>
      <c r="S188" s="10">
        <v>582988</v>
      </c>
      <c r="T188" s="10">
        <v>582988</v>
      </c>
      <c r="V188" t="s">
        <v>456</v>
      </c>
      <c r="W188" t="s">
        <v>1353</v>
      </c>
      <c r="X188" t="s">
        <v>1354</v>
      </c>
      <c r="Y188" t="s">
        <v>941</v>
      </c>
      <c r="Z188" t="s">
        <v>942</v>
      </c>
      <c r="AB188" t="s">
        <v>102</v>
      </c>
      <c r="AC188" t="s">
        <v>40</v>
      </c>
      <c r="AD188" t="s">
        <v>943</v>
      </c>
      <c r="AF188" t="s">
        <v>944</v>
      </c>
      <c r="AG188" t="s">
        <v>955</v>
      </c>
      <c r="AH188" t="s">
        <v>956</v>
      </c>
      <c r="AI188" t="s">
        <v>947</v>
      </c>
      <c r="AJ188" t="s">
        <v>948</v>
      </c>
      <c r="AK188">
        <v>140</v>
      </c>
      <c r="AL188" s="10">
        <v>7925.4</v>
      </c>
      <c r="AM188" s="10">
        <v>14574.7</v>
      </c>
      <c r="AN188" s="10">
        <v>29542</v>
      </c>
      <c r="AO188" s="9">
        <v>0.23323631121510849</v>
      </c>
      <c r="AP188" s="9">
        <v>385.12880000000001</v>
      </c>
      <c r="AQ188" s="9">
        <v>0.88189238791416602</v>
      </c>
      <c r="AR188" s="9">
        <v>14.5954421101522</v>
      </c>
      <c r="AS188" s="9">
        <v>15.477334498066368</v>
      </c>
      <c r="AT188" s="9">
        <v>3.5564773930854887</v>
      </c>
      <c r="AU188" s="9">
        <v>48.24359159654793</v>
      </c>
      <c r="AV188" s="9">
        <v>51.800068989633417</v>
      </c>
      <c r="AW188" s="11">
        <v>582.98800000000006</v>
      </c>
      <c r="AX188" s="11">
        <v>582.98800000000006</v>
      </c>
      <c r="AY188" t="s">
        <v>949</v>
      </c>
      <c r="AZ188" t="s">
        <v>950</v>
      </c>
      <c r="BA188" t="s">
        <v>951</v>
      </c>
      <c r="BB188" t="s">
        <v>952</v>
      </c>
      <c r="BC188" t="b">
        <v>1</v>
      </c>
    </row>
    <row r="189" spans="1:55">
      <c r="A189" t="s">
        <v>1355</v>
      </c>
      <c r="B189" t="s">
        <v>939</v>
      </c>
      <c r="C189">
        <v>1142300</v>
      </c>
      <c r="D189">
        <v>621200</v>
      </c>
      <c r="E189">
        <v>1142300</v>
      </c>
      <c r="F189">
        <v>2315400</v>
      </c>
      <c r="G189" s="9">
        <v>8.1245549334930355E-3</v>
      </c>
      <c r="H189" s="9"/>
      <c r="I189" s="9"/>
      <c r="J189" s="10">
        <v>45692</v>
      </c>
      <c r="K189" s="10">
        <v>45692</v>
      </c>
      <c r="L189" s="10">
        <v>45692</v>
      </c>
      <c r="M189" s="10">
        <v>45692</v>
      </c>
      <c r="N189" s="10">
        <v>45692</v>
      </c>
      <c r="O189" s="10">
        <v>45692</v>
      </c>
      <c r="P189" s="10">
        <v>45692</v>
      </c>
      <c r="Q189" s="10">
        <v>45692</v>
      </c>
      <c r="R189" s="10">
        <v>45692</v>
      </c>
      <c r="S189" s="10">
        <v>45692</v>
      </c>
      <c r="T189" s="10">
        <v>45692</v>
      </c>
      <c r="V189" t="s">
        <v>456</v>
      </c>
      <c r="W189" t="s">
        <v>1355</v>
      </c>
      <c r="X189" t="s">
        <v>1356</v>
      </c>
      <c r="Y189" t="s">
        <v>941</v>
      </c>
      <c r="Z189" t="s">
        <v>942</v>
      </c>
      <c r="AB189" t="s">
        <v>102</v>
      </c>
      <c r="AC189" t="s">
        <v>40</v>
      </c>
      <c r="AD189" t="s">
        <v>943</v>
      </c>
      <c r="AF189" t="s">
        <v>944</v>
      </c>
      <c r="AG189" t="s">
        <v>1042</v>
      </c>
      <c r="AH189" t="s">
        <v>988</v>
      </c>
      <c r="AI189" t="s">
        <v>960</v>
      </c>
      <c r="AJ189" t="s">
        <v>948</v>
      </c>
      <c r="AK189">
        <v>11</v>
      </c>
      <c r="AL189" s="10">
        <v>621.20000000000005</v>
      </c>
      <c r="AM189" s="10">
        <v>1142.3</v>
      </c>
      <c r="AN189" s="10">
        <v>2315.4</v>
      </c>
      <c r="AO189" s="9">
        <v>2.6353550601348499E-2</v>
      </c>
      <c r="AP189" s="9">
        <v>43.515999999999998</v>
      </c>
      <c r="AQ189" s="9">
        <v>0.37455493349303592</v>
      </c>
      <c r="AR189" s="9">
        <v>7.7500000000000009</v>
      </c>
      <c r="AS189" s="9">
        <v>8.1245549334930356</v>
      </c>
      <c r="AT189" s="9"/>
      <c r="AU189" s="9"/>
      <c r="AV189" s="9"/>
      <c r="AW189" s="11">
        <v>45.692</v>
      </c>
      <c r="AX189" s="11">
        <v>45.692</v>
      </c>
      <c r="AY189" t="s">
        <v>949</v>
      </c>
      <c r="AZ189" t="s">
        <v>950</v>
      </c>
      <c r="BA189" t="s">
        <v>951</v>
      </c>
      <c r="BB189" t="s">
        <v>952</v>
      </c>
      <c r="BC189" t="b">
        <v>0</v>
      </c>
    </row>
    <row r="190" spans="1:55">
      <c r="A190" t="s">
        <v>1357</v>
      </c>
      <c r="B190" t="s">
        <v>939</v>
      </c>
      <c r="C190">
        <v>5494800</v>
      </c>
      <c r="D190">
        <v>2987900</v>
      </c>
      <c r="E190">
        <v>5494800</v>
      </c>
      <c r="F190">
        <v>11137600</v>
      </c>
      <c r="G190" s="9">
        <v>1.6197857047770148E-2</v>
      </c>
      <c r="H190" s="9">
        <v>5.4493605502620057E-2</v>
      </c>
      <c r="I190" s="9">
        <v>8.1740408253930086E-2</v>
      </c>
      <c r="J190" s="10">
        <v>219792</v>
      </c>
      <c r="K190" s="10">
        <v>219792</v>
      </c>
      <c r="L190" s="10">
        <v>219792</v>
      </c>
      <c r="M190" s="10">
        <v>219792</v>
      </c>
      <c r="N190" s="10">
        <v>219792</v>
      </c>
      <c r="O190" s="10">
        <v>219792</v>
      </c>
      <c r="P190" s="10">
        <v>219792</v>
      </c>
      <c r="Q190" s="10">
        <v>219792</v>
      </c>
      <c r="R190" s="10">
        <v>219792</v>
      </c>
      <c r="S190" s="10">
        <v>219792</v>
      </c>
      <c r="T190" s="10">
        <v>219792</v>
      </c>
      <c r="V190" t="s">
        <v>456</v>
      </c>
      <c r="W190" t="s">
        <v>1357</v>
      </c>
      <c r="X190" t="s">
        <v>1358</v>
      </c>
      <c r="Y190" t="s">
        <v>941</v>
      </c>
      <c r="Z190" t="s">
        <v>942</v>
      </c>
      <c r="AB190" t="s">
        <v>102</v>
      </c>
      <c r="AC190" t="s">
        <v>40</v>
      </c>
      <c r="AD190" t="s">
        <v>943</v>
      </c>
      <c r="AF190" t="s">
        <v>944</v>
      </c>
      <c r="AG190" t="s">
        <v>1037</v>
      </c>
      <c r="AH190" t="s">
        <v>988</v>
      </c>
      <c r="AI190" t="s">
        <v>947</v>
      </c>
      <c r="AJ190" t="s">
        <v>948</v>
      </c>
      <c r="AK190">
        <v>35</v>
      </c>
      <c r="AL190" s="10">
        <v>2987.9</v>
      </c>
      <c r="AM190" s="10">
        <v>5494.8</v>
      </c>
      <c r="AN190" s="10">
        <v>11137.6</v>
      </c>
      <c r="AO190" s="9">
        <v>8.7932113505582998E-2</v>
      </c>
      <c r="AP190" s="9">
        <v>145.1969</v>
      </c>
      <c r="AQ190" s="9">
        <v>1.60241493761795</v>
      </c>
      <c r="AR190" s="9">
        <v>14.595442110152202</v>
      </c>
      <c r="AS190" s="9">
        <v>16.19785704777015</v>
      </c>
      <c r="AT190" s="9">
        <v>6.2500139060721276</v>
      </c>
      <c r="AU190" s="9">
        <v>48.24359159654793</v>
      </c>
      <c r="AV190" s="9">
        <v>54.493605502620056</v>
      </c>
      <c r="AW190" s="11">
        <v>219.792</v>
      </c>
      <c r="AX190" s="11">
        <v>219.792</v>
      </c>
      <c r="AY190" t="s">
        <v>949</v>
      </c>
      <c r="AZ190" t="s">
        <v>950</v>
      </c>
      <c r="BA190" t="s">
        <v>951</v>
      </c>
      <c r="BB190" t="s">
        <v>952</v>
      </c>
      <c r="BC190" t="b">
        <v>1</v>
      </c>
    </row>
    <row r="191" spans="1:55">
      <c r="A191" t="s">
        <v>1359</v>
      </c>
      <c r="B191" t="s">
        <v>939</v>
      </c>
      <c r="C191">
        <v>1065800</v>
      </c>
      <c r="D191">
        <v>818000</v>
      </c>
      <c r="E191">
        <v>1065800</v>
      </c>
      <c r="F191">
        <v>1794500</v>
      </c>
      <c r="G191" s="9">
        <v>1.0839654911128467E-2</v>
      </c>
      <c r="H191" s="9">
        <v>2.211951687557985E-2</v>
      </c>
      <c r="I191" s="9">
        <v>3.3179275313369776E-2</v>
      </c>
      <c r="J191" s="10">
        <v>10436.099851285324</v>
      </c>
      <c r="K191" s="10">
        <v>10436.099851285324</v>
      </c>
      <c r="L191" s="10">
        <v>10436.099851285324</v>
      </c>
      <c r="M191" s="10">
        <v>10436.099851285324</v>
      </c>
      <c r="N191" s="10">
        <v>10436.099851285324</v>
      </c>
      <c r="O191" s="10">
        <v>10436.099851285324</v>
      </c>
      <c r="P191" s="10">
        <v>10436.099851285324</v>
      </c>
      <c r="Q191" s="10">
        <v>10436.099851285324</v>
      </c>
      <c r="R191" s="10">
        <v>10436.099851285324</v>
      </c>
      <c r="S191" s="10">
        <v>10436.099851285324</v>
      </c>
      <c r="T191" s="10">
        <v>10436.099851285324</v>
      </c>
      <c r="V191" t="s">
        <v>456</v>
      </c>
      <c r="W191" t="s">
        <v>1359</v>
      </c>
      <c r="X191" t="s">
        <v>1360</v>
      </c>
      <c r="Y191" t="s">
        <v>941</v>
      </c>
      <c r="Z191" t="s">
        <v>942</v>
      </c>
      <c r="AB191" t="s">
        <v>509</v>
      </c>
      <c r="AC191" t="s">
        <v>508</v>
      </c>
      <c r="AD191" t="s">
        <v>968</v>
      </c>
      <c r="AF191" t="s">
        <v>986</v>
      </c>
      <c r="AG191" t="s">
        <v>999</v>
      </c>
      <c r="AH191" t="s">
        <v>946</v>
      </c>
      <c r="AI191" t="s">
        <v>977</v>
      </c>
      <c r="AJ191" t="s">
        <v>1054</v>
      </c>
      <c r="AK191">
        <v>2</v>
      </c>
      <c r="AL191" s="10">
        <v>818</v>
      </c>
      <c r="AM191" s="10">
        <v>1065.8</v>
      </c>
      <c r="AN191" s="10">
        <v>1794.5</v>
      </c>
      <c r="AO191" s="9">
        <v>0.17741396018970351</v>
      </c>
      <c r="AP191" s="9">
        <v>2.0687000000000002</v>
      </c>
      <c r="AQ191" s="9">
        <v>3.3996549111284651</v>
      </c>
      <c r="AR191" s="9">
        <v>7.4400000000000013</v>
      </c>
      <c r="AS191" s="9">
        <v>10.839654911128466</v>
      </c>
      <c r="AT191" s="9">
        <v>4.7595168755798509</v>
      </c>
      <c r="AU191" s="9">
        <v>17.360000000000003</v>
      </c>
      <c r="AV191" s="9">
        <v>22.119516875579851</v>
      </c>
      <c r="AW191" s="11">
        <v>10.436099851285324</v>
      </c>
      <c r="AX191" s="11">
        <v>10.436099851285324</v>
      </c>
      <c r="AY191" t="s">
        <v>969</v>
      </c>
      <c r="AZ191" t="s">
        <v>950</v>
      </c>
      <c r="BA191" t="s">
        <v>951</v>
      </c>
      <c r="BB191" t="s">
        <v>970</v>
      </c>
      <c r="BC191" t="b">
        <v>1</v>
      </c>
    </row>
    <row r="192" spans="1:55">
      <c r="A192" t="s">
        <v>1361</v>
      </c>
      <c r="B192" t="s">
        <v>939</v>
      </c>
      <c r="C192">
        <v>346300</v>
      </c>
      <c r="D192">
        <v>265800</v>
      </c>
      <c r="E192">
        <v>346300</v>
      </c>
      <c r="F192">
        <v>583000</v>
      </c>
      <c r="G192" s="9">
        <v>2.158326919589101E-2</v>
      </c>
      <c r="H192" s="9">
        <v>3.7160576874247411E-2</v>
      </c>
      <c r="I192" s="9">
        <v>5.5740865311371117E-2</v>
      </c>
      <c r="J192" s="10">
        <v>3390.9001487146816</v>
      </c>
      <c r="K192" s="10">
        <v>3390.9001487146816</v>
      </c>
      <c r="L192" s="10">
        <v>3390.9001487146816</v>
      </c>
      <c r="M192" s="10">
        <v>3390.9001487146816</v>
      </c>
      <c r="N192" s="10">
        <v>3390.9001487146816</v>
      </c>
      <c r="O192" s="10">
        <v>3390.9001487146816</v>
      </c>
      <c r="P192" s="10">
        <v>3390.9001487146816</v>
      </c>
      <c r="Q192" s="10">
        <v>3390.9001487146816</v>
      </c>
      <c r="R192" s="10">
        <v>3390.9001487146816</v>
      </c>
      <c r="S192" s="10">
        <v>3390.9001487146816</v>
      </c>
      <c r="T192" s="10">
        <v>3390.9001487146816</v>
      </c>
      <c r="V192" t="s">
        <v>456</v>
      </c>
      <c r="W192" t="s">
        <v>1361</v>
      </c>
      <c r="X192" t="s">
        <v>1362</v>
      </c>
      <c r="Y192" t="s">
        <v>941</v>
      </c>
      <c r="Z192" t="s">
        <v>942</v>
      </c>
      <c r="AB192" t="s">
        <v>509</v>
      </c>
      <c r="AC192" t="s">
        <v>508</v>
      </c>
      <c r="AD192" t="s">
        <v>968</v>
      </c>
      <c r="AF192" t="s">
        <v>986</v>
      </c>
      <c r="AG192" t="s">
        <v>976</v>
      </c>
      <c r="AH192" t="s">
        <v>956</v>
      </c>
      <c r="AI192" t="s">
        <v>977</v>
      </c>
      <c r="AJ192" t="s">
        <v>1054</v>
      </c>
      <c r="AK192">
        <v>1</v>
      </c>
      <c r="AL192" s="10">
        <v>265.8</v>
      </c>
      <c r="AM192" s="10">
        <v>346.3</v>
      </c>
      <c r="AN192" s="10">
        <v>583</v>
      </c>
      <c r="AO192" s="9">
        <v>5.7640026414414701E-2</v>
      </c>
      <c r="AP192" s="9">
        <v>0.67210000000000003</v>
      </c>
      <c r="AQ192" s="9">
        <v>14.143269195891008</v>
      </c>
      <c r="AR192" s="9">
        <v>7.44</v>
      </c>
      <c r="AS192" s="9">
        <v>21.58326919589101</v>
      </c>
      <c r="AT192" s="9">
        <v>19.800576874247412</v>
      </c>
      <c r="AU192" s="9">
        <v>17.360000000000003</v>
      </c>
      <c r="AV192" s="9">
        <v>37.160576874247411</v>
      </c>
      <c r="AW192" s="11">
        <v>3.3909001487146817</v>
      </c>
      <c r="AX192" s="11">
        <v>3.3909001487146817</v>
      </c>
      <c r="AY192" t="s">
        <v>969</v>
      </c>
      <c r="AZ192" t="s">
        <v>950</v>
      </c>
      <c r="BA192" t="s">
        <v>951</v>
      </c>
      <c r="BB192" t="s">
        <v>970</v>
      </c>
      <c r="BC192" t="b">
        <v>1</v>
      </c>
    </row>
    <row r="193" spans="1:55">
      <c r="A193" t="s">
        <v>1363</v>
      </c>
      <c r="B193" t="s">
        <v>939</v>
      </c>
      <c r="C193">
        <v>1011700</v>
      </c>
      <c r="D193">
        <v>550200</v>
      </c>
      <c r="E193">
        <v>1011700</v>
      </c>
      <c r="F193">
        <v>2050699.9999999998</v>
      </c>
      <c r="G193" s="9">
        <v>2.4134623831564263E-2</v>
      </c>
      <c r="H193" s="9">
        <v>4.0168946864935426E-2</v>
      </c>
      <c r="I193" s="9">
        <v>6.0253420297403139E-2</v>
      </c>
      <c r="J193" s="10">
        <v>40468</v>
      </c>
      <c r="K193" s="10">
        <v>40468</v>
      </c>
      <c r="L193" s="10">
        <v>40468</v>
      </c>
      <c r="M193" s="10">
        <v>40468</v>
      </c>
      <c r="N193" s="10">
        <v>40468</v>
      </c>
      <c r="O193" s="10">
        <v>40468</v>
      </c>
      <c r="P193" s="10">
        <v>40468</v>
      </c>
      <c r="Q193" s="10">
        <v>40468</v>
      </c>
      <c r="R193" s="10">
        <v>40468</v>
      </c>
      <c r="S193" s="10">
        <v>40468</v>
      </c>
      <c r="T193" s="10">
        <v>40468</v>
      </c>
      <c r="V193" t="s">
        <v>456</v>
      </c>
      <c r="W193" t="s">
        <v>1363</v>
      </c>
      <c r="X193" t="s">
        <v>1364</v>
      </c>
      <c r="Y193" t="s">
        <v>941</v>
      </c>
      <c r="Z193" t="s">
        <v>942</v>
      </c>
      <c r="AB193" t="s">
        <v>509</v>
      </c>
      <c r="AC193" t="s">
        <v>508</v>
      </c>
      <c r="AD193" t="s">
        <v>943</v>
      </c>
      <c r="AF193" t="s">
        <v>986</v>
      </c>
      <c r="AG193" t="s">
        <v>959</v>
      </c>
      <c r="AH193" t="s">
        <v>946</v>
      </c>
      <c r="AI193" t="s">
        <v>960</v>
      </c>
      <c r="AJ193" t="s">
        <v>1054</v>
      </c>
      <c r="AK193">
        <v>4</v>
      </c>
      <c r="AL193" s="10">
        <v>550.20000000000005</v>
      </c>
      <c r="AM193" s="10">
        <v>1011.7</v>
      </c>
      <c r="AN193" s="10">
        <v>2050.6999999999998</v>
      </c>
      <c r="AO193" s="9">
        <v>0.2376868519677881</v>
      </c>
      <c r="AP193" s="9">
        <v>2.7715000000000001</v>
      </c>
      <c r="AQ193" s="9">
        <v>2.4346238315642568</v>
      </c>
      <c r="AR193" s="9">
        <v>21.7</v>
      </c>
      <c r="AS193" s="9">
        <v>24.134623831564262</v>
      </c>
      <c r="AT193" s="9">
        <v>4.1689468649354309</v>
      </c>
      <c r="AU193" s="9">
        <v>35.999999999999993</v>
      </c>
      <c r="AV193" s="9">
        <v>40.168946864935428</v>
      </c>
      <c r="AW193" s="11">
        <v>40.468000000000004</v>
      </c>
      <c r="AX193" s="11">
        <v>40.468000000000004</v>
      </c>
      <c r="AY193" t="s">
        <v>949</v>
      </c>
      <c r="AZ193" t="s">
        <v>950</v>
      </c>
      <c r="BA193" t="s">
        <v>951</v>
      </c>
      <c r="BB193" t="s">
        <v>952</v>
      </c>
      <c r="BC193" t="b">
        <v>1</v>
      </c>
    </row>
    <row r="194" spans="1:55">
      <c r="A194" t="s">
        <v>1365</v>
      </c>
      <c r="B194" t="s">
        <v>939</v>
      </c>
      <c r="C194">
        <v>2051199.9999999998</v>
      </c>
      <c r="D194">
        <v>1115400</v>
      </c>
      <c r="E194">
        <v>2051199.9999999998</v>
      </c>
      <c r="F194">
        <v>4157700</v>
      </c>
      <c r="G194" s="9">
        <v>2.8883651836377242E-2</v>
      </c>
      <c r="H194" s="9">
        <v>4.7378345962432199E-2</v>
      </c>
      <c r="I194" s="9">
        <v>7.1067518943648295E-2</v>
      </c>
      <c r="J194" s="10">
        <v>82047.999999999985</v>
      </c>
      <c r="K194" s="10">
        <v>82047.999999999985</v>
      </c>
      <c r="L194" s="10">
        <v>82047.999999999985</v>
      </c>
      <c r="M194" s="10">
        <v>82047.999999999985</v>
      </c>
      <c r="N194" s="10">
        <v>82047.999999999985</v>
      </c>
      <c r="O194" s="10">
        <v>82047.999999999985</v>
      </c>
      <c r="P194" s="10">
        <v>82047.999999999985</v>
      </c>
      <c r="Q194" s="10">
        <v>82047.999999999985</v>
      </c>
      <c r="R194" s="10">
        <v>82047.999999999985</v>
      </c>
      <c r="S194" s="10">
        <v>82047.999999999985</v>
      </c>
      <c r="T194" s="10">
        <v>82047.999999999985</v>
      </c>
      <c r="V194" t="s">
        <v>456</v>
      </c>
      <c r="W194" t="s">
        <v>1365</v>
      </c>
      <c r="X194" t="s">
        <v>1366</v>
      </c>
      <c r="Y194" t="s">
        <v>941</v>
      </c>
      <c r="Z194" t="s">
        <v>942</v>
      </c>
      <c r="AB194" t="s">
        <v>509</v>
      </c>
      <c r="AC194" t="s">
        <v>508</v>
      </c>
      <c r="AD194" t="s">
        <v>943</v>
      </c>
      <c r="AF194" t="s">
        <v>986</v>
      </c>
      <c r="AG194" t="s">
        <v>965</v>
      </c>
      <c r="AH194" t="s">
        <v>956</v>
      </c>
      <c r="AI194" t="s">
        <v>960</v>
      </c>
      <c r="AJ194" t="s">
        <v>1054</v>
      </c>
      <c r="AK194">
        <v>4</v>
      </c>
      <c r="AL194" s="10">
        <v>1115.4000000000001</v>
      </c>
      <c r="AM194" s="10">
        <v>2051.1999999999998</v>
      </c>
      <c r="AN194" s="10">
        <v>4157.7</v>
      </c>
      <c r="AO194" s="9">
        <v>0.48190012263835408</v>
      </c>
      <c r="AP194" s="9">
        <v>5.6191000000000004</v>
      </c>
      <c r="AQ194" s="9">
        <v>7.1836518363772326</v>
      </c>
      <c r="AR194" s="9">
        <v>21.7</v>
      </c>
      <c r="AS194" s="9">
        <v>28.88365183637724</v>
      </c>
      <c r="AT194" s="9">
        <v>11.378345962432205</v>
      </c>
      <c r="AU194" s="9">
        <v>35.999999999999993</v>
      </c>
      <c r="AV194" s="9">
        <v>47.378345962432199</v>
      </c>
      <c r="AW194" s="11">
        <v>82.047999999999988</v>
      </c>
      <c r="AX194" s="11">
        <v>82.047999999999988</v>
      </c>
      <c r="AY194" t="s">
        <v>949</v>
      </c>
      <c r="AZ194" t="s">
        <v>950</v>
      </c>
      <c r="BA194" t="s">
        <v>951</v>
      </c>
      <c r="BB194" t="s">
        <v>952</v>
      </c>
      <c r="BC194" t="b">
        <v>1</v>
      </c>
    </row>
    <row r="195" spans="1:55">
      <c r="A195" t="s">
        <v>1367</v>
      </c>
      <c r="B195" t="s">
        <v>939</v>
      </c>
      <c r="C195">
        <v>9000</v>
      </c>
      <c r="D195">
        <v>4900</v>
      </c>
      <c r="E195">
        <v>9000</v>
      </c>
      <c r="F195">
        <v>18300</v>
      </c>
      <c r="G195" s="9">
        <v>2.8644917007245772E-2</v>
      </c>
      <c r="H195" s="9"/>
      <c r="I195" s="9"/>
      <c r="J195" s="10">
        <v>360</v>
      </c>
      <c r="K195" s="10">
        <v>360</v>
      </c>
      <c r="L195" s="10">
        <v>360</v>
      </c>
      <c r="M195" s="10">
        <v>360</v>
      </c>
      <c r="N195" s="10">
        <v>360</v>
      </c>
      <c r="O195" s="10">
        <v>360</v>
      </c>
      <c r="P195" s="10">
        <v>360</v>
      </c>
      <c r="Q195" s="10">
        <v>360</v>
      </c>
      <c r="R195" s="10">
        <v>360</v>
      </c>
      <c r="S195" s="10">
        <v>360</v>
      </c>
      <c r="T195" s="10">
        <v>360</v>
      </c>
      <c r="V195" t="s">
        <v>456</v>
      </c>
      <c r="W195" t="s">
        <v>1367</v>
      </c>
      <c r="X195" t="s">
        <v>1368</v>
      </c>
      <c r="Y195" t="s">
        <v>941</v>
      </c>
      <c r="Z195" t="s">
        <v>942</v>
      </c>
      <c r="AB195" t="s">
        <v>509</v>
      </c>
      <c r="AC195" t="s">
        <v>508</v>
      </c>
      <c r="AD195" t="s">
        <v>943</v>
      </c>
      <c r="AF195" t="s">
        <v>944</v>
      </c>
      <c r="AG195" t="s">
        <v>945</v>
      </c>
      <c r="AH195" t="s">
        <v>946</v>
      </c>
      <c r="AI195" t="s">
        <v>947</v>
      </c>
      <c r="AJ195" t="s">
        <v>948</v>
      </c>
      <c r="AK195">
        <v>2</v>
      </c>
      <c r="AL195" s="10">
        <v>4.9000000000000004</v>
      </c>
      <c r="AM195" s="10">
        <v>9</v>
      </c>
      <c r="AN195" s="10">
        <v>18.3</v>
      </c>
      <c r="AO195" s="9">
        <v>4.53590387897395E-2</v>
      </c>
      <c r="AP195" s="9">
        <v>0.52890000000000004</v>
      </c>
      <c r="AQ195" s="9">
        <v>0.64097093025747132</v>
      </c>
      <c r="AR195" s="9">
        <v>28.003946076988296</v>
      </c>
      <c r="AS195" s="9">
        <v>28.644917007245773</v>
      </c>
      <c r="AT195" s="9"/>
      <c r="AU195" s="9"/>
      <c r="AV195" s="9"/>
      <c r="AW195" s="11">
        <v>0.36</v>
      </c>
      <c r="AX195" s="11">
        <v>0.36</v>
      </c>
      <c r="AY195" t="s">
        <v>949</v>
      </c>
      <c r="AZ195" t="s">
        <v>950</v>
      </c>
      <c r="BA195" t="s">
        <v>951</v>
      </c>
      <c r="BB195" t="s">
        <v>952</v>
      </c>
      <c r="BC195" t="b">
        <v>0</v>
      </c>
    </row>
    <row r="196" spans="1:55">
      <c r="A196" t="s">
        <v>1369</v>
      </c>
      <c r="B196" t="s">
        <v>939</v>
      </c>
      <c r="C196">
        <v>8727600</v>
      </c>
      <c r="D196">
        <v>6698700</v>
      </c>
      <c r="E196">
        <v>8727600</v>
      </c>
      <c r="F196">
        <v>14694800</v>
      </c>
      <c r="G196" s="9">
        <v>8.8556418391713947E-3</v>
      </c>
      <c r="H196" s="9">
        <v>2.555671570282949E-2</v>
      </c>
      <c r="I196" s="9">
        <v>3.8335073554244231E-2</v>
      </c>
      <c r="J196" s="10">
        <v>89149.038134163842</v>
      </c>
      <c r="K196" s="10">
        <v>89149.038134163842</v>
      </c>
      <c r="L196" s="10">
        <v>89149.038134163842</v>
      </c>
      <c r="M196" s="10">
        <v>89149.038134163842</v>
      </c>
      <c r="N196" s="10">
        <v>89149.038134163842</v>
      </c>
      <c r="O196" s="10">
        <v>89149.038134163842</v>
      </c>
      <c r="P196" s="10">
        <v>89149.038134163842</v>
      </c>
      <c r="Q196" s="10">
        <v>89149.038134163842</v>
      </c>
      <c r="R196" s="10">
        <v>89149.038134163842</v>
      </c>
      <c r="S196" s="10">
        <v>89149.038134163842</v>
      </c>
      <c r="T196" s="10">
        <v>89149.038134163842</v>
      </c>
      <c r="V196" t="s">
        <v>456</v>
      </c>
      <c r="W196" t="s">
        <v>1369</v>
      </c>
      <c r="X196" t="s">
        <v>1370</v>
      </c>
      <c r="Y196" t="s">
        <v>941</v>
      </c>
      <c r="Z196" t="s">
        <v>942</v>
      </c>
      <c r="AB196" t="s">
        <v>511</v>
      </c>
      <c r="AC196" t="s">
        <v>510</v>
      </c>
      <c r="AD196" t="s">
        <v>968</v>
      </c>
      <c r="AF196" t="s">
        <v>944</v>
      </c>
      <c r="AG196" t="s">
        <v>945</v>
      </c>
      <c r="AH196" t="s">
        <v>946</v>
      </c>
      <c r="AI196" t="s">
        <v>947</v>
      </c>
      <c r="AJ196" t="s">
        <v>948</v>
      </c>
      <c r="AK196">
        <v>35</v>
      </c>
      <c r="AL196" s="10">
        <v>6698.7</v>
      </c>
      <c r="AM196" s="10">
        <v>8727.6</v>
      </c>
      <c r="AN196" s="10">
        <v>14694.8</v>
      </c>
      <c r="AO196" s="9">
        <v>0.21562823785430141</v>
      </c>
      <c r="AP196" s="9">
        <v>40.665199999999999</v>
      </c>
      <c r="AQ196" s="9">
        <v>0.32512323034753171</v>
      </c>
      <c r="AR196" s="9">
        <v>8.5305186088238631</v>
      </c>
      <c r="AS196" s="9">
        <v>8.855641839171394</v>
      </c>
      <c r="AT196" s="9">
        <v>1.1249005719459764</v>
      </c>
      <c r="AU196" s="9">
        <v>24.431815130883521</v>
      </c>
      <c r="AV196" s="9">
        <v>25.556715702829489</v>
      </c>
      <c r="AW196" s="11">
        <v>89.149038134163845</v>
      </c>
      <c r="AX196" s="11">
        <v>89.149038134163845</v>
      </c>
      <c r="AY196" t="s">
        <v>969</v>
      </c>
      <c r="AZ196" t="s">
        <v>950</v>
      </c>
      <c r="BA196" t="s">
        <v>951</v>
      </c>
      <c r="BB196" t="s">
        <v>970</v>
      </c>
      <c r="BC196" t="b">
        <v>1</v>
      </c>
    </row>
    <row r="197" spans="1:55">
      <c r="A197" t="s">
        <v>1371</v>
      </c>
      <c r="B197" t="s">
        <v>939</v>
      </c>
      <c r="C197">
        <v>22999200</v>
      </c>
      <c r="D197">
        <v>17652600</v>
      </c>
      <c r="E197">
        <v>22999200</v>
      </c>
      <c r="F197">
        <v>38724200</v>
      </c>
      <c r="G197" s="9">
        <v>1.0016642808795382E-2</v>
      </c>
      <c r="H197" s="9">
        <v>2.8767256374987595E-2</v>
      </c>
      <c r="I197" s="9">
        <v>4.3150884562481395E-2</v>
      </c>
      <c r="J197" s="10">
        <v>234927.87912544815</v>
      </c>
      <c r="K197" s="10">
        <v>234927.87912544815</v>
      </c>
      <c r="L197" s="10">
        <v>234927.87912544815</v>
      </c>
      <c r="M197" s="10">
        <v>234927.87912544815</v>
      </c>
      <c r="N197" s="10">
        <v>234927.87912544815</v>
      </c>
      <c r="O197" s="10">
        <v>234927.87912544815</v>
      </c>
      <c r="P197" s="10">
        <v>234927.87912544815</v>
      </c>
      <c r="Q197" s="10">
        <v>234927.87912544815</v>
      </c>
      <c r="R197" s="10">
        <v>234927.87912544815</v>
      </c>
      <c r="S197" s="10">
        <v>234927.87912544815</v>
      </c>
      <c r="T197" s="10">
        <v>234927.87912544815</v>
      </c>
      <c r="V197" t="s">
        <v>456</v>
      </c>
      <c r="W197" t="s">
        <v>1371</v>
      </c>
      <c r="X197" t="s">
        <v>1372</v>
      </c>
      <c r="Y197" t="s">
        <v>941</v>
      </c>
      <c r="Z197" t="s">
        <v>942</v>
      </c>
      <c r="AB197" t="s">
        <v>511</v>
      </c>
      <c r="AC197" t="s">
        <v>510</v>
      </c>
      <c r="AD197" t="s">
        <v>968</v>
      </c>
      <c r="AF197" t="s">
        <v>944</v>
      </c>
      <c r="AG197" t="s">
        <v>955</v>
      </c>
      <c r="AH197" t="s">
        <v>956</v>
      </c>
      <c r="AI197" t="s">
        <v>947</v>
      </c>
      <c r="AJ197" t="s">
        <v>948</v>
      </c>
      <c r="AK197">
        <v>66</v>
      </c>
      <c r="AL197" s="10">
        <v>17652.599999999999</v>
      </c>
      <c r="AM197" s="10">
        <v>22999.200000000001</v>
      </c>
      <c r="AN197" s="10">
        <v>38724.199999999997</v>
      </c>
      <c r="AO197" s="9">
        <v>0.56823023987562393</v>
      </c>
      <c r="AP197" s="9">
        <v>107.1622</v>
      </c>
      <c r="AQ197" s="9">
        <v>1.486124199971518</v>
      </c>
      <c r="AR197" s="9">
        <v>8.5305186088238631</v>
      </c>
      <c r="AS197" s="9">
        <v>10.016642808795382</v>
      </c>
      <c r="AT197" s="9">
        <v>4.3354412441040733</v>
      </c>
      <c r="AU197" s="9">
        <v>24.431815130883518</v>
      </c>
      <c r="AV197" s="9">
        <v>28.767256374987596</v>
      </c>
      <c r="AW197" s="11">
        <v>234.92787912544816</v>
      </c>
      <c r="AX197" s="11">
        <v>234.92787912544816</v>
      </c>
      <c r="AY197" t="s">
        <v>969</v>
      </c>
      <c r="AZ197" t="s">
        <v>950</v>
      </c>
      <c r="BA197" t="s">
        <v>951</v>
      </c>
      <c r="BB197" t="s">
        <v>970</v>
      </c>
      <c r="BC197" t="b">
        <v>1</v>
      </c>
    </row>
    <row r="198" spans="1:55">
      <c r="A198" t="s">
        <v>1373</v>
      </c>
      <c r="B198" t="s">
        <v>939</v>
      </c>
      <c r="C198">
        <v>6514500</v>
      </c>
      <c r="D198">
        <v>5000100</v>
      </c>
      <c r="E198">
        <v>6514500</v>
      </c>
      <c r="F198">
        <v>10968600</v>
      </c>
      <c r="G198" s="9">
        <v>1.2549765246515849E-2</v>
      </c>
      <c r="H198" s="9">
        <v>3.6917106619039568E-2</v>
      </c>
      <c r="I198" s="9">
        <v>5.5375659928559348E-2</v>
      </c>
      <c r="J198" s="10">
        <v>66543.082740387996</v>
      </c>
      <c r="K198" s="10">
        <v>66543.082740387996</v>
      </c>
      <c r="L198" s="10">
        <v>66543.082740387996</v>
      </c>
      <c r="M198" s="10">
        <v>66543.082740387996</v>
      </c>
      <c r="N198" s="10">
        <v>66543.082740387996</v>
      </c>
      <c r="O198" s="10">
        <v>66543.082740387996</v>
      </c>
      <c r="P198" s="10">
        <v>66543.082740387996</v>
      </c>
      <c r="Q198" s="10">
        <v>66543.082740387996</v>
      </c>
      <c r="R198" s="10">
        <v>66543.082740387996</v>
      </c>
      <c r="S198" s="10">
        <v>66543.082740387996</v>
      </c>
      <c r="T198" s="10">
        <v>66543.082740387996</v>
      </c>
      <c r="V198" t="s">
        <v>456</v>
      </c>
      <c r="W198" t="s">
        <v>1373</v>
      </c>
      <c r="X198" t="s">
        <v>1374</v>
      </c>
      <c r="Y198" t="s">
        <v>941</v>
      </c>
      <c r="Z198" t="s">
        <v>942</v>
      </c>
      <c r="AB198" t="s">
        <v>511</v>
      </c>
      <c r="AC198" t="s">
        <v>510</v>
      </c>
      <c r="AD198" t="s">
        <v>968</v>
      </c>
      <c r="AF198" t="s">
        <v>944</v>
      </c>
      <c r="AG198" t="s">
        <v>1037</v>
      </c>
      <c r="AH198" t="s">
        <v>988</v>
      </c>
      <c r="AI198" t="s">
        <v>947</v>
      </c>
      <c r="AJ198" t="s">
        <v>948</v>
      </c>
      <c r="AK198">
        <v>30</v>
      </c>
      <c r="AL198" s="10">
        <v>5000.1000000000004</v>
      </c>
      <c r="AM198" s="10">
        <v>6514.5</v>
      </c>
      <c r="AN198" s="10">
        <v>10968.6</v>
      </c>
      <c r="AO198" s="9">
        <v>0.1609501912620751</v>
      </c>
      <c r="AP198" s="9">
        <v>30.3535</v>
      </c>
      <c r="AQ198" s="9">
        <v>4.0192466376919809</v>
      </c>
      <c r="AR198" s="9">
        <v>8.5305186088238631</v>
      </c>
      <c r="AS198" s="9">
        <v>12.549765246515848</v>
      </c>
      <c r="AT198" s="9">
        <v>12.485291488156042</v>
      </c>
      <c r="AU198" s="9">
        <v>24.431815130883525</v>
      </c>
      <c r="AV198" s="9">
        <v>36.917106619039565</v>
      </c>
      <c r="AW198" s="11">
        <v>66.543082740388002</v>
      </c>
      <c r="AX198" s="11">
        <v>66.543082740388002</v>
      </c>
      <c r="AY198" t="s">
        <v>969</v>
      </c>
      <c r="AZ198" t="s">
        <v>950</v>
      </c>
      <c r="BA198" t="s">
        <v>951</v>
      </c>
      <c r="BB198" t="s">
        <v>970</v>
      </c>
      <c r="BC198" t="b">
        <v>1</v>
      </c>
    </row>
    <row r="199" spans="1:55">
      <c r="A199" t="s">
        <v>1375</v>
      </c>
      <c r="B199" t="s">
        <v>939</v>
      </c>
      <c r="C199">
        <v>127800</v>
      </c>
      <c r="D199">
        <v>69500</v>
      </c>
      <c r="E199">
        <v>127800</v>
      </c>
      <c r="F199">
        <v>259000</v>
      </c>
      <c r="G199" s="9">
        <v>7.81513068614644E-3</v>
      </c>
      <c r="H199" s="9">
        <v>2.3789678862704607E-2</v>
      </c>
      <c r="I199" s="9">
        <v>3.5684518294056909E-2</v>
      </c>
      <c r="J199" s="10">
        <v>5112</v>
      </c>
      <c r="K199" s="10">
        <v>5112</v>
      </c>
      <c r="L199" s="10">
        <v>5112</v>
      </c>
      <c r="M199" s="10">
        <v>5112</v>
      </c>
      <c r="N199" s="10">
        <v>5112</v>
      </c>
      <c r="O199" s="10">
        <v>5112</v>
      </c>
      <c r="P199" s="10">
        <v>5112</v>
      </c>
      <c r="Q199" s="10">
        <v>5112</v>
      </c>
      <c r="R199" s="10">
        <v>5112</v>
      </c>
      <c r="S199" s="10">
        <v>5112</v>
      </c>
      <c r="T199" s="10">
        <v>5112</v>
      </c>
      <c r="V199" t="s">
        <v>456</v>
      </c>
      <c r="W199" t="s">
        <v>1375</v>
      </c>
      <c r="X199" t="s">
        <v>1376</v>
      </c>
      <c r="Y199" t="s">
        <v>941</v>
      </c>
      <c r="Z199" t="s">
        <v>942</v>
      </c>
      <c r="AB199" t="s">
        <v>511</v>
      </c>
      <c r="AC199" t="s">
        <v>510</v>
      </c>
      <c r="AD199" t="s">
        <v>943</v>
      </c>
      <c r="AF199" t="s">
        <v>944</v>
      </c>
      <c r="AG199" t="s">
        <v>959</v>
      </c>
      <c r="AH199" t="s">
        <v>946</v>
      </c>
      <c r="AI199" t="s">
        <v>960</v>
      </c>
      <c r="AJ199" t="s">
        <v>948</v>
      </c>
      <c r="AK199">
        <v>5</v>
      </c>
      <c r="AL199" s="10">
        <v>69.5</v>
      </c>
      <c r="AM199" s="10">
        <v>127.8</v>
      </c>
      <c r="AN199" s="10">
        <v>259</v>
      </c>
      <c r="AO199" s="9">
        <v>2.6030625263137801E-2</v>
      </c>
      <c r="AP199" s="9">
        <v>4.9091000000000005</v>
      </c>
      <c r="AQ199" s="9">
        <v>6.5130686146441005E-2</v>
      </c>
      <c r="AR199" s="9">
        <v>7.7499999999999991</v>
      </c>
      <c r="AS199" s="9">
        <v>7.81513068614644</v>
      </c>
      <c r="AT199" s="9">
        <v>0.1896788627046084</v>
      </c>
      <c r="AU199" s="9">
        <v>23.6</v>
      </c>
      <c r="AV199" s="9">
        <v>23.789678862704609</v>
      </c>
      <c r="AW199" s="11">
        <v>5.1120000000000001</v>
      </c>
      <c r="AX199" s="11">
        <v>5.1120000000000001</v>
      </c>
      <c r="AY199" t="s">
        <v>949</v>
      </c>
      <c r="AZ199" t="s">
        <v>950</v>
      </c>
      <c r="BA199" t="s">
        <v>951</v>
      </c>
      <c r="BB199" t="s">
        <v>952</v>
      </c>
      <c r="BC199" t="b">
        <v>1</v>
      </c>
    </row>
    <row r="200" spans="1:55">
      <c r="A200" t="s">
        <v>1377</v>
      </c>
      <c r="B200" t="s">
        <v>939</v>
      </c>
      <c r="C200">
        <v>826700</v>
      </c>
      <c r="D200">
        <v>449500</v>
      </c>
      <c r="E200">
        <v>826700</v>
      </c>
      <c r="F200">
        <v>1675700</v>
      </c>
      <c r="G200" s="9">
        <v>1.503873538891639E-2</v>
      </c>
      <c r="H200" s="9">
        <v>5.1184617952138106E-2</v>
      </c>
      <c r="I200" s="9">
        <v>7.6776926928207159E-2</v>
      </c>
      <c r="J200" s="10">
        <v>33068.000000000007</v>
      </c>
      <c r="K200" s="10">
        <v>33068.000000000007</v>
      </c>
      <c r="L200" s="10">
        <v>33068.000000000007</v>
      </c>
      <c r="M200" s="10">
        <v>33068.000000000007</v>
      </c>
      <c r="N200" s="10">
        <v>33068.000000000007</v>
      </c>
      <c r="O200" s="10">
        <v>33068.000000000007</v>
      </c>
      <c r="P200" s="10">
        <v>33068.000000000007</v>
      </c>
      <c r="Q200" s="10">
        <v>33068.000000000007</v>
      </c>
      <c r="R200" s="10">
        <v>33068.000000000007</v>
      </c>
      <c r="S200" s="10">
        <v>33068.000000000007</v>
      </c>
      <c r="T200" s="10">
        <v>33068.000000000007</v>
      </c>
      <c r="V200" t="s">
        <v>456</v>
      </c>
      <c r="W200" t="s">
        <v>1377</v>
      </c>
      <c r="X200" t="s">
        <v>1378</v>
      </c>
      <c r="Y200" t="s">
        <v>941</v>
      </c>
      <c r="Z200" t="s">
        <v>942</v>
      </c>
      <c r="AB200" t="s">
        <v>511</v>
      </c>
      <c r="AC200" t="s">
        <v>510</v>
      </c>
      <c r="AD200" t="s">
        <v>943</v>
      </c>
      <c r="AF200" t="s">
        <v>944</v>
      </c>
      <c r="AG200" t="s">
        <v>945</v>
      </c>
      <c r="AH200" t="s">
        <v>946</v>
      </c>
      <c r="AI200" t="s">
        <v>947</v>
      </c>
      <c r="AJ200" t="s">
        <v>948</v>
      </c>
      <c r="AK200">
        <v>6</v>
      </c>
      <c r="AL200" s="10">
        <v>449.5</v>
      </c>
      <c r="AM200" s="10">
        <v>826.7</v>
      </c>
      <c r="AN200" s="10">
        <v>1675.7</v>
      </c>
      <c r="AO200" s="9">
        <v>2.0424795879301801E-2</v>
      </c>
      <c r="AP200" s="9">
        <v>3.851900000000001</v>
      </c>
      <c r="AQ200" s="9">
        <v>0.82120437420995396</v>
      </c>
      <c r="AR200" s="9">
        <v>14.217531014706434</v>
      </c>
      <c r="AS200" s="9">
        <v>15.03873538891639</v>
      </c>
      <c r="AT200" s="9">
        <v>4.3015062991949211</v>
      </c>
      <c r="AU200" s="9">
        <v>46.883111652943192</v>
      </c>
      <c r="AV200" s="9">
        <v>51.184617952138105</v>
      </c>
      <c r="AW200" s="11">
        <v>33.068000000000005</v>
      </c>
      <c r="AX200" s="11">
        <v>33.068000000000005</v>
      </c>
      <c r="AY200" t="s">
        <v>949</v>
      </c>
      <c r="AZ200" t="s">
        <v>950</v>
      </c>
      <c r="BA200" t="s">
        <v>951</v>
      </c>
      <c r="BB200" t="s">
        <v>952</v>
      </c>
      <c r="BC200" t="b">
        <v>1</v>
      </c>
    </row>
    <row r="201" spans="1:55">
      <c r="A201" t="s">
        <v>1379</v>
      </c>
      <c r="B201" t="s">
        <v>939</v>
      </c>
      <c r="C201">
        <v>353600</v>
      </c>
      <c r="D201">
        <v>192300</v>
      </c>
      <c r="E201">
        <v>353600</v>
      </c>
      <c r="F201">
        <v>716700</v>
      </c>
      <c r="G201" s="9">
        <v>1.9024704593341001E-2</v>
      </c>
      <c r="H201" s="9">
        <v>6.0252318977100892E-2</v>
      </c>
      <c r="I201" s="9">
        <v>9.0378478465651335E-2</v>
      </c>
      <c r="J201" s="10">
        <v>14144</v>
      </c>
      <c r="K201" s="10">
        <v>14144</v>
      </c>
      <c r="L201" s="10">
        <v>14144</v>
      </c>
      <c r="M201" s="10">
        <v>14144</v>
      </c>
      <c r="N201" s="10">
        <v>14144</v>
      </c>
      <c r="O201" s="10">
        <v>14144</v>
      </c>
      <c r="P201" s="10">
        <v>14144</v>
      </c>
      <c r="Q201" s="10">
        <v>14144</v>
      </c>
      <c r="R201" s="10">
        <v>14144</v>
      </c>
      <c r="S201" s="10">
        <v>14144</v>
      </c>
      <c r="T201" s="10">
        <v>14144</v>
      </c>
      <c r="V201" t="s">
        <v>456</v>
      </c>
      <c r="W201" t="s">
        <v>1379</v>
      </c>
      <c r="X201" t="s">
        <v>1380</v>
      </c>
      <c r="Y201" t="s">
        <v>941</v>
      </c>
      <c r="Z201" t="s">
        <v>942</v>
      </c>
      <c r="AB201" t="s">
        <v>511</v>
      </c>
      <c r="AC201" t="s">
        <v>510</v>
      </c>
      <c r="AD201" t="s">
        <v>943</v>
      </c>
      <c r="AF201" t="s">
        <v>944</v>
      </c>
      <c r="AG201" t="s">
        <v>955</v>
      </c>
      <c r="AH201" t="s">
        <v>956</v>
      </c>
      <c r="AI201" t="s">
        <v>947</v>
      </c>
      <c r="AJ201" t="s">
        <v>948</v>
      </c>
      <c r="AK201">
        <v>2</v>
      </c>
      <c r="AL201" s="10">
        <v>192.3</v>
      </c>
      <c r="AM201" s="10">
        <v>353.6</v>
      </c>
      <c r="AN201" s="10">
        <v>716.7</v>
      </c>
      <c r="AO201" s="9">
        <v>8.7359098655597003E-3</v>
      </c>
      <c r="AP201" s="9">
        <v>1.6475</v>
      </c>
      <c r="AQ201" s="9">
        <v>4.8071735786345648</v>
      </c>
      <c r="AR201" s="9">
        <v>14.217531014706438</v>
      </c>
      <c r="AS201" s="9">
        <v>19.024704593341003</v>
      </c>
      <c r="AT201" s="9">
        <v>13.369207324157712</v>
      </c>
      <c r="AU201" s="9">
        <v>46.883111652943178</v>
      </c>
      <c r="AV201" s="9">
        <v>60.252318977100892</v>
      </c>
      <c r="AW201" s="11">
        <v>14.144</v>
      </c>
      <c r="AX201" s="11">
        <v>14.144</v>
      </c>
      <c r="AY201" t="s">
        <v>949</v>
      </c>
      <c r="AZ201" t="s">
        <v>950</v>
      </c>
      <c r="BA201" t="s">
        <v>951</v>
      </c>
      <c r="BB201" t="s">
        <v>952</v>
      </c>
      <c r="BC201" t="b">
        <v>1</v>
      </c>
    </row>
    <row r="202" spans="1:55">
      <c r="A202" t="s">
        <v>1381</v>
      </c>
      <c r="B202" t="s">
        <v>939</v>
      </c>
      <c r="C202">
        <v>79351700</v>
      </c>
      <c r="D202">
        <v>60904800</v>
      </c>
      <c r="E202">
        <v>79351700</v>
      </c>
      <c r="F202">
        <v>133606000</v>
      </c>
      <c r="G202" s="9">
        <v>8.6738858747539681E-3</v>
      </c>
      <c r="H202" s="9">
        <v>2.4896500937651476E-2</v>
      </c>
      <c r="I202" s="9">
        <v>3.7344751406477215E-2</v>
      </c>
      <c r="J202" s="10">
        <v>207988</v>
      </c>
      <c r="K202" s="10">
        <v>207988</v>
      </c>
      <c r="L202" s="10">
        <v>207988</v>
      </c>
      <c r="M202" s="10">
        <v>207988</v>
      </c>
      <c r="N202" s="10">
        <v>207988</v>
      </c>
      <c r="O202" s="10">
        <v>207988</v>
      </c>
      <c r="P202" s="10">
        <v>207988</v>
      </c>
      <c r="Q202" s="10">
        <v>207988</v>
      </c>
      <c r="R202" s="10">
        <v>207988</v>
      </c>
      <c r="S202" s="10">
        <v>207988</v>
      </c>
      <c r="T202" s="10">
        <v>207988</v>
      </c>
      <c r="V202" t="s">
        <v>456</v>
      </c>
      <c r="W202" t="s">
        <v>1381</v>
      </c>
      <c r="X202" t="s">
        <v>1382</v>
      </c>
      <c r="Y202" t="s">
        <v>941</v>
      </c>
      <c r="Z202" t="s">
        <v>942</v>
      </c>
      <c r="AB202" t="s">
        <v>513</v>
      </c>
      <c r="AC202" t="s">
        <v>512</v>
      </c>
      <c r="AD202" t="s">
        <v>968</v>
      </c>
      <c r="AF202" t="s">
        <v>944</v>
      </c>
      <c r="AG202" t="s">
        <v>945</v>
      </c>
      <c r="AH202" t="s">
        <v>946</v>
      </c>
      <c r="AI202" t="s">
        <v>947</v>
      </c>
      <c r="AJ202" t="s">
        <v>948</v>
      </c>
      <c r="AK202">
        <v>2</v>
      </c>
      <c r="AL202" s="10">
        <v>60904.800000000003</v>
      </c>
      <c r="AM202" s="10">
        <v>79351.7</v>
      </c>
      <c r="AN202" s="10">
        <v>133606</v>
      </c>
      <c r="AO202" s="9">
        <v>5.5976594346816002E-3</v>
      </c>
      <c r="AP202" s="9">
        <v>0.4456</v>
      </c>
      <c r="AQ202" s="9">
        <v>0.21687682510138759</v>
      </c>
      <c r="AR202" s="9">
        <v>8.45700904965258</v>
      </c>
      <c r="AS202" s="9">
        <v>8.6738858747539673</v>
      </c>
      <c r="AT202" s="9">
        <v>0.72196926386743754</v>
      </c>
      <c r="AU202" s="9">
        <v>24.174531673784035</v>
      </c>
      <c r="AV202" s="9">
        <v>24.896500937651474</v>
      </c>
      <c r="AW202" s="11">
        <v>207.988</v>
      </c>
      <c r="AX202" s="11">
        <v>207.988</v>
      </c>
      <c r="AY202" t="s">
        <v>969</v>
      </c>
      <c r="AZ202" t="s">
        <v>950</v>
      </c>
      <c r="BA202" t="s">
        <v>951</v>
      </c>
      <c r="BB202" t="s">
        <v>970</v>
      </c>
      <c r="BC202" t="b">
        <v>1</v>
      </c>
    </row>
    <row r="203" spans="1:55">
      <c r="A203" t="s">
        <v>1383</v>
      </c>
      <c r="B203" t="s">
        <v>939</v>
      </c>
      <c r="C203">
        <v>5722400</v>
      </c>
      <c r="D203">
        <v>3111700</v>
      </c>
      <c r="E203">
        <v>5722400</v>
      </c>
      <c r="F203">
        <v>11598900</v>
      </c>
      <c r="G203" s="9">
        <v>7.9031565686770774E-3</v>
      </c>
      <c r="H203" s="9">
        <v>2.4137152171482181E-2</v>
      </c>
      <c r="I203" s="9">
        <v>3.620572825722327E-2</v>
      </c>
      <c r="J203" s="10">
        <v>228896</v>
      </c>
      <c r="K203" s="10">
        <v>228896</v>
      </c>
      <c r="L203" s="10">
        <v>228896</v>
      </c>
      <c r="M203" s="10">
        <v>228896</v>
      </c>
      <c r="N203" s="10">
        <v>228896</v>
      </c>
      <c r="O203" s="10">
        <v>228896</v>
      </c>
      <c r="P203" s="10">
        <v>228896</v>
      </c>
      <c r="Q203" s="10">
        <v>228896</v>
      </c>
      <c r="R203" s="10">
        <v>228896</v>
      </c>
      <c r="S203" s="10">
        <v>228896</v>
      </c>
      <c r="T203" s="10">
        <v>228896</v>
      </c>
      <c r="V203" t="s">
        <v>456</v>
      </c>
      <c r="W203" t="s">
        <v>1383</v>
      </c>
      <c r="X203" t="s">
        <v>1384</v>
      </c>
      <c r="Y203" t="s">
        <v>941</v>
      </c>
      <c r="Z203" t="s">
        <v>942</v>
      </c>
      <c r="AB203" t="s">
        <v>513</v>
      </c>
      <c r="AC203" t="s">
        <v>512</v>
      </c>
      <c r="AD203" t="s">
        <v>943</v>
      </c>
      <c r="AF203" t="s">
        <v>944</v>
      </c>
      <c r="AG203" t="s">
        <v>959</v>
      </c>
      <c r="AH203" t="s">
        <v>946</v>
      </c>
      <c r="AI203" t="s">
        <v>960</v>
      </c>
      <c r="AJ203" t="s">
        <v>948</v>
      </c>
      <c r="AK203">
        <v>41</v>
      </c>
      <c r="AL203" s="10">
        <v>3111.7</v>
      </c>
      <c r="AM203" s="10">
        <v>5722.4</v>
      </c>
      <c r="AN203" s="10">
        <v>11598.9</v>
      </c>
      <c r="AO203" s="9">
        <v>0.66514539970629871</v>
      </c>
      <c r="AP203" s="9">
        <v>52.948700000000002</v>
      </c>
      <c r="AQ203" s="9">
        <v>0.15315656867707739</v>
      </c>
      <c r="AR203" s="9">
        <v>7.75</v>
      </c>
      <c r="AS203" s="9">
        <v>7.9031565686770779</v>
      </c>
      <c r="AT203" s="9">
        <v>0.53715217148217753</v>
      </c>
      <c r="AU203" s="9">
        <v>23.6</v>
      </c>
      <c r="AV203" s="9">
        <v>24.137152171482182</v>
      </c>
      <c r="AW203" s="11">
        <v>228.89599999999999</v>
      </c>
      <c r="AX203" s="11">
        <v>228.89599999999999</v>
      </c>
      <c r="AY203" t="s">
        <v>949</v>
      </c>
      <c r="AZ203" t="s">
        <v>950</v>
      </c>
      <c r="BA203" t="s">
        <v>951</v>
      </c>
      <c r="BB203" t="s">
        <v>952</v>
      </c>
      <c r="BC203" t="b">
        <v>1</v>
      </c>
    </row>
    <row r="204" spans="1:55">
      <c r="A204" t="s">
        <v>1385</v>
      </c>
      <c r="B204" t="s">
        <v>939</v>
      </c>
      <c r="C204">
        <v>2832700</v>
      </c>
      <c r="D204">
        <v>1540300</v>
      </c>
      <c r="E204">
        <v>2832700</v>
      </c>
      <c r="F204">
        <v>5741600</v>
      </c>
      <c r="G204" s="9">
        <v>8.4528977442113028E-3</v>
      </c>
      <c r="H204" s="9"/>
      <c r="I204" s="9"/>
      <c r="J204" s="10">
        <v>113308</v>
      </c>
      <c r="K204" s="10">
        <v>113308</v>
      </c>
      <c r="L204" s="10">
        <v>113308</v>
      </c>
      <c r="M204" s="10">
        <v>113308</v>
      </c>
      <c r="N204" s="10">
        <v>113308</v>
      </c>
      <c r="O204" s="10">
        <v>113308</v>
      </c>
      <c r="P204" s="10">
        <v>113308</v>
      </c>
      <c r="Q204" s="10">
        <v>113308</v>
      </c>
      <c r="R204" s="10">
        <v>113308</v>
      </c>
      <c r="S204" s="10">
        <v>113308</v>
      </c>
      <c r="T204" s="10">
        <v>113308</v>
      </c>
      <c r="V204" t="s">
        <v>456</v>
      </c>
      <c r="W204" t="s">
        <v>1385</v>
      </c>
      <c r="X204" t="s">
        <v>1386</v>
      </c>
      <c r="Y204" t="s">
        <v>941</v>
      </c>
      <c r="Z204" t="s">
        <v>942</v>
      </c>
      <c r="AB204" t="s">
        <v>513</v>
      </c>
      <c r="AC204" t="s">
        <v>512</v>
      </c>
      <c r="AD204" t="s">
        <v>943</v>
      </c>
      <c r="AF204" t="s">
        <v>944</v>
      </c>
      <c r="AG204" t="s">
        <v>965</v>
      </c>
      <c r="AH204" t="s">
        <v>956</v>
      </c>
      <c r="AI204" t="s">
        <v>960</v>
      </c>
      <c r="AJ204" t="s">
        <v>948</v>
      </c>
      <c r="AK204">
        <v>16</v>
      </c>
      <c r="AL204" s="10">
        <v>1540.3</v>
      </c>
      <c r="AM204" s="10">
        <v>2832.7</v>
      </c>
      <c r="AN204" s="10">
        <v>5741.6</v>
      </c>
      <c r="AO204" s="9">
        <v>0.32925694085901958</v>
      </c>
      <c r="AP204" s="9">
        <v>26.2104</v>
      </c>
      <c r="AQ204" s="9">
        <v>0.7028977442113048</v>
      </c>
      <c r="AR204" s="9">
        <v>7.7500000000000009</v>
      </c>
      <c r="AS204" s="9">
        <v>8.4528977442113025</v>
      </c>
      <c r="AT204" s="9"/>
      <c r="AU204" s="9"/>
      <c r="AV204" s="9"/>
      <c r="AW204" s="11">
        <v>113.30800000000001</v>
      </c>
      <c r="AX204" s="11">
        <v>113.30800000000001</v>
      </c>
      <c r="AY204" t="s">
        <v>949</v>
      </c>
      <c r="AZ204" t="s">
        <v>950</v>
      </c>
      <c r="BA204" t="s">
        <v>951</v>
      </c>
      <c r="BB204" t="s">
        <v>952</v>
      </c>
      <c r="BC204" t="b">
        <v>0</v>
      </c>
    </row>
    <row r="205" spans="1:55">
      <c r="A205" t="s">
        <v>1387</v>
      </c>
      <c r="B205" t="s">
        <v>939</v>
      </c>
      <c r="C205">
        <v>639100</v>
      </c>
      <c r="D205">
        <v>347500</v>
      </c>
      <c r="E205">
        <v>639100</v>
      </c>
      <c r="F205">
        <v>1295400</v>
      </c>
      <c r="G205" s="9">
        <v>6.8846679168391234E-3</v>
      </c>
      <c r="H205" s="9">
        <v>1.7083210028867257E-2</v>
      </c>
      <c r="I205" s="9">
        <v>2.5624815043300886E-2</v>
      </c>
      <c r="J205" s="10">
        <v>8770.7672278329555</v>
      </c>
      <c r="K205" s="10">
        <v>8565.7489870844547</v>
      </c>
      <c r="L205" s="10">
        <v>8360.7307463359539</v>
      </c>
      <c r="M205" s="10">
        <v>8155.7125055874521</v>
      </c>
      <c r="N205" s="10">
        <v>7950.6942648389504</v>
      </c>
      <c r="O205" s="10">
        <v>7745.6760240904487</v>
      </c>
      <c r="P205" s="10">
        <v>7335.6395425934461</v>
      </c>
      <c r="Q205" s="10">
        <v>6925.6030610964435</v>
      </c>
      <c r="R205" s="10">
        <v>6515.56657959944</v>
      </c>
      <c r="S205" s="10">
        <v>6105.5300981024384</v>
      </c>
      <c r="T205" s="10">
        <v>5695.4936166054349</v>
      </c>
      <c r="V205" t="s">
        <v>456</v>
      </c>
      <c r="W205" t="s">
        <v>1387</v>
      </c>
      <c r="X205" t="s">
        <v>1388</v>
      </c>
      <c r="Y205" t="s">
        <v>941</v>
      </c>
      <c r="Z205" t="s">
        <v>942</v>
      </c>
      <c r="AB205" t="s">
        <v>103</v>
      </c>
      <c r="AC205" t="s">
        <v>41</v>
      </c>
      <c r="AD205" t="s">
        <v>943</v>
      </c>
      <c r="AF205" t="s">
        <v>944</v>
      </c>
      <c r="AG205" t="s">
        <v>999</v>
      </c>
      <c r="AH205" t="s">
        <v>946</v>
      </c>
      <c r="AI205" t="s">
        <v>977</v>
      </c>
      <c r="AJ205" t="s">
        <v>948</v>
      </c>
      <c r="AK205">
        <v>2</v>
      </c>
      <c r="AL205" s="10">
        <v>347.5</v>
      </c>
      <c r="AM205" s="10">
        <v>639.1</v>
      </c>
      <c r="AN205" s="10">
        <v>1295.4000000000001</v>
      </c>
      <c r="AO205" s="9">
        <v>5.4078463033155798E-2</v>
      </c>
      <c r="AP205" s="9">
        <v>2.3712</v>
      </c>
      <c r="AQ205" s="9">
        <v>0.68466791683912298</v>
      </c>
      <c r="AR205" s="9">
        <v>6.2</v>
      </c>
      <c r="AS205" s="9">
        <v>6.8846679168391232</v>
      </c>
      <c r="AT205" s="9">
        <v>2.203210028867256</v>
      </c>
      <c r="AU205" s="9">
        <v>14.88</v>
      </c>
      <c r="AV205" s="9">
        <v>17.083210028867256</v>
      </c>
      <c r="AW205" s="11">
        <v>8.7707672278329554</v>
      </c>
      <c r="AX205" s="11">
        <v>5.6954936166054351</v>
      </c>
      <c r="AY205" t="s">
        <v>949</v>
      </c>
      <c r="AZ205" t="s">
        <v>950</v>
      </c>
      <c r="BA205" t="s">
        <v>951</v>
      </c>
      <c r="BB205" t="s">
        <v>970</v>
      </c>
      <c r="BC205" t="b">
        <v>1</v>
      </c>
    </row>
    <row r="206" spans="1:55">
      <c r="A206" t="s">
        <v>1389</v>
      </c>
      <c r="B206" t="s">
        <v>939</v>
      </c>
      <c r="C206">
        <v>9932300</v>
      </c>
      <c r="D206">
        <v>5401000</v>
      </c>
      <c r="E206">
        <v>9932300</v>
      </c>
      <c r="F206">
        <v>20132200</v>
      </c>
      <c r="G206" s="9">
        <v>6.7464627815560611E-3</v>
      </c>
      <c r="H206" s="9">
        <v>1.727549801919355E-2</v>
      </c>
      <c r="I206" s="9">
        <v>2.5913247028790325E-2</v>
      </c>
      <c r="J206" s="10">
        <v>136307.13712565368</v>
      </c>
      <c r="K206" s="10">
        <v>133120.93360103099</v>
      </c>
      <c r="L206" s="10">
        <v>129934.73007640836</v>
      </c>
      <c r="M206" s="10">
        <v>126748.5265517857</v>
      </c>
      <c r="N206" s="10">
        <v>123562.32302716305</v>
      </c>
      <c r="O206" s="10">
        <v>120376.11950254037</v>
      </c>
      <c r="P206" s="10">
        <v>114003.71245329507</v>
      </c>
      <c r="Q206" s="10">
        <v>107631.30540404975</v>
      </c>
      <c r="R206" s="10">
        <v>101258.89835480445</v>
      </c>
      <c r="S206" s="10">
        <v>94886.491305559117</v>
      </c>
      <c r="T206" s="10">
        <v>88514.084256313814</v>
      </c>
      <c r="V206" t="s">
        <v>456</v>
      </c>
      <c r="W206" t="s">
        <v>1389</v>
      </c>
      <c r="X206" t="s">
        <v>1390</v>
      </c>
      <c r="Y206" t="s">
        <v>941</v>
      </c>
      <c r="Z206" t="s">
        <v>942</v>
      </c>
      <c r="AB206" t="s">
        <v>103</v>
      </c>
      <c r="AC206" t="s">
        <v>41</v>
      </c>
      <c r="AD206" t="s">
        <v>943</v>
      </c>
      <c r="AF206" t="s">
        <v>944</v>
      </c>
      <c r="AG206" t="s">
        <v>976</v>
      </c>
      <c r="AH206" t="s">
        <v>956</v>
      </c>
      <c r="AI206" t="s">
        <v>977</v>
      </c>
      <c r="AJ206" t="s">
        <v>948</v>
      </c>
      <c r="AK206">
        <v>14</v>
      </c>
      <c r="AL206" s="10">
        <v>5401</v>
      </c>
      <c r="AM206" s="10">
        <v>9932.2999999999993</v>
      </c>
      <c r="AN206" s="10">
        <v>20132.2</v>
      </c>
      <c r="AO206" s="9">
        <v>0.84046488503309202</v>
      </c>
      <c r="AP206" s="9">
        <v>36.852200000000003</v>
      </c>
      <c r="AQ206" s="9">
        <v>0.54646278155606187</v>
      </c>
      <c r="AR206" s="9">
        <v>6.1999999999999993</v>
      </c>
      <c r="AS206" s="9">
        <v>6.7464627815560609</v>
      </c>
      <c r="AT206" s="9">
        <v>2.3954980191935493</v>
      </c>
      <c r="AU206" s="9">
        <v>14.88</v>
      </c>
      <c r="AV206" s="9">
        <v>17.275498019193549</v>
      </c>
      <c r="AW206" s="11">
        <v>136.30713712565367</v>
      </c>
      <c r="AX206" s="11">
        <v>88.514084256313808</v>
      </c>
      <c r="AY206" t="s">
        <v>949</v>
      </c>
      <c r="AZ206" t="s">
        <v>950</v>
      </c>
      <c r="BA206" t="s">
        <v>951</v>
      </c>
      <c r="BB206" t="s">
        <v>970</v>
      </c>
      <c r="BC206" t="b">
        <v>1</v>
      </c>
    </row>
    <row r="207" spans="1:55">
      <c r="A207" t="s">
        <v>1391</v>
      </c>
      <c r="B207" t="s">
        <v>939</v>
      </c>
      <c r="C207">
        <v>9400</v>
      </c>
      <c r="D207">
        <v>5100</v>
      </c>
      <c r="E207">
        <v>9400</v>
      </c>
      <c r="F207">
        <v>19000</v>
      </c>
      <c r="G207" s="9">
        <v>9.9377903380898254E-3</v>
      </c>
      <c r="H207" s="9"/>
      <c r="I207" s="9"/>
      <c r="J207" s="10">
        <v>129.00205279554021</v>
      </c>
      <c r="K207" s="10">
        <v>125.98660691377536</v>
      </c>
      <c r="L207" s="10">
        <v>122.9711610320105</v>
      </c>
      <c r="M207" s="10">
        <v>119.95571515024565</v>
      </c>
      <c r="N207" s="10">
        <v>116.9402692684808</v>
      </c>
      <c r="O207" s="10">
        <v>113.92482338671596</v>
      </c>
      <c r="P207" s="10">
        <v>107.89393162318628</v>
      </c>
      <c r="Q207" s="10">
        <v>101.86303985965658</v>
      </c>
      <c r="R207" s="10">
        <v>95.832148096126886</v>
      </c>
      <c r="S207" s="10">
        <v>89.801256332597191</v>
      </c>
      <c r="T207" s="10">
        <v>83.770364569067496</v>
      </c>
      <c r="V207" t="s">
        <v>456</v>
      </c>
      <c r="W207" t="s">
        <v>1391</v>
      </c>
      <c r="X207" t="s">
        <v>1392</v>
      </c>
      <c r="Y207" t="s">
        <v>941</v>
      </c>
      <c r="Z207" t="s">
        <v>942</v>
      </c>
      <c r="AB207" t="s">
        <v>103</v>
      </c>
      <c r="AC207" t="s">
        <v>41</v>
      </c>
      <c r="AD207" t="s">
        <v>943</v>
      </c>
      <c r="AF207" t="s">
        <v>944</v>
      </c>
      <c r="AG207" t="s">
        <v>965</v>
      </c>
      <c r="AH207" t="s">
        <v>956</v>
      </c>
      <c r="AI207" t="s">
        <v>960</v>
      </c>
      <c r="AJ207" t="s">
        <v>948</v>
      </c>
      <c r="AK207">
        <v>1</v>
      </c>
      <c r="AL207" s="10">
        <v>5.0999999999999996</v>
      </c>
      <c r="AM207" s="10">
        <v>9.4</v>
      </c>
      <c r="AN207" s="10">
        <v>19</v>
      </c>
      <c r="AO207" s="9">
        <v>4.9307370562450001E-3</v>
      </c>
      <c r="AP207" s="9">
        <v>0.2162</v>
      </c>
      <c r="AQ207" s="9">
        <v>2.1877903380898251</v>
      </c>
      <c r="AR207" s="9">
        <v>7.75</v>
      </c>
      <c r="AS207" s="9">
        <v>9.937790338089826</v>
      </c>
      <c r="AT207" s="9"/>
      <c r="AU207" s="9"/>
      <c r="AV207" s="9"/>
      <c r="AW207" s="11">
        <v>0.1290020527955402</v>
      </c>
      <c r="AX207" s="11">
        <v>8.3770364569067501E-2</v>
      </c>
      <c r="AY207" t="s">
        <v>949</v>
      </c>
      <c r="AZ207" t="s">
        <v>950</v>
      </c>
      <c r="BA207" t="s">
        <v>951</v>
      </c>
      <c r="BB207" t="s">
        <v>970</v>
      </c>
      <c r="BC207" t="b">
        <v>0</v>
      </c>
    </row>
    <row r="208" spans="1:55">
      <c r="A208" t="s">
        <v>1393</v>
      </c>
      <c r="B208" t="s">
        <v>939</v>
      </c>
      <c r="C208">
        <v>1188000</v>
      </c>
      <c r="D208">
        <v>646000</v>
      </c>
      <c r="E208">
        <v>1188000</v>
      </c>
      <c r="F208">
        <v>2408000</v>
      </c>
      <c r="G208" s="9">
        <v>8.8379869813956409E-3</v>
      </c>
      <c r="H208" s="9">
        <v>2.2027243598947428E-2</v>
      </c>
      <c r="I208" s="9">
        <v>3.3040865398421146E-2</v>
      </c>
      <c r="J208" s="10">
        <v>16303.663693734237</v>
      </c>
      <c r="K208" s="10">
        <v>15922.562661017573</v>
      </c>
      <c r="L208" s="10">
        <v>15541.461628300909</v>
      </c>
      <c r="M208" s="10">
        <v>15160.360595584245</v>
      </c>
      <c r="N208" s="10">
        <v>14779.259562867583</v>
      </c>
      <c r="O208" s="10">
        <v>14398.158530150919</v>
      </c>
      <c r="P208" s="10">
        <v>13635.956464717592</v>
      </c>
      <c r="Q208" s="10">
        <v>12873.754399284266</v>
      </c>
      <c r="R208" s="10">
        <v>12111.552333850937</v>
      </c>
      <c r="S208" s="10">
        <v>11349.350268417611</v>
      </c>
      <c r="T208" s="10">
        <v>10587.148202984285</v>
      </c>
      <c r="V208" t="s">
        <v>456</v>
      </c>
      <c r="W208" t="s">
        <v>1393</v>
      </c>
      <c r="X208" t="s">
        <v>1394</v>
      </c>
      <c r="Y208" t="s">
        <v>941</v>
      </c>
      <c r="Z208" t="s">
        <v>942</v>
      </c>
      <c r="AB208" t="s">
        <v>103</v>
      </c>
      <c r="AC208" t="s">
        <v>41</v>
      </c>
      <c r="AD208" t="s">
        <v>943</v>
      </c>
      <c r="AF208" t="s">
        <v>944</v>
      </c>
      <c r="AG208" t="s">
        <v>996</v>
      </c>
      <c r="AH208" t="s">
        <v>988</v>
      </c>
      <c r="AI208" t="s">
        <v>977</v>
      </c>
      <c r="AJ208" t="s">
        <v>948</v>
      </c>
      <c r="AK208">
        <v>3</v>
      </c>
      <c r="AL208" s="10">
        <v>646</v>
      </c>
      <c r="AM208" s="10">
        <v>1188</v>
      </c>
      <c r="AN208" s="10">
        <v>2408</v>
      </c>
      <c r="AO208" s="9">
        <v>0.10052591487750689</v>
      </c>
      <c r="AP208" s="9">
        <v>4.4077999999999999</v>
      </c>
      <c r="AQ208" s="9">
        <v>2.6379869813956409</v>
      </c>
      <c r="AR208" s="9">
        <v>6.2</v>
      </c>
      <c r="AS208" s="9">
        <v>8.8379869813956411</v>
      </c>
      <c r="AT208" s="9">
        <v>7.1472435989474263</v>
      </c>
      <c r="AU208" s="9">
        <v>14.88</v>
      </c>
      <c r="AV208" s="9">
        <v>22.027243598947429</v>
      </c>
      <c r="AW208" s="11">
        <v>16.303663693734237</v>
      </c>
      <c r="AX208" s="11">
        <v>10.587148202984284</v>
      </c>
      <c r="AY208" t="s">
        <v>949</v>
      </c>
      <c r="AZ208" t="s">
        <v>950</v>
      </c>
      <c r="BA208" t="s">
        <v>951</v>
      </c>
      <c r="BB208" t="s">
        <v>970</v>
      </c>
      <c r="BC208" t="b">
        <v>1</v>
      </c>
    </row>
    <row r="209" spans="1:55">
      <c r="A209" t="s">
        <v>1395</v>
      </c>
      <c r="B209" t="s">
        <v>939</v>
      </c>
      <c r="C209">
        <v>137500</v>
      </c>
      <c r="D209">
        <v>105500</v>
      </c>
      <c r="E209">
        <v>137500</v>
      </c>
      <c r="F209">
        <v>231500</v>
      </c>
      <c r="G209" s="9">
        <v>4.6760165329427601E-3</v>
      </c>
      <c r="H209" s="9">
        <v>1.0333285237086241E-2</v>
      </c>
      <c r="I209" s="9">
        <v>1.5499927855629361E-2</v>
      </c>
      <c r="J209" s="10">
        <v>838.63536638876701</v>
      </c>
      <c r="K209" s="10">
        <v>838.63536638876701</v>
      </c>
      <c r="L209" s="10">
        <v>838.63536638876701</v>
      </c>
      <c r="M209" s="10">
        <v>838.63536638876701</v>
      </c>
      <c r="N209" s="10">
        <v>838.63536638876701</v>
      </c>
      <c r="O209" s="10">
        <v>838.63536638876701</v>
      </c>
      <c r="P209" s="10">
        <v>838.63536638876701</v>
      </c>
      <c r="Q209" s="10">
        <v>838.63536638876701</v>
      </c>
      <c r="R209" s="10">
        <v>838.63536638876701</v>
      </c>
      <c r="S209" s="10">
        <v>838.63536638876701</v>
      </c>
      <c r="T209" s="10">
        <v>838.63536638876701</v>
      </c>
      <c r="V209" t="s">
        <v>456</v>
      </c>
      <c r="W209" t="s">
        <v>1395</v>
      </c>
      <c r="X209" t="s">
        <v>1396</v>
      </c>
      <c r="Y209" t="s">
        <v>941</v>
      </c>
      <c r="Z209" t="s">
        <v>942</v>
      </c>
      <c r="AB209" t="s">
        <v>515</v>
      </c>
      <c r="AC209" t="s">
        <v>514</v>
      </c>
      <c r="AD209" t="s">
        <v>968</v>
      </c>
      <c r="AF209" t="s">
        <v>944</v>
      </c>
      <c r="AG209" t="s">
        <v>999</v>
      </c>
      <c r="AH209" t="s">
        <v>946</v>
      </c>
      <c r="AI209" t="s">
        <v>977</v>
      </c>
      <c r="AJ209" t="s">
        <v>948</v>
      </c>
      <c r="AK209">
        <v>3</v>
      </c>
      <c r="AL209" s="10">
        <v>105.5</v>
      </c>
      <c r="AM209" s="10">
        <v>137.5</v>
      </c>
      <c r="AN209" s="10">
        <v>231.5</v>
      </c>
      <c r="AO209" s="9">
        <v>2.0273453051350698E-2</v>
      </c>
      <c r="AP209" s="9">
        <v>2.6684000000000001</v>
      </c>
      <c r="AQ209" s="9">
        <v>0.95601653294275957</v>
      </c>
      <c r="AR209" s="9">
        <v>3.7200000000000006</v>
      </c>
      <c r="AS209" s="9">
        <v>4.6760165329427599</v>
      </c>
      <c r="AT209" s="9">
        <v>1.6532852370862408</v>
      </c>
      <c r="AU209" s="9">
        <v>8.68</v>
      </c>
      <c r="AV209" s="9">
        <v>10.33328523708624</v>
      </c>
      <c r="AW209" s="11">
        <v>0.83863536638876701</v>
      </c>
      <c r="AX209" s="11">
        <v>0.83863536638876701</v>
      </c>
      <c r="AY209" t="s">
        <v>969</v>
      </c>
      <c r="AZ209" t="s">
        <v>950</v>
      </c>
      <c r="BA209" t="s">
        <v>951</v>
      </c>
      <c r="BB209" t="s">
        <v>970</v>
      </c>
      <c r="BC209" t="b">
        <v>1</v>
      </c>
    </row>
    <row r="210" spans="1:55">
      <c r="A210" t="s">
        <v>1397</v>
      </c>
      <c r="B210" t="s">
        <v>939</v>
      </c>
      <c r="C210">
        <v>90400</v>
      </c>
      <c r="D210">
        <v>69400</v>
      </c>
      <c r="E210">
        <v>90400</v>
      </c>
      <c r="F210">
        <v>152300</v>
      </c>
      <c r="G210" s="9">
        <v>5.2485353655449592E-3</v>
      </c>
      <c r="H210" s="9">
        <v>1.4599991663258229E-2</v>
      </c>
      <c r="I210" s="9">
        <v>2.1899987494887342E-2</v>
      </c>
      <c r="J210" s="10">
        <v>551.36463361123299</v>
      </c>
      <c r="K210" s="10">
        <v>551.36463361123299</v>
      </c>
      <c r="L210" s="10">
        <v>551.36463361123299</v>
      </c>
      <c r="M210" s="10">
        <v>551.36463361123299</v>
      </c>
      <c r="N210" s="10">
        <v>551.36463361123299</v>
      </c>
      <c r="O210" s="10">
        <v>551.36463361123299</v>
      </c>
      <c r="P210" s="10">
        <v>551.36463361123299</v>
      </c>
      <c r="Q210" s="10">
        <v>551.36463361123299</v>
      </c>
      <c r="R210" s="10">
        <v>551.36463361123299</v>
      </c>
      <c r="S210" s="10">
        <v>551.36463361123299</v>
      </c>
      <c r="T210" s="10">
        <v>551.36463361123299</v>
      </c>
      <c r="V210" t="s">
        <v>456</v>
      </c>
      <c r="W210" t="s">
        <v>1397</v>
      </c>
      <c r="X210" t="s">
        <v>1398</v>
      </c>
      <c r="Y210" t="s">
        <v>941</v>
      </c>
      <c r="Z210" t="s">
        <v>942</v>
      </c>
      <c r="AB210" t="s">
        <v>515</v>
      </c>
      <c r="AC210" t="s">
        <v>514</v>
      </c>
      <c r="AD210" t="s">
        <v>968</v>
      </c>
      <c r="AF210" t="s">
        <v>944</v>
      </c>
      <c r="AG210" t="s">
        <v>976</v>
      </c>
      <c r="AH210" t="s">
        <v>956</v>
      </c>
      <c r="AI210" t="s">
        <v>977</v>
      </c>
      <c r="AJ210" t="s">
        <v>948</v>
      </c>
      <c r="AK210">
        <v>2</v>
      </c>
      <c r="AL210" s="10">
        <v>69.400000000000006</v>
      </c>
      <c r="AM210" s="10">
        <v>90.4</v>
      </c>
      <c r="AN210" s="10">
        <v>152.30000000000001</v>
      </c>
      <c r="AO210" s="9">
        <v>1.3331520037927201E-2</v>
      </c>
      <c r="AP210" s="9">
        <v>1.7546999999999999</v>
      </c>
      <c r="AQ210" s="9">
        <v>1.5285353655449596</v>
      </c>
      <c r="AR210" s="9">
        <v>3.72</v>
      </c>
      <c r="AS210" s="9">
        <v>5.2485353655449591</v>
      </c>
      <c r="AT210" s="9">
        <v>5.9199916632582292</v>
      </c>
      <c r="AU210" s="9">
        <v>8.68</v>
      </c>
      <c r="AV210" s="9">
        <v>14.59999166325823</v>
      </c>
      <c r="AW210" s="11">
        <v>0.551364633611233</v>
      </c>
      <c r="AX210" s="11">
        <v>0.551364633611233</v>
      </c>
      <c r="AY210" t="s">
        <v>969</v>
      </c>
      <c r="AZ210" t="s">
        <v>950</v>
      </c>
      <c r="BA210" t="s">
        <v>951</v>
      </c>
      <c r="BB210" t="s">
        <v>970</v>
      </c>
      <c r="BC210" t="b">
        <v>1</v>
      </c>
    </row>
    <row r="211" spans="1:55">
      <c r="A211" t="s">
        <v>1399</v>
      </c>
      <c r="B211" t="s">
        <v>939</v>
      </c>
      <c r="C211">
        <v>1381600</v>
      </c>
      <c r="D211">
        <v>751300</v>
      </c>
      <c r="E211">
        <v>1381600</v>
      </c>
      <c r="F211">
        <v>2800300</v>
      </c>
      <c r="G211" s="9">
        <v>6.6541245866180996E-3</v>
      </c>
      <c r="H211" s="9">
        <v>1.7162388769427678E-2</v>
      </c>
      <c r="I211" s="9">
        <v>2.5743583154141519E-2</v>
      </c>
      <c r="J211" s="10">
        <v>55264</v>
      </c>
      <c r="K211" s="10">
        <v>55264</v>
      </c>
      <c r="L211" s="10">
        <v>55264</v>
      </c>
      <c r="M211" s="10">
        <v>55264</v>
      </c>
      <c r="N211" s="10">
        <v>55264</v>
      </c>
      <c r="O211" s="10">
        <v>55264</v>
      </c>
      <c r="P211" s="10">
        <v>55264</v>
      </c>
      <c r="Q211" s="10">
        <v>55264</v>
      </c>
      <c r="R211" s="10">
        <v>55264</v>
      </c>
      <c r="S211" s="10">
        <v>55264</v>
      </c>
      <c r="T211" s="10">
        <v>55264</v>
      </c>
      <c r="V211" t="s">
        <v>456</v>
      </c>
      <c r="W211" t="s">
        <v>1399</v>
      </c>
      <c r="X211" t="s">
        <v>1400</v>
      </c>
      <c r="Y211" t="s">
        <v>941</v>
      </c>
      <c r="Z211" t="s">
        <v>942</v>
      </c>
      <c r="AB211" t="s">
        <v>515</v>
      </c>
      <c r="AC211" t="s">
        <v>514</v>
      </c>
      <c r="AD211" t="s">
        <v>943</v>
      </c>
      <c r="AF211" t="s">
        <v>944</v>
      </c>
      <c r="AG211" t="s">
        <v>999</v>
      </c>
      <c r="AH211" t="s">
        <v>946</v>
      </c>
      <c r="AI211" t="s">
        <v>977</v>
      </c>
      <c r="AJ211" t="s">
        <v>948</v>
      </c>
      <c r="AK211">
        <v>24</v>
      </c>
      <c r="AL211" s="10">
        <v>751.3</v>
      </c>
      <c r="AM211" s="10">
        <v>1381.6</v>
      </c>
      <c r="AN211" s="10">
        <v>2800.3</v>
      </c>
      <c r="AO211" s="9">
        <v>0.2036811922771849</v>
      </c>
      <c r="AP211" s="9">
        <v>26.808599999999998</v>
      </c>
      <c r="AQ211" s="9">
        <v>0.45412458661809901</v>
      </c>
      <c r="AR211" s="9">
        <v>6.2000000000000011</v>
      </c>
      <c r="AS211" s="9">
        <v>6.6541245866180994</v>
      </c>
      <c r="AT211" s="9">
        <v>2.2823887694276723</v>
      </c>
      <c r="AU211" s="9">
        <v>14.880000000000004</v>
      </c>
      <c r="AV211" s="9">
        <v>17.162388769427679</v>
      </c>
      <c r="AW211" s="11">
        <v>55.264000000000003</v>
      </c>
      <c r="AX211" s="11">
        <v>55.264000000000003</v>
      </c>
      <c r="AY211" t="s">
        <v>949</v>
      </c>
      <c r="AZ211" t="s">
        <v>950</v>
      </c>
      <c r="BA211" t="s">
        <v>951</v>
      </c>
      <c r="BB211" t="s">
        <v>952</v>
      </c>
      <c r="BC211" t="b">
        <v>1</v>
      </c>
    </row>
    <row r="212" spans="1:55">
      <c r="A212" t="s">
        <v>1401</v>
      </c>
      <c r="B212" t="s">
        <v>939</v>
      </c>
      <c r="C212">
        <v>7100</v>
      </c>
      <c r="D212">
        <v>3800</v>
      </c>
      <c r="E212">
        <v>7100</v>
      </c>
      <c r="F212">
        <v>14300</v>
      </c>
      <c r="G212" s="9">
        <v>7.8258461396386574E-3</v>
      </c>
      <c r="H212" s="9">
        <v>2.3745653073529934E-2</v>
      </c>
      <c r="I212" s="9">
        <v>3.5618479610294899E-2</v>
      </c>
      <c r="J212" s="10">
        <v>284</v>
      </c>
      <c r="K212" s="10">
        <v>284</v>
      </c>
      <c r="L212" s="10">
        <v>284</v>
      </c>
      <c r="M212" s="10">
        <v>284</v>
      </c>
      <c r="N212" s="10">
        <v>284</v>
      </c>
      <c r="O212" s="10">
        <v>284</v>
      </c>
      <c r="P212" s="10">
        <v>284</v>
      </c>
      <c r="Q212" s="10">
        <v>284</v>
      </c>
      <c r="R212" s="10">
        <v>284</v>
      </c>
      <c r="S212" s="10">
        <v>284</v>
      </c>
      <c r="T212" s="10">
        <v>284</v>
      </c>
      <c r="V212" t="s">
        <v>456</v>
      </c>
      <c r="W212" t="s">
        <v>1401</v>
      </c>
      <c r="X212" t="s">
        <v>1402</v>
      </c>
      <c r="Y212" t="s">
        <v>941</v>
      </c>
      <c r="Z212" t="s">
        <v>942</v>
      </c>
      <c r="AB212" t="s">
        <v>515</v>
      </c>
      <c r="AC212" t="s">
        <v>514</v>
      </c>
      <c r="AD212" t="s">
        <v>943</v>
      </c>
      <c r="AF212" t="s">
        <v>944</v>
      </c>
      <c r="AG212" t="s">
        <v>959</v>
      </c>
      <c r="AH212" t="s">
        <v>946</v>
      </c>
      <c r="AI212" t="s">
        <v>960</v>
      </c>
      <c r="AJ212" t="s">
        <v>948</v>
      </c>
      <c r="AK212">
        <v>1</v>
      </c>
      <c r="AL212" s="10">
        <v>3.8</v>
      </c>
      <c r="AM212" s="10">
        <v>7.1</v>
      </c>
      <c r="AN212" s="10">
        <v>14.3</v>
      </c>
      <c r="AO212" s="9">
        <v>6.4893435971931396E-2</v>
      </c>
      <c r="AP212" s="9">
        <v>8.5412999999999997</v>
      </c>
      <c r="AQ212" s="9">
        <v>7.5846139638658994E-2</v>
      </c>
      <c r="AR212" s="9">
        <v>7.7500000000000009</v>
      </c>
      <c r="AS212" s="9">
        <v>7.8258461396386583</v>
      </c>
      <c r="AT212" s="9">
        <v>0.1456530735299334</v>
      </c>
      <c r="AU212" s="9">
        <v>23.6</v>
      </c>
      <c r="AV212" s="9">
        <v>23.745653073529933</v>
      </c>
      <c r="AW212" s="11">
        <v>0.28399999999999997</v>
      </c>
      <c r="AX212" s="11">
        <v>0.28399999999999997</v>
      </c>
      <c r="AY212" t="s">
        <v>949</v>
      </c>
      <c r="AZ212" t="s">
        <v>950</v>
      </c>
      <c r="BA212" t="s">
        <v>951</v>
      </c>
      <c r="BB212" t="s">
        <v>952</v>
      </c>
      <c r="BC212" t="b">
        <v>1</v>
      </c>
    </row>
    <row r="213" spans="1:55">
      <c r="A213" t="s">
        <v>1403</v>
      </c>
      <c r="B213" t="s">
        <v>939</v>
      </c>
      <c r="C213">
        <v>9398200</v>
      </c>
      <c r="D213">
        <v>5110500</v>
      </c>
      <c r="E213">
        <v>9398200</v>
      </c>
      <c r="F213">
        <v>19049500</v>
      </c>
      <c r="G213" s="9">
        <v>1.4686591703780168E-2</v>
      </c>
      <c r="H213" s="9">
        <v>4.982557794517823E-2</v>
      </c>
      <c r="I213" s="9">
        <v>7.4738366917767349E-2</v>
      </c>
      <c r="J213" s="10">
        <v>375928.00000000006</v>
      </c>
      <c r="K213" s="10">
        <v>375928.00000000006</v>
      </c>
      <c r="L213" s="10">
        <v>375928.00000000006</v>
      </c>
      <c r="M213" s="10">
        <v>375928.00000000006</v>
      </c>
      <c r="N213" s="10">
        <v>375928.00000000006</v>
      </c>
      <c r="O213" s="10">
        <v>375928.00000000006</v>
      </c>
      <c r="P213" s="10">
        <v>375928.00000000006</v>
      </c>
      <c r="Q213" s="10">
        <v>375928.00000000006</v>
      </c>
      <c r="R213" s="10">
        <v>375928.00000000006</v>
      </c>
      <c r="S213" s="10">
        <v>375928.00000000006</v>
      </c>
      <c r="T213" s="10">
        <v>375928.00000000006</v>
      </c>
      <c r="V213" t="s">
        <v>456</v>
      </c>
      <c r="W213" t="s">
        <v>1403</v>
      </c>
      <c r="X213" t="s">
        <v>1404</v>
      </c>
      <c r="Y213" t="s">
        <v>941</v>
      </c>
      <c r="Z213" t="s">
        <v>942</v>
      </c>
      <c r="AB213" t="s">
        <v>515</v>
      </c>
      <c r="AC213" t="s">
        <v>514</v>
      </c>
      <c r="AD213" t="s">
        <v>943</v>
      </c>
      <c r="AF213" t="s">
        <v>944</v>
      </c>
      <c r="AG213" t="s">
        <v>945</v>
      </c>
      <c r="AH213" t="s">
        <v>946</v>
      </c>
      <c r="AI213" t="s">
        <v>947</v>
      </c>
      <c r="AJ213" t="s">
        <v>948</v>
      </c>
      <c r="AK213">
        <v>21</v>
      </c>
      <c r="AL213" s="10">
        <v>5110.5</v>
      </c>
      <c r="AM213" s="10">
        <v>9398.2000000000007</v>
      </c>
      <c r="AN213" s="10">
        <v>19049.5</v>
      </c>
      <c r="AO213" s="9">
        <v>0.17625459275309899</v>
      </c>
      <c r="AP213" s="9">
        <v>23.198699999999999</v>
      </c>
      <c r="AQ213" s="9">
        <v>0.1829382780018497</v>
      </c>
      <c r="AR213" s="9">
        <v>14.503653425778314</v>
      </c>
      <c r="AS213" s="9">
        <v>14.686591703780168</v>
      </c>
      <c r="AT213" s="9">
        <v>1.9124256123763057</v>
      </c>
      <c r="AU213" s="9">
        <v>47.913152332801921</v>
      </c>
      <c r="AV213" s="9">
        <v>49.825577945178232</v>
      </c>
      <c r="AW213" s="11">
        <v>375.92800000000005</v>
      </c>
      <c r="AX213" s="11">
        <v>375.92800000000005</v>
      </c>
      <c r="AY213" t="s">
        <v>949</v>
      </c>
      <c r="AZ213" t="s">
        <v>950</v>
      </c>
      <c r="BA213" t="s">
        <v>951</v>
      </c>
      <c r="BB213" t="s">
        <v>952</v>
      </c>
      <c r="BC213" t="b">
        <v>1</v>
      </c>
    </row>
    <row r="214" spans="1:55">
      <c r="A214" t="s">
        <v>1405</v>
      </c>
      <c r="B214" t="s">
        <v>939</v>
      </c>
      <c r="C214">
        <v>3172600</v>
      </c>
      <c r="D214">
        <v>1725200</v>
      </c>
      <c r="E214">
        <v>3172600</v>
      </c>
      <c r="F214">
        <v>6430700</v>
      </c>
      <c r="G214" s="9">
        <v>8.141610674329126E-3</v>
      </c>
      <c r="H214" s="9">
        <v>2.1131096975464329E-2</v>
      </c>
      <c r="I214" s="9">
        <v>3.1696645463196491E-2</v>
      </c>
      <c r="J214" s="10">
        <v>126904</v>
      </c>
      <c r="K214" s="10">
        <v>126904</v>
      </c>
      <c r="L214" s="10">
        <v>126904</v>
      </c>
      <c r="M214" s="10">
        <v>126904</v>
      </c>
      <c r="N214" s="10">
        <v>126904</v>
      </c>
      <c r="O214" s="10">
        <v>126904</v>
      </c>
      <c r="P214" s="10">
        <v>126904</v>
      </c>
      <c r="Q214" s="10">
        <v>126904</v>
      </c>
      <c r="R214" s="10">
        <v>126904</v>
      </c>
      <c r="S214" s="10">
        <v>126904</v>
      </c>
      <c r="T214" s="10">
        <v>126904</v>
      </c>
      <c r="V214" t="s">
        <v>456</v>
      </c>
      <c r="W214" t="s">
        <v>1405</v>
      </c>
      <c r="X214" t="s">
        <v>1406</v>
      </c>
      <c r="Y214" t="s">
        <v>941</v>
      </c>
      <c r="Z214" t="s">
        <v>942</v>
      </c>
      <c r="AB214" t="s">
        <v>515</v>
      </c>
      <c r="AC214" t="s">
        <v>514</v>
      </c>
      <c r="AD214" t="s">
        <v>943</v>
      </c>
      <c r="AF214" t="s">
        <v>944</v>
      </c>
      <c r="AG214" t="s">
        <v>976</v>
      </c>
      <c r="AH214" t="s">
        <v>956</v>
      </c>
      <c r="AI214" t="s">
        <v>977</v>
      </c>
      <c r="AJ214" t="s">
        <v>948</v>
      </c>
      <c r="AK214">
        <v>56</v>
      </c>
      <c r="AL214" s="10">
        <v>1725.2</v>
      </c>
      <c r="AM214" s="10">
        <v>3172.6</v>
      </c>
      <c r="AN214" s="10">
        <v>6430.7</v>
      </c>
      <c r="AO214" s="9">
        <v>0.4677360044491583</v>
      </c>
      <c r="AP214" s="9">
        <v>61.563600000000001</v>
      </c>
      <c r="AQ214" s="9">
        <v>1.9416106743291248</v>
      </c>
      <c r="AR214" s="9">
        <v>6.2</v>
      </c>
      <c r="AS214" s="9">
        <v>8.1416106743291259</v>
      </c>
      <c r="AT214" s="9">
        <v>6.2510969754643311</v>
      </c>
      <c r="AU214" s="9">
        <v>14.880000000000004</v>
      </c>
      <c r="AV214" s="9">
        <v>21.131096975464331</v>
      </c>
      <c r="AW214" s="11">
        <v>126.904</v>
      </c>
      <c r="AX214" s="11">
        <v>126.904</v>
      </c>
      <c r="AY214" t="s">
        <v>949</v>
      </c>
      <c r="AZ214" t="s">
        <v>950</v>
      </c>
      <c r="BA214" t="s">
        <v>951</v>
      </c>
      <c r="BB214" t="s">
        <v>952</v>
      </c>
      <c r="BC214" t="b">
        <v>1</v>
      </c>
    </row>
    <row r="215" spans="1:55">
      <c r="A215" t="s">
        <v>1407</v>
      </c>
      <c r="B215" t="s">
        <v>939</v>
      </c>
      <c r="C215">
        <v>222800</v>
      </c>
      <c r="D215">
        <v>121200</v>
      </c>
      <c r="E215">
        <v>222800</v>
      </c>
      <c r="F215">
        <v>451700</v>
      </c>
      <c r="G215" s="9">
        <v>1.2233975529693216E-2</v>
      </c>
      <c r="H215" s="9">
        <v>3.0072589088083457E-2</v>
      </c>
      <c r="I215" s="9">
        <v>4.5108883632125188E-2</v>
      </c>
      <c r="J215" s="10">
        <v>8912</v>
      </c>
      <c r="K215" s="10">
        <v>8912</v>
      </c>
      <c r="L215" s="10">
        <v>8912</v>
      </c>
      <c r="M215" s="10">
        <v>8912</v>
      </c>
      <c r="N215" s="10">
        <v>8912</v>
      </c>
      <c r="O215" s="10">
        <v>8912</v>
      </c>
      <c r="P215" s="10">
        <v>8912</v>
      </c>
      <c r="Q215" s="10">
        <v>8912</v>
      </c>
      <c r="R215" s="10">
        <v>8912</v>
      </c>
      <c r="S215" s="10">
        <v>8912</v>
      </c>
      <c r="T215" s="10">
        <v>8912</v>
      </c>
      <c r="V215" t="s">
        <v>456</v>
      </c>
      <c r="W215" t="s">
        <v>1407</v>
      </c>
      <c r="X215" t="s">
        <v>1408</v>
      </c>
      <c r="Y215" t="s">
        <v>941</v>
      </c>
      <c r="Z215" t="s">
        <v>942</v>
      </c>
      <c r="AB215" t="s">
        <v>515</v>
      </c>
      <c r="AC215" t="s">
        <v>514</v>
      </c>
      <c r="AD215" t="s">
        <v>943</v>
      </c>
      <c r="AF215" t="s">
        <v>944</v>
      </c>
      <c r="AG215" t="s">
        <v>996</v>
      </c>
      <c r="AH215" t="s">
        <v>988</v>
      </c>
      <c r="AI215" t="s">
        <v>977</v>
      </c>
      <c r="AJ215" t="s">
        <v>948</v>
      </c>
      <c r="AK215">
        <v>3</v>
      </c>
      <c r="AL215" s="10">
        <v>121.2</v>
      </c>
      <c r="AM215" s="10">
        <v>222.8</v>
      </c>
      <c r="AN215" s="10">
        <v>451.7</v>
      </c>
      <c r="AO215" s="9">
        <v>3.2854329572011599E-2</v>
      </c>
      <c r="AP215" s="9">
        <v>4.3243</v>
      </c>
      <c r="AQ215" s="9">
        <v>6.0339755296932189</v>
      </c>
      <c r="AR215" s="9">
        <v>6.2</v>
      </c>
      <c r="AS215" s="9">
        <v>12.233975529693216</v>
      </c>
      <c r="AT215" s="9">
        <v>15.192589088083457</v>
      </c>
      <c r="AU215" s="9">
        <v>14.880000000000004</v>
      </c>
      <c r="AV215" s="9">
        <v>30.072589088083458</v>
      </c>
      <c r="AW215" s="11">
        <v>8.9120000000000008</v>
      </c>
      <c r="AX215" s="11">
        <v>8.9120000000000008</v>
      </c>
      <c r="AY215" t="s">
        <v>949</v>
      </c>
      <c r="AZ215" t="s">
        <v>950</v>
      </c>
      <c r="BA215" t="s">
        <v>951</v>
      </c>
      <c r="BB215" t="s">
        <v>952</v>
      </c>
      <c r="BC215" t="b">
        <v>1</v>
      </c>
    </row>
    <row r="216" spans="1:55">
      <c r="A216" t="s">
        <v>1409</v>
      </c>
      <c r="B216" t="s">
        <v>939</v>
      </c>
      <c r="C216">
        <v>1118400</v>
      </c>
      <c r="D216">
        <v>608200</v>
      </c>
      <c r="E216">
        <v>1118400</v>
      </c>
      <c r="F216">
        <v>2267000</v>
      </c>
      <c r="G216" s="9">
        <v>1.9959777493921242E-2</v>
      </c>
      <c r="H216" s="9"/>
      <c r="I216" s="9"/>
      <c r="J216" s="10">
        <v>44736</v>
      </c>
      <c r="K216" s="10">
        <v>44736</v>
      </c>
      <c r="L216" s="10">
        <v>44736</v>
      </c>
      <c r="M216" s="10">
        <v>44736</v>
      </c>
      <c r="N216" s="10">
        <v>44736</v>
      </c>
      <c r="O216" s="10">
        <v>44736</v>
      </c>
      <c r="P216" s="10">
        <v>44736</v>
      </c>
      <c r="Q216" s="10">
        <v>44736</v>
      </c>
      <c r="R216" s="10">
        <v>44736</v>
      </c>
      <c r="S216" s="10">
        <v>44736</v>
      </c>
      <c r="T216" s="10">
        <v>44736</v>
      </c>
      <c r="V216" t="s">
        <v>456</v>
      </c>
      <c r="W216" t="s">
        <v>1409</v>
      </c>
      <c r="X216" t="s">
        <v>1410</v>
      </c>
      <c r="Y216" t="s">
        <v>941</v>
      </c>
      <c r="Z216" t="s">
        <v>942</v>
      </c>
      <c r="AB216" t="s">
        <v>515</v>
      </c>
      <c r="AC216" t="s">
        <v>514</v>
      </c>
      <c r="AD216" t="s">
        <v>943</v>
      </c>
      <c r="AF216" t="s">
        <v>944</v>
      </c>
      <c r="AG216" t="s">
        <v>1037</v>
      </c>
      <c r="AH216" t="s">
        <v>988</v>
      </c>
      <c r="AI216" t="s">
        <v>947</v>
      </c>
      <c r="AJ216" t="s">
        <v>948</v>
      </c>
      <c r="AK216">
        <v>1</v>
      </c>
      <c r="AL216" s="10">
        <v>608.20000000000005</v>
      </c>
      <c r="AM216" s="10">
        <v>1118.4000000000001</v>
      </c>
      <c r="AN216" s="10">
        <v>2267</v>
      </c>
      <c r="AO216" s="9">
        <v>2.0975471887336599E-2</v>
      </c>
      <c r="AP216" s="9">
        <v>2.7608000000000001</v>
      </c>
      <c r="AQ216" s="9">
        <v>5.4561240681429304</v>
      </c>
      <c r="AR216" s="9">
        <v>14.50365342577831</v>
      </c>
      <c r="AS216" s="9">
        <v>19.959777493921241</v>
      </c>
      <c r="AT216" s="9"/>
      <c r="AU216" s="9"/>
      <c r="AV216" s="9"/>
      <c r="AW216" s="11">
        <v>44.735999999999997</v>
      </c>
      <c r="AX216" s="11">
        <v>44.735999999999997</v>
      </c>
      <c r="AY216" t="s">
        <v>949</v>
      </c>
      <c r="AZ216" t="s">
        <v>950</v>
      </c>
      <c r="BA216" t="s">
        <v>951</v>
      </c>
      <c r="BB216" t="s">
        <v>952</v>
      </c>
      <c r="BC216" t="b">
        <v>0</v>
      </c>
    </row>
    <row r="217" spans="1:55">
      <c r="A217" t="s">
        <v>1411</v>
      </c>
      <c r="B217" t="s">
        <v>939</v>
      </c>
      <c r="C217">
        <v>222200</v>
      </c>
      <c r="D217">
        <v>120800</v>
      </c>
      <c r="E217">
        <v>222200</v>
      </c>
      <c r="F217">
        <v>450300</v>
      </c>
      <c r="G217" s="9">
        <v>1.4731637877167031E-2</v>
      </c>
      <c r="H217" s="9"/>
      <c r="I217" s="9"/>
      <c r="J217" s="10">
        <v>8888</v>
      </c>
      <c r="K217" s="10">
        <v>8888</v>
      </c>
      <c r="L217" s="10">
        <v>8888</v>
      </c>
      <c r="M217" s="10">
        <v>8888</v>
      </c>
      <c r="N217" s="10">
        <v>8888</v>
      </c>
      <c r="O217" s="10">
        <v>8888</v>
      </c>
      <c r="P217" s="10">
        <v>8888</v>
      </c>
      <c r="Q217" s="10">
        <v>8888</v>
      </c>
      <c r="R217" s="10">
        <v>8888</v>
      </c>
      <c r="S217" s="10">
        <v>8888</v>
      </c>
      <c r="T217" s="10">
        <v>8888</v>
      </c>
      <c r="V217" t="s">
        <v>456</v>
      </c>
      <c r="W217" t="s">
        <v>1411</v>
      </c>
      <c r="X217" t="s">
        <v>1412</v>
      </c>
      <c r="Y217" t="s">
        <v>941</v>
      </c>
      <c r="Z217" t="s">
        <v>942</v>
      </c>
      <c r="AB217" t="s">
        <v>516</v>
      </c>
      <c r="AC217" t="s">
        <v>516</v>
      </c>
      <c r="AD217" t="s">
        <v>943</v>
      </c>
      <c r="AF217" t="s">
        <v>944</v>
      </c>
      <c r="AG217" t="s">
        <v>945</v>
      </c>
      <c r="AH217" t="s">
        <v>946</v>
      </c>
      <c r="AI217" t="s">
        <v>947</v>
      </c>
      <c r="AJ217" t="s">
        <v>948</v>
      </c>
      <c r="AK217">
        <v>2</v>
      </c>
      <c r="AL217" s="10">
        <v>120.8</v>
      </c>
      <c r="AM217" s="10">
        <v>222.2</v>
      </c>
      <c r="AN217" s="10">
        <v>450.3</v>
      </c>
      <c r="AO217" s="9">
        <v>0.31263996018910167</v>
      </c>
      <c r="AP217" s="9">
        <v>0.50259999999999994</v>
      </c>
      <c r="AQ217" s="9">
        <v>0.33101373264792988</v>
      </c>
      <c r="AR217" s="9">
        <v>14.400624144519096</v>
      </c>
      <c r="AS217" s="9">
        <v>14.73163787716703</v>
      </c>
      <c r="AT217" s="9"/>
      <c r="AU217" s="9"/>
      <c r="AV217" s="9"/>
      <c r="AW217" s="11">
        <v>8.8879999999999999</v>
      </c>
      <c r="AX217" s="11">
        <v>8.8879999999999999</v>
      </c>
      <c r="AY217" t="s">
        <v>949</v>
      </c>
      <c r="AZ217" t="s">
        <v>950</v>
      </c>
      <c r="BA217" t="s">
        <v>951</v>
      </c>
      <c r="BB217" t="s">
        <v>952</v>
      </c>
      <c r="BC217" t="b">
        <v>0</v>
      </c>
    </row>
    <row r="218" spans="1:55">
      <c r="A218" t="s">
        <v>1413</v>
      </c>
      <c r="B218" t="s">
        <v>939</v>
      </c>
      <c r="C218">
        <v>0</v>
      </c>
      <c r="D218">
        <v>0</v>
      </c>
      <c r="E218">
        <v>0</v>
      </c>
      <c r="F218">
        <v>0</v>
      </c>
      <c r="G218" s="9">
        <v>1.5365542080808725E-2</v>
      </c>
      <c r="H218" s="9">
        <v>3.4926142474660152E-2</v>
      </c>
      <c r="I218" s="9">
        <v>5.2389213711990228E-2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V218" t="s">
        <v>456</v>
      </c>
      <c r="W218" t="s">
        <v>1413</v>
      </c>
      <c r="X218" t="s">
        <v>1414</v>
      </c>
      <c r="Y218" t="s">
        <v>941</v>
      </c>
      <c r="Z218" t="s">
        <v>942</v>
      </c>
      <c r="AB218" t="s">
        <v>516</v>
      </c>
      <c r="AC218" t="s">
        <v>516</v>
      </c>
      <c r="AD218" t="s">
        <v>943</v>
      </c>
      <c r="AF218" t="s">
        <v>944</v>
      </c>
      <c r="AG218" t="s">
        <v>1042</v>
      </c>
      <c r="AH218" t="s">
        <v>988</v>
      </c>
      <c r="AI218" t="s">
        <v>960</v>
      </c>
      <c r="AJ218" t="s">
        <v>948</v>
      </c>
      <c r="AK218">
        <v>1</v>
      </c>
      <c r="AL218" s="10">
        <v>0</v>
      </c>
      <c r="AM218" s="10">
        <v>0</v>
      </c>
      <c r="AN218" s="10">
        <v>0</v>
      </c>
      <c r="AO218" s="9">
        <v>0.68736003981089822</v>
      </c>
      <c r="AP218" s="9">
        <v>1.105</v>
      </c>
      <c r="AQ218" s="9">
        <v>7.615542080808722</v>
      </c>
      <c r="AR218" s="9">
        <v>7.7500000000000009</v>
      </c>
      <c r="AS218" s="9">
        <v>15.365542080808725</v>
      </c>
      <c r="AT218" s="9">
        <v>11.32614247466015</v>
      </c>
      <c r="AU218" s="9">
        <v>23.6</v>
      </c>
      <c r="AV218" s="9">
        <v>34.926142474660153</v>
      </c>
      <c r="AW218" s="11">
        <v>0</v>
      </c>
      <c r="AX218" s="11">
        <v>0</v>
      </c>
      <c r="AY218" t="s">
        <v>949</v>
      </c>
      <c r="AZ218" t="s">
        <v>950</v>
      </c>
      <c r="BA218" t="s">
        <v>951</v>
      </c>
      <c r="BB218" t="s">
        <v>970</v>
      </c>
      <c r="BC218" t="b">
        <v>1</v>
      </c>
    </row>
    <row r="219" spans="1:55">
      <c r="A219" t="s">
        <v>1415</v>
      </c>
      <c r="B219" t="s">
        <v>939</v>
      </c>
      <c r="C219">
        <v>1032599.9999999999</v>
      </c>
      <c r="D219">
        <v>561500</v>
      </c>
      <c r="E219">
        <v>1032599.9999999999</v>
      </c>
      <c r="F219">
        <v>2093000</v>
      </c>
      <c r="G219" s="9">
        <v>7.8595740392595464E-3</v>
      </c>
      <c r="H219" s="9">
        <v>2.4591904322230625E-2</v>
      </c>
      <c r="I219" s="9">
        <v>3.6887856483345936E-2</v>
      </c>
      <c r="J219" s="10">
        <v>41304</v>
      </c>
      <c r="K219" s="10">
        <v>39735.923088131523</v>
      </c>
      <c r="L219" s="10">
        <v>38167.84617626304</v>
      </c>
      <c r="M219" s="10">
        <v>36599.769264394563</v>
      </c>
      <c r="N219" s="10">
        <v>35031.692352526079</v>
      </c>
      <c r="O219" s="10">
        <v>33463.615440657588</v>
      </c>
      <c r="P219" s="10">
        <v>30327.461616920631</v>
      </c>
      <c r="Q219" s="10">
        <v>27191.307793183667</v>
      </c>
      <c r="R219" s="10">
        <v>24055.153969446706</v>
      </c>
      <c r="S219" s="10">
        <v>20919.000145709742</v>
      </c>
      <c r="T219" s="10">
        <v>17782.846321972782</v>
      </c>
      <c r="V219" t="s">
        <v>456</v>
      </c>
      <c r="W219" t="s">
        <v>1415</v>
      </c>
      <c r="X219" t="s">
        <v>1416</v>
      </c>
      <c r="Y219" t="s">
        <v>941</v>
      </c>
      <c r="Z219" t="s">
        <v>942</v>
      </c>
      <c r="AB219" t="s">
        <v>104</v>
      </c>
      <c r="AC219" t="s">
        <v>42</v>
      </c>
      <c r="AD219" t="s">
        <v>943</v>
      </c>
      <c r="AF219" t="s">
        <v>944</v>
      </c>
      <c r="AG219" t="s">
        <v>959</v>
      </c>
      <c r="AH219" t="s">
        <v>946</v>
      </c>
      <c r="AI219" t="s">
        <v>960</v>
      </c>
      <c r="AJ219" t="s">
        <v>948</v>
      </c>
      <c r="AK219">
        <v>4</v>
      </c>
      <c r="AL219" s="10">
        <v>561.5</v>
      </c>
      <c r="AM219" s="10">
        <v>1032.5999999999999</v>
      </c>
      <c r="AN219" s="10">
        <v>2093</v>
      </c>
      <c r="AO219" s="9">
        <v>0.51212730649610405</v>
      </c>
      <c r="AP219" s="9">
        <v>4.6599999999999993</v>
      </c>
      <c r="AQ219" s="9">
        <v>0.1095740392595454</v>
      </c>
      <c r="AR219" s="9">
        <v>7.7500000000000018</v>
      </c>
      <c r="AS219" s="9">
        <v>7.859574039259547</v>
      </c>
      <c r="AT219" s="9">
        <v>0.99190432223062597</v>
      </c>
      <c r="AU219" s="9">
        <v>23.6</v>
      </c>
      <c r="AV219" s="9">
        <v>24.591904322230626</v>
      </c>
      <c r="AW219" s="11">
        <v>41.304000000000002</v>
      </c>
      <c r="AX219" s="11">
        <v>17.78284632197278</v>
      </c>
      <c r="AY219" t="s">
        <v>949</v>
      </c>
      <c r="AZ219" t="s">
        <v>950</v>
      </c>
      <c r="BA219" t="s">
        <v>951</v>
      </c>
      <c r="BB219" t="s">
        <v>952</v>
      </c>
      <c r="BC219" t="b">
        <v>1</v>
      </c>
    </row>
    <row r="220" spans="1:55">
      <c r="A220" t="s">
        <v>1417</v>
      </c>
      <c r="B220" t="s">
        <v>939</v>
      </c>
      <c r="C220">
        <v>3700000</v>
      </c>
      <c r="D220">
        <v>2012000</v>
      </c>
      <c r="E220">
        <v>3700000</v>
      </c>
      <c r="F220">
        <v>7499700</v>
      </c>
      <c r="G220" s="9">
        <v>8.4834071166706628E-3</v>
      </c>
      <c r="H220" s="9">
        <v>2.1772155918256143E-2</v>
      </c>
      <c r="I220" s="9">
        <v>3.2658233877384216E-2</v>
      </c>
      <c r="J220" s="10">
        <v>148000</v>
      </c>
      <c r="K220" s="10">
        <v>142381.28551819353</v>
      </c>
      <c r="L220" s="10">
        <v>136762.571036387</v>
      </c>
      <c r="M220" s="10">
        <v>131143.85655458053</v>
      </c>
      <c r="N220" s="10">
        <v>125525.14207277405</v>
      </c>
      <c r="O220" s="10">
        <v>119906.42759096755</v>
      </c>
      <c r="P220" s="10">
        <v>108668.99862735457</v>
      </c>
      <c r="Q220" s="10">
        <v>97431.569663741597</v>
      </c>
      <c r="R220" s="10">
        <v>86194.140700128628</v>
      </c>
      <c r="S220" s="10">
        <v>74956.71173651563</v>
      </c>
      <c r="T220" s="10">
        <v>63719.282772902661</v>
      </c>
      <c r="V220" t="s">
        <v>456</v>
      </c>
      <c r="W220" t="s">
        <v>1417</v>
      </c>
      <c r="X220" t="s">
        <v>1418</v>
      </c>
      <c r="Y220" t="s">
        <v>941</v>
      </c>
      <c r="Z220" t="s">
        <v>942</v>
      </c>
      <c r="AB220" t="s">
        <v>104</v>
      </c>
      <c r="AC220" t="s">
        <v>42</v>
      </c>
      <c r="AD220" t="s">
        <v>943</v>
      </c>
      <c r="AF220" t="s">
        <v>944</v>
      </c>
      <c r="AG220" t="s">
        <v>976</v>
      </c>
      <c r="AH220" t="s">
        <v>956</v>
      </c>
      <c r="AI220" t="s">
        <v>977</v>
      </c>
      <c r="AJ220" t="s">
        <v>948</v>
      </c>
      <c r="AK220">
        <v>6</v>
      </c>
      <c r="AL220" s="10">
        <v>2012</v>
      </c>
      <c r="AM220" s="10">
        <v>3700</v>
      </c>
      <c r="AN220" s="10">
        <v>7499.7</v>
      </c>
      <c r="AO220" s="9">
        <v>0.48787269350389589</v>
      </c>
      <c r="AP220" s="9">
        <v>4.4393000000000002</v>
      </c>
      <c r="AQ220" s="9">
        <v>2.2834071166706642</v>
      </c>
      <c r="AR220" s="9">
        <v>6.2</v>
      </c>
      <c r="AS220" s="9">
        <v>8.4834071166706622</v>
      </c>
      <c r="AT220" s="9">
        <v>6.8921559182561438</v>
      </c>
      <c r="AU220" s="9">
        <v>14.88</v>
      </c>
      <c r="AV220" s="9">
        <v>21.772155918256143</v>
      </c>
      <c r="AW220" s="11">
        <v>148</v>
      </c>
      <c r="AX220" s="11">
        <v>63.719282772902652</v>
      </c>
      <c r="AY220" t="s">
        <v>949</v>
      </c>
      <c r="AZ220" t="s">
        <v>950</v>
      </c>
      <c r="BA220" t="s">
        <v>951</v>
      </c>
      <c r="BB220" t="s">
        <v>952</v>
      </c>
      <c r="BC220" t="b">
        <v>1</v>
      </c>
    </row>
    <row r="221" spans="1:55">
      <c r="A221" t="s">
        <v>1419</v>
      </c>
      <c r="B221" t="s">
        <v>939</v>
      </c>
      <c r="C221">
        <v>805300</v>
      </c>
      <c r="D221">
        <v>618100</v>
      </c>
      <c r="E221">
        <v>805300</v>
      </c>
      <c r="F221">
        <v>1356000</v>
      </c>
      <c r="G221" s="9">
        <v>8.6940306667445E-3</v>
      </c>
      <c r="H221" s="9">
        <v>1.9115642933442298E-2</v>
      </c>
      <c r="I221" s="9">
        <v>2.8673464400163447E-2</v>
      </c>
      <c r="J221" s="10">
        <v>9443.6440394022593</v>
      </c>
      <c r="K221" s="10">
        <v>9443.6440394022593</v>
      </c>
      <c r="L221" s="10">
        <v>9443.6440394022593</v>
      </c>
      <c r="M221" s="10">
        <v>9443.6440394022593</v>
      </c>
      <c r="N221" s="10">
        <v>9443.6440394022593</v>
      </c>
      <c r="O221" s="10">
        <v>9443.6440394022593</v>
      </c>
      <c r="P221" s="10">
        <v>9443.6440394022593</v>
      </c>
      <c r="Q221" s="10">
        <v>9443.6440394022593</v>
      </c>
      <c r="R221" s="10">
        <v>9443.6440394022593</v>
      </c>
      <c r="S221" s="10">
        <v>9443.6440394022593</v>
      </c>
      <c r="T221" s="10">
        <v>9443.6440394022593</v>
      </c>
      <c r="V221" t="s">
        <v>456</v>
      </c>
      <c r="W221" t="s">
        <v>1419</v>
      </c>
      <c r="X221" t="s">
        <v>1420</v>
      </c>
      <c r="Y221" t="s">
        <v>941</v>
      </c>
      <c r="Z221" t="s">
        <v>942</v>
      </c>
      <c r="AB221" t="s">
        <v>518</v>
      </c>
      <c r="AC221" t="s">
        <v>517</v>
      </c>
      <c r="AD221" t="s">
        <v>968</v>
      </c>
      <c r="AF221" t="s">
        <v>986</v>
      </c>
      <c r="AG221" t="s">
        <v>999</v>
      </c>
      <c r="AH221" t="s">
        <v>946</v>
      </c>
      <c r="AI221" t="s">
        <v>977</v>
      </c>
      <c r="AJ221" t="s">
        <v>1054</v>
      </c>
      <c r="AK221">
        <v>1</v>
      </c>
      <c r="AL221" s="10">
        <v>618.1</v>
      </c>
      <c r="AM221" s="10">
        <v>805.3</v>
      </c>
      <c r="AN221" s="10">
        <v>1356</v>
      </c>
      <c r="AO221" s="9">
        <v>1.2216330254304899E-2</v>
      </c>
      <c r="AP221" s="9">
        <v>7.0274000000000001</v>
      </c>
      <c r="AQ221" s="9">
        <v>1.2540306667444971</v>
      </c>
      <c r="AR221" s="9">
        <v>7.4400000000000013</v>
      </c>
      <c r="AS221" s="9">
        <v>8.6940306667444993</v>
      </c>
      <c r="AT221" s="9">
        <v>1.7556429334422958</v>
      </c>
      <c r="AU221" s="9">
        <v>17.360000000000003</v>
      </c>
      <c r="AV221" s="9">
        <v>19.115642933442299</v>
      </c>
      <c r="AW221" s="11">
        <v>9.44364403940226</v>
      </c>
      <c r="AX221" s="11">
        <v>9.44364403940226</v>
      </c>
      <c r="AY221" t="s">
        <v>969</v>
      </c>
      <c r="AZ221" t="s">
        <v>950</v>
      </c>
      <c r="BA221" t="s">
        <v>951</v>
      </c>
      <c r="BB221" t="s">
        <v>970</v>
      </c>
      <c r="BC221" t="b">
        <v>1</v>
      </c>
    </row>
    <row r="222" spans="1:55">
      <c r="A222" t="s">
        <v>1421</v>
      </c>
      <c r="B222" t="s">
        <v>939</v>
      </c>
      <c r="C222">
        <v>2179300</v>
      </c>
      <c r="D222">
        <v>1672700</v>
      </c>
      <c r="E222">
        <v>2179300</v>
      </c>
      <c r="F222">
        <v>3669400</v>
      </c>
      <c r="G222" s="9">
        <v>1.3824845505613465E-2</v>
      </c>
      <c r="H222" s="9">
        <v>2.6298783707858851E-2</v>
      </c>
      <c r="I222" s="9">
        <v>3.9448175561788278E-2</v>
      </c>
      <c r="J222" s="10">
        <v>25556.355960597728</v>
      </c>
      <c r="K222" s="10">
        <v>25556.355960597728</v>
      </c>
      <c r="L222" s="10">
        <v>25556.355960597728</v>
      </c>
      <c r="M222" s="10">
        <v>25556.355960597728</v>
      </c>
      <c r="N222" s="10">
        <v>25556.355960597728</v>
      </c>
      <c r="O222" s="10">
        <v>25556.355960597728</v>
      </c>
      <c r="P222" s="10">
        <v>25556.355960597728</v>
      </c>
      <c r="Q222" s="10">
        <v>25556.355960597728</v>
      </c>
      <c r="R222" s="10">
        <v>25556.355960597728</v>
      </c>
      <c r="S222" s="10">
        <v>25556.355960597728</v>
      </c>
      <c r="T222" s="10">
        <v>25556.355960597728</v>
      </c>
      <c r="V222" t="s">
        <v>456</v>
      </c>
      <c r="W222" t="s">
        <v>1421</v>
      </c>
      <c r="X222" t="s">
        <v>1422</v>
      </c>
      <c r="Y222" t="s">
        <v>941</v>
      </c>
      <c r="Z222" t="s">
        <v>942</v>
      </c>
      <c r="AB222" t="s">
        <v>518</v>
      </c>
      <c r="AC222" t="s">
        <v>517</v>
      </c>
      <c r="AD222" t="s">
        <v>968</v>
      </c>
      <c r="AF222" t="s">
        <v>986</v>
      </c>
      <c r="AG222" t="s">
        <v>976</v>
      </c>
      <c r="AH222" t="s">
        <v>956</v>
      </c>
      <c r="AI222" t="s">
        <v>977</v>
      </c>
      <c r="AJ222" t="s">
        <v>1054</v>
      </c>
      <c r="AK222">
        <v>8</v>
      </c>
      <c r="AL222" s="10">
        <v>1672.7</v>
      </c>
      <c r="AM222" s="10">
        <v>2179.3000000000002</v>
      </c>
      <c r="AN222" s="10">
        <v>3669.4</v>
      </c>
      <c r="AO222" s="9">
        <v>3.30581816765824E-2</v>
      </c>
      <c r="AP222" s="9">
        <v>19.0166</v>
      </c>
      <c r="AQ222" s="9">
        <v>6.3848455056134643</v>
      </c>
      <c r="AR222" s="9">
        <v>7.4400000000000022</v>
      </c>
      <c r="AS222" s="9">
        <v>13.824845505613466</v>
      </c>
      <c r="AT222" s="9">
        <v>8.9387837078588497</v>
      </c>
      <c r="AU222" s="9">
        <v>17.360000000000003</v>
      </c>
      <c r="AV222" s="9">
        <v>26.298783707858849</v>
      </c>
      <c r="AW222" s="11">
        <v>25.556355960597728</v>
      </c>
      <c r="AX222" s="11">
        <v>25.556355960597728</v>
      </c>
      <c r="AY222" t="s">
        <v>969</v>
      </c>
      <c r="AZ222" t="s">
        <v>950</v>
      </c>
      <c r="BA222" t="s">
        <v>951</v>
      </c>
      <c r="BB222" t="s">
        <v>970</v>
      </c>
      <c r="BC222" t="b">
        <v>1</v>
      </c>
    </row>
    <row r="223" spans="1:55">
      <c r="A223" t="s">
        <v>1423</v>
      </c>
      <c r="B223" t="s">
        <v>939</v>
      </c>
      <c r="C223">
        <v>549900</v>
      </c>
      <c r="D223">
        <v>299000</v>
      </c>
      <c r="E223">
        <v>549900</v>
      </c>
      <c r="F223">
        <v>1114500</v>
      </c>
      <c r="G223" s="9">
        <v>2.1836098678180652E-2</v>
      </c>
      <c r="H223" s="9">
        <v>3.6894307639366263E-2</v>
      </c>
      <c r="I223" s="9">
        <v>5.534146145904939E-2</v>
      </c>
      <c r="J223" s="10">
        <v>12529.79799219531</v>
      </c>
      <c r="K223" s="10">
        <v>12174.475764968271</v>
      </c>
      <c r="L223" s="10">
        <v>11819.153537741233</v>
      </c>
      <c r="M223" s="10">
        <v>11463.831310514195</v>
      </c>
      <c r="N223" s="10">
        <v>11108.509083287156</v>
      </c>
      <c r="O223" s="10">
        <v>10753.186856060118</v>
      </c>
      <c r="P223" s="10">
        <v>10042.542401606042</v>
      </c>
      <c r="Q223" s="10">
        <v>9331.8979471519669</v>
      </c>
      <c r="R223" s="10">
        <v>8621.2534926978915</v>
      </c>
      <c r="S223" s="10">
        <v>7910.6090382438142</v>
      </c>
      <c r="T223" s="10">
        <v>7199.9645837897378</v>
      </c>
      <c r="V223" t="s">
        <v>456</v>
      </c>
      <c r="W223" t="s">
        <v>1423</v>
      </c>
      <c r="X223" t="s">
        <v>1424</v>
      </c>
      <c r="Y223" t="s">
        <v>941</v>
      </c>
      <c r="Z223" t="s">
        <v>942</v>
      </c>
      <c r="AB223" t="s">
        <v>518</v>
      </c>
      <c r="AC223" t="s">
        <v>517</v>
      </c>
      <c r="AD223" t="s">
        <v>943</v>
      </c>
      <c r="AF223" t="s">
        <v>986</v>
      </c>
      <c r="AG223" t="s">
        <v>959</v>
      </c>
      <c r="AH223" t="s">
        <v>946</v>
      </c>
      <c r="AI223" t="s">
        <v>960</v>
      </c>
      <c r="AJ223" t="s">
        <v>1054</v>
      </c>
      <c r="AK223">
        <v>1</v>
      </c>
      <c r="AL223" s="10">
        <v>299</v>
      </c>
      <c r="AM223" s="10">
        <v>549.9</v>
      </c>
      <c r="AN223" s="10">
        <v>1114.5</v>
      </c>
      <c r="AO223" s="9">
        <v>3.2961005927199097E-2</v>
      </c>
      <c r="AP223" s="9">
        <v>18.960699999999999</v>
      </c>
      <c r="AQ223" s="9">
        <v>0.13609867818065521</v>
      </c>
      <c r="AR223" s="9">
        <v>21.7</v>
      </c>
      <c r="AS223" s="9">
        <v>21.836098678180651</v>
      </c>
      <c r="AT223" s="9">
        <v>0.8943076393662629</v>
      </c>
      <c r="AU223" s="9">
        <v>36</v>
      </c>
      <c r="AV223" s="9">
        <v>36.894307639366261</v>
      </c>
      <c r="AW223" s="11">
        <v>12.529797992195309</v>
      </c>
      <c r="AX223" s="11">
        <v>7.1999645837897379</v>
      </c>
      <c r="AY223" t="s">
        <v>949</v>
      </c>
      <c r="AZ223" t="s">
        <v>950</v>
      </c>
      <c r="BA223" t="s">
        <v>951</v>
      </c>
      <c r="BB223" t="s">
        <v>970</v>
      </c>
      <c r="BC223" t="b">
        <v>1</v>
      </c>
    </row>
    <row r="224" spans="1:55">
      <c r="A224" t="s">
        <v>1425</v>
      </c>
      <c r="B224" t="s">
        <v>939</v>
      </c>
      <c r="C224">
        <v>2760100</v>
      </c>
      <c r="D224">
        <v>1500900</v>
      </c>
      <c r="E224">
        <v>2760100</v>
      </c>
      <c r="F224">
        <v>5594600</v>
      </c>
      <c r="G224" s="9">
        <v>4.0956890507992852E-2</v>
      </c>
      <c r="H224" s="9">
        <v>7.6938314258632054E-2</v>
      </c>
      <c r="I224" s="9">
        <v>0.11540747138794807</v>
      </c>
      <c r="J224" s="10">
        <v>62890.517254515857</v>
      </c>
      <c r="K224" s="10">
        <v>61107.056844678889</v>
      </c>
      <c r="L224" s="10">
        <v>59323.596434841922</v>
      </c>
      <c r="M224" s="10">
        <v>57540.136025004955</v>
      </c>
      <c r="N224" s="10">
        <v>55756.675615167995</v>
      </c>
      <c r="O224" s="10">
        <v>53973.215205331027</v>
      </c>
      <c r="P224" s="10">
        <v>50406.294385657093</v>
      </c>
      <c r="Q224" s="10">
        <v>46839.373565983165</v>
      </c>
      <c r="R224" s="10">
        <v>43272.452746309224</v>
      </c>
      <c r="S224" s="10">
        <v>39705.531926635296</v>
      </c>
      <c r="T224" s="10">
        <v>36138.611106961362</v>
      </c>
      <c r="V224" t="s">
        <v>456</v>
      </c>
      <c r="W224" t="s">
        <v>1425</v>
      </c>
      <c r="X224" t="s">
        <v>1426</v>
      </c>
      <c r="Y224" t="s">
        <v>941</v>
      </c>
      <c r="Z224" t="s">
        <v>942</v>
      </c>
      <c r="AB224" t="s">
        <v>518</v>
      </c>
      <c r="AC224" t="s">
        <v>517</v>
      </c>
      <c r="AD224" t="s">
        <v>943</v>
      </c>
      <c r="AF224" t="s">
        <v>986</v>
      </c>
      <c r="AG224" t="s">
        <v>945</v>
      </c>
      <c r="AH224" t="s">
        <v>946</v>
      </c>
      <c r="AI224" t="s">
        <v>947</v>
      </c>
      <c r="AJ224" t="s">
        <v>1054</v>
      </c>
      <c r="AK224">
        <v>2</v>
      </c>
      <c r="AL224" s="10">
        <v>1500.9</v>
      </c>
      <c r="AM224" s="10">
        <v>2760.1</v>
      </c>
      <c r="AN224" s="10">
        <v>5594.6</v>
      </c>
      <c r="AO224" s="9">
        <v>2.54442270303647E-2</v>
      </c>
      <c r="AP224" s="9">
        <v>14.636699999999999</v>
      </c>
      <c r="AQ224" s="9">
        <v>0.91720525845617817</v>
      </c>
      <c r="AR224" s="9">
        <v>40.039685249536674</v>
      </c>
      <c r="AS224" s="9">
        <v>40.956890507992853</v>
      </c>
      <c r="AT224" s="9">
        <v>1.6389887239105989</v>
      </c>
      <c r="AU224" s="9">
        <v>75.299325534721433</v>
      </c>
      <c r="AV224" s="9">
        <v>76.938314258632047</v>
      </c>
      <c r="AW224" s="11">
        <v>62.890517254515856</v>
      </c>
      <c r="AX224" s="11">
        <v>36.138611106961363</v>
      </c>
      <c r="AY224" t="s">
        <v>949</v>
      </c>
      <c r="AZ224" t="s">
        <v>950</v>
      </c>
      <c r="BA224" t="s">
        <v>951</v>
      </c>
      <c r="BB224" t="s">
        <v>970</v>
      </c>
      <c r="BC224" t="b">
        <v>1</v>
      </c>
    </row>
    <row r="225" spans="1:55">
      <c r="A225" t="s">
        <v>1427</v>
      </c>
      <c r="B225" t="s">
        <v>939</v>
      </c>
      <c r="C225">
        <v>14324500</v>
      </c>
      <c r="D225">
        <v>7789400</v>
      </c>
      <c r="E225">
        <v>14324500</v>
      </c>
      <c r="F225">
        <v>29034900</v>
      </c>
      <c r="G225" s="9">
        <v>6.3796967039038102E-2</v>
      </c>
      <c r="H225" s="9">
        <v>0.11619992994943373</v>
      </c>
      <c r="I225" s="9">
        <v>0.1742998949241506</v>
      </c>
      <c r="J225" s="10">
        <v>326392.23738716444</v>
      </c>
      <c r="K225" s="10">
        <v>317136.34860026918</v>
      </c>
      <c r="L225" s="10">
        <v>307880.45981337386</v>
      </c>
      <c r="M225" s="10">
        <v>298624.57102647866</v>
      </c>
      <c r="N225" s="10">
        <v>289368.68223958334</v>
      </c>
      <c r="O225" s="10">
        <v>280112.79345268809</v>
      </c>
      <c r="P225" s="10">
        <v>261601.01587889757</v>
      </c>
      <c r="Q225" s="10">
        <v>243089.23830510702</v>
      </c>
      <c r="R225" s="10">
        <v>224577.46073131647</v>
      </c>
      <c r="S225" s="10">
        <v>206065.68315752593</v>
      </c>
      <c r="T225" s="10">
        <v>187553.90558373541</v>
      </c>
      <c r="V225" t="s">
        <v>456</v>
      </c>
      <c r="W225" t="s">
        <v>1427</v>
      </c>
      <c r="X225" t="s">
        <v>1428</v>
      </c>
      <c r="Y225" t="s">
        <v>941</v>
      </c>
      <c r="Z225" t="s">
        <v>942</v>
      </c>
      <c r="AB225" t="s">
        <v>518</v>
      </c>
      <c r="AC225" t="s">
        <v>517</v>
      </c>
      <c r="AD225" t="s">
        <v>943</v>
      </c>
      <c r="AF225" t="s">
        <v>986</v>
      </c>
      <c r="AG225" t="s">
        <v>1025</v>
      </c>
      <c r="AH225" t="s">
        <v>946</v>
      </c>
      <c r="AI225" t="s">
        <v>947</v>
      </c>
      <c r="AJ225" t="s">
        <v>989</v>
      </c>
      <c r="AK225">
        <v>39</v>
      </c>
      <c r="AL225" s="10">
        <v>7789.4</v>
      </c>
      <c r="AM225" s="10">
        <v>14324.5</v>
      </c>
      <c r="AN225" s="10">
        <v>29034.9</v>
      </c>
      <c r="AO225" s="9">
        <v>0.13205089158315461</v>
      </c>
      <c r="AP225" s="9">
        <v>75.961800000000011</v>
      </c>
      <c r="AQ225" s="9">
        <v>23.757281789501427</v>
      </c>
      <c r="AR225" s="9">
        <v>40.039685249536674</v>
      </c>
      <c r="AS225" s="9">
        <v>63.796967039038101</v>
      </c>
      <c r="AT225" s="9">
        <v>40.900604414712291</v>
      </c>
      <c r="AU225" s="9">
        <v>75.299325534721447</v>
      </c>
      <c r="AV225" s="9">
        <v>116.19992994943374</v>
      </c>
      <c r="AW225" s="11">
        <v>326.39223738716441</v>
      </c>
      <c r="AX225" s="11">
        <v>187.5539055837354</v>
      </c>
      <c r="AY225" t="s">
        <v>949</v>
      </c>
      <c r="AZ225" t="s">
        <v>950</v>
      </c>
      <c r="BA225" t="s">
        <v>951</v>
      </c>
      <c r="BB225" t="s">
        <v>970</v>
      </c>
      <c r="BC225" t="b">
        <v>1</v>
      </c>
    </row>
    <row r="226" spans="1:55">
      <c r="A226" t="s">
        <v>1429</v>
      </c>
      <c r="B226" t="s">
        <v>939</v>
      </c>
      <c r="C226">
        <v>521299.99999999994</v>
      </c>
      <c r="D226">
        <v>283500</v>
      </c>
      <c r="E226">
        <v>521299.99999999994</v>
      </c>
      <c r="F226">
        <v>1056700</v>
      </c>
      <c r="G226" s="9">
        <v>2.1713986296785951E-2</v>
      </c>
      <c r="H226" s="9">
        <v>3.0895580815500322E-2</v>
      </c>
      <c r="I226" s="9">
        <v>4.6343371223250482E-2</v>
      </c>
      <c r="J226" s="10">
        <v>11878.130011513756</v>
      </c>
      <c r="K226" s="10">
        <v>11541.287900123585</v>
      </c>
      <c r="L226" s="10">
        <v>11204.445788733414</v>
      </c>
      <c r="M226" s="10">
        <v>10867.603677343244</v>
      </c>
      <c r="N226" s="10">
        <v>10530.761565953073</v>
      </c>
      <c r="O226" s="10">
        <v>10193.919454562902</v>
      </c>
      <c r="P226" s="10">
        <v>9520.2352317825607</v>
      </c>
      <c r="Q226" s="10">
        <v>8846.5510090022199</v>
      </c>
      <c r="R226" s="10">
        <v>8172.8667862218781</v>
      </c>
      <c r="S226" s="10">
        <v>7499.1825634415345</v>
      </c>
      <c r="T226" s="10">
        <v>6825.4983406611927</v>
      </c>
      <c r="V226" t="s">
        <v>456</v>
      </c>
      <c r="W226" t="s">
        <v>1429</v>
      </c>
      <c r="X226" t="s">
        <v>1430</v>
      </c>
      <c r="Y226" t="s">
        <v>941</v>
      </c>
      <c r="Z226" t="s">
        <v>942</v>
      </c>
      <c r="AB226" t="s">
        <v>518</v>
      </c>
      <c r="AC226" t="s">
        <v>517</v>
      </c>
      <c r="AD226" t="s">
        <v>943</v>
      </c>
      <c r="AF226" t="s">
        <v>986</v>
      </c>
      <c r="AG226" t="s">
        <v>976</v>
      </c>
      <c r="AH226" t="s">
        <v>956</v>
      </c>
      <c r="AI226" t="s">
        <v>977</v>
      </c>
      <c r="AJ226" t="s">
        <v>1054</v>
      </c>
      <c r="AK226">
        <v>3</v>
      </c>
      <c r="AL226" s="10">
        <v>283.5</v>
      </c>
      <c r="AM226" s="10">
        <v>521.29999999999995</v>
      </c>
      <c r="AN226" s="10">
        <v>1056.7</v>
      </c>
      <c r="AO226" s="9">
        <v>7.9082633111653994E-3</v>
      </c>
      <c r="AP226" s="9">
        <v>4.5491999999999999</v>
      </c>
      <c r="AQ226" s="9">
        <v>4.353986296785946</v>
      </c>
      <c r="AR226" s="9">
        <v>17.360000000000003</v>
      </c>
      <c r="AS226" s="9">
        <v>21.713986296785951</v>
      </c>
      <c r="AT226" s="9">
        <v>6.0955808155003242</v>
      </c>
      <c r="AU226" s="9">
        <v>24.800000000000004</v>
      </c>
      <c r="AV226" s="9">
        <v>30.895580815500324</v>
      </c>
      <c r="AW226" s="11">
        <v>11.878130011513756</v>
      </c>
      <c r="AX226" s="11">
        <v>6.8254983406611931</v>
      </c>
      <c r="AY226" t="s">
        <v>949</v>
      </c>
      <c r="AZ226" t="s">
        <v>950</v>
      </c>
      <c r="BA226" t="s">
        <v>951</v>
      </c>
      <c r="BB226" t="s">
        <v>970</v>
      </c>
      <c r="BC226" t="b">
        <v>1</v>
      </c>
    </row>
    <row r="227" spans="1:55">
      <c r="A227" t="s">
        <v>1431</v>
      </c>
      <c r="B227" t="s">
        <v>939</v>
      </c>
      <c r="C227">
        <v>2425200</v>
      </c>
      <c r="D227">
        <v>1318800</v>
      </c>
      <c r="E227">
        <v>2425200</v>
      </c>
      <c r="F227">
        <v>4915700</v>
      </c>
      <c r="G227" s="9">
        <v>2.6211600981998422E-2</v>
      </c>
      <c r="H227" s="9">
        <v>4.0517531377024782E-2</v>
      </c>
      <c r="I227" s="9">
        <v>6.0776297065537173E-2</v>
      </c>
      <c r="J227" s="10">
        <v>55259.621914297255</v>
      </c>
      <c r="K227" s="10">
        <v>53692.559783962628</v>
      </c>
      <c r="L227" s="10">
        <v>52125.497653627994</v>
      </c>
      <c r="M227" s="10">
        <v>50558.435523293367</v>
      </c>
      <c r="N227" s="10">
        <v>48991.373392958732</v>
      </c>
      <c r="O227" s="10">
        <v>47424.311262624105</v>
      </c>
      <c r="P227" s="10">
        <v>44290.187001954851</v>
      </c>
      <c r="Q227" s="10">
        <v>41156.06274128559</v>
      </c>
      <c r="R227" s="10">
        <v>38021.938480616329</v>
      </c>
      <c r="S227" s="10">
        <v>34887.814219947075</v>
      </c>
      <c r="T227" s="10">
        <v>31753.68995927781</v>
      </c>
      <c r="V227" t="s">
        <v>456</v>
      </c>
      <c r="W227" t="s">
        <v>1431</v>
      </c>
      <c r="X227" t="s">
        <v>1432</v>
      </c>
      <c r="Y227" t="s">
        <v>941</v>
      </c>
      <c r="Z227" t="s">
        <v>942</v>
      </c>
      <c r="AB227" t="s">
        <v>518</v>
      </c>
      <c r="AC227" t="s">
        <v>517</v>
      </c>
      <c r="AD227" t="s">
        <v>943</v>
      </c>
      <c r="AF227" t="s">
        <v>986</v>
      </c>
      <c r="AG227" t="s">
        <v>965</v>
      </c>
      <c r="AH227" t="s">
        <v>956</v>
      </c>
      <c r="AI227" t="s">
        <v>960</v>
      </c>
      <c r="AJ227" t="s">
        <v>1054</v>
      </c>
      <c r="AK227">
        <v>27</v>
      </c>
      <c r="AL227" s="10">
        <v>1318.8</v>
      </c>
      <c r="AM227" s="10">
        <v>2425.1999999999998</v>
      </c>
      <c r="AN227" s="10">
        <v>4915.7</v>
      </c>
      <c r="AO227" s="9">
        <v>0.14537474723874841</v>
      </c>
      <c r="AP227" s="9">
        <v>83.626300000000001</v>
      </c>
      <c r="AQ227" s="9">
        <v>4.5116009819984244</v>
      </c>
      <c r="AR227" s="9">
        <v>21.7</v>
      </c>
      <c r="AS227" s="9">
        <v>26.211600981998423</v>
      </c>
      <c r="AT227" s="9">
        <v>4.5175313770247776</v>
      </c>
      <c r="AU227" s="9">
        <v>36.000000000000007</v>
      </c>
      <c r="AV227" s="9">
        <v>40.517531377024781</v>
      </c>
      <c r="AW227" s="11">
        <v>55.259621914297256</v>
      </c>
      <c r="AX227" s="11">
        <v>31.753689959277811</v>
      </c>
      <c r="AY227" t="s">
        <v>949</v>
      </c>
      <c r="AZ227" t="s">
        <v>950</v>
      </c>
      <c r="BA227" t="s">
        <v>951</v>
      </c>
      <c r="BB227" t="s">
        <v>970</v>
      </c>
      <c r="BC227" t="b">
        <v>1</v>
      </c>
    </row>
    <row r="228" spans="1:55">
      <c r="A228" t="s">
        <v>1433</v>
      </c>
      <c r="B228" t="s">
        <v>939</v>
      </c>
      <c r="C228">
        <v>48200</v>
      </c>
      <c r="D228">
        <v>26200</v>
      </c>
      <c r="E228">
        <v>48200</v>
      </c>
      <c r="F228">
        <v>97700</v>
      </c>
      <c r="G228" s="9">
        <v>4.535679642960995E-2</v>
      </c>
      <c r="H228" s="9"/>
      <c r="I228" s="9"/>
      <c r="J228" s="10">
        <v>1098.2656177919876</v>
      </c>
      <c r="K228" s="10">
        <v>1067.1208071857986</v>
      </c>
      <c r="L228" s="10">
        <v>1035.97599657961</v>
      </c>
      <c r="M228" s="10">
        <v>1004.8311859734212</v>
      </c>
      <c r="N228" s="10">
        <v>973.68637536723224</v>
      </c>
      <c r="O228" s="10">
        <v>942.54156476104345</v>
      </c>
      <c r="P228" s="10">
        <v>880.25194354866574</v>
      </c>
      <c r="Q228" s="10">
        <v>817.96232233628814</v>
      </c>
      <c r="R228" s="10">
        <v>755.67270112391054</v>
      </c>
      <c r="S228" s="10">
        <v>693.38307991153283</v>
      </c>
      <c r="T228" s="10">
        <v>631.09345869915512</v>
      </c>
      <c r="V228" t="s">
        <v>456</v>
      </c>
      <c r="W228" t="s">
        <v>1433</v>
      </c>
      <c r="X228" t="s">
        <v>1434</v>
      </c>
      <c r="Y228" t="s">
        <v>941</v>
      </c>
      <c r="Z228" t="s">
        <v>942</v>
      </c>
      <c r="AB228" t="s">
        <v>518</v>
      </c>
      <c r="AC228" t="s">
        <v>517</v>
      </c>
      <c r="AD228" t="s">
        <v>943</v>
      </c>
      <c r="AF228" t="s">
        <v>986</v>
      </c>
      <c r="AG228" t="s">
        <v>1435</v>
      </c>
      <c r="AH228" t="s">
        <v>956</v>
      </c>
      <c r="AI228" t="s">
        <v>960</v>
      </c>
      <c r="AJ228" t="s">
        <v>989</v>
      </c>
      <c r="AK228">
        <v>6</v>
      </c>
      <c r="AL228" s="10">
        <v>26.2</v>
      </c>
      <c r="AM228" s="10">
        <v>48.2</v>
      </c>
      <c r="AN228" s="10">
        <v>97.7</v>
      </c>
      <c r="AO228" s="9">
        <v>2.8881536677152E-3</v>
      </c>
      <c r="AP228" s="9">
        <v>1.6614</v>
      </c>
      <c r="AQ228" s="9">
        <v>23.656796429609948</v>
      </c>
      <c r="AR228" s="9">
        <v>21.7</v>
      </c>
      <c r="AS228" s="9">
        <v>45.35679642960995</v>
      </c>
      <c r="AT228" s="9"/>
      <c r="AU228" s="9"/>
      <c r="AV228" s="9"/>
      <c r="AW228" s="11">
        <v>1.0982656177919876</v>
      </c>
      <c r="AX228" s="11">
        <v>0.63109345869915512</v>
      </c>
      <c r="AY228" t="s">
        <v>949</v>
      </c>
      <c r="AZ228" t="s">
        <v>950</v>
      </c>
      <c r="BA228" t="s">
        <v>951</v>
      </c>
      <c r="BB228" t="s">
        <v>970</v>
      </c>
      <c r="BC228" t="b">
        <v>0</v>
      </c>
    </row>
    <row r="229" spans="1:55">
      <c r="A229" t="s">
        <v>1436</v>
      </c>
      <c r="B229" t="s">
        <v>939</v>
      </c>
      <c r="C229">
        <v>9811000</v>
      </c>
      <c r="D229">
        <v>5335000</v>
      </c>
      <c r="E229">
        <v>9811000</v>
      </c>
      <c r="F229">
        <v>19886200</v>
      </c>
      <c r="G229" s="9">
        <v>4.4526684056828449E-2</v>
      </c>
      <c r="H229" s="9">
        <v>8.5569242130176679E-2</v>
      </c>
      <c r="I229" s="9">
        <v>0.12835386319526501</v>
      </c>
      <c r="J229" s="10">
        <v>223549.4600862487</v>
      </c>
      <c r="K229" s="10">
        <v>217210.00496472759</v>
      </c>
      <c r="L229" s="10">
        <v>210870.54984320645</v>
      </c>
      <c r="M229" s="10">
        <v>204531.09472168531</v>
      </c>
      <c r="N229" s="10">
        <v>198191.6396001642</v>
      </c>
      <c r="O229" s="10">
        <v>191852.18447864306</v>
      </c>
      <c r="P229" s="10">
        <v>179173.27423560078</v>
      </c>
      <c r="Q229" s="10">
        <v>166494.36399255853</v>
      </c>
      <c r="R229" s="10">
        <v>153815.45374951628</v>
      </c>
      <c r="S229" s="10">
        <v>141136.54350647403</v>
      </c>
      <c r="T229" s="10">
        <v>128457.63326343178</v>
      </c>
      <c r="V229" t="s">
        <v>456</v>
      </c>
      <c r="W229" t="s">
        <v>1436</v>
      </c>
      <c r="X229" t="s">
        <v>1437</v>
      </c>
      <c r="Y229" t="s">
        <v>941</v>
      </c>
      <c r="Z229" t="s">
        <v>942</v>
      </c>
      <c r="AB229" t="s">
        <v>518</v>
      </c>
      <c r="AC229" t="s">
        <v>517</v>
      </c>
      <c r="AD229" t="s">
        <v>943</v>
      </c>
      <c r="AF229" t="s">
        <v>986</v>
      </c>
      <c r="AG229" t="s">
        <v>955</v>
      </c>
      <c r="AH229" t="s">
        <v>956</v>
      </c>
      <c r="AI229" t="s">
        <v>947</v>
      </c>
      <c r="AJ229" t="s">
        <v>1054</v>
      </c>
      <c r="AK229">
        <v>22</v>
      </c>
      <c r="AL229" s="10">
        <v>5335</v>
      </c>
      <c r="AM229" s="10">
        <v>9811</v>
      </c>
      <c r="AN229" s="10">
        <v>19886.2</v>
      </c>
      <c r="AO229" s="9">
        <v>9.0442460830697902E-2</v>
      </c>
      <c r="AP229" s="9">
        <v>52.026699999999998</v>
      </c>
      <c r="AQ229" s="9">
        <v>4.4869988072917737</v>
      </c>
      <c r="AR229" s="9">
        <v>40.039685249536674</v>
      </c>
      <c r="AS229" s="9">
        <v>44.526684056828451</v>
      </c>
      <c r="AT229" s="9">
        <v>10.269916595455244</v>
      </c>
      <c r="AU229" s="9">
        <v>75.299325534721447</v>
      </c>
      <c r="AV229" s="9">
        <v>85.569242130176676</v>
      </c>
      <c r="AW229" s="11">
        <v>223.5494600862487</v>
      </c>
      <c r="AX229" s="11">
        <v>128.45763326343177</v>
      </c>
      <c r="AY229" t="s">
        <v>949</v>
      </c>
      <c r="AZ229" t="s">
        <v>950</v>
      </c>
      <c r="BA229" t="s">
        <v>951</v>
      </c>
      <c r="BB229" t="s">
        <v>970</v>
      </c>
      <c r="BC229" t="b">
        <v>1</v>
      </c>
    </row>
    <row r="230" spans="1:55">
      <c r="A230" t="s">
        <v>1438</v>
      </c>
      <c r="B230" t="s">
        <v>939</v>
      </c>
      <c r="C230">
        <v>2828600</v>
      </c>
      <c r="D230">
        <v>1538100</v>
      </c>
      <c r="E230">
        <v>2828600</v>
      </c>
      <c r="F230">
        <v>5733400</v>
      </c>
      <c r="G230" s="9">
        <v>6.3308359787230123E-2</v>
      </c>
      <c r="H230" s="9">
        <v>0.12194005432542168</v>
      </c>
      <c r="I230" s="9">
        <v>0.18291008148813254</v>
      </c>
      <c r="J230" s="10">
        <v>64451.330425029366</v>
      </c>
      <c r="K230" s="10">
        <v>62623.608199289418</v>
      </c>
      <c r="L230" s="10">
        <v>60795.88597354947</v>
      </c>
      <c r="M230" s="10">
        <v>58968.163747809514</v>
      </c>
      <c r="N230" s="10">
        <v>57140.441522069559</v>
      </c>
      <c r="O230" s="10">
        <v>55312.719296329604</v>
      </c>
      <c r="P230" s="10">
        <v>51657.2748448497</v>
      </c>
      <c r="Q230" s="10">
        <v>48001.830393369804</v>
      </c>
      <c r="R230" s="10">
        <v>44346.385941889894</v>
      </c>
      <c r="S230" s="10">
        <v>40690.941490409983</v>
      </c>
      <c r="T230" s="10">
        <v>37035.49703893008</v>
      </c>
      <c r="V230" t="s">
        <v>456</v>
      </c>
      <c r="W230" t="s">
        <v>1438</v>
      </c>
      <c r="X230" t="s">
        <v>1439</v>
      </c>
      <c r="Y230" t="s">
        <v>941</v>
      </c>
      <c r="Z230" t="s">
        <v>942</v>
      </c>
      <c r="AB230" t="s">
        <v>518</v>
      </c>
      <c r="AC230" t="s">
        <v>517</v>
      </c>
      <c r="AD230" t="s">
        <v>943</v>
      </c>
      <c r="AF230" t="s">
        <v>986</v>
      </c>
      <c r="AG230" t="s">
        <v>1028</v>
      </c>
      <c r="AH230" t="s">
        <v>956</v>
      </c>
      <c r="AI230" t="s">
        <v>947</v>
      </c>
      <c r="AJ230" t="s">
        <v>989</v>
      </c>
      <c r="AK230">
        <v>9</v>
      </c>
      <c r="AL230" s="10">
        <v>1538.1</v>
      </c>
      <c r="AM230" s="10">
        <v>2828.6</v>
      </c>
      <c r="AN230" s="10">
        <v>5733.4</v>
      </c>
      <c r="AO230" s="9">
        <v>2.6075608643530802E-2</v>
      </c>
      <c r="AP230" s="9">
        <v>14.999899999999998</v>
      </c>
      <c r="AQ230" s="9">
        <v>23.268674537693435</v>
      </c>
      <c r="AR230" s="9">
        <v>40.039685249536674</v>
      </c>
      <c r="AS230" s="9">
        <v>63.308359787230117</v>
      </c>
      <c r="AT230" s="9">
        <v>46.64072879070023</v>
      </c>
      <c r="AU230" s="9">
        <v>75.299325534721433</v>
      </c>
      <c r="AV230" s="9">
        <v>121.94005432542168</v>
      </c>
      <c r="AW230" s="11">
        <v>64.451330425029369</v>
      </c>
      <c r="AX230" s="11">
        <v>37.035497038930082</v>
      </c>
      <c r="AY230" t="s">
        <v>949</v>
      </c>
      <c r="AZ230" t="s">
        <v>950</v>
      </c>
      <c r="BA230" t="s">
        <v>951</v>
      </c>
      <c r="BB230" t="s">
        <v>970</v>
      </c>
      <c r="BC230" t="b">
        <v>1</v>
      </c>
    </row>
    <row r="231" spans="1:55">
      <c r="A231" t="s">
        <v>1440</v>
      </c>
      <c r="B231" t="s">
        <v>939</v>
      </c>
      <c r="C231">
        <v>5741500</v>
      </c>
      <c r="D231">
        <v>3122100</v>
      </c>
      <c r="E231">
        <v>5741500</v>
      </c>
      <c r="F231">
        <v>11637600</v>
      </c>
      <c r="G231" s="9">
        <v>4.8149548232040887E-2</v>
      </c>
      <c r="H231" s="9">
        <v>9.9880229185256159E-2</v>
      </c>
      <c r="I231" s="9">
        <v>0.14982034377788422</v>
      </c>
      <c r="J231" s="10">
        <v>130823.4864015082</v>
      </c>
      <c r="K231" s="10">
        <v>127113.57083936229</v>
      </c>
      <c r="L231" s="10">
        <v>123403.65527721637</v>
      </c>
      <c r="M231" s="10">
        <v>119693.73971507045</v>
      </c>
      <c r="N231" s="10">
        <v>115983.82415292454</v>
      </c>
      <c r="O231" s="10">
        <v>112273.90859077864</v>
      </c>
      <c r="P231" s="10">
        <v>104854.07746648679</v>
      </c>
      <c r="Q231" s="10">
        <v>97434.246342194965</v>
      </c>
      <c r="R231" s="10">
        <v>90014.415217903137</v>
      </c>
      <c r="S231" s="10">
        <v>82594.584093611309</v>
      </c>
      <c r="T231" s="10">
        <v>75174.752969319467</v>
      </c>
      <c r="V231" t="s">
        <v>456</v>
      </c>
      <c r="W231" t="s">
        <v>1440</v>
      </c>
      <c r="X231" t="s">
        <v>1441</v>
      </c>
      <c r="Y231" t="s">
        <v>941</v>
      </c>
      <c r="Z231" t="s">
        <v>942</v>
      </c>
      <c r="AB231" t="s">
        <v>518</v>
      </c>
      <c r="AC231" t="s">
        <v>517</v>
      </c>
      <c r="AD231" t="s">
        <v>943</v>
      </c>
      <c r="AF231" t="s">
        <v>986</v>
      </c>
      <c r="AG231" t="s">
        <v>1037</v>
      </c>
      <c r="AH231" t="s">
        <v>988</v>
      </c>
      <c r="AI231" t="s">
        <v>947</v>
      </c>
      <c r="AJ231" t="s">
        <v>1054</v>
      </c>
      <c r="AK231">
        <v>8</v>
      </c>
      <c r="AL231" s="10">
        <v>3122.1</v>
      </c>
      <c r="AM231" s="10">
        <v>5741.5</v>
      </c>
      <c r="AN231" s="10">
        <v>11637.6</v>
      </c>
      <c r="AO231" s="9">
        <v>5.2927927927927901E-2</v>
      </c>
      <c r="AP231" s="9">
        <v>30.4466</v>
      </c>
      <c r="AQ231" s="9">
        <v>8.1098629825042146</v>
      </c>
      <c r="AR231" s="9">
        <v>40.039685249536674</v>
      </c>
      <c r="AS231" s="9">
        <v>48.149548232040885</v>
      </c>
      <c r="AT231" s="9">
        <v>24.580903650534708</v>
      </c>
      <c r="AU231" s="9">
        <v>75.299325534721447</v>
      </c>
      <c r="AV231" s="9">
        <v>99.880229185256155</v>
      </c>
      <c r="AW231" s="11">
        <v>130.82348640150821</v>
      </c>
      <c r="AX231" s="11">
        <v>75.174752969319471</v>
      </c>
      <c r="AY231" t="s">
        <v>949</v>
      </c>
      <c r="AZ231" t="s">
        <v>950</v>
      </c>
      <c r="BA231" t="s">
        <v>951</v>
      </c>
      <c r="BB231" t="s">
        <v>970</v>
      </c>
      <c r="BC231" t="b">
        <v>1</v>
      </c>
    </row>
    <row r="232" spans="1:55">
      <c r="A232" t="s">
        <v>1442</v>
      </c>
      <c r="B232" t="s">
        <v>939</v>
      </c>
      <c r="C232">
        <v>576900</v>
      </c>
      <c r="D232">
        <v>313700</v>
      </c>
      <c r="E232">
        <v>576900</v>
      </c>
      <c r="F232">
        <v>1169300</v>
      </c>
      <c r="G232" s="9">
        <v>7.8138764301372409E-3</v>
      </c>
      <c r="H232" s="9">
        <v>2.3921116339613437E-2</v>
      </c>
      <c r="I232" s="9">
        <v>3.5881674509420154E-2</v>
      </c>
      <c r="J232" s="10">
        <v>13145.009022908664</v>
      </c>
      <c r="K232" s="10">
        <v>12772.240532478989</v>
      </c>
      <c r="L232" s="10">
        <v>12399.472042049312</v>
      </c>
      <c r="M232" s="10">
        <v>12026.703551619637</v>
      </c>
      <c r="N232" s="10">
        <v>11653.935061189964</v>
      </c>
      <c r="O232" s="10">
        <v>11281.166570760288</v>
      </c>
      <c r="P232" s="10">
        <v>10535.629589900938</v>
      </c>
      <c r="Q232" s="10">
        <v>9790.0926090415887</v>
      </c>
      <c r="R232" s="10">
        <v>9044.5556281822373</v>
      </c>
      <c r="S232" s="10">
        <v>8299.0186473228896</v>
      </c>
      <c r="T232" s="10">
        <v>7553.4816664635382</v>
      </c>
      <c r="V232" t="s">
        <v>456</v>
      </c>
      <c r="W232" t="s">
        <v>1442</v>
      </c>
      <c r="X232" t="s">
        <v>1443</v>
      </c>
      <c r="Y232" t="s">
        <v>941</v>
      </c>
      <c r="Z232" t="s">
        <v>942</v>
      </c>
      <c r="AB232" t="s">
        <v>518</v>
      </c>
      <c r="AC232" t="s">
        <v>517</v>
      </c>
      <c r="AD232" t="s">
        <v>943</v>
      </c>
      <c r="AF232" t="s">
        <v>944</v>
      </c>
      <c r="AG232" t="s">
        <v>959</v>
      </c>
      <c r="AH232" t="s">
        <v>946</v>
      </c>
      <c r="AI232" t="s">
        <v>960</v>
      </c>
      <c r="AJ232" t="s">
        <v>948</v>
      </c>
      <c r="AK232">
        <v>5</v>
      </c>
      <c r="AL232" s="10">
        <v>313.7</v>
      </c>
      <c r="AM232" s="10">
        <v>576.9</v>
      </c>
      <c r="AN232" s="10">
        <v>1169.3</v>
      </c>
      <c r="AO232" s="9">
        <v>3.48389837815586E-2</v>
      </c>
      <c r="AP232" s="9">
        <v>20.041</v>
      </c>
      <c r="AQ232" s="9">
        <v>6.38764301372403E-2</v>
      </c>
      <c r="AR232" s="9">
        <v>7.7499999999999991</v>
      </c>
      <c r="AS232" s="9">
        <v>7.813876430137241</v>
      </c>
      <c r="AT232" s="9">
        <v>0.32111633961343211</v>
      </c>
      <c r="AU232" s="9">
        <v>23.600000000000005</v>
      </c>
      <c r="AV232" s="9">
        <v>23.921116339613437</v>
      </c>
      <c r="AW232" s="11">
        <v>13.145009022908663</v>
      </c>
      <c r="AX232" s="11">
        <v>7.5534816664635382</v>
      </c>
      <c r="AY232" t="s">
        <v>949</v>
      </c>
      <c r="AZ232" t="s">
        <v>950</v>
      </c>
      <c r="BA232" t="s">
        <v>951</v>
      </c>
      <c r="BB232" t="s">
        <v>970</v>
      </c>
      <c r="BC232" t="b">
        <v>1</v>
      </c>
    </row>
    <row r="233" spans="1:55">
      <c r="A233" t="s">
        <v>1444</v>
      </c>
      <c r="B233" t="s">
        <v>939</v>
      </c>
      <c r="C233">
        <v>1767200</v>
      </c>
      <c r="D233">
        <v>961000</v>
      </c>
      <c r="E233">
        <v>1767200</v>
      </c>
      <c r="F233">
        <v>3582000</v>
      </c>
      <c r="G233" s="9">
        <v>1.4354882783199597E-2</v>
      </c>
      <c r="H233" s="9">
        <v>4.7992574119057566E-2</v>
      </c>
      <c r="I233" s="9">
        <v>7.1988861178586355E-2</v>
      </c>
      <c r="J233" s="10">
        <v>40266.701239875525</v>
      </c>
      <c r="K233" s="10">
        <v>39124.811005368116</v>
      </c>
      <c r="L233" s="10">
        <v>37982.920770860714</v>
      </c>
      <c r="M233" s="10">
        <v>36841.030536353312</v>
      </c>
      <c r="N233" s="10">
        <v>35699.14030184591</v>
      </c>
      <c r="O233" s="10">
        <v>34557.2500673385</v>
      </c>
      <c r="P233" s="10">
        <v>32273.469598323692</v>
      </c>
      <c r="Q233" s="10">
        <v>29989.689129308885</v>
      </c>
      <c r="R233" s="10">
        <v>27705.908660294073</v>
      </c>
      <c r="S233" s="10">
        <v>25422.128191279262</v>
      </c>
      <c r="T233" s="10">
        <v>23138.347722264454</v>
      </c>
      <c r="V233" t="s">
        <v>456</v>
      </c>
      <c r="W233" t="s">
        <v>1444</v>
      </c>
      <c r="X233" t="s">
        <v>1445</v>
      </c>
      <c r="Y233" t="s">
        <v>941</v>
      </c>
      <c r="Z233" t="s">
        <v>942</v>
      </c>
      <c r="AB233" t="s">
        <v>518</v>
      </c>
      <c r="AC233" t="s">
        <v>517</v>
      </c>
      <c r="AD233" t="s">
        <v>943</v>
      </c>
      <c r="AF233" t="s">
        <v>944</v>
      </c>
      <c r="AG233" t="s">
        <v>945</v>
      </c>
      <c r="AH233" t="s">
        <v>946</v>
      </c>
      <c r="AI233" t="s">
        <v>947</v>
      </c>
      <c r="AJ233" t="s">
        <v>948</v>
      </c>
      <c r="AK233">
        <v>22</v>
      </c>
      <c r="AL233" s="10">
        <v>961</v>
      </c>
      <c r="AM233" s="10">
        <v>1767.2</v>
      </c>
      <c r="AN233" s="10">
        <v>3582</v>
      </c>
      <c r="AO233" s="9">
        <v>0.10444863279457289</v>
      </c>
      <c r="AP233" s="9">
        <v>60.083699999999993</v>
      </c>
      <c r="AQ233" s="9">
        <v>5.4995194079349802E-2</v>
      </c>
      <c r="AR233" s="9">
        <v>14.299887589120242</v>
      </c>
      <c r="AS233" s="9">
        <v>14.354882783199596</v>
      </c>
      <c r="AT233" s="9">
        <v>0.81297879822468011</v>
      </c>
      <c r="AU233" s="9">
        <v>47.179595320832888</v>
      </c>
      <c r="AV233" s="9">
        <v>47.992574119057565</v>
      </c>
      <c r="AW233" s="11">
        <v>40.266701239875523</v>
      </c>
      <c r="AX233" s="11">
        <v>23.138347722264456</v>
      </c>
      <c r="AY233" t="s">
        <v>949</v>
      </c>
      <c r="AZ233" t="s">
        <v>950</v>
      </c>
      <c r="BA233" t="s">
        <v>951</v>
      </c>
      <c r="BB233" t="s">
        <v>970</v>
      </c>
      <c r="BC233" t="b">
        <v>1</v>
      </c>
    </row>
    <row r="234" spans="1:55">
      <c r="A234" t="s">
        <v>1446</v>
      </c>
      <c r="B234" t="s">
        <v>939</v>
      </c>
      <c r="C234">
        <v>2195700</v>
      </c>
      <c r="D234">
        <v>1194000</v>
      </c>
      <c r="E234">
        <v>2195700</v>
      </c>
      <c r="F234">
        <v>4450600</v>
      </c>
      <c r="G234" s="9">
        <v>8.5782263749134575E-3</v>
      </c>
      <c r="H234" s="9">
        <v>2.5973773287265602E-2</v>
      </c>
      <c r="I234" s="9">
        <v>3.8960659930898402E-2</v>
      </c>
      <c r="J234" s="10">
        <v>50030.32815323375</v>
      </c>
      <c r="K234" s="10">
        <v>48611.559260121532</v>
      </c>
      <c r="L234" s="10">
        <v>47192.790367009315</v>
      </c>
      <c r="M234" s="10">
        <v>45774.021473897097</v>
      </c>
      <c r="N234" s="10">
        <v>44355.252580784887</v>
      </c>
      <c r="O234" s="10">
        <v>42936.483687672669</v>
      </c>
      <c r="P234" s="10">
        <v>40098.945901448242</v>
      </c>
      <c r="Q234" s="10">
        <v>37261.408115223807</v>
      </c>
      <c r="R234" s="10">
        <v>34423.870328999379</v>
      </c>
      <c r="S234" s="10">
        <v>31586.332542774948</v>
      </c>
      <c r="T234" s="10">
        <v>28748.794756550516</v>
      </c>
      <c r="V234" t="s">
        <v>456</v>
      </c>
      <c r="W234" t="s">
        <v>1446</v>
      </c>
      <c r="X234" t="s">
        <v>1447</v>
      </c>
      <c r="Y234" t="s">
        <v>941</v>
      </c>
      <c r="Z234" t="s">
        <v>942</v>
      </c>
      <c r="AB234" t="s">
        <v>518</v>
      </c>
      <c r="AC234" t="s">
        <v>517</v>
      </c>
      <c r="AD234" t="s">
        <v>943</v>
      </c>
      <c r="AF234" t="s">
        <v>944</v>
      </c>
      <c r="AG234" t="s">
        <v>965</v>
      </c>
      <c r="AH234" t="s">
        <v>956</v>
      </c>
      <c r="AI234" t="s">
        <v>960</v>
      </c>
      <c r="AJ234" t="s">
        <v>948</v>
      </c>
      <c r="AK234">
        <v>18</v>
      </c>
      <c r="AL234" s="10">
        <v>1194</v>
      </c>
      <c r="AM234" s="10">
        <v>2195.6999999999998</v>
      </c>
      <c r="AN234" s="10">
        <v>4450.6000000000004</v>
      </c>
      <c r="AO234" s="9">
        <v>0.13260456736452411</v>
      </c>
      <c r="AP234" s="9">
        <v>76.280299999999997</v>
      </c>
      <c r="AQ234" s="9">
        <v>0.82822637491345574</v>
      </c>
      <c r="AR234" s="9">
        <v>7.75</v>
      </c>
      <c r="AS234" s="9">
        <v>8.5782263749134575</v>
      </c>
      <c r="AT234" s="9">
        <v>2.373773287265601</v>
      </c>
      <c r="AU234" s="9">
        <v>23.6</v>
      </c>
      <c r="AV234" s="9">
        <v>25.973773287265601</v>
      </c>
      <c r="AW234" s="11">
        <v>50.030328153233746</v>
      </c>
      <c r="AX234" s="11">
        <v>28.748794756550517</v>
      </c>
      <c r="AY234" t="s">
        <v>949</v>
      </c>
      <c r="AZ234" t="s">
        <v>950</v>
      </c>
      <c r="BA234" t="s">
        <v>951</v>
      </c>
      <c r="BB234" t="s">
        <v>970</v>
      </c>
      <c r="BC234" t="b">
        <v>1</v>
      </c>
    </row>
    <row r="235" spans="1:55">
      <c r="A235" t="s">
        <v>1448</v>
      </c>
      <c r="B235" t="s">
        <v>939</v>
      </c>
      <c r="C235">
        <v>331200</v>
      </c>
      <c r="D235">
        <v>180100</v>
      </c>
      <c r="E235">
        <v>331200</v>
      </c>
      <c r="F235">
        <v>671300</v>
      </c>
      <c r="G235" s="9">
        <v>1.5298890879909178E-2</v>
      </c>
      <c r="H235" s="9">
        <v>4.9934814142290861E-2</v>
      </c>
      <c r="I235" s="9">
        <v>7.4902221213436287E-2</v>
      </c>
      <c r="J235" s="10">
        <v>7546.5886434171416</v>
      </c>
      <c r="K235" s="10">
        <v>7332.5811481314622</v>
      </c>
      <c r="L235" s="10">
        <v>7118.5736528457828</v>
      </c>
      <c r="M235" s="10">
        <v>6904.5661575601034</v>
      </c>
      <c r="N235" s="10">
        <v>6690.5586622744249</v>
      </c>
      <c r="O235" s="10">
        <v>6476.5511669887455</v>
      </c>
      <c r="P235" s="10">
        <v>6048.5361764173867</v>
      </c>
      <c r="Q235" s="10">
        <v>5620.5211858460289</v>
      </c>
      <c r="R235" s="10">
        <v>5192.506195274671</v>
      </c>
      <c r="S235" s="10">
        <v>4764.4912047033113</v>
      </c>
      <c r="T235" s="10">
        <v>4336.4762141319534</v>
      </c>
      <c r="V235" t="s">
        <v>456</v>
      </c>
      <c r="W235" t="s">
        <v>1448</v>
      </c>
      <c r="X235" t="s">
        <v>1449</v>
      </c>
      <c r="Y235" t="s">
        <v>941</v>
      </c>
      <c r="Z235" t="s">
        <v>942</v>
      </c>
      <c r="AB235" t="s">
        <v>518</v>
      </c>
      <c r="AC235" t="s">
        <v>517</v>
      </c>
      <c r="AD235" t="s">
        <v>943</v>
      </c>
      <c r="AF235" t="s">
        <v>944</v>
      </c>
      <c r="AG235" t="s">
        <v>955</v>
      </c>
      <c r="AH235" t="s">
        <v>956</v>
      </c>
      <c r="AI235" t="s">
        <v>947</v>
      </c>
      <c r="AJ235" t="s">
        <v>948</v>
      </c>
      <c r="AK235">
        <v>3</v>
      </c>
      <c r="AL235" s="10">
        <v>180.1</v>
      </c>
      <c r="AM235" s="10">
        <v>331.2</v>
      </c>
      <c r="AN235" s="10">
        <v>671.3</v>
      </c>
      <c r="AO235" s="9">
        <v>1.9575611424947601E-2</v>
      </c>
      <c r="AP235" s="9">
        <v>11.2608</v>
      </c>
      <c r="AQ235" s="9">
        <v>0.99900329078893124</v>
      </c>
      <c r="AR235" s="9">
        <v>14.299887589120241</v>
      </c>
      <c r="AS235" s="9">
        <v>15.298890879909177</v>
      </c>
      <c r="AT235" s="9">
        <v>2.7552188214579973</v>
      </c>
      <c r="AU235" s="9">
        <v>47.179595320832867</v>
      </c>
      <c r="AV235" s="9">
        <v>49.934814142290861</v>
      </c>
      <c r="AW235" s="11">
        <v>7.5465886434171416</v>
      </c>
      <c r="AX235" s="11">
        <v>4.3364762141319533</v>
      </c>
      <c r="AY235" t="s">
        <v>949</v>
      </c>
      <c r="AZ235" t="s">
        <v>950</v>
      </c>
      <c r="BA235" t="s">
        <v>951</v>
      </c>
      <c r="BB235" t="s">
        <v>970</v>
      </c>
      <c r="BC235" t="b">
        <v>1</v>
      </c>
    </row>
    <row r="236" spans="1:55">
      <c r="A236" t="s">
        <v>1450</v>
      </c>
      <c r="B236" t="s">
        <v>939</v>
      </c>
      <c r="C236">
        <v>2437200</v>
      </c>
      <c r="D236">
        <v>1325300</v>
      </c>
      <c r="E236">
        <v>2437200</v>
      </c>
      <c r="F236">
        <v>4940000</v>
      </c>
      <c r="G236" s="9">
        <v>9.3559869202455067E-3</v>
      </c>
      <c r="H236" s="9">
        <v>2.7534655949586945E-2</v>
      </c>
      <c r="I236" s="9">
        <v>4.130198392438042E-2</v>
      </c>
      <c r="J236" s="10">
        <v>55533.049039058744</v>
      </c>
      <c r="K236" s="10">
        <v>53958.233013967387</v>
      </c>
      <c r="L236" s="10">
        <v>52383.416988876037</v>
      </c>
      <c r="M236" s="10">
        <v>50808.60096378468</v>
      </c>
      <c r="N236" s="10">
        <v>49233.784938693316</v>
      </c>
      <c r="O236" s="10">
        <v>47658.968913601966</v>
      </c>
      <c r="P236" s="10">
        <v>44509.336863419252</v>
      </c>
      <c r="Q236" s="10">
        <v>41359.704813236538</v>
      </c>
      <c r="R236" s="10">
        <v>38210.072763053831</v>
      </c>
      <c r="S236" s="10">
        <v>35060.44071287111</v>
      </c>
      <c r="T236" s="10">
        <v>31910.8086626884</v>
      </c>
      <c r="V236" t="s">
        <v>456</v>
      </c>
      <c r="W236" t="s">
        <v>1450</v>
      </c>
      <c r="X236" t="s">
        <v>1451</v>
      </c>
      <c r="Y236" t="s">
        <v>941</v>
      </c>
      <c r="Z236" t="s">
        <v>942</v>
      </c>
      <c r="AB236" t="s">
        <v>518</v>
      </c>
      <c r="AC236" t="s">
        <v>517</v>
      </c>
      <c r="AD236" t="s">
        <v>943</v>
      </c>
      <c r="AF236" t="s">
        <v>944</v>
      </c>
      <c r="AG236" t="s">
        <v>1042</v>
      </c>
      <c r="AH236" t="s">
        <v>988</v>
      </c>
      <c r="AI236" t="s">
        <v>960</v>
      </c>
      <c r="AJ236" t="s">
        <v>948</v>
      </c>
      <c r="AK236">
        <v>31</v>
      </c>
      <c r="AL236" s="10">
        <v>1325.3</v>
      </c>
      <c r="AM236" s="10">
        <v>2437.1999999999998</v>
      </c>
      <c r="AN236" s="10">
        <v>4940</v>
      </c>
      <c r="AO236" s="9">
        <v>0.1471844065430048</v>
      </c>
      <c r="AP236" s="9">
        <v>84.667299999999983</v>
      </c>
      <c r="AQ236" s="9">
        <v>1.6059869202455046</v>
      </c>
      <c r="AR236" s="9">
        <v>7.75</v>
      </c>
      <c r="AS236" s="9">
        <v>9.3559869202455062</v>
      </c>
      <c r="AT236" s="9">
        <v>3.934655949586944</v>
      </c>
      <c r="AU236" s="9">
        <v>23.600000000000005</v>
      </c>
      <c r="AV236" s="9">
        <v>27.534655949586945</v>
      </c>
      <c r="AW236" s="11">
        <v>55.533049039058746</v>
      </c>
      <c r="AX236" s="11">
        <v>31.9108086626884</v>
      </c>
      <c r="AY236" t="s">
        <v>949</v>
      </c>
      <c r="AZ236" t="s">
        <v>950</v>
      </c>
      <c r="BA236" t="s">
        <v>951</v>
      </c>
      <c r="BB236" t="s">
        <v>970</v>
      </c>
      <c r="BC236" t="b">
        <v>1</v>
      </c>
    </row>
    <row r="237" spans="1:55">
      <c r="A237" t="s">
        <v>1452</v>
      </c>
      <c r="B237" t="s">
        <v>939</v>
      </c>
      <c r="C237">
        <v>16000</v>
      </c>
      <c r="D237">
        <v>12300</v>
      </c>
      <c r="E237">
        <v>16000</v>
      </c>
      <c r="F237">
        <v>26900</v>
      </c>
      <c r="G237" s="9">
        <v>7.1867412850237147E-3</v>
      </c>
      <c r="H237" s="9">
        <v>1.4656933693470552E-2</v>
      </c>
      <c r="I237" s="9">
        <v>2.1985400540205827E-2</v>
      </c>
      <c r="J237" s="10">
        <v>640</v>
      </c>
      <c r="K237" s="10">
        <v>640</v>
      </c>
      <c r="L237" s="10">
        <v>640</v>
      </c>
      <c r="M237" s="10">
        <v>640</v>
      </c>
      <c r="N237" s="10">
        <v>640</v>
      </c>
      <c r="O237" s="10">
        <v>640</v>
      </c>
      <c r="P237" s="10">
        <v>640</v>
      </c>
      <c r="Q237" s="10">
        <v>640</v>
      </c>
      <c r="R237" s="10">
        <v>640</v>
      </c>
      <c r="S237" s="10">
        <v>640</v>
      </c>
      <c r="T237" s="10">
        <v>640</v>
      </c>
      <c r="V237" t="s">
        <v>456</v>
      </c>
      <c r="W237" t="s">
        <v>1452</v>
      </c>
      <c r="X237" t="s">
        <v>1453</v>
      </c>
      <c r="Y237" t="s">
        <v>941</v>
      </c>
      <c r="Z237" t="s">
        <v>942</v>
      </c>
      <c r="AB237" t="s">
        <v>520</v>
      </c>
      <c r="AC237" t="s">
        <v>519</v>
      </c>
      <c r="AD237" t="s">
        <v>968</v>
      </c>
      <c r="AF237" t="s">
        <v>944</v>
      </c>
      <c r="AG237" t="s">
        <v>1454</v>
      </c>
      <c r="AH237" t="s">
        <v>1136</v>
      </c>
      <c r="AI237" t="s">
        <v>977</v>
      </c>
      <c r="AJ237" t="s">
        <v>948</v>
      </c>
      <c r="AK237">
        <v>1</v>
      </c>
      <c r="AL237" s="10">
        <v>12.3</v>
      </c>
      <c r="AM237" s="10">
        <v>16</v>
      </c>
      <c r="AN237" s="10">
        <v>26.9</v>
      </c>
      <c r="AO237" s="9">
        <v>3.5982580158411999E-2</v>
      </c>
      <c r="AP237" s="9">
        <v>2.8902000000000001</v>
      </c>
      <c r="AQ237" s="9">
        <v>3.4667412850237134</v>
      </c>
      <c r="AR237" s="9">
        <v>3.7200000000000006</v>
      </c>
      <c r="AS237" s="9">
        <v>7.1867412850237145</v>
      </c>
      <c r="AT237" s="9">
        <v>5.9769336934705519</v>
      </c>
      <c r="AU237" s="9">
        <v>8.6800000000000015</v>
      </c>
      <c r="AV237" s="9">
        <v>14.656933693470553</v>
      </c>
      <c r="AW237" s="11">
        <v>0.64</v>
      </c>
      <c r="AX237" s="11">
        <v>0.64</v>
      </c>
      <c r="AY237" t="s">
        <v>969</v>
      </c>
      <c r="AZ237" t="s">
        <v>950</v>
      </c>
      <c r="BA237" t="s">
        <v>951</v>
      </c>
      <c r="BB237" t="s">
        <v>952</v>
      </c>
      <c r="BC237" t="b">
        <v>1</v>
      </c>
    </row>
    <row r="238" spans="1:55">
      <c r="A238" t="s">
        <v>1455</v>
      </c>
      <c r="B238" t="s">
        <v>939</v>
      </c>
      <c r="C238">
        <v>5457900</v>
      </c>
      <c r="D238">
        <v>2967900</v>
      </c>
      <c r="E238">
        <v>5457900</v>
      </c>
      <c r="F238">
        <v>11062800</v>
      </c>
      <c r="G238" s="9">
        <v>8.3425777939530581E-3</v>
      </c>
      <c r="H238" s="9">
        <v>2.4502641032499262E-2</v>
      </c>
      <c r="I238" s="9">
        <v>3.6753961548748895E-2</v>
      </c>
      <c r="J238" s="10">
        <v>82464.276491793804</v>
      </c>
      <c r="K238" s="10">
        <v>80206.455704279739</v>
      </c>
      <c r="L238" s="10">
        <v>77948.634916765659</v>
      </c>
      <c r="M238" s="10">
        <v>75690.814129251565</v>
      </c>
      <c r="N238" s="10">
        <v>73432.993341737485</v>
      </c>
      <c r="O238" s="10">
        <v>71175.172554223405</v>
      </c>
      <c r="P238" s="10">
        <v>66659.530979195246</v>
      </c>
      <c r="Q238" s="10">
        <v>62143.889404167086</v>
      </c>
      <c r="R238" s="10">
        <v>57628.247829138912</v>
      </c>
      <c r="S238" s="10">
        <v>53112.606254110753</v>
      </c>
      <c r="T238" s="10">
        <v>48596.964679082586</v>
      </c>
      <c r="V238" t="s">
        <v>456</v>
      </c>
      <c r="W238" t="s">
        <v>1455</v>
      </c>
      <c r="X238" t="s">
        <v>1456</v>
      </c>
      <c r="Y238" t="s">
        <v>941</v>
      </c>
      <c r="Z238" t="s">
        <v>942</v>
      </c>
      <c r="AB238" t="s">
        <v>520</v>
      </c>
      <c r="AC238" t="s">
        <v>519</v>
      </c>
      <c r="AD238" t="s">
        <v>943</v>
      </c>
      <c r="AF238" t="s">
        <v>944</v>
      </c>
      <c r="AG238" t="s">
        <v>959</v>
      </c>
      <c r="AH238" t="s">
        <v>946</v>
      </c>
      <c r="AI238" t="s">
        <v>960</v>
      </c>
      <c r="AJ238" t="s">
        <v>948</v>
      </c>
      <c r="AK238">
        <v>12</v>
      </c>
      <c r="AL238" s="10">
        <v>2967.9</v>
      </c>
      <c r="AM238" s="10">
        <v>5457.9</v>
      </c>
      <c r="AN238" s="10">
        <v>11062.8</v>
      </c>
      <c r="AO238" s="9">
        <v>0.15625817021944119</v>
      </c>
      <c r="AP238" s="9">
        <v>12.551000000000002</v>
      </c>
      <c r="AQ238" s="9">
        <v>0.59257779395305965</v>
      </c>
      <c r="AR238" s="9">
        <v>7.7499999999999991</v>
      </c>
      <c r="AS238" s="9">
        <v>8.3425777939530583</v>
      </c>
      <c r="AT238" s="9">
        <v>0.90264103249926197</v>
      </c>
      <c r="AU238" s="9">
        <v>23.599999999999994</v>
      </c>
      <c r="AV238" s="9">
        <v>24.502641032499263</v>
      </c>
      <c r="AW238" s="11">
        <v>82.464276491793811</v>
      </c>
      <c r="AX238" s="11">
        <v>48.596964679082589</v>
      </c>
      <c r="AY238" t="s">
        <v>949</v>
      </c>
      <c r="AZ238" t="s">
        <v>950</v>
      </c>
      <c r="BA238" t="s">
        <v>951</v>
      </c>
      <c r="BB238" t="s">
        <v>970</v>
      </c>
      <c r="BC238" t="b">
        <v>1</v>
      </c>
    </row>
    <row r="239" spans="1:55">
      <c r="A239" t="s">
        <v>1457</v>
      </c>
      <c r="B239" t="s">
        <v>939</v>
      </c>
      <c r="C239">
        <v>59803200</v>
      </c>
      <c r="D239">
        <v>32519600</v>
      </c>
      <c r="E239">
        <v>59803200</v>
      </c>
      <c r="F239">
        <v>121217300</v>
      </c>
      <c r="G239" s="9">
        <v>1.5863027909441742E-2</v>
      </c>
      <c r="H239" s="9"/>
      <c r="I239" s="9"/>
      <c r="J239" s="10">
        <v>903576.03105480911</v>
      </c>
      <c r="K239" s="10">
        <v>878836.67926751694</v>
      </c>
      <c r="L239" s="10">
        <v>854097.32748022478</v>
      </c>
      <c r="M239" s="10">
        <v>829357.97569293249</v>
      </c>
      <c r="N239" s="10">
        <v>804618.62390564033</v>
      </c>
      <c r="O239" s="10">
        <v>779879.27211834816</v>
      </c>
      <c r="P239" s="10">
        <v>730400.56854376371</v>
      </c>
      <c r="Q239" s="10">
        <v>680921.86496917938</v>
      </c>
      <c r="R239" s="10">
        <v>631443.16139459505</v>
      </c>
      <c r="S239" s="10">
        <v>581964.4578200106</v>
      </c>
      <c r="T239" s="10">
        <v>532485.75424542616</v>
      </c>
      <c r="V239" t="s">
        <v>456</v>
      </c>
      <c r="W239" t="s">
        <v>1457</v>
      </c>
      <c r="X239" t="s">
        <v>1458</v>
      </c>
      <c r="Y239" t="s">
        <v>941</v>
      </c>
      <c r="Z239" t="s">
        <v>942</v>
      </c>
      <c r="AB239" t="s">
        <v>520</v>
      </c>
      <c r="AC239" t="s">
        <v>519</v>
      </c>
      <c r="AD239" t="s">
        <v>943</v>
      </c>
      <c r="AF239" t="s">
        <v>944</v>
      </c>
      <c r="AG239" t="s">
        <v>945</v>
      </c>
      <c r="AH239" t="s">
        <v>946</v>
      </c>
      <c r="AI239" t="s">
        <v>947</v>
      </c>
      <c r="AJ239" t="s">
        <v>948</v>
      </c>
      <c r="AK239">
        <v>3</v>
      </c>
      <c r="AL239" s="10">
        <v>32519.599999999999</v>
      </c>
      <c r="AM239" s="10">
        <v>59803.199999999997</v>
      </c>
      <c r="AN239" s="10">
        <v>121217.3</v>
      </c>
      <c r="AO239" s="9">
        <v>1.2578091735535099E-2</v>
      </c>
      <c r="AP239" s="9">
        <v>1.0103</v>
      </c>
      <c r="AQ239" s="9">
        <v>2.0331328722717759</v>
      </c>
      <c r="AR239" s="9">
        <v>13.829895037169967</v>
      </c>
      <c r="AS239" s="9">
        <v>15.863027909441744</v>
      </c>
      <c r="AT239" s="9"/>
      <c r="AU239" s="9"/>
      <c r="AV239" s="9"/>
      <c r="AW239" s="11">
        <v>903.57603105480916</v>
      </c>
      <c r="AX239" s="11">
        <v>532.48575424542616</v>
      </c>
      <c r="AY239" t="s">
        <v>949</v>
      </c>
      <c r="AZ239" t="s">
        <v>950</v>
      </c>
      <c r="BA239" t="s">
        <v>951</v>
      </c>
      <c r="BB239" t="s">
        <v>970</v>
      </c>
      <c r="BC239" t="b">
        <v>0</v>
      </c>
    </row>
    <row r="240" spans="1:55">
      <c r="A240" t="s">
        <v>1459</v>
      </c>
      <c r="B240" t="s">
        <v>939</v>
      </c>
      <c r="C240">
        <v>25489200</v>
      </c>
      <c r="D240">
        <v>13860500</v>
      </c>
      <c r="E240">
        <v>25489200</v>
      </c>
      <c r="F240">
        <v>51665100</v>
      </c>
      <c r="G240" s="9">
        <v>8.8406393518634992E-3</v>
      </c>
      <c r="H240" s="9">
        <v>2.691723859063562E-2</v>
      </c>
      <c r="I240" s="9">
        <v>4.037585788595343E-2</v>
      </c>
      <c r="J240" s="10">
        <v>385120.36430763314</v>
      </c>
      <c r="K240" s="10">
        <v>374576.00739066798</v>
      </c>
      <c r="L240" s="10">
        <v>364031.65047370287</v>
      </c>
      <c r="M240" s="10">
        <v>353487.29355673777</v>
      </c>
      <c r="N240" s="10">
        <v>342942.93663977267</v>
      </c>
      <c r="O240" s="10">
        <v>332398.57972280757</v>
      </c>
      <c r="P240" s="10">
        <v>311309.86588887725</v>
      </c>
      <c r="Q240" s="10">
        <v>290221.15205494704</v>
      </c>
      <c r="R240" s="10">
        <v>269132.43822101678</v>
      </c>
      <c r="S240" s="10">
        <v>248043.72438708655</v>
      </c>
      <c r="T240" s="10">
        <v>226955.01055315632</v>
      </c>
      <c r="V240" t="s">
        <v>456</v>
      </c>
      <c r="W240" t="s">
        <v>1459</v>
      </c>
      <c r="X240" t="s">
        <v>1460</v>
      </c>
      <c r="Y240" t="s">
        <v>941</v>
      </c>
      <c r="Z240" t="s">
        <v>942</v>
      </c>
      <c r="AB240" t="s">
        <v>520</v>
      </c>
      <c r="AC240" t="s">
        <v>519</v>
      </c>
      <c r="AD240" t="s">
        <v>943</v>
      </c>
      <c r="AF240" t="s">
        <v>944</v>
      </c>
      <c r="AG240" t="s">
        <v>965</v>
      </c>
      <c r="AH240" t="s">
        <v>956</v>
      </c>
      <c r="AI240" t="s">
        <v>960</v>
      </c>
      <c r="AJ240" t="s">
        <v>948</v>
      </c>
      <c r="AK240">
        <v>15</v>
      </c>
      <c r="AL240" s="10">
        <v>13860.5</v>
      </c>
      <c r="AM240" s="10">
        <v>25489.200000000001</v>
      </c>
      <c r="AN240" s="10">
        <v>51665.1</v>
      </c>
      <c r="AO240" s="9">
        <v>0.72974968315110911</v>
      </c>
      <c r="AP240" s="9">
        <v>58.615100000000005</v>
      </c>
      <c r="AQ240" s="9">
        <v>1.0906393518635005</v>
      </c>
      <c r="AR240" s="9">
        <v>7.75</v>
      </c>
      <c r="AS240" s="9">
        <v>8.8406393518634996</v>
      </c>
      <c r="AT240" s="9">
        <v>3.317238590635617</v>
      </c>
      <c r="AU240" s="9">
        <v>23.600000000000009</v>
      </c>
      <c r="AV240" s="9">
        <v>26.91723859063562</v>
      </c>
      <c r="AW240" s="11">
        <v>385.12036430763311</v>
      </c>
      <c r="AX240" s="11">
        <v>226.95501055315631</v>
      </c>
      <c r="AY240" t="s">
        <v>949</v>
      </c>
      <c r="AZ240" t="s">
        <v>950</v>
      </c>
      <c r="BA240" t="s">
        <v>951</v>
      </c>
      <c r="BB240" t="s">
        <v>970</v>
      </c>
      <c r="BC240" t="b">
        <v>1</v>
      </c>
    </row>
    <row r="241" spans="1:55">
      <c r="A241" t="s">
        <v>1461</v>
      </c>
      <c r="B241" t="s">
        <v>939</v>
      </c>
      <c r="C241">
        <v>136695500</v>
      </c>
      <c r="D241">
        <v>74332000</v>
      </c>
      <c r="E241">
        <v>136695500</v>
      </c>
      <c r="F241">
        <v>277073400</v>
      </c>
      <c r="G241" s="9">
        <v>1.9413241146449607E-2</v>
      </c>
      <c r="H241" s="9">
        <v>7.208605529800742E-2</v>
      </c>
      <c r="I241" s="9">
        <v>0.10812908294701112</v>
      </c>
      <c r="J241" s="10">
        <v>2065353.9836171425</v>
      </c>
      <c r="K241" s="10">
        <v>2008805.8714385333</v>
      </c>
      <c r="L241" s="10">
        <v>1952257.7592599241</v>
      </c>
      <c r="M241" s="10">
        <v>1895709.6470813148</v>
      </c>
      <c r="N241" s="10">
        <v>1839161.5349027056</v>
      </c>
      <c r="O241" s="10">
        <v>1782613.4227240966</v>
      </c>
      <c r="P241" s="10">
        <v>1669517.1983668781</v>
      </c>
      <c r="Q241" s="10">
        <v>1556420.9740096596</v>
      </c>
      <c r="R241" s="10">
        <v>1443324.7496524414</v>
      </c>
      <c r="S241" s="10">
        <v>1330228.5252952229</v>
      </c>
      <c r="T241" s="10">
        <v>1217132.3009380044</v>
      </c>
      <c r="V241" t="s">
        <v>456</v>
      </c>
      <c r="W241" t="s">
        <v>1461</v>
      </c>
      <c r="X241" t="s">
        <v>1462</v>
      </c>
      <c r="Y241" t="s">
        <v>941</v>
      </c>
      <c r="Z241" t="s">
        <v>942</v>
      </c>
      <c r="AB241" t="s">
        <v>520</v>
      </c>
      <c r="AC241" t="s">
        <v>519</v>
      </c>
      <c r="AD241" t="s">
        <v>943</v>
      </c>
      <c r="AF241" t="s">
        <v>944</v>
      </c>
      <c r="AG241" t="s">
        <v>955</v>
      </c>
      <c r="AH241" t="s">
        <v>956</v>
      </c>
      <c r="AI241" t="s">
        <v>947</v>
      </c>
      <c r="AJ241" t="s">
        <v>948</v>
      </c>
      <c r="AK241">
        <v>3</v>
      </c>
      <c r="AL241" s="10">
        <v>74332</v>
      </c>
      <c r="AM241" s="10">
        <v>136695.5</v>
      </c>
      <c r="AN241" s="10">
        <v>277073.40000000002</v>
      </c>
      <c r="AO241" s="9">
        <v>2.8750457532288699E-2</v>
      </c>
      <c r="AP241" s="9">
        <v>2.3092999999999999</v>
      </c>
      <c r="AQ241" s="9">
        <v>5.5833461092796437</v>
      </c>
      <c r="AR241" s="9">
        <v>13.829895037169967</v>
      </c>
      <c r="AS241" s="9">
        <v>19.413241146449607</v>
      </c>
      <c r="AT241" s="9">
        <v>26.598433164195548</v>
      </c>
      <c r="AU241" s="9">
        <v>45.487622133811882</v>
      </c>
      <c r="AV241" s="9">
        <v>72.086055298007423</v>
      </c>
      <c r="AW241" s="11">
        <v>2065.3539836171426</v>
      </c>
      <c r="AX241" s="11">
        <v>1217.1323009380044</v>
      </c>
      <c r="AY241" t="s">
        <v>949</v>
      </c>
      <c r="AZ241" t="s">
        <v>950</v>
      </c>
      <c r="BA241" t="s">
        <v>951</v>
      </c>
      <c r="BB241" t="s">
        <v>970</v>
      </c>
      <c r="BC241" t="b">
        <v>1</v>
      </c>
    </row>
    <row r="242" spans="1:55">
      <c r="A242" t="s">
        <v>1463</v>
      </c>
      <c r="B242" t="s">
        <v>939</v>
      </c>
      <c r="C242">
        <v>1281200</v>
      </c>
      <c r="D242">
        <v>696700</v>
      </c>
      <c r="E242">
        <v>1281200</v>
      </c>
      <c r="F242">
        <v>2597000</v>
      </c>
      <c r="G242" s="9">
        <v>1.2539968787222293E-2</v>
      </c>
      <c r="H242" s="9">
        <v>3.9320250300893145E-2</v>
      </c>
      <c r="I242" s="9">
        <v>5.8980375451339717E-2</v>
      </c>
      <c r="J242" s="10">
        <v>19357.853944060214</v>
      </c>
      <c r="K242" s="10">
        <v>18827.847899067994</v>
      </c>
      <c r="L242" s="10">
        <v>18297.841854075774</v>
      </c>
      <c r="M242" s="10">
        <v>17767.83580908355</v>
      </c>
      <c r="N242" s="10">
        <v>17237.82976409133</v>
      </c>
      <c r="O242" s="10">
        <v>16707.823719099109</v>
      </c>
      <c r="P242" s="10">
        <v>15647.811629114669</v>
      </c>
      <c r="Q242" s="10">
        <v>14587.799539130227</v>
      </c>
      <c r="R242" s="10">
        <v>13527.787449145786</v>
      </c>
      <c r="S242" s="10">
        <v>12467.775359161344</v>
      </c>
      <c r="T242" s="10">
        <v>11407.763269176901</v>
      </c>
      <c r="V242" t="s">
        <v>456</v>
      </c>
      <c r="W242" t="s">
        <v>1463</v>
      </c>
      <c r="X242" t="s">
        <v>1464</v>
      </c>
      <c r="Y242" t="s">
        <v>941</v>
      </c>
      <c r="Z242" t="s">
        <v>942</v>
      </c>
      <c r="AB242" t="s">
        <v>520</v>
      </c>
      <c r="AC242" t="s">
        <v>519</v>
      </c>
      <c r="AD242" t="s">
        <v>943</v>
      </c>
      <c r="AF242" t="s">
        <v>944</v>
      </c>
      <c r="AG242" t="s">
        <v>1042</v>
      </c>
      <c r="AH242" t="s">
        <v>988</v>
      </c>
      <c r="AI242" t="s">
        <v>960</v>
      </c>
      <c r="AJ242" t="s">
        <v>948</v>
      </c>
      <c r="AK242">
        <v>2</v>
      </c>
      <c r="AL242" s="10">
        <v>696.7</v>
      </c>
      <c r="AM242" s="10">
        <v>1281.2</v>
      </c>
      <c r="AN242" s="10">
        <v>2597</v>
      </c>
      <c r="AO242" s="9">
        <v>3.6681017203213998E-2</v>
      </c>
      <c r="AP242" s="9">
        <v>2.9462999999999999</v>
      </c>
      <c r="AQ242" s="9">
        <v>4.78996878722229</v>
      </c>
      <c r="AR242" s="9">
        <v>7.7500000000000009</v>
      </c>
      <c r="AS242" s="9">
        <v>12.539968787222293</v>
      </c>
      <c r="AT242" s="9">
        <v>15.720250300893138</v>
      </c>
      <c r="AU242" s="9">
        <v>23.600000000000009</v>
      </c>
      <c r="AV242" s="9">
        <v>39.320250300893143</v>
      </c>
      <c r="AW242" s="11">
        <v>19.357853944060214</v>
      </c>
      <c r="AX242" s="11">
        <v>11.407763269176902</v>
      </c>
      <c r="AY242" t="s">
        <v>949</v>
      </c>
      <c r="AZ242" t="s">
        <v>950</v>
      </c>
      <c r="BA242" t="s">
        <v>951</v>
      </c>
      <c r="BB242" t="s">
        <v>970</v>
      </c>
      <c r="BC242" t="b">
        <v>1</v>
      </c>
    </row>
    <row r="243" spans="1:55">
      <c r="A243" t="s">
        <v>1465</v>
      </c>
      <c r="B243" t="s">
        <v>939</v>
      </c>
      <c r="C243">
        <v>7100800</v>
      </c>
      <c r="D243">
        <v>3861200</v>
      </c>
      <c r="E243">
        <v>7100800</v>
      </c>
      <c r="F243">
        <v>14392800</v>
      </c>
      <c r="G243" s="9">
        <v>7.8968326808817099E-3</v>
      </c>
      <c r="H243" s="9">
        <v>2.3871238967943124E-2</v>
      </c>
      <c r="I243" s="9">
        <v>3.5806858451914683E-2</v>
      </c>
      <c r="J243" s="10">
        <v>123256.02476907574</v>
      </c>
      <c r="K243" s="10">
        <v>120303.95213469164</v>
      </c>
      <c r="L243" s="10">
        <v>117351.87950030756</v>
      </c>
      <c r="M243" s="10">
        <v>114399.80686592347</v>
      </c>
      <c r="N243" s="10">
        <v>111447.73423153938</v>
      </c>
      <c r="O243" s="10">
        <v>108495.66159715528</v>
      </c>
      <c r="P243" s="10">
        <v>102591.51632838711</v>
      </c>
      <c r="Q243" s="10">
        <v>96687.371059618919</v>
      </c>
      <c r="R243" s="10">
        <v>90783.225790850731</v>
      </c>
      <c r="S243" s="10">
        <v>84879.080522082542</v>
      </c>
      <c r="T243" s="10">
        <v>78974.935253314368</v>
      </c>
      <c r="V243" t="s">
        <v>456</v>
      </c>
      <c r="W243" t="s">
        <v>1465</v>
      </c>
      <c r="X243" t="s">
        <v>1466</v>
      </c>
      <c r="Y243" t="s">
        <v>941</v>
      </c>
      <c r="Z243" t="s">
        <v>942</v>
      </c>
      <c r="AB243" t="s">
        <v>43</v>
      </c>
      <c r="AC243" t="s">
        <v>43</v>
      </c>
      <c r="AD243" t="s">
        <v>943</v>
      </c>
      <c r="AF243" t="s">
        <v>944</v>
      </c>
      <c r="AG243" t="s">
        <v>959</v>
      </c>
      <c r="AH243" t="s">
        <v>946</v>
      </c>
      <c r="AI243" t="s">
        <v>960</v>
      </c>
      <c r="AJ243" t="s">
        <v>948</v>
      </c>
      <c r="AK243">
        <v>2</v>
      </c>
      <c r="AL243" s="10">
        <v>3861.2</v>
      </c>
      <c r="AM243" s="10">
        <v>7100.8</v>
      </c>
      <c r="AN243" s="10">
        <v>14392.8</v>
      </c>
      <c r="AO243" s="9">
        <v>0.61607683654927758</v>
      </c>
      <c r="AP243" s="9">
        <v>3.56</v>
      </c>
      <c r="AQ243" s="9">
        <v>0.14683268088171009</v>
      </c>
      <c r="AR243" s="9">
        <v>7.7500000000000009</v>
      </c>
      <c r="AS243" s="9">
        <v>7.8968326808817091</v>
      </c>
      <c r="AT243" s="9">
        <v>0.27123896794312691</v>
      </c>
      <c r="AU243" s="9">
        <v>23.6</v>
      </c>
      <c r="AV243" s="9">
        <v>23.871238967943125</v>
      </c>
      <c r="AW243" s="11">
        <v>123.25602476907574</v>
      </c>
      <c r="AX243" s="11">
        <v>78.974935253314371</v>
      </c>
      <c r="AY243" t="s">
        <v>949</v>
      </c>
      <c r="AZ243" t="s">
        <v>950</v>
      </c>
      <c r="BA243" t="s">
        <v>951</v>
      </c>
      <c r="BB243" t="s">
        <v>970</v>
      </c>
      <c r="BC243" t="b">
        <v>1</v>
      </c>
    </row>
    <row r="244" spans="1:55">
      <c r="A244" t="s">
        <v>1467</v>
      </c>
      <c r="B244" t="s">
        <v>939</v>
      </c>
      <c r="C244">
        <v>25846800</v>
      </c>
      <c r="D244">
        <v>14054900</v>
      </c>
      <c r="E244">
        <v>25846800</v>
      </c>
      <c r="F244">
        <v>52389800</v>
      </c>
      <c r="G244" s="9">
        <v>1.5484294934034736E-2</v>
      </c>
      <c r="H244" s="9"/>
      <c r="I244" s="9"/>
      <c r="J244" s="10">
        <v>448649.98605809861</v>
      </c>
      <c r="K244" s="10">
        <v>437904.48823160032</v>
      </c>
      <c r="L244" s="10">
        <v>427158.99040510209</v>
      </c>
      <c r="M244" s="10">
        <v>416413.49257860391</v>
      </c>
      <c r="N244" s="10">
        <v>405667.99475210562</v>
      </c>
      <c r="O244" s="10">
        <v>394922.49692560738</v>
      </c>
      <c r="P244" s="10">
        <v>373431.50127261097</v>
      </c>
      <c r="Q244" s="10">
        <v>351940.50561961444</v>
      </c>
      <c r="R244" s="10">
        <v>330449.50996661792</v>
      </c>
      <c r="S244" s="10">
        <v>308958.51431362145</v>
      </c>
      <c r="T244" s="10">
        <v>287467.51866062498</v>
      </c>
      <c r="V244" t="s">
        <v>456</v>
      </c>
      <c r="W244" t="s">
        <v>1467</v>
      </c>
      <c r="X244" t="s">
        <v>1466</v>
      </c>
      <c r="Y244" t="s">
        <v>941</v>
      </c>
      <c r="Z244" t="s">
        <v>942</v>
      </c>
      <c r="AB244" t="s">
        <v>43</v>
      </c>
      <c r="AC244" t="s">
        <v>43</v>
      </c>
      <c r="AD244" t="s">
        <v>943</v>
      </c>
      <c r="AF244" t="s">
        <v>944</v>
      </c>
      <c r="AG244" t="s">
        <v>945</v>
      </c>
      <c r="AH244" t="s">
        <v>946</v>
      </c>
      <c r="AI244" t="s">
        <v>947</v>
      </c>
      <c r="AJ244" t="s">
        <v>948</v>
      </c>
      <c r="AK244">
        <v>2</v>
      </c>
      <c r="AL244" s="10">
        <v>14054.9</v>
      </c>
      <c r="AM244" s="10">
        <v>25846.799999999999</v>
      </c>
      <c r="AN244" s="10">
        <v>52389.8</v>
      </c>
      <c r="AO244" s="9">
        <v>0.38392316345072253</v>
      </c>
      <c r="AP244" s="9">
        <v>2.2185000000000001</v>
      </c>
      <c r="AQ244" s="9">
        <v>1.790740127039218</v>
      </c>
      <c r="AR244" s="9">
        <v>13.693554806995516</v>
      </c>
      <c r="AS244" s="9">
        <v>15.484294934034736</v>
      </c>
      <c r="AT244" s="9"/>
      <c r="AU244" s="9"/>
      <c r="AV244" s="9"/>
      <c r="AW244" s="11">
        <v>448.64998605809859</v>
      </c>
      <c r="AX244" s="11">
        <v>287.46751866062499</v>
      </c>
      <c r="AY244" t="s">
        <v>949</v>
      </c>
      <c r="AZ244" t="s">
        <v>950</v>
      </c>
      <c r="BA244" t="s">
        <v>951</v>
      </c>
      <c r="BB244" t="s">
        <v>970</v>
      </c>
      <c r="BC244" t="b">
        <v>0</v>
      </c>
    </row>
    <row r="245" spans="1:55">
      <c r="A245" t="s">
        <v>1468</v>
      </c>
      <c r="B245" t="s">
        <v>939</v>
      </c>
      <c r="C245">
        <v>1146100</v>
      </c>
      <c r="D245">
        <v>623200</v>
      </c>
      <c r="E245">
        <v>1146100</v>
      </c>
      <c r="F245">
        <v>2323100</v>
      </c>
      <c r="G245" s="9">
        <v>1.4991717732671279E-2</v>
      </c>
      <c r="H245" s="9">
        <v>4.9465693863202667E-2</v>
      </c>
      <c r="I245" s="9">
        <v>7.4198540794804008E-2</v>
      </c>
      <c r="J245" s="10">
        <v>45844</v>
      </c>
      <c r="K245" s="10">
        <v>45844</v>
      </c>
      <c r="L245" s="10">
        <v>45844</v>
      </c>
      <c r="M245" s="10">
        <v>45844</v>
      </c>
      <c r="N245" s="10">
        <v>45844</v>
      </c>
      <c r="O245" s="10">
        <v>45844</v>
      </c>
      <c r="P245" s="10">
        <v>45844</v>
      </c>
      <c r="Q245" s="10">
        <v>45844</v>
      </c>
      <c r="R245" s="10">
        <v>45844</v>
      </c>
      <c r="S245" s="10">
        <v>45844</v>
      </c>
      <c r="T245" s="10">
        <v>45844</v>
      </c>
      <c r="V245" t="s">
        <v>456</v>
      </c>
      <c r="W245" t="s">
        <v>1468</v>
      </c>
      <c r="X245" t="s">
        <v>1469</v>
      </c>
      <c r="Y245" t="s">
        <v>941</v>
      </c>
      <c r="Z245" t="s">
        <v>942</v>
      </c>
      <c r="AB245" t="s">
        <v>44</v>
      </c>
      <c r="AC245" t="s">
        <v>44</v>
      </c>
      <c r="AD245" t="s">
        <v>943</v>
      </c>
      <c r="AF245" t="s">
        <v>944</v>
      </c>
      <c r="AG245" t="s">
        <v>945</v>
      </c>
      <c r="AH245" t="s">
        <v>946</v>
      </c>
      <c r="AI245" t="s">
        <v>947</v>
      </c>
      <c r="AJ245" t="s">
        <v>948</v>
      </c>
      <c r="AK245">
        <v>4</v>
      </c>
      <c r="AL245" s="10">
        <v>623.20000000000005</v>
      </c>
      <c r="AM245" s="10">
        <v>1146.0999999999999</v>
      </c>
      <c r="AN245" s="10">
        <v>2323.1</v>
      </c>
      <c r="AO245" s="9">
        <v>1</v>
      </c>
      <c r="AP245" s="9">
        <v>4.5542999999999996</v>
      </c>
      <c r="AQ245" s="9">
        <v>0.16464065559420091</v>
      </c>
      <c r="AR245" s="9">
        <v>14.827077077077076</v>
      </c>
      <c r="AS245" s="9">
        <v>14.99171773267128</v>
      </c>
      <c r="AT245" s="9">
        <v>0.38821638572517569</v>
      </c>
      <c r="AU245" s="9">
        <v>49.077477477477487</v>
      </c>
      <c r="AV245" s="9">
        <v>49.465693863202667</v>
      </c>
      <c r="AW245" s="11">
        <v>45.844000000000001</v>
      </c>
      <c r="AX245" s="11">
        <v>45.844000000000001</v>
      </c>
      <c r="AY245" t="s">
        <v>949</v>
      </c>
      <c r="AZ245" t="s">
        <v>950</v>
      </c>
      <c r="BA245" t="s">
        <v>951</v>
      </c>
      <c r="BB245" t="s">
        <v>952</v>
      </c>
      <c r="BC245" t="b">
        <v>1</v>
      </c>
    </row>
    <row r="246" spans="1:55">
      <c r="A246" t="s">
        <v>1470</v>
      </c>
      <c r="B246" t="s">
        <v>939</v>
      </c>
      <c r="C246">
        <v>85000</v>
      </c>
      <c r="D246">
        <v>65200</v>
      </c>
      <c r="E246">
        <v>85000</v>
      </c>
      <c r="F246">
        <v>143100</v>
      </c>
      <c r="G246" s="9">
        <v>8.2175777994115008E-3</v>
      </c>
      <c r="H246" s="9">
        <v>1.8448608919176102E-2</v>
      </c>
      <c r="I246" s="9">
        <v>2.7672913378764152E-2</v>
      </c>
      <c r="J246" s="10">
        <v>391.66666666666663</v>
      </c>
      <c r="K246" s="10">
        <v>391.66666666666663</v>
      </c>
      <c r="L246" s="10">
        <v>391.66666666666663</v>
      </c>
      <c r="M246" s="10">
        <v>391.66666666666663</v>
      </c>
      <c r="N246" s="10">
        <v>391.66666666666663</v>
      </c>
      <c r="O246" s="10">
        <v>391.66666666666663</v>
      </c>
      <c r="P246" s="10">
        <v>391.66666666666663</v>
      </c>
      <c r="Q246" s="10">
        <v>391.66666666666663</v>
      </c>
      <c r="R246" s="10">
        <v>391.66666666666663</v>
      </c>
      <c r="S246" s="10">
        <v>391.66666666666663</v>
      </c>
      <c r="T246" s="10">
        <v>391.66666666666663</v>
      </c>
      <c r="V246" t="s">
        <v>456</v>
      </c>
      <c r="W246" t="s">
        <v>1470</v>
      </c>
      <c r="X246" t="s">
        <v>1471</v>
      </c>
      <c r="Y246" t="s">
        <v>941</v>
      </c>
      <c r="Z246" t="s">
        <v>942</v>
      </c>
      <c r="AB246" t="s">
        <v>106</v>
      </c>
      <c r="AC246" t="s">
        <v>45</v>
      </c>
      <c r="AD246" t="s">
        <v>968</v>
      </c>
      <c r="AF246" t="s">
        <v>986</v>
      </c>
      <c r="AG246" t="s">
        <v>999</v>
      </c>
      <c r="AH246" t="s">
        <v>946</v>
      </c>
      <c r="AI246" t="s">
        <v>977</v>
      </c>
      <c r="AJ246" t="s">
        <v>1054</v>
      </c>
      <c r="AK246">
        <v>1</v>
      </c>
      <c r="AL246" s="10">
        <v>65.2</v>
      </c>
      <c r="AM246" s="10">
        <v>85</v>
      </c>
      <c r="AN246" s="10">
        <v>143.1</v>
      </c>
      <c r="AO246" s="9">
        <v>0.33173309311420651</v>
      </c>
      <c r="AP246" s="9">
        <v>3.0196999999999998</v>
      </c>
      <c r="AQ246" s="9">
        <v>0.77757779941150063</v>
      </c>
      <c r="AR246" s="9">
        <v>7.4400000000000013</v>
      </c>
      <c r="AS246" s="9">
        <v>8.2175777994115009</v>
      </c>
      <c r="AT246" s="9">
        <v>1.0886089191761006</v>
      </c>
      <c r="AU246" s="9">
        <v>17.360000000000003</v>
      </c>
      <c r="AV246" s="9">
        <v>18.448608919176102</v>
      </c>
      <c r="AW246" s="11">
        <v>0.39166666666666661</v>
      </c>
      <c r="AX246" s="11">
        <v>0.39166666666666661</v>
      </c>
      <c r="AY246" t="s">
        <v>969</v>
      </c>
      <c r="AZ246" t="s">
        <v>950</v>
      </c>
      <c r="BA246" t="s">
        <v>951</v>
      </c>
      <c r="BB246" t="s">
        <v>970</v>
      </c>
      <c r="BC246" t="b">
        <v>1</v>
      </c>
    </row>
    <row r="247" spans="1:55">
      <c r="A247" t="s">
        <v>1472</v>
      </c>
      <c r="B247" t="s">
        <v>939</v>
      </c>
      <c r="C247">
        <v>17000</v>
      </c>
      <c r="D247">
        <v>13000</v>
      </c>
      <c r="E247">
        <v>17000</v>
      </c>
      <c r="F247">
        <v>28600</v>
      </c>
      <c r="G247" s="9">
        <v>7.7852178859769555E-3</v>
      </c>
      <c r="H247" s="9">
        <v>1.4371305040367736E-2</v>
      </c>
      <c r="I247" s="9">
        <v>2.1556957560551603E-2</v>
      </c>
      <c r="J247" s="10">
        <v>78.3333333333333</v>
      </c>
      <c r="K247" s="10">
        <v>78.3333333333333</v>
      </c>
      <c r="L247" s="10">
        <v>78.3333333333333</v>
      </c>
      <c r="M247" s="10">
        <v>78.3333333333333</v>
      </c>
      <c r="N247" s="10">
        <v>78.3333333333333</v>
      </c>
      <c r="O247" s="10">
        <v>78.3333333333333</v>
      </c>
      <c r="P247" s="10">
        <v>78.3333333333333</v>
      </c>
      <c r="Q247" s="10">
        <v>78.3333333333333</v>
      </c>
      <c r="R247" s="10">
        <v>78.3333333333333</v>
      </c>
      <c r="S247" s="10">
        <v>78.3333333333333</v>
      </c>
      <c r="T247" s="10">
        <v>78.3333333333333</v>
      </c>
      <c r="V247" t="s">
        <v>456</v>
      </c>
      <c r="W247" t="s">
        <v>1472</v>
      </c>
      <c r="X247" t="s">
        <v>1473</v>
      </c>
      <c r="Y247" t="s">
        <v>941</v>
      </c>
      <c r="Z247" t="s">
        <v>942</v>
      </c>
      <c r="AB247" t="s">
        <v>106</v>
      </c>
      <c r="AC247" t="s">
        <v>45</v>
      </c>
      <c r="AD247" t="s">
        <v>968</v>
      </c>
      <c r="AF247" t="s">
        <v>944</v>
      </c>
      <c r="AG247" t="s">
        <v>976</v>
      </c>
      <c r="AH247" t="s">
        <v>956</v>
      </c>
      <c r="AI247" t="s">
        <v>977</v>
      </c>
      <c r="AJ247" t="s">
        <v>948</v>
      </c>
      <c r="AK247">
        <v>1</v>
      </c>
      <c r="AL247" s="10">
        <v>13</v>
      </c>
      <c r="AM247" s="10">
        <v>17</v>
      </c>
      <c r="AN247" s="10">
        <v>28.6</v>
      </c>
      <c r="AO247" s="9">
        <v>0.1704091048908028</v>
      </c>
      <c r="AP247" s="9">
        <v>1.5511999999999999</v>
      </c>
      <c r="AQ247" s="9">
        <v>4.0652178859769545</v>
      </c>
      <c r="AR247" s="9">
        <v>3.7200000000000006</v>
      </c>
      <c r="AS247" s="9">
        <v>7.7852178859769552</v>
      </c>
      <c r="AT247" s="9">
        <v>5.6913050403677357</v>
      </c>
      <c r="AU247" s="9">
        <v>8.6800000000000015</v>
      </c>
      <c r="AV247" s="9">
        <v>14.371305040367735</v>
      </c>
      <c r="AW247" s="11">
        <v>7.8333333333333297E-2</v>
      </c>
      <c r="AX247" s="11">
        <v>7.8333333333333297E-2</v>
      </c>
      <c r="AY247" t="s">
        <v>969</v>
      </c>
      <c r="AZ247" t="s">
        <v>950</v>
      </c>
      <c r="BA247" t="s">
        <v>951</v>
      </c>
      <c r="BB247" t="s">
        <v>970</v>
      </c>
      <c r="BC247" t="b">
        <v>1</v>
      </c>
    </row>
    <row r="248" spans="1:55">
      <c r="A248" t="s">
        <v>1474</v>
      </c>
      <c r="B248" t="s">
        <v>939</v>
      </c>
      <c r="C248">
        <v>9000</v>
      </c>
      <c r="D248">
        <v>4900</v>
      </c>
      <c r="E248">
        <v>9000</v>
      </c>
      <c r="F248">
        <v>18200</v>
      </c>
      <c r="G248" s="9">
        <v>8.6073625520248238E-3</v>
      </c>
      <c r="H248" s="9">
        <v>2.5852465550435695E-2</v>
      </c>
      <c r="I248" s="9">
        <v>3.8778698325653546E-2</v>
      </c>
      <c r="J248" s="10">
        <v>360</v>
      </c>
      <c r="K248" s="10">
        <v>360</v>
      </c>
      <c r="L248" s="10">
        <v>360</v>
      </c>
      <c r="M248" s="10">
        <v>360</v>
      </c>
      <c r="N248" s="10">
        <v>360</v>
      </c>
      <c r="O248" s="10">
        <v>360</v>
      </c>
      <c r="P248" s="10">
        <v>360</v>
      </c>
      <c r="Q248" s="10">
        <v>360</v>
      </c>
      <c r="R248" s="10">
        <v>360</v>
      </c>
      <c r="S248" s="10">
        <v>360</v>
      </c>
      <c r="T248" s="10">
        <v>360</v>
      </c>
      <c r="V248" t="s">
        <v>456</v>
      </c>
      <c r="W248" t="s">
        <v>1474</v>
      </c>
      <c r="X248" t="s">
        <v>1475</v>
      </c>
      <c r="Y248" t="s">
        <v>941</v>
      </c>
      <c r="Z248" t="s">
        <v>942</v>
      </c>
      <c r="AB248" t="s">
        <v>106</v>
      </c>
      <c r="AC248" t="s">
        <v>45</v>
      </c>
      <c r="AD248" t="s">
        <v>943</v>
      </c>
      <c r="AF248" t="s">
        <v>944</v>
      </c>
      <c r="AG248" t="s">
        <v>959</v>
      </c>
      <c r="AH248" t="s">
        <v>946</v>
      </c>
      <c r="AI248" t="s">
        <v>960</v>
      </c>
      <c r="AJ248" t="s">
        <v>948</v>
      </c>
      <c r="AK248">
        <v>1</v>
      </c>
      <c r="AL248" s="10">
        <v>4.9000000000000004</v>
      </c>
      <c r="AM248" s="10">
        <v>9</v>
      </c>
      <c r="AN248" s="10">
        <v>18.2</v>
      </c>
      <c r="AO248" s="9">
        <v>0.11846904249241989</v>
      </c>
      <c r="AP248" s="9">
        <v>1.0784</v>
      </c>
      <c r="AQ248" s="9">
        <v>0.85736255202482425</v>
      </c>
      <c r="AR248" s="9">
        <v>7.7499999999999991</v>
      </c>
      <c r="AS248" s="9">
        <v>8.6073625520248243</v>
      </c>
      <c r="AT248" s="9">
        <v>2.2524655504356925</v>
      </c>
      <c r="AU248" s="9">
        <v>23.6</v>
      </c>
      <c r="AV248" s="9">
        <v>25.852465550435696</v>
      </c>
      <c r="AW248" s="11">
        <v>0.36</v>
      </c>
      <c r="AX248" s="11">
        <v>0.36</v>
      </c>
      <c r="AY248" t="s">
        <v>949</v>
      </c>
      <c r="AZ248" t="s">
        <v>950</v>
      </c>
      <c r="BA248" t="s">
        <v>951</v>
      </c>
      <c r="BB248" t="s">
        <v>952</v>
      </c>
      <c r="BC248" t="b">
        <v>1</v>
      </c>
    </row>
    <row r="249" spans="1:55">
      <c r="A249" t="s">
        <v>1476</v>
      </c>
      <c r="B249" t="s">
        <v>939</v>
      </c>
      <c r="C249">
        <v>974700</v>
      </c>
      <c r="D249">
        <v>530000</v>
      </c>
      <c r="E249">
        <v>974700</v>
      </c>
      <c r="F249">
        <v>1975800</v>
      </c>
      <c r="G249" s="9">
        <v>1.2535590262657652E-2</v>
      </c>
      <c r="H249" s="9">
        <v>3.924101529925391E-2</v>
      </c>
      <c r="I249" s="9">
        <v>5.8861522948880862E-2</v>
      </c>
      <c r="J249" s="10">
        <v>38988</v>
      </c>
      <c r="K249" s="10">
        <v>38988</v>
      </c>
      <c r="L249" s="10">
        <v>38988</v>
      </c>
      <c r="M249" s="10">
        <v>38988</v>
      </c>
      <c r="N249" s="10">
        <v>38988</v>
      </c>
      <c r="O249" s="10">
        <v>38988</v>
      </c>
      <c r="P249" s="10">
        <v>38988</v>
      </c>
      <c r="Q249" s="10">
        <v>38988</v>
      </c>
      <c r="R249" s="10">
        <v>38988</v>
      </c>
      <c r="S249" s="10">
        <v>38988</v>
      </c>
      <c r="T249" s="10">
        <v>38988</v>
      </c>
      <c r="V249" t="s">
        <v>456</v>
      </c>
      <c r="W249" t="s">
        <v>1476</v>
      </c>
      <c r="X249" t="s">
        <v>1477</v>
      </c>
      <c r="Y249" t="s">
        <v>941</v>
      </c>
      <c r="Z249" t="s">
        <v>942</v>
      </c>
      <c r="AB249" t="s">
        <v>106</v>
      </c>
      <c r="AC249" t="s">
        <v>45</v>
      </c>
      <c r="AD249" t="s">
        <v>943</v>
      </c>
      <c r="AF249" t="s">
        <v>944</v>
      </c>
      <c r="AG249" t="s">
        <v>945</v>
      </c>
      <c r="AH249" t="s">
        <v>946</v>
      </c>
      <c r="AI249" t="s">
        <v>947</v>
      </c>
      <c r="AJ249" t="s">
        <v>948</v>
      </c>
      <c r="AK249">
        <v>3</v>
      </c>
      <c r="AL249" s="10">
        <v>530</v>
      </c>
      <c r="AM249" s="10">
        <v>974.7</v>
      </c>
      <c r="AN249" s="10">
        <v>1975.8</v>
      </c>
      <c r="AO249" s="9">
        <v>0.37938875950257062</v>
      </c>
      <c r="AP249" s="9">
        <v>3.4535</v>
      </c>
      <c r="AQ249" s="9">
        <v>0.54366162181185751</v>
      </c>
      <c r="AR249" s="9">
        <v>11.991928640845796</v>
      </c>
      <c r="AS249" s="9">
        <v>12.535590262657651</v>
      </c>
      <c r="AT249" s="9">
        <v>0.37007219220903581</v>
      </c>
      <c r="AU249" s="9">
        <v>38.870943107044873</v>
      </c>
      <c r="AV249" s="9">
        <v>39.24101529925391</v>
      </c>
      <c r="AW249" s="11">
        <v>38.988</v>
      </c>
      <c r="AX249" s="11">
        <v>38.988</v>
      </c>
      <c r="AY249" t="s">
        <v>949</v>
      </c>
      <c r="AZ249" t="s">
        <v>950</v>
      </c>
      <c r="BA249" t="s">
        <v>951</v>
      </c>
      <c r="BB249" t="s">
        <v>952</v>
      </c>
      <c r="BC249" t="b">
        <v>1</v>
      </c>
    </row>
    <row r="250" spans="1:55">
      <c r="A250" t="s">
        <v>1478</v>
      </c>
      <c r="B250" t="s">
        <v>939</v>
      </c>
      <c r="C250">
        <v>20900</v>
      </c>
      <c r="D250">
        <v>16000</v>
      </c>
      <c r="E250">
        <v>20900</v>
      </c>
      <c r="F250">
        <v>35200</v>
      </c>
      <c r="G250" s="9">
        <v>9.0860434930986993E-3</v>
      </c>
      <c r="H250" s="9">
        <v>1.966446089033818E-2</v>
      </c>
      <c r="I250" s="9">
        <v>2.949669133550727E-2</v>
      </c>
      <c r="J250" s="10">
        <v>209</v>
      </c>
      <c r="K250" s="10">
        <v>209</v>
      </c>
      <c r="L250" s="10">
        <v>209</v>
      </c>
      <c r="M250" s="10">
        <v>209</v>
      </c>
      <c r="N250" s="10">
        <v>209</v>
      </c>
      <c r="O250" s="10">
        <v>209</v>
      </c>
      <c r="P250" s="10">
        <v>209</v>
      </c>
      <c r="Q250" s="10">
        <v>209</v>
      </c>
      <c r="R250" s="10">
        <v>209</v>
      </c>
      <c r="S250" s="10">
        <v>209</v>
      </c>
      <c r="T250" s="10">
        <v>209</v>
      </c>
      <c r="V250" t="s">
        <v>456</v>
      </c>
      <c r="W250" t="s">
        <v>1478</v>
      </c>
      <c r="X250" t="s">
        <v>1479</v>
      </c>
      <c r="Y250" t="s">
        <v>941</v>
      </c>
      <c r="Z250" t="s">
        <v>942</v>
      </c>
      <c r="AB250" t="s">
        <v>522</v>
      </c>
      <c r="AC250" t="s">
        <v>521</v>
      </c>
      <c r="AD250" t="s">
        <v>968</v>
      </c>
      <c r="AF250" t="s">
        <v>986</v>
      </c>
      <c r="AG250" t="s">
        <v>999</v>
      </c>
      <c r="AH250" t="s">
        <v>946</v>
      </c>
      <c r="AI250" t="s">
        <v>977</v>
      </c>
      <c r="AJ250" t="s">
        <v>1054</v>
      </c>
      <c r="AK250">
        <v>1</v>
      </c>
      <c r="AL250" s="10">
        <v>16</v>
      </c>
      <c r="AM250" s="10">
        <v>20.9</v>
      </c>
      <c r="AN250" s="10">
        <v>35.200000000000003</v>
      </c>
      <c r="AO250" s="9">
        <v>6.9934677163934998E-3</v>
      </c>
      <c r="AP250" s="9">
        <v>2.9190999999999998</v>
      </c>
      <c r="AQ250" s="9">
        <v>1.646043493098698</v>
      </c>
      <c r="AR250" s="9">
        <v>7.4400000000000022</v>
      </c>
      <c r="AS250" s="9">
        <v>9.0860434930986997</v>
      </c>
      <c r="AT250" s="9">
        <v>2.3044608903381776</v>
      </c>
      <c r="AU250" s="9">
        <v>17.360000000000003</v>
      </c>
      <c r="AV250" s="9">
        <v>19.66446089033818</v>
      </c>
      <c r="AW250" s="11">
        <v>0.20899999999999999</v>
      </c>
      <c r="AX250" s="11">
        <v>0.20899999999999999</v>
      </c>
      <c r="AY250" t="s">
        <v>969</v>
      </c>
      <c r="AZ250" t="s">
        <v>950</v>
      </c>
      <c r="BA250" t="s">
        <v>951</v>
      </c>
      <c r="BB250" t="s">
        <v>970</v>
      </c>
      <c r="BC250" t="b">
        <v>1</v>
      </c>
    </row>
    <row r="251" spans="1:55">
      <c r="A251" t="s">
        <v>1480</v>
      </c>
      <c r="B251" t="s">
        <v>939</v>
      </c>
      <c r="C251">
        <v>3284100</v>
      </c>
      <c r="D251">
        <v>1785800</v>
      </c>
      <c r="E251">
        <v>3284100</v>
      </c>
      <c r="F251">
        <v>6656700</v>
      </c>
      <c r="G251" s="9">
        <v>3.9518300240543487E-2</v>
      </c>
      <c r="H251" s="9">
        <v>7.423130586892808E-2</v>
      </c>
      <c r="I251" s="9">
        <v>0.11134695880339213</v>
      </c>
      <c r="J251" s="10">
        <v>54338.351425448185</v>
      </c>
      <c r="K251" s="10">
        <v>52890.275900528293</v>
      </c>
      <c r="L251" s="10">
        <v>51442.200375608409</v>
      </c>
      <c r="M251" s="10">
        <v>49994.124850688517</v>
      </c>
      <c r="N251" s="10">
        <v>48546.049325768618</v>
      </c>
      <c r="O251" s="10">
        <v>47097.973800848733</v>
      </c>
      <c r="P251" s="10">
        <v>44201.822751008949</v>
      </c>
      <c r="Q251" s="10">
        <v>41305.671701169165</v>
      </c>
      <c r="R251" s="10">
        <v>38409.520651329389</v>
      </c>
      <c r="S251" s="10">
        <v>35513.369601489598</v>
      </c>
      <c r="T251" s="10">
        <v>32617.218551649821</v>
      </c>
      <c r="V251" t="s">
        <v>456</v>
      </c>
      <c r="W251" t="s">
        <v>1480</v>
      </c>
      <c r="X251" t="s">
        <v>1481</v>
      </c>
      <c r="Y251" t="s">
        <v>941</v>
      </c>
      <c r="Z251" t="s">
        <v>942</v>
      </c>
      <c r="AB251" t="s">
        <v>522</v>
      </c>
      <c r="AC251" t="s">
        <v>521</v>
      </c>
      <c r="AD251" t="s">
        <v>943</v>
      </c>
      <c r="AF251" t="s">
        <v>986</v>
      </c>
      <c r="AG251" t="s">
        <v>945</v>
      </c>
      <c r="AH251" t="s">
        <v>946</v>
      </c>
      <c r="AI251" t="s">
        <v>947</v>
      </c>
      <c r="AJ251" t="s">
        <v>1054</v>
      </c>
      <c r="AK251">
        <v>8</v>
      </c>
      <c r="AL251" s="10">
        <v>1785.8</v>
      </c>
      <c r="AM251" s="10">
        <v>3284.1</v>
      </c>
      <c r="AN251" s="10">
        <v>6656.7</v>
      </c>
      <c r="AO251" s="9">
        <v>0.14599507718904331</v>
      </c>
      <c r="AP251" s="9">
        <v>60.938899999999997</v>
      </c>
      <c r="AQ251" s="9">
        <v>0.284542222807808</v>
      </c>
      <c r="AR251" s="9">
        <v>39.233758017735681</v>
      </c>
      <c r="AS251" s="9">
        <v>39.518300240543489</v>
      </c>
      <c r="AT251" s="9">
        <v>0.65896725949445967</v>
      </c>
      <c r="AU251" s="9">
        <v>73.572338609433629</v>
      </c>
      <c r="AV251" s="9">
        <v>74.231305868928075</v>
      </c>
      <c r="AW251" s="11">
        <v>54.338351425448188</v>
      </c>
      <c r="AX251" s="11">
        <v>32.61721855164982</v>
      </c>
      <c r="AY251" t="s">
        <v>949</v>
      </c>
      <c r="AZ251" t="s">
        <v>950</v>
      </c>
      <c r="BA251" t="s">
        <v>951</v>
      </c>
      <c r="BB251" t="s">
        <v>970</v>
      </c>
      <c r="BC251" t="b">
        <v>1</v>
      </c>
    </row>
    <row r="252" spans="1:55">
      <c r="A252" t="s">
        <v>1482</v>
      </c>
      <c r="B252" t="s">
        <v>939</v>
      </c>
      <c r="C252">
        <v>6456400</v>
      </c>
      <c r="D252">
        <v>3510800</v>
      </c>
      <c r="E252">
        <v>6456400</v>
      </c>
      <c r="F252">
        <v>13086700</v>
      </c>
      <c r="G252" s="9">
        <v>6.2050870494274574E-2</v>
      </c>
      <c r="H252" s="9">
        <v>0.10693032187936888</v>
      </c>
      <c r="I252" s="9">
        <v>0.1603954828190533</v>
      </c>
      <c r="J252" s="10">
        <v>106826.87255055072</v>
      </c>
      <c r="K252" s="10">
        <v>103980.01806405738</v>
      </c>
      <c r="L252" s="10">
        <v>101133.16357756403</v>
      </c>
      <c r="M252" s="10">
        <v>98286.309091070696</v>
      </c>
      <c r="N252" s="10">
        <v>95439.454604577346</v>
      </c>
      <c r="O252" s="10">
        <v>92592.60011808401</v>
      </c>
      <c r="P252" s="10">
        <v>86898.891145097339</v>
      </c>
      <c r="Q252" s="10">
        <v>81205.182172110653</v>
      </c>
      <c r="R252" s="10">
        <v>75511.473199123968</v>
      </c>
      <c r="S252" s="10">
        <v>69817.764226137282</v>
      </c>
      <c r="T252" s="10">
        <v>64124.055253150604</v>
      </c>
      <c r="V252" t="s">
        <v>456</v>
      </c>
      <c r="W252" t="s">
        <v>1482</v>
      </c>
      <c r="X252" t="s">
        <v>1483</v>
      </c>
      <c r="Y252" t="s">
        <v>941</v>
      </c>
      <c r="Z252" t="s">
        <v>942</v>
      </c>
      <c r="AB252" t="s">
        <v>522</v>
      </c>
      <c r="AC252" t="s">
        <v>521</v>
      </c>
      <c r="AD252" t="s">
        <v>943</v>
      </c>
      <c r="AF252" t="s">
        <v>986</v>
      </c>
      <c r="AG252" t="s">
        <v>1025</v>
      </c>
      <c r="AH252" t="s">
        <v>946</v>
      </c>
      <c r="AI252" t="s">
        <v>947</v>
      </c>
      <c r="AJ252" t="s">
        <v>989</v>
      </c>
      <c r="AK252">
        <v>26</v>
      </c>
      <c r="AL252" s="10">
        <v>3510.8</v>
      </c>
      <c r="AM252" s="10">
        <v>6456.4</v>
      </c>
      <c r="AN252" s="10">
        <v>13086.7</v>
      </c>
      <c r="AO252" s="9">
        <v>0.28701966776536292</v>
      </c>
      <c r="AP252" s="9">
        <v>119.8031</v>
      </c>
      <c r="AQ252" s="9">
        <v>22.817112476538892</v>
      </c>
      <c r="AR252" s="9">
        <v>39.233758017735681</v>
      </c>
      <c r="AS252" s="9">
        <v>62.050870494274577</v>
      </c>
      <c r="AT252" s="9">
        <v>33.357983269935282</v>
      </c>
      <c r="AU252" s="9">
        <v>73.572338609433601</v>
      </c>
      <c r="AV252" s="9">
        <v>106.93032187936888</v>
      </c>
      <c r="AW252" s="11">
        <v>106.82687255055072</v>
      </c>
      <c r="AX252" s="11">
        <v>64.124055253150601</v>
      </c>
      <c r="AY252" t="s">
        <v>949</v>
      </c>
      <c r="AZ252" t="s">
        <v>950</v>
      </c>
      <c r="BA252" t="s">
        <v>951</v>
      </c>
      <c r="BB252" t="s">
        <v>970</v>
      </c>
      <c r="BC252" t="b">
        <v>1</v>
      </c>
    </row>
    <row r="253" spans="1:55">
      <c r="A253" t="s">
        <v>1484</v>
      </c>
      <c r="B253" t="s">
        <v>939</v>
      </c>
      <c r="C253">
        <v>2305100</v>
      </c>
      <c r="D253">
        <v>1253500</v>
      </c>
      <c r="E253">
        <v>2305100</v>
      </c>
      <c r="F253">
        <v>4672300</v>
      </c>
      <c r="G253" s="9">
        <v>2.4355879762895837E-2</v>
      </c>
      <c r="H253" s="9">
        <v>3.7288002751624728E-2</v>
      </c>
      <c r="I253" s="9">
        <v>5.5932004127437096E-2</v>
      </c>
      <c r="J253" s="10">
        <v>38139.926881276639</v>
      </c>
      <c r="K253" s="10">
        <v>37123.526987091675</v>
      </c>
      <c r="L253" s="10">
        <v>36107.12709290671</v>
      </c>
      <c r="M253" s="10">
        <v>35090.727198721746</v>
      </c>
      <c r="N253" s="10">
        <v>34074.327304536782</v>
      </c>
      <c r="O253" s="10">
        <v>33057.927410351818</v>
      </c>
      <c r="P253" s="10">
        <v>31025.127621981886</v>
      </c>
      <c r="Q253" s="10">
        <v>28992.327833611958</v>
      </c>
      <c r="R253" s="10">
        <v>26959.52804524203</v>
      </c>
      <c r="S253" s="10">
        <v>24926.728256872098</v>
      </c>
      <c r="T253" s="10">
        <v>22893.92846850217</v>
      </c>
      <c r="V253" t="s">
        <v>456</v>
      </c>
      <c r="W253" t="s">
        <v>1484</v>
      </c>
      <c r="X253" t="s">
        <v>1485</v>
      </c>
      <c r="Y253" t="s">
        <v>941</v>
      </c>
      <c r="Z253" t="s">
        <v>942</v>
      </c>
      <c r="AB253" t="s">
        <v>522</v>
      </c>
      <c r="AC253" t="s">
        <v>521</v>
      </c>
      <c r="AD253" t="s">
        <v>943</v>
      </c>
      <c r="AF253" t="s">
        <v>986</v>
      </c>
      <c r="AG253" t="s">
        <v>965</v>
      </c>
      <c r="AH253" t="s">
        <v>956</v>
      </c>
      <c r="AI253" t="s">
        <v>960</v>
      </c>
      <c r="AJ253" t="s">
        <v>1054</v>
      </c>
      <c r="AK253">
        <v>8</v>
      </c>
      <c r="AL253" s="10">
        <v>1253.5</v>
      </c>
      <c r="AM253" s="10">
        <v>2305.1</v>
      </c>
      <c r="AN253" s="10">
        <v>4672.3</v>
      </c>
      <c r="AO253" s="9">
        <v>0.18735790138949379</v>
      </c>
      <c r="AP253" s="9">
        <v>78.203900000000004</v>
      </c>
      <c r="AQ253" s="9">
        <v>2.6558797628958448</v>
      </c>
      <c r="AR253" s="9">
        <v>21.7</v>
      </c>
      <c r="AS253" s="9">
        <v>24.355879762895839</v>
      </c>
      <c r="AT253" s="9">
        <v>1.2880027516247328</v>
      </c>
      <c r="AU253" s="9">
        <v>36</v>
      </c>
      <c r="AV253" s="9">
        <v>37.288002751624731</v>
      </c>
      <c r="AW253" s="11">
        <v>38.139926881276637</v>
      </c>
      <c r="AX253" s="11">
        <v>22.893928468502171</v>
      </c>
      <c r="AY253" t="s">
        <v>949</v>
      </c>
      <c r="AZ253" t="s">
        <v>950</v>
      </c>
      <c r="BA253" t="s">
        <v>951</v>
      </c>
      <c r="BB253" t="s">
        <v>970</v>
      </c>
      <c r="BC253" t="b">
        <v>1</v>
      </c>
    </row>
    <row r="254" spans="1:55">
      <c r="A254" t="s">
        <v>1486</v>
      </c>
      <c r="B254" t="s">
        <v>939</v>
      </c>
      <c r="C254">
        <v>7917300</v>
      </c>
      <c r="D254">
        <v>4305300</v>
      </c>
      <c r="E254">
        <v>7917300</v>
      </c>
      <c r="F254">
        <v>16047900</v>
      </c>
      <c r="G254" s="9">
        <v>6.210131194531212E-2</v>
      </c>
      <c r="H254" s="9">
        <v>0.11145543451244391</v>
      </c>
      <c r="I254" s="9">
        <v>0.16718315176866588</v>
      </c>
      <c r="J254" s="10">
        <v>130998.76061651624</v>
      </c>
      <c r="K254" s="10">
        <v>127507.74379198343</v>
      </c>
      <c r="L254" s="10">
        <v>124016.7269674506</v>
      </c>
      <c r="M254" s="10">
        <v>120525.71014291777</v>
      </c>
      <c r="N254" s="10">
        <v>117034.69331838493</v>
      </c>
      <c r="O254" s="10">
        <v>113543.67649385212</v>
      </c>
      <c r="P254" s="10">
        <v>106561.64284478646</v>
      </c>
      <c r="Q254" s="10">
        <v>99579.609195720812</v>
      </c>
      <c r="R254" s="10">
        <v>92597.575546655149</v>
      </c>
      <c r="S254" s="10">
        <v>85615.541897589501</v>
      </c>
      <c r="T254" s="10">
        <v>78633.508248523838</v>
      </c>
      <c r="V254" t="s">
        <v>456</v>
      </c>
      <c r="W254" t="s">
        <v>1486</v>
      </c>
      <c r="X254" t="s">
        <v>1487</v>
      </c>
      <c r="Y254" t="s">
        <v>941</v>
      </c>
      <c r="Z254" t="s">
        <v>942</v>
      </c>
      <c r="AB254" t="s">
        <v>522</v>
      </c>
      <c r="AC254" t="s">
        <v>521</v>
      </c>
      <c r="AD254" t="s">
        <v>943</v>
      </c>
      <c r="AF254" t="s">
        <v>986</v>
      </c>
      <c r="AG254" t="s">
        <v>1028</v>
      </c>
      <c r="AH254" t="s">
        <v>956</v>
      </c>
      <c r="AI254" t="s">
        <v>947</v>
      </c>
      <c r="AJ254" t="s">
        <v>989</v>
      </c>
      <c r="AK254">
        <v>56</v>
      </c>
      <c r="AL254" s="10">
        <v>4305.3</v>
      </c>
      <c r="AM254" s="10">
        <v>7917.3</v>
      </c>
      <c r="AN254" s="10">
        <v>16047.9</v>
      </c>
      <c r="AO254" s="9">
        <v>0.3519642130713711</v>
      </c>
      <c r="AP254" s="9">
        <v>146.91119999999998</v>
      </c>
      <c r="AQ254" s="9">
        <v>22.867553927576424</v>
      </c>
      <c r="AR254" s="9">
        <v>39.233758017735681</v>
      </c>
      <c r="AS254" s="9">
        <v>62.101311945312119</v>
      </c>
      <c r="AT254" s="9">
        <v>37.8830959030103</v>
      </c>
      <c r="AU254" s="9">
        <v>73.572338609433601</v>
      </c>
      <c r="AV254" s="9">
        <v>111.45543451244392</v>
      </c>
      <c r="AW254" s="11">
        <v>130.99876061651625</v>
      </c>
      <c r="AX254" s="11">
        <v>78.633508248523839</v>
      </c>
      <c r="AY254" t="s">
        <v>949</v>
      </c>
      <c r="AZ254" t="s">
        <v>950</v>
      </c>
      <c r="BA254" t="s">
        <v>951</v>
      </c>
      <c r="BB254" t="s">
        <v>970</v>
      </c>
      <c r="BC254" t="b">
        <v>1</v>
      </c>
    </row>
    <row r="255" spans="1:55">
      <c r="A255" t="s">
        <v>1488</v>
      </c>
      <c r="B255" t="s">
        <v>939</v>
      </c>
      <c r="C255">
        <v>53100</v>
      </c>
      <c r="D255">
        <v>28900</v>
      </c>
      <c r="E255">
        <v>53100</v>
      </c>
      <c r="F255">
        <v>107700</v>
      </c>
      <c r="G255" s="9">
        <v>1.4084835837164305E-2</v>
      </c>
      <c r="H255" s="9">
        <v>4.6229316421181353E-2</v>
      </c>
      <c r="I255" s="9">
        <v>6.9343974631772026E-2</v>
      </c>
      <c r="J255" s="10">
        <v>878.5866632231963</v>
      </c>
      <c r="K255" s="10">
        <v>855.17300030999445</v>
      </c>
      <c r="L255" s="10">
        <v>831.7593373967926</v>
      </c>
      <c r="M255" s="10">
        <v>808.34567448359076</v>
      </c>
      <c r="N255" s="10">
        <v>784.93201157038891</v>
      </c>
      <c r="O255" s="10">
        <v>761.51834865718706</v>
      </c>
      <c r="P255" s="10">
        <v>714.69102283078337</v>
      </c>
      <c r="Q255" s="10">
        <v>667.86369700437967</v>
      </c>
      <c r="R255" s="10">
        <v>621.03637117797587</v>
      </c>
      <c r="S255" s="10">
        <v>574.20904535157217</v>
      </c>
      <c r="T255" s="10">
        <v>527.38171952516848</v>
      </c>
      <c r="V255" t="s">
        <v>456</v>
      </c>
      <c r="W255" t="s">
        <v>1488</v>
      </c>
      <c r="X255" t="s">
        <v>1489</v>
      </c>
      <c r="Y255" t="s">
        <v>941</v>
      </c>
      <c r="Z255" t="s">
        <v>942</v>
      </c>
      <c r="AB255" t="s">
        <v>522</v>
      </c>
      <c r="AC255" t="s">
        <v>521</v>
      </c>
      <c r="AD255" t="s">
        <v>943</v>
      </c>
      <c r="AF255" t="s">
        <v>944</v>
      </c>
      <c r="AG255" t="s">
        <v>945</v>
      </c>
      <c r="AH255" t="s">
        <v>946</v>
      </c>
      <c r="AI255" t="s">
        <v>947</v>
      </c>
      <c r="AJ255" t="s">
        <v>948</v>
      </c>
      <c r="AK255">
        <v>1</v>
      </c>
      <c r="AL255" s="10">
        <v>28.9</v>
      </c>
      <c r="AM255" s="10">
        <v>53.1</v>
      </c>
      <c r="AN255" s="10">
        <v>107.7</v>
      </c>
      <c r="AO255" s="9">
        <v>2.0669672868335098E-2</v>
      </c>
      <c r="AP255" s="9">
        <v>8.6275999999999993</v>
      </c>
      <c r="AQ255" s="9">
        <v>7.2779402258705203E-2</v>
      </c>
      <c r="AR255" s="9">
        <v>14.012056434905601</v>
      </c>
      <c r="AS255" s="9">
        <v>14.084835837164306</v>
      </c>
      <c r="AT255" s="9">
        <v>8.5913255521172599E-2</v>
      </c>
      <c r="AU255" s="9">
        <v>46.143403165660175</v>
      </c>
      <c r="AV255" s="9">
        <v>46.229316421181352</v>
      </c>
      <c r="AW255" s="11">
        <v>0.87858666322319634</v>
      </c>
      <c r="AX255" s="11">
        <v>0.52738171952516844</v>
      </c>
      <c r="AY255" t="s">
        <v>949</v>
      </c>
      <c r="AZ255" t="s">
        <v>950</v>
      </c>
      <c r="BA255" t="s">
        <v>951</v>
      </c>
      <c r="BB255" t="s">
        <v>970</v>
      </c>
      <c r="BC255" t="b">
        <v>1</v>
      </c>
    </row>
    <row r="256" spans="1:55">
      <c r="A256" t="s">
        <v>1490</v>
      </c>
      <c r="B256" t="s">
        <v>939</v>
      </c>
      <c r="C256">
        <v>1972500</v>
      </c>
      <c r="D256">
        <v>1513900</v>
      </c>
      <c r="E256">
        <v>1972500</v>
      </c>
      <c r="F256">
        <v>3321100</v>
      </c>
      <c r="G256" s="9">
        <v>8.643759335111174E-3</v>
      </c>
      <c r="H256" s="9">
        <v>2.5088619278591191E-2</v>
      </c>
      <c r="I256" s="9">
        <v>3.763292891788679E-2</v>
      </c>
      <c r="J256" s="10">
        <v>15078.394361149276</v>
      </c>
      <c r="K256" s="10">
        <v>15078.394361149276</v>
      </c>
      <c r="L256" s="10">
        <v>15078.394361149276</v>
      </c>
      <c r="M256" s="10">
        <v>15078.394361149276</v>
      </c>
      <c r="N256" s="10">
        <v>15078.394361149276</v>
      </c>
      <c r="O256" s="10">
        <v>15078.394361149276</v>
      </c>
      <c r="P256" s="10">
        <v>15078.394361149276</v>
      </c>
      <c r="Q256" s="10">
        <v>15078.394361149276</v>
      </c>
      <c r="R256" s="10">
        <v>15078.394361149276</v>
      </c>
      <c r="S256" s="10">
        <v>15078.394361149276</v>
      </c>
      <c r="T256" s="10">
        <v>15078.394361149276</v>
      </c>
      <c r="V256" t="s">
        <v>456</v>
      </c>
      <c r="W256" t="s">
        <v>1490</v>
      </c>
      <c r="X256" t="s">
        <v>1491</v>
      </c>
      <c r="Y256" t="s">
        <v>941</v>
      </c>
      <c r="Z256" t="s">
        <v>942</v>
      </c>
      <c r="AB256" t="s">
        <v>524</v>
      </c>
      <c r="AC256" t="s">
        <v>523</v>
      </c>
      <c r="AD256" t="s">
        <v>968</v>
      </c>
      <c r="AF256" t="s">
        <v>944</v>
      </c>
      <c r="AG256" t="s">
        <v>945</v>
      </c>
      <c r="AH256" t="s">
        <v>946</v>
      </c>
      <c r="AI256" t="s">
        <v>947</v>
      </c>
      <c r="AJ256" t="s">
        <v>948</v>
      </c>
      <c r="AK256">
        <v>4</v>
      </c>
      <c r="AL256" s="10">
        <v>1513.9</v>
      </c>
      <c r="AM256" s="10">
        <v>1972.5</v>
      </c>
      <c r="AN256" s="10">
        <v>3321.1</v>
      </c>
      <c r="AO256" s="9">
        <v>0.22084716275741231</v>
      </c>
      <c r="AP256" s="9">
        <v>7.1595999999999993</v>
      </c>
      <c r="AQ256" s="9">
        <v>0.10729670823046</v>
      </c>
      <c r="AR256" s="9">
        <v>8.5364626268807129</v>
      </c>
      <c r="AS256" s="9">
        <v>8.6437593351111737</v>
      </c>
      <c r="AT256" s="9">
        <v>0.63600008450870893</v>
      </c>
      <c r="AU256" s="9">
        <v>24.452619194082487</v>
      </c>
      <c r="AV256" s="9">
        <v>25.088619278591192</v>
      </c>
      <c r="AW256" s="11">
        <v>15.078394361149275</v>
      </c>
      <c r="AX256" s="11">
        <v>15.078394361149275</v>
      </c>
      <c r="AY256" t="s">
        <v>969</v>
      </c>
      <c r="AZ256" t="s">
        <v>950</v>
      </c>
      <c r="BA256" t="s">
        <v>951</v>
      </c>
      <c r="BB256" t="s">
        <v>970</v>
      </c>
      <c r="BC256" t="b">
        <v>1</v>
      </c>
    </row>
    <row r="257" spans="1:55">
      <c r="A257" t="s">
        <v>1492</v>
      </c>
      <c r="B257" t="s">
        <v>939</v>
      </c>
      <c r="C257">
        <v>3049800</v>
      </c>
      <c r="D257">
        <v>2340800</v>
      </c>
      <c r="E257">
        <v>3049800</v>
      </c>
      <c r="F257">
        <v>5135000</v>
      </c>
      <c r="G257" s="9">
        <v>9.0103354768077716E-3</v>
      </c>
      <c r="H257" s="9">
        <v>2.536821068371525E-2</v>
      </c>
      <c r="I257" s="9">
        <v>3.8052316025572873E-2</v>
      </c>
      <c r="J257" s="10">
        <v>23313.605638850728</v>
      </c>
      <c r="K257" s="10">
        <v>23313.605638850728</v>
      </c>
      <c r="L257" s="10">
        <v>23313.605638850728</v>
      </c>
      <c r="M257" s="10">
        <v>23313.605638850728</v>
      </c>
      <c r="N257" s="10">
        <v>23313.605638850728</v>
      </c>
      <c r="O257" s="10">
        <v>23313.605638850728</v>
      </c>
      <c r="P257" s="10">
        <v>23313.605638850728</v>
      </c>
      <c r="Q257" s="10">
        <v>23313.605638850728</v>
      </c>
      <c r="R257" s="10">
        <v>23313.605638850728</v>
      </c>
      <c r="S257" s="10">
        <v>23313.605638850728</v>
      </c>
      <c r="T257" s="10">
        <v>23313.605638850728</v>
      </c>
      <c r="V257" t="s">
        <v>456</v>
      </c>
      <c r="W257" t="s">
        <v>1492</v>
      </c>
      <c r="X257" t="s">
        <v>1493</v>
      </c>
      <c r="Y257" t="s">
        <v>941</v>
      </c>
      <c r="Z257" t="s">
        <v>942</v>
      </c>
      <c r="AB257" t="s">
        <v>524</v>
      </c>
      <c r="AC257" t="s">
        <v>523</v>
      </c>
      <c r="AD257" t="s">
        <v>968</v>
      </c>
      <c r="AF257" t="s">
        <v>944</v>
      </c>
      <c r="AG257" t="s">
        <v>955</v>
      </c>
      <c r="AH257" t="s">
        <v>956</v>
      </c>
      <c r="AI257" t="s">
        <v>947</v>
      </c>
      <c r="AJ257" t="s">
        <v>948</v>
      </c>
      <c r="AK257">
        <v>2</v>
      </c>
      <c r="AL257" s="10">
        <v>2340.8000000000002</v>
      </c>
      <c r="AM257" s="10">
        <v>3049.8</v>
      </c>
      <c r="AN257" s="10">
        <v>5135</v>
      </c>
      <c r="AO257" s="9">
        <v>0.34146853060569798</v>
      </c>
      <c r="AP257" s="9">
        <v>11.07</v>
      </c>
      <c r="AQ257" s="9">
        <v>0.47387284992706058</v>
      </c>
      <c r="AR257" s="9">
        <v>8.5364626268807111</v>
      </c>
      <c r="AS257" s="9">
        <v>9.0103354768077715</v>
      </c>
      <c r="AT257" s="9">
        <v>0.91559148963276482</v>
      </c>
      <c r="AU257" s="9">
        <v>24.452619194082491</v>
      </c>
      <c r="AV257" s="9">
        <v>25.368210683715251</v>
      </c>
      <c r="AW257" s="11">
        <v>23.313605638850728</v>
      </c>
      <c r="AX257" s="11">
        <v>23.313605638850728</v>
      </c>
      <c r="AY257" t="s">
        <v>969</v>
      </c>
      <c r="AZ257" t="s">
        <v>950</v>
      </c>
      <c r="BA257" t="s">
        <v>951</v>
      </c>
      <c r="BB257" t="s">
        <v>970</v>
      </c>
      <c r="BC257" t="b">
        <v>1</v>
      </c>
    </row>
    <row r="258" spans="1:55">
      <c r="A258" t="s">
        <v>1494</v>
      </c>
      <c r="B258" t="s">
        <v>939</v>
      </c>
      <c r="C258">
        <v>213800</v>
      </c>
      <c r="D258">
        <v>116300</v>
      </c>
      <c r="E258">
        <v>213800</v>
      </c>
      <c r="F258">
        <v>433400</v>
      </c>
      <c r="G258" s="9">
        <v>7.7903866110146389E-3</v>
      </c>
      <c r="H258" s="9">
        <v>2.3682009047031539E-2</v>
      </c>
      <c r="I258" s="9">
        <v>3.552301357054731E-2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V258" t="s">
        <v>456</v>
      </c>
      <c r="W258" t="s">
        <v>1494</v>
      </c>
      <c r="X258" t="s">
        <v>1495</v>
      </c>
      <c r="Y258" t="s">
        <v>941</v>
      </c>
      <c r="Z258" t="s">
        <v>942</v>
      </c>
      <c r="AB258" t="s">
        <v>524</v>
      </c>
      <c r="AC258" t="s">
        <v>523</v>
      </c>
      <c r="AD258" t="s">
        <v>943</v>
      </c>
      <c r="AF258" t="s">
        <v>944</v>
      </c>
      <c r="AG258" t="s">
        <v>959</v>
      </c>
      <c r="AH258" t="s">
        <v>946</v>
      </c>
      <c r="AI258" t="s">
        <v>960</v>
      </c>
      <c r="AJ258" t="s">
        <v>948</v>
      </c>
      <c r="AK258">
        <v>2</v>
      </c>
      <c r="AL258" s="10">
        <v>116.3</v>
      </c>
      <c r="AM258" s="10">
        <v>213.8</v>
      </c>
      <c r="AN258" s="10">
        <v>433.4</v>
      </c>
      <c r="AO258" s="9">
        <v>0.43768430663688968</v>
      </c>
      <c r="AP258" s="9">
        <v>14.1892</v>
      </c>
      <c r="AQ258" s="9">
        <v>4.0386611014637898E-2</v>
      </c>
      <c r="AR258" s="9">
        <v>7.7499999999999991</v>
      </c>
      <c r="AS258" s="9">
        <v>7.7903866110146387</v>
      </c>
      <c r="AT258" s="9">
        <v>8.2009047031538093E-2</v>
      </c>
      <c r="AU258" s="9">
        <v>23.6</v>
      </c>
      <c r="AV258" s="9">
        <v>23.682009047031539</v>
      </c>
      <c r="AW258" s="11">
        <v>0</v>
      </c>
      <c r="AX258" s="11">
        <v>0</v>
      </c>
      <c r="AY258" t="s">
        <v>973</v>
      </c>
      <c r="AZ258" t="s">
        <v>950</v>
      </c>
      <c r="BA258" t="s">
        <v>951</v>
      </c>
      <c r="BB258" t="s">
        <v>970</v>
      </c>
      <c r="BC258" t="b">
        <v>1</v>
      </c>
    </row>
    <row r="259" spans="1:55">
      <c r="A259" t="s">
        <v>1496</v>
      </c>
      <c r="B259" t="s">
        <v>939</v>
      </c>
      <c r="C259">
        <v>769000</v>
      </c>
      <c r="D259">
        <v>418200</v>
      </c>
      <c r="E259">
        <v>769000</v>
      </c>
      <c r="F259">
        <v>1558700</v>
      </c>
      <c r="G259" s="9">
        <v>1.6153061908672179E-2</v>
      </c>
      <c r="H259" s="9"/>
      <c r="I259" s="9"/>
      <c r="J259" s="10">
        <v>30760</v>
      </c>
      <c r="K259" s="10">
        <v>30760</v>
      </c>
      <c r="L259" s="10">
        <v>30760</v>
      </c>
      <c r="M259" s="10">
        <v>30760</v>
      </c>
      <c r="N259" s="10">
        <v>30760</v>
      </c>
      <c r="O259" s="10">
        <v>30760</v>
      </c>
      <c r="P259" s="10">
        <v>30760</v>
      </c>
      <c r="Q259" s="10">
        <v>30760</v>
      </c>
      <c r="R259" s="10">
        <v>30760</v>
      </c>
      <c r="S259" s="10">
        <v>30760</v>
      </c>
      <c r="T259" s="10">
        <v>30760</v>
      </c>
      <c r="V259" t="s">
        <v>456</v>
      </c>
      <c r="W259" t="s">
        <v>1496</v>
      </c>
      <c r="X259" t="s">
        <v>1497</v>
      </c>
      <c r="Y259" t="s">
        <v>941</v>
      </c>
      <c r="Z259" t="s">
        <v>942</v>
      </c>
      <c r="AB259" t="s">
        <v>46</v>
      </c>
      <c r="AC259" t="s">
        <v>46</v>
      </c>
      <c r="AD259" t="s">
        <v>943</v>
      </c>
      <c r="AF259" t="s">
        <v>944</v>
      </c>
      <c r="AG259" t="s">
        <v>945</v>
      </c>
      <c r="AH259" t="s">
        <v>946</v>
      </c>
      <c r="AI259" t="s">
        <v>947</v>
      </c>
      <c r="AJ259" t="s">
        <v>948</v>
      </c>
      <c r="AK259">
        <v>1</v>
      </c>
      <c r="AL259" s="10">
        <v>418.2</v>
      </c>
      <c r="AM259" s="10">
        <v>769</v>
      </c>
      <c r="AN259" s="10">
        <v>1558.7</v>
      </c>
      <c r="AO259" s="9">
        <v>0.1384542606460365</v>
      </c>
      <c r="AP259" s="9">
        <v>1.5511999999999999</v>
      </c>
      <c r="AQ259" s="9">
        <v>1.8042991253927889</v>
      </c>
      <c r="AR259" s="9">
        <v>14.34876278327939</v>
      </c>
      <c r="AS259" s="9">
        <v>16.153061908672179</v>
      </c>
      <c r="AT259" s="9"/>
      <c r="AU259" s="9"/>
      <c r="AV259" s="9"/>
      <c r="AW259" s="11">
        <v>30.76</v>
      </c>
      <c r="AX259" s="11">
        <v>30.76</v>
      </c>
      <c r="AY259" t="s">
        <v>949</v>
      </c>
      <c r="AZ259" t="s">
        <v>950</v>
      </c>
      <c r="BA259" t="s">
        <v>951</v>
      </c>
      <c r="BB259" t="s">
        <v>952</v>
      </c>
      <c r="BC259" t="b">
        <v>0</v>
      </c>
    </row>
    <row r="260" spans="1:55">
      <c r="A260" t="s">
        <v>1498</v>
      </c>
      <c r="B260" t="s">
        <v>939</v>
      </c>
      <c r="C260">
        <v>769000</v>
      </c>
      <c r="D260">
        <v>418200</v>
      </c>
      <c r="E260">
        <v>769000</v>
      </c>
      <c r="F260">
        <v>1558700</v>
      </c>
      <c r="G260" s="9">
        <v>1.9777735305875736E-2</v>
      </c>
      <c r="H260" s="9">
        <v>5.4956107551440703E-2</v>
      </c>
      <c r="I260" s="9">
        <v>8.2434161327161054E-2</v>
      </c>
      <c r="J260" s="10">
        <v>30760</v>
      </c>
      <c r="K260" s="10">
        <v>30760</v>
      </c>
      <c r="L260" s="10">
        <v>30760</v>
      </c>
      <c r="M260" s="10">
        <v>30760</v>
      </c>
      <c r="N260" s="10">
        <v>30760</v>
      </c>
      <c r="O260" s="10">
        <v>30760</v>
      </c>
      <c r="P260" s="10">
        <v>30760</v>
      </c>
      <c r="Q260" s="10">
        <v>30760</v>
      </c>
      <c r="R260" s="10">
        <v>30760</v>
      </c>
      <c r="S260" s="10">
        <v>30760</v>
      </c>
      <c r="T260" s="10">
        <v>30760</v>
      </c>
      <c r="V260" t="s">
        <v>456</v>
      </c>
      <c r="W260" t="s">
        <v>1498</v>
      </c>
      <c r="X260" t="s">
        <v>1499</v>
      </c>
      <c r="Y260" t="s">
        <v>941</v>
      </c>
      <c r="Z260" t="s">
        <v>942</v>
      </c>
      <c r="AB260" t="s">
        <v>46</v>
      </c>
      <c r="AC260" t="s">
        <v>46</v>
      </c>
      <c r="AD260" t="s">
        <v>943</v>
      </c>
      <c r="AF260" t="s">
        <v>944</v>
      </c>
      <c r="AG260" t="s">
        <v>955</v>
      </c>
      <c r="AH260" t="s">
        <v>956</v>
      </c>
      <c r="AI260" t="s">
        <v>947</v>
      </c>
      <c r="AJ260" t="s">
        <v>948</v>
      </c>
      <c r="AK260">
        <v>2</v>
      </c>
      <c r="AL260" s="10">
        <v>418.2</v>
      </c>
      <c r="AM260" s="10">
        <v>769</v>
      </c>
      <c r="AN260" s="10">
        <v>1558.7</v>
      </c>
      <c r="AO260" s="9">
        <v>0.1384542606460365</v>
      </c>
      <c r="AP260" s="9">
        <v>1.5511999999999999</v>
      </c>
      <c r="AQ260" s="9">
        <v>5.4289725225963466</v>
      </c>
      <c r="AR260" s="9">
        <v>14.34876278327939</v>
      </c>
      <c r="AS260" s="9">
        <v>19.777735305875737</v>
      </c>
      <c r="AT260" s="9">
        <v>7.6005615316348836</v>
      </c>
      <c r="AU260" s="9">
        <v>47.355546019805828</v>
      </c>
      <c r="AV260" s="9">
        <v>54.956107551440702</v>
      </c>
      <c r="AW260" s="11">
        <v>30.76</v>
      </c>
      <c r="AX260" s="11">
        <v>30.76</v>
      </c>
      <c r="AY260" t="s">
        <v>949</v>
      </c>
      <c r="AZ260" t="s">
        <v>950</v>
      </c>
      <c r="BA260" t="s">
        <v>951</v>
      </c>
      <c r="BB260" t="s">
        <v>952</v>
      </c>
      <c r="BC260" t="b">
        <v>1</v>
      </c>
    </row>
    <row r="261" spans="1:55">
      <c r="A261" t="s">
        <v>1500</v>
      </c>
      <c r="B261" t="s">
        <v>939</v>
      </c>
      <c r="C261">
        <v>111500</v>
      </c>
      <c r="D261">
        <v>60600</v>
      </c>
      <c r="E261">
        <v>111500</v>
      </c>
      <c r="F261">
        <v>226000</v>
      </c>
      <c r="G261" s="9">
        <v>9.7754564524172478E-3</v>
      </c>
      <c r="H261" s="9">
        <v>2.643563903338415E-2</v>
      </c>
      <c r="I261" s="9">
        <v>3.9653458550076223E-2</v>
      </c>
      <c r="J261" s="10">
        <v>4460</v>
      </c>
      <c r="K261" s="10">
        <v>4460</v>
      </c>
      <c r="L261" s="10">
        <v>4460</v>
      </c>
      <c r="M261" s="10">
        <v>4460</v>
      </c>
      <c r="N261" s="10">
        <v>4460</v>
      </c>
      <c r="O261" s="10">
        <v>4460</v>
      </c>
      <c r="P261" s="10">
        <v>4460</v>
      </c>
      <c r="Q261" s="10">
        <v>4460</v>
      </c>
      <c r="R261" s="10">
        <v>4460</v>
      </c>
      <c r="S261" s="10">
        <v>4460</v>
      </c>
      <c r="T261" s="10">
        <v>4460</v>
      </c>
      <c r="V261" t="s">
        <v>456</v>
      </c>
      <c r="W261" t="s">
        <v>1500</v>
      </c>
      <c r="X261" t="s">
        <v>1501</v>
      </c>
      <c r="Y261" t="s">
        <v>941</v>
      </c>
      <c r="Z261" t="s">
        <v>942</v>
      </c>
      <c r="AB261" t="s">
        <v>46</v>
      </c>
      <c r="AC261" t="s">
        <v>46</v>
      </c>
      <c r="AD261" t="s">
        <v>943</v>
      </c>
      <c r="AF261" t="s">
        <v>944</v>
      </c>
      <c r="AG261" t="s">
        <v>1042</v>
      </c>
      <c r="AH261" t="s">
        <v>988</v>
      </c>
      <c r="AI261" t="s">
        <v>960</v>
      </c>
      <c r="AJ261" t="s">
        <v>948</v>
      </c>
      <c r="AK261">
        <v>1</v>
      </c>
      <c r="AL261" s="10">
        <v>60.6</v>
      </c>
      <c r="AM261" s="10">
        <v>111.5</v>
      </c>
      <c r="AN261" s="10">
        <v>226</v>
      </c>
      <c r="AO261" s="9">
        <v>0.72309147870792689</v>
      </c>
      <c r="AP261" s="9">
        <v>8.1013000000000002</v>
      </c>
      <c r="AQ261" s="9">
        <v>2.0254564524172487</v>
      </c>
      <c r="AR261" s="9">
        <v>7.75</v>
      </c>
      <c r="AS261" s="9">
        <v>9.7754564524172487</v>
      </c>
      <c r="AT261" s="9">
        <v>2.8356390333841479</v>
      </c>
      <c r="AU261" s="9">
        <v>23.6</v>
      </c>
      <c r="AV261" s="9">
        <v>26.435639033384149</v>
      </c>
      <c r="AW261" s="11">
        <v>4.46</v>
      </c>
      <c r="AX261" s="11">
        <v>4.46</v>
      </c>
      <c r="AY261" t="s">
        <v>949</v>
      </c>
      <c r="AZ261" t="s">
        <v>950</v>
      </c>
      <c r="BA261" t="s">
        <v>951</v>
      </c>
      <c r="BB261" t="s">
        <v>952</v>
      </c>
      <c r="BC261" t="b">
        <v>1</v>
      </c>
    </row>
    <row r="262" spans="1:55">
      <c r="A262" t="s">
        <v>1502</v>
      </c>
      <c r="B262" t="s">
        <v>939</v>
      </c>
      <c r="C262">
        <v>1172700</v>
      </c>
      <c r="D262">
        <v>637700</v>
      </c>
      <c r="E262">
        <v>1172700</v>
      </c>
      <c r="F262">
        <v>2377000</v>
      </c>
      <c r="G262" s="9">
        <v>1.4955716019845354E-2</v>
      </c>
      <c r="H262" s="9">
        <v>4.9491877009532094E-2</v>
      </c>
      <c r="I262" s="9">
        <v>7.4237815514298144E-2</v>
      </c>
      <c r="J262" s="10">
        <v>46908</v>
      </c>
      <c r="K262" s="10">
        <v>46908</v>
      </c>
      <c r="L262" s="10">
        <v>46908</v>
      </c>
      <c r="M262" s="10">
        <v>46908</v>
      </c>
      <c r="N262" s="10">
        <v>46908</v>
      </c>
      <c r="O262" s="10">
        <v>46908</v>
      </c>
      <c r="P262" s="10">
        <v>46908</v>
      </c>
      <c r="Q262" s="10">
        <v>46908</v>
      </c>
      <c r="R262" s="10">
        <v>46908</v>
      </c>
      <c r="S262" s="10">
        <v>46908</v>
      </c>
      <c r="T262" s="10">
        <v>46908</v>
      </c>
      <c r="V262" t="s">
        <v>456</v>
      </c>
      <c r="W262" t="s">
        <v>1502</v>
      </c>
      <c r="X262" t="s">
        <v>1503</v>
      </c>
      <c r="Y262" t="s">
        <v>941</v>
      </c>
      <c r="Z262" t="s">
        <v>942</v>
      </c>
      <c r="AB262" t="s">
        <v>525</v>
      </c>
      <c r="AC262" t="s">
        <v>525</v>
      </c>
      <c r="AD262" t="s">
        <v>943</v>
      </c>
      <c r="AF262" t="s">
        <v>944</v>
      </c>
      <c r="AG262" t="s">
        <v>945</v>
      </c>
      <c r="AH262" t="s">
        <v>946</v>
      </c>
      <c r="AI262" t="s">
        <v>947</v>
      </c>
      <c r="AJ262" t="s">
        <v>948</v>
      </c>
      <c r="AK262">
        <v>4</v>
      </c>
      <c r="AL262" s="10">
        <v>637.70000000000005</v>
      </c>
      <c r="AM262" s="10">
        <v>1172.7</v>
      </c>
      <c r="AN262" s="10">
        <v>2377</v>
      </c>
      <c r="AO262" s="9">
        <v>1</v>
      </c>
      <c r="AP262" s="9">
        <v>4.0635000000000003</v>
      </c>
      <c r="AQ262" s="9">
        <v>0.12863894276827559</v>
      </c>
      <c r="AR262" s="9">
        <v>14.82707707707708</v>
      </c>
      <c r="AS262" s="9">
        <v>14.955716019845354</v>
      </c>
      <c r="AT262" s="9">
        <v>0.41439953205462349</v>
      </c>
      <c r="AU262" s="9">
        <v>49.07747747747748</v>
      </c>
      <c r="AV262" s="9">
        <v>49.491877009532097</v>
      </c>
      <c r="AW262" s="11">
        <v>46.908000000000001</v>
      </c>
      <c r="AX262" s="11">
        <v>46.908000000000001</v>
      </c>
      <c r="AY262" t="s">
        <v>949</v>
      </c>
      <c r="AZ262" t="s">
        <v>950</v>
      </c>
      <c r="BA262" t="s">
        <v>951</v>
      </c>
      <c r="BB262" t="s">
        <v>952</v>
      </c>
      <c r="BC262" t="b">
        <v>1</v>
      </c>
    </row>
    <row r="263" spans="1:55">
      <c r="A263" t="s">
        <v>1504</v>
      </c>
      <c r="B263" t="s">
        <v>939</v>
      </c>
      <c r="C263">
        <v>39222300</v>
      </c>
      <c r="D263">
        <v>21328200</v>
      </c>
      <c r="E263">
        <v>39222300</v>
      </c>
      <c r="F263">
        <v>79501200</v>
      </c>
      <c r="G263" s="9">
        <v>7.953681551915134E-3</v>
      </c>
      <c r="H263" s="9">
        <v>2.406519763432656E-2</v>
      </c>
      <c r="I263" s="9">
        <v>3.609779645148984E-2</v>
      </c>
      <c r="J263" s="10">
        <v>1568892</v>
      </c>
      <c r="K263" s="10">
        <v>1568892</v>
      </c>
      <c r="L263" s="10">
        <v>1568892</v>
      </c>
      <c r="M263" s="10">
        <v>1568892</v>
      </c>
      <c r="N263" s="10">
        <v>1568892</v>
      </c>
      <c r="O263" s="10">
        <v>1568892</v>
      </c>
      <c r="P263" s="10">
        <v>1568892</v>
      </c>
      <c r="Q263" s="10">
        <v>1568892</v>
      </c>
      <c r="R263" s="10">
        <v>1568892</v>
      </c>
      <c r="S263" s="10">
        <v>1568892</v>
      </c>
      <c r="T263" s="10">
        <v>1568892</v>
      </c>
      <c r="V263" t="s">
        <v>456</v>
      </c>
      <c r="W263" t="s">
        <v>1504</v>
      </c>
      <c r="X263" t="s">
        <v>1505</v>
      </c>
      <c r="Y263" t="s">
        <v>941</v>
      </c>
      <c r="Z263" t="s">
        <v>942</v>
      </c>
      <c r="AB263" t="s">
        <v>527</v>
      </c>
      <c r="AC263" t="s">
        <v>526</v>
      </c>
      <c r="AD263" t="s">
        <v>943</v>
      </c>
      <c r="AF263" t="s">
        <v>944</v>
      </c>
      <c r="AG263" t="s">
        <v>959</v>
      </c>
      <c r="AH263" t="s">
        <v>946</v>
      </c>
      <c r="AI263" t="s">
        <v>960</v>
      </c>
      <c r="AJ263" t="s">
        <v>948</v>
      </c>
      <c r="AK263">
        <v>17</v>
      </c>
      <c r="AL263" s="10">
        <v>21328.2</v>
      </c>
      <c r="AM263" s="10">
        <v>39222.300000000003</v>
      </c>
      <c r="AN263" s="10">
        <v>79501.2</v>
      </c>
      <c r="AO263" s="9">
        <v>1</v>
      </c>
      <c r="AP263" s="9">
        <v>21.677600000000002</v>
      </c>
      <c r="AQ263" s="9">
        <v>0.2036815519151336</v>
      </c>
      <c r="AR263" s="9">
        <v>7.7499999999999991</v>
      </c>
      <c r="AS263" s="9">
        <v>7.9536815519151336</v>
      </c>
      <c r="AT263" s="9">
        <v>0.46519763432655648</v>
      </c>
      <c r="AU263" s="9">
        <v>23.600000000000005</v>
      </c>
      <c r="AV263" s="9">
        <v>24.065197634326559</v>
      </c>
      <c r="AW263" s="11">
        <v>1568.8920000000001</v>
      </c>
      <c r="AX263" s="11">
        <v>1568.8920000000001</v>
      </c>
      <c r="AY263" t="s">
        <v>949</v>
      </c>
      <c r="AZ263" t="s">
        <v>950</v>
      </c>
      <c r="BA263" t="s">
        <v>951</v>
      </c>
      <c r="BB263" t="s">
        <v>952</v>
      </c>
      <c r="BC263" t="b">
        <v>1</v>
      </c>
    </row>
    <row r="264" spans="1:55">
      <c r="A264" t="s">
        <v>1506</v>
      </c>
      <c r="B264" t="s">
        <v>939</v>
      </c>
      <c r="C264">
        <v>498400</v>
      </c>
      <c r="D264">
        <v>271000</v>
      </c>
      <c r="E264">
        <v>498400</v>
      </c>
      <c r="F264">
        <v>1010300</v>
      </c>
      <c r="G264" s="9">
        <v>2.4076927488272264E-2</v>
      </c>
      <c r="H264" s="9">
        <v>3.8242085996396467E-2</v>
      </c>
      <c r="I264" s="9">
        <v>5.7363128994594698E-2</v>
      </c>
      <c r="J264" s="10">
        <v>19936</v>
      </c>
      <c r="K264" s="10">
        <v>19936</v>
      </c>
      <c r="L264" s="10">
        <v>19936</v>
      </c>
      <c r="M264" s="10">
        <v>19936</v>
      </c>
      <c r="N264" s="10">
        <v>19936</v>
      </c>
      <c r="O264" s="10">
        <v>19936</v>
      </c>
      <c r="P264" s="10">
        <v>19936</v>
      </c>
      <c r="Q264" s="10">
        <v>19936</v>
      </c>
      <c r="R264" s="10">
        <v>19936</v>
      </c>
      <c r="S264" s="10">
        <v>19936</v>
      </c>
      <c r="T264" s="10">
        <v>19936</v>
      </c>
      <c r="V264" t="s">
        <v>456</v>
      </c>
      <c r="W264" t="s">
        <v>1506</v>
      </c>
      <c r="X264" t="s">
        <v>1507</v>
      </c>
      <c r="Y264" t="s">
        <v>941</v>
      </c>
      <c r="Z264" t="s">
        <v>942</v>
      </c>
      <c r="AB264" t="s">
        <v>528</v>
      </c>
      <c r="AC264" t="s">
        <v>528</v>
      </c>
      <c r="AD264" t="s">
        <v>943</v>
      </c>
      <c r="AF264" t="s">
        <v>986</v>
      </c>
      <c r="AG264" t="s">
        <v>959</v>
      </c>
      <c r="AH264" t="s">
        <v>946</v>
      </c>
      <c r="AI264" t="s">
        <v>960</v>
      </c>
      <c r="AJ264" t="s">
        <v>1054</v>
      </c>
      <c r="AK264">
        <v>1</v>
      </c>
      <c r="AL264" s="10">
        <v>271</v>
      </c>
      <c r="AM264" s="10">
        <v>498.4</v>
      </c>
      <c r="AN264" s="10">
        <v>1010.3</v>
      </c>
      <c r="AO264" s="9">
        <v>4.3486995908825203E-2</v>
      </c>
      <c r="AP264" s="9">
        <v>0.23810000000000001</v>
      </c>
      <c r="AQ264" s="9">
        <v>2.3769274882722664</v>
      </c>
      <c r="AR264" s="9">
        <v>21.7</v>
      </c>
      <c r="AS264" s="9">
        <v>24.076927488272265</v>
      </c>
      <c r="AT264" s="9">
        <v>2.2420859963964714</v>
      </c>
      <c r="AU264" s="9">
        <v>36</v>
      </c>
      <c r="AV264" s="9">
        <v>38.242085996396469</v>
      </c>
      <c r="AW264" s="11">
        <v>19.936</v>
      </c>
      <c r="AX264" s="11">
        <v>19.936</v>
      </c>
      <c r="AY264" t="s">
        <v>949</v>
      </c>
      <c r="AZ264" t="s">
        <v>950</v>
      </c>
      <c r="BA264" t="s">
        <v>951</v>
      </c>
      <c r="BB264" t="s">
        <v>952</v>
      </c>
      <c r="BC264" t="b">
        <v>1</v>
      </c>
    </row>
    <row r="265" spans="1:55">
      <c r="A265" t="s">
        <v>1508</v>
      </c>
      <c r="B265" t="s">
        <v>939</v>
      </c>
      <c r="C265">
        <v>98100</v>
      </c>
      <c r="D265">
        <v>53300</v>
      </c>
      <c r="E265">
        <v>98100</v>
      </c>
      <c r="F265">
        <v>198800</v>
      </c>
      <c r="G265" s="9">
        <v>1.5213791498844977E-2</v>
      </c>
      <c r="H265" s="9">
        <v>4.9484717072874482E-2</v>
      </c>
      <c r="I265" s="9">
        <v>7.4227075609311716E-2</v>
      </c>
      <c r="J265" s="10">
        <v>3924</v>
      </c>
      <c r="K265" s="10">
        <v>3924</v>
      </c>
      <c r="L265" s="10">
        <v>3924</v>
      </c>
      <c r="M265" s="10">
        <v>3924</v>
      </c>
      <c r="N265" s="10">
        <v>3924</v>
      </c>
      <c r="O265" s="10">
        <v>3924</v>
      </c>
      <c r="P265" s="10">
        <v>3924</v>
      </c>
      <c r="Q265" s="10">
        <v>3924</v>
      </c>
      <c r="R265" s="10">
        <v>3924</v>
      </c>
      <c r="S265" s="10">
        <v>3924</v>
      </c>
      <c r="T265" s="10">
        <v>3924</v>
      </c>
      <c r="V265" t="s">
        <v>456</v>
      </c>
      <c r="W265" t="s">
        <v>1508</v>
      </c>
      <c r="X265" t="s">
        <v>1509</v>
      </c>
      <c r="Y265" t="s">
        <v>941</v>
      </c>
      <c r="Z265" t="s">
        <v>942</v>
      </c>
      <c r="AB265" t="s">
        <v>528</v>
      </c>
      <c r="AC265" t="s">
        <v>528</v>
      </c>
      <c r="AD265" t="s">
        <v>943</v>
      </c>
      <c r="AF265" t="s">
        <v>944</v>
      </c>
      <c r="AG265" t="s">
        <v>945</v>
      </c>
      <c r="AH265" t="s">
        <v>946</v>
      </c>
      <c r="AI265" t="s">
        <v>947</v>
      </c>
      <c r="AJ265" t="s">
        <v>948</v>
      </c>
      <c r="AK265">
        <v>1</v>
      </c>
      <c r="AL265" s="10">
        <v>53.3</v>
      </c>
      <c r="AM265" s="10">
        <v>98.1</v>
      </c>
      <c r="AN265" s="10">
        <v>198.8</v>
      </c>
      <c r="AO265" s="9">
        <v>0.1086718293395674</v>
      </c>
      <c r="AP265" s="9">
        <v>0.59499999999999997</v>
      </c>
      <c r="AQ265" s="9">
        <v>0.44769651043974529</v>
      </c>
      <c r="AR265" s="9">
        <v>14.766094988405232</v>
      </c>
      <c r="AS265" s="9">
        <v>15.213791498844977</v>
      </c>
      <c r="AT265" s="9">
        <v>0.62677511461564339</v>
      </c>
      <c r="AU265" s="9">
        <v>48.857941958258834</v>
      </c>
      <c r="AV265" s="9">
        <v>49.484717072874481</v>
      </c>
      <c r="AW265" s="11">
        <v>3.9239999999999999</v>
      </c>
      <c r="AX265" s="11">
        <v>3.9239999999999999</v>
      </c>
      <c r="AY265" t="s">
        <v>949</v>
      </c>
      <c r="AZ265" t="s">
        <v>950</v>
      </c>
      <c r="BA265" t="s">
        <v>951</v>
      </c>
      <c r="BB265" t="s">
        <v>952</v>
      </c>
      <c r="BC265" t="b">
        <v>1</v>
      </c>
    </row>
    <row r="266" spans="1:55">
      <c r="A266" t="s">
        <v>1510</v>
      </c>
      <c r="B266" t="s">
        <v>939</v>
      </c>
      <c r="C266">
        <v>45700</v>
      </c>
      <c r="D266">
        <v>24800</v>
      </c>
      <c r="E266">
        <v>45700</v>
      </c>
      <c r="F266">
        <v>92600</v>
      </c>
      <c r="G266" s="9">
        <v>9.972094369024926E-3</v>
      </c>
      <c r="H266" s="9">
        <v>2.6710932116634899E-2</v>
      </c>
      <c r="I266" s="9">
        <v>4.0066398174952347E-2</v>
      </c>
      <c r="J266" s="10">
        <v>1828</v>
      </c>
      <c r="K266" s="10">
        <v>1828</v>
      </c>
      <c r="L266" s="10">
        <v>1828</v>
      </c>
      <c r="M266" s="10">
        <v>1828</v>
      </c>
      <c r="N266" s="10">
        <v>1828</v>
      </c>
      <c r="O266" s="10">
        <v>1828</v>
      </c>
      <c r="P266" s="10">
        <v>1828</v>
      </c>
      <c r="Q266" s="10">
        <v>1828</v>
      </c>
      <c r="R266" s="10">
        <v>1828</v>
      </c>
      <c r="S266" s="10">
        <v>1828</v>
      </c>
      <c r="T266" s="10">
        <v>1828</v>
      </c>
      <c r="V266" t="s">
        <v>456</v>
      </c>
      <c r="W266" t="s">
        <v>1510</v>
      </c>
      <c r="X266" t="s">
        <v>1511</v>
      </c>
      <c r="Y266" t="s">
        <v>941</v>
      </c>
      <c r="Z266" t="s">
        <v>942</v>
      </c>
      <c r="AB266" t="s">
        <v>528</v>
      </c>
      <c r="AC266" t="s">
        <v>528</v>
      </c>
      <c r="AD266" t="s">
        <v>943</v>
      </c>
      <c r="AF266" t="s">
        <v>944</v>
      </c>
      <c r="AG266" t="s">
        <v>965</v>
      </c>
      <c r="AH266" t="s">
        <v>956</v>
      </c>
      <c r="AI266" t="s">
        <v>960</v>
      </c>
      <c r="AJ266" t="s">
        <v>948</v>
      </c>
      <c r="AK266">
        <v>1</v>
      </c>
      <c r="AL266" s="10">
        <v>24.8</v>
      </c>
      <c r="AM266" s="10">
        <v>45.7</v>
      </c>
      <c r="AN266" s="10">
        <v>92.6</v>
      </c>
      <c r="AO266" s="9">
        <v>0.70908825248392737</v>
      </c>
      <c r="AP266" s="9">
        <v>3.8824000000000001</v>
      </c>
      <c r="AQ266" s="9">
        <v>2.2220943690249282</v>
      </c>
      <c r="AR266" s="9">
        <v>7.75</v>
      </c>
      <c r="AS266" s="9">
        <v>9.9720943690249264</v>
      </c>
      <c r="AT266" s="9">
        <v>3.1109321166348982</v>
      </c>
      <c r="AU266" s="9">
        <v>23.6</v>
      </c>
      <c r="AV266" s="9">
        <v>26.710932116634901</v>
      </c>
      <c r="AW266" s="11">
        <v>1.8280000000000001</v>
      </c>
      <c r="AX266" s="11">
        <v>1.8280000000000001</v>
      </c>
      <c r="AY266" t="s">
        <v>949</v>
      </c>
      <c r="AZ266" t="s">
        <v>950</v>
      </c>
      <c r="BA266" t="s">
        <v>951</v>
      </c>
      <c r="BB266" t="s">
        <v>952</v>
      </c>
      <c r="BC266" t="b">
        <v>1</v>
      </c>
    </row>
    <row r="267" spans="1:55">
      <c r="A267" t="s">
        <v>1512</v>
      </c>
      <c r="B267" t="s">
        <v>939</v>
      </c>
      <c r="C267">
        <v>125300</v>
      </c>
      <c r="D267">
        <v>68100</v>
      </c>
      <c r="E267">
        <v>125300</v>
      </c>
      <c r="F267">
        <v>253900</v>
      </c>
      <c r="G267" s="9">
        <v>1.848577051150067E-2</v>
      </c>
      <c r="H267" s="9"/>
      <c r="I267" s="9"/>
      <c r="J267" s="10">
        <v>5012</v>
      </c>
      <c r="K267" s="10">
        <v>5012</v>
      </c>
      <c r="L267" s="10">
        <v>5012</v>
      </c>
      <c r="M267" s="10">
        <v>5012</v>
      </c>
      <c r="N267" s="10">
        <v>5012</v>
      </c>
      <c r="O267" s="10">
        <v>5012</v>
      </c>
      <c r="P267" s="10">
        <v>5012</v>
      </c>
      <c r="Q267" s="10">
        <v>5012</v>
      </c>
      <c r="R267" s="10">
        <v>5012</v>
      </c>
      <c r="S267" s="10">
        <v>5012</v>
      </c>
      <c r="T267" s="10">
        <v>5012</v>
      </c>
      <c r="V267" t="s">
        <v>456</v>
      </c>
      <c r="W267" t="s">
        <v>1512</v>
      </c>
      <c r="X267" t="s">
        <v>1513</v>
      </c>
      <c r="Y267" t="s">
        <v>941</v>
      </c>
      <c r="Z267" t="s">
        <v>942</v>
      </c>
      <c r="AB267" t="s">
        <v>528</v>
      </c>
      <c r="AC267" t="s">
        <v>528</v>
      </c>
      <c r="AD267" t="s">
        <v>943</v>
      </c>
      <c r="AF267" t="s">
        <v>944</v>
      </c>
      <c r="AG267" t="s">
        <v>955</v>
      </c>
      <c r="AH267" t="s">
        <v>956</v>
      </c>
      <c r="AI267" t="s">
        <v>947</v>
      </c>
      <c r="AJ267" t="s">
        <v>948</v>
      </c>
      <c r="AK267">
        <v>2</v>
      </c>
      <c r="AL267" s="10">
        <v>68.099999999999994</v>
      </c>
      <c r="AM267" s="10">
        <v>125.3</v>
      </c>
      <c r="AN267" s="10">
        <v>253.9</v>
      </c>
      <c r="AO267" s="9">
        <v>0.13875292226767971</v>
      </c>
      <c r="AP267" s="9">
        <v>0.75970000000000004</v>
      </c>
      <c r="AQ267" s="9">
        <v>3.719675523095439</v>
      </c>
      <c r="AR267" s="9">
        <v>14.76609498840523</v>
      </c>
      <c r="AS267" s="9">
        <v>18.485770511500672</v>
      </c>
      <c r="AT267" s="9"/>
      <c r="AU267" s="9"/>
      <c r="AV267" s="9"/>
      <c r="AW267" s="11">
        <v>5.0119999999999996</v>
      </c>
      <c r="AX267" s="11">
        <v>5.0119999999999996</v>
      </c>
      <c r="AY267" t="s">
        <v>949</v>
      </c>
      <c r="AZ267" t="s">
        <v>950</v>
      </c>
      <c r="BA267" t="s">
        <v>951</v>
      </c>
      <c r="BB267" t="s">
        <v>952</v>
      </c>
      <c r="BC267" t="b">
        <v>0</v>
      </c>
    </row>
    <row r="268" spans="1:55">
      <c r="A268" t="s">
        <v>1514</v>
      </c>
      <c r="B268" t="s">
        <v>939</v>
      </c>
      <c r="C268">
        <v>246900</v>
      </c>
      <c r="D268">
        <v>134300</v>
      </c>
      <c r="E268">
        <v>246900</v>
      </c>
      <c r="F268">
        <v>500500</v>
      </c>
      <c r="G268" s="9">
        <v>2.7212503511610635E-2</v>
      </c>
      <c r="H268" s="9">
        <v>4.3717504916254889E-2</v>
      </c>
      <c r="I268" s="9">
        <v>6.557625737438233E-2</v>
      </c>
      <c r="J268" s="10">
        <v>9133.7092159197928</v>
      </c>
      <c r="K268" s="10">
        <v>8924.0505653901837</v>
      </c>
      <c r="L268" s="10">
        <v>8714.3919148605746</v>
      </c>
      <c r="M268" s="10">
        <v>8504.7332643309637</v>
      </c>
      <c r="N268" s="10">
        <v>8295.0746138013546</v>
      </c>
      <c r="O268" s="10">
        <v>8085.4159632717447</v>
      </c>
      <c r="P268" s="10">
        <v>7666.0986622125247</v>
      </c>
      <c r="Q268" s="10">
        <v>7246.7813611533047</v>
      </c>
      <c r="R268" s="10">
        <v>6827.4640600940857</v>
      </c>
      <c r="S268" s="10">
        <v>6408.1467590348648</v>
      </c>
      <c r="T268" s="10">
        <v>5988.8294579756448</v>
      </c>
      <c r="V268" t="s">
        <v>456</v>
      </c>
      <c r="W268" t="s">
        <v>1514</v>
      </c>
      <c r="X268" t="s">
        <v>1515</v>
      </c>
      <c r="Y268" t="s">
        <v>941</v>
      </c>
      <c r="Z268" t="s">
        <v>942</v>
      </c>
      <c r="AB268" t="s">
        <v>530</v>
      </c>
      <c r="AC268" t="s">
        <v>529</v>
      </c>
      <c r="AD268" t="s">
        <v>943</v>
      </c>
      <c r="AF268" t="s">
        <v>986</v>
      </c>
      <c r="AG268" t="s">
        <v>965</v>
      </c>
      <c r="AH268" t="s">
        <v>956</v>
      </c>
      <c r="AI268" t="s">
        <v>960</v>
      </c>
      <c r="AJ268" t="s">
        <v>1054</v>
      </c>
      <c r="AK268">
        <v>1</v>
      </c>
      <c r="AL268" s="10">
        <v>134.30000000000001</v>
      </c>
      <c r="AM268" s="10">
        <v>246.9</v>
      </c>
      <c r="AN268" s="10">
        <v>500.5</v>
      </c>
      <c r="AO268" s="9">
        <v>0.38314751930762991</v>
      </c>
      <c r="AP268" s="9">
        <v>1.2749999999999999</v>
      </c>
      <c r="AQ268" s="9">
        <v>5.5125035116106353</v>
      </c>
      <c r="AR268" s="9">
        <v>21.7</v>
      </c>
      <c r="AS268" s="9">
        <v>27.212503511610635</v>
      </c>
      <c r="AT268" s="9">
        <v>7.7175049162548897</v>
      </c>
      <c r="AU268" s="9">
        <v>36</v>
      </c>
      <c r="AV268" s="9">
        <v>43.717504916254889</v>
      </c>
      <c r="AW268" s="11">
        <v>9.1337092159197937</v>
      </c>
      <c r="AX268" s="11">
        <v>5.9888294579756449</v>
      </c>
      <c r="AY268" t="s">
        <v>949</v>
      </c>
      <c r="AZ268" t="s">
        <v>950</v>
      </c>
      <c r="BA268" t="s">
        <v>951</v>
      </c>
      <c r="BB268" t="s">
        <v>970</v>
      </c>
      <c r="BC268" t="b">
        <v>1</v>
      </c>
    </row>
    <row r="269" spans="1:55">
      <c r="A269" t="s">
        <v>1516</v>
      </c>
      <c r="B269" t="s">
        <v>939</v>
      </c>
      <c r="C269">
        <v>2375300</v>
      </c>
      <c r="D269">
        <v>1291700</v>
      </c>
      <c r="E269">
        <v>2375300</v>
      </c>
      <c r="F269">
        <v>4814700</v>
      </c>
      <c r="G269" s="9">
        <v>2.8039654396583694E-2</v>
      </c>
      <c r="H269" s="9"/>
      <c r="I269" s="9"/>
      <c r="J269" s="10">
        <v>87870.795871098759</v>
      </c>
      <c r="K269" s="10">
        <v>85853.776054966802</v>
      </c>
      <c r="L269" s="10">
        <v>83836.756238834831</v>
      </c>
      <c r="M269" s="10">
        <v>81819.736422702874</v>
      </c>
      <c r="N269" s="10">
        <v>79802.716606570903</v>
      </c>
      <c r="O269" s="10">
        <v>77785.696790438931</v>
      </c>
      <c r="P269" s="10">
        <v>73751.657158175003</v>
      </c>
      <c r="Q269" s="10">
        <v>69717.617525911061</v>
      </c>
      <c r="R269" s="10">
        <v>65683.577893647147</v>
      </c>
      <c r="S269" s="10">
        <v>61649.538261383212</v>
      </c>
      <c r="T269" s="10">
        <v>57615.498629119276</v>
      </c>
      <c r="V269" t="s">
        <v>456</v>
      </c>
      <c r="W269" t="s">
        <v>1516</v>
      </c>
      <c r="X269" t="s">
        <v>1517</v>
      </c>
      <c r="Y269" t="s">
        <v>941</v>
      </c>
      <c r="Z269" t="s">
        <v>942</v>
      </c>
      <c r="AB269" t="s">
        <v>530</v>
      </c>
      <c r="AC269" t="s">
        <v>529</v>
      </c>
      <c r="AD269" t="s">
        <v>943</v>
      </c>
      <c r="AF269" t="s">
        <v>944</v>
      </c>
      <c r="AG269" t="s">
        <v>945</v>
      </c>
      <c r="AH269" t="s">
        <v>946</v>
      </c>
      <c r="AI269" t="s">
        <v>947</v>
      </c>
      <c r="AJ269" t="s">
        <v>948</v>
      </c>
      <c r="AK269">
        <v>2</v>
      </c>
      <c r="AL269" s="10">
        <v>1291.7</v>
      </c>
      <c r="AM269" s="10">
        <v>2375.3000000000002</v>
      </c>
      <c r="AN269" s="10">
        <v>4814.7</v>
      </c>
      <c r="AO269" s="9">
        <v>0.61685248069237009</v>
      </c>
      <c r="AP269" s="9">
        <v>2.0527000000000002</v>
      </c>
      <c r="AQ269" s="9">
        <v>0.2693862750721569</v>
      </c>
      <c r="AR269" s="9">
        <v>27.770268121511538</v>
      </c>
      <c r="AS269" s="9">
        <v>28.039654396583693</v>
      </c>
      <c r="AT269" s="9"/>
      <c r="AU269" s="9"/>
      <c r="AV269" s="9"/>
      <c r="AW269" s="11">
        <v>87.870795871098764</v>
      </c>
      <c r="AX269" s="11">
        <v>57.61549862911928</v>
      </c>
      <c r="AY269" t="s">
        <v>949</v>
      </c>
      <c r="AZ269" t="s">
        <v>950</v>
      </c>
      <c r="BA269" t="s">
        <v>951</v>
      </c>
      <c r="BB269" t="s">
        <v>970</v>
      </c>
      <c r="BC269" t="b">
        <v>0</v>
      </c>
    </row>
    <row r="270" spans="1:55">
      <c r="A270" t="s">
        <v>1518</v>
      </c>
      <c r="B270" t="s">
        <v>939</v>
      </c>
      <c r="C270">
        <v>0</v>
      </c>
      <c r="D270">
        <v>0</v>
      </c>
      <c r="E270">
        <v>0</v>
      </c>
      <c r="F270">
        <v>0</v>
      </c>
      <c r="G270" s="9">
        <v>7.7613590876668664E-2</v>
      </c>
      <c r="H270" s="9">
        <v>0.12950310749274027</v>
      </c>
      <c r="I270" s="9">
        <v>0.19425466123911039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V270" t="s">
        <v>456</v>
      </c>
      <c r="W270" t="s">
        <v>1518</v>
      </c>
      <c r="X270" t="s">
        <v>1519</v>
      </c>
      <c r="Y270" t="s">
        <v>941</v>
      </c>
      <c r="Z270" t="s">
        <v>942</v>
      </c>
      <c r="AB270" t="s">
        <v>531</v>
      </c>
      <c r="AC270" t="s">
        <v>531</v>
      </c>
      <c r="AD270" t="s">
        <v>943</v>
      </c>
      <c r="AF270" t="s">
        <v>986</v>
      </c>
      <c r="AG270" t="s">
        <v>987</v>
      </c>
      <c r="AH270" t="s">
        <v>988</v>
      </c>
      <c r="AI270" t="s">
        <v>947</v>
      </c>
      <c r="AJ270" t="s">
        <v>989</v>
      </c>
      <c r="AK270">
        <v>1</v>
      </c>
      <c r="AL270" s="10">
        <v>0</v>
      </c>
      <c r="AM270" s="10">
        <v>0</v>
      </c>
      <c r="AN270" s="10">
        <v>0</v>
      </c>
      <c r="AO270" s="9">
        <v>0.3539325842696629</v>
      </c>
      <c r="AP270" s="9">
        <v>0.94499999999999995</v>
      </c>
      <c r="AQ270" s="9">
        <v>36.097775060852847</v>
      </c>
      <c r="AR270" s="9">
        <v>41.515815815815813</v>
      </c>
      <c r="AS270" s="9">
        <v>77.613590876668667</v>
      </c>
      <c r="AT270" s="9">
        <v>51.040645030277808</v>
      </c>
      <c r="AU270" s="9">
        <v>78.462462462462454</v>
      </c>
      <c r="AV270" s="9">
        <v>129.50310749274027</v>
      </c>
      <c r="AW270" s="11">
        <v>0</v>
      </c>
      <c r="AX270" s="11">
        <v>0</v>
      </c>
      <c r="AY270" t="s">
        <v>949</v>
      </c>
      <c r="AZ270" t="s">
        <v>950</v>
      </c>
      <c r="BA270" t="s">
        <v>951</v>
      </c>
      <c r="BB270" t="s">
        <v>970</v>
      </c>
      <c r="BC270" t="b">
        <v>1</v>
      </c>
    </row>
    <row r="271" spans="1:55">
      <c r="A271" t="s">
        <v>1520</v>
      </c>
      <c r="B271" t="s">
        <v>939</v>
      </c>
      <c r="C271">
        <v>27500</v>
      </c>
      <c r="D271">
        <v>15000</v>
      </c>
      <c r="E271">
        <v>27500</v>
      </c>
      <c r="F271">
        <v>55800</v>
      </c>
      <c r="G271" s="9">
        <v>2.9974716013192189E-2</v>
      </c>
      <c r="H271" s="9">
        <v>9.8729897123075477E-2</v>
      </c>
      <c r="I271" s="9">
        <v>0.14809484568461323</v>
      </c>
      <c r="J271" s="10">
        <v>1100</v>
      </c>
      <c r="K271" s="10">
        <v>1100</v>
      </c>
      <c r="L271" s="10">
        <v>1100</v>
      </c>
      <c r="M271" s="10">
        <v>1100</v>
      </c>
      <c r="N271" s="10">
        <v>1100</v>
      </c>
      <c r="O271" s="10">
        <v>1100</v>
      </c>
      <c r="P271" s="10">
        <v>1100</v>
      </c>
      <c r="Q271" s="10">
        <v>1100</v>
      </c>
      <c r="R271" s="10">
        <v>1100</v>
      </c>
      <c r="S271" s="10">
        <v>1100</v>
      </c>
      <c r="T271" s="10">
        <v>1100</v>
      </c>
      <c r="V271" t="s">
        <v>456</v>
      </c>
      <c r="W271" t="s">
        <v>1520</v>
      </c>
      <c r="X271" t="s">
        <v>1521</v>
      </c>
      <c r="Y271" t="s">
        <v>941</v>
      </c>
      <c r="Z271" t="s">
        <v>942</v>
      </c>
      <c r="AB271" t="s">
        <v>531</v>
      </c>
      <c r="AC271" t="s">
        <v>531</v>
      </c>
      <c r="AD271" t="s">
        <v>943</v>
      </c>
      <c r="AF271" t="s">
        <v>944</v>
      </c>
      <c r="AG271" t="s">
        <v>945</v>
      </c>
      <c r="AH271" t="s">
        <v>946</v>
      </c>
      <c r="AI271" t="s">
        <v>947</v>
      </c>
      <c r="AJ271" t="s">
        <v>948</v>
      </c>
      <c r="AK271">
        <v>2</v>
      </c>
      <c r="AL271" s="10">
        <v>15</v>
      </c>
      <c r="AM271" s="10">
        <v>27.5</v>
      </c>
      <c r="AN271" s="10">
        <v>55.8</v>
      </c>
      <c r="AO271" s="9">
        <v>0.6460674157303371</v>
      </c>
      <c r="AP271" s="9">
        <v>1.7250000000000001</v>
      </c>
      <c r="AQ271" s="9">
        <v>0.32056185903803852</v>
      </c>
      <c r="AR271" s="9">
        <v>29.65415415415416</v>
      </c>
      <c r="AS271" s="9">
        <v>29.974716013192189</v>
      </c>
      <c r="AT271" s="9">
        <v>0.57494216812053289</v>
      </c>
      <c r="AU271" s="9">
        <v>98.15495495495496</v>
      </c>
      <c r="AV271" s="9">
        <v>98.729897123075474</v>
      </c>
      <c r="AW271" s="11">
        <v>1.1000000000000001</v>
      </c>
      <c r="AX271" s="11">
        <v>1.1000000000000001</v>
      </c>
      <c r="AY271" t="s">
        <v>949</v>
      </c>
      <c r="AZ271" t="s">
        <v>950</v>
      </c>
      <c r="BA271" t="s">
        <v>951</v>
      </c>
      <c r="BB271" t="s">
        <v>952</v>
      </c>
      <c r="BC271" t="b">
        <v>1</v>
      </c>
    </row>
    <row r="272" spans="1:55">
      <c r="A272" t="s">
        <v>1522</v>
      </c>
      <c r="B272" t="s">
        <v>939</v>
      </c>
      <c r="C272">
        <v>167800</v>
      </c>
      <c r="D272">
        <v>91200</v>
      </c>
      <c r="E272">
        <v>167800</v>
      </c>
      <c r="F272">
        <v>340100</v>
      </c>
      <c r="G272" s="9">
        <v>2.371507669317818E-2</v>
      </c>
      <c r="H272" s="9">
        <v>3.9810986989404266E-2</v>
      </c>
      <c r="I272" s="9">
        <v>5.9716480484106396E-2</v>
      </c>
      <c r="J272" s="10">
        <v>6712.0000000000009</v>
      </c>
      <c r="K272" s="10">
        <v>6627.1839025828931</v>
      </c>
      <c r="L272" s="10">
        <v>6542.3678051657862</v>
      </c>
      <c r="M272" s="10">
        <v>6457.5517077486784</v>
      </c>
      <c r="N272" s="10">
        <v>6372.7356103315706</v>
      </c>
      <c r="O272" s="10">
        <v>6287.9195129144637</v>
      </c>
      <c r="P272" s="10">
        <v>6118.287318080249</v>
      </c>
      <c r="Q272" s="10">
        <v>5948.6551232460333</v>
      </c>
      <c r="R272" s="10">
        <v>5779.0229284118186</v>
      </c>
      <c r="S272" s="10">
        <v>5609.390733577603</v>
      </c>
      <c r="T272" s="10">
        <v>5439.7585387433892</v>
      </c>
      <c r="V272" t="s">
        <v>456</v>
      </c>
      <c r="W272" t="s">
        <v>1522</v>
      </c>
      <c r="X272" t="s">
        <v>1523</v>
      </c>
      <c r="Y272" t="s">
        <v>941</v>
      </c>
      <c r="Z272" t="s">
        <v>942</v>
      </c>
      <c r="AB272" t="s">
        <v>533</v>
      </c>
      <c r="AC272" t="s">
        <v>532</v>
      </c>
      <c r="AD272" t="s">
        <v>943</v>
      </c>
      <c r="AF272" t="s">
        <v>986</v>
      </c>
      <c r="AG272" t="s">
        <v>959</v>
      </c>
      <c r="AH272" t="s">
        <v>946</v>
      </c>
      <c r="AI272" t="s">
        <v>960</v>
      </c>
      <c r="AJ272" t="s">
        <v>1054</v>
      </c>
      <c r="AK272">
        <v>1</v>
      </c>
      <c r="AL272" s="10">
        <v>91.2</v>
      </c>
      <c r="AM272" s="10">
        <v>167.8</v>
      </c>
      <c r="AN272" s="10">
        <v>340.1</v>
      </c>
      <c r="AO272" s="9">
        <v>0.52472583472624235</v>
      </c>
      <c r="AP272" s="9">
        <v>1.2870999999999999</v>
      </c>
      <c r="AQ272" s="9">
        <v>2.0150766931781812</v>
      </c>
      <c r="AR272" s="9">
        <v>21.7</v>
      </c>
      <c r="AS272" s="9">
        <v>23.71507669317818</v>
      </c>
      <c r="AT272" s="9">
        <v>3.8109869894042703</v>
      </c>
      <c r="AU272" s="9">
        <v>36</v>
      </c>
      <c r="AV272" s="9">
        <v>39.810986989404263</v>
      </c>
      <c r="AW272" s="11">
        <v>6.7120000000000006</v>
      </c>
      <c r="AX272" s="11">
        <v>5.4397585387433889</v>
      </c>
      <c r="AY272" t="s">
        <v>949</v>
      </c>
      <c r="AZ272" t="s">
        <v>950</v>
      </c>
      <c r="BA272" t="s">
        <v>951</v>
      </c>
      <c r="BB272" t="s">
        <v>952</v>
      </c>
      <c r="BC272" t="b">
        <v>1</v>
      </c>
    </row>
    <row r="273" spans="1:55">
      <c r="A273" t="s">
        <v>1524</v>
      </c>
      <c r="B273" t="s">
        <v>939</v>
      </c>
      <c r="C273">
        <v>121900</v>
      </c>
      <c r="D273">
        <v>66300</v>
      </c>
      <c r="E273">
        <v>121900</v>
      </c>
      <c r="F273">
        <v>247100</v>
      </c>
      <c r="G273" s="9">
        <v>2.7962260434235154E-2</v>
      </c>
      <c r="H273" s="9">
        <v>4.4767164607929212E-2</v>
      </c>
      <c r="I273" s="9">
        <v>6.7150746911893822E-2</v>
      </c>
      <c r="J273" s="10">
        <v>4876</v>
      </c>
      <c r="K273" s="10">
        <v>4814.3844918048553</v>
      </c>
      <c r="L273" s="10">
        <v>4752.7689836097097</v>
      </c>
      <c r="M273" s="10">
        <v>4691.1534754145641</v>
      </c>
      <c r="N273" s="10">
        <v>4629.5379672194185</v>
      </c>
      <c r="O273" s="10">
        <v>4567.9224590242729</v>
      </c>
      <c r="P273" s="10">
        <v>4444.6914426339827</v>
      </c>
      <c r="Q273" s="10">
        <v>4321.4604262436915</v>
      </c>
      <c r="R273" s="10">
        <v>4198.2294098534003</v>
      </c>
      <c r="S273" s="10">
        <v>4074.99839346311</v>
      </c>
      <c r="T273" s="10">
        <v>3951.7673770728188</v>
      </c>
      <c r="V273" t="s">
        <v>456</v>
      </c>
      <c r="W273" t="s">
        <v>1524</v>
      </c>
      <c r="X273" t="s">
        <v>1525</v>
      </c>
      <c r="Y273" t="s">
        <v>941</v>
      </c>
      <c r="Z273" t="s">
        <v>942</v>
      </c>
      <c r="AB273" t="s">
        <v>533</v>
      </c>
      <c r="AC273" t="s">
        <v>532</v>
      </c>
      <c r="AD273" t="s">
        <v>943</v>
      </c>
      <c r="AF273" t="s">
        <v>986</v>
      </c>
      <c r="AG273" t="s">
        <v>965</v>
      </c>
      <c r="AH273" t="s">
        <v>956</v>
      </c>
      <c r="AI273" t="s">
        <v>960</v>
      </c>
      <c r="AJ273" t="s">
        <v>1054</v>
      </c>
      <c r="AK273">
        <v>1</v>
      </c>
      <c r="AL273" s="10">
        <v>66.3</v>
      </c>
      <c r="AM273" s="10">
        <v>121.9</v>
      </c>
      <c r="AN273" s="10">
        <v>247.1</v>
      </c>
      <c r="AO273" s="9">
        <v>0.38118145868156061</v>
      </c>
      <c r="AP273" s="9">
        <v>0.93500000000000005</v>
      </c>
      <c r="AQ273" s="9">
        <v>6.2622604342351558</v>
      </c>
      <c r="AR273" s="9">
        <v>21.7</v>
      </c>
      <c r="AS273" s="9">
        <v>27.962260434235155</v>
      </c>
      <c r="AT273" s="9">
        <v>8.7671646079292174</v>
      </c>
      <c r="AU273" s="9">
        <v>36</v>
      </c>
      <c r="AV273" s="9">
        <v>44.76716460792921</v>
      </c>
      <c r="AW273" s="11">
        <v>4.8760000000000003</v>
      </c>
      <c r="AX273" s="11">
        <v>3.951767377072819</v>
      </c>
      <c r="AY273" t="s">
        <v>949</v>
      </c>
      <c r="AZ273" t="s">
        <v>950</v>
      </c>
      <c r="BA273" t="s">
        <v>951</v>
      </c>
      <c r="BB273" t="s">
        <v>952</v>
      </c>
      <c r="BC273" t="b">
        <v>1</v>
      </c>
    </row>
    <row r="274" spans="1:55">
      <c r="A274" t="s">
        <v>1526</v>
      </c>
      <c r="B274" t="s">
        <v>939</v>
      </c>
      <c r="C274">
        <v>1672300</v>
      </c>
      <c r="D274">
        <v>909400</v>
      </c>
      <c r="E274">
        <v>1672300</v>
      </c>
      <c r="F274">
        <v>3389700</v>
      </c>
      <c r="G274" s="9">
        <v>2.8210660413775106E-2</v>
      </c>
      <c r="H274" s="9"/>
      <c r="I274" s="9"/>
      <c r="J274" s="10">
        <v>66892</v>
      </c>
      <c r="K274" s="10">
        <v>66046.720144751918</v>
      </c>
      <c r="L274" s="10">
        <v>65201.440289503822</v>
      </c>
      <c r="M274" s="10">
        <v>64356.16043425574</v>
      </c>
      <c r="N274" s="10">
        <v>63510.880579007651</v>
      </c>
      <c r="O274" s="10">
        <v>62665.60072375957</v>
      </c>
      <c r="P274" s="10">
        <v>60975.041013263399</v>
      </c>
      <c r="Q274" s="10">
        <v>59284.481302767235</v>
      </c>
      <c r="R274" s="10">
        <v>57593.921592271057</v>
      </c>
      <c r="S274" s="10">
        <v>55903.361881774887</v>
      </c>
      <c r="T274" s="10">
        <v>54212.802171278716</v>
      </c>
      <c r="V274" t="s">
        <v>456</v>
      </c>
      <c r="W274" t="s">
        <v>1526</v>
      </c>
      <c r="X274" t="s">
        <v>1527</v>
      </c>
      <c r="Y274" t="s">
        <v>941</v>
      </c>
      <c r="Z274" t="s">
        <v>942</v>
      </c>
      <c r="AB274" t="s">
        <v>533</v>
      </c>
      <c r="AC274" t="s">
        <v>532</v>
      </c>
      <c r="AD274" t="s">
        <v>943</v>
      </c>
      <c r="AF274" t="s">
        <v>944</v>
      </c>
      <c r="AG274" t="s">
        <v>945</v>
      </c>
      <c r="AH274" t="s">
        <v>946</v>
      </c>
      <c r="AI274" t="s">
        <v>947</v>
      </c>
      <c r="AJ274" t="s">
        <v>948</v>
      </c>
      <c r="AK274">
        <v>1</v>
      </c>
      <c r="AL274" s="10">
        <v>909.4</v>
      </c>
      <c r="AM274" s="10">
        <v>1672.3</v>
      </c>
      <c r="AN274" s="10">
        <v>3389.7</v>
      </c>
      <c r="AO274" s="9">
        <v>9.4092706592196901E-2</v>
      </c>
      <c r="AP274" s="9">
        <v>0.23080000000000001</v>
      </c>
      <c r="AQ274" s="9">
        <v>0.36429883842190958</v>
      </c>
      <c r="AR274" s="9">
        <v>27.8463615753532</v>
      </c>
      <c r="AS274" s="9">
        <v>28.210660413775106</v>
      </c>
      <c r="AT274" s="9"/>
      <c r="AU274" s="9"/>
      <c r="AV274" s="9"/>
      <c r="AW274" s="11">
        <v>66.891999999999996</v>
      </c>
      <c r="AX274" s="11">
        <v>54.212802171278717</v>
      </c>
      <c r="AY274" t="s">
        <v>949</v>
      </c>
      <c r="AZ274" t="s">
        <v>950</v>
      </c>
      <c r="BA274" t="s">
        <v>951</v>
      </c>
      <c r="BB274" t="s">
        <v>952</v>
      </c>
      <c r="BC274" t="b">
        <v>0</v>
      </c>
    </row>
    <row r="275" spans="1:55">
      <c r="A275" t="s">
        <v>1528</v>
      </c>
      <c r="B275" t="s">
        <v>939</v>
      </c>
      <c r="C275">
        <v>156000</v>
      </c>
      <c r="D275">
        <v>119700</v>
      </c>
      <c r="E275">
        <v>156000</v>
      </c>
      <c r="F275">
        <v>262600</v>
      </c>
      <c r="G275" s="9">
        <v>3.9968744278964449E-3</v>
      </c>
      <c r="H275" s="9">
        <v>9.0451951624473757E-3</v>
      </c>
      <c r="I275" s="9">
        <v>1.3567792743671064E-2</v>
      </c>
      <c r="J275" s="10">
        <v>6240</v>
      </c>
      <c r="K275" s="10">
        <v>6240</v>
      </c>
      <c r="L275" s="10">
        <v>6240</v>
      </c>
      <c r="M275" s="10">
        <v>6240</v>
      </c>
      <c r="N275" s="10">
        <v>6240</v>
      </c>
      <c r="O275" s="10">
        <v>6240</v>
      </c>
      <c r="P275" s="10">
        <v>6240</v>
      </c>
      <c r="Q275" s="10">
        <v>6240</v>
      </c>
      <c r="R275" s="10">
        <v>6240</v>
      </c>
      <c r="S275" s="10">
        <v>6240</v>
      </c>
      <c r="T275" s="10">
        <v>6240</v>
      </c>
      <c r="V275" t="s">
        <v>456</v>
      </c>
      <c r="W275" t="s">
        <v>1528</v>
      </c>
      <c r="X275" t="s">
        <v>1529</v>
      </c>
      <c r="Y275" t="s">
        <v>941</v>
      </c>
      <c r="Z275" t="s">
        <v>942</v>
      </c>
      <c r="AB275" t="s">
        <v>535</v>
      </c>
      <c r="AC275" t="s">
        <v>534</v>
      </c>
      <c r="AD275" t="s">
        <v>968</v>
      </c>
      <c r="AF275" t="s">
        <v>944</v>
      </c>
      <c r="AG275" t="s">
        <v>999</v>
      </c>
      <c r="AH275" t="s">
        <v>946</v>
      </c>
      <c r="AI275" t="s">
        <v>977</v>
      </c>
      <c r="AJ275" t="s">
        <v>948</v>
      </c>
      <c r="AK275">
        <v>1</v>
      </c>
      <c r="AL275" s="10">
        <v>119.7</v>
      </c>
      <c r="AM275" s="10">
        <v>156</v>
      </c>
      <c r="AN275" s="10">
        <v>262.60000000000002</v>
      </c>
      <c r="AO275" s="9">
        <v>0.2097388656582381</v>
      </c>
      <c r="AP275" s="9">
        <v>5.9789000000000003</v>
      </c>
      <c r="AQ275" s="9">
        <v>0.27687442789644368</v>
      </c>
      <c r="AR275" s="9">
        <v>3.7200000000000011</v>
      </c>
      <c r="AS275" s="9">
        <v>3.996874427896445</v>
      </c>
      <c r="AT275" s="9">
        <v>0.36519516244737521</v>
      </c>
      <c r="AU275" s="9">
        <v>8.6800000000000015</v>
      </c>
      <c r="AV275" s="9">
        <v>9.0451951624473761</v>
      </c>
      <c r="AW275" s="11">
        <v>6.24</v>
      </c>
      <c r="AX275" s="11">
        <v>6.24</v>
      </c>
      <c r="AY275" t="s">
        <v>969</v>
      </c>
      <c r="AZ275" t="s">
        <v>950</v>
      </c>
      <c r="BA275" t="s">
        <v>951</v>
      </c>
      <c r="BB275" t="s">
        <v>952</v>
      </c>
      <c r="BC275" t="b">
        <v>1</v>
      </c>
    </row>
    <row r="276" spans="1:55">
      <c r="A276" t="s">
        <v>1530</v>
      </c>
      <c r="B276" t="s">
        <v>939</v>
      </c>
      <c r="C276">
        <v>256000</v>
      </c>
      <c r="D276">
        <v>196500</v>
      </c>
      <c r="E276">
        <v>256000</v>
      </c>
      <c r="F276">
        <v>431100</v>
      </c>
      <c r="G276" s="9">
        <v>4.6577572035774867E-3</v>
      </c>
      <c r="H276" s="9">
        <v>1.0020580000758991E-2</v>
      </c>
      <c r="I276" s="9">
        <v>1.5030870001138487E-2</v>
      </c>
      <c r="J276" s="10">
        <v>10240</v>
      </c>
      <c r="K276" s="10">
        <v>10240</v>
      </c>
      <c r="L276" s="10">
        <v>10240</v>
      </c>
      <c r="M276" s="10">
        <v>10240</v>
      </c>
      <c r="N276" s="10">
        <v>10240</v>
      </c>
      <c r="O276" s="10">
        <v>10240</v>
      </c>
      <c r="P276" s="10">
        <v>10240</v>
      </c>
      <c r="Q276" s="10">
        <v>10240</v>
      </c>
      <c r="R276" s="10">
        <v>10240</v>
      </c>
      <c r="S276" s="10">
        <v>10240</v>
      </c>
      <c r="T276" s="10">
        <v>10240</v>
      </c>
      <c r="V276" t="s">
        <v>456</v>
      </c>
      <c r="W276" t="s">
        <v>1530</v>
      </c>
      <c r="X276" t="s">
        <v>1531</v>
      </c>
      <c r="Y276" t="s">
        <v>941</v>
      </c>
      <c r="Z276" t="s">
        <v>942</v>
      </c>
      <c r="AB276" t="s">
        <v>535</v>
      </c>
      <c r="AC276" t="s">
        <v>534</v>
      </c>
      <c r="AD276" t="s">
        <v>968</v>
      </c>
      <c r="AF276" t="s">
        <v>944</v>
      </c>
      <c r="AG276" t="s">
        <v>976</v>
      </c>
      <c r="AH276" t="s">
        <v>956</v>
      </c>
      <c r="AI276" t="s">
        <v>977</v>
      </c>
      <c r="AJ276" t="s">
        <v>948</v>
      </c>
      <c r="AK276">
        <v>2</v>
      </c>
      <c r="AL276" s="10">
        <v>196.5</v>
      </c>
      <c r="AM276" s="10">
        <v>256</v>
      </c>
      <c r="AN276" s="10">
        <v>431.1</v>
      </c>
      <c r="AO276" s="9">
        <v>0.3442279628434316</v>
      </c>
      <c r="AP276" s="9">
        <v>9.8126999999999995</v>
      </c>
      <c r="AQ276" s="9">
        <v>0.9377572035774856</v>
      </c>
      <c r="AR276" s="9">
        <v>3.72</v>
      </c>
      <c r="AS276" s="9">
        <v>4.6577572035774866</v>
      </c>
      <c r="AT276" s="9">
        <v>1.3405800007589903</v>
      </c>
      <c r="AU276" s="9">
        <v>8.6800000000000015</v>
      </c>
      <c r="AV276" s="9">
        <v>10.020580000758992</v>
      </c>
      <c r="AW276" s="11">
        <v>10.24</v>
      </c>
      <c r="AX276" s="11">
        <v>10.24</v>
      </c>
      <c r="AY276" t="s">
        <v>969</v>
      </c>
      <c r="AZ276" t="s">
        <v>950</v>
      </c>
      <c r="BA276" t="s">
        <v>951</v>
      </c>
      <c r="BB276" t="s">
        <v>952</v>
      </c>
      <c r="BC276" t="b">
        <v>1</v>
      </c>
    </row>
    <row r="277" spans="1:55">
      <c r="A277" t="s">
        <v>1532</v>
      </c>
      <c r="B277" t="s">
        <v>939</v>
      </c>
      <c r="C277">
        <v>220000</v>
      </c>
      <c r="D277">
        <v>119600</v>
      </c>
      <c r="E277">
        <v>220000</v>
      </c>
      <c r="F277">
        <v>445900</v>
      </c>
      <c r="G277" s="9">
        <v>8.9000835841577444E-3</v>
      </c>
      <c r="H277" s="9">
        <v>2.525257666265518E-2</v>
      </c>
      <c r="I277" s="9">
        <v>3.7878864993982769E-2</v>
      </c>
      <c r="J277" s="10">
        <v>8800</v>
      </c>
      <c r="K277" s="10">
        <v>8800</v>
      </c>
      <c r="L277" s="10">
        <v>8800</v>
      </c>
      <c r="M277" s="10">
        <v>8800</v>
      </c>
      <c r="N277" s="10">
        <v>8800</v>
      </c>
      <c r="O277" s="10">
        <v>8800</v>
      </c>
      <c r="P277" s="10">
        <v>8800</v>
      </c>
      <c r="Q277" s="10">
        <v>8800</v>
      </c>
      <c r="R277" s="10">
        <v>8800</v>
      </c>
      <c r="S277" s="10">
        <v>8800</v>
      </c>
      <c r="T277" s="10">
        <v>8800</v>
      </c>
      <c r="V277" t="s">
        <v>456</v>
      </c>
      <c r="W277" t="s">
        <v>1532</v>
      </c>
      <c r="X277" t="s">
        <v>1533</v>
      </c>
      <c r="Y277" t="s">
        <v>941</v>
      </c>
      <c r="Z277" t="s">
        <v>942</v>
      </c>
      <c r="AB277" t="s">
        <v>535</v>
      </c>
      <c r="AC277" t="s">
        <v>534</v>
      </c>
      <c r="AD277" t="s">
        <v>943</v>
      </c>
      <c r="AF277" t="s">
        <v>944</v>
      </c>
      <c r="AG277" t="s">
        <v>959</v>
      </c>
      <c r="AH277" t="s">
        <v>946</v>
      </c>
      <c r="AI277" t="s">
        <v>960</v>
      </c>
      <c r="AJ277" t="s">
        <v>948</v>
      </c>
      <c r="AK277">
        <v>3</v>
      </c>
      <c r="AL277" s="10">
        <v>119.6</v>
      </c>
      <c r="AM277" s="10">
        <v>220</v>
      </c>
      <c r="AN277" s="10">
        <v>445.9</v>
      </c>
      <c r="AO277" s="9">
        <v>5.6969662952880702E-2</v>
      </c>
      <c r="AP277" s="9">
        <v>1.6240000000000001</v>
      </c>
      <c r="AQ277" s="9">
        <v>1.1500835841577457</v>
      </c>
      <c r="AR277" s="9">
        <v>7.7500000000000009</v>
      </c>
      <c r="AS277" s="9">
        <v>8.9000835841577448</v>
      </c>
      <c r="AT277" s="9">
        <v>1.6525766626551788</v>
      </c>
      <c r="AU277" s="9">
        <v>23.6</v>
      </c>
      <c r="AV277" s="9">
        <v>25.25257666265518</v>
      </c>
      <c r="AW277" s="11">
        <v>8.8000000000000007</v>
      </c>
      <c r="AX277" s="11">
        <v>8.8000000000000007</v>
      </c>
      <c r="AY277" t="s">
        <v>949</v>
      </c>
      <c r="AZ277" t="s">
        <v>950</v>
      </c>
      <c r="BA277" t="s">
        <v>951</v>
      </c>
      <c r="BB277" t="s">
        <v>952</v>
      </c>
      <c r="BC277" t="b">
        <v>1</v>
      </c>
    </row>
    <row r="278" spans="1:55">
      <c r="A278" t="s">
        <v>1534</v>
      </c>
      <c r="B278" t="s">
        <v>939</v>
      </c>
      <c r="C278">
        <v>1502400</v>
      </c>
      <c r="D278">
        <v>817000</v>
      </c>
      <c r="E278">
        <v>1502400</v>
      </c>
      <c r="F278">
        <v>3045300</v>
      </c>
      <c r="G278" s="9">
        <v>9.824027425456381E-3</v>
      </c>
      <c r="H278" s="9">
        <v>2.8092346590457375E-2</v>
      </c>
      <c r="I278" s="9">
        <v>4.2138519885686065E-2</v>
      </c>
      <c r="J278" s="10">
        <v>60096</v>
      </c>
      <c r="K278" s="10">
        <v>60096</v>
      </c>
      <c r="L278" s="10">
        <v>60096</v>
      </c>
      <c r="M278" s="10">
        <v>60096</v>
      </c>
      <c r="N278" s="10">
        <v>60096</v>
      </c>
      <c r="O278" s="10">
        <v>60096</v>
      </c>
      <c r="P278" s="10">
        <v>60096</v>
      </c>
      <c r="Q278" s="10">
        <v>60096</v>
      </c>
      <c r="R278" s="10">
        <v>60096</v>
      </c>
      <c r="S278" s="10">
        <v>60096</v>
      </c>
      <c r="T278" s="10">
        <v>60096</v>
      </c>
      <c r="V278" t="s">
        <v>456</v>
      </c>
      <c r="W278" t="s">
        <v>1534</v>
      </c>
      <c r="X278" t="s">
        <v>1535</v>
      </c>
      <c r="Y278" t="s">
        <v>941</v>
      </c>
      <c r="Z278" t="s">
        <v>942</v>
      </c>
      <c r="AB278" t="s">
        <v>535</v>
      </c>
      <c r="AC278" t="s">
        <v>534</v>
      </c>
      <c r="AD278" t="s">
        <v>943</v>
      </c>
      <c r="AF278" t="s">
        <v>944</v>
      </c>
      <c r="AG278" t="s">
        <v>965</v>
      </c>
      <c r="AH278" t="s">
        <v>956</v>
      </c>
      <c r="AI278" t="s">
        <v>960</v>
      </c>
      <c r="AJ278" t="s">
        <v>948</v>
      </c>
      <c r="AK278">
        <v>11</v>
      </c>
      <c r="AL278" s="10">
        <v>817</v>
      </c>
      <c r="AM278" s="10">
        <v>1502.4</v>
      </c>
      <c r="AN278" s="10">
        <v>3045.3</v>
      </c>
      <c r="AO278" s="9">
        <v>0.38906350854544941</v>
      </c>
      <c r="AP278" s="9">
        <v>11.0908</v>
      </c>
      <c r="AQ278" s="9">
        <v>2.0740274254563782</v>
      </c>
      <c r="AR278" s="9">
        <v>7.7500000000000009</v>
      </c>
      <c r="AS278" s="9">
        <v>9.8240274254563804</v>
      </c>
      <c r="AT278" s="9">
        <v>4.4923465904573714</v>
      </c>
      <c r="AU278" s="9">
        <v>23.600000000000005</v>
      </c>
      <c r="AV278" s="9">
        <v>28.092346590457375</v>
      </c>
      <c r="AW278" s="11">
        <v>60.095999999999997</v>
      </c>
      <c r="AX278" s="11">
        <v>60.095999999999997</v>
      </c>
      <c r="AY278" t="s">
        <v>949</v>
      </c>
      <c r="AZ278" t="s">
        <v>950</v>
      </c>
      <c r="BA278" t="s">
        <v>951</v>
      </c>
      <c r="BB278" t="s">
        <v>952</v>
      </c>
      <c r="BC278" t="b">
        <v>1</v>
      </c>
    </row>
    <row r="279" spans="1:55">
      <c r="A279" t="s">
        <v>1536</v>
      </c>
      <c r="B279" t="s">
        <v>939</v>
      </c>
      <c r="C279">
        <v>476600</v>
      </c>
      <c r="D279">
        <v>259200</v>
      </c>
      <c r="E279">
        <v>476600</v>
      </c>
      <c r="F279">
        <v>966100</v>
      </c>
      <c r="G279" s="9">
        <v>1.5477655551124696E-2</v>
      </c>
      <c r="H279" s="9">
        <v>5.0820000970911654E-2</v>
      </c>
      <c r="I279" s="9">
        <v>7.6230001456367477E-2</v>
      </c>
      <c r="J279" s="10">
        <v>19064</v>
      </c>
      <c r="K279" s="10">
        <v>19064</v>
      </c>
      <c r="L279" s="10">
        <v>19064</v>
      </c>
      <c r="M279" s="10">
        <v>19064</v>
      </c>
      <c r="N279" s="10">
        <v>19064</v>
      </c>
      <c r="O279" s="10">
        <v>19064</v>
      </c>
      <c r="P279" s="10">
        <v>19064</v>
      </c>
      <c r="Q279" s="10">
        <v>19064</v>
      </c>
      <c r="R279" s="10">
        <v>19064</v>
      </c>
      <c r="S279" s="10">
        <v>19064</v>
      </c>
      <c r="T279" s="10">
        <v>19064</v>
      </c>
      <c r="V279" t="s">
        <v>456</v>
      </c>
      <c r="W279" t="s">
        <v>1536</v>
      </c>
      <c r="X279" t="s">
        <v>1537</v>
      </c>
      <c r="Y279" t="s">
        <v>941</v>
      </c>
      <c r="Z279" t="s">
        <v>942</v>
      </c>
      <c r="AB279" t="s">
        <v>536</v>
      </c>
      <c r="AC279" t="s">
        <v>536</v>
      </c>
      <c r="AD279" t="s">
        <v>943</v>
      </c>
      <c r="AF279" t="s">
        <v>944</v>
      </c>
      <c r="AG279" t="s">
        <v>945</v>
      </c>
      <c r="AH279" t="s">
        <v>946</v>
      </c>
      <c r="AI279" t="s">
        <v>947</v>
      </c>
      <c r="AJ279" t="s">
        <v>948</v>
      </c>
      <c r="AK279">
        <v>2</v>
      </c>
      <c r="AL279" s="10">
        <v>259.2</v>
      </c>
      <c r="AM279" s="10">
        <v>476.6</v>
      </c>
      <c r="AN279" s="10">
        <v>966.1</v>
      </c>
      <c r="AO279" s="9">
        <v>0.6776268763402431</v>
      </c>
      <c r="AP279" s="9">
        <v>1.7063999999999999</v>
      </c>
      <c r="AQ279" s="9">
        <v>0.65057847404761981</v>
      </c>
      <c r="AR279" s="9">
        <v>14.827077077077076</v>
      </c>
      <c r="AS279" s="9">
        <v>15.477655551124696</v>
      </c>
      <c r="AT279" s="9">
        <v>1.7425234934341771</v>
      </c>
      <c r="AU279" s="9">
        <v>49.077477477477487</v>
      </c>
      <c r="AV279" s="9">
        <v>50.820000970911657</v>
      </c>
      <c r="AW279" s="11">
        <v>19.064</v>
      </c>
      <c r="AX279" s="11">
        <v>19.064</v>
      </c>
      <c r="AY279" t="s">
        <v>949</v>
      </c>
      <c r="AZ279" t="s">
        <v>950</v>
      </c>
      <c r="BA279" t="s">
        <v>951</v>
      </c>
      <c r="BB279" t="s">
        <v>952</v>
      </c>
      <c r="BC279" t="b">
        <v>1</v>
      </c>
    </row>
    <row r="280" spans="1:55">
      <c r="A280" t="s">
        <v>1538</v>
      </c>
      <c r="B280" t="s">
        <v>939</v>
      </c>
      <c r="C280">
        <v>226800</v>
      </c>
      <c r="D280">
        <v>123300</v>
      </c>
      <c r="E280">
        <v>226800</v>
      </c>
      <c r="F280">
        <v>459600</v>
      </c>
      <c r="G280" s="9">
        <v>2.1434784835362181E-2</v>
      </c>
      <c r="H280" s="9">
        <v>5.832826833907663E-2</v>
      </c>
      <c r="I280" s="9">
        <v>8.7492402508614953E-2</v>
      </c>
      <c r="J280" s="10">
        <v>9072</v>
      </c>
      <c r="K280" s="10">
        <v>9072</v>
      </c>
      <c r="L280" s="10">
        <v>9072</v>
      </c>
      <c r="M280" s="10">
        <v>9072</v>
      </c>
      <c r="N280" s="10">
        <v>9072</v>
      </c>
      <c r="O280" s="10">
        <v>9072</v>
      </c>
      <c r="P280" s="10">
        <v>9072</v>
      </c>
      <c r="Q280" s="10">
        <v>9072</v>
      </c>
      <c r="R280" s="10">
        <v>9072</v>
      </c>
      <c r="S280" s="10">
        <v>9072</v>
      </c>
      <c r="T280" s="10">
        <v>9072</v>
      </c>
      <c r="V280" t="s">
        <v>456</v>
      </c>
      <c r="W280" t="s">
        <v>1538</v>
      </c>
      <c r="X280" t="s">
        <v>1539</v>
      </c>
      <c r="Y280" t="s">
        <v>941</v>
      </c>
      <c r="Z280" t="s">
        <v>942</v>
      </c>
      <c r="AB280" t="s">
        <v>536</v>
      </c>
      <c r="AC280" t="s">
        <v>536</v>
      </c>
      <c r="AD280" t="s">
        <v>943</v>
      </c>
      <c r="AF280" t="s">
        <v>944</v>
      </c>
      <c r="AG280" t="s">
        <v>955</v>
      </c>
      <c r="AH280" t="s">
        <v>956</v>
      </c>
      <c r="AI280" t="s">
        <v>947</v>
      </c>
      <c r="AJ280" t="s">
        <v>948</v>
      </c>
      <c r="AK280">
        <v>1</v>
      </c>
      <c r="AL280" s="10">
        <v>123.3</v>
      </c>
      <c r="AM280" s="10">
        <v>226.8</v>
      </c>
      <c r="AN280" s="10">
        <v>459.6</v>
      </c>
      <c r="AO280" s="9">
        <v>0.32237312365975701</v>
      </c>
      <c r="AP280" s="9">
        <v>0.81179999999999997</v>
      </c>
      <c r="AQ280" s="9">
        <v>6.6077077582851018</v>
      </c>
      <c r="AR280" s="9">
        <v>14.827077077077076</v>
      </c>
      <c r="AS280" s="9">
        <v>21.43478483536218</v>
      </c>
      <c r="AT280" s="9">
        <v>9.2507908615991443</v>
      </c>
      <c r="AU280" s="9">
        <v>49.077477477477487</v>
      </c>
      <c r="AV280" s="9">
        <v>58.328268339076629</v>
      </c>
      <c r="AW280" s="11">
        <v>9.0719999999999992</v>
      </c>
      <c r="AX280" s="11">
        <v>9.0719999999999992</v>
      </c>
      <c r="AY280" t="s">
        <v>949</v>
      </c>
      <c r="AZ280" t="s">
        <v>950</v>
      </c>
      <c r="BA280" t="s">
        <v>951</v>
      </c>
      <c r="BB280" t="s">
        <v>952</v>
      </c>
      <c r="BC280" t="b">
        <v>1</v>
      </c>
    </row>
    <row r="281" spans="1:55">
      <c r="A281" t="s">
        <v>1540</v>
      </c>
      <c r="B281" t="s">
        <v>939</v>
      </c>
      <c r="C281">
        <v>5626100</v>
      </c>
      <c r="D281">
        <v>3059300</v>
      </c>
      <c r="E281">
        <v>5626100</v>
      </c>
      <c r="F281">
        <v>11403700</v>
      </c>
      <c r="G281" s="9">
        <v>8.1886683288270833E-3</v>
      </c>
      <c r="H281" s="9">
        <v>2.4214135660357919E-2</v>
      </c>
      <c r="I281" s="9">
        <v>3.6321203490536878E-2</v>
      </c>
      <c r="J281" s="10">
        <v>225044</v>
      </c>
      <c r="K281" s="10">
        <v>225044</v>
      </c>
      <c r="L281" s="10">
        <v>225044</v>
      </c>
      <c r="M281" s="10">
        <v>225044</v>
      </c>
      <c r="N281" s="10">
        <v>225044</v>
      </c>
      <c r="O281" s="10">
        <v>225044</v>
      </c>
      <c r="P281" s="10">
        <v>225044</v>
      </c>
      <c r="Q281" s="10">
        <v>225044</v>
      </c>
      <c r="R281" s="10">
        <v>225044</v>
      </c>
      <c r="S281" s="10">
        <v>225044</v>
      </c>
      <c r="T281" s="10">
        <v>225044</v>
      </c>
      <c r="V281" t="s">
        <v>456</v>
      </c>
      <c r="W281" t="s">
        <v>1540</v>
      </c>
      <c r="X281" t="s">
        <v>1541</v>
      </c>
      <c r="Y281" t="s">
        <v>941</v>
      </c>
      <c r="Z281" t="s">
        <v>942</v>
      </c>
      <c r="AB281" t="s">
        <v>48</v>
      </c>
      <c r="AC281" t="s">
        <v>48</v>
      </c>
      <c r="AD281" t="s">
        <v>943</v>
      </c>
      <c r="AF281" t="s">
        <v>944</v>
      </c>
      <c r="AG281" t="s">
        <v>959</v>
      </c>
      <c r="AH281" t="s">
        <v>946</v>
      </c>
      <c r="AI281" t="s">
        <v>960</v>
      </c>
      <c r="AJ281" t="s">
        <v>948</v>
      </c>
      <c r="AK281">
        <v>1</v>
      </c>
      <c r="AL281" s="10">
        <v>3059.3</v>
      </c>
      <c r="AM281" s="10">
        <v>5626.1</v>
      </c>
      <c r="AN281" s="10">
        <v>11403.7</v>
      </c>
      <c r="AO281" s="9">
        <v>0.82410060490289716</v>
      </c>
      <c r="AP281" s="9">
        <v>0.51770000000000005</v>
      </c>
      <c r="AQ281" s="9">
        <v>0.43866832882708351</v>
      </c>
      <c r="AR281" s="9">
        <v>7.7499999999999991</v>
      </c>
      <c r="AS281" s="9">
        <v>8.1886683288270827</v>
      </c>
      <c r="AT281" s="9">
        <v>0.61413566035791689</v>
      </c>
      <c r="AU281" s="9">
        <v>23.6</v>
      </c>
      <c r="AV281" s="9">
        <v>24.214135660357918</v>
      </c>
      <c r="AW281" s="11">
        <v>225.04400000000001</v>
      </c>
      <c r="AX281" s="11">
        <v>225.04400000000001</v>
      </c>
      <c r="AY281" t="s">
        <v>949</v>
      </c>
      <c r="AZ281" t="s">
        <v>950</v>
      </c>
      <c r="BA281" t="s">
        <v>951</v>
      </c>
      <c r="BB281" t="s">
        <v>952</v>
      </c>
      <c r="BC281" t="b">
        <v>1</v>
      </c>
    </row>
    <row r="282" spans="1:55">
      <c r="A282" t="s">
        <v>1542</v>
      </c>
      <c r="B282" t="s">
        <v>939</v>
      </c>
      <c r="C282">
        <v>1200900</v>
      </c>
      <c r="D282">
        <v>653000</v>
      </c>
      <c r="E282">
        <v>1200900</v>
      </c>
      <c r="F282">
        <v>2434100</v>
      </c>
      <c r="G282" s="9">
        <v>4.1037640453500279E-2</v>
      </c>
      <c r="H282" s="9">
        <v>7.0202696634900391E-2</v>
      </c>
      <c r="I282" s="9">
        <v>0.10530404495235059</v>
      </c>
      <c r="J282" s="10">
        <v>48036</v>
      </c>
      <c r="K282" s="10">
        <v>48036</v>
      </c>
      <c r="L282" s="10">
        <v>48036</v>
      </c>
      <c r="M282" s="10">
        <v>48036</v>
      </c>
      <c r="N282" s="10">
        <v>48036</v>
      </c>
      <c r="O282" s="10">
        <v>48036</v>
      </c>
      <c r="P282" s="10">
        <v>48036</v>
      </c>
      <c r="Q282" s="10">
        <v>48036</v>
      </c>
      <c r="R282" s="10">
        <v>48036</v>
      </c>
      <c r="S282" s="10">
        <v>48036</v>
      </c>
      <c r="T282" s="10">
        <v>48036</v>
      </c>
      <c r="V282" t="s">
        <v>456</v>
      </c>
      <c r="W282" t="s">
        <v>1542</v>
      </c>
      <c r="X282" t="s">
        <v>1543</v>
      </c>
      <c r="Y282" t="s">
        <v>941</v>
      </c>
      <c r="Z282" t="s">
        <v>942</v>
      </c>
      <c r="AB282" t="s">
        <v>48</v>
      </c>
      <c r="AC282" t="s">
        <v>48</v>
      </c>
      <c r="AD282" t="s">
        <v>943</v>
      </c>
      <c r="AF282" t="s">
        <v>944</v>
      </c>
      <c r="AG282" t="s">
        <v>965</v>
      </c>
      <c r="AH282" t="s">
        <v>956</v>
      </c>
      <c r="AI282" t="s">
        <v>960</v>
      </c>
      <c r="AJ282" t="s">
        <v>948</v>
      </c>
      <c r="AK282">
        <v>1</v>
      </c>
      <c r="AL282" s="10">
        <v>653</v>
      </c>
      <c r="AM282" s="10">
        <v>1200.9000000000001</v>
      </c>
      <c r="AN282" s="10">
        <v>2434.1</v>
      </c>
      <c r="AO282" s="9">
        <v>0.17589939509710281</v>
      </c>
      <c r="AP282" s="9">
        <v>0.1105</v>
      </c>
      <c r="AQ282" s="9">
        <v>33.287640453500281</v>
      </c>
      <c r="AR282" s="9">
        <v>7.75</v>
      </c>
      <c r="AS282" s="9">
        <v>41.037640453500281</v>
      </c>
      <c r="AT282" s="9">
        <v>46.602696634900397</v>
      </c>
      <c r="AU282" s="9">
        <v>23.6</v>
      </c>
      <c r="AV282" s="9">
        <v>70.202696634900391</v>
      </c>
      <c r="AW282" s="11">
        <v>48.036000000000001</v>
      </c>
      <c r="AX282" s="11">
        <v>48.036000000000001</v>
      </c>
      <c r="AY282" t="s">
        <v>949</v>
      </c>
      <c r="AZ282" t="s">
        <v>950</v>
      </c>
      <c r="BA282" t="s">
        <v>951</v>
      </c>
      <c r="BB282" t="s">
        <v>952</v>
      </c>
      <c r="BC282" t="b">
        <v>1</v>
      </c>
    </row>
    <row r="283" spans="1:55">
      <c r="A283" t="s">
        <v>1544</v>
      </c>
      <c r="B283" t="s">
        <v>939</v>
      </c>
      <c r="C283">
        <v>22599100</v>
      </c>
      <c r="D283">
        <v>17345500</v>
      </c>
      <c r="E283">
        <v>22599100</v>
      </c>
      <c r="F283">
        <v>38050500</v>
      </c>
      <c r="G283" s="9">
        <v>8.65599432425526E-3</v>
      </c>
      <c r="H283" s="9">
        <v>2.532777401003761E-2</v>
      </c>
      <c r="I283" s="9">
        <v>3.7991661015056417E-2</v>
      </c>
      <c r="J283" s="10">
        <v>479607</v>
      </c>
      <c r="K283" s="10">
        <v>479607</v>
      </c>
      <c r="L283" s="10">
        <v>479607</v>
      </c>
      <c r="M283" s="10">
        <v>479607</v>
      </c>
      <c r="N283" s="10">
        <v>479607</v>
      </c>
      <c r="O283" s="10">
        <v>479607</v>
      </c>
      <c r="P283" s="10">
        <v>479607</v>
      </c>
      <c r="Q283" s="10">
        <v>479607</v>
      </c>
      <c r="R283" s="10">
        <v>479607</v>
      </c>
      <c r="S283" s="10">
        <v>479607</v>
      </c>
      <c r="T283" s="10">
        <v>479607</v>
      </c>
      <c r="V283" t="s">
        <v>456</v>
      </c>
      <c r="W283" t="s">
        <v>1544</v>
      </c>
      <c r="X283" t="s">
        <v>1545</v>
      </c>
      <c r="Y283" t="s">
        <v>941</v>
      </c>
      <c r="Z283" t="s">
        <v>942</v>
      </c>
      <c r="AB283" t="s">
        <v>110</v>
      </c>
      <c r="AC283" t="s">
        <v>49</v>
      </c>
      <c r="AD283" t="s">
        <v>968</v>
      </c>
      <c r="AF283" t="s">
        <v>944</v>
      </c>
      <c r="AG283" t="s">
        <v>945</v>
      </c>
      <c r="AH283" t="s">
        <v>946</v>
      </c>
      <c r="AI283" t="s">
        <v>947</v>
      </c>
      <c r="AJ283" t="s">
        <v>948</v>
      </c>
      <c r="AK283">
        <v>4</v>
      </c>
      <c r="AL283" s="10">
        <v>17345.5</v>
      </c>
      <c r="AM283" s="10">
        <v>22599.1</v>
      </c>
      <c r="AN283" s="10">
        <v>38050.5</v>
      </c>
      <c r="AO283" s="9">
        <v>8.7683512462840008E-3</v>
      </c>
      <c r="AP283" s="9">
        <v>0.95860000000000001</v>
      </c>
      <c r="AQ283" s="9">
        <v>0.31123192939382699</v>
      </c>
      <c r="AR283" s="9">
        <v>8.3447623948614336</v>
      </c>
      <c r="AS283" s="9">
        <v>8.6559943242552606</v>
      </c>
      <c r="AT283" s="9">
        <v>1.5461056280225962</v>
      </c>
      <c r="AU283" s="9">
        <v>23.781668382015017</v>
      </c>
      <c r="AV283" s="9">
        <v>25.327774010037611</v>
      </c>
      <c r="AW283" s="11">
        <v>479.60700000000003</v>
      </c>
      <c r="AX283" s="11">
        <v>479.60700000000003</v>
      </c>
      <c r="AY283" t="s">
        <v>969</v>
      </c>
      <c r="AZ283" t="s">
        <v>950</v>
      </c>
      <c r="BA283" t="s">
        <v>951</v>
      </c>
      <c r="BB283" t="s">
        <v>970</v>
      </c>
      <c r="BC283" t="b">
        <v>1</v>
      </c>
    </row>
    <row r="284" spans="1:55">
      <c r="A284" t="s">
        <v>1546</v>
      </c>
      <c r="B284" t="s">
        <v>939</v>
      </c>
      <c r="C284">
        <v>9363100</v>
      </c>
      <c r="D284">
        <v>5091500</v>
      </c>
      <c r="E284">
        <v>9363100</v>
      </c>
      <c r="F284">
        <v>18978500</v>
      </c>
      <c r="G284" s="9">
        <v>6.7152744801135204E-3</v>
      </c>
      <c r="H284" s="9">
        <v>1.6457431976392947E-2</v>
      </c>
      <c r="I284" s="9">
        <v>2.4686147964589421E-2</v>
      </c>
      <c r="J284" s="10">
        <v>292416.2848248001</v>
      </c>
      <c r="K284" s="10">
        <v>282181.83317775652</v>
      </c>
      <c r="L284" s="10">
        <v>271947.38153071294</v>
      </c>
      <c r="M284" s="10">
        <v>261712.92988366939</v>
      </c>
      <c r="N284" s="10">
        <v>251478.47823662587</v>
      </c>
      <c r="O284" s="10">
        <v>241244.02658958235</v>
      </c>
      <c r="P284" s="10">
        <v>220775.12329549523</v>
      </c>
      <c r="Q284" s="10">
        <v>200306.22000140816</v>
      </c>
      <c r="R284" s="10">
        <v>179837.31670732106</v>
      </c>
      <c r="S284" s="10">
        <v>159368.41341323394</v>
      </c>
      <c r="T284" s="10">
        <v>138899.51011914687</v>
      </c>
      <c r="V284" t="s">
        <v>456</v>
      </c>
      <c r="W284" t="s">
        <v>1546</v>
      </c>
      <c r="X284" t="s">
        <v>1547</v>
      </c>
      <c r="Y284" t="s">
        <v>941</v>
      </c>
      <c r="Z284" t="s">
        <v>942</v>
      </c>
      <c r="AB284" t="s">
        <v>110</v>
      </c>
      <c r="AC284" t="s">
        <v>49</v>
      </c>
      <c r="AD284" t="s">
        <v>943</v>
      </c>
      <c r="AF284" t="s">
        <v>944</v>
      </c>
      <c r="AG284" t="s">
        <v>999</v>
      </c>
      <c r="AH284" t="s">
        <v>946</v>
      </c>
      <c r="AI284" t="s">
        <v>977</v>
      </c>
      <c r="AJ284" t="s">
        <v>948</v>
      </c>
      <c r="AK284">
        <v>13</v>
      </c>
      <c r="AL284" s="10">
        <v>5091.5</v>
      </c>
      <c r="AM284" s="10">
        <v>9363.1</v>
      </c>
      <c r="AN284" s="10">
        <v>18978.5</v>
      </c>
      <c r="AO284" s="9">
        <v>8.7725588840612795E-2</v>
      </c>
      <c r="AP284" s="9">
        <v>9.590600000000002</v>
      </c>
      <c r="AQ284" s="9">
        <v>0.51527448011352217</v>
      </c>
      <c r="AR284" s="9">
        <v>6.1999999999999984</v>
      </c>
      <c r="AS284" s="9">
        <v>6.7152744801135205</v>
      </c>
      <c r="AT284" s="9">
        <v>1.5774319763929423</v>
      </c>
      <c r="AU284" s="9">
        <v>14.88</v>
      </c>
      <c r="AV284" s="9">
        <v>16.457431976392947</v>
      </c>
      <c r="AW284" s="11">
        <v>292.41628482480007</v>
      </c>
      <c r="AX284" s="11">
        <v>138.89951011914687</v>
      </c>
      <c r="AY284" t="s">
        <v>949</v>
      </c>
      <c r="AZ284" t="s">
        <v>950</v>
      </c>
      <c r="BA284" t="s">
        <v>951</v>
      </c>
      <c r="BB284" t="s">
        <v>970</v>
      </c>
      <c r="BC284" t="b">
        <v>1</v>
      </c>
    </row>
    <row r="285" spans="1:55">
      <c r="A285" t="s">
        <v>1548</v>
      </c>
      <c r="B285" t="s">
        <v>939</v>
      </c>
      <c r="C285">
        <v>3419300</v>
      </c>
      <c r="D285">
        <v>1859300</v>
      </c>
      <c r="E285">
        <v>3419300</v>
      </c>
      <c r="F285">
        <v>6930700</v>
      </c>
      <c r="G285" s="9">
        <v>8.51387251027679E-3</v>
      </c>
      <c r="H285" s="9">
        <v>2.5172586077466738E-2</v>
      </c>
      <c r="I285" s="9">
        <v>3.7758879116200107E-2</v>
      </c>
      <c r="J285" s="10">
        <v>106787.17547622464</v>
      </c>
      <c r="K285" s="10">
        <v>103049.6675443713</v>
      </c>
      <c r="L285" s="10">
        <v>99312.159612517979</v>
      </c>
      <c r="M285" s="10">
        <v>95574.651680664625</v>
      </c>
      <c r="N285" s="10">
        <v>91837.143748811286</v>
      </c>
      <c r="O285" s="10">
        <v>88099.635816957947</v>
      </c>
      <c r="P285" s="10">
        <v>80624.619953251269</v>
      </c>
      <c r="Q285" s="10">
        <v>73149.604089544591</v>
      </c>
      <c r="R285" s="10">
        <v>65674.588225837913</v>
      </c>
      <c r="S285" s="10">
        <v>58199.572362131228</v>
      </c>
      <c r="T285" s="10">
        <v>50724.55649842455</v>
      </c>
      <c r="V285" t="s">
        <v>456</v>
      </c>
      <c r="W285" t="s">
        <v>1548</v>
      </c>
      <c r="X285" t="s">
        <v>1547</v>
      </c>
      <c r="Y285" t="s">
        <v>941</v>
      </c>
      <c r="Z285" t="s">
        <v>942</v>
      </c>
      <c r="AB285" t="s">
        <v>110</v>
      </c>
      <c r="AC285" t="s">
        <v>49</v>
      </c>
      <c r="AD285" t="s">
        <v>943</v>
      </c>
      <c r="AF285" t="s">
        <v>944</v>
      </c>
      <c r="AG285" t="s">
        <v>959</v>
      </c>
      <c r="AH285" t="s">
        <v>946</v>
      </c>
      <c r="AI285" t="s">
        <v>960</v>
      </c>
      <c r="AJ285" t="s">
        <v>948</v>
      </c>
      <c r="AK285">
        <v>13</v>
      </c>
      <c r="AL285" s="10">
        <v>1859.3</v>
      </c>
      <c r="AM285" s="10">
        <v>3419.3</v>
      </c>
      <c r="AN285" s="10">
        <v>6930.7</v>
      </c>
      <c r="AO285" s="9">
        <v>8.6813629087582805E-2</v>
      </c>
      <c r="AP285" s="9">
        <v>9.4908999999999981</v>
      </c>
      <c r="AQ285" s="9">
        <v>0.76387251027678993</v>
      </c>
      <c r="AR285" s="9">
        <v>7.7500000000000009</v>
      </c>
      <c r="AS285" s="9">
        <v>8.5138725102767907</v>
      </c>
      <c r="AT285" s="9">
        <v>1.5725860774667264</v>
      </c>
      <c r="AU285" s="9">
        <v>23.600000000000005</v>
      </c>
      <c r="AV285" s="9">
        <v>25.17258607746674</v>
      </c>
      <c r="AW285" s="11">
        <v>106.78717547622465</v>
      </c>
      <c r="AX285" s="11">
        <v>50.724556498424548</v>
      </c>
      <c r="AY285" t="s">
        <v>949</v>
      </c>
      <c r="AZ285" t="s">
        <v>950</v>
      </c>
      <c r="BA285" t="s">
        <v>951</v>
      </c>
      <c r="BB285" t="s">
        <v>970</v>
      </c>
      <c r="BC285" t="b">
        <v>1</v>
      </c>
    </row>
    <row r="286" spans="1:55">
      <c r="A286" t="s">
        <v>1549</v>
      </c>
      <c r="B286" t="s">
        <v>939</v>
      </c>
      <c r="C286">
        <v>43743600</v>
      </c>
      <c r="D286">
        <v>23786800</v>
      </c>
      <c r="E286">
        <v>43743600</v>
      </c>
      <c r="F286">
        <v>88665500</v>
      </c>
      <c r="G286" s="9">
        <v>1.4125532499199664E-2</v>
      </c>
      <c r="H286" s="9">
        <v>4.6511696418233814E-2</v>
      </c>
      <c r="I286" s="9">
        <v>6.9767544627350714E-2</v>
      </c>
      <c r="J286" s="10">
        <v>1366143.798193133</v>
      </c>
      <c r="K286" s="10">
        <v>1318329.3180457873</v>
      </c>
      <c r="L286" s="10">
        <v>1270514.8378984414</v>
      </c>
      <c r="M286" s="10">
        <v>1222700.3577510954</v>
      </c>
      <c r="N286" s="10">
        <v>1174885.8776037495</v>
      </c>
      <c r="O286" s="10">
        <v>1127071.3974564036</v>
      </c>
      <c r="P286" s="10">
        <v>1031442.437161712</v>
      </c>
      <c r="Q286" s="10">
        <v>935813.47686702025</v>
      </c>
      <c r="R286" s="10">
        <v>840184.51657232852</v>
      </c>
      <c r="S286" s="10">
        <v>744555.55627763679</v>
      </c>
      <c r="T286" s="10">
        <v>648926.59598294506</v>
      </c>
      <c r="V286" t="s">
        <v>456</v>
      </c>
      <c r="W286" t="s">
        <v>1549</v>
      </c>
      <c r="X286" t="s">
        <v>1550</v>
      </c>
      <c r="Y286" t="s">
        <v>941</v>
      </c>
      <c r="Z286" t="s">
        <v>942</v>
      </c>
      <c r="AB286" t="s">
        <v>110</v>
      </c>
      <c r="AC286" t="s">
        <v>49</v>
      </c>
      <c r="AD286" t="s">
        <v>943</v>
      </c>
      <c r="AF286" t="s">
        <v>944</v>
      </c>
      <c r="AG286" t="s">
        <v>945</v>
      </c>
      <c r="AH286" t="s">
        <v>946</v>
      </c>
      <c r="AI286" t="s">
        <v>947</v>
      </c>
      <c r="AJ286" t="s">
        <v>948</v>
      </c>
      <c r="AK286">
        <v>3</v>
      </c>
      <c r="AL286" s="10">
        <v>23786.799999999999</v>
      </c>
      <c r="AM286" s="10">
        <v>43743.6</v>
      </c>
      <c r="AN286" s="10">
        <v>88665.5</v>
      </c>
      <c r="AO286" s="9">
        <v>1.6972330208095101E-2</v>
      </c>
      <c r="AP286" s="9">
        <v>1.8554999999999999</v>
      </c>
      <c r="AQ286" s="9">
        <v>0.21759517443060941</v>
      </c>
      <c r="AR286" s="9">
        <v>13.907937324769057</v>
      </c>
      <c r="AS286" s="9">
        <v>14.125532499199664</v>
      </c>
      <c r="AT286" s="9">
        <v>0.74312204906520907</v>
      </c>
      <c r="AU286" s="9">
        <v>45.768574369168611</v>
      </c>
      <c r="AV286" s="9">
        <v>46.511696418233811</v>
      </c>
      <c r="AW286" s="11">
        <v>1366.1437981931331</v>
      </c>
      <c r="AX286" s="11">
        <v>648.92659598294506</v>
      </c>
      <c r="AY286" t="s">
        <v>949</v>
      </c>
      <c r="AZ286" t="s">
        <v>950</v>
      </c>
      <c r="BA286" t="s">
        <v>951</v>
      </c>
      <c r="BB286" t="s">
        <v>970</v>
      </c>
      <c r="BC286" t="b">
        <v>1</v>
      </c>
    </row>
    <row r="287" spans="1:55">
      <c r="A287" t="s">
        <v>1551</v>
      </c>
      <c r="B287" t="s">
        <v>939</v>
      </c>
      <c r="C287">
        <v>42144900</v>
      </c>
      <c r="D287">
        <v>22917500</v>
      </c>
      <c r="E287">
        <v>42144900</v>
      </c>
      <c r="F287">
        <v>85425100</v>
      </c>
      <c r="G287" s="9">
        <v>7.6560940224657077E-3</v>
      </c>
      <c r="H287" s="9">
        <v>1.9448462000707403E-2</v>
      </c>
      <c r="I287" s="9">
        <v>2.9172693001061102E-2</v>
      </c>
      <c r="J287" s="10">
        <v>1316215.2580141956</v>
      </c>
      <c r="K287" s="10">
        <v>1270148.2565702843</v>
      </c>
      <c r="L287" s="10">
        <v>1224081.2551263729</v>
      </c>
      <c r="M287" s="10">
        <v>1178014.2536824618</v>
      </c>
      <c r="N287" s="10">
        <v>1131947.2522385507</v>
      </c>
      <c r="O287" s="10">
        <v>1085880.2507946393</v>
      </c>
      <c r="P287" s="10">
        <v>993746.24790681677</v>
      </c>
      <c r="Q287" s="10">
        <v>901612.2450189942</v>
      </c>
      <c r="R287" s="10">
        <v>809478.24213117175</v>
      </c>
      <c r="S287" s="10">
        <v>717344.23924334918</v>
      </c>
      <c r="T287" s="10">
        <v>625210.23635552672</v>
      </c>
      <c r="V287" t="s">
        <v>456</v>
      </c>
      <c r="W287" t="s">
        <v>1551</v>
      </c>
      <c r="X287" t="s">
        <v>1552</v>
      </c>
      <c r="Y287" t="s">
        <v>941</v>
      </c>
      <c r="Z287" t="s">
        <v>942</v>
      </c>
      <c r="AB287" t="s">
        <v>110</v>
      </c>
      <c r="AC287" t="s">
        <v>49</v>
      </c>
      <c r="AD287" t="s">
        <v>943</v>
      </c>
      <c r="AF287" t="s">
        <v>944</v>
      </c>
      <c r="AG287" t="s">
        <v>976</v>
      </c>
      <c r="AH287" t="s">
        <v>956</v>
      </c>
      <c r="AI287" t="s">
        <v>977</v>
      </c>
      <c r="AJ287" t="s">
        <v>948</v>
      </c>
      <c r="AK287">
        <v>35</v>
      </c>
      <c r="AL287" s="10">
        <v>22917.5</v>
      </c>
      <c r="AM287" s="10">
        <v>42144.9</v>
      </c>
      <c r="AN287" s="10">
        <v>85425.1</v>
      </c>
      <c r="AO287" s="9">
        <v>0.39486668191173108</v>
      </c>
      <c r="AP287" s="9">
        <v>43.168800000000005</v>
      </c>
      <c r="AQ287" s="9">
        <v>1.45609402246571</v>
      </c>
      <c r="AR287" s="9">
        <v>6.2</v>
      </c>
      <c r="AS287" s="9">
        <v>7.6560940224657079</v>
      </c>
      <c r="AT287" s="9">
        <v>4.5684620007074006</v>
      </c>
      <c r="AU287" s="9">
        <v>14.880000000000004</v>
      </c>
      <c r="AV287" s="9">
        <v>19.448462000707401</v>
      </c>
      <c r="AW287" s="11">
        <v>1316.2152580141956</v>
      </c>
      <c r="AX287" s="11">
        <v>625.21023635552672</v>
      </c>
      <c r="AY287" t="s">
        <v>949</v>
      </c>
      <c r="AZ287" t="s">
        <v>950</v>
      </c>
      <c r="BA287" t="s">
        <v>951</v>
      </c>
      <c r="BB287" t="s">
        <v>970</v>
      </c>
      <c r="BC287" t="b">
        <v>1</v>
      </c>
    </row>
    <row r="288" spans="1:55">
      <c r="A288" t="s">
        <v>1553</v>
      </c>
      <c r="B288" t="s">
        <v>939</v>
      </c>
      <c r="C288">
        <v>3470600</v>
      </c>
      <c r="D288">
        <v>1887200</v>
      </c>
      <c r="E288">
        <v>3470600</v>
      </c>
      <c r="F288">
        <v>7034700</v>
      </c>
      <c r="G288" s="9">
        <v>1.0626456254101363E-2</v>
      </c>
      <c r="H288" s="9">
        <v>2.9859058341203303E-2</v>
      </c>
      <c r="I288" s="9">
        <v>4.478858751180495E-2</v>
      </c>
      <c r="J288" s="10">
        <v>108389.31103084995</v>
      </c>
      <c r="K288" s="10">
        <v>104595.72900286461</v>
      </c>
      <c r="L288" s="10">
        <v>100802.1469748793</v>
      </c>
      <c r="M288" s="10">
        <v>97008.564946893981</v>
      </c>
      <c r="N288" s="10">
        <v>93214.982918908674</v>
      </c>
      <c r="O288" s="10">
        <v>89421.400890923353</v>
      </c>
      <c r="P288" s="10">
        <v>81834.236834952724</v>
      </c>
      <c r="Q288" s="10">
        <v>74247.072778982067</v>
      </c>
      <c r="R288" s="10">
        <v>66659.908723011438</v>
      </c>
      <c r="S288" s="10">
        <v>59072.744667040803</v>
      </c>
      <c r="T288" s="10">
        <v>51485.580611070167</v>
      </c>
      <c r="V288" t="s">
        <v>456</v>
      </c>
      <c r="W288" t="s">
        <v>1553</v>
      </c>
      <c r="X288" t="s">
        <v>1554</v>
      </c>
      <c r="Y288" t="s">
        <v>941</v>
      </c>
      <c r="Z288" t="s">
        <v>942</v>
      </c>
      <c r="AB288" t="s">
        <v>110</v>
      </c>
      <c r="AC288" t="s">
        <v>49</v>
      </c>
      <c r="AD288" t="s">
        <v>943</v>
      </c>
      <c r="AF288" t="s">
        <v>944</v>
      </c>
      <c r="AG288" t="s">
        <v>965</v>
      </c>
      <c r="AH288" t="s">
        <v>956</v>
      </c>
      <c r="AI288" t="s">
        <v>960</v>
      </c>
      <c r="AJ288" t="s">
        <v>948</v>
      </c>
      <c r="AK288">
        <v>12</v>
      </c>
      <c r="AL288" s="10">
        <v>1887.2</v>
      </c>
      <c r="AM288" s="10">
        <v>3470.6</v>
      </c>
      <c r="AN288" s="10">
        <v>7034.7</v>
      </c>
      <c r="AO288" s="9">
        <v>8.8117082094671798E-2</v>
      </c>
      <c r="AP288" s="9">
        <v>9.6334</v>
      </c>
      <c r="AQ288" s="9">
        <v>2.8764562541013645</v>
      </c>
      <c r="AR288" s="9">
        <v>7.75</v>
      </c>
      <c r="AS288" s="9">
        <v>10.626456254101363</v>
      </c>
      <c r="AT288" s="9">
        <v>6.2590583412032936</v>
      </c>
      <c r="AU288" s="9">
        <v>23.6</v>
      </c>
      <c r="AV288" s="9">
        <v>29.859058341203301</v>
      </c>
      <c r="AW288" s="11">
        <v>108.38931103084994</v>
      </c>
      <c r="AX288" s="11">
        <v>51.485580611070169</v>
      </c>
      <c r="AY288" t="s">
        <v>949</v>
      </c>
      <c r="AZ288" t="s">
        <v>950</v>
      </c>
      <c r="BA288" t="s">
        <v>951</v>
      </c>
      <c r="BB288" t="s">
        <v>970</v>
      </c>
      <c r="BC288" t="b">
        <v>1</v>
      </c>
    </row>
    <row r="289" spans="1:55">
      <c r="A289" t="s">
        <v>1555</v>
      </c>
      <c r="B289" t="s">
        <v>939</v>
      </c>
      <c r="C289">
        <v>6807600</v>
      </c>
      <c r="D289">
        <v>3701800</v>
      </c>
      <c r="E289">
        <v>6807600</v>
      </c>
      <c r="F289">
        <v>13798600</v>
      </c>
      <c r="G289" s="9">
        <v>9.6688414211420198E-3</v>
      </c>
      <c r="H289" s="9">
        <v>2.8767545452721352E-2</v>
      </c>
      <c r="I289" s="9">
        <v>4.3151318179082028E-2</v>
      </c>
      <c r="J289" s="10">
        <v>212606.1988629096</v>
      </c>
      <c r="K289" s="10">
        <v>205165.06793058873</v>
      </c>
      <c r="L289" s="10">
        <v>197723.93699826783</v>
      </c>
      <c r="M289" s="10">
        <v>190282.80606594693</v>
      </c>
      <c r="N289" s="10">
        <v>182841.67513362606</v>
      </c>
      <c r="O289" s="10">
        <v>175400.54420130519</v>
      </c>
      <c r="P289" s="10">
        <v>160518.28233666343</v>
      </c>
      <c r="Q289" s="10">
        <v>145636.02047202166</v>
      </c>
      <c r="R289" s="10">
        <v>130753.75860737989</v>
      </c>
      <c r="S289" s="10">
        <v>115871.49674273815</v>
      </c>
      <c r="T289" s="10">
        <v>100989.23487809638</v>
      </c>
      <c r="V289" t="s">
        <v>456</v>
      </c>
      <c r="W289" t="s">
        <v>1555</v>
      </c>
      <c r="X289" t="s">
        <v>1556</v>
      </c>
      <c r="Y289" t="s">
        <v>941</v>
      </c>
      <c r="Z289" t="s">
        <v>942</v>
      </c>
      <c r="AB289" t="s">
        <v>110</v>
      </c>
      <c r="AC289" t="s">
        <v>49</v>
      </c>
      <c r="AD289" t="s">
        <v>943</v>
      </c>
      <c r="AF289" t="s">
        <v>944</v>
      </c>
      <c r="AG289" t="s">
        <v>996</v>
      </c>
      <c r="AH289" t="s">
        <v>988</v>
      </c>
      <c r="AI289" t="s">
        <v>977</v>
      </c>
      <c r="AJ289" t="s">
        <v>948</v>
      </c>
      <c r="AK289">
        <v>8</v>
      </c>
      <c r="AL289" s="10">
        <v>3701.8</v>
      </c>
      <c r="AM289" s="10">
        <v>6807.6</v>
      </c>
      <c r="AN289" s="10">
        <v>13798.6</v>
      </c>
      <c r="AO289" s="9">
        <v>6.3782300480219503E-2</v>
      </c>
      <c r="AP289" s="9">
        <v>6.9730000000000008</v>
      </c>
      <c r="AQ289" s="9">
        <v>3.4688414211420184</v>
      </c>
      <c r="AR289" s="9">
        <v>6.2</v>
      </c>
      <c r="AS289" s="9">
        <v>9.6688414211420195</v>
      </c>
      <c r="AT289" s="9">
        <v>13.887545452721344</v>
      </c>
      <c r="AU289" s="9">
        <v>14.880000000000004</v>
      </c>
      <c r="AV289" s="9">
        <v>28.76754545272135</v>
      </c>
      <c r="AW289" s="11">
        <v>212.60619886290959</v>
      </c>
      <c r="AX289" s="11">
        <v>100.98923487809638</v>
      </c>
      <c r="AY289" t="s">
        <v>949</v>
      </c>
      <c r="AZ289" t="s">
        <v>950</v>
      </c>
      <c r="BA289" t="s">
        <v>951</v>
      </c>
      <c r="BB289" t="s">
        <v>970</v>
      </c>
      <c r="BC289" t="b">
        <v>1</v>
      </c>
    </row>
    <row r="290" spans="1:55">
      <c r="A290" t="s">
        <v>1557</v>
      </c>
      <c r="B290" t="s">
        <v>939</v>
      </c>
      <c r="C290">
        <v>3326300</v>
      </c>
      <c r="D290">
        <v>1808800</v>
      </c>
      <c r="E290">
        <v>3326300</v>
      </c>
      <c r="F290">
        <v>6742300</v>
      </c>
      <c r="G290" s="9">
        <v>1.2901114035492458E-2</v>
      </c>
      <c r="H290" s="9">
        <v>3.6832337748396227E-2</v>
      </c>
      <c r="I290" s="9">
        <v>5.524850662259434E-2</v>
      </c>
      <c r="J290" s="10">
        <v>103882.71920760567</v>
      </c>
      <c r="K290" s="10">
        <v>100246.86606990971</v>
      </c>
      <c r="L290" s="10">
        <v>96611.012932213751</v>
      </c>
      <c r="M290" s="10">
        <v>92975.159794517807</v>
      </c>
      <c r="N290" s="10">
        <v>89339.306656821864</v>
      </c>
      <c r="O290" s="10">
        <v>85703.453519125906</v>
      </c>
      <c r="P290" s="10">
        <v>78431.747243734004</v>
      </c>
      <c r="Q290" s="10">
        <v>71160.040968342117</v>
      </c>
      <c r="R290" s="10">
        <v>63888.334692950208</v>
      </c>
      <c r="S290" s="10">
        <v>56616.628417558306</v>
      </c>
      <c r="T290" s="10">
        <v>49344.922142166404</v>
      </c>
      <c r="V290" t="s">
        <v>456</v>
      </c>
      <c r="W290" t="s">
        <v>1557</v>
      </c>
      <c r="X290" t="s">
        <v>1558</v>
      </c>
      <c r="Y290" t="s">
        <v>941</v>
      </c>
      <c r="Z290" t="s">
        <v>942</v>
      </c>
      <c r="AB290" t="s">
        <v>110</v>
      </c>
      <c r="AC290" t="s">
        <v>49</v>
      </c>
      <c r="AD290" t="s">
        <v>943</v>
      </c>
      <c r="AF290" t="s">
        <v>944</v>
      </c>
      <c r="AG290" t="s">
        <v>1042</v>
      </c>
      <c r="AH290" t="s">
        <v>988</v>
      </c>
      <c r="AI290" t="s">
        <v>960</v>
      </c>
      <c r="AJ290" t="s">
        <v>948</v>
      </c>
      <c r="AK290">
        <v>6</v>
      </c>
      <c r="AL290" s="10">
        <v>1808.8</v>
      </c>
      <c r="AM290" s="10">
        <v>3326.3</v>
      </c>
      <c r="AN290" s="10">
        <v>6742.3</v>
      </c>
      <c r="AO290" s="9">
        <v>8.4453693116853398E-2</v>
      </c>
      <c r="AP290" s="9">
        <v>9.2329000000000008</v>
      </c>
      <c r="AQ290" s="9">
        <v>5.1511140354924585</v>
      </c>
      <c r="AR290" s="9">
        <v>7.7500000000000027</v>
      </c>
      <c r="AS290" s="9">
        <v>12.901114035492458</v>
      </c>
      <c r="AT290" s="9">
        <v>13.23233774839623</v>
      </c>
      <c r="AU290" s="9">
        <v>23.6</v>
      </c>
      <c r="AV290" s="9">
        <v>36.832337748396228</v>
      </c>
      <c r="AW290" s="11">
        <v>103.88271920760566</v>
      </c>
      <c r="AX290" s="11">
        <v>49.344922142166403</v>
      </c>
      <c r="AY290" t="s">
        <v>949</v>
      </c>
      <c r="AZ290" t="s">
        <v>950</v>
      </c>
      <c r="BA290" t="s">
        <v>951</v>
      </c>
      <c r="BB290" t="s">
        <v>970</v>
      </c>
      <c r="BC290" t="b">
        <v>1</v>
      </c>
    </row>
    <row r="291" spans="1:55">
      <c r="A291" t="s">
        <v>1559</v>
      </c>
      <c r="B291" t="s">
        <v>939</v>
      </c>
      <c r="C291">
        <v>17984400</v>
      </c>
      <c r="D291">
        <v>9779500</v>
      </c>
      <c r="E291">
        <v>17984400</v>
      </c>
      <c r="F291">
        <v>36453200</v>
      </c>
      <c r="G291" s="9">
        <v>9.1010691636543833E-3</v>
      </c>
      <c r="H291" s="9">
        <v>2.1986551833601709E-2</v>
      </c>
      <c r="I291" s="9">
        <v>3.2979827750402563E-2</v>
      </c>
      <c r="J291" s="10">
        <v>561665.62706829305</v>
      </c>
      <c r="K291" s="10">
        <v>542007.55739039893</v>
      </c>
      <c r="L291" s="10">
        <v>522349.48771250492</v>
      </c>
      <c r="M291" s="10">
        <v>502691.4180346108</v>
      </c>
      <c r="N291" s="10">
        <v>483033.3483567168</v>
      </c>
      <c r="O291" s="10">
        <v>463375.27867882274</v>
      </c>
      <c r="P291" s="10">
        <v>424059.1393230345</v>
      </c>
      <c r="Q291" s="10">
        <v>384742.99996724643</v>
      </c>
      <c r="R291" s="10">
        <v>345426.86061145831</v>
      </c>
      <c r="S291" s="10">
        <v>306110.72125567013</v>
      </c>
      <c r="T291" s="10">
        <v>266794.581899882</v>
      </c>
      <c r="V291" t="s">
        <v>456</v>
      </c>
      <c r="W291" t="s">
        <v>1559</v>
      </c>
      <c r="X291" t="s">
        <v>1560</v>
      </c>
      <c r="Y291" t="s">
        <v>941</v>
      </c>
      <c r="Z291" t="s">
        <v>942</v>
      </c>
      <c r="AB291" t="s">
        <v>110</v>
      </c>
      <c r="AC291" t="s">
        <v>49</v>
      </c>
      <c r="AD291" t="s">
        <v>943</v>
      </c>
      <c r="AF291" t="s">
        <v>944</v>
      </c>
      <c r="AG291" t="s">
        <v>1454</v>
      </c>
      <c r="AH291" t="s">
        <v>1136</v>
      </c>
      <c r="AI291" t="s">
        <v>977</v>
      </c>
      <c r="AJ291" t="s">
        <v>948</v>
      </c>
      <c r="AK291">
        <v>2</v>
      </c>
      <c r="AL291" s="10">
        <v>9779.5</v>
      </c>
      <c r="AM291" s="10">
        <v>17984.400000000001</v>
      </c>
      <c r="AN291" s="10">
        <v>36453.199999999997</v>
      </c>
      <c r="AO291" s="9">
        <v>0.1685003430139492</v>
      </c>
      <c r="AP291" s="9">
        <v>18.421299999999999</v>
      </c>
      <c r="AQ291" s="9">
        <v>2.9010691636543848</v>
      </c>
      <c r="AR291" s="9">
        <v>6.1999999999999993</v>
      </c>
      <c r="AS291" s="9">
        <v>9.1010691636543832</v>
      </c>
      <c r="AT291" s="9">
        <v>7.1065518336017126</v>
      </c>
      <c r="AU291" s="9">
        <v>14.88</v>
      </c>
      <c r="AV291" s="9">
        <v>21.986551833601709</v>
      </c>
      <c r="AW291" s="11">
        <v>561.66562706829302</v>
      </c>
      <c r="AX291" s="11">
        <v>266.79458189988202</v>
      </c>
      <c r="AY291" t="s">
        <v>949</v>
      </c>
      <c r="AZ291" t="s">
        <v>950</v>
      </c>
      <c r="BA291" t="s">
        <v>951</v>
      </c>
      <c r="BB291" t="s">
        <v>970</v>
      </c>
      <c r="BC291" t="b">
        <v>1</v>
      </c>
    </row>
    <row r="292" spans="1:55">
      <c r="A292" t="s">
        <v>1561</v>
      </c>
      <c r="B292" t="s">
        <v>939</v>
      </c>
      <c r="C292">
        <v>0</v>
      </c>
      <c r="D292">
        <v>0</v>
      </c>
      <c r="E292">
        <v>0</v>
      </c>
      <c r="F292">
        <v>0</v>
      </c>
      <c r="G292" s="9">
        <v>6.6454044742608104E-2</v>
      </c>
      <c r="H292" s="9">
        <v>0.13003459838223003</v>
      </c>
      <c r="I292" s="9">
        <v>0.19505189757334504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V292" t="s">
        <v>456</v>
      </c>
      <c r="W292" t="s">
        <v>1561</v>
      </c>
      <c r="X292" t="s">
        <v>1562</v>
      </c>
      <c r="Y292" t="s">
        <v>941</v>
      </c>
      <c r="Z292" t="s">
        <v>942</v>
      </c>
      <c r="AB292" t="s">
        <v>1563</v>
      </c>
      <c r="AC292" t="s">
        <v>537</v>
      </c>
      <c r="AD292" t="s">
        <v>943</v>
      </c>
      <c r="AF292" t="s">
        <v>986</v>
      </c>
      <c r="AG292" t="s">
        <v>1028</v>
      </c>
      <c r="AH292" t="s">
        <v>956</v>
      </c>
      <c r="AI292" t="s">
        <v>947</v>
      </c>
      <c r="AJ292" t="s">
        <v>989</v>
      </c>
      <c r="AK292">
        <v>4</v>
      </c>
      <c r="AL292" s="10">
        <v>0</v>
      </c>
      <c r="AM292" s="10">
        <v>0</v>
      </c>
      <c r="AN292" s="10">
        <v>0</v>
      </c>
      <c r="AO292" s="9">
        <v>0.40507852576750059</v>
      </c>
      <c r="AP292" s="9">
        <v>2.0531000000000001</v>
      </c>
      <c r="AQ292" s="9">
        <v>24.938228926792291</v>
      </c>
      <c r="AR292" s="9">
        <v>41.515815815815813</v>
      </c>
      <c r="AS292" s="9">
        <v>66.454044742608104</v>
      </c>
      <c r="AT292" s="9">
        <v>51.572135919767554</v>
      </c>
      <c r="AU292" s="9">
        <v>78.462462462462469</v>
      </c>
      <c r="AV292" s="9">
        <v>130.03459838223003</v>
      </c>
      <c r="AW292" s="11">
        <v>0</v>
      </c>
      <c r="AX292" s="11">
        <v>0</v>
      </c>
      <c r="AY292" t="s">
        <v>1564</v>
      </c>
      <c r="AZ292" t="s">
        <v>950</v>
      </c>
      <c r="BA292" t="s">
        <v>951</v>
      </c>
      <c r="BB292" t="s">
        <v>970</v>
      </c>
      <c r="BC292" t="b">
        <v>1</v>
      </c>
    </row>
    <row r="293" spans="1:55">
      <c r="A293" t="s">
        <v>1565</v>
      </c>
      <c r="B293" t="s">
        <v>939</v>
      </c>
      <c r="C293">
        <v>1000</v>
      </c>
      <c r="D293">
        <v>500</v>
      </c>
      <c r="E293">
        <v>1000</v>
      </c>
      <c r="F293">
        <v>2000</v>
      </c>
      <c r="G293" s="9">
        <v>1.6064098313285924E-2</v>
      </c>
      <c r="H293" s="9">
        <v>5.0809307208169882E-2</v>
      </c>
      <c r="I293" s="9">
        <v>7.6213960812254816E-2</v>
      </c>
      <c r="J293" s="10">
        <v>40</v>
      </c>
      <c r="K293" s="10">
        <v>40</v>
      </c>
      <c r="L293" s="10">
        <v>40</v>
      </c>
      <c r="M293" s="10">
        <v>40</v>
      </c>
      <c r="N293" s="10">
        <v>40</v>
      </c>
      <c r="O293" s="10">
        <v>40</v>
      </c>
      <c r="P293" s="10">
        <v>40</v>
      </c>
      <c r="Q293" s="10">
        <v>40</v>
      </c>
      <c r="R293" s="10">
        <v>40</v>
      </c>
      <c r="S293" s="10">
        <v>40</v>
      </c>
      <c r="T293" s="10">
        <v>40</v>
      </c>
      <c r="V293" t="s">
        <v>456</v>
      </c>
      <c r="W293" t="s">
        <v>1565</v>
      </c>
      <c r="X293" t="s">
        <v>1566</v>
      </c>
      <c r="Y293" t="s">
        <v>941</v>
      </c>
      <c r="Z293" t="s">
        <v>942</v>
      </c>
      <c r="AB293" t="s">
        <v>1563</v>
      </c>
      <c r="AC293" t="s">
        <v>537</v>
      </c>
      <c r="AD293" t="s">
        <v>943</v>
      </c>
      <c r="AF293" t="s">
        <v>944</v>
      </c>
      <c r="AG293" t="s">
        <v>945</v>
      </c>
      <c r="AH293" t="s">
        <v>946</v>
      </c>
      <c r="AI293" t="s">
        <v>947</v>
      </c>
      <c r="AJ293" t="s">
        <v>948</v>
      </c>
      <c r="AK293">
        <v>1</v>
      </c>
      <c r="AL293" s="10">
        <v>0.5</v>
      </c>
      <c r="AM293" s="10">
        <v>1</v>
      </c>
      <c r="AN293" s="10">
        <v>2</v>
      </c>
      <c r="AO293" s="9">
        <v>0.5949214742324993</v>
      </c>
      <c r="AP293" s="9">
        <v>3.0152999999999999</v>
      </c>
      <c r="AQ293" s="9">
        <v>1.2370212362088484</v>
      </c>
      <c r="AR293" s="9">
        <v>14.827077077077076</v>
      </c>
      <c r="AS293" s="9">
        <v>16.064098313285925</v>
      </c>
      <c r="AT293" s="9">
        <v>1.731829730692388</v>
      </c>
      <c r="AU293" s="9">
        <v>49.077477477477487</v>
      </c>
      <c r="AV293" s="9">
        <v>50.809307208169884</v>
      </c>
      <c r="AW293" s="11">
        <v>0.04</v>
      </c>
      <c r="AX293" s="11">
        <v>0.04</v>
      </c>
      <c r="AY293" t="s">
        <v>1564</v>
      </c>
      <c r="AZ293" t="s">
        <v>950</v>
      </c>
      <c r="BA293" t="s">
        <v>951</v>
      </c>
      <c r="BB293" t="s">
        <v>952</v>
      </c>
      <c r="BC293" t="b">
        <v>1</v>
      </c>
    </row>
    <row r="294" spans="1:55">
      <c r="A294" t="s">
        <v>1567</v>
      </c>
      <c r="B294" t="s">
        <v>939</v>
      </c>
      <c r="C294">
        <v>300</v>
      </c>
      <c r="D294">
        <v>200</v>
      </c>
      <c r="E294">
        <v>300</v>
      </c>
      <c r="F294">
        <v>600</v>
      </c>
      <c r="G294" s="9">
        <v>8.3347718645293972E-3</v>
      </c>
      <c r="H294" s="9">
        <v>2.4418680610341158E-2</v>
      </c>
      <c r="I294" s="9">
        <v>3.6628020915511733E-2</v>
      </c>
      <c r="J294" s="10">
        <v>12</v>
      </c>
      <c r="K294" s="10">
        <v>12</v>
      </c>
      <c r="L294" s="10">
        <v>12</v>
      </c>
      <c r="M294" s="10">
        <v>12</v>
      </c>
      <c r="N294" s="10">
        <v>12</v>
      </c>
      <c r="O294" s="10">
        <v>12</v>
      </c>
      <c r="P294" s="10">
        <v>12</v>
      </c>
      <c r="Q294" s="10">
        <v>12</v>
      </c>
      <c r="R294" s="10">
        <v>12</v>
      </c>
      <c r="S294" s="10">
        <v>12</v>
      </c>
      <c r="T294" s="10">
        <v>12</v>
      </c>
      <c r="V294" t="s">
        <v>456</v>
      </c>
      <c r="W294" t="s">
        <v>1567</v>
      </c>
      <c r="X294" t="s">
        <v>1568</v>
      </c>
      <c r="Y294" t="s">
        <v>941</v>
      </c>
      <c r="Z294" t="s">
        <v>942</v>
      </c>
      <c r="AB294" t="s">
        <v>1569</v>
      </c>
      <c r="AC294" t="s">
        <v>1569</v>
      </c>
      <c r="AD294" t="s">
        <v>943</v>
      </c>
      <c r="AF294" t="s">
        <v>944</v>
      </c>
      <c r="AG294" t="s">
        <v>959</v>
      </c>
      <c r="AH294" t="s">
        <v>946</v>
      </c>
      <c r="AI294" t="s">
        <v>960</v>
      </c>
      <c r="AJ294" t="s">
        <v>948</v>
      </c>
      <c r="AK294">
        <v>1</v>
      </c>
      <c r="AL294" s="10">
        <v>0.2</v>
      </c>
      <c r="AM294" s="10">
        <v>0.3</v>
      </c>
      <c r="AN294" s="10">
        <v>0.6</v>
      </c>
      <c r="AO294" s="9">
        <v>1</v>
      </c>
      <c r="AP294" s="9">
        <v>0.52270000000000005</v>
      </c>
      <c r="AQ294" s="9">
        <v>0.584771864529397</v>
      </c>
      <c r="AR294" s="9">
        <v>7.75</v>
      </c>
      <c r="AS294" s="9">
        <v>8.3347718645293973</v>
      </c>
      <c r="AT294" s="9">
        <v>0.8186806103411558</v>
      </c>
      <c r="AU294" s="9">
        <v>23.6</v>
      </c>
      <c r="AV294" s="9">
        <v>24.418680610341159</v>
      </c>
      <c r="AW294" s="11">
        <v>1.2E-2</v>
      </c>
      <c r="AX294" s="11">
        <v>1.2E-2</v>
      </c>
      <c r="AY294" t="s">
        <v>949</v>
      </c>
      <c r="AZ294" t="s">
        <v>950</v>
      </c>
      <c r="BA294" t="s">
        <v>951</v>
      </c>
      <c r="BB294" t="s">
        <v>952</v>
      </c>
      <c r="BC294" t="b">
        <v>1</v>
      </c>
    </row>
    <row r="295" spans="1:55">
      <c r="A295" t="s">
        <v>1570</v>
      </c>
      <c r="B295" t="s">
        <v>939</v>
      </c>
      <c r="C295">
        <v>4652000</v>
      </c>
      <c r="D295">
        <v>3570500</v>
      </c>
      <c r="E295">
        <v>4652000</v>
      </c>
      <c r="F295">
        <v>7832600</v>
      </c>
      <c r="G295" s="9">
        <v>1.0604170596652628E-2</v>
      </c>
      <c r="H295" s="9">
        <v>3.0321651230751371E-2</v>
      </c>
      <c r="I295" s="9">
        <v>4.5482476846127058E-2</v>
      </c>
      <c r="J295" s="10">
        <v>14158.218599791011</v>
      </c>
      <c r="K295" s="10">
        <v>14158.218599791011</v>
      </c>
      <c r="L295" s="10">
        <v>14158.218599791011</v>
      </c>
      <c r="M295" s="10">
        <v>14158.218599791011</v>
      </c>
      <c r="N295" s="10">
        <v>14158.218599791011</v>
      </c>
      <c r="O295" s="10">
        <v>14158.218599791011</v>
      </c>
      <c r="P295" s="10">
        <v>14158.218599791011</v>
      </c>
      <c r="Q295" s="10">
        <v>14158.218599791011</v>
      </c>
      <c r="R295" s="10">
        <v>14158.218599791011</v>
      </c>
      <c r="S295" s="10">
        <v>14158.218599791011</v>
      </c>
      <c r="T295" s="10">
        <v>14158.218599791011</v>
      </c>
      <c r="V295" t="s">
        <v>456</v>
      </c>
      <c r="W295" t="s">
        <v>1570</v>
      </c>
      <c r="X295" t="s">
        <v>1571</v>
      </c>
      <c r="Y295" t="s">
        <v>941</v>
      </c>
      <c r="Z295" t="s">
        <v>942</v>
      </c>
      <c r="AB295" t="s">
        <v>112</v>
      </c>
      <c r="AC295" t="s">
        <v>51</v>
      </c>
      <c r="AD295" t="s">
        <v>968</v>
      </c>
      <c r="AF295" t="s">
        <v>944</v>
      </c>
      <c r="AG295" t="s">
        <v>945</v>
      </c>
      <c r="AH295" t="s">
        <v>946</v>
      </c>
      <c r="AI295" t="s">
        <v>947</v>
      </c>
      <c r="AJ295" t="s">
        <v>948</v>
      </c>
      <c r="AK295">
        <v>4</v>
      </c>
      <c r="AL295" s="10">
        <v>3570.5</v>
      </c>
      <c r="AM295" s="10">
        <v>4652</v>
      </c>
      <c r="AN295" s="10">
        <v>7832.6</v>
      </c>
      <c r="AO295" s="9">
        <v>9.6794255668004703E-2</v>
      </c>
      <c r="AP295" s="9">
        <v>1.3695999999999999</v>
      </c>
      <c r="AQ295" s="9">
        <v>1.9646009775671931</v>
      </c>
      <c r="AR295" s="9">
        <v>8.6395696190854334</v>
      </c>
      <c r="AS295" s="9">
        <v>10.604170596652628</v>
      </c>
      <c r="AT295" s="9">
        <v>5.5081575639523619</v>
      </c>
      <c r="AU295" s="9">
        <v>24.813493666799012</v>
      </c>
      <c r="AV295" s="9">
        <v>30.321651230751371</v>
      </c>
      <c r="AW295" s="11">
        <v>14.158218599791011</v>
      </c>
      <c r="AX295" s="11">
        <v>14.158218599791011</v>
      </c>
      <c r="AY295" t="s">
        <v>969</v>
      </c>
      <c r="AZ295" t="s">
        <v>950</v>
      </c>
      <c r="BA295" t="s">
        <v>951</v>
      </c>
      <c r="BB295" t="s">
        <v>970</v>
      </c>
      <c r="BC295" t="b">
        <v>1</v>
      </c>
    </row>
    <row r="296" spans="1:55">
      <c r="A296" t="s">
        <v>1572</v>
      </c>
      <c r="B296" t="s">
        <v>939</v>
      </c>
      <c r="C296">
        <v>32047200</v>
      </c>
      <c r="D296">
        <v>24597200</v>
      </c>
      <c r="E296">
        <v>32047200</v>
      </c>
      <c r="F296">
        <v>53958500</v>
      </c>
      <c r="G296" s="9">
        <v>1.1783465662322457E-2</v>
      </c>
      <c r="H296" s="9">
        <v>3.4395604213419778E-2</v>
      </c>
      <c r="I296" s="9">
        <v>5.1593406320129667E-2</v>
      </c>
      <c r="J296" s="10">
        <v>97534.665329153591</v>
      </c>
      <c r="K296" s="10">
        <v>97534.665329153591</v>
      </c>
      <c r="L296" s="10">
        <v>97534.665329153591</v>
      </c>
      <c r="M296" s="10">
        <v>97534.665329153591</v>
      </c>
      <c r="N296" s="10">
        <v>97534.665329153591</v>
      </c>
      <c r="O296" s="10">
        <v>97534.665329153591</v>
      </c>
      <c r="P296" s="10">
        <v>97534.665329153591</v>
      </c>
      <c r="Q296" s="10">
        <v>97534.665329153591</v>
      </c>
      <c r="R296" s="10">
        <v>97534.665329153591</v>
      </c>
      <c r="S296" s="10">
        <v>97534.665329153591</v>
      </c>
      <c r="T296" s="10">
        <v>97534.665329153591</v>
      </c>
      <c r="V296" t="s">
        <v>456</v>
      </c>
      <c r="W296" t="s">
        <v>1572</v>
      </c>
      <c r="X296" t="s">
        <v>1573</v>
      </c>
      <c r="Y296" t="s">
        <v>941</v>
      </c>
      <c r="Z296" t="s">
        <v>942</v>
      </c>
      <c r="AB296" t="s">
        <v>112</v>
      </c>
      <c r="AC296" t="s">
        <v>51</v>
      </c>
      <c r="AD296" t="s">
        <v>968</v>
      </c>
      <c r="AF296" t="s">
        <v>944</v>
      </c>
      <c r="AG296" t="s">
        <v>955</v>
      </c>
      <c r="AH296" t="s">
        <v>956</v>
      </c>
      <c r="AI296" t="s">
        <v>947</v>
      </c>
      <c r="AJ296" t="s">
        <v>948</v>
      </c>
      <c r="AK296">
        <v>16</v>
      </c>
      <c r="AL296" s="10">
        <v>24597.200000000001</v>
      </c>
      <c r="AM296" s="10">
        <v>32047.200000000001</v>
      </c>
      <c r="AN296" s="10">
        <v>53958.5</v>
      </c>
      <c r="AO296" s="9">
        <v>0.66681036919771586</v>
      </c>
      <c r="AP296" s="9">
        <v>9.435100000000002</v>
      </c>
      <c r="AQ296" s="9">
        <v>3.1438960432370262</v>
      </c>
      <c r="AR296" s="9">
        <v>8.6395696190854316</v>
      </c>
      <c r="AS296" s="9">
        <v>11.783465662322458</v>
      </c>
      <c r="AT296" s="9">
        <v>9.5821105466207559</v>
      </c>
      <c r="AU296" s="9">
        <v>24.813493666799022</v>
      </c>
      <c r="AV296" s="9">
        <v>34.39560421341978</v>
      </c>
      <c r="AW296" s="11">
        <v>97.534665329153597</v>
      </c>
      <c r="AX296" s="11">
        <v>97.534665329153597</v>
      </c>
      <c r="AY296" t="s">
        <v>969</v>
      </c>
      <c r="AZ296" t="s">
        <v>950</v>
      </c>
      <c r="BA296" t="s">
        <v>951</v>
      </c>
      <c r="BB296" t="s">
        <v>970</v>
      </c>
      <c r="BC296" t="b">
        <v>1</v>
      </c>
    </row>
    <row r="297" spans="1:55">
      <c r="A297" t="s">
        <v>1574</v>
      </c>
      <c r="B297" t="s">
        <v>939</v>
      </c>
      <c r="C297">
        <v>1580800</v>
      </c>
      <c r="D297">
        <v>1213300</v>
      </c>
      <c r="E297">
        <v>1580800</v>
      </c>
      <c r="F297">
        <v>2661600</v>
      </c>
      <c r="G297" s="9">
        <v>1.1647653863409071E-2</v>
      </c>
      <c r="H297" s="9">
        <v>5.1566636715470689E-2</v>
      </c>
      <c r="I297" s="9">
        <v>7.7349955073206036E-2</v>
      </c>
      <c r="J297" s="10">
        <v>4811.1160710553813</v>
      </c>
      <c r="K297" s="10">
        <v>4811.1160710553813</v>
      </c>
      <c r="L297" s="10">
        <v>4811.1160710553813</v>
      </c>
      <c r="M297" s="10">
        <v>4811.1160710553813</v>
      </c>
      <c r="N297" s="10">
        <v>4811.1160710553813</v>
      </c>
      <c r="O297" s="10">
        <v>4811.1160710553813</v>
      </c>
      <c r="P297" s="10">
        <v>4811.1160710553813</v>
      </c>
      <c r="Q297" s="10">
        <v>4811.1160710553813</v>
      </c>
      <c r="R297" s="10">
        <v>4811.1160710553813</v>
      </c>
      <c r="S297" s="10">
        <v>4811.1160710553813</v>
      </c>
      <c r="T297" s="10">
        <v>4811.1160710553813</v>
      </c>
      <c r="V297" t="s">
        <v>456</v>
      </c>
      <c r="W297" t="s">
        <v>1574</v>
      </c>
      <c r="X297" t="s">
        <v>1575</v>
      </c>
      <c r="Y297" t="s">
        <v>941</v>
      </c>
      <c r="Z297" t="s">
        <v>942</v>
      </c>
      <c r="AB297" t="s">
        <v>112</v>
      </c>
      <c r="AC297" t="s">
        <v>51</v>
      </c>
      <c r="AD297" t="s">
        <v>968</v>
      </c>
      <c r="AF297" t="s">
        <v>944</v>
      </c>
      <c r="AG297" t="s">
        <v>1037</v>
      </c>
      <c r="AH297" t="s">
        <v>988</v>
      </c>
      <c r="AI297" t="s">
        <v>947</v>
      </c>
      <c r="AJ297" t="s">
        <v>948</v>
      </c>
      <c r="AK297">
        <v>1</v>
      </c>
      <c r="AL297" s="10">
        <v>1213.3</v>
      </c>
      <c r="AM297" s="10">
        <v>1580.8</v>
      </c>
      <c r="AN297" s="10">
        <v>2661.6</v>
      </c>
      <c r="AO297" s="9">
        <v>3.2891389155877103E-2</v>
      </c>
      <c r="AP297" s="9">
        <v>0.46539999999999998</v>
      </c>
      <c r="AQ297" s="9">
        <v>3.0080842443236371</v>
      </c>
      <c r="AR297" s="9">
        <v>8.6395696190854334</v>
      </c>
      <c r="AS297" s="9">
        <v>11.64765386340907</v>
      </c>
      <c r="AT297" s="9">
        <v>26.753143048671664</v>
      </c>
      <c r="AU297" s="9">
        <v>24.813493666799019</v>
      </c>
      <c r="AV297" s="9">
        <v>51.566636715470686</v>
      </c>
      <c r="AW297" s="11">
        <v>4.8111160710553813</v>
      </c>
      <c r="AX297" s="11">
        <v>4.8111160710553813</v>
      </c>
      <c r="AY297" t="s">
        <v>969</v>
      </c>
      <c r="AZ297" t="s">
        <v>950</v>
      </c>
      <c r="BA297" t="s">
        <v>951</v>
      </c>
      <c r="BB297" t="s">
        <v>970</v>
      </c>
      <c r="BC297" t="b">
        <v>1</v>
      </c>
    </row>
    <row r="298" spans="1:55">
      <c r="A298" t="s">
        <v>1576</v>
      </c>
      <c r="B298" t="s">
        <v>939</v>
      </c>
      <c r="C298">
        <v>12900</v>
      </c>
      <c r="D298">
        <v>7000</v>
      </c>
      <c r="E298">
        <v>12900</v>
      </c>
      <c r="F298">
        <v>26200</v>
      </c>
      <c r="G298" s="9">
        <v>8.1068252203136629E-3</v>
      </c>
      <c r="H298" s="9">
        <v>2.4373410448502535E-2</v>
      </c>
      <c r="I298" s="9">
        <v>3.6560115672753801E-2</v>
      </c>
      <c r="J298" s="10">
        <v>516</v>
      </c>
      <c r="K298" s="10">
        <v>516</v>
      </c>
      <c r="L298" s="10">
        <v>516</v>
      </c>
      <c r="M298" s="10">
        <v>516</v>
      </c>
      <c r="N298" s="10">
        <v>516</v>
      </c>
      <c r="O298" s="10">
        <v>516</v>
      </c>
      <c r="P298" s="10">
        <v>516</v>
      </c>
      <c r="Q298" s="10">
        <v>516</v>
      </c>
      <c r="R298" s="10">
        <v>516</v>
      </c>
      <c r="S298" s="10">
        <v>516</v>
      </c>
      <c r="T298" s="10">
        <v>516</v>
      </c>
      <c r="V298" t="s">
        <v>456</v>
      </c>
      <c r="W298" t="s">
        <v>1576</v>
      </c>
      <c r="X298" t="s">
        <v>1577</v>
      </c>
      <c r="Y298" t="s">
        <v>941</v>
      </c>
      <c r="Z298" t="s">
        <v>942</v>
      </c>
      <c r="AB298" t="s">
        <v>112</v>
      </c>
      <c r="AC298" t="s">
        <v>51</v>
      </c>
      <c r="AD298" t="s">
        <v>943</v>
      </c>
      <c r="AF298" t="s">
        <v>944</v>
      </c>
      <c r="AG298" t="s">
        <v>959</v>
      </c>
      <c r="AH298" t="s">
        <v>946</v>
      </c>
      <c r="AI298" t="s">
        <v>960</v>
      </c>
      <c r="AJ298" t="s">
        <v>948</v>
      </c>
      <c r="AK298">
        <v>1</v>
      </c>
      <c r="AL298" s="10">
        <v>7</v>
      </c>
      <c r="AM298" s="10">
        <v>12.9</v>
      </c>
      <c r="AN298" s="10">
        <v>26.2</v>
      </c>
      <c r="AO298" s="9">
        <v>0.1081302651665064</v>
      </c>
      <c r="AP298" s="9">
        <v>1.53</v>
      </c>
      <c r="AQ298" s="9">
        <v>0.35682522031366309</v>
      </c>
      <c r="AR298" s="9">
        <v>7.75</v>
      </c>
      <c r="AS298" s="9">
        <v>8.106825220313663</v>
      </c>
      <c r="AT298" s="9">
        <v>0.77341044850253349</v>
      </c>
      <c r="AU298" s="9">
        <v>23.6</v>
      </c>
      <c r="AV298" s="9">
        <v>24.373410448502536</v>
      </c>
      <c r="AW298" s="11">
        <v>0.51600000000000001</v>
      </c>
      <c r="AX298" s="11">
        <v>0.51600000000000001</v>
      </c>
      <c r="AY298" t="s">
        <v>949</v>
      </c>
      <c r="AZ298" t="s">
        <v>950</v>
      </c>
      <c r="BA298" t="s">
        <v>951</v>
      </c>
      <c r="BB298" t="s">
        <v>952</v>
      </c>
      <c r="BC298" t="b">
        <v>1</v>
      </c>
    </row>
    <row r="299" spans="1:55">
      <c r="A299" t="s">
        <v>1578</v>
      </c>
      <c r="B299" t="s">
        <v>939</v>
      </c>
      <c r="C299">
        <v>2212900</v>
      </c>
      <c r="D299">
        <v>1203300</v>
      </c>
      <c r="E299">
        <v>2212900</v>
      </c>
      <c r="F299">
        <v>4485400</v>
      </c>
      <c r="G299" s="9">
        <v>1.4916596638906071E-2</v>
      </c>
      <c r="H299" s="9">
        <v>5.2881910346570533E-2</v>
      </c>
      <c r="I299" s="9">
        <v>7.9322865519855804E-2</v>
      </c>
      <c r="J299" s="10">
        <v>88516</v>
      </c>
      <c r="K299" s="10">
        <v>88516</v>
      </c>
      <c r="L299" s="10">
        <v>88516</v>
      </c>
      <c r="M299" s="10">
        <v>88516</v>
      </c>
      <c r="N299" s="10">
        <v>88516</v>
      </c>
      <c r="O299" s="10">
        <v>88516</v>
      </c>
      <c r="P299" s="10">
        <v>88516</v>
      </c>
      <c r="Q299" s="10">
        <v>88516</v>
      </c>
      <c r="R299" s="10">
        <v>88516</v>
      </c>
      <c r="S299" s="10">
        <v>88516</v>
      </c>
      <c r="T299" s="10">
        <v>88516</v>
      </c>
      <c r="V299" t="s">
        <v>456</v>
      </c>
      <c r="W299" t="s">
        <v>1578</v>
      </c>
      <c r="X299" t="s">
        <v>1577</v>
      </c>
      <c r="Y299" t="s">
        <v>941</v>
      </c>
      <c r="Z299" t="s">
        <v>942</v>
      </c>
      <c r="AB299" t="s">
        <v>112</v>
      </c>
      <c r="AC299" t="s">
        <v>51</v>
      </c>
      <c r="AD299" t="s">
        <v>943</v>
      </c>
      <c r="AF299" t="s">
        <v>944</v>
      </c>
      <c r="AG299" t="s">
        <v>945</v>
      </c>
      <c r="AH299" t="s">
        <v>946</v>
      </c>
      <c r="AI299" t="s">
        <v>947</v>
      </c>
      <c r="AJ299" t="s">
        <v>948</v>
      </c>
      <c r="AK299">
        <v>1</v>
      </c>
      <c r="AL299" s="10">
        <v>1203.3</v>
      </c>
      <c r="AM299" s="10">
        <v>2212.9</v>
      </c>
      <c r="AN299" s="10">
        <v>4485.3999999999996</v>
      </c>
      <c r="AO299" s="9">
        <v>4.6043704415672501E-2</v>
      </c>
      <c r="AP299" s="9">
        <v>0.65149999999999997</v>
      </c>
      <c r="AQ299" s="9">
        <v>0.51731394043034828</v>
      </c>
      <c r="AR299" s="9">
        <v>14.399282698475719</v>
      </c>
      <c r="AS299" s="9">
        <v>14.916596638906071</v>
      </c>
      <c r="AT299" s="9">
        <v>5.3444926320579151</v>
      </c>
      <c r="AU299" s="9">
        <v>47.537417714512607</v>
      </c>
      <c r="AV299" s="9">
        <v>52.881910346570535</v>
      </c>
      <c r="AW299" s="11">
        <v>88.516000000000005</v>
      </c>
      <c r="AX299" s="11">
        <v>88.516000000000005</v>
      </c>
      <c r="AY299" t="s">
        <v>949</v>
      </c>
      <c r="AZ299" t="s">
        <v>950</v>
      </c>
      <c r="BA299" t="s">
        <v>951</v>
      </c>
      <c r="BB299" t="s">
        <v>952</v>
      </c>
      <c r="BC299" t="b">
        <v>1</v>
      </c>
    </row>
    <row r="300" spans="1:55">
      <c r="A300" t="s">
        <v>1579</v>
      </c>
      <c r="B300" t="s">
        <v>939</v>
      </c>
      <c r="C300">
        <v>2370800</v>
      </c>
      <c r="D300">
        <v>1289200</v>
      </c>
      <c r="E300">
        <v>2370800</v>
      </c>
      <c r="F300">
        <v>4805500</v>
      </c>
      <c r="G300" s="9">
        <v>1.9787608682030399E-2</v>
      </c>
      <c r="H300" s="9"/>
      <c r="I300" s="9"/>
      <c r="J300" s="10">
        <v>94832</v>
      </c>
      <c r="K300" s="10">
        <v>94832</v>
      </c>
      <c r="L300" s="10">
        <v>94832</v>
      </c>
      <c r="M300" s="10">
        <v>94832</v>
      </c>
      <c r="N300" s="10">
        <v>94832</v>
      </c>
      <c r="O300" s="10">
        <v>94832</v>
      </c>
      <c r="P300" s="10">
        <v>94832</v>
      </c>
      <c r="Q300" s="10">
        <v>94832</v>
      </c>
      <c r="R300" s="10">
        <v>94832</v>
      </c>
      <c r="S300" s="10">
        <v>94832</v>
      </c>
      <c r="T300" s="10">
        <v>94832</v>
      </c>
      <c r="V300" t="s">
        <v>456</v>
      </c>
      <c r="W300" t="s">
        <v>1579</v>
      </c>
      <c r="X300" t="s">
        <v>1580</v>
      </c>
      <c r="Y300" t="s">
        <v>941</v>
      </c>
      <c r="Z300" t="s">
        <v>942</v>
      </c>
      <c r="AB300" t="s">
        <v>112</v>
      </c>
      <c r="AC300" t="s">
        <v>51</v>
      </c>
      <c r="AD300" t="s">
        <v>943</v>
      </c>
      <c r="AF300" t="s">
        <v>944</v>
      </c>
      <c r="AG300" t="s">
        <v>955</v>
      </c>
      <c r="AH300" t="s">
        <v>956</v>
      </c>
      <c r="AI300" t="s">
        <v>947</v>
      </c>
      <c r="AJ300" t="s">
        <v>948</v>
      </c>
      <c r="AK300">
        <v>2</v>
      </c>
      <c r="AL300" s="10">
        <v>1289.2</v>
      </c>
      <c r="AM300" s="10">
        <v>2370.8000000000002</v>
      </c>
      <c r="AN300" s="10">
        <v>4805.5</v>
      </c>
      <c r="AO300" s="9">
        <v>4.9330016396223197E-2</v>
      </c>
      <c r="AP300" s="9">
        <v>0.69799999999999995</v>
      </c>
      <c r="AQ300" s="9">
        <v>5.3883259835546733</v>
      </c>
      <c r="AR300" s="9">
        <v>14.399282698475725</v>
      </c>
      <c r="AS300" s="9">
        <v>19.787608682030399</v>
      </c>
      <c r="AT300" s="9"/>
      <c r="AU300" s="9"/>
      <c r="AV300" s="9"/>
      <c r="AW300" s="11">
        <v>94.831999999999994</v>
      </c>
      <c r="AX300" s="11">
        <v>94.831999999999994</v>
      </c>
      <c r="AY300" t="s">
        <v>949</v>
      </c>
      <c r="AZ300" t="s">
        <v>950</v>
      </c>
      <c r="BA300" t="s">
        <v>951</v>
      </c>
      <c r="BB300" t="s">
        <v>952</v>
      </c>
      <c r="BC300" t="b">
        <v>0</v>
      </c>
    </row>
    <row r="301" spans="1:55">
      <c r="A301" t="s">
        <v>1581</v>
      </c>
      <c r="B301" t="s">
        <v>939</v>
      </c>
      <c r="C301">
        <v>781000</v>
      </c>
      <c r="D301">
        <v>424700</v>
      </c>
      <c r="E301">
        <v>781000</v>
      </c>
      <c r="F301">
        <v>1583000</v>
      </c>
      <c r="G301" s="9">
        <v>1.6330430045293859E-2</v>
      </c>
      <c r="H301" s="9">
        <v>5.0514866597553408E-2</v>
      </c>
      <c r="I301" s="9">
        <v>7.5772299896330109E-2</v>
      </c>
      <c r="J301" s="10">
        <v>31240</v>
      </c>
      <c r="K301" s="10">
        <v>31240</v>
      </c>
      <c r="L301" s="10">
        <v>31240</v>
      </c>
      <c r="M301" s="10">
        <v>31240</v>
      </c>
      <c r="N301" s="10">
        <v>31240</v>
      </c>
      <c r="O301" s="10">
        <v>31240</v>
      </c>
      <c r="P301" s="10">
        <v>31240</v>
      </c>
      <c r="Q301" s="10">
        <v>31240</v>
      </c>
      <c r="R301" s="10">
        <v>31240</v>
      </c>
      <c r="S301" s="10">
        <v>31240</v>
      </c>
      <c r="T301" s="10">
        <v>31240</v>
      </c>
      <c r="V301" t="s">
        <v>456</v>
      </c>
      <c r="W301" t="s">
        <v>1581</v>
      </c>
      <c r="X301" t="s">
        <v>1582</v>
      </c>
      <c r="Y301" t="s">
        <v>941</v>
      </c>
      <c r="Z301" t="s">
        <v>942</v>
      </c>
      <c r="AB301" t="s">
        <v>52</v>
      </c>
      <c r="AC301" t="s">
        <v>52</v>
      </c>
      <c r="AD301" t="s">
        <v>943</v>
      </c>
      <c r="AF301" t="s">
        <v>944</v>
      </c>
      <c r="AG301" t="s">
        <v>945</v>
      </c>
      <c r="AH301" t="s">
        <v>946</v>
      </c>
      <c r="AI301" t="s">
        <v>947</v>
      </c>
      <c r="AJ301" t="s">
        <v>948</v>
      </c>
      <c r="AK301">
        <v>2</v>
      </c>
      <c r="AL301" s="10">
        <v>424.7</v>
      </c>
      <c r="AM301" s="10">
        <v>781</v>
      </c>
      <c r="AN301" s="10">
        <v>1583</v>
      </c>
      <c r="AO301" s="9">
        <v>0.13311033437315989</v>
      </c>
      <c r="AP301" s="9">
        <v>1.0625</v>
      </c>
      <c r="AQ301" s="9">
        <v>1.8066734388656811</v>
      </c>
      <c r="AR301" s="9">
        <v>14.523756606428178</v>
      </c>
      <c r="AS301" s="9">
        <v>16.330430045293859</v>
      </c>
      <c r="AT301" s="9">
        <v>2.5293428144119536</v>
      </c>
      <c r="AU301" s="9">
        <v>47.985523783141446</v>
      </c>
      <c r="AV301" s="9">
        <v>50.514866597553407</v>
      </c>
      <c r="AW301" s="11">
        <v>31.24</v>
      </c>
      <c r="AX301" s="11">
        <v>31.24</v>
      </c>
      <c r="AY301" t="s">
        <v>949</v>
      </c>
      <c r="AZ301" t="s">
        <v>950</v>
      </c>
      <c r="BA301" t="s">
        <v>951</v>
      </c>
      <c r="BB301" t="s">
        <v>952</v>
      </c>
      <c r="BC301" t="b">
        <v>1</v>
      </c>
    </row>
    <row r="302" spans="1:55">
      <c r="A302" t="s">
        <v>1583</v>
      </c>
      <c r="B302" t="s">
        <v>939</v>
      </c>
      <c r="C302">
        <v>13600</v>
      </c>
      <c r="D302">
        <v>7400</v>
      </c>
      <c r="E302">
        <v>13600</v>
      </c>
      <c r="F302">
        <v>27600</v>
      </c>
      <c r="G302" s="9">
        <v>2.0249051039871544E-2</v>
      </c>
      <c r="H302" s="9">
        <v>4.109867145582017E-2</v>
      </c>
      <c r="I302" s="9">
        <v>6.1648007183730258E-2</v>
      </c>
      <c r="J302" s="10">
        <v>544</v>
      </c>
      <c r="K302" s="10">
        <v>544</v>
      </c>
      <c r="L302" s="10">
        <v>544</v>
      </c>
      <c r="M302" s="10">
        <v>544</v>
      </c>
      <c r="N302" s="10">
        <v>544</v>
      </c>
      <c r="O302" s="10">
        <v>544</v>
      </c>
      <c r="P302" s="10">
        <v>544</v>
      </c>
      <c r="Q302" s="10">
        <v>544</v>
      </c>
      <c r="R302" s="10">
        <v>544</v>
      </c>
      <c r="S302" s="10">
        <v>544</v>
      </c>
      <c r="T302" s="10">
        <v>544</v>
      </c>
      <c r="V302" t="s">
        <v>456</v>
      </c>
      <c r="W302" t="s">
        <v>1583</v>
      </c>
      <c r="X302" t="s">
        <v>1584</v>
      </c>
      <c r="Y302" t="s">
        <v>941</v>
      </c>
      <c r="Z302" t="s">
        <v>942</v>
      </c>
      <c r="AB302" t="s">
        <v>52</v>
      </c>
      <c r="AC302" t="s">
        <v>52</v>
      </c>
      <c r="AD302" t="s">
        <v>943</v>
      </c>
      <c r="AF302" t="s">
        <v>944</v>
      </c>
      <c r="AG302" t="s">
        <v>965</v>
      </c>
      <c r="AH302" t="s">
        <v>956</v>
      </c>
      <c r="AI302" t="s">
        <v>960</v>
      </c>
      <c r="AJ302" t="s">
        <v>948</v>
      </c>
      <c r="AK302">
        <v>1</v>
      </c>
      <c r="AL302" s="10">
        <v>7.4</v>
      </c>
      <c r="AM302" s="10">
        <v>13.6</v>
      </c>
      <c r="AN302" s="10">
        <v>27.6</v>
      </c>
      <c r="AO302" s="9">
        <v>4.6478996755239803E-2</v>
      </c>
      <c r="AP302" s="9">
        <v>0.371</v>
      </c>
      <c r="AQ302" s="9">
        <v>12.499051039871544</v>
      </c>
      <c r="AR302" s="9">
        <v>7.75</v>
      </c>
      <c r="AS302" s="9">
        <v>20.249051039871546</v>
      </c>
      <c r="AT302" s="9">
        <v>17.498671455820162</v>
      </c>
      <c r="AU302" s="9">
        <v>23.600000000000005</v>
      </c>
      <c r="AV302" s="9">
        <v>41.098671455820167</v>
      </c>
      <c r="AW302" s="11">
        <v>0.54400000000000004</v>
      </c>
      <c r="AX302" s="11">
        <v>0.54400000000000004</v>
      </c>
      <c r="AY302" t="s">
        <v>949</v>
      </c>
      <c r="AZ302" t="s">
        <v>950</v>
      </c>
      <c r="BA302" t="s">
        <v>951</v>
      </c>
      <c r="BB302" t="s">
        <v>952</v>
      </c>
      <c r="BC302" t="b">
        <v>1</v>
      </c>
    </row>
    <row r="303" spans="1:55">
      <c r="A303" t="s">
        <v>1585</v>
      </c>
      <c r="B303" t="s">
        <v>939</v>
      </c>
      <c r="C303">
        <v>1312100</v>
      </c>
      <c r="D303">
        <v>713500</v>
      </c>
      <c r="E303">
        <v>1312100</v>
      </c>
      <c r="F303">
        <v>2659500</v>
      </c>
      <c r="G303" s="9">
        <v>2.017432865100563E-2</v>
      </c>
      <c r="H303" s="9">
        <v>6.0089116493039073E-2</v>
      </c>
      <c r="I303" s="9">
        <v>9.0133674739558606E-2</v>
      </c>
      <c r="J303" s="10">
        <v>52484</v>
      </c>
      <c r="K303" s="10">
        <v>52484</v>
      </c>
      <c r="L303" s="10">
        <v>52484</v>
      </c>
      <c r="M303" s="10">
        <v>52484</v>
      </c>
      <c r="N303" s="10">
        <v>52484</v>
      </c>
      <c r="O303" s="10">
        <v>52484</v>
      </c>
      <c r="P303" s="10">
        <v>52484</v>
      </c>
      <c r="Q303" s="10">
        <v>52484</v>
      </c>
      <c r="R303" s="10">
        <v>52484</v>
      </c>
      <c r="S303" s="10">
        <v>52484</v>
      </c>
      <c r="T303" s="10">
        <v>52484</v>
      </c>
      <c r="V303" t="s">
        <v>456</v>
      </c>
      <c r="W303" t="s">
        <v>1585</v>
      </c>
      <c r="X303" t="s">
        <v>1586</v>
      </c>
      <c r="Y303" t="s">
        <v>941</v>
      </c>
      <c r="Z303" t="s">
        <v>942</v>
      </c>
      <c r="AB303" t="s">
        <v>52</v>
      </c>
      <c r="AC303" t="s">
        <v>52</v>
      </c>
      <c r="AD303" t="s">
        <v>943</v>
      </c>
      <c r="AF303" t="s">
        <v>944</v>
      </c>
      <c r="AG303" t="s">
        <v>955</v>
      </c>
      <c r="AH303" t="s">
        <v>956</v>
      </c>
      <c r="AI303" t="s">
        <v>947</v>
      </c>
      <c r="AJ303" t="s">
        <v>948</v>
      </c>
      <c r="AK303">
        <v>2</v>
      </c>
      <c r="AL303" s="10">
        <v>713.5</v>
      </c>
      <c r="AM303" s="10">
        <v>1312.1</v>
      </c>
      <c r="AN303" s="10">
        <v>2659.5</v>
      </c>
      <c r="AO303" s="9">
        <v>0.2236253617469087</v>
      </c>
      <c r="AP303" s="9">
        <v>1.7849999999999999</v>
      </c>
      <c r="AQ303" s="9">
        <v>5.6505720445774532</v>
      </c>
      <c r="AR303" s="9">
        <v>14.523756606428178</v>
      </c>
      <c r="AS303" s="9">
        <v>20.174328651005631</v>
      </c>
      <c r="AT303" s="9">
        <v>12.103592709897615</v>
      </c>
      <c r="AU303" s="9">
        <v>47.985523783141453</v>
      </c>
      <c r="AV303" s="9">
        <v>60.089116493039072</v>
      </c>
      <c r="AW303" s="11">
        <v>52.484000000000002</v>
      </c>
      <c r="AX303" s="11">
        <v>52.484000000000002</v>
      </c>
      <c r="AY303" t="s">
        <v>949</v>
      </c>
      <c r="AZ303" t="s">
        <v>950</v>
      </c>
      <c r="BA303" t="s">
        <v>951</v>
      </c>
      <c r="BB303" t="s">
        <v>952</v>
      </c>
      <c r="BC303" t="b">
        <v>1</v>
      </c>
    </row>
    <row r="304" spans="1:55">
      <c r="A304" t="s">
        <v>1587</v>
      </c>
      <c r="B304" t="s">
        <v>939</v>
      </c>
      <c r="C304">
        <v>999700</v>
      </c>
      <c r="D304">
        <v>543600</v>
      </c>
      <c r="E304">
        <v>999700</v>
      </c>
      <c r="F304">
        <v>2026200</v>
      </c>
      <c r="G304" s="9">
        <v>4.3343508367382953E-2</v>
      </c>
      <c r="H304" s="9">
        <v>9.8092445476298473E-2</v>
      </c>
      <c r="I304" s="9">
        <v>0.14713866821444771</v>
      </c>
      <c r="J304" s="10">
        <v>39988</v>
      </c>
      <c r="K304" s="10">
        <v>39988</v>
      </c>
      <c r="L304" s="10">
        <v>39988</v>
      </c>
      <c r="M304" s="10">
        <v>39988</v>
      </c>
      <c r="N304" s="10">
        <v>39988</v>
      </c>
      <c r="O304" s="10">
        <v>39988</v>
      </c>
      <c r="P304" s="10">
        <v>39988</v>
      </c>
      <c r="Q304" s="10">
        <v>39988</v>
      </c>
      <c r="R304" s="10">
        <v>39988</v>
      </c>
      <c r="S304" s="10">
        <v>39988</v>
      </c>
      <c r="T304" s="10">
        <v>39988</v>
      </c>
      <c r="V304" t="s">
        <v>456</v>
      </c>
      <c r="W304" t="s">
        <v>1587</v>
      </c>
      <c r="X304" t="s">
        <v>1588</v>
      </c>
      <c r="Y304" t="s">
        <v>941</v>
      </c>
      <c r="Z304" t="s">
        <v>942</v>
      </c>
      <c r="AB304" t="s">
        <v>52</v>
      </c>
      <c r="AC304" t="s">
        <v>52</v>
      </c>
      <c r="AD304" t="s">
        <v>943</v>
      </c>
      <c r="AF304" t="s">
        <v>944</v>
      </c>
      <c r="AG304" t="s">
        <v>1037</v>
      </c>
      <c r="AH304" t="s">
        <v>988</v>
      </c>
      <c r="AI304" t="s">
        <v>947</v>
      </c>
      <c r="AJ304" t="s">
        <v>948</v>
      </c>
      <c r="AK304">
        <v>4</v>
      </c>
      <c r="AL304" s="10">
        <v>543.6</v>
      </c>
      <c r="AM304" s="10">
        <v>999.7</v>
      </c>
      <c r="AN304" s="10">
        <v>2026.2</v>
      </c>
      <c r="AO304" s="9">
        <v>0.17038122799764471</v>
      </c>
      <c r="AP304" s="9">
        <v>1.36</v>
      </c>
      <c r="AQ304" s="9">
        <v>28.81975176095477</v>
      </c>
      <c r="AR304" s="9">
        <v>14.523756606428176</v>
      </c>
      <c r="AS304" s="9">
        <v>43.343508367382952</v>
      </c>
      <c r="AT304" s="9">
        <v>50.106921693157041</v>
      </c>
      <c r="AU304" s="9">
        <v>47.985523783141453</v>
      </c>
      <c r="AV304" s="9">
        <v>98.092445476298479</v>
      </c>
      <c r="AW304" s="11">
        <v>39.988</v>
      </c>
      <c r="AX304" s="11">
        <v>39.988</v>
      </c>
      <c r="AY304" t="s">
        <v>949</v>
      </c>
      <c r="AZ304" t="s">
        <v>950</v>
      </c>
      <c r="BA304" t="s">
        <v>951</v>
      </c>
      <c r="BB304" t="s">
        <v>952</v>
      </c>
      <c r="BC304" t="b">
        <v>1</v>
      </c>
    </row>
    <row r="305" spans="1:55">
      <c r="A305" t="s">
        <v>1589</v>
      </c>
      <c r="B305" t="s">
        <v>939</v>
      </c>
      <c r="C305">
        <v>124900</v>
      </c>
      <c r="D305">
        <v>67900</v>
      </c>
      <c r="E305">
        <v>124900</v>
      </c>
      <c r="F305">
        <v>253100</v>
      </c>
      <c r="G305" s="9">
        <v>1.7775853741687137E-2</v>
      </c>
      <c r="H305" s="9">
        <v>4.213641392977794E-2</v>
      </c>
      <c r="I305" s="9">
        <v>6.3204620894666913E-2</v>
      </c>
      <c r="J305" s="10">
        <v>4996</v>
      </c>
      <c r="K305" s="10">
        <v>4996</v>
      </c>
      <c r="L305" s="10">
        <v>4996</v>
      </c>
      <c r="M305" s="10">
        <v>4996</v>
      </c>
      <c r="N305" s="10">
        <v>4996</v>
      </c>
      <c r="O305" s="10">
        <v>4996</v>
      </c>
      <c r="P305" s="10">
        <v>4996</v>
      </c>
      <c r="Q305" s="10">
        <v>4996</v>
      </c>
      <c r="R305" s="10">
        <v>4996</v>
      </c>
      <c r="S305" s="10">
        <v>4996</v>
      </c>
      <c r="T305" s="10">
        <v>4996</v>
      </c>
      <c r="V305" t="s">
        <v>456</v>
      </c>
      <c r="W305" t="s">
        <v>1589</v>
      </c>
      <c r="X305" t="s">
        <v>1590</v>
      </c>
      <c r="Y305" t="s">
        <v>941</v>
      </c>
      <c r="Z305" t="s">
        <v>942</v>
      </c>
      <c r="AB305" t="s">
        <v>52</v>
      </c>
      <c r="AC305" t="s">
        <v>52</v>
      </c>
      <c r="AD305" t="s">
        <v>943</v>
      </c>
      <c r="AF305" t="s">
        <v>944</v>
      </c>
      <c r="AG305" t="s">
        <v>1187</v>
      </c>
      <c r="AH305" t="s">
        <v>1136</v>
      </c>
      <c r="AI305" t="s">
        <v>960</v>
      </c>
      <c r="AJ305" t="s">
        <v>948</v>
      </c>
      <c r="AK305">
        <v>1</v>
      </c>
      <c r="AL305" s="10">
        <v>67.900000000000006</v>
      </c>
      <c r="AM305" s="10">
        <v>124.9</v>
      </c>
      <c r="AN305" s="10">
        <v>253.1</v>
      </c>
      <c r="AO305" s="9">
        <v>0.4264040791270467</v>
      </c>
      <c r="AP305" s="9">
        <v>3.4036</v>
      </c>
      <c r="AQ305" s="9">
        <v>10.025853741687138</v>
      </c>
      <c r="AR305" s="9">
        <v>7.75</v>
      </c>
      <c r="AS305" s="9">
        <v>17.775853741687136</v>
      </c>
      <c r="AT305" s="9">
        <v>18.536413929777936</v>
      </c>
      <c r="AU305" s="9">
        <v>23.600000000000005</v>
      </c>
      <c r="AV305" s="9">
        <v>42.136413929777937</v>
      </c>
      <c r="AW305" s="11">
        <v>4.9960000000000004</v>
      </c>
      <c r="AX305" s="11">
        <v>4.9960000000000004</v>
      </c>
      <c r="AY305" t="s">
        <v>949</v>
      </c>
      <c r="AZ305" t="s">
        <v>950</v>
      </c>
      <c r="BA305" t="s">
        <v>951</v>
      </c>
      <c r="BB305" t="s">
        <v>952</v>
      </c>
      <c r="BC305" t="b">
        <v>1</v>
      </c>
    </row>
    <row r="306" spans="1:55">
      <c r="A306" t="s">
        <v>1591</v>
      </c>
      <c r="B306" t="s">
        <v>939</v>
      </c>
      <c r="C306">
        <v>1374900</v>
      </c>
      <c r="D306">
        <v>747600</v>
      </c>
      <c r="E306">
        <v>1374900</v>
      </c>
      <c r="F306">
        <v>2786800</v>
      </c>
      <c r="G306" s="9">
        <v>8.6381446767062227E-3</v>
      </c>
      <c r="H306" s="9">
        <v>2.4843402547388718E-2</v>
      </c>
      <c r="I306" s="9">
        <v>3.7265103821083077E-2</v>
      </c>
      <c r="J306" s="10">
        <v>54996</v>
      </c>
      <c r="K306" s="10">
        <v>54996</v>
      </c>
      <c r="L306" s="10">
        <v>54996</v>
      </c>
      <c r="M306" s="10">
        <v>54996</v>
      </c>
      <c r="N306" s="10">
        <v>54996</v>
      </c>
      <c r="O306" s="10">
        <v>54996</v>
      </c>
      <c r="P306" s="10">
        <v>54996</v>
      </c>
      <c r="Q306" s="10">
        <v>54996</v>
      </c>
      <c r="R306" s="10">
        <v>54996</v>
      </c>
      <c r="S306" s="10">
        <v>54996</v>
      </c>
      <c r="T306" s="10">
        <v>54996</v>
      </c>
      <c r="V306" t="s">
        <v>456</v>
      </c>
      <c r="W306" t="s">
        <v>1591</v>
      </c>
      <c r="X306" t="s">
        <v>1592</v>
      </c>
      <c r="Y306" t="s">
        <v>941</v>
      </c>
      <c r="Z306" t="s">
        <v>942</v>
      </c>
      <c r="AB306" t="s">
        <v>114</v>
      </c>
      <c r="AC306" t="s">
        <v>53</v>
      </c>
      <c r="AD306" t="s">
        <v>943</v>
      </c>
      <c r="AF306" t="s">
        <v>944</v>
      </c>
      <c r="AG306" t="s">
        <v>959</v>
      </c>
      <c r="AH306" t="s">
        <v>946</v>
      </c>
      <c r="AI306" t="s">
        <v>960</v>
      </c>
      <c r="AJ306" t="s">
        <v>948</v>
      </c>
      <c r="AK306">
        <v>1</v>
      </c>
      <c r="AL306" s="10">
        <v>747.6</v>
      </c>
      <c r="AM306" s="10">
        <v>1374.9</v>
      </c>
      <c r="AN306" s="10">
        <v>2786.8</v>
      </c>
      <c r="AO306" s="9">
        <v>0.21474762744604009</v>
      </c>
      <c r="AP306" s="9">
        <v>0.25569999999999998</v>
      </c>
      <c r="AQ306" s="9">
        <v>0.88814467670622288</v>
      </c>
      <c r="AR306" s="9">
        <v>7.75</v>
      </c>
      <c r="AS306" s="9">
        <v>8.6381446767062222</v>
      </c>
      <c r="AT306" s="9">
        <v>1.243402547388712</v>
      </c>
      <c r="AU306" s="9">
        <v>23.6</v>
      </c>
      <c r="AV306" s="9">
        <v>24.843402547388717</v>
      </c>
      <c r="AW306" s="11">
        <v>54.996000000000002</v>
      </c>
      <c r="AX306" s="11">
        <v>54.996000000000002</v>
      </c>
      <c r="AY306" t="s">
        <v>949</v>
      </c>
      <c r="AZ306" t="s">
        <v>950</v>
      </c>
      <c r="BA306" t="s">
        <v>951</v>
      </c>
      <c r="BB306" t="s">
        <v>952</v>
      </c>
      <c r="BC306" t="b">
        <v>1</v>
      </c>
    </row>
    <row r="307" spans="1:55">
      <c r="A307" t="s">
        <v>1593</v>
      </c>
      <c r="B307" t="s">
        <v>939</v>
      </c>
      <c r="C307">
        <v>5027400</v>
      </c>
      <c r="D307">
        <v>2733800</v>
      </c>
      <c r="E307">
        <v>5027400</v>
      </c>
      <c r="F307">
        <v>10190300</v>
      </c>
      <c r="G307" s="9">
        <v>1.1546119831749524E-2</v>
      </c>
      <c r="H307" s="9">
        <v>2.8914567764449336E-2</v>
      </c>
      <c r="I307" s="9">
        <v>4.3371851646674002E-2</v>
      </c>
      <c r="J307" s="10">
        <v>201096</v>
      </c>
      <c r="K307" s="10">
        <v>201096</v>
      </c>
      <c r="L307" s="10">
        <v>201096</v>
      </c>
      <c r="M307" s="10">
        <v>201096</v>
      </c>
      <c r="N307" s="10">
        <v>201096</v>
      </c>
      <c r="O307" s="10">
        <v>201096</v>
      </c>
      <c r="P307" s="10">
        <v>201096</v>
      </c>
      <c r="Q307" s="10">
        <v>201096</v>
      </c>
      <c r="R307" s="10">
        <v>201096</v>
      </c>
      <c r="S307" s="10">
        <v>201096</v>
      </c>
      <c r="T307" s="10">
        <v>201096</v>
      </c>
      <c r="V307" t="s">
        <v>456</v>
      </c>
      <c r="W307" t="s">
        <v>1593</v>
      </c>
      <c r="X307" t="s">
        <v>1594</v>
      </c>
      <c r="Y307" t="s">
        <v>941</v>
      </c>
      <c r="Z307" t="s">
        <v>942</v>
      </c>
      <c r="AB307" t="s">
        <v>114</v>
      </c>
      <c r="AC307" t="s">
        <v>53</v>
      </c>
      <c r="AD307" t="s">
        <v>943</v>
      </c>
      <c r="AF307" t="s">
        <v>944</v>
      </c>
      <c r="AG307" t="s">
        <v>965</v>
      </c>
      <c r="AH307" t="s">
        <v>956</v>
      </c>
      <c r="AI307" t="s">
        <v>960</v>
      </c>
      <c r="AJ307" t="s">
        <v>948</v>
      </c>
      <c r="AK307">
        <v>1</v>
      </c>
      <c r="AL307" s="10">
        <v>2733.8</v>
      </c>
      <c r="AM307" s="10">
        <v>5027.3999999999996</v>
      </c>
      <c r="AN307" s="10">
        <v>10190.299999999999</v>
      </c>
      <c r="AO307" s="9">
        <v>0.78525237255395985</v>
      </c>
      <c r="AP307" s="9">
        <v>0.93500000000000005</v>
      </c>
      <c r="AQ307" s="9">
        <v>3.7961198317495257</v>
      </c>
      <c r="AR307" s="9">
        <v>7.75</v>
      </c>
      <c r="AS307" s="9">
        <v>11.546119831749523</v>
      </c>
      <c r="AT307" s="9">
        <v>5.314567764449337</v>
      </c>
      <c r="AU307" s="9">
        <v>23.6</v>
      </c>
      <c r="AV307" s="9">
        <v>28.914567764449338</v>
      </c>
      <c r="AW307" s="11">
        <v>201.096</v>
      </c>
      <c r="AX307" s="11">
        <v>201.096</v>
      </c>
      <c r="AY307" t="s">
        <v>949</v>
      </c>
      <c r="AZ307" t="s">
        <v>950</v>
      </c>
      <c r="BA307" t="s">
        <v>951</v>
      </c>
      <c r="BB307" t="s">
        <v>952</v>
      </c>
      <c r="BC307" t="b">
        <v>1</v>
      </c>
    </row>
    <row r="308" spans="1:55">
      <c r="A308" t="s">
        <v>1595</v>
      </c>
      <c r="B308" t="s">
        <v>939</v>
      </c>
      <c r="C308">
        <v>0</v>
      </c>
      <c r="D308">
        <v>0</v>
      </c>
      <c r="E308">
        <v>0</v>
      </c>
      <c r="F308">
        <v>0</v>
      </c>
      <c r="G308" s="9">
        <v>0.11841416772654564</v>
      </c>
      <c r="H308" s="9">
        <v>0.17139983481716387</v>
      </c>
      <c r="I308" s="9">
        <v>0.25709975222574577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V308" t="s">
        <v>456</v>
      </c>
      <c r="W308" t="s">
        <v>1595</v>
      </c>
      <c r="X308" t="s">
        <v>1596</v>
      </c>
      <c r="Y308" t="s">
        <v>941</v>
      </c>
      <c r="Z308" t="s">
        <v>942</v>
      </c>
      <c r="AB308" t="s">
        <v>1597</v>
      </c>
      <c r="AC308" t="s">
        <v>1597</v>
      </c>
      <c r="AD308" t="s">
        <v>943</v>
      </c>
      <c r="AF308" t="s">
        <v>986</v>
      </c>
      <c r="AG308" t="s">
        <v>1187</v>
      </c>
      <c r="AH308" t="s">
        <v>1136</v>
      </c>
      <c r="AI308" t="s">
        <v>960</v>
      </c>
      <c r="AJ308" t="s">
        <v>1054</v>
      </c>
      <c r="AK308">
        <v>2</v>
      </c>
      <c r="AL308" s="10">
        <v>0</v>
      </c>
      <c r="AM308" s="10">
        <v>0</v>
      </c>
      <c r="AN308" s="10">
        <v>0</v>
      </c>
      <c r="AO308" s="9">
        <v>1</v>
      </c>
      <c r="AP308" s="9">
        <v>0.69019999999999992</v>
      </c>
      <c r="AQ308" s="9">
        <v>96.714167726545639</v>
      </c>
      <c r="AR308" s="9">
        <v>21.700000000000003</v>
      </c>
      <c r="AS308" s="9">
        <v>118.41416772654564</v>
      </c>
      <c r="AT308" s="9">
        <v>135.39983481716388</v>
      </c>
      <c r="AU308" s="9">
        <v>36.000000000000007</v>
      </c>
      <c r="AV308" s="9">
        <v>171.39983481716388</v>
      </c>
      <c r="AW308" s="11">
        <v>0</v>
      </c>
      <c r="AX308" s="11">
        <v>0</v>
      </c>
      <c r="AY308" t="s">
        <v>973</v>
      </c>
      <c r="AZ308" t="s">
        <v>950</v>
      </c>
      <c r="BA308" t="s">
        <v>951</v>
      </c>
      <c r="BB308" t="s">
        <v>970</v>
      </c>
      <c r="BC308" t="b">
        <v>1</v>
      </c>
    </row>
    <row r="309" spans="1:55">
      <c r="A309" t="s">
        <v>1598</v>
      </c>
      <c r="B309" t="s">
        <v>939</v>
      </c>
      <c r="C309">
        <v>847500</v>
      </c>
      <c r="D309">
        <v>460900</v>
      </c>
      <c r="E309">
        <v>847500</v>
      </c>
      <c r="F309">
        <v>1717900</v>
      </c>
      <c r="G309" s="9">
        <v>1.6828092087352694E-2</v>
      </c>
      <c r="H309" s="9">
        <v>5.1878898491863355E-2</v>
      </c>
      <c r="I309" s="9">
        <v>7.7818347737795029E-2</v>
      </c>
      <c r="J309" s="10">
        <v>33900</v>
      </c>
      <c r="K309" s="10">
        <v>33900</v>
      </c>
      <c r="L309" s="10">
        <v>33900</v>
      </c>
      <c r="M309" s="10">
        <v>33900</v>
      </c>
      <c r="N309" s="10">
        <v>33900</v>
      </c>
      <c r="O309" s="10">
        <v>33900</v>
      </c>
      <c r="P309" s="10">
        <v>33900</v>
      </c>
      <c r="Q309" s="10">
        <v>33900</v>
      </c>
      <c r="R309" s="10">
        <v>33900</v>
      </c>
      <c r="S309" s="10">
        <v>33900</v>
      </c>
      <c r="T309" s="10">
        <v>33900</v>
      </c>
      <c r="V309" t="s">
        <v>456</v>
      </c>
      <c r="W309" t="s">
        <v>1598</v>
      </c>
      <c r="X309" t="s">
        <v>1599</v>
      </c>
      <c r="Y309" t="s">
        <v>941</v>
      </c>
      <c r="Z309" t="s">
        <v>942</v>
      </c>
      <c r="AB309" t="s">
        <v>54</v>
      </c>
      <c r="AC309" t="s">
        <v>54</v>
      </c>
      <c r="AD309" t="s">
        <v>943</v>
      </c>
      <c r="AF309" t="s">
        <v>944</v>
      </c>
      <c r="AG309" t="s">
        <v>945</v>
      </c>
      <c r="AH309" t="s">
        <v>946</v>
      </c>
      <c r="AI309" t="s">
        <v>947</v>
      </c>
      <c r="AJ309" t="s">
        <v>948</v>
      </c>
      <c r="AK309">
        <v>1</v>
      </c>
      <c r="AL309" s="10">
        <v>460.9</v>
      </c>
      <c r="AM309" s="10">
        <v>847.5</v>
      </c>
      <c r="AN309" s="10">
        <v>1717.9</v>
      </c>
      <c r="AO309" s="9">
        <v>1</v>
      </c>
      <c r="AP309" s="9">
        <v>0.93500000000000005</v>
      </c>
      <c r="AQ309" s="9">
        <v>2.001015010275617</v>
      </c>
      <c r="AR309" s="9">
        <v>14.827077077077076</v>
      </c>
      <c r="AS309" s="9">
        <v>16.828092087352694</v>
      </c>
      <c r="AT309" s="9">
        <v>2.8014210143858649</v>
      </c>
      <c r="AU309" s="9">
        <v>49.077477477477487</v>
      </c>
      <c r="AV309" s="9">
        <v>51.878898491863353</v>
      </c>
      <c r="AW309" s="11">
        <v>33.9</v>
      </c>
      <c r="AX309" s="11">
        <v>33.9</v>
      </c>
      <c r="AY309" t="s">
        <v>949</v>
      </c>
      <c r="AZ309" t="s">
        <v>950</v>
      </c>
      <c r="BA309" t="s">
        <v>951</v>
      </c>
      <c r="BB309" t="s">
        <v>952</v>
      </c>
      <c r="BC309" t="b">
        <v>1</v>
      </c>
    </row>
    <row r="310" spans="1:55">
      <c r="A310" t="s">
        <v>1600</v>
      </c>
      <c r="B310" t="s">
        <v>939</v>
      </c>
      <c r="C310">
        <v>13600</v>
      </c>
      <c r="D310">
        <v>7400</v>
      </c>
      <c r="E310">
        <v>13600</v>
      </c>
      <c r="F310">
        <v>27600</v>
      </c>
      <c r="G310" s="9">
        <v>8.2660887288402811E-3</v>
      </c>
      <c r="H310" s="9"/>
      <c r="I310" s="9"/>
      <c r="J310" s="10">
        <v>544</v>
      </c>
      <c r="K310" s="10">
        <v>544</v>
      </c>
      <c r="L310" s="10">
        <v>544</v>
      </c>
      <c r="M310" s="10">
        <v>544</v>
      </c>
      <c r="N310" s="10">
        <v>544</v>
      </c>
      <c r="O310" s="10">
        <v>544</v>
      </c>
      <c r="P310" s="10">
        <v>544</v>
      </c>
      <c r="Q310" s="10">
        <v>544</v>
      </c>
      <c r="R310" s="10">
        <v>544</v>
      </c>
      <c r="S310" s="10">
        <v>544</v>
      </c>
      <c r="T310" s="10">
        <v>544</v>
      </c>
      <c r="V310" t="s">
        <v>456</v>
      </c>
      <c r="W310" t="s">
        <v>1600</v>
      </c>
      <c r="X310" t="s">
        <v>1601</v>
      </c>
      <c r="Y310" t="s">
        <v>941</v>
      </c>
      <c r="Z310" t="s">
        <v>942</v>
      </c>
      <c r="AB310" t="s">
        <v>539</v>
      </c>
      <c r="AC310" t="s">
        <v>538</v>
      </c>
      <c r="AD310" t="s">
        <v>943</v>
      </c>
      <c r="AF310" t="s">
        <v>944</v>
      </c>
      <c r="AG310" t="s">
        <v>959</v>
      </c>
      <c r="AH310" t="s">
        <v>946</v>
      </c>
      <c r="AI310" t="s">
        <v>960</v>
      </c>
      <c r="AJ310" t="s">
        <v>948</v>
      </c>
      <c r="AK310">
        <v>1</v>
      </c>
      <c r="AL310" s="10">
        <v>7.4</v>
      </c>
      <c r="AM310" s="10">
        <v>13.6</v>
      </c>
      <c r="AN310" s="10">
        <v>27.6</v>
      </c>
      <c r="AO310" s="9">
        <v>3.9175482677091004E-3</v>
      </c>
      <c r="AP310" s="9">
        <v>0.47039999999999998</v>
      </c>
      <c r="AQ310" s="9">
        <v>0.51608872884028001</v>
      </c>
      <c r="AR310" s="9">
        <v>7.75</v>
      </c>
      <c r="AS310" s="9">
        <v>8.2660887288402805</v>
      </c>
      <c r="AT310" s="9"/>
      <c r="AU310" s="9"/>
      <c r="AV310" s="9"/>
      <c r="AW310" s="11">
        <v>0.54400000000000004</v>
      </c>
      <c r="AX310" s="11">
        <v>0.54400000000000004</v>
      </c>
      <c r="AY310" t="s">
        <v>949</v>
      </c>
      <c r="AZ310" t="s">
        <v>950</v>
      </c>
      <c r="BA310" t="s">
        <v>951</v>
      </c>
      <c r="BB310" t="s">
        <v>952</v>
      </c>
      <c r="BC310" t="b">
        <v>0</v>
      </c>
    </row>
    <row r="311" spans="1:55">
      <c r="A311" t="s">
        <v>1602</v>
      </c>
      <c r="B311" t="s">
        <v>939</v>
      </c>
      <c r="C311">
        <v>3245800</v>
      </c>
      <c r="D311">
        <v>1765000</v>
      </c>
      <c r="E311">
        <v>3245800</v>
      </c>
      <c r="F311">
        <v>6579000</v>
      </c>
      <c r="G311" s="9">
        <v>1.3601301293256466E-2</v>
      </c>
      <c r="H311" s="9">
        <v>4.5306797882106842E-2</v>
      </c>
      <c r="I311" s="9">
        <v>6.7960196823160263E-2</v>
      </c>
      <c r="J311" s="10">
        <v>129832</v>
      </c>
      <c r="K311" s="10">
        <v>129832</v>
      </c>
      <c r="L311" s="10">
        <v>129832</v>
      </c>
      <c r="M311" s="10">
        <v>129832</v>
      </c>
      <c r="N311" s="10">
        <v>129832</v>
      </c>
      <c r="O311" s="10">
        <v>129832</v>
      </c>
      <c r="P311" s="10">
        <v>129832</v>
      </c>
      <c r="Q311" s="10">
        <v>129832</v>
      </c>
      <c r="R311" s="10">
        <v>129832</v>
      </c>
      <c r="S311" s="10">
        <v>129832</v>
      </c>
      <c r="T311" s="10">
        <v>129832</v>
      </c>
      <c r="V311" t="s">
        <v>456</v>
      </c>
      <c r="W311" t="s">
        <v>1602</v>
      </c>
      <c r="X311" t="s">
        <v>1603</v>
      </c>
      <c r="Y311" t="s">
        <v>941</v>
      </c>
      <c r="Z311" t="s">
        <v>942</v>
      </c>
      <c r="AB311" t="s">
        <v>539</v>
      </c>
      <c r="AC311" t="s">
        <v>538</v>
      </c>
      <c r="AD311" t="s">
        <v>943</v>
      </c>
      <c r="AF311" t="s">
        <v>944</v>
      </c>
      <c r="AG311" t="s">
        <v>945</v>
      </c>
      <c r="AH311" t="s">
        <v>946</v>
      </c>
      <c r="AI311" t="s">
        <v>947</v>
      </c>
      <c r="AJ311" t="s">
        <v>948</v>
      </c>
      <c r="AK311">
        <v>36</v>
      </c>
      <c r="AL311" s="10">
        <v>1765</v>
      </c>
      <c r="AM311" s="10">
        <v>3245.8</v>
      </c>
      <c r="AN311" s="10">
        <v>6579</v>
      </c>
      <c r="AO311" s="9">
        <v>0.76886465220516165</v>
      </c>
      <c r="AP311" s="9">
        <v>92.3215</v>
      </c>
      <c r="AQ311" s="9">
        <v>0.18362042763109229</v>
      </c>
      <c r="AR311" s="9">
        <v>13.417680865625377</v>
      </c>
      <c r="AS311" s="9">
        <v>13.601301293256466</v>
      </c>
      <c r="AT311" s="9">
        <v>1.3031467658554978</v>
      </c>
      <c r="AU311" s="9">
        <v>44.003651116251348</v>
      </c>
      <c r="AV311" s="9">
        <v>45.306797882106842</v>
      </c>
      <c r="AW311" s="11">
        <v>129.83199999999999</v>
      </c>
      <c r="AX311" s="11">
        <v>129.83199999999999</v>
      </c>
      <c r="AY311" t="s">
        <v>949</v>
      </c>
      <c r="AZ311" t="s">
        <v>950</v>
      </c>
      <c r="BA311" t="s">
        <v>951</v>
      </c>
      <c r="BB311" t="s">
        <v>952</v>
      </c>
      <c r="BC311" t="b">
        <v>1</v>
      </c>
    </row>
    <row r="312" spans="1:55">
      <c r="A312" t="s">
        <v>1604</v>
      </c>
      <c r="B312" t="s">
        <v>939</v>
      </c>
      <c r="C312">
        <v>600700</v>
      </c>
      <c r="D312">
        <v>326700</v>
      </c>
      <c r="E312">
        <v>600700</v>
      </c>
      <c r="F312">
        <v>1217700</v>
      </c>
      <c r="G312" s="9">
        <v>8.3269396160720113E-3</v>
      </c>
      <c r="H312" s="9">
        <v>2.458651073399416E-2</v>
      </c>
      <c r="I312" s="9">
        <v>3.6879766100991238E-2</v>
      </c>
      <c r="J312" s="10">
        <v>24028</v>
      </c>
      <c r="K312" s="10">
        <v>24028</v>
      </c>
      <c r="L312" s="10">
        <v>24028</v>
      </c>
      <c r="M312" s="10">
        <v>24028</v>
      </c>
      <c r="N312" s="10">
        <v>24028</v>
      </c>
      <c r="O312" s="10">
        <v>24028</v>
      </c>
      <c r="P312" s="10">
        <v>24028</v>
      </c>
      <c r="Q312" s="10">
        <v>24028</v>
      </c>
      <c r="R312" s="10">
        <v>24028</v>
      </c>
      <c r="S312" s="10">
        <v>24028</v>
      </c>
      <c r="T312" s="10">
        <v>24028</v>
      </c>
      <c r="V312" t="s">
        <v>456</v>
      </c>
      <c r="W312" t="s">
        <v>1604</v>
      </c>
      <c r="X312" t="s">
        <v>1605</v>
      </c>
      <c r="Y312" t="s">
        <v>941</v>
      </c>
      <c r="Z312" t="s">
        <v>942</v>
      </c>
      <c r="AB312" t="s">
        <v>539</v>
      </c>
      <c r="AC312" t="s">
        <v>538</v>
      </c>
      <c r="AD312" t="s">
        <v>943</v>
      </c>
      <c r="AF312" t="s">
        <v>944</v>
      </c>
      <c r="AG312" t="s">
        <v>965</v>
      </c>
      <c r="AH312" t="s">
        <v>956</v>
      </c>
      <c r="AI312" t="s">
        <v>960</v>
      </c>
      <c r="AJ312" t="s">
        <v>948</v>
      </c>
      <c r="AK312">
        <v>9</v>
      </c>
      <c r="AL312" s="10">
        <v>326.7</v>
      </c>
      <c r="AM312" s="10">
        <v>600.70000000000005</v>
      </c>
      <c r="AN312" s="10">
        <v>1217.7</v>
      </c>
      <c r="AO312" s="9">
        <v>0.17313664531613959</v>
      </c>
      <c r="AP312" s="9">
        <v>20.789400000000001</v>
      </c>
      <c r="AQ312" s="9">
        <v>0.5769396160720115</v>
      </c>
      <c r="AR312" s="9">
        <v>7.75</v>
      </c>
      <c r="AS312" s="9">
        <v>8.3269396160720106</v>
      </c>
      <c r="AT312" s="9">
        <v>0.98651073399415656</v>
      </c>
      <c r="AU312" s="9">
        <v>23.600000000000005</v>
      </c>
      <c r="AV312" s="9">
        <v>24.58651073399416</v>
      </c>
      <c r="AW312" s="11">
        <v>24.027999999999999</v>
      </c>
      <c r="AX312" s="11">
        <v>24.027999999999999</v>
      </c>
      <c r="AY312" t="s">
        <v>949</v>
      </c>
      <c r="AZ312" t="s">
        <v>950</v>
      </c>
      <c r="BA312" t="s">
        <v>951</v>
      </c>
      <c r="BB312" t="s">
        <v>952</v>
      </c>
      <c r="BC312" t="b">
        <v>1</v>
      </c>
    </row>
    <row r="313" spans="1:55">
      <c r="A313" t="s">
        <v>1606</v>
      </c>
      <c r="B313" t="s">
        <v>939</v>
      </c>
      <c r="C313">
        <v>228300</v>
      </c>
      <c r="D313">
        <v>124100</v>
      </c>
      <c r="E313">
        <v>228300</v>
      </c>
      <c r="F313">
        <v>462800</v>
      </c>
      <c r="G313" s="9">
        <v>1.4330526489420146E-2</v>
      </c>
      <c r="H313" s="9">
        <v>4.9325358791491115E-2</v>
      </c>
      <c r="I313" s="9">
        <v>7.3988038187236677E-2</v>
      </c>
      <c r="J313" s="10">
        <v>9132</v>
      </c>
      <c r="K313" s="10">
        <v>9132</v>
      </c>
      <c r="L313" s="10">
        <v>9132</v>
      </c>
      <c r="M313" s="10">
        <v>9132</v>
      </c>
      <c r="N313" s="10">
        <v>9132</v>
      </c>
      <c r="O313" s="10">
        <v>9132</v>
      </c>
      <c r="P313" s="10">
        <v>9132</v>
      </c>
      <c r="Q313" s="10">
        <v>9132</v>
      </c>
      <c r="R313" s="10">
        <v>9132</v>
      </c>
      <c r="S313" s="10">
        <v>9132</v>
      </c>
      <c r="T313" s="10">
        <v>9132</v>
      </c>
      <c r="V313" t="s">
        <v>456</v>
      </c>
      <c r="W313" t="s">
        <v>1606</v>
      </c>
      <c r="X313" t="s">
        <v>1607</v>
      </c>
      <c r="Y313" t="s">
        <v>941</v>
      </c>
      <c r="Z313" t="s">
        <v>942</v>
      </c>
      <c r="AB313" t="s">
        <v>539</v>
      </c>
      <c r="AC313" t="s">
        <v>538</v>
      </c>
      <c r="AD313" t="s">
        <v>943</v>
      </c>
      <c r="AF313" t="s">
        <v>944</v>
      </c>
      <c r="AG313" t="s">
        <v>955</v>
      </c>
      <c r="AH313" t="s">
        <v>956</v>
      </c>
      <c r="AI313" t="s">
        <v>947</v>
      </c>
      <c r="AJ313" t="s">
        <v>948</v>
      </c>
      <c r="AK313">
        <v>4</v>
      </c>
      <c r="AL313" s="10">
        <v>124.1</v>
      </c>
      <c r="AM313" s="10">
        <v>228.3</v>
      </c>
      <c r="AN313" s="10">
        <v>462.8</v>
      </c>
      <c r="AO313" s="9">
        <v>5.40811542109896E-2</v>
      </c>
      <c r="AP313" s="9">
        <v>6.4938000000000002</v>
      </c>
      <c r="AQ313" s="9">
        <v>0.91284562379477363</v>
      </c>
      <c r="AR313" s="9">
        <v>13.417680865625371</v>
      </c>
      <c r="AS313" s="9">
        <v>14.330526489420146</v>
      </c>
      <c r="AT313" s="9">
        <v>5.3217076752397539</v>
      </c>
      <c r="AU313" s="9">
        <v>44.003651116251348</v>
      </c>
      <c r="AV313" s="9">
        <v>49.325358791491112</v>
      </c>
      <c r="AW313" s="11">
        <v>9.1319999999999997</v>
      </c>
      <c r="AX313" s="11">
        <v>9.1319999999999997</v>
      </c>
      <c r="AY313" t="s">
        <v>949</v>
      </c>
      <c r="AZ313" t="s">
        <v>950</v>
      </c>
      <c r="BA313" t="s">
        <v>951</v>
      </c>
      <c r="BB313" t="s">
        <v>952</v>
      </c>
      <c r="BC313" t="b">
        <v>1</v>
      </c>
    </row>
    <row r="314" spans="1:55">
      <c r="A314" t="s">
        <v>1608</v>
      </c>
      <c r="B314" t="s">
        <v>939</v>
      </c>
      <c r="C314">
        <v>6196100</v>
      </c>
      <c r="D314">
        <v>3369300</v>
      </c>
      <c r="E314">
        <v>6196100</v>
      </c>
      <c r="F314">
        <v>12559200</v>
      </c>
      <c r="G314" s="9">
        <v>1.5259000056786268E-2</v>
      </c>
      <c r="H314" s="9">
        <v>3.4112600079500781E-2</v>
      </c>
      <c r="I314" s="9">
        <v>5.1168900119251168E-2</v>
      </c>
      <c r="J314" s="10">
        <v>247844</v>
      </c>
      <c r="K314" s="10">
        <v>247844</v>
      </c>
      <c r="L314" s="10">
        <v>247844</v>
      </c>
      <c r="M314" s="10">
        <v>247844</v>
      </c>
      <c r="N314" s="10">
        <v>247844</v>
      </c>
      <c r="O314" s="10">
        <v>247844</v>
      </c>
      <c r="P314" s="10">
        <v>247844</v>
      </c>
      <c r="Q314" s="10">
        <v>247844</v>
      </c>
      <c r="R314" s="10">
        <v>247844</v>
      </c>
      <c r="S314" s="10">
        <v>247844</v>
      </c>
      <c r="T314" s="10">
        <v>247844</v>
      </c>
      <c r="V314" t="s">
        <v>456</v>
      </c>
      <c r="W314" t="s">
        <v>1608</v>
      </c>
      <c r="X314" t="s">
        <v>1609</v>
      </c>
      <c r="Y314" t="s">
        <v>941</v>
      </c>
      <c r="Z314" t="s">
        <v>942</v>
      </c>
      <c r="AB314" t="s">
        <v>55</v>
      </c>
      <c r="AC314" t="s">
        <v>55</v>
      </c>
      <c r="AD314" t="s">
        <v>943</v>
      </c>
      <c r="AF314" t="s">
        <v>944</v>
      </c>
      <c r="AG314" t="s">
        <v>965</v>
      </c>
      <c r="AH314" t="s">
        <v>956</v>
      </c>
      <c r="AI314" t="s">
        <v>960</v>
      </c>
      <c r="AJ314" t="s">
        <v>948</v>
      </c>
      <c r="AK314">
        <v>1</v>
      </c>
      <c r="AL314" s="10">
        <v>3369.3</v>
      </c>
      <c r="AM314" s="10">
        <v>6196.1</v>
      </c>
      <c r="AN314" s="10">
        <v>12559.2</v>
      </c>
      <c r="AO314" s="9">
        <v>1</v>
      </c>
      <c r="AP314" s="9">
        <v>0.51770000000000005</v>
      </c>
      <c r="AQ314" s="9">
        <v>7.5090000567862676</v>
      </c>
      <c r="AR314" s="9">
        <v>7.7499999999999991</v>
      </c>
      <c r="AS314" s="9">
        <v>15.259000056786268</v>
      </c>
      <c r="AT314" s="9">
        <v>10.512600079500777</v>
      </c>
      <c r="AU314" s="9">
        <v>23.6</v>
      </c>
      <c r="AV314" s="9">
        <v>34.11260007950078</v>
      </c>
      <c r="AW314" s="11">
        <v>247.84399999999999</v>
      </c>
      <c r="AX314" s="11">
        <v>247.84399999999999</v>
      </c>
      <c r="AY314" t="s">
        <v>949</v>
      </c>
      <c r="AZ314" t="s">
        <v>950</v>
      </c>
      <c r="BA314" t="s">
        <v>951</v>
      </c>
      <c r="BB314" t="s">
        <v>952</v>
      </c>
      <c r="BC314" t="b">
        <v>1</v>
      </c>
    </row>
    <row r="315" spans="1:55">
      <c r="A315" t="s">
        <v>1610</v>
      </c>
      <c r="B315" t="s">
        <v>939</v>
      </c>
      <c r="C315">
        <v>7000</v>
      </c>
      <c r="D315">
        <v>3800</v>
      </c>
      <c r="E315">
        <v>7000</v>
      </c>
      <c r="F315">
        <v>14200</v>
      </c>
      <c r="G315" s="9">
        <v>8.0367636487939653E-3</v>
      </c>
      <c r="H315" s="9">
        <v>2.4001469108311559E-2</v>
      </c>
      <c r="I315" s="9">
        <v>3.6002203662467341E-2</v>
      </c>
      <c r="J315" s="10">
        <v>280</v>
      </c>
      <c r="K315" s="10">
        <v>280</v>
      </c>
      <c r="L315" s="10">
        <v>280</v>
      </c>
      <c r="M315" s="10">
        <v>280</v>
      </c>
      <c r="N315" s="10">
        <v>280</v>
      </c>
      <c r="O315" s="10">
        <v>280</v>
      </c>
      <c r="P315" s="10">
        <v>280</v>
      </c>
      <c r="Q315" s="10">
        <v>280</v>
      </c>
      <c r="R315" s="10">
        <v>280</v>
      </c>
      <c r="S315" s="10">
        <v>280</v>
      </c>
      <c r="T315" s="10">
        <v>280</v>
      </c>
      <c r="V315" t="s">
        <v>456</v>
      </c>
      <c r="W315" t="s">
        <v>1610</v>
      </c>
      <c r="X315" t="s">
        <v>1611</v>
      </c>
      <c r="Y315" t="s">
        <v>941</v>
      </c>
      <c r="Z315" t="s">
        <v>942</v>
      </c>
      <c r="AB315" t="s">
        <v>1612</v>
      </c>
      <c r="AC315" t="s">
        <v>1612</v>
      </c>
      <c r="AD315" t="s">
        <v>943</v>
      </c>
      <c r="AF315" t="s">
        <v>944</v>
      </c>
      <c r="AG315" t="s">
        <v>959</v>
      </c>
      <c r="AH315" t="s">
        <v>946</v>
      </c>
      <c r="AI315" t="s">
        <v>960</v>
      </c>
      <c r="AJ315" t="s">
        <v>948</v>
      </c>
      <c r="AK315">
        <v>1</v>
      </c>
      <c r="AL315" s="10">
        <v>3.8</v>
      </c>
      <c r="AM315" s="10">
        <v>7</v>
      </c>
      <c r="AN315" s="10">
        <v>14.2</v>
      </c>
      <c r="AO315" s="9">
        <v>0.72971618319654163</v>
      </c>
      <c r="AP315" s="9">
        <v>1.1647000000000001</v>
      </c>
      <c r="AQ315" s="9">
        <v>0.28676364879396471</v>
      </c>
      <c r="AR315" s="9">
        <v>7.7499999999999991</v>
      </c>
      <c r="AS315" s="9">
        <v>8.0367636487939649</v>
      </c>
      <c r="AT315" s="9">
        <v>0.40146910831155058</v>
      </c>
      <c r="AU315" s="9">
        <v>23.6</v>
      </c>
      <c r="AV315" s="9">
        <v>24.001469108311557</v>
      </c>
      <c r="AW315" s="11">
        <v>0.28000000000000003</v>
      </c>
      <c r="AX315" s="11">
        <v>0.28000000000000003</v>
      </c>
      <c r="AY315" t="s">
        <v>949</v>
      </c>
      <c r="AZ315" t="s">
        <v>950</v>
      </c>
      <c r="BA315" t="s">
        <v>951</v>
      </c>
      <c r="BB315" t="s">
        <v>952</v>
      </c>
      <c r="BC315" t="b">
        <v>1</v>
      </c>
    </row>
    <row r="316" spans="1:55">
      <c r="A316" t="s">
        <v>1613</v>
      </c>
      <c r="B316" t="s">
        <v>939</v>
      </c>
      <c r="C316">
        <v>94700</v>
      </c>
      <c r="D316">
        <v>51500</v>
      </c>
      <c r="E316">
        <v>94700</v>
      </c>
      <c r="F316">
        <v>191900</v>
      </c>
      <c r="G316" s="9">
        <v>1.5087479927508586E-2</v>
      </c>
      <c r="H316" s="9">
        <v>4.8368025635826498E-2</v>
      </c>
      <c r="I316" s="9">
        <v>7.2552038453739753E-2</v>
      </c>
      <c r="J316" s="10">
        <v>3788</v>
      </c>
      <c r="K316" s="10">
        <v>3788</v>
      </c>
      <c r="L316" s="10">
        <v>3788</v>
      </c>
      <c r="M316" s="10">
        <v>3788</v>
      </c>
      <c r="N316" s="10">
        <v>3788</v>
      </c>
      <c r="O316" s="10">
        <v>3788</v>
      </c>
      <c r="P316" s="10">
        <v>3788</v>
      </c>
      <c r="Q316" s="10">
        <v>3788</v>
      </c>
      <c r="R316" s="10">
        <v>3788</v>
      </c>
      <c r="S316" s="10">
        <v>3788</v>
      </c>
      <c r="T316" s="10">
        <v>3788</v>
      </c>
      <c r="V316" t="s">
        <v>456</v>
      </c>
      <c r="W316" t="s">
        <v>1613</v>
      </c>
      <c r="X316" t="s">
        <v>1611</v>
      </c>
      <c r="Y316" t="s">
        <v>941</v>
      </c>
      <c r="Z316" t="s">
        <v>942</v>
      </c>
      <c r="AB316" t="s">
        <v>1612</v>
      </c>
      <c r="AC316" t="s">
        <v>1612</v>
      </c>
      <c r="AD316" t="s">
        <v>943</v>
      </c>
      <c r="AF316" t="s">
        <v>944</v>
      </c>
      <c r="AG316" t="s">
        <v>945</v>
      </c>
      <c r="AH316" t="s">
        <v>946</v>
      </c>
      <c r="AI316" t="s">
        <v>947</v>
      </c>
      <c r="AJ316" t="s">
        <v>948</v>
      </c>
      <c r="AK316">
        <v>1</v>
      </c>
      <c r="AL316" s="10">
        <v>51.5</v>
      </c>
      <c r="AM316" s="10">
        <v>94.7</v>
      </c>
      <c r="AN316" s="10">
        <v>191.9</v>
      </c>
      <c r="AO316" s="9">
        <v>0.27028381680345842</v>
      </c>
      <c r="AP316" s="9">
        <v>0.43140000000000001</v>
      </c>
      <c r="AQ316" s="9">
        <v>0.74859186509291653</v>
      </c>
      <c r="AR316" s="9">
        <v>14.33888806241567</v>
      </c>
      <c r="AS316" s="9">
        <v>15.087479927508586</v>
      </c>
      <c r="AT316" s="9">
        <v>1.0480286111300832</v>
      </c>
      <c r="AU316" s="9">
        <v>47.319997024696413</v>
      </c>
      <c r="AV316" s="9">
        <v>48.368025635826498</v>
      </c>
      <c r="AW316" s="11">
        <v>3.7879999999999998</v>
      </c>
      <c r="AX316" s="11">
        <v>3.7879999999999998</v>
      </c>
      <c r="AY316" t="s">
        <v>949</v>
      </c>
      <c r="AZ316" t="s">
        <v>950</v>
      </c>
      <c r="BA316" t="s">
        <v>951</v>
      </c>
      <c r="BB316" t="s">
        <v>952</v>
      </c>
      <c r="BC316" t="b">
        <v>1</v>
      </c>
    </row>
    <row r="317" spans="1:55">
      <c r="A317" t="s">
        <v>1614</v>
      </c>
      <c r="B317" t="s">
        <v>939</v>
      </c>
      <c r="C317">
        <v>4048700</v>
      </c>
      <c r="D317">
        <v>2201600</v>
      </c>
      <c r="E317">
        <v>4048700</v>
      </c>
      <c r="F317">
        <v>8206400</v>
      </c>
      <c r="G317" s="9">
        <v>8.1129557444875218E-3</v>
      </c>
      <c r="H317" s="9">
        <v>2.4728883440398482E-2</v>
      </c>
      <c r="I317" s="9">
        <v>3.7093325160597726E-2</v>
      </c>
      <c r="J317" s="10">
        <v>161947.99999999997</v>
      </c>
      <c r="K317" s="10">
        <v>161947.99999999997</v>
      </c>
      <c r="L317" s="10">
        <v>161947.99999999997</v>
      </c>
      <c r="M317" s="10">
        <v>161947.99999999997</v>
      </c>
      <c r="N317" s="10">
        <v>161947.99999999997</v>
      </c>
      <c r="O317" s="10">
        <v>161947.99999999997</v>
      </c>
      <c r="P317" s="10">
        <v>161947.99999999997</v>
      </c>
      <c r="Q317" s="10">
        <v>161947.99999999997</v>
      </c>
      <c r="R317" s="10">
        <v>161947.99999999997</v>
      </c>
      <c r="S317" s="10">
        <v>161947.99999999997</v>
      </c>
      <c r="T317" s="10">
        <v>161947.99999999997</v>
      </c>
      <c r="V317" t="s">
        <v>456</v>
      </c>
      <c r="W317" t="s">
        <v>1614</v>
      </c>
      <c r="X317" t="s">
        <v>1615</v>
      </c>
      <c r="Y317" t="s">
        <v>941</v>
      </c>
      <c r="Z317" t="s">
        <v>942</v>
      </c>
      <c r="AB317" t="s">
        <v>116</v>
      </c>
      <c r="AC317" t="s">
        <v>56</v>
      </c>
      <c r="AD317" t="s">
        <v>943</v>
      </c>
      <c r="AF317" t="s">
        <v>944</v>
      </c>
      <c r="AG317" t="s">
        <v>959</v>
      </c>
      <c r="AH317" t="s">
        <v>946</v>
      </c>
      <c r="AI317" t="s">
        <v>960</v>
      </c>
      <c r="AJ317" t="s">
        <v>948</v>
      </c>
      <c r="AK317">
        <v>29</v>
      </c>
      <c r="AL317" s="10">
        <v>2201.6</v>
      </c>
      <c r="AM317" s="10">
        <v>4048.7</v>
      </c>
      <c r="AN317" s="10">
        <v>8206.4</v>
      </c>
      <c r="AO317" s="9">
        <v>0.96414762993086323</v>
      </c>
      <c r="AP317" s="9">
        <v>26.956700000000005</v>
      </c>
      <c r="AQ317" s="9">
        <v>0.36295574448752282</v>
      </c>
      <c r="AR317" s="9">
        <v>7.7499999999999982</v>
      </c>
      <c r="AS317" s="9">
        <v>8.1129557444875218</v>
      </c>
      <c r="AT317" s="9">
        <v>1.1288834403984784</v>
      </c>
      <c r="AU317" s="9">
        <v>23.6</v>
      </c>
      <c r="AV317" s="9">
        <v>24.72888344039848</v>
      </c>
      <c r="AW317" s="11">
        <v>161.94799999999998</v>
      </c>
      <c r="AX317" s="11">
        <v>161.94799999999998</v>
      </c>
      <c r="AY317" t="s">
        <v>949</v>
      </c>
      <c r="AZ317" t="s">
        <v>950</v>
      </c>
      <c r="BA317" t="s">
        <v>951</v>
      </c>
      <c r="BB317" t="s">
        <v>952</v>
      </c>
      <c r="BC317" t="b">
        <v>1</v>
      </c>
    </row>
    <row r="318" spans="1:55">
      <c r="A318" t="s">
        <v>1616</v>
      </c>
      <c r="B318" t="s">
        <v>939</v>
      </c>
      <c r="C318">
        <v>150600</v>
      </c>
      <c r="D318">
        <v>81900</v>
      </c>
      <c r="E318">
        <v>150600</v>
      </c>
      <c r="F318">
        <v>305200</v>
      </c>
      <c r="G318" s="9">
        <v>1.2664355298207456E-2</v>
      </c>
      <c r="H318" s="9">
        <v>3.0480097417490443E-2</v>
      </c>
      <c r="I318" s="9">
        <v>4.5720146126235664E-2</v>
      </c>
      <c r="J318" s="10">
        <v>6024</v>
      </c>
      <c r="K318" s="10">
        <v>6024</v>
      </c>
      <c r="L318" s="10">
        <v>6024</v>
      </c>
      <c r="M318" s="10">
        <v>6024</v>
      </c>
      <c r="N318" s="10">
        <v>6024</v>
      </c>
      <c r="O318" s="10">
        <v>6024</v>
      </c>
      <c r="P318" s="10">
        <v>6024</v>
      </c>
      <c r="Q318" s="10">
        <v>6024</v>
      </c>
      <c r="R318" s="10">
        <v>6024</v>
      </c>
      <c r="S318" s="10">
        <v>6024</v>
      </c>
      <c r="T318" s="10">
        <v>6024</v>
      </c>
      <c r="V318" t="s">
        <v>456</v>
      </c>
      <c r="W318" t="s">
        <v>1616</v>
      </c>
      <c r="X318" t="s">
        <v>1617</v>
      </c>
      <c r="Y318" t="s">
        <v>941</v>
      </c>
      <c r="Z318" t="s">
        <v>942</v>
      </c>
      <c r="AB318" t="s">
        <v>116</v>
      </c>
      <c r="AC318" t="s">
        <v>56</v>
      </c>
      <c r="AD318" t="s">
        <v>943</v>
      </c>
      <c r="AF318" t="s">
        <v>944</v>
      </c>
      <c r="AG318" t="s">
        <v>965</v>
      </c>
      <c r="AH318" t="s">
        <v>956</v>
      </c>
      <c r="AI318" t="s">
        <v>960</v>
      </c>
      <c r="AJ318" t="s">
        <v>948</v>
      </c>
      <c r="AK318">
        <v>2</v>
      </c>
      <c r="AL318" s="10">
        <v>81.900000000000006</v>
      </c>
      <c r="AM318" s="10">
        <v>150.6</v>
      </c>
      <c r="AN318" s="10">
        <v>305.2</v>
      </c>
      <c r="AO318" s="9">
        <v>3.5852370069136601E-2</v>
      </c>
      <c r="AP318" s="9">
        <v>1.0024</v>
      </c>
      <c r="AQ318" s="9">
        <v>4.9143552982074565</v>
      </c>
      <c r="AR318" s="9">
        <v>7.7500000000000009</v>
      </c>
      <c r="AS318" s="9">
        <v>12.664355298207456</v>
      </c>
      <c r="AT318" s="9">
        <v>6.8800974174904388</v>
      </c>
      <c r="AU318" s="9">
        <v>23.600000000000005</v>
      </c>
      <c r="AV318" s="9">
        <v>30.480097417490441</v>
      </c>
      <c r="AW318" s="11">
        <v>6.024</v>
      </c>
      <c r="AX318" s="11">
        <v>6.024</v>
      </c>
      <c r="AY318" t="s">
        <v>949</v>
      </c>
      <c r="AZ318" t="s">
        <v>950</v>
      </c>
      <c r="BA318" t="s">
        <v>951</v>
      </c>
      <c r="BB318" t="s">
        <v>952</v>
      </c>
      <c r="BC318" t="b">
        <v>1</v>
      </c>
    </row>
    <row r="319" spans="1:55">
      <c r="A319" t="s">
        <v>1618</v>
      </c>
      <c r="B319" t="s">
        <v>939</v>
      </c>
      <c r="C319">
        <v>409400</v>
      </c>
      <c r="D319">
        <v>314200</v>
      </c>
      <c r="E319">
        <v>409400</v>
      </c>
      <c r="F319">
        <v>689300</v>
      </c>
      <c r="G319" s="9">
        <v>9.036750628459109E-3</v>
      </c>
      <c r="H319" s="9">
        <v>1.9595450879842748E-2</v>
      </c>
      <c r="I319" s="9">
        <v>2.9393176319764121E-2</v>
      </c>
      <c r="J319" s="10">
        <v>4093.9999999999995</v>
      </c>
      <c r="K319" s="10">
        <v>4093.9999999999995</v>
      </c>
      <c r="L319" s="10">
        <v>4093.9999999999995</v>
      </c>
      <c r="M319" s="10">
        <v>4093.9999999999995</v>
      </c>
      <c r="N319" s="10">
        <v>4093.9999999999995</v>
      </c>
      <c r="O319" s="10">
        <v>4093.9999999999995</v>
      </c>
      <c r="P319" s="10">
        <v>4093.9999999999995</v>
      </c>
      <c r="Q319" s="10">
        <v>4093.9999999999995</v>
      </c>
      <c r="R319" s="10">
        <v>4093.9999999999995</v>
      </c>
      <c r="S319" s="10">
        <v>4093.9999999999995</v>
      </c>
      <c r="T319" s="10">
        <v>4093.9999999999995</v>
      </c>
      <c r="V319" t="s">
        <v>456</v>
      </c>
      <c r="W319" t="s">
        <v>1618</v>
      </c>
      <c r="X319" t="s">
        <v>1619</v>
      </c>
      <c r="Y319" t="s">
        <v>941</v>
      </c>
      <c r="Z319" t="s">
        <v>942</v>
      </c>
      <c r="AB319" t="s">
        <v>541</v>
      </c>
      <c r="AC319" t="s">
        <v>540</v>
      </c>
      <c r="AD319" t="s">
        <v>968</v>
      </c>
      <c r="AF319" t="s">
        <v>986</v>
      </c>
      <c r="AG319" t="s">
        <v>999</v>
      </c>
      <c r="AH319" t="s">
        <v>946</v>
      </c>
      <c r="AI319" t="s">
        <v>977</v>
      </c>
      <c r="AJ319" t="s">
        <v>1054</v>
      </c>
      <c r="AK319">
        <v>3</v>
      </c>
      <c r="AL319" s="10">
        <v>314.2</v>
      </c>
      <c r="AM319" s="10">
        <v>409.4</v>
      </c>
      <c r="AN319" s="10">
        <v>689.3</v>
      </c>
      <c r="AO319" s="9">
        <v>0.18428013897945469</v>
      </c>
      <c r="AP319" s="9">
        <v>9.4672999999999998</v>
      </c>
      <c r="AQ319" s="9">
        <v>1.5967506284591051</v>
      </c>
      <c r="AR319" s="9">
        <v>7.4400000000000013</v>
      </c>
      <c r="AS319" s="9">
        <v>9.0367506284591084</v>
      </c>
      <c r="AT319" s="9">
        <v>2.2354508798427477</v>
      </c>
      <c r="AU319" s="9">
        <v>17.360000000000003</v>
      </c>
      <c r="AV319" s="9">
        <v>19.595450879842748</v>
      </c>
      <c r="AW319" s="11">
        <v>4.0939999999999994</v>
      </c>
      <c r="AX319" s="11">
        <v>4.0939999999999994</v>
      </c>
      <c r="AY319" t="s">
        <v>969</v>
      </c>
      <c r="AZ319" t="s">
        <v>950</v>
      </c>
      <c r="BA319" t="s">
        <v>951</v>
      </c>
      <c r="BB319" t="s">
        <v>970</v>
      </c>
      <c r="BC319" t="b">
        <v>1</v>
      </c>
    </row>
    <row r="320" spans="1:55">
      <c r="A320" t="s">
        <v>1620</v>
      </c>
      <c r="B320" t="s">
        <v>939</v>
      </c>
      <c r="C320">
        <v>1315600</v>
      </c>
      <c r="D320">
        <v>1009800</v>
      </c>
      <c r="E320">
        <v>1315600</v>
      </c>
      <c r="F320">
        <v>2215100</v>
      </c>
      <c r="G320" s="9">
        <v>9.8787180337370304E-3</v>
      </c>
      <c r="H320" s="9">
        <v>2.177208028963486E-2</v>
      </c>
      <c r="I320" s="9">
        <v>3.2658120434452292E-2</v>
      </c>
      <c r="J320" s="10">
        <v>13156</v>
      </c>
      <c r="K320" s="10">
        <v>13156</v>
      </c>
      <c r="L320" s="10">
        <v>13156</v>
      </c>
      <c r="M320" s="10">
        <v>13156</v>
      </c>
      <c r="N320" s="10">
        <v>13156</v>
      </c>
      <c r="O320" s="10">
        <v>13156</v>
      </c>
      <c r="P320" s="10">
        <v>13156</v>
      </c>
      <c r="Q320" s="10">
        <v>13156</v>
      </c>
      <c r="R320" s="10">
        <v>13156</v>
      </c>
      <c r="S320" s="10">
        <v>13156</v>
      </c>
      <c r="T320" s="10">
        <v>13156</v>
      </c>
      <c r="V320" t="s">
        <v>456</v>
      </c>
      <c r="W320" t="s">
        <v>1620</v>
      </c>
      <c r="X320" t="s">
        <v>1621</v>
      </c>
      <c r="Y320" t="s">
        <v>941</v>
      </c>
      <c r="Z320" t="s">
        <v>942</v>
      </c>
      <c r="AB320" t="s">
        <v>541</v>
      </c>
      <c r="AC320" t="s">
        <v>540</v>
      </c>
      <c r="AD320" t="s">
        <v>968</v>
      </c>
      <c r="AF320" t="s">
        <v>986</v>
      </c>
      <c r="AG320" t="s">
        <v>976</v>
      </c>
      <c r="AH320" t="s">
        <v>956</v>
      </c>
      <c r="AI320" t="s">
        <v>977</v>
      </c>
      <c r="AJ320" t="s">
        <v>1054</v>
      </c>
      <c r="AK320">
        <v>8</v>
      </c>
      <c r="AL320" s="10">
        <v>1009.8</v>
      </c>
      <c r="AM320" s="10">
        <v>1315.6</v>
      </c>
      <c r="AN320" s="10">
        <v>2215.1</v>
      </c>
      <c r="AO320" s="9">
        <v>0.59215174843550789</v>
      </c>
      <c r="AP320" s="9">
        <v>30.421500000000002</v>
      </c>
      <c r="AQ320" s="9">
        <v>2.4387180337370298</v>
      </c>
      <c r="AR320" s="9">
        <v>7.4399999999999986</v>
      </c>
      <c r="AS320" s="9">
        <v>9.8787180337370302</v>
      </c>
      <c r="AT320" s="9">
        <v>4.4120802896348597</v>
      </c>
      <c r="AU320" s="9">
        <v>17.360000000000003</v>
      </c>
      <c r="AV320" s="9">
        <v>21.772080289634861</v>
      </c>
      <c r="AW320" s="11">
        <v>13.156000000000001</v>
      </c>
      <c r="AX320" s="11">
        <v>13.156000000000001</v>
      </c>
      <c r="AY320" t="s">
        <v>969</v>
      </c>
      <c r="AZ320" t="s">
        <v>950</v>
      </c>
      <c r="BA320" t="s">
        <v>951</v>
      </c>
      <c r="BB320" t="s">
        <v>970</v>
      </c>
      <c r="BC320" t="b">
        <v>1</v>
      </c>
    </row>
    <row r="321" spans="1:55">
      <c r="A321" t="s">
        <v>1622</v>
      </c>
      <c r="B321" t="s">
        <v>939</v>
      </c>
      <c r="C321">
        <v>400</v>
      </c>
      <c r="D321">
        <v>200</v>
      </c>
      <c r="E321">
        <v>400</v>
      </c>
      <c r="F321">
        <v>900</v>
      </c>
      <c r="G321" s="9">
        <v>7.805461582241489E-3</v>
      </c>
      <c r="H321" s="9">
        <v>2.3899098593508042E-2</v>
      </c>
      <c r="I321" s="9">
        <v>3.5848647890262063E-2</v>
      </c>
      <c r="J321" s="10">
        <v>16</v>
      </c>
      <c r="K321" s="10">
        <v>16</v>
      </c>
      <c r="L321" s="10">
        <v>16</v>
      </c>
      <c r="M321" s="10">
        <v>16</v>
      </c>
      <c r="N321" s="10">
        <v>16</v>
      </c>
      <c r="O321" s="10">
        <v>16</v>
      </c>
      <c r="P321" s="10">
        <v>16</v>
      </c>
      <c r="Q321" s="10">
        <v>16</v>
      </c>
      <c r="R321" s="10">
        <v>16</v>
      </c>
      <c r="S321" s="10">
        <v>16</v>
      </c>
      <c r="T321" s="10">
        <v>16</v>
      </c>
      <c r="V321" t="s">
        <v>456</v>
      </c>
      <c r="W321" t="s">
        <v>1622</v>
      </c>
      <c r="X321" t="s">
        <v>1623</v>
      </c>
      <c r="Y321" t="s">
        <v>941</v>
      </c>
      <c r="Z321" t="s">
        <v>942</v>
      </c>
      <c r="AB321" t="s">
        <v>541</v>
      </c>
      <c r="AC321" t="s">
        <v>540</v>
      </c>
      <c r="AD321" t="s">
        <v>943</v>
      </c>
      <c r="AF321" t="s">
        <v>944</v>
      </c>
      <c r="AG321" t="s">
        <v>959</v>
      </c>
      <c r="AH321" t="s">
        <v>946</v>
      </c>
      <c r="AI321" t="s">
        <v>960</v>
      </c>
      <c r="AJ321" t="s">
        <v>948</v>
      </c>
      <c r="AK321">
        <v>1</v>
      </c>
      <c r="AL321" s="10">
        <v>0.2</v>
      </c>
      <c r="AM321" s="10">
        <v>0.4</v>
      </c>
      <c r="AN321" s="10">
        <v>0.9</v>
      </c>
      <c r="AO321" s="9">
        <v>5.0381025606088599E-2</v>
      </c>
      <c r="AP321" s="9">
        <v>2.5882999999999998</v>
      </c>
      <c r="AQ321" s="9">
        <v>5.5461582241489102E-2</v>
      </c>
      <c r="AR321" s="9">
        <v>7.75</v>
      </c>
      <c r="AS321" s="9">
        <v>7.805461582241489</v>
      </c>
      <c r="AT321" s="9">
        <v>0.29909859350804119</v>
      </c>
      <c r="AU321" s="9">
        <v>23.6</v>
      </c>
      <c r="AV321" s="9">
        <v>23.899098593508043</v>
      </c>
      <c r="AW321" s="11">
        <v>1.6E-2</v>
      </c>
      <c r="AX321" s="11">
        <v>1.6E-2</v>
      </c>
      <c r="AY321" t="s">
        <v>949</v>
      </c>
      <c r="AZ321" t="s">
        <v>950</v>
      </c>
      <c r="BA321" t="s">
        <v>951</v>
      </c>
      <c r="BB321" t="s">
        <v>952</v>
      </c>
      <c r="BC321" t="b">
        <v>1</v>
      </c>
    </row>
    <row r="322" spans="1:55">
      <c r="A322" t="s">
        <v>1624</v>
      </c>
      <c r="B322" t="s">
        <v>939</v>
      </c>
      <c r="C322">
        <v>3099800</v>
      </c>
      <c r="D322">
        <v>1685600</v>
      </c>
      <c r="E322">
        <v>3099800</v>
      </c>
      <c r="F322">
        <v>6283100</v>
      </c>
      <c r="G322" s="9">
        <v>1.4064934278816785E-2</v>
      </c>
      <c r="H322" s="9">
        <v>4.6572260916354753E-2</v>
      </c>
      <c r="I322" s="9">
        <v>6.9858391374532133E-2</v>
      </c>
      <c r="J322" s="10">
        <v>123992</v>
      </c>
      <c r="K322" s="10">
        <v>123992</v>
      </c>
      <c r="L322" s="10">
        <v>123992</v>
      </c>
      <c r="M322" s="10">
        <v>123992</v>
      </c>
      <c r="N322" s="10">
        <v>123992</v>
      </c>
      <c r="O322" s="10">
        <v>123992</v>
      </c>
      <c r="P322" s="10">
        <v>123992</v>
      </c>
      <c r="Q322" s="10">
        <v>123992</v>
      </c>
      <c r="R322" s="10">
        <v>123992</v>
      </c>
      <c r="S322" s="10">
        <v>123992</v>
      </c>
      <c r="T322" s="10">
        <v>123992</v>
      </c>
      <c r="V322" t="s">
        <v>456</v>
      </c>
      <c r="W322" t="s">
        <v>1624</v>
      </c>
      <c r="X322" t="s">
        <v>1625</v>
      </c>
      <c r="Y322" t="s">
        <v>941</v>
      </c>
      <c r="Z322" t="s">
        <v>942</v>
      </c>
      <c r="AB322" t="s">
        <v>541</v>
      </c>
      <c r="AC322" t="s">
        <v>540</v>
      </c>
      <c r="AD322" t="s">
        <v>943</v>
      </c>
      <c r="AF322" t="s">
        <v>944</v>
      </c>
      <c r="AG322" t="s">
        <v>945</v>
      </c>
      <c r="AH322" t="s">
        <v>946</v>
      </c>
      <c r="AI322" t="s">
        <v>947</v>
      </c>
      <c r="AJ322" t="s">
        <v>948</v>
      </c>
      <c r="AK322">
        <v>15</v>
      </c>
      <c r="AL322" s="10">
        <v>1685.6</v>
      </c>
      <c r="AM322" s="10">
        <v>3099.8</v>
      </c>
      <c r="AN322" s="10">
        <v>6283.1</v>
      </c>
      <c r="AO322" s="9">
        <v>0.17318708697894869</v>
      </c>
      <c r="AP322" s="9">
        <v>8.8974000000000011</v>
      </c>
      <c r="AQ322" s="9">
        <v>0.12880552754121349</v>
      </c>
      <c r="AR322" s="9">
        <v>13.936128751275575</v>
      </c>
      <c r="AS322" s="9">
        <v>14.064934278816786</v>
      </c>
      <c r="AT322" s="9">
        <v>0.70219741176266059</v>
      </c>
      <c r="AU322" s="9">
        <v>45.870063504592082</v>
      </c>
      <c r="AV322" s="9">
        <v>46.57226091635475</v>
      </c>
      <c r="AW322" s="11">
        <v>123.992</v>
      </c>
      <c r="AX322" s="11">
        <v>123.992</v>
      </c>
      <c r="AY322" t="s">
        <v>949</v>
      </c>
      <c r="AZ322" t="s">
        <v>950</v>
      </c>
      <c r="BA322" t="s">
        <v>951</v>
      </c>
      <c r="BB322" t="s">
        <v>952</v>
      </c>
      <c r="BC322" t="b">
        <v>1</v>
      </c>
    </row>
    <row r="323" spans="1:55">
      <c r="A323" t="s">
        <v>1626</v>
      </c>
      <c r="B323" t="s">
        <v>939</v>
      </c>
      <c r="C323">
        <v>7157900</v>
      </c>
      <c r="D323">
        <v>3892300</v>
      </c>
      <c r="E323">
        <v>7157900</v>
      </c>
      <c r="F323">
        <v>14508600</v>
      </c>
      <c r="G323" s="9">
        <v>3.8573374908183612E-2</v>
      </c>
      <c r="H323" s="9">
        <v>5.4498724871457058E-2</v>
      </c>
      <c r="I323" s="9">
        <v>8.174808730718558E-2</v>
      </c>
      <c r="J323" s="10">
        <v>286316</v>
      </c>
      <c r="K323" s="10">
        <v>286316</v>
      </c>
      <c r="L323" s="10">
        <v>286316</v>
      </c>
      <c r="M323" s="10">
        <v>286316</v>
      </c>
      <c r="N323" s="10">
        <v>286316</v>
      </c>
      <c r="O323" s="10">
        <v>286316</v>
      </c>
      <c r="P323" s="10">
        <v>286316</v>
      </c>
      <c r="Q323" s="10">
        <v>286316</v>
      </c>
      <c r="R323" s="10">
        <v>286316</v>
      </c>
      <c r="S323" s="10">
        <v>286316</v>
      </c>
      <c r="T323" s="10">
        <v>286316</v>
      </c>
      <c r="V323" t="s">
        <v>456</v>
      </c>
      <c r="W323" t="s">
        <v>1626</v>
      </c>
      <c r="X323" t="s">
        <v>1627</v>
      </c>
      <c r="Y323" t="s">
        <v>941</v>
      </c>
      <c r="Z323" t="s">
        <v>942</v>
      </c>
      <c r="AB323" t="s">
        <v>543</v>
      </c>
      <c r="AC323" t="s">
        <v>542</v>
      </c>
      <c r="AD323" t="s">
        <v>943</v>
      </c>
      <c r="AF323" t="s">
        <v>986</v>
      </c>
      <c r="AG323" t="s">
        <v>976</v>
      </c>
      <c r="AH323" t="s">
        <v>956</v>
      </c>
      <c r="AI323" t="s">
        <v>977</v>
      </c>
      <c r="AJ323" t="s">
        <v>1054</v>
      </c>
      <c r="AK323">
        <v>1</v>
      </c>
      <c r="AL323" s="10">
        <v>3892.3</v>
      </c>
      <c r="AM323" s="10">
        <v>7157.9</v>
      </c>
      <c r="AN323" s="10">
        <v>14508.6</v>
      </c>
      <c r="AO323" s="9">
        <v>0.18594053903862179</v>
      </c>
      <c r="AP323" s="9">
        <v>0.33460000000000001</v>
      </c>
      <c r="AQ323" s="9">
        <v>21.21337490818361</v>
      </c>
      <c r="AR323" s="9">
        <v>17.360000000000003</v>
      </c>
      <c r="AS323" s="9">
        <v>38.573374908183609</v>
      </c>
      <c r="AT323" s="9">
        <v>29.698724871457053</v>
      </c>
      <c r="AU323" s="9">
        <v>24.8</v>
      </c>
      <c r="AV323" s="9">
        <v>54.498724871457057</v>
      </c>
      <c r="AW323" s="11">
        <v>286.31599999999997</v>
      </c>
      <c r="AX323" s="11">
        <v>286.31599999999997</v>
      </c>
      <c r="AY323" t="s">
        <v>949</v>
      </c>
      <c r="AZ323" t="s">
        <v>950</v>
      </c>
      <c r="BA323" t="s">
        <v>951</v>
      </c>
      <c r="BB323" t="s">
        <v>952</v>
      </c>
      <c r="BC323" t="b">
        <v>1</v>
      </c>
    </row>
    <row r="324" spans="1:55">
      <c r="A324" t="s">
        <v>1628</v>
      </c>
      <c r="B324" t="s">
        <v>939</v>
      </c>
      <c r="C324">
        <v>6946900</v>
      </c>
      <c r="D324">
        <v>3777600</v>
      </c>
      <c r="E324">
        <v>6946900</v>
      </c>
      <c r="F324">
        <v>14081000</v>
      </c>
      <c r="G324" s="9">
        <v>3.382908738107205E-2</v>
      </c>
      <c r="H324" s="9">
        <v>5.2980722333500867E-2</v>
      </c>
      <c r="I324" s="9">
        <v>7.9471083500251297E-2</v>
      </c>
      <c r="J324" s="10">
        <v>277876</v>
      </c>
      <c r="K324" s="10">
        <v>277876</v>
      </c>
      <c r="L324" s="10">
        <v>277876</v>
      </c>
      <c r="M324" s="10">
        <v>277876</v>
      </c>
      <c r="N324" s="10">
        <v>277876</v>
      </c>
      <c r="O324" s="10">
        <v>277876</v>
      </c>
      <c r="P324" s="10">
        <v>277876</v>
      </c>
      <c r="Q324" s="10">
        <v>277876</v>
      </c>
      <c r="R324" s="10">
        <v>277876</v>
      </c>
      <c r="S324" s="10">
        <v>277876</v>
      </c>
      <c r="T324" s="10">
        <v>277876</v>
      </c>
      <c r="V324" t="s">
        <v>456</v>
      </c>
      <c r="W324" t="s">
        <v>1628</v>
      </c>
      <c r="X324" t="s">
        <v>1627</v>
      </c>
      <c r="Y324" t="s">
        <v>941</v>
      </c>
      <c r="Z324" t="s">
        <v>942</v>
      </c>
      <c r="AB324" t="s">
        <v>543</v>
      </c>
      <c r="AC324" t="s">
        <v>542</v>
      </c>
      <c r="AD324" t="s">
        <v>943</v>
      </c>
      <c r="AF324" t="s">
        <v>986</v>
      </c>
      <c r="AG324" t="s">
        <v>965</v>
      </c>
      <c r="AH324" t="s">
        <v>956</v>
      </c>
      <c r="AI324" t="s">
        <v>960</v>
      </c>
      <c r="AJ324" t="s">
        <v>1054</v>
      </c>
      <c r="AK324">
        <v>1</v>
      </c>
      <c r="AL324" s="10">
        <v>3777.6</v>
      </c>
      <c r="AM324" s="10">
        <v>6946.9</v>
      </c>
      <c r="AN324" s="10">
        <v>14081</v>
      </c>
      <c r="AO324" s="9">
        <v>0.29952764656849118</v>
      </c>
      <c r="AP324" s="9">
        <v>0.53900000000000003</v>
      </c>
      <c r="AQ324" s="9">
        <v>12.129087381072049</v>
      </c>
      <c r="AR324" s="9">
        <v>21.7</v>
      </c>
      <c r="AS324" s="9">
        <v>33.82908738107205</v>
      </c>
      <c r="AT324" s="9">
        <v>16.980722333500868</v>
      </c>
      <c r="AU324" s="9">
        <v>36</v>
      </c>
      <c r="AV324" s="9">
        <v>52.980722333500864</v>
      </c>
      <c r="AW324" s="11">
        <v>277.87599999999998</v>
      </c>
      <c r="AX324" s="11">
        <v>277.87599999999998</v>
      </c>
      <c r="AY324" t="s">
        <v>949</v>
      </c>
      <c r="AZ324" t="s">
        <v>950</v>
      </c>
      <c r="BA324" t="s">
        <v>951</v>
      </c>
      <c r="BB324" t="s">
        <v>952</v>
      </c>
      <c r="BC324" t="b">
        <v>1</v>
      </c>
    </row>
    <row r="325" spans="1:55">
      <c r="A325" t="s">
        <v>1629</v>
      </c>
      <c r="B325" t="s">
        <v>939</v>
      </c>
      <c r="C325">
        <v>500</v>
      </c>
      <c r="D325">
        <v>300</v>
      </c>
      <c r="E325">
        <v>500</v>
      </c>
      <c r="F325">
        <v>1000</v>
      </c>
      <c r="G325" s="9">
        <v>1.5949687223867151E-2</v>
      </c>
      <c r="H325" s="9">
        <v>3.5079562113414016E-2</v>
      </c>
      <c r="I325" s="9">
        <v>5.2619343170121027E-2</v>
      </c>
      <c r="J325" s="10">
        <v>20</v>
      </c>
      <c r="K325" s="10">
        <v>20</v>
      </c>
      <c r="L325" s="10">
        <v>20</v>
      </c>
      <c r="M325" s="10">
        <v>20</v>
      </c>
      <c r="N325" s="10">
        <v>20</v>
      </c>
      <c r="O325" s="10">
        <v>20</v>
      </c>
      <c r="P325" s="10">
        <v>20</v>
      </c>
      <c r="Q325" s="10">
        <v>20</v>
      </c>
      <c r="R325" s="10">
        <v>20</v>
      </c>
      <c r="S325" s="10">
        <v>20</v>
      </c>
      <c r="T325" s="10">
        <v>20</v>
      </c>
      <c r="V325" t="s">
        <v>456</v>
      </c>
      <c r="W325" t="s">
        <v>1629</v>
      </c>
      <c r="X325" t="s">
        <v>1630</v>
      </c>
      <c r="Y325" t="s">
        <v>941</v>
      </c>
      <c r="Z325" t="s">
        <v>942</v>
      </c>
      <c r="AB325" t="s">
        <v>543</v>
      </c>
      <c r="AC325" t="s">
        <v>542</v>
      </c>
      <c r="AD325" t="s">
        <v>943</v>
      </c>
      <c r="AF325" t="s">
        <v>944</v>
      </c>
      <c r="AG325" t="s">
        <v>965</v>
      </c>
      <c r="AH325" t="s">
        <v>956</v>
      </c>
      <c r="AI325" t="s">
        <v>960</v>
      </c>
      <c r="AJ325" t="s">
        <v>948</v>
      </c>
      <c r="AK325">
        <v>1</v>
      </c>
      <c r="AL325" s="10">
        <v>0.3</v>
      </c>
      <c r="AM325" s="10">
        <v>0.5</v>
      </c>
      <c r="AN325" s="10">
        <v>1</v>
      </c>
      <c r="AO325" s="9">
        <v>0.2386774103917754</v>
      </c>
      <c r="AP325" s="9">
        <v>0.42949999999999999</v>
      </c>
      <c r="AQ325" s="9">
        <v>8.1996872238671532</v>
      </c>
      <c r="AR325" s="9">
        <v>7.7499999999999991</v>
      </c>
      <c r="AS325" s="9">
        <v>15.949687223867151</v>
      </c>
      <c r="AT325" s="9">
        <v>11.479562113414014</v>
      </c>
      <c r="AU325" s="9">
        <v>23.6</v>
      </c>
      <c r="AV325" s="9">
        <v>35.079562113414013</v>
      </c>
      <c r="AW325" s="11">
        <v>0.02</v>
      </c>
      <c r="AX325" s="11">
        <v>0.02</v>
      </c>
      <c r="AY325" t="s">
        <v>949</v>
      </c>
      <c r="AZ325" t="s">
        <v>950</v>
      </c>
      <c r="BA325" t="s">
        <v>951</v>
      </c>
      <c r="BB325" t="s">
        <v>952</v>
      </c>
      <c r="BC325" t="b">
        <v>1</v>
      </c>
    </row>
    <row r="326" spans="1:55">
      <c r="A326" t="s">
        <v>1631</v>
      </c>
      <c r="B326" t="s">
        <v>939</v>
      </c>
      <c r="C326">
        <v>5200</v>
      </c>
      <c r="D326">
        <v>2800</v>
      </c>
      <c r="E326">
        <v>5200</v>
      </c>
      <c r="F326">
        <v>10500</v>
      </c>
      <c r="G326" s="9">
        <v>2.2066688453006092E-2</v>
      </c>
      <c r="H326" s="9">
        <v>5.8629973848879885E-2</v>
      </c>
      <c r="I326" s="9">
        <v>8.7944960773319827E-2</v>
      </c>
      <c r="J326" s="10">
        <v>208</v>
      </c>
      <c r="K326" s="10">
        <v>208</v>
      </c>
      <c r="L326" s="10">
        <v>208</v>
      </c>
      <c r="M326" s="10">
        <v>208</v>
      </c>
      <c r="N326" s="10">
        <v>208</v>
      </c>
      <c r="O326" s="10">
        <v>208</v>
      </c>
      <c r="P326" s="10">
        <v>208</v>
      </c>
      <c r="Q326" s="10">
        <v>208</v>
      </c>
      <c r="R326" s="10">
        <v>208</v>
      </c>
      <c r="S326" s="10">
        <v>208</v>
      </c>
      <c r="T326" s="10">
        <v>208</v>
      </c>
      <c r="V326" t="s">
        <v>456</v>
      </c>
      <c r="W326" t="s">
        <v>1631</v>
      </c>
      <c r="X326" t="s">
        <v>1630</v>
      </c>
      <c r="Y326" t="s">
        <v>941</v>
      </c>
      <c r="Z326" t="s">
        <v>942</v>
      </c>
      <c r="AB326" t="s">
        <v>543</v>
      </c>
      <c r="AC326" t="s">
        <v>542</v>
      </c>
      <c r="AD326" t="s">
        <v>943</v>
      </c>
      <c r="AF326" t="s">
        <v>944</v>
      </c>
      <c r="AG326" t="s">
        <v>955</v>
      </c>
      <c r="AH326" t="s">
        <v>956</v>
      </c>
      <c r="AI326" t="s">
        <v>947</v>
      </c>
      <c r="AJ326" t="s">
        <v>948</v>
      </c>
      <c r="AK326">
        <v>1</v>
      </c>
      <c r="AL326" s="10">
        <v>2.8</v>
      </c>
      <c r="AM326" s="10">
        <v>5.2</v>
      </c>
      <c r="AN326" s="10">
        <v>10.5</v>
      </c>
      <c r="AO326" s="9">
        <v>0.27585440400111139</v>
      </c>
      <c r="AP326" s="9">
        <v>0.49640000000000001</v>
      </c>
      <c r="AQ326" s="9">
        <v>7.5045929917918412</v>
      </c>
      <c r="AR326" s="9">
        <v>14.56209546121425</v>
      </c>
      <c r="AS326" s="9">
        <v>22.06668845300609</v>
      </c>
      <c r="AT326" s="9">
        <v>10.506430188508578</v>
      </c>
      <c r="AU326" s="9">
        <v>48.123543660371311</v>
      </c>
      <c r="AV326" s="9">
        <v>58.629973848879885</v>
      </c>
      <c r="AW326" s="11">
        <v>0.20799999999999999</v>
      </c>
      <c r="AX326" s="11">
        <v>0.20799999999999999</v>
      </c>
      <c r="AY326" t="s">
        <v>949</v>
      </c>
      <c r="AZ326" t="s">
        <v>950</v>
      </c>
      <c r="BA326" t="s">
        <v>951</v>
      </c>
      <c r="BB326" t="s">
        <v>952</v>
      </c>
      <c r="BC326" t="b">
        <v>1</v>
      </c>
    </row>
    <row r="327" spans="1:55">
      <c r="A327" t="s">
        <v>1632</v>
      </c>
      <c r="B327" t="s">
        <v>939</v>
      </c>
      <c r="C327">
        <v>4896400</v>
      </c>
      <c r="D327">
        <v>2662500</v>
      </c>
      <c r="E327">
        <v>4896400</v>
      </c>
      <c r="F327">
        <v>9924700</v>
      </c>
      <c r="G327" s="9">
        <v>1.49972262144336E-2</v>
      </c>
      <c r="H327" s="9">
        <v>4.9917278895696901E-2</v>
      </c>
      <c r="I327" s="9">
        <v>7.4875918343545345E-2</v>
      </c>
      <c r="J327" s="10">
        <v>175958.89841061539</v>
      </c>
      <c r="K327" s="10">
        <v>171886.43049513013</v>
      </c>
      <c r="L327" s="10">
        <v>167813.96257964484</v>
      </c>
      <c r="M327" s="10">
        <v>163741.49466415957</v>
      </c>
      <c r="N327" s="10">
        <v>159669.02674867431</v>
      </c>
      <c r="O327" s="10">
        <v>155596.55883318902</v>
      </c>
      <c r="P327" s="10">
        <v>147451.62300221846</v>
      </c>
      <c r="Q327" s="10">
        <v>139306.6871712479</v>
      </c>
      <c r="R327" s="10">
        <v>131161.75134027738</v>
      </c>
      <c r="S327" s="10">
        <v>123016.81550930679</v>
      </c>
      <c r="T327" s="10">
        <v>114871.87967833625</v>
      </c>
      <c r="V327" t="s">
        <v>456</v>
      </c>
      <c r="W327" t="s">
        <v>1632</v>
      </c>
      <c r="X327" t="s">
        <v>1633</v>
      </c>
      <c r="Y327" t="s">
        <v>941</v>
      </c>
      <c r="Z327" t="s">
        <v>942</v>
      </c>
      <c r="AB327" t="s">
        <v>58</v>
      </c>
      <c r="AC327" t="s">
        <v>58</v>
      </c>
      <c r="AD327" t="s">
        <v>943</v>
      </c>
      <c r="AF327" t="s">
        <v>944</v>
      </c>
      <c r="AG327" t="s">
        <v>945</v>
      </c>
      <c r="AH327" t="s">
        <v>946</v>
      </c>
      <c r="AI327" t="s">
        <v>947</v>
      </c>
      <c r="AJ327" t="s">
        <v>948</v>
      </c>
      <c r="AK327">
        <v>33</v>
      </c>
      <c r="AL327" s="10">
        <v>2662.5</v>
      </c>
      <c r="AM327" s="10">
        <v>4896.3999999999996</v>
      </c>
      <c r="AN327" s="10">
        <v>9924.7000000000007</v>
      </c>
      <c r="AO327" s="9">
        <v>1</v>
      </c>
      <c r="AP327" s="9">
        <v>18.448799999999999</v>
      </c>
      <c r="AQ327" s="9">
        <v>0.1701491373565239</v>
      </c>
      <c r="AR327" s="9">
        <v>14.827077077077076</v>
      </c>
      <c r="AS327" s="9">
        <v>14.997226214433599</v>
      </c>
      <c r="AT327" s="9">
        <v>0.83980141821941545</v>
      </c>
      <c r="AU327" s="9">
        <v>49.077477477477487</v>
      </c>
      <c r="AV327" s="9">
        <v>49.917278895696903</v>
      </c>
      <c r="AW327" s="11">
        <v>175.9588984106154</v>
      </c>
      <c r="AX327" s="11">
        <v>114.87187967833624</v>
      </c>
      <c r="AY327" t="s">
        <v>949</v>
      </c>
      <c r="AZ327" t="s">
        <v>950</v>
      </c>
      <c r="BA327" t="s">
        <v>951</v>
      </c>
      <c r="BB327" t="s">
        <v>970</v>
      </c>
      <c r="BC327" t="b">
        <v>1</v>
      </c>
    </row>
    <row r="328" spans="1:55">
      <c r="A328" t="s">
        <v>1634</v>
      </c>
      <c r="B328" t="s">
        <v>939</v>
      </c>
      <c r="C328">
        <v>23300</v>
      </c>
      <c r="D328">
        <v>17900</v>
      </c>
      <c r="E328">
        <v>23300</v>
      </c>
      <c r="F328">
        <v>39200</v>
      </c>
      <c r="G328" s="9">
        <v>4.924763427957145E-3</v>
      </c>
      <c r="H328" s="9">
        <v>1.036666879914E-2</v>
      </c>
      <c r="I328" s="9">
        <v>1.555000319871E-2</v>
      </c>
      <c r="J328" s="10">
        <v>932</v>
      </c>
      <c r="K328" s="10">
        <v>932</v>
      </c>
      <c r="L328" s="10">
        <v>932</v>
      </c>
      <c r="M328" s="10">
        <v>932</v>
      </c>
      <c r="N328" s="10">
        <v>932</v>
      </c>
      <c r="O328" s="10">
        <v>932</v>
      </c>
      <c r="P328" s="10">
        <v>932</v>
      </c>
      <c r="Q328" s="10">
        <v>932</v>
      </c>
      <c r="R328" s="10">
        <v>932</v>
      </c>
      <c r="S328" s="10">
        <v>932</v>
      </c>
      <c r="T328" s="10">
        <v>932</v>
      </c>
      <c r="V328" t="s">
        <v>456</v>
      </c>
      <c r="W328" t="s">
        <v>1634</v>
      </c>
      <c r="X328" t="s">
        <v>1635</v>
      </c>
      <c r="Y328" t="s">
        <v>941</v>
      </c>
      <c r="Z328" t="s">
        <v>942</v>
      </c>
      <c r="AB328" t="s">
        <v>1636</v>
      </c>
      <c r="AC328" t="s">
        <v>1637</v>
      </c>
      <c r="AD328" t="s">
        <v>968</v>
      </c>
      <c r="AF328" t="s">
        <v>944</v>
      </c>
      <c r="AG328" t="s">
        <v>999</v>
      </c>
      <c r="AH328" t="s">
        <v>946</v>
      </c>
      <c r="AI328" t="s">
        <v>977</v>
      </c>
      <c r="AJ328" t="s">
        <v>948</v>
      </c>
      <c r="AK328">
        <v>1</v>
      </c>
      <c r="AL328" s="10">
        <v>17.899999999999999</v>
      </c>
      <c r="AM328" s="10">
        <v>23.3</v>
      </c>
      <c r="AN328" s="10">
        <v>39.200000000000003</v>
      </c>
      <c r="AO328" s="9">
        <v>0.16412768889229121</v>
      </c>
      <c r="AP328" s="9">
        <v>0.85760000000000003</v>
      </c>
      <c r="AQ328" s="9">
        <v>1.2047634279571442</v>
      </c>
      <c r="AR328" s="9">
        <v>3.7200000000000006</v>
      </c>
      <c r="AS328" s="9">
        <v>4.9247634279571448</v>
      </c>
      <c r="AT328" s="9">
        <v>1.6866687991400018</v>
      </c>
      <c r="AU328" s="9">
        <v>8.6800000000000015</v>
      </c>
      <c r="AV328" s="9">
        <v>10.366668799139999</v>
      </c>
      <c r="AW328" s="11">
        <v>0.93200000000000005</v>
      </c>
      <c r="AX328" s="11">
        <v>0.93200000000000005</v>
      </c>
      <c r="AY328" t="s">
        <v>969</v>
      </c>
      <c r="AZ328" t="s">
        <v>950</v>
      </c>
      <c r="BA328" t="s">
        <v>951</v>
      </c>
      <c r="BB328" t="s">
        <v>952</v>
      </c>
      <c r="BC328" t="b">
        <v>1</v>
      </c>
    </row>
    <row r="329" spans="1:55">
      <c r="A329" t="s">
        <v>1638</v>
      </c>
      <c r="B329" t="s">
        <v>939</v>
      </c>
      <c r="C329">
        <v>105700</v>
      </c>
      <c r="D329">
        <v>81200</v>
      </c>
      <c r="E329">
        <v>105700</v>
      </c>
      <c r="F329">
        <v>178000</v>
      </c>
      <c r="G329" s="9">
        <v>7.1713230570717408E-3</v>
      </c>
      <c r="H329" s="9">
        <v>1.3511852279900437E-2</v>
      </c>
      <c r="I329" s="9">
        <v>2.0267778419850654E-2</v>
      </c>
      <c r="J329" s="10">
        <v>4228</v>
      </c>
      <c r="K329" s="10">
        <v>4228</v>
      </c>
      <c r="L329" s="10">
        <v>4228</v>
      </c>
      <c r="M329" s="10">
        <v>4228</v>
      </c>
      <c r="N329" s="10">
        <v>4228</v>
      </c>
      <c r="O329" s="10">
        <v>4228</v>
      </c>
      <c r="P329" s="10">
        <v>4228</v>
      </c>
      <c r="Q329" s="10">
        <v>4228</v>
      </c>
      <c r="R329" s="10">
        <v>4228</v>
      </c>
      <c r="S329" s="10">
        <v>4228</v>
      </c>
      <c r="T329" s="10">
        <v>4228</v>
      </c>
      <c r="V329" t="s">
        <v>456</v>
      </c>
      <c r="W329" t="s">
        <v>1638</v>
      </c>
      <c r="X329" t="s">
        <v>1639</v>
      </c>
      <c r="Y329" t="s">
        <v>941</v>
      </c>
      <c r="Z329" t="s">
        <v>942</v>
      </c>
      <c r="AB329" t="s">
        <v>1636</v>
      </c>
      <c r="AC329" t="s">
        <v>1637</v>
      </c>
      <c r="AD329" t="s">
        <v>968</v>
      </c>
      <c r="AF329" t="s">
        <v>944</v>
      </c>
      <c r="AG329" t="s">
        <v>976</v>
      </c>
      <c r="AH329" t="s">
        <v>956</v>
      </c>
      <c r="AI329" t="s">
        <v>977</v>
      </c>
      <c r="AJ329" t="s">
        <v>948</v>
      </c>
      <c r="AK329">
        <v>1</v>
      </c>
      <c r="AL329" s="10">
        <v>81.2</v>
      </c>
      <c r="AM329" s="10">
        <v>105.7</v>
      </c>
      <c r="AN329" s="10">
        <v>178</v>
      </c>
      <c r="AO329" s="9">
        <v>0.74611498124473707</v>
      </c>
      <c r="AP329" s="9">
        <v>3.8986000000000001</v>
      </c>
      <c r="AQ329" s="9">
        <v>3.4513230570717406</v>
      </c>
      <c r="AR329" s="9">
        <v>3.7200000000000006</v>
      </c>
      <c r="AS329" s="9">
        <v>7.1713230570717412</v>
      </c>
      <c r="AT329" s="9">
        <v>4.8318522799004375</v>
      </c>
      <c r="AU329" s="9">
        <v>8.6800000000000015</v>
      </c>
      <c r="AV329" s="9">
        <v>13.511852279900438</v>
      </c>
      <c r="AW329" s="11">
        <v>4.2279999999999998</v>
      </c>
      <c r="AX329" s="11">
        <v>4.2279999999999998</v>
      </c>
      <c r="AY329" t="s">
        <v>969</v>
      </c>
      <c r="AZ329" t="s">
        <v>950</v>
      </c>
      <c r="BA329" t="s">
        <v>951</v>
      </c>
      <c r="BB329" t="s">
        <v>952</v>
      </c>
      <c r="BC329" t="b">
        <v>1</v>
      </c>
    </row>
    <row r="330" spans="1:55">
      <c r="A330" t="s">
        <v>1640</v>
      </c>
      <c r="B330" t="s">
        <v>939</v>
      </c>
      <c r="C330">
        <v>5158800</v>
      </c>
      <c r="D330">
        <v>2805300</v>
      </c>
      <c r="E330">
        <v>5158800</v>
      </c>
      <c r="F330">
        <v>10456600</v>
      </c>
      <c r="G330" s="9">
        <v>1.5078427052339577E-2</v>
      </c>
      <c r="H330" s="9"/>
      <c r="I330" s="9"/>
      <c r="J330" s="10">
        <v>206352</v>
      </c>
      <c r="K330" s="10">
        <v>206352</v>
      </c>
      <c r="L330" s="10">
        <v>206352</v>
      </c>
      <c r="M330" s="10">
        <v>206352</v>
      </c>
      <c r="N330" s="10">
        <v>206352</v>
      </c>
      <c r="O330" s="10">
        <v>206352</v>
      </c>
      <c r="P330" s="10">
        <v>206352</v>
      </c>
      <c r="Q330" s="10">
        <v>206352</v>
      </c>
      <c r="R330" s="10">
        <v>206352</v>
      </c>
      <c r="S330" s="10">
        <v>206352</v>
      </c>
      <c r="T330" s="10">
        <v>206352</v>
      </c>
      <c r="V330" t="s">
        <v>456</v>
      </c>
      <c r="W330" t="s">
        <v>1640</v>
      </c>
      <c r="X330" t="s">
        <v>1641</v>
      </c>
      <c r="Y330" t="s">
        <v>941</v>
      </c>
      <c r="Z330" t="s">
        <v>942</v>
      </c>
      <c r="AB330" t="s">
        <v>1636</v>
      </c>
      <c r="AC330" t="s">
        <v>1637</v>
      </c>
      <c r="AD330" t="s">
        <v>943</v>
      </c>
      <c r="AF330" t="s">
        <v>944</v>
      </c>
      <c r="AG330" t="s">
        <v>945</v>
      </c>
      <c r="AH330" t="s">
        <v>946</v>
      </c>
      <c r="AI330" t="s">
        <v>947</v>
      </c>
      <c r="AJ330" t="s">
        <v>948</v>
      </c>
      <c r="AK330">
        <v>1</v>
      </c>
      <c r="AL330" s="10">
        <v>2805.3</v>
      </c>
      <c r="AM330" s="10">
        <v>5158.8</v>
      </c>
      <c r="AN330" s="10">
        <v>10456.6</v>
      </c>
      <c r="AO330" s="9">
        <v>8.9757329862971705E-2</v>
      </c>
      <c r="AP330" s="9">
        <v>0.46899999999999997</v>
      </c>
      <c r="AQ330" s="9">
        <v>0.56797318488624415</v>
      </c>
      <c r="AR330" s="9">
        <v>14.510453867453334</v>
      </c>
      <c r="AS330" s="9">
        <v>15.078427052339578</v>
      </c>
      <c r="AT330" s="9"/>
      <c r="AU330" s="9"/>
      <c r="AV330" s="9"/>
      <c r="AW330" s="11">
        <v>206.352</v>
      </c>
      <c r="AX330" s="11">
        <v>206.352</v>
      </c>
      <c r="AY330" t="s">
        <v>949</v>
      </c>
      <c r="AZ330" t="s">
        <v>950</v>
      </c>
      <c r="BA330" t="s">
        <v>951</v>
      </c>
      <c r="BB330" t="s">
        <v>952</v>
      </c>
      <c r="BC330" t="b">
        <v>0</v>
      </c>
    </row>
    <row r="331" spans="1:55">
      <c r="A331" t="s">
        <v>1642</v>
      </c>
      <c r="B331" t="s">
        <v>939</v>
      </c>
      <c r="C331">
        <v>3334800</v>
      </c>
      <c r="D331">
        <v>1813400</v>
      </c>
      <c r="E331">
        <v>3334800</v>
      </c>
      <c r="F331">
        <v>6759500</v>
      </c>
      <c r="G331" s="9">
        <v>7.9246339433154435E-3</v>
      </c>
      <c r="H331" s="9">
        <v>2.3966144640383987E-2</v>
      </c>
      <c r="I331" s="9">
        <v>3.5949216960575979E-2</v>
      </c>
      <c r="J331" s="10">
        <v>133392</v>
      </c>
      <c r="K331" s="10">
        <v>131063.39615168756</v>
      </c>
      <c r="L331" s="10">
        <v>128734.79230337511</v>
      </c>
      <c r="M331" s="10">
        <v>126406.18845506269</v>
      </c>
      <c r="N331" s="10">
        <v>124077.58460675026</v>
      </c>
      <c r="O331" s="10">
        <v>121748.98075843781</v>
      </c>
      <c r="P331" s="10">
        <v>117091.77306181294</v>
      </c>
      <c r="Q331" s="10">
        <v>112434.56536518806</v>
      </c>
      <c r="R331" s="10">
        <v>107777.35766856319</v>
      </c>
      <c r="S331" s="10">
        <v>103120.1499719383</v>
      </c>
      <c r="T331" s="10">
        <v>98462.942275313442</v>
      </c>
      <c r="V331" t="s">
        <v>456</v>
      </c>
      <c r="W331" t="s">
        <v>1642</v>
      </c>
      <c r="X331" t="s">
        <v>1643</v>
      </c>
      <c r="Y331" t="s">
        <v>941</v>
      </c>
      <c r="Z331" t="s">
        <v>942</v>
      </c>
      <c r="AB331" t="s">
        <v>545</v>
      </c>
      <c r="AC331" t="s">
        <v>544</v>
      </c>
      <c r="AD331" t="s">
        <v>943</v>
      </c>
      <c r="AF331" t="s">
        <v>944</v>
      </c>
      <c r="AG331" t="s">
        <v>959</v>
      </c>
      <c r="AH331" t="s">
        <v>946</v>
      </c>
      <c r="AI331" t="s">
        <v>960</v>
      </c>
      <c r="AJ331" t="s">
        <v>948</v>
      </c>
      <c r="AK331">
        <v>16</v>
      </c>
      <c r="AL331" s="10">
        <v>1813.4</v>
      </c>
      <c r="AM331" s="10">
        <v>3334.8</v>
      </c>
      <c r="AN331" s="10">
        <v>6759.5</v>
      </c>
      <c r="AO331" s="9">
        <v>0.63543112243900723</v>
      </c>
      <c r="AP331" s="9">
        <v>16.254899999999999</v>
      </c>
      <c r="AQ331" s="9">
        <v>0.17463394331544371</v>
      </c>
      <c r="AR331" s="9">
        <v>7.75</v>
      </c>
      <c r="AS331" s="9">
        <v>7.9246339433154436</v>
      </c>
      <c r="AT331" s="9">
        <v>0.36614464038398919</v>
      </c>
      <c r="AU331" s="9">
        <v>23.6</v>
      </c>
      <c r="AV331" s="9">
        <v>23.966144640383988</v>
      </c>
      <c r="AW331" s="11">
        <v>133.392</v>
      </c>
      <c r="AX331" s="11">
        <v>98.462942275313438</v>
      </c>
      <c r="AY331" t="s">
        <v>949</v>
      </c>
      <c r="AZ331" t="s">
        <v>950</v>
      </c>
      <c r="BA331" t="s">
        <v>951</v>
      </c>
      <c r="BB331" t="s">
        <v>952</v>
      </c>
      <c r="BC331" t="b">
        <v>1</v>
      </c>
    </row>
    <row r="332" spans="1:55">
      <c r="A332" t="s">
        <v>1644</v>
      </c>
      <c r="B332" t="s">
        <v>939</v>
      </c>
      <c r="C332">
        <v>14145500</v>
      </c>
      <c r="D332">
        <v>7692000</v>
      </c>
      <c r="E332">
        <v>14145500</v>
      </c>
      <c r="F332">
        <v>28672100</v>
      </c>
      <c r="G332" s="9">
        <v>1.3882726390590608E-2</v>
      </c>
      <c r="H332" s="9"/>
      <c r="I332" s="9"/>
      <c r="J332" s="10">
        <v>565820</v>
      </c>
      <c r="K332" s="10">
        <v>555942.56634991511</v>
      </c>
      <c r="L332" s="10">
        <v>546065.13269982999</v>
      </c>
      <c r="M332" s="10">
        <v>536187.69904974487</v>
      </c>
      <c r="N332" s="10">
        <v>526310.26539965987</v>
      </c>
      <c r="O332" s="10">
        <v>516432.83174957492</v>
      </c>
      <c r="P332" s="10">
        <v>496677.9644494048</v>
      </c>
      <c r="Q332" s="10">
        <v>476923.09714923473</v>
      </c>
      <c r="R332" s="10">
        <v>457168.22984906461</v>
      </c>
      <c r="S332" s="10">
        <v>437413.36254889454</v>
      </c>
      <c r="T332" s="10">
        <v>417658.49524872447</v>
      </c>
      <c r="V332" t="s">
        <v>456</v>
      </c>
      <c r="W332" t="s">
        <v>1644</v>
      </c>
      <c r="X332" t="s">
        <v>1645</v>
      </c>
      <c r="Y332" t="s">
        <v>941</v>
      </c>
      <c r="Z332" t="s">
        <v>942</v>
      </c>
      <c r="AB332" t="s">
        <v>545</v>
      </c>
      <c r="AC332" t="s">
        <v>544</v>
      </c>
      <c r="AD332" t="s">
        <v>943</v>
      </c>
      <c r="AF332" t="s">
        <v>944</v>
      </c>
      <c r="AG332" t="s">
        <v>945</v>
      </c>
      <c r="AH332" t="s">
        <v>946</v>
      </c>
      <c r="AI332" t="s">
        <v>947</v>
      </c>
      <c r="AJ332" t="s">
        <v>948</v>
      </c>
      <c r="AK332">
        <v>1</v>
      </c>
      <c r="AL332" s="10">
        <v>7692</v>
      </c>
      <c r="AM332" s="10">
        <v>14145.5</v>
      </c>
      <c r="AN332" s="10">
        <v>28672.1</v>
      </c>
      <c r="AO332" s="9">
        <v>1.06212056651642E-2</v>
      </c>
      <c r="AP332" s="9">
        <v>0.2717</v>
      </c>
      <c r="AQ332" s="9">
        <v>0.76355605040429697</v>
      </c>
      <c r="AR332" s="9">
        <v>13.11917034018631</v>
      </c>
      <c r="AS332" s="9">
        <v>13.882726390590609</v>
      </c>
      <c r="AT332" s="9"/>
      <c r="AU332" s="9"/>
      <c r="AV332" s="9"/>
      <c r="AW332" s="11">
        <v>565.82000000000005</v>
      </c>
      <c r="AX332" s="11">
        <v>417.65849524872448</v>
      </c>
      <c r="AY332" t="s">
        <v>949</v>
      </c>
      <c r="AZ332" t="s">
        <v>950</v>
      </c>
      <c r="BA332" t="s">
        <v>951</v>
      </c>
      <c r="BB332" t="s">
        <v>952</v>
      </c>
      <c r="BC332" t="b">
        <v>0</v>
      </c>
    </row>
    <row r="333" spans="1:55">
      <c r="A333" t="s">
        <v>1646</v>
      </c>
      <c r="B333" t="s">
        <v>939</v>
      </c>
      <c r="C333">
        <v>1857600</v>
      </c>
      <c r="D333">
        <v>1010100</v>
      </c>
      <c r="E333">
        <v>1857600</v>
      </c>
      <c r="F333">
        <v>3765200</v>
      </c>
      <c r="G333" s="9">
        <v>9.2268248559222148E-3</v>
      </c>
      <c r="H333" s="9">
        <v>3.0075851200693945E-2</v>
      </c>
      <c r="I333" s="9">
        <v>4.5113776801040915E-2</v>
      </c>
      <c r="J333" s="10">
        <v>74304</v>
      </c>
      <c r="K333" s="10">
        <v>73006.886377406394</v>
      </c>
      <c r="L333" s="10">
        <v>71709.772754812773</v>
      </c>
      <c r="M333" s="10">
        <v>70412.659132219167</v>
      </c>
      <c r="N333" s="10">
        <v>69115.545509625546</v>
      </c>
      <c r="O333" s="10">
        <v>67818.43188703194</v>
      </c>
      <c r="P333" s="10">
        <v>65224.204641844706</v>
      </c>
      <c r="Q333" s="10">
        <v>62629.977396657479</v>
      </c>
      <c r="R333" s="10">
        <v>60035.750151470253</v>
      </c>
      <c r="S333" s="10">
        <v>57441.522906283026</v>
      </c>
      <c r="T333" s="10">
        <v>54847.295661095799</v>
      </c>
      <c r="V333" t="s">
        <v>456</v>
      </c>
      <c r="W333" t="s">
        <v>1646</v>
      </c>
      <c r="X333" t="s">
        <v>1647</v>
      </c>
      <c r="Y333" t="s">
        <v>941</v>
      </c>
      <c r="Z333" t="s">
        <v>942</v>
      </c>
      <c r="AB333" t="s">
        <v>545</v>
      </c>
      <c r="AC333" t="s">
        <v>544</v>
      </c>
      <c r="AD333" t="s">
        <v>943</v>
      </c>
      <c r="AF333" t="s">
        <v>944</v>
      </c>
      <c r="AG333" t="s">
        <v>965</v>
      </c>
      <c r="AH333" t="s">
        <v>956</v>
      </c>
      <c r="AI333" t="s">
        <v>960</v>
      </c>
      <c r="AJ333" t="s">
        <v>948</v>
      </c>
      <c r="AK333">
        <v>8</v>
      </c>
      <c r="AL333" s="10">
        <v>1010.1</v>
      </c>
      <c r="AM333" s="10">
        <v>1857.6</v>
      </c>
      <c r="AN333" s="10">
        <v>3765.2</v>
      </c>
      <c r="AO333" s="9">
        <v>0.3539476718958286</v>
      </c>
      <c r="AP333" s="9">
        <v>9.0542999999999996</v>
      </c>
      <c r="AQ333" s="9">
        <v>1.4768248559222179</v>
      </c>
      <c r="AR333" s="9">
        <v>7.75</v>
      </c>
      <c r="AS333" s="9">
        <v>9.2268248559222155</v>
      </c>
      <c r="AT333" s="9">
        <v>6.475851200693941</v>
      </c>
      <c r="AU333" s="9">
        <v>23.6</v>
      </c>
      <c r="AV333" s="9">
        <v>30.075851200693943</v>
      </c>
      <c r="AW333" s="11">
        <v>74.304000000000002</v>
      </c>
      <c r="AX333" s="11">
        <v>54.847295661095799</v>
      </c>
      <c r="AY333" t="s">
        <v>949</v>
      </c>
      <c r="AZ333" t="s">
        <v>950</v>
      </c>
      <c r="BA333" t="s">
        <v>951</v>
      </c>
      <c r="BB333" t="s">
        <v>952</v>
      </c>
      <c r="BC333" t="b">
        <v>1</v>
      </c>
    </row>
    <row r="334" spans="1:55">
      <c r="A334" t="s">
        <v>1648</v>
      </c>
      <c r="B334" t="s">
        <v>939</v>
      </c>
      <c r="C334">
        <v>344700</v>
      </c>
      <c r="D334">
        <v>264500</v>
      </c>
      <c r="E334">
        <v>344700</v>
      </c>
      <c r="F334">
        <v>580300</v>
      </c>
      <c r="G334" s="9">
        <v>4.0698356545051167E-3</v>
      </c>
      <c r="H334" s="9">
        <v>9.9826060233261914E-3</v>
      </c>
      <c r="I334" s="9">
        <v>1.4973909034989286E-2</v>
      </c>
      <c r="J334" s="10">
        <v>211.6449119793902</v>
      </c>
      <c r="K334" s="10">
        <v>211.6449119793902</v>
      </c>
      <c r="L334" s="10">
        <v>211.6449119793902</v>
      </c>
      <c r="M334" s="10">
        <v>211.6449119793902</v>
      </c>
      <c r="N334" s="10">
        <v>211.6449119793902</v>
      </c>
      <c r="O334" s="10">
        <v>211.6449119793902</v>
      </c>
      <c r="P334" s="10">
        <v>211.6449119793902</v>
      </c>
      <c r="Q334" s="10">
        <v>211.6449119793902</v>
      </c>
      <c r="R334" s="10">
        <v>211.6449119793902</v>
      </c>
      <c r="S334" s="10">
        <v>211.6449119793902</v>
      </c>
      <c r="T334" s="10">
        <v>211.6449119793902</v>
      </c>
      <c r="V334" t="s">
        <v>456</v>
      </c>
      <c r="W334" t="s">
        <v>1648</v>
      </c>
      <c r="X334" t="s">
        <v>1649</v>
      </c>
      <c r="Y334" t="s">
        <v>941</v>
      </c>
      <c r="Z334" t="s">
        <v>942</v>
      </c>
      <c r="AB334" t="s">
        <v>119</v>
      </c>
      <c r="AC334" t="s">
        <v>59</v>
      </c>
      <c r="AD334" t="s">
        <v>968</v>
      </c>
      <c r="AF334" t="s">
        <v>944</v>
      </c>
      <c r="AG334" t="s">
        <v>999</v>
      </c>
      <c r="AH334" t="s">
        <v>946</v>
      </c>
      <c r="AI334" t="s">
        <v>977</v>
      </c>
      <c r="AJ334" t="s">
        <v>948</v>
      </c>
      <c r="AK334">
        <v>6</v>
      </c>
      <c r="AL334" s="10">
        <v>264.5</v>
      </c>
      <c r="AM334" s="10">
        <v>344.7</v>
      </c>
      <c r="AN334" s="10">
        <v>580.29999999999995</v>
      </c>
      <c r="AO334" s="9">
        <v>8.7208906727968494E-2</v>
      </c>
      <c r="AP334" s="9">
        <v>11.919600000000001</v>
      </c>
      <c r="AQ334" s="9">
        <v>0.349835654505116</v>
      </c>
      <c r="AR334" s="9">
        <v>3.7200000000000006</v>
      </c>
      <c r="AS334" s="9">
        <v>4.0698356545051171</v>
      </c>
      <c r="AT334" s="9">
        <v>1.3026060233261909</v>
      </c>
      <c r="AU334" s="9">
        <v>8.68</v>
      </c>
      <c r="AV334" s="9">
        <v>9.9826060233261913</v>
      </c>
      <c r="AW334" s="11">
        <v>0.2116449119793902</v>
      </c>
      <c r="AX334" s="11">
        <v>0.2116449119793902</v>
      </c>
      <c r="AY334" t="s">
        <v>969</v>
      </c>
      <c r="AZ334" t="s">
        <v>950</v>
      </c>
      <c r="BA334" t="s">
        <v>951</v>
      </c>
      <c r="BB334" t="s">
        <v>970</v>
      </c>
      <c r="BC334" t="b">
        <v>1</v>
      </c>
    </row>
    <row r="335" spans="1:55">
      <c r="A335" t="s">
        <v>1650</v>
      </c>
      <c r="B335" t="s">
        <v>939</v>
      </c>
      <c r="C335">
        <v>947000</v>
      </c>
      <c r="D335">
        <v>726800</v>
      </c>
      <c r="E335">
        <v>947000</v>
      </c>
      <c r="F335">
        <v>1594400</v>
      </c>
      <c r="G335" s="9">
        <v>4.9842050499076911E-3</v>
      </c>
      <c r="H335" s="9">
        <v>1.2682120216233198E-2</v>
      </c>
      <c r="I335" s="9">
        <v>1.9023180324349798E-2</v>
      </c>
      <c r="J335" s="10">
        <v>581.45556032632032</v>
      </c>
      <c r="K335" s="10">
        <v>581.45556032632032</v>
      </c>
      <c r="L335" s="10">
        <v>581.45556032632032</v>
      </c>
      <c r="M335" s="10">
        <v>581.45556032632032</v>
      </c>
      <c r="N335" s="10">
        <v>581.45556032632032</v>
      </c>
      <c r="O335" s="10">
        <v>581.45556032632032</v>
      </c>
      <c r="P335" s="10">
        <v>581.45556032632032</v>
      </c>
      <c r="Q335" s="10">
        <v>581.45556032632032</v>
      </c>
      <c r="R335" s="10">
        <v>581.45556032632032</v>
      </c>
      <c r="S335" s="10">
        <v>581.45556032632032</v>
      </c>
      <c r="T335" s="10">
        <v>581.45556032632032</v>
      </c>
      <c r="V335" t="s">
        <v>456</v>
      </c>
      <c r="W335" t="s">
        <v>1650</v>
      </c>
      <c r="X335" t="s">
        <v>1651</v>
      </c>
      <c r="Y335" t="s">
        <v>941</v>
      </c>
      <c r="Z335" t="s">
        <v>942</v>
      </c>
      <c r="AB335" t="s">
        <v>119</v>
      </c>
      <c r="AC335" t="s">
        <v>59</v>
      </c>
      <c r="AD335" t="s">
        <v>968</v>
      </c>
      <c r="AF335" t="s">
        <v>944</v>
      </c>
      <c r="AG335" t="s">
        <v>976</v>
      </c>
      <c r="AH335" t="s">
        <v>956</v>
      </c>
      <c r="AI335" t="s">
        <v>977</v>
      </c>
      <c r="AJ335" t="s">
        <v>948</v>
      </c>
      <c r="AK335">
        <v>11</v>
      </c>
      <c r="AL335" s="10">
        <v>726.8</v>
      </c>
      <c r="AM335" s="10">
        <v>947</v>
      </c>
      <c r="AN335" s="10">
        <v>1594.4</v>
      </c>
      <c r="AO335" s="9">
        <v>0.23961451199052949</v>
      </c>
      <c r="AP335" s="9">
        <v>32.7502</v>
      </c>
      <c r="AQ335" s="9">
        <v>1.2642050499076891</v>
      </c>
      <c r="AR335" s="9">
        <v>3.7200000000000006</v>
      </c>
      <c r="AS335" s="9">
        <v>4.9842050499076906</v>
      </c>
      <c r="AT335" s="9">
        <v>4.0021202162331964</v>
      </c>
      <c r="AU335" s="9">
        <v>8.6800000000000015</v>
      </c>
      <c r="AV335" s="9">
        <v>12.682120216233198</v>
      </c>
      <c r="AW335" s="11">
        <v>0.58145556032632029</v>
      </c>
      <c r="AX335" s="11">
        <v>0.58145556032632029</v>
      </c>
      <c r="AY335" t="s">
        <v>969</v>
      </c>
      <c r="AZ335" t="s">
        <v>950</v>
      </c>
      <c r="BA335" t="s">
        <v>951</v>
      </c>
      <c r="BB335" t="s">
        <v>970</v>
      </c>
      <c r="BC335" t="b">
        <v>1</v>
      </c>
    </row>
    <row r="336" spans="1:55">
      <c r="A336" t="s">
        <v>1652</v>
      </c>
      <c r="B336" t="s">
        <v>939</v>
      </c>
      <c r="C336">
        <v>410100</v>
      </c>
      <c r="D336">
        <v>314800</v>
      </c>
      <c r="E336">
        <v>410100</v>
      </c>
      <c r="F336">
        <v>690500</v>
      </c>
      <c r="G336" s="9">
        <v>6.7261131962131635E-3</v>
      </c>
      <c r="H336" s="9">
        <v>1.3236565224739046E-2</v>
      </c>
      <c r="I336" s="9">
        <v>1.9854847837108568E-2</v>
      </c>
      <c r="J336" s="10">
        <v>251.80034349506229</v>
      </c>
      <c r="K336" s="10">
        <v>251.80034349506229</v>
      </c>
      <c r="L336" s="10">
        <v>251.80034349506229</v>
      </c>
      <c r="M336" s="10">
        <v>251.80034349506229</v>
      </c>
      <c r="N336" s="10">
        <v>251.80034349506229</v>
      </c>
      <c r="O336" s="10">
        <v>251.80034349506229</v>
      </c>
      <c r="P336" s="10">
        <v>251.80034349506229</v>
      </c>
      <c r="Q336" s="10">
        <v>251.80034349506229</v>
      </c>
      <c r="R336" s="10">
        <v>251.80034349506229</v>
      </c>
      <c r="S336" s="10">
        <v>251.80034349506229</v>
      </c>
      <c r="T336" s="10">
        <v>251.80034349506229</v>
      </c>
      <c r="V336" t="s">
        <v>456</v>
      </c>
      <c r="W336" t="s">
        <v>1652</v>
      </c>
      <c r="X336" t="s">
        <v>1653</v>
      </c>
      <c r="Y336" t="s">
        <v>941</v>
      </c>
      <c r="Z336" t="s">
        <v>942</v>
      </c>
      <c r="AB336" t="s">
        <v>119</v>
      </c>
      <c r="AC336" t="s">
        <v>59</v>
      </c>
      <c r="AD336" t="s">
        <v>968</v>
      </c>
      <c r="AF336" t="s">
        <v>944</v>
      </c>
      <c r="AG336" t="s">
        <v>996</v>
      </c>
      <c r="AH336" t="s">
        <v>988</v>
      </c>
      <c r="AI336" t="s">
        <v>977</v>
      </c>
      <c r="AJ336" t="s">
        <v>948</v>
      </c>
      <c r="AK336">
        <v>8</v>
      </c>
      <c r="AL336" s="10">
        <v>314.8</v>
      </c>
      <c r="AM336" s="10">
        <v>410.1</v>
      </c>
      <c r="AN336" s="10">
        <v>690.5</v>
      </c>
      <c r="AO336" s="9">
        <v>0.1037689120543288</v>
      </c>
      <c r="AP336" s="9">
        <v>14.183</v>
      </c>
      <c r="AQ336" s="9">
        <v>3.0061131962131631</v>
      </c>
      <c r="AR336" s="9">
        <v>3.72</v>
      </c>
      <c r="AS336" s="9">
        <v>6.7261131962131637</v>
      </c>
      <c r="AT336" s="9">
        <v>4.5565652247390442</v>
      </c>
      <c r="AU336" s="9">
        <v>8.6800000000000015</v>
      </c>
      <c r="AV336" s="9">
        <v>13.236565224739046</v>
      </c>
      <c r="AW336" s="11">
        <v>0.25180034349506231</v>
      </c>
      <c r="AX336" s="11">
        <v>0.25180034349506231</v>
      </c>
      <c r="AY336" t="s">
        <v>969</v>
      </c>
      <c r="AZ336" t="s">
        <v>950</v>
      </c>
      <c r="BA336" t="s">
        <v>951</v>
      </c>
      <c r="BB336" t="s">
        <v>970</v>
      </c>
      <c r="BC336" t="b">
        <v>1</v>
      </c>
    </row>
    <row r="337" spans="1:55">
      <c r="A337" t="s">
        <v>1654</v>
      </c>
      <c r="B337" t="s">
        <v>939</v>
      </c>
      <c r="C337">
        <v>26013300</v>
      </c>
      <c r="D337">
        <v>19966000</v>
      </c>
      <c r="E337">
        <v>26013300</v>
      </c>
      <c r="F337">
        <v>43799100</v>
      </c>
      <c r="G337" s="9">
        <v>1.3154943914990249E-2</v>
      </c>
      <c r="H337" s="9">
        <v>4.7754969110891964E-2</v>
      </c>
      <c r="I337" s="9">
        <v>7.1632453666337942E-2</v>
      </c>
      <c r="J337" s="10">
        <v>15972.099184199229</v>
      </c>
      <c r="K337" s="10">
        <v>15972.099184199229</v>
      </c>
      <c r="L337" s="10">
        <v>15972.099184199229</v>
      </c>
      <c r="M337" s="10">
        <v>15972.099184199229</v>
      </c>
      <c r="N337" s="10">
        <v>15972.099184199229</v>
      </c>
      <c r="O337" s="10">
        <v>15972.099184199229</v>
      </c>
      <c r="P337" s="10">
        <v>15972.099184199229</v>
      </c>
      <c r="Q337" s="10">
        <v>15972.099184199229</v>
      </c>
      <c r="R337" s="10">
        <v>15972.099184199229</v>
      </c>
      <c r="S337" s="10">
        <v>15972.099184199229</v>
      </c>
      <c r="T337" s="10">
        <v>15972.099184199229</v>
      </c>
      <c r="V337" t="s">
        <v>456</v>
      </c>
      <c r="W337" t="s">
        <v>1654</v>
      </c>
      <c r="X337" t="s">
        <v>1655</v>
      </c>
      <c r="Y337" t="s">
        <v>941</v>
      </c>
      <c r="Z337" t="s">
        <v>942</v>
      </c>
      <c r="AB337" t="s">
        <v>119</v>
      </c>
      <c r="AC337" t="s">
        <v>59</v>
      </c>
      <c r="AD337" t="s">
        <v>968</v>
      </c>
      <c r="AF337" t="s">
        <v>944</v>
      </c>
      <c r="AG337" t="s">
        <v>1135</v>
      </c>
      <c r="AH337" t="s">
        <v>1136</v>
      </c>
      <c r="AI337" t="s">
        <v>947</v>
      </c>
      <c r="AJ337" t="s">
        <v>948</v>
      </c>
      <c r="AK337">
        <v>15</v>
      </c>
      <c r="AL337" s="10">
        <v>19966</v>
      </c>
      <c r="AM337" s="10">
        <v>26013.3</v>
      </c>
      <c r="AN337" s="10">
        <v>43799.1</v>
      </c>
      <c r="AO337" s="9">
        <v>0.25637498747061538</v>
      </c>
      <c r="AP337" s="9">
        <v>35.041000000000004</v>
      </c>
      <c r="AQ337" s="9">
        <v>4.3825523171367617</v>
      </c>
      <c r="AR337" s="9">
        <v>8.7723915978534865</v>
      </c>
      <c r="AS337" s="9">
        <v>13.154943914990248</v>
      </c>
      <c r="AT337" s="9">
        <v>22.476598518404757</v>
      </c>
      <c r="AU337" s="9">
        <v>25.27837059248721</v>
      </c>
      <c r="AV337" s="9">
        <v>47.754969110891963</v>
      </c>
      <c r="AW337" s="11">
        <v>15.972099184199228</v>
      </c>
      <c r="AX337" s="11">
        <v>15.972099184199228</v>
      </c>
      <c r="AY337" t="s">
        <v>969</v>
      </c>
      <c r="AZ337" t="s">
        <v>950</v>
      </c>
      <c r="BA337" t="s">
        <v>951</v>
      </c>
      <c r="BB337" t="s">
        <v>970</v>
      </c>
      <c r="BC337" t="b">
        <v>1</v>
      </c>
    </row>
    <row r="338" spans="1:55">
      <c r="A338" t="s">
        <v>1656</v>
      </c>
      <c r="B338" t="s">
        <v>939</v>
      </c>
      <c r="C338">
        <v>25718900</v>
      </c>
      <c r="D338">
        <v>13985400</v>
      </c>
      <c r="E338">
        <v>25718900</v>
      </c>
      <c r="F338">
        <v>52130600</v>
      </c>
      <c r="G338" s="9">
        <v>1.4787592134368631E-2</v>
      </c>
      <c r="H338" s="9">
        <v>4.9037363044662059E-2</v>
      </c>
      <c r="I338" s="9">
        <v>7.3556044566993092E-2</v>
      </c>
      <c r="J338" s="10">
        <v>1023794.0265569888</v>
      </c>
      <c r="K338" s="10">
        <v>999236.71739683254</v>
      </c>
      <c r="L338" s="10">
        <v>974679.40823667613</v>
      </c>
      <c r="M338" s="10">
        <v>950122.09907651995</v>
      </c>
      <c r="N338" s="10">
        <v>925564.78991636366</v>
      </c>
      <c r="O338" s="10">
        <v>901007.48075620737</v>
      </c>
      <c r="P338" s="10">
        <v>851892.86243589479</v>
      </c>
      <c r="Q338" s="10">
        <v>802778.2441155822</v>
      </c>
      <c r="R338" s="10">
        <v>753663.62579526962</v>
      </c>
      <c r="S338" s="10">
        <v>704549.00747495703</v>
      </c>
      <c r="T338" s="10">
        <v>655434.38915464445</v>
      </c>
      <c r="V338" t="s">
        <v>456</v>
      </c>
      <c r="W338" t="s">
        <v>1656</v>
      </c>
      <c r="X338" t="s">
        <v>1657</v>
      </c>
      <c r="Y338" t="s">
        <v>941</v>
      </c>
      <c r="Z338" t="s">
        <v>942</v>
      </c>
      <c r="AB338" t="s">
        <v>119</v>
      </c>
      <c r="AC338" t="s">
        <v>59</v>
      </c>
      <c r="AD338" t="s">
        <v>943</v>
      </c>
      <c r="AF338" t="s">
        <v>944</v>
      </c>
      <c r="AG338" t="s">
        <v>945</v>
      </c>
      <c r="AH338" t="s">
        <v>946</v>
      </c>
      <c r="AI338" t="s">
        <v>947</v>
      </c>
      <c r="AJ338" t="s">
        <v>948</v>
      </c>
      <c r="AK338">
        <v>24</v>
      </c>
      <c r="AL338" s="10">
        <v>13985.4</v>
      </c>
      <c r="AM338" s="10">
        <v>25718.9</v>
      </c>
      <c r="AN338" s="10">
        <v>52130.6</v>
      </c>
      <c r="AO338" s="9">
        <v>0.25347402338477021</v>
      </c>
      <c r="AP338" s="9">
        <v>34.644500000000001</v>
      </c>
      <c r="AQ338" s="9">
        <v>0.16693947127948661</v>
      </c>
      <c r="AR338" s="9">
        <v>14.620652663089148</v>
      </c>
      <c r="AS338" s="9">
        <v>14.787592134368632</v>
      </c>
      <c r="AT338" s="9">
        <v>0.7030134575411241</v>
      </c>
      <c r="AU338" s="9">
        <v>48.334349587120919</v>
      </c>
      <c r="AV338" s="9">
        <v>49.037363044662058</v>
      </c>
      <c r="AW338" s="11">
        <v>1023.7940265569888</v>
      </c>
      <c r="AX338" s="11">
        <v>655.43438915464446</v>
      </c>
      <c r="AY338" t="s">
        <v>949</v>
      </c>
      <c r="AZ338" t="s">
        <v>950</v>
      </c>
      <c r="BA338" t="s">
        <v>951</v>
      </c>
      <c r="BB338" t="s">
        <v>970</v>
      </c>
      <c r="BC338" t="b">
        <v>1</v>
      </c>
    </row>
    <row r="339" spans="1:55">
      <c r="A339" t="s">
        <v>1658</v>
      </c>
      <c r="B339" t="s">
        <v>939</v>
      </c>
      <c r="C339">
        <v>92300</v>
      </c>
      <c r="D339">
        <v>50200</v>
      </c>
      <c r="E339">
        <v>92300</v>
      </c>
      <c r="F339">
        <v>187100</v>
      </c>
      <c r="G339" s="9">
        <v>9.9238692418452991E-3</v>
      </c>
      <c r="H339" s="9">
        <v>3.103469767422792E-2</v>
      </c>
      <c r="I339" s="9">
        <v>4.6552046511341878E-2</v>
      </c>
      <c r="J339" s="10">
        <v>3674.1924674542879</v>
      </c>
      <c r="K339" s="10">
        <v>3586.0611851878448</v>
      </c>
      <c r="L339" s="10">
        <v>3497.9299029214012</v>
      </c>
      <c r="M339" s="10">
        <v>3409.7986206549581</v>
      </c>
      <c r="N339" s="10">
        <v>3321.667338388515</v>
      </c>
      <c r="O339" s="10">
        <v>3233.5360561220718</v>
      </c>
      <c r="P339" s="10">
        <v>3057.2734915891851</v>
      </c>
      <c r="Q339" s="10">
        <v>2881.0109270562989</v>
      </c>
      <c r="R339" s="10">
        <v>2704.7483625234127</v>
      </c>
      <c r="S339" s="10">
        <v>2528.485797990526</v>
      </c>
      <c r="T339" s="10">
        <v>2352.2232334576393</v>
      </c>
      <c r="V339" t="s">
        <v>456</v>
      </c>
      <c r="W339" t="s">
        <v>1658</v>
      </c>
      <c r="X339" t="s">
        <v>1659</v>
      </c>
      <c r="Y339" t="s">
        <v>941</v>
      </c>
      <c r="Z339" t="s">
        <v>942</v>
      </c>
      <c r="AB339" t="s">
        <v>119</v>
      </c>
      <c r="AC339" t="s">
        <v>59</v>
      </c>
      <c r="AD339" t="s">
        <v>943</v>
      </c>
      <c r="AF339" t="s">
        <v>944</v>
      </c>
      <c r="AG339" t="s">
        <v>965</v>
      </c>
      <c r="AH339" t="s">
        <v>956</v>
      </c>
      <c r="AI339" t="s">
        <v>960</v>
      </c>
      <c r="AJ339" t="s">
        <v>948</v>
      </c>
      <c r="AK339">
        <v>2</v>
      </c>
      <c r="AL339" s="10">
        <v>50.2</v>
      </c>
      <c r="AM339" s="10">
        <v>92.3</v>
      </c>
      <c r="AN339" s="10">
        <v>187.1</v>
      </c>
      <c r="AO339" s="9">
        <v>4.5448925106838102E-2</v>
      </c>
      <c r="AP339" s="9">
        <v>6.2119</v>
      </c>
      <c r="AQ339" s="9">
        <v>2.1738692418453001</v>
      </c>
      <c r="AR339" s="9">
        <v>7.7500000000000009</v>
      </c>
      <c r="AS339" s="9">
        <v>9.9238692418452992</v>
      </c>
      <c r="AT339" s="9">
        <v>7.4346976742279214</v>
      </c>
      <c r="AU339" s="9">
        <v>23.6</v>
      </c>
      <c r="AV339" s="9">
        <v>31.034697674227921</v>
      </c>
      <c r="AW339" s="11">
        <v>3.6741924674542878</v>
      </c>
      <c r="AX339" s="11">
        <v>2.3522232334576394</v>
      </c>
      <c r="AY339" t="s">
        <v>949</v>
      </c>
      <c r="AZ339" t="s">
        <v>950</v>
      </c>
      <c r="BA339" t="s">
        <v>951</v>
      </c>
      <c r="BB339" t="s">
        <v>970</v>
      </c>
      <c r="BC339" t="b">
        <v>1</v>
      </c>
    </row>
    <row r="340" spans="1:55">
      <c r="A340" t="s">
        <v>1660</v>
      </c>
      <c r="B340" t="s">
        <v>939</v>
      </c>
      <c r="C340">
        <v>28700</v>
      </c>
      <c r="D340">
        <v>15600</v>
      </c>
      <c r="E340">
        <v>28700</v>
      </c>
      <c r="F340">
        <v>58100</v>
      </c>
      <c r="G340" s="9">
        <v>1.0966996479326731E-2</v>
      </c>
      <c r="H340" s="9">
        <v>3.4766166877658808E-2</v>
      </c>
      <c r="I340" s="9">
        <v>5.2149250316488212E-2</v>
      </c>
      <c r="J340" s="10">
        <v>1142.4628799126551</v>
      </c>
      <c r="K340" s="10">
        <v>1115.0591117539668</v>
      </c>
      <c r="L340" s="10">
        <v>1087.6553435952787</v>
      </c>
      <c r="M340" s="10">
        <v>1060.2515754365904</v>
      </c>
      <c r="N340" s="10">
        <v>1032.8478072779021</v>
      </c>
      <c r="O340" s="10">
        <v>1005.444039119214</v>
      </c>
      <c r="P340" s="10">
        <v>950.63650280183765</v>
      </c>
      <c r="Q340" s="10">
        <v>895.82896648446126</v>
      </c>
      <c r="R340" s="10">
        <v>841.02143016708487</v>
      </c>
      <c r="S340" s="10">
        <v>786.21389384970848</v>
      </c>
      <c r="T340" s="10">
        <v>731.40635753233209</v>
      </c>
      <c r="V340" t="s">
        <v>456</v>
      </c>
      <c r="W340" t="s">
        <v>1660</v>
      </c>
      <c r="X340" t="s">
        <v>1661</v>
      </c>
      <c r="Y340" t="s">
        <v>941</v>
      </c>
      <c r="Z340" t="s">
        <v>942</v>
      </c>
      <c r="AB340" t="s">
        <v>119</v>
      </c>
      <c r="AC340" t="s">
        <v>59</v>
      </c>
      <c r="AD340" t="s">
        <v>943</v>
      </c>
      <c r="AF340" t="s">
        <v>944</v>
      </c>
      <c r="AG340" t="s">
        <v>1042</v>
      </c>
      <c r="AH340" t="s">
        <v>988</v>
      </c>
      <c r="AI340" t="s">
        <v>960</v>
      </c>
      <c r="AJ340" t="s">
        <v>948</v>
      </c>
      <c r="AK340">
        <v>1</v>
      </c>
      <c r="AL340" s="10">
        <v>15.6</v>
      </c>
      <c r="AM340" s="10">
        <v>28.7</v>
      </c>
      <c r="AN340" s="10">
        <v>58.1</v>
      </c>
      <c r="AO340" s="9">
        <v>1.41097332649491E-2</v>
      </c>
      <c r="AP340" s="9">
        <v>1.9285000000000001</v>
      </c>
      <c r="AQ340" s="9">
        <v>3.2169964793267325</v>
      </c>
      <c r="AR340" s="9">
        <v>7.75</v>
      </c>
      <c r="AS340" s="9">
        <v>10.966996479326731</v>
      </c>
      <c r="AT340" s="9">
        <v>11.166166877658799</v>
      </c>
      <c r="AU340" s="9">
        <v>23.600000000000005</v>
      </c>
      <c r="AV340" s="9">
        <v>34.766166877658804</v>
      </c>
      <c r="AW340" s="11">
        <v>1.142462879912655</v>
      </c>
      <c r="AX340" s="11">
        <v>0.73140635753233207</v>
      </c>
      <c r="AY340" t="s">
        <v>949</v>
      </c>
      <c r="AZ340" t="s">
        <v>950</v>
      </c>
      <c r="BA340" t="s">
        <v>951</v>
      </c>
      <c r="BB340" t="s">
        <v>970</v>
      </c>
      <c r="BC340" t="b">
        <v>1</v>
      </c>
    </row>
    <row r="341" spans="1:55">
      <c r="A341" t="s">
        <v>1662</v>
      </c>
      <c r="B341" t="s">
        <v>939</v>
      </c>
      <c r="C341">
        <v>825100</v>
      </c>
      <c r="D341">
        <v>448700</v>
      </c>
      <c r="E341">
        <v>825100</v>
      </c>
      <c r="F341">
        <v>1672400</v>
      </c>
      <c r="G341" s="9">
        <v>1.4613317641929576E-2</v>
      </c>
      <c r="H341" s="9"/>
      <c r="I341" s="9"/>
      <c r="J341" s="10">
        <v>33004</v>
      </c>
      <c r="K341" s="10">
        <v>33004</v>
      </c>
      <c r="L341" s="10">
        <v>33004</v>
      </c>
      <c r="M341" s="10">
        <v>33004</v>
      </c>
      <c r="N341" s="10">
        <v>33004</v>
      </c>
      <c r="O341" s="10">
        <v>33004</v>
      </c>
      <c r="P341" s="10">
        <v>33004</v>
      </c>
      <c r="Q341" s="10">
        <v>33004</v>
      </c>
      <c r="R341" s="10">
        <v>33004</v>
      </c>
      <c r="S341" s="10">
        <v>33004</v>
      </c>
      <c r="T341" s="10">
        <v>33004</v>
      </c>
      <c r="V341" t="s">
        <v>456</v>
      </c>
      <c r="W341" t="s">
        <v>1662</v>
      </c>
      <c r="X341" t="s">
        <v>1663</v>
      </c>
      <c r="Y341" t="s">
        <v>941</v>
      </c>
      <c r="Z341" t="s">
        <v>942</v>
      </c>
      <c r="AB341" t="s">
        <v>546</v>
      </c>
      <c r="AC341" t="s">
        <v>546</v>
      </c>
      <c r="AD341" t="s">
        <v>943</v>
      </c>
      <c r="AF341" t="s">
        <v>944</v>
      </c>
      <c r="AG341" t="s">
        <v>945</v>
      </c>
      <c r="AH341" t="s">
        <v>946</v>
      </c>
      <c r="AI341" t="s">
        <v>947</v>
      </c>
      <c r="AJ341" t="s">
        <v>948</v>
      </c>
      <c r="AK341">
        <v>2</v>
      </c>
      <c r="AL341" s="10">
        <v>448.7</v>
      </c>
      <c r="AM341" s="10">
        <v>825.1</v>
      </c>
      <c r="AN341" s="10">
        <v>1672.4</v>
      </c>
      <c r="AO341" s="9">
        <v>0.53030564669314451</v>
      </c>
      <c r="AP341" s="9">
        <v>1.5355000000000001</v>
      </c>
      <c r="AQ341" s="9">
        <v>0.16396488547384019</v>
      </c>
      <c r="AR341" s="9">
        <v>14.449352756455736</v>
      </c>
      <c r="AS341" s="9">
        <v>14.613317641929576</v>
      </c>
      <c r="AT341" s="9"/>
      <c r="AU341" s="9"/>
      <c r="AV341" s="9"/>
      <c r="AW341" s="11">
        <v>33.003999999999998</v>
      </c>
      <c r="AX341" s="11">
        <v>33.003999999999998</v>
      </c>
      <c r="AY341" t="s">
        <v>949</v>
      </c>
      <c r="AZ341" t="s">
        <v>950</v>
      </c>
      <c r="BA341" t="s">
        <v>951</v>
      </c>
      <c r="BB341" t="s">
        <v>952</v>
      </c>
      <c r="BC341" t="b">
        <v>0</v>
      </c>
    </row>
    <row r="342" spans="1:55">
      <c r="A342" t="s">
        <v>1664</v>
      </c>
      <c r="B342" t="s">
        <v>939</v>
      </c>
      <c r="C342">
        <v>0</v>
      </c>
      <c r="D342">
        <v>0</v>
      </c>
      <c r="E342">
        <v>0</v>
      </c>
      <c r="F342">
        <v>0</v>
      </c>
      <c r="G342" s="9">
        <v>1.3230078088764875E-2</v>
      </c>
      <c r="H342" s="9">
        <v>3.5563065696864071E-2</v>
      </c>
      <c r="I342" s="9">
        <v>5.3344598545296107E-2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V342" t="s">
        <v>456</v>
      </c>
      <c r="W342" t="s">
        <v>1664</v>
      </c>
      <c r="X342" t="s">
        <v>1665</v>
      </c>
      <c r="Y342" t="s">
        <v>941</v>
      </c>
      <c r="Z342" t="s">
        <v>942</v>
      </c>
      <c r="AB342" t="s">
        <v>546</v>
      </c>
      <c r="AC342" t="s">
        <v>546</v>
      </c>
      <c r="AD342" t="s">
        <v>943</v>
      </c>
      <c r="AF342" t="s">
        <v>944</v>
      </c>
      <c r="AG342" t="s">
        <v>1042</v>
      </c>
      <c r="AH342" t="s">
        <v>988</v>
      </c>
      <c r="AI342" t="s">
        <v>960</v>
      </c>
      <c r="AJ342" t="s">
        <v>948</v>
      </c>
      <c r="AK342">
        <v>1</v>
      </c>
      <c r="AL342" s="10">
        <v>0</v>
      </c>
      <c r="AM342" s="10">
        <v>0</v>
      </c>
      <c r="AN342" s="10">
        <v>0</v>
      </c>
      <c r="AO342" s="9">
        <v>0.46969435330685549</v>
      </c>
      <c r="AP342" s="9">
        <v>1.36</v>
      </c>
      <c r="AQ342" s="9">
        <v>5.480078088764877</v>
      </c>
      <c r="AR342" s="9">
        <v>7.75</v>
      </c>
      <c r="AS342" s="9">
        <v>13.230078088764875</v>
      </c>
      <c r="AT342" s="9">
        <v>11.963065696864074</v>
      </c>
      <c r="AU342" s="9">
        <v>23.6</v>
      </c>
      <c r="AV342" s="9">
        <v>35.563065696864072</v>
      </c>
      <c r="AW342" s="11">
        <v>0</v>
      </c>
      <c r="AX342" s="11">
        <v>0</v>
      </c>
      <c r="AY342" t="s">
        <v>949</v>
      </c>
      <c r="AZ342" t="s">
        <v>950</v>
      </c>
      <c r="BA342" t="s">
        <v>951</v>
      </c>
      <c r="BB342" t="s">
        <v>970</v>
      </c>
      <c r="BC342" t="b">
        <v>1</v>
      </c>
    </row>
    <row r="343" spans="1:55">
      <c r="A343" t="s">
        <v>1666</v>
      </c>
      <c r="B343" t="s">
        <v>939</v>
      </c>
      <c r="C343">
        <v>59205100</v>
      </c>
      <c r="D343">
        <v>32194400</v>
      </c>
      <c r="E343">
        <v>59205100</v>
      </c>
      <c r="F343">
        <v>120005000</v>
      </c>
      <c r="G343" s="9">
        <v>1.4778734459075847E-2</v>
      </c>
      <c r="H343" s="9">
        <v>4.8385741934053407E-2</v>
      </c>
      <c r="I343" s="9">
        <v>7.2578612901080114E-2</v>
      </c>
      <c r="J343" s="10">
        <v>1095065.4470915408</v>
      </c>
      <c r="K343" s="10">
        <v>1067726.7112323421</v>
      </c>
      <c r="L343" s="10">
        <v>1040387.9753731434</v>
      </c>
      <c r="M343" s="10">
        <v>1013049.2395139448</v>
      </c>
      <c r="N343" s="10">
        <v>985710.50365474611</v>
      </c>
      <c r="O343" s="10">
        <v>958371.76779554749</v>
      </c>
      <c r="P343" s="10">
        <v>903694.29607715015</v>
      </c>
      <c r="Q343" s="10">
        <v>849016.82435875281</v>
      </c>
      <c r="R343" s="10">
        <v>794339.35264035547</v>
      </c>
      <c r="S343" s="10">
        <v>739661.88092195813</v>
      </c>
      <c r="T343" s="10">
        <v>684984.40920356091</v>
      </c>
      <c r="V343" t="s">
        <v>456</v>
      </c>
      <c r="W343" t="s">
        <v>1666</v>
      </c>
      <c r="X343" t="s">
        <v>1667</v>
      </c>
      <c r="Y343" t="s">
        <v>941</v>
      </c>
      <c r="Z343" t="s">
        <v>942</v>
      </c>
      <c r="AB343" t="s">
        <v>120</v>
      </c>
      <c r="AC343" t="s">
        <v>60</v>
      </c>
      <c r="AD343" t="s">
        <v>943</v>
      </c>
      <c r="AF343" t="s">
        <v>944</v>
      </c>
      <c r="AG343" t="s">
        <v>945</v>
      </c>
      <c r="AH343" t="s">
        <v>946</v>
      </c>
      <c r="AI343" t="s">
        <v>947</v>
      </c>
      <c r="AJ343" t="s">
        <v>948</v>
      </c>
      <c r="AK343">
        <v>8</v>
      </c>
      <c r="AL343" s="10">
        <v>32194.400000000001</v>
      </c>
      <c r="AM343" s="10">
        <v>59205.1</v>
      </c>
      <c r="AN343" s="10">
        <v>120005</v>
      </c>
      <c r="AO343" s="9">
        <v>0.3062877539813289</v>
      </c>
      <c r="AP343" s="9">
        <v>5.1313000000000004</v>
      </c>
      <c r="AQ343" s="9">
        <v>0.399706381327883</v>
      </c>
      <c r="AR343" s="9">
        <v>14.379028077747966</v>
      </c>
      <c r="AS343" s="9">
        <v>14.778734459075848</v>
      </c>
      <c r="AT343" s="9">
        <v>0.92124085416072743</v>
      </c>
      <c r="AU343" s="9">
        <v>47.464501079892685</v>
      </c>
      <c r="AV343" s="9">
        <v>48.385741934053407</v>
      </c>
      <c r="AW343" s="11">
        <v>1095.0654470915408</v>
      </c>
      <c r="AX343" s="11">
        <v>684.98440920356086</v>
      </c>
      <c r="AY343" t="s">
        <v>949</v>
      </c>
      <c r="AZ343" t="s">
        <v>950</v>
      </c>
      <c r="BA343" t="s">
        <v>951</v>
      </c>
      <c r="BB343" t="s">
        <v>970</v>
      </c>
      <c r="BC343" t="b">
        <v>1</v>
      </c>
    </row>
    <row r="344" spans="1:55">
      <c r="A344" t="s">
        <v>1668</v>
      </c>
      <c r="B344" t="s">
        <v>939</v>
      </c>
      <c r="C344">
        <v>18633900</v>
      </c>
      <c r="D344">
        <v>10132700</v>
      </c>
      <c r="E344">
        <v>18633900</v>
      </c>
      <c r="F344">
        <v>37769800</v>
      </c>
      <c r="G344" s="9">
        <v>1.741058384360377E-2</v>
      </c>
      <c r="H344" s="9"/>
      <c r="I344" s="9"/>
      <c r="J344" s="10">
        <v>344655.10630940692</v>
      </c>
      <c r="K344" s="10">
        <v>336050.65719730803</v>
      </c>
      <c r="L344" s="10">
        <v>327446.20808520925</v>
      </c>
      <c r="M344" s="10">
        <v>318841.75897311041</v>
      </c>
      <c r="N344" s="10">
        <v>310237.30986101163</v>
      </c>
      <c r="O344" s="10">
        <v>301632.86074891279</v>
      </c>
      <c r="P344" s="10">
        <v>284423.96252471511</v>
      </c>
      <c r="Q344" s="10">
        <v>267215.06430051749</v>
      </c>
      <c r="R344" s="10">
        <v>250006.16607631982</v>
      </c>
      <c r="S344" s="10">
        <v>232797.26785212217</v>
      </c>
      <c r="T344" s="10">
        <v>215588.36962792452</v>
      </c>
      <c r="V344" t="s">
        <v>456</v>
      </c>
      <c r="W344" t="s">
        <v>1668</v>
      </c>
      <c r="X344" t="s">
        <v>1669</v>
      </c>
      <c r="Y344" t="s">
        <v>941</v>
      </c>
      <c r="Z344" t="s">
        <v>942</v>
      </c>
      <c r="AB344" t="s">
        <v>120</v>
      </c>
      <c r="AC344" t="s">
        <v>60</v>
      </c>
      <c r="AD344" t="s">
        <v>943</v>
      </c>
      <c r="AF344" t="s">
        <v>944</v>
      </c>
      <c r="AG344" t="s">
        <v>955</v>
      </c>
      <c r="AH344" t="s">
        <v>956</v>
      </c>
      <c r="AI344" t="s">
        <v>947</v>
      </c>
      <c r="AJ344" t="s">
        <v>948</v>
      </c>
      <c r="AK344">
        <v>1</v>
      </c>
      <c r="AL344" s="10">
        <v>10132.700000000001</v>
      </c>
      <c r="AM344" s="10">
        <v>18633.900000000001</v>
      </c>
      <c r="AN344" s="10">
        <v>37769.800000000003</v>
      </c>
      <c r="AO344" s="9">
        <v>9.6399493828044705E-2</v>
      </c>
      <c r="AP344" s="9">
        <v>1.615</v>
      </c>
      <c r="AQ344" s="9">
        <v>3.0315557658558032</v>
      </c>
      <c r="AR344" s="9">
        <v>14.379028077747966</v>
      </c>
      <c r="AS344" s="9">
        <v>17.410583843603771</v>
      </c>
      <c r="AT344" s="9"/>
      <c r="AU344" s="9"/>
      <c r="AV344" s="9"/>
      <c r="AW344" s="11">
        <v>344.6551063094069</v>
      </c>
      <c r="AX344" s="11">
        <v>215.58836962792452</v>
      </c>
      <c r="AY344" t="s">
        <v>949</v>
      </c>
      <c r="AZ344" t="s">
        <v>950</v>
      </c>
      <c r="BA344" t="s">
        <v>951</v>
      </c>
      <c r="BB344" t="s">
        <v>970</v>
      </c>
      <c r="BC344" t="b">
        <v>0</v>
      </c>
    </row>
    <row r="345" spans="1:55">
      <c r="A345" t="s">
        <v>1670</v>
      </c>
      <c r="B345" t="s">
        <v>939</v>
      </c>
      <c r="C345">
        <v>260399.99999999997</v>
      </c>
      <c r="D345">
        <v>141600</v>
      </c>
      <c r="E345">
        <v>260399.99999999997</v>
      </c>
      <c r="F345">
        <v>527800</v>
      </c>
      <c r="G345" s="9">
        <v>1.2020232077578331E-2</v>
      </c>
      <c r="H345" s="9">
        <v>3.8759660157406929E-2</v>
      </c>
      <c r="I345" s="9">
        <v>5.8139490236110397E-2</v>
      </c>
      <c r="J345" s="10">
        <v>4816.3932232634888</v>
      </c>
      <c r="K345" s="10">
        <v>4696.1500885042315</v>
      </c>
      <c r="L345" s="10">
        <v>4575.9069537449732</v>
      </c>
      <c r="M345" s="10">
        <v>4455.6638189857158</v>
      </c>
      <c r="N345" s="10">
        <v>4335.4206842264584</v>
      </c>
      <c r="O345" s="10">
        <v>4215.1775494672002</v>
      </c>
      <c r="P345" s="10">
        <v>3974.691279948685</v>
      </c>
      <c r="Q345" s="10">
        <v>3734.2050104301698</v>
      </c>
      <c r="R345" s="10">
        <v>3493.7187409116541</v>
      </c>
      <c r="S345" s="10">
        <v>3253.2324713931384</v>
      </c>
      <c r="T345" s="10">
        <v>3012.7462018746232</v>
      </c>
      <c r="V345" t="s">
        <v>456</v>
      </c>
      <c r="W345" t="s">
        <v>1670</v>
      </c>
      <c r="X345" t="s">
        <v>1671</v>
      </c>
      <c r="Y345" t="s">
        <v>941</v>
      </c>
      <c r="Z345" t="s">
        <v>942</v>
      </c>
      <c r="AB345" t="s">
        <v>120</v>
      </c>
      <c r="AC345" t="s">
        <v>60</v>
      </c>
      <c r="AD345" t="s">
        <v>943</v>
      </c>
      <c r="AF345" t="s">
        <v>944</v>
      </c>
      <c r="AG345" t="s">
        <v>1042</v>
      </c>
      <c r="AH345" t="s">
        <v>988</v>
      </c>
      <c r="AI345" t="s">
        <v>960</v>
      </c>
      <c r="AJ345" t="s">
        <v>948</v>
      </c>
      <c r="AK345">
        <v>1</v>
      </c>
      <c r="AL345" s="10">
        <v>141.6</v>
      </c>
      <c r="AM345" s="10">
        <v>260.39999999999998</v>
      </c>
      <c r="AN345" s="10">
        <v>527.79999999999995</v>
      </c>
      <c r="AO345" s="9">
        <v>2.9128763460115E-2</v>
      </c>
      <c r="AP345" s="9">
        <v>0.48799999999999999</v>
      </c>
      <c r="AQ345" s="9">
        <v>4.2702320775783305</v>
      </c>
      <c r="AR345" s="9">
        <v>7.75</v>
      </c>
      <c r="AS345" s="9">
        <v>12.020232077578331</v>
      </c>
      <c r="AT345" s="9">
        <v>15.159660157406924</v>
      </c>
      <c r="AU345" s="9">
        <v>23.6</v>
      </c>
      <c r="AV345" s="9">
        <v>38.759660157406927</v>
      </c>
      <c r="AW345" s="11">
        <v>4.8163932232634892</v>
      </c>
      <c r="AX345" s="11">
        <v>3.0127462018746232</v>
      </c>
      <c r="AY345" t="s">
        <v>949</v>
      </c>
      <c r="AZ345" t="s">
        <v>950</v>
      </c>
      <c r="BA345" t="s">
        <v>951</v>
      </c>
      <c r="BB345" t="s">
        <v>970</v>
      </c>
      <c r="BC345" t="b">
        <v>1</v>
      </c>
    </row>
    <row r="346" spans="1:55">
      <c r="A346" t="s">
        <v>1672</v>
      </c>
      <c r="B346" t="s">
        <v>939</v>
      </c>
      <c r="C346">
        <v>5079100</v>
      </c>
      <c r="D346">
        <v>2761900</v>
      </c>
      <c r="E346">
        <v>5079100</v>
      </c>
      <c r="F346">
        <v>10294900</v>
      </c>
      <c r="G346" s="9">
        <v>1.2067712633638797E-2</v>
      </c>
      <c r="H346" s="9">
        <v>3.3860857035723932E-2</v>
      </c>
      <c r="I346" s="9">
        <v>5.0791285553585898E-2</v>
      </c>
      <c r="J346" s="10">
        <v>93943.712827486917</v>
      </c>
      <c r="K346" s="10">
        <v>91598.371407533981</v>
      </c>
      <c r="L346" s="10">
        <v>89253.029987581031</v>
      </c>
      <c r="M346" s="10">
        <v>86907.688567628094</v>
      </c>
      <c r="N346" s="10">
        <v>84562.347147675158</v>
      </c>
      <c r="O346" s="10">
        <v>82217.005727722208</v>
      </c>
      <c r="P346" s="10">
        <v>77526.322887816321</v>
      </c>
      <c r="Q346" s="10">
        <v>72835.640047910434</v>
      </c>
      <c r="R346" s="10">
        <v>68144.957208004562</v>
      </c>
      <c r="S346" s="10">
        <v>63454.274368098668</v>
      </c>
      <c r="T346" s="10">
        <v>58763.591528192781</v>
      </c>
      <c r="V346" t="s">
        <v>456</v>
      </c>
      <c r="W346" t="s">
        <v>1672</v>
      </c>
      <c r="X346" t="s">
        <v>1673</v>
      </c>
      <c r="Y346" t="s">
        <v>941</v>
      </c>
      <c r="Z346" t="s">
        <v>942</v>
      </c>
      <c r="AB346" t="s">
        <v>120</v>
      </c>
      <c r="AC346" t="s">
        <v>60</v>
      </c>
      <c r="AD346" t="s">
        <v>943</v>
      </c>
      <c r="AF346" t="s">
        <v>944</v>
      </c>
      <c r="AG346" t="s">
        <v>1187</v>
      </c>
      <c r="AH346" t="s">
        <v>1136</v>
      </c>
      <c r="AI346" t="s">
        <v>960</v>
      </c>
      <c r="AJ346" t="s">
        <v>948</v>
      </c>
      <c r="AK346">
        <v>7</v>
      </c>
      <c r="AL346" s="10">
        <v>2761.9</v>
      </c>
      <c r="AM346" s="10">
        <v>5079.1000000000004</v>
      </c>
      <c r="AN346" s="10">
        <v>10294.9</v>
      </c>
      <c r="AO346" s="9">
        <v>0.56818398873051124</v>
      </c>
      <c r="AP346" s="9">
        <v>9.5189000000000004</v>
      </c>
      <c r="AQ346" s="9">
        <v>4.3177126336387976</v>
      </c>
      <c r="AR346" s="9">
        <v>7.7499999999999991</v>
      </c>
      <c r="AS346" s="9">
        <v>12.067712633638797</v>
      </c>
      <c r="AT346" s="9">
        <v>10.260857035723932</v>
      </c>
      <c r="AU346" s="9">
        <v>23.6</v>
      </c>
      <c r="AV346" s="9">
        <v>33.860857035723932</v>
      </c>
      <c r="AW346" s="11">
        <v>93.94371282748692</v>
      </c>
      <c r="AX346" s="11">
        <v>58.763591528192784</v>
      </c>
      <c r="AY346" t="s">
        <v>949</v>
      </c>
      <c r="AZ346" t="s">
        <v>950</v>
      </c>
      <c r="BA346" t="s">
        <v>951</v>
      </c>
      <c r="BB346" t="s">
        <v>970</v>
      </c>
      <c r="BC346" t="b">
        <v>1</v>
      </c>
    </row>
    <row r="347" spans="1:55">
      <c r="A347" t="s">
        <v>1674</v>
      </c>
      <c r="B347" t="s">
        <v>939</v>
      </c>
      <c r="C347">
        <v>318200</v>
      </c>
      <c r="D347">
        <v>244200</v>
      </c>
      <c r="E347">
        <v>318200</v>
      </c>
      <c r="F347">
        <v>535800</v>
      </c>
      <c r="G347" s="9">
        <v>1.4284462786915076E-2</v>
      </c>
      <c r="H347" s="9">
        <v>2.8155918150490563E-2</v>
      </c>
      <c r="I347" s="9">
        <v>4.2233877225735843E-2</v>
      </c>
      <c r="J347" s="10">
        <v>3182</v>
      </c>
      <c r="K347" s="10">
        <v>3182</v>
      </c>
      <c r="L347" s="10">
        <v>3182</v>
      </c>
      <c r="M347" s="10">
        <v>3182</v>
      </c>
      <c r="N347" s="10">
        <v>3182</v>
      </c>
      <c r="O347" s="10">
        <v>3182</v>
      </c>
      <c r="P347" s="10">
        <v>3182</v>
      </c>
      <c r="Q347" s="10">
        <v>3182</v>
      </c>
      <c r="R347" s="10">
        <v>3182</v>
      </c>
      <c r="S347" s="10">
        <v>3182</v>
      </c>
      <c r="T347" s="10">
        <v>3182</v>
      </c>
      <c r="V347" t="s">
        <v>456</v>
      </c>
      <c r="W347" t="s">
        <v>1674</v>
      </c>
      <c r="X347" t="s">
        <v>1675</v>
      </c>
      <c r="Y347" t="s">
        <v>941</v>
      </c>
      <c r="Z347" t="s">
        <v>942</v>
      </c>
      <c r="AB347" t="s">
        <v>121</v>
      </c>
      <c r="AC347" t="s">
        <v>61</v>
      </c>
      <c r="AD347" t="s">
        <v>968</v>
      </c>
      <c r="AF347" t="s">
        <v>986</v>
      </c>
      <c r="AG347" t="s">
        <v>996</v>
      </c>
      <c r="AH347" t="s">
        <v>988</v>
      </c>
      <c r="AI347" t="s">
        <v>977</v>
      </c>
      <c r="AJ347" t="s">
        <v>1054</v>
      </c>
      <c r="AK347">
        <v>1</v>
      </c>
      <c r="AL347" s="10">
        <v>244.2</v>
      </c>
      <c r="AM347" s="10">
        <v>318.2</v>
      </c>
      <c r="AN347" s="10">
        <v>535.79999999999995</v>
      </c>
      <c r="AO347" s="9">
        <v>7.1236716970264E-2</v>
      </c>
      <c r="AP347" s="9">
        <v>5.7632000000000003</v>
      </c>
      <c r="AQ347" s="9">
        <v>6.8444627869150727</v>
      </c>
      <c r="AR347" s="9">
        <v>7.4400000000000013</v>
      </c>
      <c r="AS347" s="9">
        <v>14.284462786915077</v>
      </c>
      <c r="AT347" s="9">
        <v>10.795918150490564</v>
      </c>
      <c r="AU347" s="9">
        <v>17.360000000000003</v>
      </c>
      <c r="AV347" s="9">
        <v>28.155918150490564</v>
      </c>
      <c r="AW347" s="11">
        <v>3.1819999999999999</v>
      </c>
      <c r="AX347" s="11">
        <v>3.1819999999999999</v>
      </c>
      <c r="AY347" t="s">
        <v>969</v>
      </c>
      <c r="AZ347" t="s">
        <v>950</v>
      </c>
      <c r="BA347" t="s">
        <v>951</v>
      </c>
      <c r="BB347" t="s">
        <v>970</v>
      </c>
      <c r="BC347" t="b">
        <v>1</v>
      </c>
    </row>
    <row r="348" spans="1:55">
      <c r="A348" t="s">
        <v>1676</v>
      </c>
      <c r="B348" t="s">
        <v>939</v>
      </c>
      <c r="C348">
        <v>3983700</v>
      </c>
      <c r="D348">
        <v>2166200</v>
      </c>
      <c r="E348">
        <v>3983700</v>
      </c>
      <c r="F348">
        <v>8074700</v>
      </c>
      <c r="G348" s="9">
        <v>1.4562763345622029E-2</v>
      </c>
      <c r="H348" s="9">
        <v>4.82994654598548E-2</v>
      </c>
      <c r="I348" s="9">
        <v>7.2449198189782196E-2</v>
      </c>
      <c r="J348" s="10">
        <v>159347.99999999997</v>
      </c>
      <c r="K348" s="10">
        <v>159347.99999999997</v>
      </c>
      <c r="L348" s="10">
        <v>159347.99999999997</v>
      </c>
      <c r="M348" s="10">
        <v>159347.99999999997</v>
      </c>
      <c r="N348" s="10">
        <v>159347.99999999997</v>
      </c>
      <c r="O348" s="10">
        <v>159347.99999999997</v>
      </c>
      <c r="P348" s="10">
        <v>159347.99999999997</v>
      </c>
      <c r="Q348" s="10">
        <v>159347.99999999997</v>
      </c>
      <c r="R348" s="10">
        <v>159347.99999999997</v>
      </c>
      <c r="S348" s="10">
        <v>159347.99999999997</v>
      </c>
      <c r="T348" s="10">
        <v>159347.99999999997</v>
      </c>
      <c r="V348" t="s">
        <v>456</v>
      </c>
      <c r="W348" t="s">
        <v>1676</v>
      </c>
      <c r="X348" t="s">
        <v>1677</v>
      </c>
      <c r="Y348" t="s">
        <v>941</v>
      </c>
      <c r="Z348" t="s">
        <v>942</v>
      </c>
      <c r="AB348" t="s">
        <v>121</v>
      </c>
      <c r="AC348" t="s">
        <v>61</v>
      </c>
      <c r="AD348" t="s">
        <v>943</v>
      </c>
      <c r="AF348" t="s">
        <v>944</v>
      </c>
      <c r="AG348" t="s">
        <v>945</v>
      </c>
      <c r="AH348" t="s">
        <v>946</v>
      </c>
      <c r="AI348" t="s">
        <v>947</v>
      </c>
      <c r="AJ348" t="s">
        <v>948</v>
      </c>
      <c r="AK348">
        <v>39</v>
      </c>
      <c r="AL348" s="10">
        <v>2166.1999999999998</v>
      </c>
      <c r="AM348" s="10">
        <v>3983.7</v>
      </c>
      <c r="AN348" s="10">
        <v>8074.7</v>
      </c>
      <c r="AO348" s="9">
        <v>0.8321316751975536</v>
      </c>
      <c r="AP348" s="9">
        <v>67.321200000000005</v>
      </c>
      <c r="AQ348" s="9">
        <v>0.1285532666409247</v>
      </c>
      <c r="AR348" s="9">
        <v>14.434210078981106</v>
      </c>
      <c r="AS348" s="9">
        <v>14.562763345622029</v>
      </c>
      <c r="AT348" s="9">
        <v>0.63630917552281208</v>
      </c>
      <c r="AU348" s="9">
        <v>47.66315628433199</v>
      </c>
      <c r="AV348" s="9">
        <v>48.299465459854801</v>
      </c>
      <c r="AW348" s="11">
        <v>159.34799999999998</v>
      </c>
      <c r="AX348" s="11">
        <v>159.34799999999998</v>
      </c>
      <c r="AY348" t="s">
        <v>949</v>
      </c>
      <c r="AZ348" t="s">
        <v>950</v>
      </c>
      <c r="BA348" t="s">
        <v>951</v>
      </c>
      <c r="BB348" t="s">
        <v>952</v>
      </c>
      <c r="BC348" t="b">
        <v>1</v>
      </c>
    </row>
    <row r="349" spans="1:55">
      <c r="A349" t="s">
        <v>1678</v>
      </c>
      <c r="B349" t="s">
        <v>939</v>
      </c>
      <c r="C349">
        <v>415100</v>
      </c>
      <c r="D349">
        <v>225700</v>
      </c>
      <c r="E349">
        <v>415100</v>
      </c>
      <c r="F349">
        <v>841300</v>
      </c>
      <c r="G349" s="9">
        <v>1.5722207915239136E-2</v>
      </c>
      <c r="H349" s="9">
        <v>5.2249203813805725E-2</v>
      </c>
      <c r="I349" s="9">
        <v>7.8373805720708595E-2</v>
      </c>
      <c r="J349" s="10">
        <v>16604</v>
      </c>
      <c r="K349" s="10">
        <v>16604</v>
      </c>
      <c r="L349" s="10">
        <v>16604</v>
      </c>
      <c r="M349" s="10">
        <v>16604</v>
      </c>
      <c r="N349" s="10">
        <v>16604</v>
      </c>
      <c r="O349" s="10">
        <v>16604</v>
      </c>
      <c r="P349" s="10">
        <v>16604</v>
      </c>
      <c r="Q349" s="10">
        <v>16604</v>
      </c>
      <c r="R349" s="10">
        <v>16604</v>
      </c>
      <c r="S349" s="10">
        <v>16604</v>
      </c>
      <c r="T349" s="10">
        <v>16604</v>
      </c>
      <c r="V349" t="s">
        <v>456</v>
      </c>
      <c r="W349" t="s">
        <v>1678</v>
      </c>
      <c r="X349" t="s">
        <v>1679</v>
      </c>
      <c r="Y349" t="s">
        <v>941</v>
      </c>
      <c r="Z349" t="s">
        <v>942</v>
      </c>
      <c r="AB349" t="s">
        <v>121</v>
      </c>
      <c r="AC349" t="s">
        <v>61</v>
      </c>
      <c r="AD349" t="s">
        <v>943</v>
      </c>
      <c r="AF349" t="s">
        <v>944</v>
      </c>
      <c r="AG349" t="s">
        <v>955</v>
      </c>
      <c r="AH349" t="s">
        <v>956</v>
      </c>
      <c r="AI349" t="s">
        <v>947</v>
      </c>
      <c r="AJ349" t="s">
        <v>948</v>
      </c>
      <c r="AK349">
        <v>3</v>
      </c>
      <c r="AL349" s="10">
        <v>225.7</v>
      </c>
      <c r="AM349" s="10">
        <v>415.1</v>
      </c>
      <c r="AN349" s="10">
        <v>841.3</v>
      </c>
      <c r="AO349" s="9">
        <v>8.6698614745476299E-2</v>
      </c>
      <c r="AP349" s="9">
        <v>7.0141000000000009</v>
      </c>
      <c r="AQ349" s="9">
        <v>1.2879978362580295</v>
      </c>
      <c r="AR349" s="9">
        <v>14.434210078981106</v>
      </c>
      <c r="AS349" s="9">
        <v>15.722207915239135</v>
      </c>
      <c r="AT349" s="9">
        <v>4.586047529473734</v>
      </c>
      <c r="AU349" s="9">
        <v>47.663156284331997</v>
      </c>
      <c r="AV349" s="9">
        <v>52.249203813805728</v>
      </c>
      <c r="AW349" s="11">
        <v>16.603999999999999</v>
      </c>
      <c r="AX349" s="11">
        <v>16.603999999999999</v>
      </c>
      <c r="AY349" t="s">
        <v>949</v>
      </c>
      <c r="AZ349" t="s">
        <v>950</v>
      </c>
      <c r="BA349" t="s">
        <v>951</v>
      </c>
      <c r="BB349" t="s">
        <v>952</v>
      </c>
      <c r="BC349" t="b">
        <v>1</v>
      </c>
    </row>
    <row r="350" spans="1:55">
      <c r="A350" t="s">
        <v>1680</v>
      </c>
      <c r="B350" t="s">
        <v>939</v>
      </c>
      <c r="C350">
        <v>3800</v>
      </c>
      <c r="D350">
        <v>2100</v>
      </c>
      <c r="E350">
        <v>3800</v>
      </c>
      <c r="F350">
        <v>7700</v>
      </c>
      <c r="G350" s="9">
        <v>9.4285138005322424E-3</v>
      </c>
      <c r="H350" s="9">
        <v>3.2347482016473646E-2</v>
      </c>
      <c r="I350" s="9">
        <v>4.8521223024710472E-2</v>
      </c>
      <c r="J350" s="10">
        <v>152</v>
      </c>
      <c r="K350" s="10">
        <v>152</v>
      </c>
      <c r="L350" s="10">
        <v>152</v>
      </c>
      <c r="M350" s="10">
        <v>152</v>
      </c>
      <c r="N350" s="10">
        <v>152</v>
      </c>
      <c r="O350" s="10">
        <v>152</v>
      </c>
      <c r="P350" s="10">
        <v>152</v>
      </c>
      <c r="Q350" s="10">
        <v>152</v>
      </c>
      <c r="R350" s="10">
        <v>152</v>
      </c>
      <c r="S350" s="10">
        <v>152</v>
      </c>
      <c r="T350" s="10">
        <v>152</v>
      </c>
      <c r="V350" t="s">
        <v>456</v>
      </c>
      <c r="W350" t="s">
        <v>1680</v>
      </c>
      <c r="X350" t="s">
        <v>1681</v>
      </c>
      <c r="Y350" t="s">
        <v>941</v>
      </c>
      <c r="Z350" t="s">
        <v>942</v>
      </c>
      <c r="AB350" t="s">
        <v>121</v>
      </c>
      <c r="AC350" t="s">
        <v>61</v>
      </c>
      <c r="AD350" t="s">
        <v>943</v>
      </c>
      <c r="AF350" t="s">
        <v>944</v>
      </c>
      <c r="AG350" t="s">
        <v>1042</v>
      </c>
      <c r="AH350" t="s">
        <v>988</v>
      </c>
      <c r="AI350" t="s">
        <v>960</v>
      </c>
      <c r="AJ350" t="s">
        <v>948</v>
      </c>
      <c r="AK350">
        <v>1</v>
      </c>
      <c r="AL350" s="10">
        <v>2.1</v>
      </c>
      <c r="AM350" s="10">
        <v>3.8</v>
      </c>
      <c r="AN350" s="10">
        <v>7.7</v>
      </c>
      <c r="AO350" s="9">
        <v>9.9329930867059994E-3</v>
      </c>
      <c r="AP350" s="9">
        <v>0.80359999999999998</v>
      </c>
      <c r="AQ350" s="9">
        <v>1.6785138005322424</v>
      </c>
      <c r="AR350" s="9">
        <v>7.75</v>
      </c>
      <c r="AS350" s="9">
        <v>9.428513800532242</v>
      </c>
      <c r="AT350" s="9">
        <v>8.7474820164736435</v>
      </c>
      <c r="AU350" s="9">
        <v>23.6</v>
      </c>
      <c r="AV350" s="9">
        <v>32.347482016473649</v>
      </c>
      <c r="AW350" s="11">
        <v>0.152</v>
      </c>
      <c r="AX350" s="11">
        <v>0.152</v>
      </c>
      <c r="AY350" t="s">
        <v>949</v>
      </c>
      <c r="AZ350" t="s">
        <v>950</v>
      </c>
      <c r="BA350" t="s">
        <v>951</v>
      </c>
      <c r="BB350" t="s">
        <v>952</v>
      </c>
      <c r="BC350" t="b">
        <v>1</v>
      </c>
    </row>
    <row r="351" spans="1:55">
      <c r="A351" t="s">
        <v>1682</v>
      </c>
      <c r="B351" t="s">
        <v>939</v>
      </c>
      <c r="C351">
        <v>836000</v>
      </c>
      <c r="D351">
        <v>454600</v>
      </c>
      <c r="E351">
        <v>836000</v>
      </c>
      <c r="F351">
        <v>1694500</v>
      </c>
      <c r="G351" s="9">
        <v>6.5831417201239828E-3</v>
      </c>
      <c r="H351" s="9">
        <v>1.7024044511906925E-2</v>
      </c>
      <c r="I351" s="9">
        <v>2.5536066767860389E-2</v>
      </c>
      <c r="J351" s="10">
        <v>17360.634589554436</v>
      </c>
      <c r="K351" s="10">
        <v>16935.556743183781</v>
      </c>
      <c r="L351" s="10">
        <v>16510.478896813129</v>
      </c>
      <c r="M351" s="10">
        <v>16085.401050442475</v>
      </c>
      <c r="N351" s="10">
        <v>15660.323204071819</v>
      </c>
      <c r="O351" s="10">
        <v>15235.245357701166</v>
      </c>
      <c r="P351" s="10">
        <v>14385.089664959856</v>
      </c>
      <c r="Q351" s="10">
        <v>13534.93397221855</v>
      </c>
      <c r="R351" s="10">
        <v>12684.778279477241</v>
      </c>
      <c r="S351" s="10">
        <v>11834.622586735932</v>
      </c>
      <c r="T351" s="10">
        <v>10984.466893994624</v>
      </c>
      <c r="V351" t="s">
        <v>456</v>
      </c>
      <c r="W351" t="s">
        <v>1682</v>
      </c>
      <c r="X351" t="s">
        <v>1683</v>
      </c>
      <c r="Y351" t="s">
        <v>941</v>
      </c>
      <c r="Z351" t="s">
        <v>942</v>
      </c>
      <c r="AB351" t="s">
        <v>548</v>
      </c>
      <c r="AC351" t="s">
        <v>547</v>
      </c>
      <c r="AD351" t="s">
        <v>943</v>
      </c>
      <c r="AF351" t="s">
        <v>944</v>
      </c>
      <c r="AG351" t="s">
        <v>999</v>
      </c>
      <c r="AH351" t="s">
        <v>946</v>
      </c>
      <c r="AI351" t="s">
        <v>977</v>
      </c>
      <c r="AJ351" t="s">
        <v>948</v>
      </c>
      <c r="AK351">
        <v>2</v>
      </c>
      <c r="AL351" s="10">
        <v>454.6</v>
      </c>
      <c r="AM351" s="10">
        <v>836</v>
      </c>
      <c r="AN351" s="10">
        <v>1694.5</v>
      </c>
      <c r="AO351" s="9">
        <v>1.07849819227847E-2</v>
      </c>
      <c r="AP351" s="9">
        <v>1.5998000000000001</v>
      </c>
      <c r="AQ351" s="9">
        <v>0.3831417201239844</v>
      </c>
      <c r="AR351" s="9">
        <v>6.1999999999999993</v>
      </c>
      <c r="AS351" s="9">
        <v>6.583141720123983</v>
      </c>
      <c r="AT351" s="9">
        <v>2.1440445119069262</v>
      </c>
      <c r="AU351" s="9">
        <v>14.88</v>
      </c>
      <c r="AV351" s="9">
        <v>17.024044511906926</v>
      </c>
      <c r="AW351" s="11">
        <v>17.360634589554437</v>
      </c>
      <c r="AX351" s="11">
        <v>10.984466893994624</v>
      </c>
      <c r="AY351" t="s">
        <v>949</v>
      </c>
      <c r="AZ351" t="s">
        <v>950</v>
      </c>
      <c r="BA351" t="s">
        <v>951</v>
      </c>
      <c r="BB351" t="s">
        <v>970</v>
      </c>
      <c r="BC351" t="b">
        <v>1</v>
      </c>
    </row>
    <row r="352" spans="1:55">
      <c r="A352" t="s">
        <v>1684</v>
      </c>
      <c r="B352" t="s">
        <v>939</v>
      </c>
      <c r="C352">
        <v>3311900</v>
      </c>
      <c r="D352">
        <v>1801000</v>
      </c>
      <c r="E352">
        <v>3311900</v>
      </c>
      <c r="F352">
        <v>6713100</v>
      </c>
      <c r="G352" s="9">
        <v>7.8876120103828842E-3</v>
      </c>
      <c r="H352" s="9">
        <v>2.4036289921057667E-2</v>
      </c>
      <c r="I352" s="9">
        <v>3.6054434881586502E-2</v>
      </c>
      <c r="J352" s="10">
        <v>68775.939829121227</v>
      </c>
      <c r="K352" s="10">
        <v>67091.950212620068</v>
      </c>
      <c r="L352" s="10">
        <v>65407.960596118908</v>
      </c>
      <c r="M352" s="10">
        <v>63723.970979617749</v>
      </c>
      <c r="N352" s="10">
        <v>62039.981363116589</v>
      </c>
      <c r="O352" s="10">
        <v>60355.991746615429</v>
      </c>
      <c r="P352" s="10">
        <v>56988.01251361311</v>
      </c>
      <c r="Q352" s="10">
        <v>53620.033280610784</v>
      </c>
      <c r="R352" s="10">
        <v>50252.054047608464</v>
      </c>
      <c r="S352" s="10">
        <v>46884.074814606138</v>
      </c>
      <c r="T352" s="10">
        <v>43516.095581603819</v>
      </c>
      <c r="V352" t="s">
        <v>456</v>
      </c>
      <c r="W352" t="s">
        <v>1684</v>
      </c>
      <c r="X352" t="s">
        <v>1685</v>
      </c>
      <c r="Y352" t="s">
        <v>941</v>
      </c>
      <c r="Z352" t="s">
        <v>942</v>
      </c>
      <c r="AB352" t="s">
        <v>548</v>
      </c>
      <c r="AC352" t="s">
        <v>547</v>
      </c>
      <c r="AD352" t="s">
        <v>943</v>
      </c>
      <c r="AF352" t="s">
        <v>944</v>
      </c>
      <c r="AG352" t="s">
        <v>959</v>
      </c>
      <c r="AH352" t="s">
        <v>946</v>
      </c>
      <c r="AI352" t="s">
        <v>960</v>
      </c>
      <c r="AJ352" t="s">
        <v>948</v>
      </c>
      <c r="AK352">
        <v>42</v>
      </c>
      <c r="AL352" s="10">
        <v>1801</v>
      </c>
      <c r="AM352" s="10">
        <v>3311.9</v>
      </c>
      <c r="AN352" s="10">
        <v>6713.1</v>
      </c>
      <c r="AO352" s="9">
        <v>0.75522378601538809</v>
      </c>
      <c r="AP352" s="9">
        <v>112.02679999999999</v>
      </c>
      <c r="AQ352" s="9">
        <v>0.13761201038288509</v>
      </c>
      <c r="AR352" s="9">
        <v>7.7500000000000009</v>
      </c>
      <c r="AS352" s="9">
        <v>7.8876120103828846</v>
      </c>
      <c r="AT352" s="9">
        <v>0.43628992105766662</v>
      </c>
      <c r="AU352" s="9">
        <v>23.6</v>
      </c>
      <c r="AV352" s="9">
        <v>24.036289921057666</v>
      </c>
      <c r="AW352" s="11">
        <v>68.775939829121228</v>
      </c>
      <c r="AX352" s="11">
        <v>43.516095581603821</v>
      </c>
      <c r="AY352" t="s">
        <v>949</v>
      </c>
      <c r="AZ352" t="s">
        <v>950</v>
      </c>
      <c r="BA352" t="s">
        <v>951</v>
      </c>
      <c r="BB352" t="s">
        <v>970</v>
      </c>
      <c r="BC352" t="b">
        <v>1</v>
      </c>
    </row>
    <row r="353" spans="1:55">
      <c r="A353" t="s">
        <v>1686</v>
      </c>
      <c r="B353" t="s">
        <v>939</v>
      </c>
      <c r="C353">
        <v>35806600</v>
      </c>
      <c r="D353">
        <v>19470800</v>
      </c>
      <c r="E353">
        <v>35806600</v>
      </c>
      <c r="F353">
        <v>72577700</v>
      </c>
      <c r="G353" s="9">
        <v>1.5057153205468042E-2</v>
      </c>
      <c r="H353" s="9">
        <v>4.8720491512132966E-2</v>
      </c>
      <c r="I353" s="9">
        <v>7.3080737268199442E-2</v>
      </c>
      <c r="J353" s="10">
        <v>743570.93121332524</v>
      </c>
      <c r="K353" s="10">
        <v>725364.48095751728</v>
      </c>
      <c r="L353" s="10">
        <v>707158.03070170933</v>
      </c>
      <c r="M353" s="10">
        <v>688951.58044590126</v>
      </c>
      <c r="N353" s="10">
        <v>670745.13019009342</v>
      </c>
      <c r="O353" s="10">
        <v>652538.67993428535</v>
      </c>
      <c r="P353" s="10">
        <v>616125.77942266944</v>
      </c>
      <c r="Q353" s="10">
        <v>579712.87891105353</v>
      </c>
      <c r="R353" s="10">
        <v>543299.97839943762</v>
      </c>
      <c r="S353" s="10">
        <v>506887.07788782154</v>
      </c>
      <c r="T353" s="10">
        <v>470474.17737620563</v>
      </c>
      <c r="V353" t="s">
        <v>456</v>
      </c>
      <c r="W353" t="s">
        <v>1686</v>
      </c>
      <c r="X353" t="s">
        <v>1687</v>
      </c>
      <c r="Y353" t="s">
        <v>941</v>
      </c>
      <c r="Z353" t="s">
        <v>942</v>
      </c>
      <c r="AB353" t="s">
        <v>548</v>
      </c>
      <c r="AC353" t="s">
        <v>547</v>
      </c>
      <c r="AD353" t="s">
        <v>943</v>
      </c>
      <c r="AF353" t="s">
        <v>944</v>
      </c>
      <c r="AG353" t="s">
        <v>945</v>
      </c>
      <c r="AH353" t="s">
        <v>946</v>
      </c>
      <c r="AI353" t="s">
        <v>947</v>
      </c>
      <c r="AJ353" t="s">
        <v>948</v>
      </c>
      <c r="AK353">
        <v>3</v>
      </c>
      <c r="AL353" s="10">
        <v>19470.8</v>
      </c>
      <c r="AM353" s="10">
        <v>35806.6</v>
      </c>
      <c r="AN353" s="10">
        <v>72577.7</v>
      </c>
      <c r="AO353" s="9">
        <v>6.2204766344492401E-2</v>
      </c>
      <c r="AP353" s="9">
        <v>9.2271999999999998</v>
      </c>
      <c r="AQ353" s="9">
        <v>0.57011696486754349</v>
      </c>
      <c r="AR353" s="9">
        <v>14.487036240600499</v>
      </c>
      <c r="AS353" s="9">
        <v>15.057153205468042</v>
      </c>
      <c r="AT353" s="9">
        <v>0.86716104597117061</v>
      </c>
      <c r="AU353" s="9">
        <v>47.853330466161808</v>
      </c>
      <c r="AV353" s="9">
        <v>48.720491512132966</v>
      </c>
      <c r="AW353" s="11">
        <v>743.57093121332525</v>
      </c>
      <c r="AX353" s="11">
        <v>470.4741773762056</v>
      </c>
      <c r="AY353" t="s">
        <v>949</v>
      </c>
      <c r="AZ353" t="s">
        <v>950</v>
      </c>
      <c r="BA353" t="s">
        <v>951</v>
      </c>
      <c r="BB353" t="s">
        <v>970</v>
      </c>
      <c r="BC353" t="b">
        <v>1</v>
      </c>
    </row>
    <row r="354" spans="1:55">
      <c r="A354" t="s">
        <v>1688</v>
      </c>
      <c r="B354" t="s">
        <v>939</v>
      </c>
      <c r="C354">
        <v>753400</v>
      </c>
      <c r="D354">
        <v>409700</v>
      </c>
      <c r="E354">
        <v>753400</v>
      </c>
      <c r="F354">
        <v>1527000</v>
      </c>
      <c r="G354" s="9">
        <v>8.3401522486784754E-3</v>
      </c>
      <c r="H354" s="9">
        <v>2.5439749092666167E-2</v>
      </c>
      <c r="I354" s="9">
        <v>3.8159623638999253E-2</v>
      </c>
      <c r="J354" s="10">
        <v>15645.337439916642</v>
      </c>
      <c r="K354" s="10">
        <v>15262.258911859644</v>
      </c>
      <c r="L354" s="10">
        <v>14879.180383802646</v>
      </c>
      <c r="M354" s="10">
        <v>14496.101855745646</v>
      </c>
      <c r="N354" s="10">
        <v>14113.023327688648</v>
      </c>
      <c r="O354" s="10">
        <v>13729.94479963165</v>
      </c>
      <c r="P354" s="10">
        <v>12963.787743517652</v>
      </c>
      <c r="Q354" s="10">
        <v>12197.630687403655</v>
      </c>
      <c r="R354" s="10">
        <v>11431.473631289657</v>
      </c>
      <c r="S354" s="10">
        <v>10665.316575175659</v>
      </c>
      <c r="T354" s="10">
        <v>9899.1595190616626</v>
      </c>
      <c r="V354" t="s">
        <v>456</v>
      </c>
      <c r="W354" t="s">
        <v>1688</v>
      </c>
      <c r="X354" t="s">
        <v>1689</v>
      </c>
      <c r="Y354" t="s">
        <v>941</v>
      </c>
      <c r="Z354" t="s">
        <v>942</v>
      </c>
      <c r="AB354" t="s">
        <v>548</v>
      </c>
      <c r="AC354" t="s">
        <v>547</v>
      </c>
      <c r="AD354" t="s">
        <v>943</v>
      </c>
      <c r="AF354" t="s">
        <v>944</v>
      </c>
      <c r="AG354" t="s">
        <v>965</v>
      </c>
      <c r="AH354" t="s">
        <v>956</v>
      </c>
      <c r="AI354" t="s">
        <v>960</v>
      </c>
      <c r="AJ354" t="s">
        <v>948</v>
      </c>
      <c r="AK354">
        <v>12</v>
      </c>
      <c r="AL354" s="10">
        <v>409.7</v>
      </c>
      <c r="AM354" s="10">
        <v>753.4</v>
      </c>
      <c r="AN354" s="10">
        <v>1527</v>
      </c>
      <c r="AO354" s="9">
        <v>0.1717864657173348</v>
      </c>
      <c r="AP354" s="9">
        <v>25.482100000000003</v>
      </c>
      <c r="AQ354" s="9">
        <v>0.59015224867847427</v>
      </c>
      <c r="AR354" s="9">
        <v>7.7499999999999991</v>
      </c>
      <c r="AS354" s="9">
        <v>8.3401522486784749</v>
      </c>
      <c r="AT354" s="9">
        <v>1.839749092666169</v>
      </c>
      <c r="AU354" s="9">
        <v>23.6</v>
      </c>
      <c r="AV354" s="9">
        <v>25.439749092666169</v>
      </c>
      <c r="AW354" s="11">
        <v>15.645337439916643</v>
      </c>
      <c r="AX354" s="11">
        <v>9.8991595190616621</v>
      </c>
      <c r="AY354" t="s">
        <v>949</v>
      </c>
      <c r="AZ354" t="s">
        <v>950</v>
      </c>
      <c r="BA354" t="s">
        <v>951</v>
      </c>
      <c r="BB354" t="s">
        <v>970</v>
      </c>
      <c r="BC354" t="b">
        <v>1</v>
      </c>
    </row>
    <row r="355" spans="1:55">
      <c r="A355" t="s">
        <v>1690</v>
      </c>
      <c r="B355" t="s">
        <v>939</v>
      </c>
      <c r="C355">
        <v>134300</v>
      </c>
      <c r="D355">
        <v>73000</v>
      </c>
      <c r="E355">
        <v>134300</v>
      </c>
      <c r="F355">
        <v>272200</v>
      </c>
      <c r="G355" s="9">
        <v>1.5028855009429784E-2</v>
      </c>
      <c r="H355" s="9">
        <v>5.0527888083165308E-2</v>
      </c>
      <c r="I355" s="9">
        <v>7.5791832124747965E-2</v>
      </c>
      <c r="J355" s="10">
        <v>5372.0000000000009</v>
      </c>
      <c r="K355" s="10">
        <v>5372.0000000000009</v>
      </c>
      <c r="L355" s="10">
        <v>5372.0000000000009</v>
      </c>
      <c r="M355" s="10">
        <v>5372.0000000000009</v>
      </c>
      <c r="N355" s="10">
        <v>5372.0000000000009</v>
      </c>
      <c r="O355" s="10">
        <v>5372.0000000000009</v>
      </c>
      <c r="P355" s="10">
        <v>5372.0000000000009</v>
      </c>
      <c r="Q355" s="10">
        <v>5372.0000000000009</v>
      </c>
      <c r="R355" s="10">
        <v>5372.0000000000009</v>
      </c>
      <c r="S355" s="10">
        <v>5372.0000000000009</v>
      </c>
      <c r="T355" s="10">
        <v>5372.0000000000009</v>
      </c>
      <c r="V355" t="s">
        <v>456</v>
      </c>
      <c r="W355" t="s">
        <v>1690</v>
      </c>
      <c r="X355" t="s">
        <v>1691</v>
      </c>
      <c r="Y355" t="s">
        <v>941</v>
      </c>
      <c r="Z355" t="s">
        <v>942</v>
      </c>
      <c r="AB355" t="s">
        <v>1692</v>
      </c>
      <c r="AC355" t="s">
        <v>1692</v>
      </c>
      <c r="AD355" t="s">
        <v>943</v>
      </c>
      <c r="AF355" t="s">
        <v>944</v>
      </c>
      <c r="AG355" t="s">
        <v>945</v>
      </c>
      <c r="AH355" t="s">
        <v>946</v>
      </c>
      <c r="AI355" t="s">
        <v>947</v>
      </c>
      <c r="AJ355" t="s">
        <v>948</v>
      </c>
      <c r="AK355">
        <v>2</v>
      </c>
      <c r="AL355" s="10">
        <v>73</v>
      </c>
      <c r="AM355" s="10">
        <v>134.30000000000001</v>
      </c>
      <c r="AN355" s="10">
        <v>272.2</v>
      </c>
      <c r="AO355" s="9">
        <v>1</v>
      </c>
      <c r="AP355" s="9">
        <v>1.4172</v>
      </c>
      <c r="AQ355" s="9">
        <v>0.20178810393690649</v>
      </c>
      <c r="AR355" s="9">
        <v>14.827066905492876</v>
      </c>
      <c r="AS355" s="9">
        <v>15.028855009429783</v>
      </c>
      <c r="AT355" s="9">
        <v>1.4504472233909378</v>
      </c>
      <c r="AU355" s="9">
        <v>49.07744085977437</v>
      </c>
      <c r="AV355" s="9">
        <v>50.527888083165308</v>
      </c>
      <c r="AW355" s="11">
        <v>5.3720000000000008</v>
      </c>
      <c r="AX355" s="11">
        <v>5.3720000000000008</v>
      </c>
      <c r="AY355" t="s">
        <v>949</v>
      </c>
      <c r="AZ355" t="s">
        <v>950</v>
      </c>
      <c r="BA355" t="s">
        <v>951</v>
      </c>
      <c r="BB355" t="s">
        <v>952</v>
      </c>
      <c r="BC355" t="b">
        <v>1</v>
      </c>
    </row>
    <row r="356" spans="1:55">
      <c r="A356" t="s">
        <v>1693</v>
      </c>
      <c r="B356" t="s">
        <v>939</v>
      </c>
      <c r="C356">
        <v>965300</v>
      </c>
      <c r="D356">
        <v>524900</v>
      </c>
      <c r="E356">
        <v>965300</v>
      </c>
      <c r="F356">
        <v>1956600</v>
      </c>
      <c r="G356" s="9">
        <v>6.5130700271824687E-2</v>
      </c>
      <c r="H356" s="9">
        <v>0.12077889013790268</v>
      </c>
      <c r="I356" s="9">
        <v>0.18116833520685402</v>
      </c>
      <c r="J356" s="10">
        <v>38612</v>
      </c>
      <c r="K356" s="10">
        <v>38612</v>
      </c>
      <c r="L356" s="10">
        <v>38612</v>
      </c>
      <c r="M356" s="10">
        <v>38612</v>
      </c>
      <c r="N356" s="10">
        <v>38612</v>
      </c>
      <c r="O356" s="10">
        <v>38612</v>
      </c>
      <c r="P356" s="10">
        <v>38612</v>
      </c>
      <c r="Q356" s="10">
        <v>38612</v>
      </c>
      <c r="R356" s="10">
        <v>38612</v>
      </c>
      <c r="S356" s="10">
        <v>38612</v>
      </c>
      <c r="T356" s="10">
        <v>38612</v>
      </c>
      <c r="V356" t="s">
        <v>456</v>
      </c>
      <c r="W356" t="s">
        <v>1693</v>
      </c>
      <c r="X356" t="s">
        <v>1694</v>
      </c>
      <c r="Y356" t="s">
        <v>941</v>
      </c>
      <c r="Z356" t="s">
        <v>942</v>
      </c>
      <c r="AB356" t="s">
        <v>549</v>
      </c>
      <c r="AC356" t="s">
        <v>549</v>
      </c>
      <c r="AD356" t="s">
        <v>943</v>
      </c>
      <c r="AF356" t="s">
        <v>986</v>
      </c>
      <c r="AG356" t="s">
        <v>1025</v>
      </c>
      <c r="AH356" t="s">
        <v>946</v>
      </c>
      <c r="AI356" t="s">
        <v>947</v>
      </c>
      <c r="AJ356" t="s">
        <v>989</v>
      </c>
      <c r="AK356">
        <v>7</v>
      </c>
      <c r="AL356" s="10">
        <v>524.9</v>
      </c>
      <c r="AM356" s="10">
        <v>965.3</v>
      </c>
      <c r="AN356" s="10">
        <v>1956.6</v>
      </c>
      <c r="AO356" s="9">
        <v>0.3708146265908166</v>
      </c>
      <c r="AP356" s="9">
        <v>10.3903</v>
      </c>
      <c r="AQ356" s="9">
        <v>23.828398194224608</v>
      </c>
      <c r="AR356" s="9">
        <v>41.302302077600089</v>
      </c>
      <c r="AS356" s="9">
        <v>65.130700271824693</v>
      </c>
      <c r="AT356" s="9">
        <v>42.773957114473895</v>
      </c>
      <c r="AU356" s="9">
        <v>78.004933023428805</v>
      </c>
      <c r="AV356" s="9">
        <v>120.77889013790268</v>
      </c>
      <c r="AW356" s="11">
        <v>38.612000000000002</v>
      </c>
      <c r="AX356" s="11">
        <v>38.612000000000002</v>
      </c>
      <c r="AY356" t="s">
        <v>949</v>
      </c>
      <c r="AZ356" t="s">
        <v>950</v>
      </c>
      <c r="BA356" t="s">
        <v>951</v>
      </c>
      <c r="BB356" t="s">
        <v>952</v>
      </c>
      <c r="BC356" t="b">
        <v>1</v>
      </c>
    </row>
    <row r="357" spans="1:55">
      <c r="A357" t="s">
        <v>1695</v>
      </c>
      <c r="B357" t="s">
        <v>939</v>
      </c>
      <c r="C357">
        <v>19700</v>
      </c>
      <c r="D357">
        <v>10700</v>
      </c>
      <c r="E357">
        <v>19700</v>
      </c>
      <c r="F357">
        <v>40000</v>
      </c>
      <c r="G357" s="9">
        <v>3.6629127505137242E-2</v>
      </c>
      <c r="H357" s="9"/>
      <c r="I357" s="9"/>
      <c r="J357" s="10">
        <v>787.99999999999989</v>
      </c>
      <c r="K357" s="10">
        <v>787.99999999999989</v>
      </c>
      <c r="L357" s="10">
        <v>787.99999999999989</v>
      </c>
      <c r="M357" s="10">
        <v>787.99999999999989</v>
      </c>
      <c r="N357" s="10">
        <v>787.99999999999989</v>
      </c>
      <c r="O357" s="10">
        <v>787.99999999999989</v>
      </c>
      <c r="P357" s="10">
        <v>787.99999999999989</v>
      </c>
      <c r="Q357" s="10">
        <v>787.99999999999989</v>
      </c>
      <c r="R357" s="10">
        <v>787.99999999999989</v>
      </c>
      <c r="S357" s="10">
        <v>787.99999999999989</v>
      </c>
      <c r="T357" s="10">
        <v>787.99999999999989</v>
      </c>
      <c r="V357" t="s">
        <v>456</v>
      </c>
      <c r="W357" t="s">
        <v>1695</v>
      </c>
      <c r="X357" t="s">
        <v>1696</v>
      </c>
      <c r="Y357" t="s">
        <v>941</v>
      </c>
      <c r="Z357" t="s">
        <v>942</v>
      </c>
      <c r="AB357" t="s">
        <v>549</v>
      </c>
      <c r="AC357" t="s">
        <v>549</v>
      </c>
      <c r="AD357" t="s">
        <v>943</v>
      </c>
      <c r="AF357" t="s">
        <v>986</v>
      </c>
      <c r="AG357" t="s">
        <v>965</v>
      </c>
      <c r="AH357" t="s">
        <v>956</v>
      </c>
      <c r="AI357" t="s">
        <v>960</v>
      </c>
      <c r="AJ357" t="s">
        <v>1054</v>
      </c>
      <c r="AK357">
        <v>1</v>
      </c>
      <c r="AL357" s="10">
        <v>10.7</v>
      </c>
      <c r="AM357" s="10">
        <v>19.7</v>
      </c>
      <c r="AN357" s="10">
        <v>40</v>
      </c>
      <c r="AO357" s="9">
        <v>3.0792071434179599E-2</v>
      </c>
      <c r="AP357" s="9">
        <v>0.86280000000000001</v>
      </c>
      <c r="AQ357" s="9">
        <v>14.929127505137243</v>
      </c>
      <c r="AR357" s="9">
        <v>21.7</v>
      </c>
      <c r="AS357" s="9">
        <v>36.629127505137241</v>
      </c>
      <c r="AT357" s="9"/>
      <c r="AU357" s="9"/>
      <c r="AV357" s="9"/>
      <c r="AW357" s="11">
        <v>0.78799999999999992</v>
      </c>
      <c r="AX357" s="11">
        <v>0.78799999999999992</v>
      </c>
      <c r="AY357" t="s">
        <v>949</v>
      </c>
      <c r="AZ357" t="s">
        <v>950</v>
      </c>
      <c r="BA357" t="s">
        <v>951</v>
      </c>
      <c r="BB357" t="s">
        <v>952</v>
      </c>
      <c r="BC357" t="b">
        <v>0</v>
      </c>
    </row>
    <row r="358" spans="1:55">
      <c r="A358" t="s">
        <v>1697</v>
      </c>
      <c r="B358" t="s">
        <v>939</v>
      </c>
      <c r="C358">
        <v>829300</v>
      </c>
      <c r="D358">
        <v>451000</v>
      </c>
      <c r="E358">
        <v>829300</v>
      </c>
      <c r="F358">
        <v>1681000</v>
      </c>
      <c r="G358" s="9">
        <v>6.5014414171774712E-2</v>
      </c>
      <c r="H358" s="9">
        <v>0.11120188995527328</v>
      </c>
      <c r="I358" s="9">
        <v>0.16680283493290993</v>
      </c>
      <c r="J358" s="10">
        <v>33172</v>
      </c>
      <c r="K358" s="10">
        <v>33172</v>
      </c>
      <c r="L358" s="10">
        <v>33172</v>
      </c>
      <c r="M358" s="10">
        <v>33172</v>
      </c>
      <c r="N358" s="10">
        <v>33172</v>
      </c>
      <c r="O358" s="10">
        <v>33172</v>
      </c>
      <c r="P358" s="10">
        <v>33172</v>
      </c>
      <c r="Q358" s="10">
        <v>33172</v>
      </c>
      <c r="R358" s="10">
        <v>33172</v>
      </c>
      <c r="S358" s="10">
        <v>33172</v>
      </c>
      <c r="T358" s="10">
        <v>33172</v>
      </c>
      <c r="V358" t="s">
        <v>456</v>
      </c>
      <c r="W358" t="s">
        <v>1697</v>
      </c>
      <c r="X358" t="s">
        <v>1698</v>
      </c>
      <c r="Y358" t="s">
        <v>941</v>
      </c>
      <c r="Z358" t="s">
        <v>942</v>
      </c>
      <c r="AB358" t="s">
        <v>549</v>
      </c>
      <c r="AC358" t="s">
        <v>549</v>
      </c>
      <c r="AD358" t="s">
        <v>943</v>
      </c>
      <c r="AF358" t="s">
        <v>986</v>
      </c>
      <c r="AG358" t="s">
        <v>1028</v>
      </c>
      <c r="AH358" t="s">
        <v>956</v>
      </c>
      <c r="AI358" t="s">
        <v>947</v>
      </c>
      <c r="AJ358" t="s">
        <v>989</v>
      </c>
      <c r="AK358">
        <v>2</v>
      </c>
      <c r="AL358" s="10">
        <v>451</v>
      </c>
      <c r="AM358" s="10">
        <v>829.3</v>
      </c>
      <c r="AN358" s="10">
        <v>1681</v>
      </c>
      <c r="AO358" s="9">
        <v>0.31859515635148927</v>
      </c>
      <c r="AP358" s="9">
        <v>8.9270999999999994</v>
      </c>
      <c r="AQ358" s="9">
        <v>23.712112094174632</v>
      </c>
      <c r="AR358" s="9">
        <v>41.302302077600089</v>
      </c>
      <c r="AS358" s="9">
        <v>65.014414171774717</v>
      </c>
      <c r="AT358" s="9">
        <v>33.196956931844483</v>
      </c>
      <c r="AU358" s="9">
        <v>78.004933023428791</v>
      </c>
      <c r="AV358" s="9">
        <v>111.20188995527327</v>
      </c>
      <c r="AW358" s="11">
        <v>33.171999999999997</v>
      </c>
      <c r="AX358" s="11">
        <v>33.171999999999997</v>
      </c>
      <c r="AY358" t="s">
        <v>949</v>
      </c>
      <c r="AZ358" t="s">
        <v>950</v>
      </c>
      <c r="BA358" t="s">
        <v>951</v>
      </c>
      <c r="BB358" t="s">
        <v>952</v>
      </c>
      <c r="BC358" t="b">
        <v>1</v>
      </c>
    </row>
    <row r="359" spans="1:55">
      <c r="A359" t="s">
        <v>1699</v>
      </c>
      <c r="B359" t="s">
        <v>939</v>
      </c>
      <c r="C359">
        <v>15400</v>
      </c>
      <c r="D359">
        <v>8400</v>
      </c>
      <c r="E359">
        <v>15400</v>
      </c>
      <c r="F359">
        <v>31200</v>
      </c>
      <c r="G359" s="9">
        <v>1.5849466927338494E-2</v>
      </c>
      <c r="H359" s="9">
        <v>5.1423579936769472E-2</v>
      </c>
      <c r="I359" s="9">
        <v>7.7135369905154211E-2</v>
      </c>
      <c r="J359" s="10">
        <v>616</v>
      </c>
      <c r="K359" s="10">
        <v>616</v>
      </c>
      <c r="L359" s="10">
        <v>616</v>
      </c>
      <c r="M359" s="10">
        <v>616</v>
      </c>
      <c r="N359" s="10">
        <v>616</v>
      </c>
      <c r="O359" s="10">
        <v>616</v>
      </c>
      <c r="P359" s="10">
        <v>616</v>
      </c>
      <c r="Q359" s="10">
        <v>616</v>
      </c>
      <c r="R359" s="10">
        <v>616</v>
      </c>
      <c r="S359" s="10">
        <v>616</v>
      </c>
      <c r="T359" s="10">
        <v>616</v>
      </c>
      <c r="V359" t="s">
        <v>456</v>
      </c>
      <c r="W359" t="s">
        <v>1699</v>
      </c>
      <c r="X359" t="s">
        <v>1700</v>
      </c>
      <c r="Y359" t="s">
        <v>941</v>
      </c>
      <c r="Z359" t="s">
        <v>942</v>
      </c>
      <c r="AB359" t="s">
        <v>549</v>
      </c>
      <c r="AC359" t="s">
        <v>549</v>
      </c>
      <c r="AD359" t="s">
        <v>943</v>
      </c>
      <c r="AF359" t="s">
        <v>944</v>
      </c>
      <c r="AG359" t="s">
        <v>955</v>
      </c>
      <c r="AH359" t="s">
        <v>956</v>
      </c>
      <c r="AI359" t="s">
        <v>947</v>
      </c>
      <c r="AJ359" t="s">
        <v>948</v>
      </c>
      <c r="AK359">
        <v>1</v>
      </c>
      <c r="AL359" s="10">
        <v>8.4</v>
      </c>
      <c r="AM359" s="10">
        <v>15.4</v>
      </c>
      <c r="AN359" s="10">
        <v>31.2</v>
      </c>
      <c r="AO359" s="9">
        <v>0.2797981456235144</v>
      </c>
      <c r="AP359" s="9">
        <v>7.84</v>
      </c>
      <c r="AQ359" s="9">
        <v>1.0986447567670334</v>
      </c>
      <c r="AR359" s="9">
        <v>14.75082217057146</v>
      </c>
      <c r="AS359" s="9">
        <v>15.849466927338494</v>
      </c>
      <c r="AT359" s="9">
        <v>2.6206201227122001</v>
      </c>
      <c r="AU359" s="9">
        <v>48.802959814057282</v>
      </c>
      <c r="AV359" s="9">
        <v>51.423579936769471</v>
      </c>
      <c r="AW359" s="11">
        <v>0.61599999999999999</v>
      </c>
      <c r="AX359" s="11">
        <v>0.61599999999999999</v>
      </c>
      <c r="AY359" t="s">
        <v>949</v>
      </c>
      <c r="AZ359" t="s">
        <v>950</v>
      </c>
      <c r="BA359" t="s">
        <v>951</v>
      </c>
      <c r="BB359" t="s">
        <v>952</v>
      </c>
      <c r="BC359" t="b">
        <v>1</v>
      </c>
    </row>
    <row r="360" spans="1:55">
      <c r="A360" t="s">
        <v>1701</v>
      </c>
      <c r="B360" t="s">
        <v>939</v>
      </c>
      <c r="C360">
        <v>85500</v>
      </c>
      <c r="D360">
        <v>46500</v>
      </c>
      <c r="E360">
        <v>85500</v>
      </c>
      <c r="F360">
        <v>173300</v>
      </c>
      <c r="G360" s="9">
        <v>6.3328218662898053E-3</v>
      </c>
      <c r="H360" s="9">
        <v>1.5798753660743563E-2</v>
      </c>
      <c r="I360" s="9">
        <v>2.3698130491115344E-2</v>
      </c>
      <c r="J360" s="10">
        <v>3420</v>
      </c>
      <c r="K360" s="10">
        <v>3420</v>
      </c>
      <c r="L360" s="10">
        <v>3420</v>
      </c>
      <c r="M360" s="10">
        <v>3420</v>
      </c>
      <c r="N360" s="10">
        <v>3420</v>
      </c>
      <c r="O360" s="10">
        <v>3420</v>
      </c>
      <c r="P360" s="10">
        <v>3420</v>
      </c>
      <c r="Q360" s="10">
        <v>3420</v>
      </c>
      <c r="R360" s="10">
        <v>3420</v>
      </c>
      <c r="S360" s="10">
        <v>3420</v>
      </c>
      <c r="T360" s="10">
        <v>3420</v>
      </c>
      <c r="V360" t="s">
        <v>456</v>
      </c>
      <c r="W360" t="s">
        <v>1701</v>
      </c>
      <c r="X360" t="s">
        <v>1702</v>
      </c>
      <c r="Y360" t="s">
        <v>941</v>
      </c>
      <c r="Z360" t="s">
        <v>942</v>
      </c>
      <c r="AB360" t="s">
        <v>551</v>
      </c>
      <c r="AC360" t="s">
        <v>550</v>
      </c>
      <c r="AD360" t="s">
        <v>943</v>
      </c>
      <c r="AF360" t="s">
        <v>944</v>
      </c>
      <c r="AG360" t="s">
        <v>999</v>
      </c>
      <c r="AH360" t="s">
        <v>946</v>
      </c>
      <c r="AI360" t="s">
        <v>977</v>
      </c>
      <c r="AJ360" t="s">
        <v>948</v>
      </c>
      <c r="AK360">
        <v>1</v>
      </c>
      <c r="AL360" s="10">
        <v>46.5</v>
      </c>
      <c r="AM360" s="10">
        <v>85.5</v>
      </c>
      <c r="AN360" s="10">
        <v>173.3</v>
      </c>
      <c r="AO360" s="9">
        <v>5.6280209229954303E-2</v>
      </c>
      <c r="AP360" s="9">
        <v>0.68</v>
      </c>
      <c r="AQ360" s="9">
        <v>0.1328218662898055</v>
      </c>
      <c r="AR360" s="9">
        <v>6.2</v>
      </c>
      <c r="AS360" s="9">
        <v>6.3328218662898053</v>
      </c>
      <c r="AT360" s="9">
        <v>0.91875366074356202</v>
      </c>
      <c r="AU360" s="9">
        <v>14.880000000000004</v>
      </c>
      <c r="AV360" s="9">
        <v>15.798753660743564</v>
      </c>
      <c r="AW360" s="11">
        <v>3.42</v>
      </c>
      <c r="AX360" s="11">
        <v>3.42</v>
      </c>
      <c r="AY360" t="s">
        <v>949</v>
      </c>
      <c r="AZ360" t="s">
        <v>950</v>
      </c>
      <c r="BA360" t="s">
        <v>951</v>
      </c>
      <c r="BB360" t="s">
        <v>952</v>
      </c>
      <c r="BC360" t="b">
        <v>1</v>
      </c>
    </row>
    <row r="361" spans="1:55">
      <c r="A361" t="s">
        <v>1703</v>
      </c>
      <c r="B361" t="s">
        <v>939</v>
      </c>
      <c r="C361">
        <v>48500</v>
      </c>
      <c r="D361">
        <v>26400</v>
      </c>
      <c r="E361">
        <v>48500</v>
      </c>
      <c r="F361">
        <v>98400</v>
      </c>
      <c r="G361" s="9">
        <v>7.8839120642702053E-3</v>
      </c>
      <c r="H361" s="9">
        <v>2.397948867136121E-2</v>
      </c>
      <c r="I361" s="9">
        <v>3.5969233007041815E-2</v>
      </c>
      <c r="J361" s="10">
        <v>1940</v>
      </c>
      <c r="K361" s="10">
        <v>1940</v>
      </c>
      <c r="L361" s="10">
        <v>1940</v>
      </c>
      <c r="M361" s="10">
        <v>1940</v>
      </c>
      <c r="N361" s="10">
        <v>1940</v>
      </c>
      <c r="O361" s="10">
        <v>1940</v>
      </c>
      <c r="P361" s="10">
        <v>1940</v>
      </c>
      <c r="Q361" s="10">
        <v>1940</v>
      </c>
      <c r="R361" s="10">
        <v>1940</v>
      </c>
      <c r="S361" s="10">
        <v>1940</v>
      </c>
      <c r="T361" s="10">
        <v>1940</v>
      </c>
      <c r="V361" t="s">
        <v>456</v>
      </c>
      <c r="W361" t="s">
        <v>1703</v>
      </c>
      <c r="X361" t="s">
        <v>1702</v>
      </c>
      <c r="Y361" t="s">
        <v>941</v>
      </c>
      <c r="Z361" t="s">
        <v>942</v>
      </c>
      <c r="AB361" t="s">
        <v>551</v>
      </c>
      <c r="AC361" t="s">
        <v>550</v>
      </c>
      <c r="AD361" t="s">
        <v>943</v>
      </c>
      <c r="AF361" t="s">
        <v>944</v>
      </c>
      <c r="AG361" t="s">
        <v>959</v>
      </c>
      <c r="AH361" t="s">
        <v>946</v>
      </c>
      <c r="AI361" t="s">
        <v>960</v>
      </c>
      <c r="AJ361" t="s">
        <v>948</v>
      </c>
      <c r="AK361">
        <v>1</v>
      </c>
      <c r="AL361" s="10">
        <v>26.4</v>
      </c>
      <c r="AM361" s="10">
        <v>48.5</v>
      </c>
      <c r="AN361" s="10">
        <v>98.4</v>
      </c>
      <c r="AO361" s="9">
        <v>0.16884062768986291</v>
      </c>
      <c r="AP361" s="9">
        <v>2.04</v>
      </c>
      <c r="AQ361" s="9">
        <v>0.13391206427020499</v>
      </c>
      <c r="AR361" s="9">
        <v>7.75</v>
      </c>
      <c r="AS361" s="9">
        <v>7.8839120642702047</v>
      </c>
      <c r="AT361" s="9">
        <v>0.3794886713612074</v>
      </c>
      <c r="AU361" s="9">
        <v>23.6</v>
      </c>
      <c r="AV361" s="9">
        <v>23.97948867136121</v>
      </c>
      <c r="AW361" s="11">
        <v>1.94</v>
      </c>
      <c r="AX361" s="11">
        <v>1.94</v>
      </c>
      <c r="AY361" t="s">
        <v>949</v>
      </c>
      <c r="AZ361" t="s">
        <v>950</v>
      </c>
      <c r="BA361" t="s">
        <v>951</v>
      </c>
      <c r="BB361" t="s">
        <v>952</v>
      </c>
      <c r="BC361" t="b">
        <v>1</v>
      </c>
    </row>
    <row r="362" spans="1:55">
      <c r="A362" t="s">
        <v>1704</v>
      </c>
      <c r="B362" t="s">
        <v>939</v>
      </c>
      <c r="C362">
        <v>1082800</v>
      </c>
      <c r="D362">
        <v>588800</v>
      </c>
      <c r="E362">
        <v>1082800</v>
      </c>
      <c r="F362">
        <v>2194900</v>
      </c>
      <c r="G362" s="9">
        <v>1.4779520948392785E-2</v>
      </c>
      <c r="H362" s="9"/>
      <c r="I362" s="9"/>
      <c r="J362" s="10">
        <v>43312</v>
      </c>
      <c r="K362" s="10">
        <v>43312</v>
      </c>
      <c r="L362" s="10">
        <v>43312</v>
      </c>
      <c r="M362" s="10">
        <v>43312</v>
      </c>
      <c r="N362" s="10">
        <v>43312</v>
      </c>
      <c r="O362" s="10">
        <v>43312</v>
      </c>
      <c r="P362" s="10">
        <v>43312</v>
      </c>
      <c r="Q362" s="10">
        <v>43312</v>
      </c>
      <c r="R362" s="10">
        <v>43312</v>
      </c>
      <c r="S362" s="10">
        <v>43312</v>
      </c>
      <c r="T362" s="10">
        <v>43312</v>
      </c>
      <c r="V362" t="s">
        <v>456</v>
      </c>
      <c r="W362" t="s">
        <v>1704</v>
      </c>
      <c r="X362" t="s">
        <v>1705</v>
      </c>
      <c r="Y362" t="s">
        <v>941</v>
      </c>
      <c r="Z362" t="s">
        <v>942</v>
      </c>
      <c r="AB362" t="s">
        <v>551</v>
      </c>
      <c r="AC362" t="s">
        <v>550</v>
      </c>
      <c r="AD362" t="s">
        <v>943</v>
      </c>
      <c r="AF362" t="s">
        <v>944</v>
      </c>
      <c r="AG362" t="s">
        <v>945</v>
      </c>
      <c r="AH362" t="s">
        <v>946</v>
      </c>
      <c r="AI362" t="s">
        <v>947</v>
      </c>
      <c r="AJ362" t="s">
        <v>948</v>
      </c>
      <c r="AK362">
        <v>7</v>
      </c>
      <c r="AL362" s="10">
        <v>588.79999999999995</v>
      </c>
      <c r="AM362" s="10">
        <v>1082.8</v>
      </c>
      <c r="AN362" s="10">
        <v>2194.9</v>
      </c>
      <c r="AO362" s="9">
        <v>0.67378997550155595</v>
      </c>
      <c r="AP362" s="9">
        <v>8.141</v>
      </c>
      <c r="AQ362" s="9">
        <v>0.21056598364527779</v>
      </c>
      <c r="AR362" s="9">
        <v>14.568954964747505</v>
      </c>
      <c r="AS362" s="9">
        <v>14.779520948392785</v>
      </c>
      <c r="AT362" s="9"/>
      <c r="AU362" s="9"/>
      <c r="AV362" s="9"/>
      <c r="AW362" s="11">
        <v>43.311999999999998</v>
      </c>
      <c r="AX362" s="11">
        <v>43.311999999999998</v>
      </c>
      <c r="AY362" t="s">
        <v>949</v>
      </c>
      <c r="AZ362" t="s">
        <v>950</v>
      </c>
      <c r="BA362" t="s">
        <v>951</v>
      </c>
      <c r="BB362" t="s">
        <v>952</v>
      </c>
      <c r="BC362" t="b">
        <v>0</v>
      </c>
    </row>
    <row r="363" spans="1:55">
      <c r="A363" t="s">
        <v>1706</v>
      </c>
      <c r="B363" t="s">
        <v>939</v>
      </c>
      <c r="C363">
        <v>153500</v>
      </c>
      <c r="D363">
        <v>83500</v>
      </c>
      <c r="E363">
        <v>153500</v>
      </c>
      <c r="F363">
        <v>311200</v>
      </c>
      <c r="G363" s="9">
        <v>8.8932824424363954E-3</v>
      </c>
      <c r="H363" s="9">
        <v>1.8650595419410956E-2</v>
      </c>
      <c r="I363" s="9">
        <v>2.7975893129116434E-2</v>
      </c>
      <c r="J363" s="10">
        <v>6140</v>
      </c>
      <c r="K363" s="10">
        <v>6140</v>
      </c>
      <c r="L363" s="10">
        <v>6140</v>
      </c>
      <c r="M363" s="10">
        <v>6140</v>
      </c>
      <c r="N363" s="10">
        <v>6140</v>
      </c>
      <c r="O363" s="10">
        <v>6140</v>
      </c>
      <c r="P363" s="10">
        <v>6140</v>
      </c>
      <c r="Q363" s="10">
        <v>6140</v>
      </c>
      <c r="R363" s="10">
        <v>6140</v>
      </c>
      <c r="S363" s="10">
        <v>6140</v>
      </c>
      <c r="T363" s="10">
        <v>6140</v>
      </c>
      <c r="V363" t="s">
        <v>456</v>
      </c>
      <c r="W363" t="s">
        <v>1706</v>
      </c>
      <c r="X363" t="s">
        <v>1707</v>
      </c>
      <c r="Y363" t="s">
        <v>941</v>
      </c>
      <c r="Z363" t="s">
        <v>942</v>
      </c>
      <c r="AB363" t="s">
        <v>551</v>
      </c>
      <c r="AC363" t="s">
        <v>550</v>
      </c>
      <c r="AD363" t="s">
        <v>943</v>
      </c>
      <c r="AF363" t="s">
        <v>944</v>
      </c>
      <c r="AG363" t="s">
        <v>976</v>
      </c>
      <c r="AH363" t="s">
        <v>956</v>
      </c>
      <c r="AI363" t="s">
        <v>977</v>
      </c>
      <c r="AJ363" t="s">
        <v>948</v>
      </c>
      <c r="AK363">
        <v>1</v>
      </c>
      <c r="AL363" s="10">
        <v>83.5</v>
      </c>
      <c r="AM363" s="10">
        <v>153.5</v>
      </c>
      <c r="AN363" s="10">
        <v>311.2</v>
      </c>
      <c r="AO363" s="9">
        <v>0.1010891875786267</v>
      </c>
      <c r="AP363" s="9">
        <v>1.2214</v>
      </c>
      <c r="AQ363" s="9">
        <v>2.6932824424363959</v>
      </c>
      <c r="AR363" s="9">
        <v>6.2</v>
      </c>
      <c r="AS363" s="9">
        <v>8.8932824424363961</v>
      </c>
      <c r="AT363" s="9">
        <v>3.7705954194109546</v>
      </c>
      <c r="AU363" s="9">
        <v>14.880000000000004</v>
      </c>
      <c r="AV363" s="9">
        <v>18.650595419410955</v>
      </c>
      <c r="AW363" s="11">
        <v>6.14</v>
      </c>
      <c r="AX363" s="11">
        <v>6.14</v>
      </c>
      <c r="AY363" t="s">
        <v>949</v>
      </c>
      <c r="AZ363" t="s">
        <v>950</v>
      </c>
      <c r="BA363" t="s">
        <v>951</v>
      </c>
      <c r="BB363" t="s">
        <v>952</v>
      </c>
      <c r="BC363" t="b">
        <v>1</v>
      </c>
    </row>
    <row r="364" spans="1:55">
      <c r="A364" t="s">
        <v>1708</v>
      </c>
      <c r="B364" t="s">
        <v>939</v>
      </c>
      <c r="C364">
        <v>6518900</v>
      </c>
      <c r="D364">
        <v>3544900</v>
      </c>
      <c r="E364">
        <v>6518900</v>
      </c>
      <c r="F364">
        <v>13213500</v>
      </c>
      <c r="G364" s="9">
        <v>8.276281738471546E-3</v>
      </c>
      <c r="H364" s="9">
        <v>2.4336794433860168E-2</v>
      </c>
      <c r="I364" s="9">
        <v>3.6505191650790254E-2</v>
      </c>
      <c r="J364" s="10">
        <v>260755.99999999997</v>
      </c>
      <c r="K364" s="10">
        <v>254776.61267607193</v>
      </c>
      <c r="L364" s="10">
        <v>248797.2253521439</v>
      </c>
      <c r="M364" s="10">
        <v>242817.83802821586</v>
      </c>
      <c r="N364" s="10">
        <v>236838.45070428782</v>
      </c>
      <c r="O364" s="10">
        <v>230859.06338035979</v>
      </c>
      <c r="P364" s="10">
        <v>218900.28873250372</v>
      </c>
      <c r="Q364" s="10">
        <v>206941.51408464764</v>
      </c>
      <c r="R364" s="10">
        <v>194982.73943679157</v>
      </c>
      <c r="S364" s="10">
        <v>183023.9647889355</v>
      </c>
      <c r="T364" s="10">
        <v>171065.19014107942</v>
      </c>
      <c r="V364" t="s">
        <v>456</v>
      </c>
      <c r="W364" t="s">
        <v>1708</v>
      </c>
      <c r="X364" t="s">
        <v>1709</v>
      </c>
      <c r="Y364" t="s">
        <v>941</v>
      </c>
      <c r="Z364" t="s">
        <v>942</v>
      </c>
      <c r="AB364" t="s">
        <v>552</v>
      </c>
      <c r="AC364" t="s">
        <v>552</v>
      </c>
      <c r="AD364" t="s">
        <v>943</v>
      </c>
      <c r="AF364" t="s">
        <v>944</v>
      </c>
      <c r="AG364" t="s">
        <v>959</v>
      </c>
      <c r="AH364" t="s">
        <v>946</v>
      </c>
      <c r="AI364" t="s">
        <v>960</v>
      </c>
      <c r="AJ364" t="s">
        <v>948</v>
      </c>
      <c r="AK364">
        <v>1</v>
      </c>
      <c r="AL364" s="10">
        <v>3544.9</v>
      </c>
      <c r="AM364" s="10">
        <v>6518.9</v>
      </c>
      <c r="AN364" s="10">
        <v>13213.5</v>
      </c>
      <c r="AO364" s="9">
        <v>1</v>
      </c>
      <c r="AP364" s="9">
        <v>0.54400000000000004</v>
      </c>
      <c r="AQ364" s="9">
        <v>0.52628173847154591</v>
      </c>
      <c r="AR364" s="9">
        <v>7.75</v>
      </c>
      <c r="AS364" s="9">
        <v>8.2762817384715461</v>
      </c>
      <c r="AT364" s="9">
        <v>0.73679443386016419</v>
      </c>
      <c r="AU364" s="9">
        <v>23.6</v>
      </c>
      <c r="AV364" s="9">
        <v>24.336794433860167</v>
      </c>
      <c r="AW364" s="11">
        <v>260.75599999999997</v>
      </c>
      <c r="AX364" s="11">
        <v>171.06519014107943</v>
      </c>
      <c r="AY364" t="s">
        <v>949</v>
      </c>
      <c r="AZ364" t="s">
        <v>950</v>
      </c>
      <c r="BA364" t="s">
        <v>951</v>
      </c>
      <c r="BB364" t="s">
        <v>952</v>
      </c>
      <c r="BC364" t="b">
        <v>1</v>
      </c>
    </row>
    <row r="365" spans="1:55">
      <c r="A365" t="s">
        <v>1710</v>
      </c>
      <c r="B365" t="s">
        <v>939</v>
      </c>
      <c r="C365">
        <v>1992600</v>
      </c>
      <c r="D365">
        <v>1529400</v>
      </c>
      <c r="E365">
        <v>1992600</v>
      </c>
      <c r="F365">
        <v>3355000</v>
      </c>
      <c r="G365" s="9">
        <v>8.801462224170678E-3</v>
      </c>
      <c r="H365" s="9">
        <v>3.0168083834530561E-2</v>
      </c>
      <c r="I365" s="9">
        <v>4.5252125751795838E-2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V365" t="s">
        <v>456</v>
      </c>
      <c r="W365" t="s">
        <v>1710</v>
      </c>
      <c r="X365" t="s">
        <v>1711</v>
      </c>
      <c r="Y365" t="s">
        <v>941</v>
      </c>
      <c r="Z365" t="s">
        <v>942</v>
      </c>
      <c r="AB365" t="s">
        <v>554</v>
      </c>
      <c r="AC365" t="s">
        <v>553</v>
      </c>
      <c r="AD365" t="s">
        <v>968</v>
      </c>
      <c r="AF365" t="s">
        <v>944</v>
      </c>
      <c r="AG365" t="s">
        <v>955</v>
      </c>
      <c r="AH365" t="s">
        <v>956</v>
      </c>
      <c r="AI365" t="s">
        <v>947</v>
      </c>
      <c r="AJ365" t="s">
        <v>948</v>
      </c>
      <c r="AK365">
        <v>1</v>
      </c>
      <c r="AL365" s="10">
        <v>1529.4</v>
      </c>
      <c r="AM365" s="10">
        <v>1992.6</v>
      </c>
      <c r="AN365" s="10">
        <v>3355</v>
      </c>
      <c r="AO365" s="9">
        <v>1.6090440127318601E-2</v>
      </c>
      <c r="AP365" s="9">
        <v>0.43980000000000002</v>
      </c>
      <c r="AQ365" s="9">
        <v>0.90399765174575841</v>
      </c>
      <c r="AR365" s="9">
        <v>7.8974645724249184</v>
      </c>
      <c r="AS365" s="9">
        <v>8.8014622241706775</v>
      </c>
      <c r="AT365" s="9">
        <v>7.9519578310433436</v>
      </c>
      <c r="AU365" s="9">
        <v>22.216126003487211</v>
      </c>
      <c r="AV365" s="9">
        <v>30.16808383453056</v>
      </c>
      <c r="AW365" s="11">
        <v>0</v>
      </c>
      <c r="AX365" s="11">
        <v>0</v>
      </c>
      <c r="AY365" t="s">
        <v>973</v>
      </c>
      <c r="AZ365" t="s">
        <v>950</v>
      </c>
      <c r="BA365" t="s">
        <v>951</v>
      </c>
      <c r="BB365" t="s">
        <v>970</v>
      </c>
      <c r="BC365" t="b">
        <v>1</v>
      </c>
    </row>
    <row r="366" spans="1:55">
      <c r="A366" t="s">
        <v>1712</v>
      </c>
      <c r="B366" t="s">
        <v>939</v>
      </c>
      <c r="C366">
        <v>86600</v>
      </c>
      <c r="D366">
        <v>47100</v>
      </c>
      <c r="E366">
        <v>86600</v>
      </c>
      <c r="F366">
        <v>175500</v>
      </c>
      <c r="G366" s="9">
        <v>6.480553165368442E-3</v>
      </c>
      <c r="H366" s="9">
        <v>1.5900586012882113E-2</v>
      </c>
      <c r="I366" s="9">
        <v>2.385087901932317E-2</v>
      </c>
      <c r="J366" s="10">
        <v>3464</v>
      </c>
      <c r="K366" s="10">
        <v>3464</v>
      </c>
      <c r="L366" s="10">
        <v>3464</v>
      </c>
      <c r="M366" s="10">
        <v>3464</v>
      </c>
      <c r="N366" s="10">
        <v>3464</v>
      </c>
      <c r="O366" s="10">
        <v>3464</v>
      </c>
      <c r="P366" s="10">
        <v>3464</v>
      </c>
      <c r="Q366" s="10">
        <v>3464</v>
      </c>
      <c r="R366" s="10">
        <v>3464</v>
      </c>
      <c r="S366" s="10">
        <v>3464</v>
      </c>
      <c r="T366" s="10">
        <v>3464</v>
      </c>
      <c r="V366" t="s">
        <v>456</v>
      </c>
      <c r="W366" t="s">
        <v>1712</v>
      </c>
      <c r="X366" t="s">
        <v>1713</v>
      </c>
      <c r="Y366" t="s">
        <v>941</v>
      </c>
      <c r="Z366" t="s">
        <v>942</v>
      </c>
      <c r="AB366" t="s">
        <v>554</v>
      </c>
      <c r="AC366" t="s">
        <v>553</v>
      </c>
      <c r="AD366" t="s">
        <v>943</v>
      </c>
      <c r="AF366" t="s">
        <v>944</v>
      </c>
      <c r="AG366" t="s">
        <v>999</v>
      </c>
      <c r="AH366" t="s">
        <v>946</v>
      </c>
      <c r="AI366" t="s">
        <v>977</v>
      </c>
      <c r="AJ366" t="s">
        <v>948</v>
      </c>
      <c r="AK366">
        <v>1</v>
      </c>
      <c r="AL366" s="10">
        <v>47.1</v>
      </c>
      <c r="AM366" s="10">
        <v>86.6</v>
      </c>
      <c r="AN366" s="10">
        <v>175.5</v>
      </c>
      <c r="AO366" s="9">
        <v>0.13620897815827021</v>
      </c>
      <c r="AP366" s="9">
        <v>3.7229999999999999</v>
      </c>
      <c r="AQ366" s="9">
        <v>0.28055316536844122</v>
      </c>
      <c r="AR366" s="9">
        <v>6.2</v>
      </c>
      <c r="AS366" s="9">
        <v>6.4805531653684421</v>
      </c>
      <c r="AT366" s="9">
        <v>1.0205860128821109</v>
      </c>
      <c r="AU366" s="9">
        <v>14.880000000000004</v>
      </c>
      <c r="AV366" s="9">
        <v>15.900586012882114</v>
      </c>
      <c r="AW366" s="11">
        <v>3.464</v>
      </c>
      <c r="AX366" s="11">
        <v>3.464</v>
      </c>
      <c r="AY366" t="s">
        <v>949</v>
      </c>
      <c r="AZ366" t="s">
        <v>950</v>
      </c>
      <c r="BA366" t="s">
        <v>951</v>
      </c>
      <c r="BB366" t="s">
        <v>952</v>
      </c>
      <c r="BC366" t="b">
        <v>1</v>
      </c>
    </row>
    <row r="367" spans="1:55">
      <c r="A367" t="s">
        <v>1714</v>
      </c>
      <c r="B367" t="s">
        <v>939</v>
      </c>
      <c r="C367">
        <v>466500</v>
      </c>
      <c r="D367">
        <v>253700</v>
      </c>
      <c r="E367">
        <v>466500</v>
      </c>
      <c r="F367">
        <v>945500</v>
      </c>
      <c r="G367" s="9">
        <v>7.8118336796618257E-3</v>
      </c>
      <c r="H367" s="9">
        <v>2.3817225368070304E-2</v>
      </c>
      <c r="I367" s="9">
        <v>3.5725838052105455E-2</v>
      </c>
      <c r="J367" s="10">
        <v>18660</v>
      </c>
      <c r="K367" s="10">
        <v>18660</v>
      </c>
      <c r="L367" s="10">
        <v>18660</v>
      </c>
      <c r="M367" s="10">
        <v>18660</v>
      </c>
      <c r="N367" s="10">
        <v>18660</v>
      </c>
      <c r="O367" s="10">
        <v>18660</v>
      </c>
      <c r="P367" s="10">
        <v>18660</v>
      </c>
      <c r="Q367" s="10">
        <v>18660</v>
      </c>
      <c r="R367" s="10">
        <v>18660</v>
      </c>
      <c r="S367" s="10">
        <v>18660</v>
      </c>
      <c r="T367" s="10">
        <v>18660</v>
      </c>
      <c r="V367" t="s">
        <v>456</v>
      </c>
      <c r="W367" t="s">
        <v>1714</v>
      </c>
      <c r="X367" t="s">
        <v>1715</v>
      </c>
      <c r="Y367" t="s">
        <v>941</v>
      </c>
      <c r="Z367" t="s">
        <v>942</v>
      </c>
      <c r="AB367" t="s">
        <v>554</v>
      </c>
      <c r="AC367" t="s">
        <v>553</v>
      </c>
      <c r="AD367" t="s">
        <v>943</v>
      </c>
      <c r="AF367" t="s">
        <v>944</v>
      </c>
      <c r="AG367" t="s">
        <v>959</v>
      </c>
      <c r="AH367" t="s">
        <v>946</v>
      </c>
      <c r="AI367" t="s">
        <v>960</v>
      </c>
      <c r="AJ367" t="s">
        <v>948</v>
      </c>
      <c r="AK367">
        <v>8</v>
      </c>
      <c r="AL367" s="10">
        <v>253.7</v>
      </c>
      <c r="AM367" s="10">
        <v>466.5</v>
      </c>
      <c r="AN367" s="10">
        <v>945.5</v>
      </c>
      <c r="AO367" s="9">
        <v>0.63001865876413132</v>
      </c>
      <c r="AP367" s="9">
        <v>17.220300000000002</v>
      </c>
      <c r="AQ367" s="9">
        <v>6.1833679661826103E-2</v>
      </c>
      <c r="AR367" s="9">
        <v>7.7499999999999991</v>
      </c>
      <c r="AS367" s="9">
        <v>7.8118336796618255</v>
      </c>
      <c r="AT367" s="9">
        <v>0.21722536807030571</v>
      </c>
      <c r="AU367" s="9">
        <v>23.6</v>
      </c>
      <c r="AV367" s="9">
        <v>23.817225368070304</v>
      </c>
      <c r="AW367" s="11">
        <v>18.66</v>
      </c>
      <c r="AX367" s="11">
        <v>18.66</v>
      </c>
      <c r="AY367" t="s">
        <v>949</v>
      </c>
      <c r="AZ367" t="s">
        <v>950</v>
      </c>
      <c r="BA367" t="s">
        <v>951</v>
      </c>
      <c r="BB367" t="s">
        <v>952</v>
      </c>
      <c r="BC367" t="b">
        <v>1</v>
      </c>
    </row>
    <row r="368" spans="1:55">
      <c r="A368" t="s">
        <v>1716</v>
      </c>
      <c r="B368" t="s">
        <v>939</v>
      </c>
      <c r="C368">
        <v>138400</v>
      </c>
      <c r="D368">
        <v>75300</v>
      </c>
      <c r="E368">
        <v>138400</v>
      </c>
      <c r="F368">
        <v>280500</v>
      </c>
      <c r="G368" s="9">
        <v>6.5123897067720224E-3</v>
      </c>
      <c r="H368" s="9">
        <v>1.6174998008911839E-2</v>
      </c>
      <c r="I368" s="9">
        <v>2.4262497013367759E-2</v>
      </c>
      <c r="J368" s="10">
        <v>5536.0000000000009</v>
      </c>
      <c r="K368" s="10">
        <v>5536.0000000000009</v>
      </c>
      <c r="L368" s="10">
        <v>5536.0000000000009</v>
      </c>
      <c r="M368" s="10">
        <v>5536.0000000000009</v>
      </c>
      <c r="N368" s="10">
        <v>5536.0000000000009</v>
      </c>
      <c r="O368" s="10">
        <v>5536.0000000000009</v>
      </c>
      <c r="P368" s="10">
        <v>5536.0000000000009</v>
      </c>
      <c r="Q368" s="10">
        <v>5536.0000000000009</v>
      </c>
      <c r="R368" s="10">
        <v>5536.0000000000009</v>
      </c>
      <c r="S368" s="10">
        <v>5536.0000000000009</v>
      </c>
      <c r="T368" s="10">
        <v>5536.0000000000009</v>
      </c>
      <c r="V368" t="s">
        <v>456</v>
      </c>
      <c r="W368" t="s">
        <v>1716</v>
      </c>
      <c r="X368" t="s">
        <v>1717</v>
      </c>
      <c r="Y368" t="s">
        <v>941</v>
      </c>
      <c r="Z368" t="s">
        <v>942</v>
      </c>
      <c r="AB368" t="s">
        <v>554</v>
      </c>
      <c r="AC368" t="s">
        <v>553</v>
      </c>
      <c r="AD368" t="s">
        <v>943</v>
      </c>
      <c r="AF368" t="s">
        <v>944</v>
      </c>
      <c r="AG368" t="s">
        <v>976</v>
      </c>
      <c r="AH368" t="s">
        <v>956</v>
      </c>
      <c r="AI368" t="s">
        <v>977</v>
      </c>
      <c r="AJ368" t="s">
        <v>948</v>
      </c>
      <c r="AK368">
        <v>2</v>
      </c>
      <c r="AL368" s="10">
        <v>75.3</v>
      </c>
      <c r="AM368" s="10">
        <v>138.4</v>
      </c>
      <c r="AN368" s="10">
        <v>280.5</v>
      </c>
      <c r="AO368" s="9">
        <v>0.2176819229502798</v>
      </c>
      <c r="AP368" s="9">
        <v>5.9499000000000004</v>
      </c>
      <c r="AQ368" s="9">
        <v>0.31238970677202149</v>
      </c>
      <c r="AR368" s="9">
        <v>6.2</v>
      </c>
      <c r="AS368" s="9">
        <v>6.512389706772022</v>
      </c>
      <c r="AT368" s="9">
        <v>1.2949980089118347</v>
      </c>
      <c r="AU368" s="9">
        <v>14.880000000000004</v>
      </c>
      <c r="AV368" s="9">
        <v>16.174998008911839</v>
      </c>
      <c r="AW368" s="11">
        <v>5.5360000000000005</v>
      </c>
      <c r="AX368" s="11">
        <v>5.5360000000000005</v>
      </c>
      <c r="AY368" t="s">
        <v>949</v>
      </c>
      <c r="AZ368" t="s">
        <v>950</v>
      </c>
      <c r="BA368" t="s">
        <v>951</v>
      </c>
      <c r="BB368" t="s">
        <v>952</v>
      </c>
      <c r="BC368" t="b">
        <v>1</v>
      </c>
    </row>
    <row r="369" spans="1:55">
      <c r="A369" t="s">
        <v>1718</v>
      </c>
      <c r="B369" t="s">
        <v>939</v>
      </c>
      <c r="C369">
        <v>425000</v>
      </c>
      <c r="D369">
        <v>326200</v>
      </c>
      <c r="E369">
        <v>425000</v>
      </c>
      <c r="F369">
        <v>715600</v>
      </c>
      <c r="G369" s="9">
        <v>4.0316086644543699E-3</v>
      </c>
      <c r="H369" s="9">
        <v>9.3421305294013202E-3</v>
      </c>
      <c r="I369" s="9">
        <v>1.4013195794101981E-2</v>
      </c>
      <c r="J369" s="10">
        <v>13500</v>
      </c>
      <c r="K369" s="10">
        <v>13500</v>
      </c>
      <c r="L369" s="10">
        <v>13500</v>
      </c>
      <c r="M369" s="10">
        <v>13500</v>
      </c>
      <c r="N369" s="10">
        <v>13500</v>
      </c>
      <c r="O369" s="10">
        <v>13500</v>
      </c>
      <c r="P369" s="10">
        <v>13500</v>
      </c>
      <c r="Q369" s="10">
        <v>13500</v>
      </c>
      <c r="R369" s="10">
        <v>13500</v>
      </c>
      <c r="S369" s="10">
        <v>13500</v>
      </c>
      <c r="T369" s="10">
        <v>13500</v>
      </c>
      <c r="V369" t="s">
        <v>456</v>
      </c>
      <c r="W369" t="s">
        <v>1718</v>
      </c>
      <c r="X369" t="s">
        <v>1719</v>
      </c>
      <c r="Y369" t="s">
        <v>941</v>
      </c>
      <c r="Z369" t="s">
        <v>942</v>
      </c>
      <c r="AB369" t="s">
        <v>556</v>
      </c>
      <c r="AC369" t="s">
        <v>555</v>
      </c>
      <c r="AD369" t="s">
        <v>968</v>
      </c>
      <c r="AF369" t="s">
        <v>944</v>
      </c>
      <c r="AG369" t="s">
        <v>999</v>
      </c>
      <c r="AH369" t="s">
        <v>946</v>
      </c>
      <c r="AI369" t="s">
        <v>977</v>
      </c>
      <c r="AJ369" t="s">
        <v>948</v>
      </c>
      <c r="AK369">
        <v>10</v>
      </c>
      <c r="AL369" s="10">
        <v>326.2</v>
      </c>
      <c r="AM369" s="10">
        <v>425</v>
      </c>
      <c r="AN369" s="10">
        <v>715.6</v>
      </c>
      <c r="AO369" s="9">
        <v>0.6612000726808519</v>
      </c>
      <c r="AP369" s="9">
        <v>14.191800000000001</v>
      </c>
      <c r="AQ369" s="9">
        <v>0.3116086644543693</v>
      </c>
      <c r="AR369" s="9">
        <v>3.7200000000000006</v>
      </c>
      <c r="AS369" s="9">
        <v>4.0316086644543701</v>
      </c>
      <c r="AT369" s="9">
        <v>0.66213052940131656</v>
      </c>
      <c r="AU369" s="9">
        <v>8.6800000000000033</v>
      </c>
      <c r="AV369" s="9">
        <v>9.3421305294013202</v>
      </c>
      <c r="AW369" s="11">
        <v>13.5</v>
      </c>
      <c r="AX369" s="11">
        <v>13.5</v>
      </c>
      <c r="AY369" t="s">
        <v>969</v>
      </c>
      <c r="AZ369" t="s">
        <v>950</v>
      </c>
      <c r="BA369" t="s">
        <v>951</v>
      </c>
      <c r="BB369" t="s">
        <v>970</v>
      </c>
      <c r="BC369" t="b">
        <v>1</v>
      </c>
    </row>
    <row r="370" spans="1:55">
      <c r="A370" t="s">
        <v>1720</v>
      </c>
      <c r="B370" t="s">
        <v>939</v>
      </c>
      <c r="C370">
        <v>56700</v>
      </c>
      <c r="D370">
        <v>30900</v>
      </c>
      <c r="E370">
        <v>56700</v>
      </c>
      <c r="F370">
        <v>115000</v>
      </c>
      <c r="G370" s="9">
        <v>8.5103292803853405E-3</v>
      </c>
      <c r="H370" s="9">
        <v>2.466446099253948E-2</v>
      </c>
      <c r="I370" s="9">
        <v>3.699669148880922E-2</v>
      </c>
      <c r="J370" s="10">
        <v>2268</v>
      </c>
      <c r="K370" s="10">
        <v>2268</v>
      </c>
      <c r="L370" s="10">
        <v>2268</v>
      </c>
      <c r="M370" s="10">
        <v>2268</v>
      </c>
      <c r="N370" s="10">
        <v>2268</v>
      </c>
      <c r="O370" s="10">
        <v>2268</v>
      </c>
      <c r="P370" s="10">
        <v>2268</v>
      </c>
      <c r="Q370" s="10">
        <v>2268</v>
      </c>
      <c r="R370" s="10">
        <v>2268</v>
      </c>
      <c r="S370" s="10">
        <v>2268</v>
      </c>
      <c r="T370" s="10">
        <v>2268</v>
      </c>
      <c r="V370" t="s">
        <v>456</v>
      </c>
      <c r="W370" t="s">
        <v>1720</v>
      </c>
      <c r="X370" t="s">
        <v>1721</v>
      </c>
      <c r="Y370" t="s">
        <v>941</v>
      </c>
      <c r="Z370" t="s">
        <v>942</v>
      </c>
      <c r="AB370" t="s">
        <v>556</v>
      </c>
      <c r="AC370" t="s">
        <v>555</v>
      </c>
      <c r="AD370" t="s">
        <v>943</v>
      </c>
      <c r="AF370" t="s">
        <v>944</v>
      </c>
      <c r="AG370" t="s">
        <v>959</v>
      </c>
      <c r="AH370" t="s">
        <v>946</v>
      </c>
      <c r="AI370" t="s">
        <v>960</v>
      </c>
      <c r="AJ370" t="s">
        <v>948</v>
      </c>
      <c r="AK370">
        <v>2</v>
      </c>
      <c r="AL370" s="10">
        <v>30.9</v>
      </c>
      <c r="AM370" s="10">
        <v>56.7</v>
      </c>
      <c r="AN370" s="10">
        <v>115</v>
      </c>
      <c r="AO370" s="9">
        <v>5.9672842986064803E-2</v>
      </c>
      <c r="AP370" s="9">
        <v>1.2807999999999999</v>
      </c>
      <c r="AQ370" s="9">
        <v>0.76032928038533953</v>
      </c>
      <c r="AR370" s="9">
        <v>7.75</v>
      </c>
      <c r="AS370" s="9">
        <v>8.5103292803853403</v>
      </c>
      <c r="AT370" s="9">
        <v>1.0644609925394752</v>
      </c>
      <c r="AU370" s="9">
        <v>23.6</v>
      </c>
      <c r="AV370" s="9">
        <v>24.664460992539482</v>
      </c>
      <c r="AW370" s="11">
        <v>2.2679999999999998</v>
      </c>
      <c r="AX370" s="11">
        <v>2.2679999999999998</v>
      </c>
      <c r="AY370" t="s">
        <v>949</v>
      </c>
      <c r="AZ370" t="s">
        <v>950</v>
      </c>
      <c r="BA370" t="s">
        <v>951</v>
      </c>
      <c r="BB370" t="s">
        <v>952</v>
      </c>
      <c r="BC370" t="b">
        <v>1</v>
      </c>
    </row>
    <row r="371" spans="1:55">
      <c r="A371" t="s">
        <v>1722</v>
      </c>
      <c r="B371" t="s">
        <v>939</v>
      </c>
      <c r="C371">
        <v>11901300</v>
      </c>
      <c r="D371">
        <v>6471600</v>
      </c>
      <c r="E371">
        <v>11901300</v>
      </c>
      <c r="F371">
        <v>24123100</v>
      </c>
      <c r="G371" s="9">
        <v>1.5212433096065547E-2</v>
      </c>
      <c r="H371" s="9">
        <v>4.925916591802762E-2</v>
      </c>
      <c r="I371" s="9">
        <v>7.388874887704143E-2</v>
      </c>
      <c r="J371" s="10">
        <v>476052</v>
      </c>
      <c r="K371" s="10">
        <v>476052</v>
      </c>
      <c r="L371" s="10">
        <v>476052</v>
      </c>
      <c r="M371" s="10">
        <v>476052</v>
      </c>
      <c r="N371" s="10">
        <v>476052</v>
      </c>
      <c r="O371" s="10">
        <v>476052</v>
      </c>
      <c r="P371" s="10">
        <v>476052</v>
      </c>
      <c r="Q371" s="10">
        <v>476052</v>
      </c>
      <c r="R371" s="10">
        <v>476052</v>
      </c>
      <c r="S371" s="10">
        <v>476052</v>
      </c>
      <c r="T371" s="10">
        <v>476052</v>
      </c>
      <c r="V371" t="s">
        <v>456</v>
      </c>
      <c r="W371" t="s">
        <v>1722</v>
      </c>
      <c r="X371" t="s">
        <v>1721</v>
      </c>
      <c r="Y371" t="s">
        <v>941</v>
      </c>
      <c r="Z371" t="s">
        <v>942</v>
      </c>
      <c r="AB371" t="s">
        <v>556</v>
      </c>
      <c r="AC371" t="s">
        <v>555</v>
      </c>
      <c r="AD371" t="s">
        <v>943</v>
      </c>
      <c r="AF371" t="s">
        <v>944</v>
      </c>
      <c r="AG371" t="s">
        <v>945</v>
      </c>
      <c r="AH371" t="s">
        <v>946</v>
      </c>
      <c r="AI371" t="s">
        <v>947</v>
      </c>
      <c r="AJ371" t="s">
        <v>948</v>
      </c>
      <c r="AK371">
        <v>2</v>
      </c>
      <c r="AL371" s="10">
        <v>6471.6</v>
      </c>
      <c r="AM371" s="10">
        <v>11901.3</v>
      </c>
      <c r="AN371" s="10">
        <v>24123.1</v>
      </c>
      <c r="AO371" s="9">
        <v>3.7584386662131798E-2</v>
      </c>
      <c r="AP371" s="9">
        <v>0.80669999999999997</v>
      </c>
      <c r="AQ371" s="9">
        <v>0.75780402526221868</v>
      </c>
      <c r="AR371" s="9">
        <v>14.454629070803326</v>
      </c>
      <c r="AS371" s="9">
        <v>15.212433096065547</v>
      </c>
      <c r="AT371" s="9">
        <v>1.5225012631356338</v>
      </c>
      <c r="AU371" s="9">
        <v>47.736664654891989</v>
      </c>
      <c r="AV371" s="9">
        <v>49.25916591802762</v>
      </c>
      <c r="AW371" s="11">
        <v>476.05200000000002</v>
      </c>
      <c r="AX371" s="11">
        <v>476.05200000000002</v>
      </c>
      <c r="AY371" t="s">
        <v>949</v>
      </c>
      <c r="AZ371" t="s">
        <v>950</v>
      </c>
      <c r="BA371" t="s">
        <v>951</v>
      </c>
      <c r="BB371" t="s">
        <v>952</v>
      </c>
      <c r="BC371" t="b">
        <v>1</v>
      </c>
    </row>
    <row r="372" spans="1:55">
      <c r="A372" t="s">
        <v>1723</v>
      </c>
      <c r="B372" t="s">
        <v>939</v>
      </c>
      <c r="C372">
        <v>229600</v>
      </c>
      <c r="D372">
        <v>124900</v>
      </c>
      <c r="E372">
        <v>229600</v>
      </c>
      <c r="F372">
        <v>465500</v>
      </c>
      <c r="G372" s="9">
        <v>1.121914960385465E-2</v>
      </c>
      <c r="H372" s="9">
        <v>3.3762340764192988E-2</v>
      </c>
      <c r="I372" s="9">
        <v>5.0643511146289483E-2</v>
      </c>
      <c r="J372" s="10">
        <v>9184</v>
      </c>
      <c r="K372" s="10">
        <v>9184</v>
      </c>
      <c r="L372" s="10">
        <v>9184</v>
      </c>
      <c r="M372" s="10">
        <v>9184</v>
      </c>
      <c r="N372" s="10">
        <v>9184</v>
      </c>
      <c r="O372" s="10">
        <v>9184</v>
      </c>
      <c r="P372" s="10">
        <v>9184</v>
      </c>
      <c r="Q372" s="10">
        <v>9184</v>
      </c>
      <c r="R372" s="10">
        <v>9184</v>
      </c>
      <c r="S372" s="10">
        <v>9184</v>
      </c>
      <c r="T372" s="10">
        <v>9184</v>
      </c>
      <c r="V372" t="s">
        <v>456</v>
      </c>
      <c r="W372" t="s">
        <v>1723</v>
      </c>
      <c r="X372" t="s">
        <v>1724</v>
      </c>
      <c r="Y372" t="s">
        <v>941</v>
      </c>
      <c r="Z372" t="s">
        <v>942</v>
      </c>
      <c r="AB372" t="s">
        <v>556</v>
      </c>
      <c r="AC372" t="s">
        <v>555</v>
      </c>
      <c r="AD372" t="s">
        <v>943</v>
      </c>
      <c r="AF372" t="s">
        <v>944</v>
      </c>
      <c r="AG372" t="s">
        <v>965</v>
      </c>
      <c r="AH372" t="s">
        <v>956</v>
      </c>
      <c r="AI372" t="s">
        <v>960</v>
      </c>
      <c r="AJ372" t="s">
        <v>948</v>
      </c>
      <c r="AK372">
        <v>7</v>
      </c>
      <c r="AL372" s="10">
        <v>124.9</v>
      </c>
      <c r="AM372" s="10">
        <v>229.6</v>
      </c>
      <c r="AN372" s="10">
        <v>465.5</v>
      </c>
      <c r="AO372" s="9">
        <v>0.24154269767095141</v>
      </c>
      <c r="AP372" s="9">
        <v>5.184400000000001</v>
      </c>
      <c r="AQ372" s="9">
        <v>3.4691496038546492</v>
      </c>
      <c r="AR372" s="9">
        <v>7.7499999999999982</v>
      </c>
      <c r="AS372" s="9">
        <v>11.21914960385465</v>
      </c>
      <c r="AT372" s="9">
        <v>10.162340764192994</v>
      </c>
      <c r="AU372" s="9">
        <v>23.6</v>
      </c>
      <c r="AV372" s="9">
        <v>33.762340764192992</v>
      </c>
      <c r="AW372" s="11">
        <v>9.1839999999999993</v>
      </c>
      <c r="AX372" s="11">
        <v>9.1839999999999993</v>
      </c>
      <c r="AY372" t="s">
        <v>949</v>
      </c>
      <c r="AZ372" t="s">
        <v>950</v>
      </c>
      <c r="BA372" t="s">
        <v>951</v>
      </c>
      <c r="BB372" t="s">
        <v>952</v>
      </c>
      <c r="BC372" t="b">
        <v>1</v>
      </c>
    </row>
    <row r="373" spans="1:55">
      <c r="A373" t="s">
        <v>1725</v>
      </c>
      <c r="B373" t="s">
        <v>939</v>
      </c>
      <c r="C373">
        <v>18902500</v>
      </c>
      <c r="D373">
        <v>14508300</v>
      </c>
      <c r="E373">
        <v>18902500</v>
      </c>
      <c r="F373">
        <v>31826600</v>
      </c>
      <c r="G373" s="9">
        <v>1.0150311097271445E-2</v>
      </c>
      <c r="H373" s="9">
        <v>2.6500390167320895E-2</v>
      </c>
      <c r="I373" s="9">
        <v>3.9750585250981345E-2</v>
      </c>
      <c r="J373" s="10">
        <v>99232.793269778151</v>
      </c>
      <c r="K373" s="10">
        <v>99232.793269778151</v>
      </c>
      <c r="L373" s="10">
        <v>99232.793269778151</v>
      </c>
      <c r="M373" s="10">
        <v>99232.793269778151</v>
      </c>
      <c r="N373" s="10">
        <v>99232.793269778151</v>
      </c>
      <c r="O373" s="10">
        <v>99232.793269778151</v>
      </c>
      <c r="P373" s="10">
        <v>99232.793269778151</v>
      </c>
      <c r="Q373" s="10">
        <v>99232.793269778151</v>
      </c>
      <c r="R373" s="10">
        <v>99232.793269778151</v>
      </c>
      <c r="S373" s="10">
        <v>99232.793269778151</v>
      </c>
      <c r="T373" s="10">
        <v>99232.793269778151</v>
      </c>
      <c r="V373" t="s">
        <v>456</v>
      </c>
      <c r="W373" t="s">
        <v>1725</v>
      </c>
      <c r="X373" t="s">
        <v>1726</v>
      </c>
      <c r="Y373" t="s">
        <v>941</v>
      </c>
      <c r="Z373" t="s">
        <v>942</v>
      </c>
      <c r="AB373" t="s">
        <v>1727</v>
      </c>
      <c r="AC373" t="s">
        <v>63</v>
      </c>
      <c r="AD373" t="s">
        <v>968</v>
      </c>
      <c r="AF373" t="s">
        <v>944</v>
      </c>
      <c r="AG373" t="s">
        <v>945</v>
      </c>
      <c r="AH373" t="s">
        <v>946</v>
      </c>
      <c r="AI373" t="s">
        <v>947</v>
      </c>
      <c r="AJ373" t="s">
        <v>948</v>
      </c>
      <c r="AK373">
        <v>1</v>
      </c>
      <c r="AL373" s="10">
        <v>14508.3</v>
      </c>
      <c r="AM373" s="10">
        <v>18902.5</v>
      </c>
      <c r="AN373" s="10">
        <v>31826.6</v>
      </c>
      <c r="AO373" s="9">
        <v>4.3446415846210002E-4</v>
      </c>
      <c r="AP373" s="9">
        <v>0.2104</v>
      </c>
      <c r="AQ373" s="9">
        <v>1.82321142281641</v>
      </c>
      <c r="AR373" s="9">
        <v>8.3270996744550363</v>
      </c>
      <c r="AS373" s="9">
        <v>10.150311097271445</v>
      </c>
      <c r="AT373" s="9">
        <v>2.7805413067282725</v>
      </c>
      <c r="AU373" s="9">
        <v>23.719848860592627</v>
      </c>
      <c r="AV373" s="9">
        <v>26.500390167320894</v>
      </c>
      <c r="AW373" s="11">
        <v>99.232793269778156</v>
      </c>
      <c r="AX373" s="11">
        <v>99.232793269778156</v>
      </c>
      <c r="AY373" t="s">
        <v>969</v>
      </c>
      <c r="AZ373" t="s">
        <v>950</v>
      </c>
      <c r="BA373" t="s">
        <v>951</v>
      </c>
      <c r="BB373" t="s">
        <v>970</v>
      </c>
      <c r="BC373" t="b">
        <v>1</v>
      </c>
    </row>
    <row r="374" spans="1:55">
      <c r="A374" t="s">
        <v>1728</v>
      </c>
      <c r="B374" t="s">
        <v>939</v>
      </c>
      <c r="C374">
        <v>76131300</v>
      </c>
      <c r="D374">
        <v>58433000</v>
      </c>
      <c r="E374">
        <v>76131300</v>
      </c>
      <c r="F374">
        <v>128183800</v>
      </c>
      <c r="G374" s="9">
        <v>1.3119389180206491E-2</v>
      </c>
      <c r="H374" s="9">
        <v>2.9447908258382553E-2</v>
      </c>
      <c r="I374" s="9">
        <v>4.4171862387573826E-2</v>
      </c>
      <c r="J374" s="10">
        <v>399667.85103872308</v>
      </c>
      <c r="K374" s="10">
        <v>399667.85103872308</v>
      </c>
      <c r="L374" s="10">
        <v>399667.85103872308</v>
      </c>
      <c r="M374" s="10">
        <v>399667.85103872308</v>
      </c>
      <c r="N374" s="10">
        <v>399667.85103872308</v>
      </c>
      <c r="O374" s="10">
        <v>399667.85103872308</v>
      </c>
      <c r="P374" s="10">
        <v>399667.85103872308</v>
      </c>
      <c r="Q374" s="10">
        <v>399667.85103872308</v>
      </c>
      <c r="R374" s="10">
        <v>399667.85103872308</v>
      </c>
      <c r="S374" s="10">
        <v>399667.85103872308</v>
      </c>
      <c r="T374" s="10">
        <v>399667.85103872308</v>
      </c>
      <c r="V374" t="s">
        <v>456</v>
      </c>
      <c r="W374" t="s">
        <v>1728</v>
      </c>
      <c r="X374" t="s">
        <v>1729</v>
      </c>
      <c r="Y374" t="s">
        <v>941</v>
      </c>
      <c r="Z374" t="s">
        <v>942</v>
      </c>
      <c r="AB374" t="s">
        <v>1727</v>
      </c>
      <c r="AC374" t="s">
        <v>63</v>
      </c>
      <c r="AD374" t="s">
        <v>968</v>
      </c>
      <c r="AF374" t="s">
        <v>944</v>
      </c>
      <c r="AG374" t="s">
        <v>955</v>
      </c>
      <c r="AH374" t="s">
        <v>956</v>
      </c>
      <c r="AI374" t="s">
        <v>947</v>
      </c>
      <c r="AJ374" t="s">
        <v>948</v>
      </c>
      <c r="AK374">
        <v>1</v>
      </c>
      <c r="AL374" s="10">
        <v>58433</v>
      </c>
      <c r="AM374" s="10">
        <v>76131.3</v>
      </c>
      <c r="AN374" s="10">
        <v>128183.8</v>
      </c>
      <c r="AO374" s="9">
        <v>1.7498333074182E-3</v>
      </c>
      <c r="AP374" s="9">
        <v>0.84740000000000004</v>
      </c>
      <c r="AQ374" s="9">
        <v>4.7922895057514534</v>
      </c>
      <c r="AR374" s="9">
        <v>8.3270996744550363</v>
      </c>
      <c r="AS374" s="9">
        <v>13.119389180206491</v>
      </c>
      <c r="AT374" s="9">
        <v>5.728059397789929</v>
      </c>
      <c r="AU374" s="9">
        <v>23.719848860592627</v>
      </c>
      <c r="AV374" s="9">
        <v>29.447908258382554</v>
      </c>
      <c r="AW374" s="11">
        <v>399.66785103872309</v>
      </c>
      <c r="AX374" s="11">
        <v>399.66785103872309</v>
      </c>
      <c r="AY374" t="s">
        <v>969</v>
      </c>
      <c r="AZ374" t="s">
        <v>950</v>
      </c>
      <c r="BA374" t="s">
        <v>951</v>
      </c>
      <c r="BB374" t="s">
        <v>970</v>
      </c>
      <c r="BC374" t="b">
        <v>1</v>
      </c>
    </row>
    <row r="375" spans="1:55">
      <c r="A375" t="s">
        <v>1730</v>
      </c>
      <c r="B375" t="s">
        <v>939</v>
      </c>
      <c r="C375">
        <v>49879700</v>
      </c>
      <c r="D375">
        <v>38284200</v>
      </c>
      <c r="E375">
        <v>49879700</v>
      </c>
      <c r="F375">
        <v>83983500</v>
      </c>
      <c r="G375" s="9">
        <v>1.3766383622857708E-2</v>
      </c>
      <c r="H375" s="9">
        <v>4.3074138827273616E-2</v>
      </c>
      <c r="I375" s="9">
        <v>6.461120824091042E-2</v>
      </c>
      <c r="J375" s="10">
        <v>261854.3556914987</v>
      </c>
      <c r="K375" s="10">
        <v>261854.3556914987</v>
      </c>
      <c r="L375" s="10">
        <v>261854.3556914987</v>
      </c>
      <c r="M375" s="10">
        <v>261854.3556914987</v>
      </c>
      <c r="N375" s="10">
        <v>261854.3556914987</v>
      </c>
      <c r="O375" s="10">
        <v>261854.3556914987</v>
      </c>
      <c r="P375" s="10">
        <v>261854.3556914987</v>
      </c>
      <c r="Q375" s="10">
        <v>261854.3556914987</v>
      </c>
      <c r="R375" s="10">
        <v>261854.3556914987</v>
      </c>
      <c r="S375" s="10">
        <v>261854.3556914987</v>
      </c>
      <c r="T375" s="10">
        <v>261854.3556914987</v>
      </c>
      <c r="V375" t="s">
        <v>456</v>
      </c>
      <c r="W375" t="s">
        <v>1730</v>
      </c>
      <c r="X375" t="s">
        <v>1731</v>
      </c>
      <c r="Y375" t="s">
        <v>941</v>
      </c>
      <c r="Z375" t="s">
        <v>942</v>
      </c>
      <c r="AB375" t="s">
        <v>1727</v>
      </c>
      <c r="AC375" t="s">
        <v>63</v>
      </c>
      <c r="AD375" t="s">
        <v>968</v>
      </c>
      <c r="AF375" t="s">
        <v>944</v>
      </c>
      <c r="AG375" t="s">
        <v>1037</v>
      </c>
      <c r="AH375" t="s">
        <v>988</v>
      </c>
      <c r="AI375" t="s">
        <v>947</v>
      </c>
      <c r="AJ375" t="s">
        <v>948</v>
      </c>
      <c r="AK375">
        <v>1</v>
      </c>
      <c r="AL375" s="10">
        <v>38284.199999999997</v>
      </c>
      <c r="AM375" s="10">
        <v>49879.7</v>
      </c>
      <c r="AN375" s="10">
        <v>83983.5</v>
      </c>
      <c r="AO375" s="9">
        <v>1.1464567527478999E-3</v>
      </c>
      <c r="AP375" s="9">
        <v>0.55520000000000003</v>
      </c>
      <c r="AQ375" s="9">
        <v>5.4392839484026716</v>
      </c>
      <c r="AR375" s="9">
        <v>8.3270996744550363</v>
      </c>
      <c r="AS375" s="9">
        <v>13.766383622857708</v>
      </c>
      <c r="AT375" s="9">
        <v>19.354289966680991</v>
      </c>
      <c r="AU375" s="9">
        <v>23.719848860592624</v>
      </c>
      <c r="AV375" s="9">
        <v>43.074138827273615</v>
      </c>
      <c r="AW375" s="11">
        <v>261.85435569149871</v>
      </c>
      <c r="AX375" s="11">
        <v>261.85435569149871</v>
      </c>
      <c r="AY375" t="s">
        <v>969</v>
      </c>
      <c r="AZ375" t="s">
        <v>950</v>
      </c>
      <c r="BA375" t="s">
        <v>951</v>
      </c>
      <c r="BB375" t="s">
        <v>970</v>
      </c>
      <c r="BC375" t="b">
        <v>1</v>
      </c>
    </row>
    <row r="376" spans="1:55">
      <c r="A376" t="s">
        <v>1732</v>
      </c>
      <c r="B376" t="s">
        <v>939</v>
      </c>
      <c r="C376">
        <v>100276400</v>
      </c>
      <c r="D376">
        <v>54528100</v>
      </c>
      <c r="E376">
        <v>100276400</v>
      </c>
      <c r="F376">
        <v>203254000</v>
      </c>
      <c r="G376" s="9">
        <v>8.0085945981383955E-3</v>
      </c>
      <c r="H376" s="9">
        <v>2.421038532581353E-2</v>
      </c>
      <c r="I376" s="9">
        <v>3.6315577988720295E-2</v>
      </c>
      <c r="J376" s="10">
        <v>1954974.1969118535</v>
      </c>
      <c r="K376" s="10">
        <v>1902252.9803023047</v>
      </c>
      <c r="L376" s="10">
        <v>1849531.763692756</v>
      </c>
      <c r="M376" s="10">
        <v>1796810.5470832069</v>
      </c>
      <c r="N376" s="10">
        <v>1744089.3304736579</v>
      </c>
      <c r="O376" s="10">
        <v>1691368.1138641092</v>
      </c>
      <c r="P376" s="10">
        <v>1585925.6806450114</v>
      </c>
      <c r="Q376" s="10">
        <v>1480483.2474259138</v>
      </c>
      <c r="R376" s="10">
        <v>1375040.8142068158</v>
      </c>
      <c r="S376" s="10">
        <v>1269598.380987718</v>
      </c>
      <c r="T376" s="10">
        <v>1164155.9477686202</v>
      </c>
      <c r="V376" t="s">
        <v>456</v>
      </c>
      <c r="W376" t="s">
        <v>1732</v>
      </c>
      <c r="X376" t="s">
        <v>1733</v>
      </c>
      <c r="Y376" t="s">
        <v>941</v>
      </c>
      <c r="Z376" t="s">
        <v>942</v>
      </c>
      <c r="AB376" t="s">
        <v>1727</v>
      </c>
      <c r="AC376" t="s">
        <v>63</v>
      </c>
      <c r="AD376" t="s">
        <v>943</v>
      </c>
      <c r="AF376" t="s">
        <v>944</v>
      </c>
      <c r="AG376" t="s">
        <v>959</v>
      </c>
      <c r="AH376" t="s">
        <v>946</v>
      </c>
      <c r="AI376" t="s">
        <v>960</v>
      </c>
      <c r="AJ376" t="s">
        <v>948</v>
      </c>
      <c r="AK376">
        <v>150</v>
      </c>
      <c r="AL376" s="10">
        <v>54528.1</v>
      </c>
      <c r="AM376" s="10">
        <v>100276.4</v>
      </c>
      <c r="AN376" s="10">
        <v>203254</v>
      </c>
      <c r="AO376" s="9">
        <v>0.45055172198754129</v>
      </c>
      <c r="AP376" s="9">
        <v>218.1908</v>
      </c>
      <c r="AQ376" s="9">
        <v>0.25859459813839519</v>
      </c>
      <c r="AR376" s="9">
        <v>7.7500000000000009</v>
      </c>
      <c r="AS376" s="9">
        <v>8.0085945981383961</v>
      </c>
      <c r="AT376" s="9">
        <v>0.61038532581352722</v>
      </c>
      <c r="AU376" s="9">
        <v>23.600000000000005</v>
      </c>
      <c r="AV376" s="9">
        <v>24.21038532581353</v>
      </c>
      <c r="AW376" s="11">
        <v>1954.9741969118536</v>
      </c>
      <c r="AX376" s="11">
        <v>1164.1559477686203</v>
      </c>
      <c r="AY376" t="s">
        <v>949</v>
      </c>
      <c r="AZ376" t="s">
        <v>950</v>
      </c>
      <c r="BA376" t="s">
        <v>951</v>
      </c>
      <c r="BB376" t="s">
        <v>970</v>
      </c>
      <c r="BC376" t="b">
        <v>1</v>
      </c>
    </row>
    <row r="377" spans="1:55">
      <c r="A377" t="s">
        <v>1734</v>
      </c>
      <c r="B377" t="s">
        <v>939</v>
      </c>
      <c r="C377">
        <v>466831800</v>
      </c>
      <c r="D377">
        <v>253852800</v>
      </c>
      <c r="E377">
        <v>466831800</v>
      </c>
      <c r="F377">
        <v>946239300</v>
      </c>
      <c r="G377" s="9">
        <v>1.5277912746385644E-2</v>
      </c>
      <c r="H377" s="9">
        <v>4.7864915837704303E-2</v>
      </c>
      <c r="I377" s="9">
        <v>7.1797373756556454E-2</v>
      </c>
      <c r="J377" s="10">
        <v>9101285.280463947</v>
      </c>
      <c r="K377" s="10">
        <v>8855844.2749230079</v>
      </c>
      <c r="L377" s="10">
        <v>8610403.269382067</v>
      </c>
      <c r="M377" s="10">
        <v>8364962.2638411252</v>
      </c>
      <c r="N377" s="10">
        <v>8119521.2583001852</v>
      </c>
      <c r="O377" s="10">
        <v>7874080.2527592443</v>
      </c>
      <c r="P377" s="10">
        <v>7383198.2416773625</v>
      </c>
      <c r="Q377" s="10">
        <v>6892316.2305954807</v>
      </c>
      <c r="R377" s="10">
        <v>6401434.2195135998</v>
      </c>
      <c r="S377" s="10">
        <v>5910552.208431717</v>
      </c>
      <c r="T377" s="10">
        <v>5419670.1973498361</v>
      </c>
      <c r="V377" t="s">
        <v>456</v>
      </c>
      <c r="W377" t="s">
        <v>1734</v>
      </c>
      <c r="X377" t="s">
        <v>1735</v>
      </c>
      <c r="Y377" t="s">
        <v>941</v>
      </c>
      <c r="Z377" t="s">
        <v>942</v>
      </c>
      <c r="AB377" t="s">
        <v>1727</v>
      </c>
      <c r="AC377" t="s">
        <v>63</v>
      </c>
      <c r="AD377" t="s">
        <v>943</v>
      </c>
      <c r="AF377" t="s">
        <v>944</v>
      </c>
      <c r="AG377" t="s">
        <v>945</v>
      </c>
      <c r="AH377" t="s">
        <v>946</v>
      </c>
      <c r="AI377" t="s">
        <v>947</v>
      </c>
      <c r="AJ377" t="s">
        <v>948</v>
      </c>
      <c r="AK377">
        <v>11</v>
      </c>
      <c r="AL377" s="10">
        <v>253852.79999999999</v>
      </c>
      <c r="AM377" s="10">
        <v>466831.8</v>
      </c>
      <c r="AN377" s="10">
        <v>946239.3</v>
      </c>
      <c r="AO377" s="9">
        <v>1.0729860552285701E-2</v>
      </c>
      <c r="AP377" s="9">
        <v>5.196200000000001</v>
      </c>
      <c r="AQ377" s="9">
        <v>1.3994132889605837</v>
      </c>
      <c r="AR377" s="9">
        <v>13.878499457425058</v>
      </c>
      <c r="AS377" s="9">
        <v>15.277912746385644</v>
      </c>
      <c r="AT377" s="9">
        <v>2.2023177909740856</v>
      </c>
      <c r="AU377" s="9">
        <v>45.662598046730224</v>
      </c>
      <c r="AV377" s="9">
        <v>47.864915837704302</v>
      </c>
      <c r="AW377" s="11">
        <v>9101.2852804639479</v>
      </c>
      <c r="AX377" s="11">
        <v>5419.6701973498357</v>
      </c>
      <c r="AY377" t="s">
        <v>949</v>
      </c>
      <c r="AZ377" t="s">
        <v>950</v>
      </c>
      <c r="BA377" t="s">
        <v>951</v>
      </c>
      <c r="BB377" t="s">
        <v>970</v>
      </c>
      <c r="BC377" t="b">
        <v>1</v>
      </c>
    </row>
    <row r="378" spans="1:55">
      <c r="A378" t="s">
        <v>1736</v>
      </c>
      <c r="B378" t="s">
        <v>939</v>
      </c>
      <c r="C378">
        <v>101359100</v>
      </c>
      <c r="D378">
        <v>55116800</v>
      </c>
      <c r="E378">
        <v>101359100</v>
      </c>
      <c r="F378">
        <v>205448600</v>
      </c>
      <c r="G378" s="9">
        <v>8.9054025757962646E-3</v>
      </c>
      <c r="H378" s="9">
        <v>2.6779185207670756E-2</v>
      </c>
      <c r="I378" s="9">
        <v>4.0168777811506136E-2</v>
      </c>
      <c r="J378" s="10">
        <v>1976082.359580203</v>
      </c>
      <c r="K378" s="10">
        <v>1922791.9037356679</v>
      </c>
      <c r="L378" s="10">
        <v>1869501.4478911331</v>
      </c>
      <c r="M378" s="10">
        <v>1816210.9920465981</v>
      </c>
      <c r="N378" s="10">
        <v>1762920.5362020633</v>
      </c>
      <c r="O378" s="10">
        <v>1709630.0803575283</v>
      </c>
      <c r="P378" s="10">
        <v>1603049.1686684585</v>
      </c>
      <c r="Q378" s="10">
        <v>1496468.2569793887</v>
      </c>
      <c r="R378" s="10">
        <v>1389887.3452903186</v>
      </c>
      <c r="S378" s="10">
        <v>1283306.4336012485</v>
      </c>
      <c r="T378" s="10">
        <v>1176725.5219121787</v>
      </c>
      <c r="V378" t="s">
        <v>456</v>
      </c>
      <c r="W378" t="s">
        <v>1736</v>
      </c>
      <c r="X378" t="s">
        <v>1737</v>
      </c>
      <c r="Y378" t="s">
        <v>941</v>
      </c>
      <c r="Z378" t="s">
        <v>942</v>
      </c>
      <c r="AB378" t="s">
        <v>1727</v>
      </c>
      <c r="AC378" t="s">
        <v>63</v>
      </c>
      <c r="AD378" t="s">
        <v>943</v>
      </c>
      <c r="AF378" t="s">
        <v>944</v>
      </c>
      <c r="AG378" t="s">
        <v>965</v>
      </c>
      <c r="AH378" t="s">
        <v>956</v>
      </c>
      <c r="AI378" t="s">
        <v>960</v>
      </c>
      <c r="AJ378" t="s">
        <v>948</v>
      </c>
      <c r="AK378">
        <v>85</v>
      </c>
      <c r="AL378" s="10">
        <v>55116.800000000003</v>
      </c>
      <c r="AM378" s="10">
        <v>101359.1</v>
      </c>
      <c r="AN378" s="10">
        <v>205448.6</v>
      </c>
      <c r="AO378" s="9">
        <v>0.45541652289496021</v>
      </c>
      <c r="AP378" s="9">
        <v>220.54669999999999</v>
      </c>
      <c r="AQ378" s="9">
        <v>1.1554025757962634</v>
      </c>
      <c r="AR378" s="9">
        <v>7.75</v>
      </c>
      <c r="AS378" s="9">
        <v>8.9054025757962645</v>
      </c>
      <c r="AT378" s="9">
        <v>3.1791852076707525</v>
      </c>
      <c r="AU378" s="9">
        <v>23.6</v>
      </c>
      <c r="AV378" s="9">
        <v>26.779185207670757</v>
      </c>
      <c r="AW378" s="11">
        <v>1976.082359580203</v>
      </c>
      <c r="AX378" s="11">
        <v>1176.7255219121787</v>
      </c>
      <c r="AY378" t="s">
        <v>949</v>
      </c>
      <c r="AZ378" t="s">
        <v>950</v>
      </c>
      <c r="BA378" t="s">
        <v>951</v>
      </c>
      <c r="BB378" t="s">
        <v>970</v>
      </c>
      <c r="BC378" t="b">
        <v>1</v>
      </c>
    </row>
    <row r="379" spans="1:55">
      <c r="A379" t="s">
        <v>1738</v>
      </c>
      <c r="B379" t="s">
        <v>939</v>
      </c>
      <c r="C379">
        <v>275856800</v>
      </c>
      <c r="D379">
        <v>150004800</v>
      </c>
      <c r="E379">
        <v>275856800</v>
      </c>
      <c r="F379">
        <v>559144700</v>
      </c>
      <c r="G379" s="9">
        <v>1.9712479281623858E-2</v>
      </c>
      <c r="H379" s="9"/>
      <c r="I379" s="9"/>
      <c r="J379" s="10">
        <v>5378064.2907271683</v>
      </c>
      <c r="K379" s="10">
        <v>5233030.1041586734</v>
      </c>
      <c r="L379" s="10">
        <v>5087995.9175901795</v>
      </c>
      <c r="M379" s="10">
        <v>4942961.7310216846</v>
      </c>
      <c r="N379" s="10">
        <v>4797927.5444531897</v>
      </c>
      <c r="O379" s="10">
        <v>4652893.3578846958</v>
      </c>
      <c r="P379" s="10">
        <v>4362824.984747705</v>
      </c>
      <c r="Q379" s="10">
        <v>4072756.6116107162</v>
      </c>
      <c r="R379" s="10">
        <v>3782688.2384737269</v>
      </c>
      <c r="S379" s="10">
        <v>3492619.8653367371</v>
      </c>
      <c r="T379" s="10">
        <v>3202551.4921997478</v>
      </c>
      <c r="V379" t="s">
        <v>456</v>
      </c>
      <c r="W379" t="s">
        <v>1738</v>
      </c>
      <c r="X379" t="s">
        <v>1739</v>
      </c>
      <c r="Y379" t="s">
        <v>941</v>
      </c>
      <c r="Z379" t="s">
        <v>942</v>
      </c>
      <c r="AB379" t="s">
        <v>1727</v>
      </c>
      <c r="AC379" t="s">
        <v>63</v>
      </c>
      <c r="AD379" t="s">
        <v>943</v>
      </c>
      <c r="AF379" t="s">
        <v>944</v>
      </c>
      <c r="AG379" t="s">
        <v>955</v>
      </c>
      <c r="AH379" t="s">
        <v>956</v>
      </c>
      <c r="AI379" t="s">
        <v>947</v>
      </c>
      <c r="AJ379" t="s">
        <v>948</v>
      </c>
      <c r="AK379">
        <v>4</v>
      </c>
      <c r="AL379" s="10">
        <v>150004.79999999999</v>
      </c>
      <c r="AM379" s="10">
        <v>275856.8</v>
      </c>
      <c r="AN379" s="10">
        <v>559144.69999999995</v>
      </c>
      <c r="AO379" s="9">
        <v>6.3404096889637003E-3</v>
      </c>
      <c r="AP379" s="9">
        <v>3.0705</v>
      </c>
      <c r="AQ379" s="9">
        <v>5.8339798241988001</v>
      </c>
      <c r="AR379" s="9">
        <v>13.878499457425059</v>
      </c>
      <c r="AS379" s="9">
        <v>19.712479281623857</v>
      </c>
      <c r="AT379" s="9"/>
      <c r="AU379" s="9"/>
      <c r="AV379" s="9"/>
      <c r="AW379" s="11">
        <v>5378.0642907271686</v>
      </c>
      <c r="AX379" s="11">
        <v>3202.5514921997478</v>
      </c>
      <c r="AY379" t="s">
        <v>949</v>
      </c>
      <c r="AZ379" t="s">
        <v>950</v>
      </c>
      <c r="BA379" t="s">
        <v>951</v>
      </c>
      <c r="BB379" t="s">
        <v>970</v>
      </c>
      <c r="BC379" t="b">
        <v>0</v>
      </c>
    </row>
    <row r="380" spans="1:55">
      <c r="A380" t="s">
        <v>1740</v>
      </c>
      <c r="B380" t="s">
        <v>939</v>
      </c>
      <c r="C380">
        <v>16084200</v>
      </c>
      <c r="D380">
        <v>8746200</v>
      </c>
      <c r="E380">
        <v>16084200</v>
      </c>
      <c r="F380">
        <v>32601700</v>
      </c>
      <c r="G380" s="9">
        <v>1.3757772059198157E-2</v>
      </c>
      <c r="H380" s="9">
        <v>3.4242886673853175E-2</v>
      </c>
      <c r="I380" s="9">
        <v>5.1364330010779766E-2</v>
      </c>
      <c r="J380" s="10">
        <v>313575.23782235541</v>
      </c>
      <c r="K380" s="10">
        <v>305118.82542431058</v>
      </c>
      <c r="L380" s="10">
        <v>296662.41302626563</v>
      </c>
      <c r="M380" s="10">
        <v>288206.00062822079</v>
      </c>
      <c r="N380" s="10">
        <v>279749.58823017596</v>
      </c>
      <c r="O380" s="10">
        <v>271293.17583213106</v>
      </c>
      <c r="P380" s="10">
        <v>254380.35103604133</v>
      </c>
      <c r="Q380" s="10">
        <v>237467.52623995161</v>
      </c>
      <c r="R380" s="10">
        <v>220554.70144386188</v>
      </c>
      <c r="S380" s="10">
        <v>203641.87664777212</v>
      </c>
      <c r="T380" s="10">
        <v>186729.05185168242</v>
      </c>
      <c r="V380" t="s">
        <v>456</v>
      </c>
      <c r="W380" t="s">
        <v>1740</v>
      </c>
      <c r="X380" t="s">
        <v>1741</v>
      </c>
      <c r="Y380" t="s">
        <v>941</v>
      </c>
      <c r="Z380" t="s">
        <v>942</v>
      </c>
      <c r="AB380" t="s">
        <v>1727</v>
      </c>
      <c r="AC380" t="s">
        <v>63</v>
      </c>
      <c r="AD380" t="s">
        <v>943</v>
      </c>
      <c r="AF380" t="s">
        <v>944</v>
      </c>
      <c r="AG380" t="s">
        <v>1042</v>
      </c>
      <c r="AH380" t="s">
        <v>988</v>
      </c>
      <c r="AI380" t="s">
        <v>960</v>
      </c>
      <c r="AJ380" t="s">
        <v>948</v>
      </c>
      <c r="AK380">
        <v>17</v>
      </c>
      <c r="AL380" s="10">
        <v>8746.2000000000007</v>
      </c>
      <c r="AM380" s="10">
        <v>16084.2</v>
      </c>
      <c r="AN380" s="10">
        <v>32601.7</v>
      </c>
      <c r="AO380" s="9">
        <v>7.2267867803128993E-2</v>
      </c>
      <c r="AP380" s="9">
        <v>34.997499999999995</v>
      </c>
      <c r="AQ380" s="9">
        <v>6.0077720591981558</v>
      </c>
      <c r="AR380" s="9">
        <v>7.75</v>
      </c>
      <c r="AS380" s="9">
        <v>13.757772059198157</v>
      </c>
      <c r="AT380" s="9">
        <v>10.642886673853177</v>
      </c>
      <c r="AU380" s="9">
        <v>23.6</v>
      </c>
      <c r="AV380" s="9">
        <v>34.242886673853178</v>
      </c>
      <c r="AW380" s="11">
        <v>313.5752378223554</v>
      </c>
      <c r="AX380" s="11">
        <v>186.72905185168241</v>
      </c>
      <c r="AY380" t="s">
        <v>949</v>
      </c>
      <c r="AZ380" t="s">
        <v>950</v>
      </c>
      <c r="BA380" t="s">
        <v>951</v>
      </c>
      <c r="BB380" t="s">
        <v>970</v>
      </c>
      <c r="BC380" t="b">
        <v>1</v>
      </c>
    </row>
    <row r="381" spans="1:55">
      <c r="A381" t="s">
        <v>1742</v>
      </c>
      <c r="B381" t="s">
        <v>939</v>
      </c>
      <c r="C381">
        <v>303300</v>
      </c>
      <c r="D381">
        <v>164900</v>
      </c>
      <c r="E381">
        <v>303300</v>
      </c>
      <c r="F381">
        <v>614800</v>
      </c>
      <c r="G381" s="9">
        <v>3.6069519632353761E-2</v>
      </c>
      <c r="H381" s="9">
        <v>6.3247327485295268E-2</v>
      </c>
      <c r="I381" s="9">
        <v>9.4870991227942902E-2</v>
      </c>
      <c r="J381" s="10">
        <v>5913.0929503189709</v>
      </c>
      <c r="K381" s="10">
        <v>5753.630255231431</v>
      </c>
      <c r="L381" s="10">
        <v>5594.167560143891</v>
      </c>
      <c r="M381" s="10">
        <v>5434.704865056352</v>
      </c>
      <c r="N381" s="10">
        <v>5275.242169968812</v>
      </c>
      <c r="O381" s="10">
        <v>5115.7794748812721</v>
      </c>
      <c r="P381" s="10">
        <v>4796.8540847061922</v>
      </c>
      <c r="Q381" s="10">
        <v>4477.9286945311123</v>
      </c>
      <c r="R381" s="10">
        <v>4159.0033043560334</v>
      </c>
      <c r="S381" s="10">
        <v>3840.077914180953</v>
      </c>
      <c r="T381" s="10">
        <v>3521.1525240058736</v>
      </c>
      <c r="V381" t="s">
        <v>456</v>
      </c>
      <c r="W381" t="s">
        <v>1742</v>
      </c>
      <c r="X381" t="s">
        <v>1743</v>
      </c>
      <c r="Y381" t="s">
        <v>941</v>
      </c>
      <c r="Z381" t="s">
        <v>942</v>
      </c>
      <c r="AB381" t="s">
        <v>1727</v>
      </c>
      <c r="AC381" t="s">
        <v>63</v>
      </c>
      <c r="AD381" t="s">
        <v>943</v>
      </c>
      <c r="AF381" t="s">
        <v>944</v>
      </c>
      <c r="AG381" t="s">
        <v>1187</v>
      </c>
      <c r="AH381" t="s">
        <v>1136</v>
      </c>
      <c r="AI381" t="s">
        <v>960</v>
      </c>
      <c r="AJ381" t="s">
        <v>948</v>
      </c>
      <c r="AK381">
        <v>1</v>
      </c>
      <c r="AL381" s="10">
        <v>164.9</v>
      </c>
      <c r="AM381" s="10">
        <v>303.3</v>
      </c>
      <c r="AN381" s="10">
        <v>614.79999999999995</v>
      </c>
      <c r="AO381" s="9">
        <v>1.3628628544914E-3</v>
      </c>
      <c r="AP381" s="9">
        <v>0.66</v>
      </c>
      <c r="AQ381" s="9">
        <v>28.319519632353764</v>
      </c>
      <c r="AR381" s="9">
        <v>7.75</v>
      </c>
      <c r="AS381" s="9">
        <v>36.06951963235376</v>
      </c>
      <c r="AT381" s="9">
        <v>39.647327485295264</v>
      </c>
      <c r="AU381" s="9">
        <v>23.6</v>
      </c>
      <c r="AV381" s="9">
        <v>63.247327485295273</v>
      </c>
      <c r="AW381" s="11">
        <v>5.9130929503189709</v>
      </c>
      <c r="AX381" s="11">
        <v>3.5211525240058736</v>
      </c>
      <c r="AY381" t="s">
        <v>949</v>
      </c>
      <c r="AZ381" t="s">
        <v>950</v>
      </c>
      <c r="BA381" t="s">
        <v>951</v>
      </c>
      <c r="BB381" t="s">
        <v>970</v>
      </c>
      <c r="BC381" t="b">
        <v>1</v>
      </c>
    </row>
    <row r="382" spans="1:55">
      <c r="A382" t="s">
        <v>1744</v>
      </c>
      <c r="B382" t="s">
        <v>939</v>
      </c>
      <c r="C382">
        <v>454800</v>
      </c>
      <c r="D382">
        <v>247300</v>
      </c>
      <c r="E382">
        <v>454800</v>
      </c>
      <c r="F382">
        <v>921800</v>
      </c>
      <c r="G382" s="9">
        <v>6.3390636220916783E-3</v>
      </c>
      <c r="H382" s="9">
        <v>1.5419814026079535E-2</v>
      </c>
      <c r="I382" s="9">
        <v>2.3129721039119304E-2</v>
      </c>
      <c r="J382" s="10">
        <v>14576.05221618884</v>
      </c>
      <c r="K382" s="10">
        <v>14137.32962519359</v>
      </c>
      <c r="L382" s="10">
        <v>13698.607034198343</v>
      </c>
      <c r="M382" s="10">
        <v>13259.884443203093</v>
      </c>
      <c r="N382" s="10">
        <v>12821.161852207844</v>
      </c>
      <c r="O382" s="10">
        <v>12382.439261212596</v>
      </c>
      <c r="P382" s="10">
        <v>11504.994079222097</v>
      </c>
      <c r="Q382" s="10">
        <v>10627.548897231598</v>
      </c>
      <c r="R382" s="10">
        <v>9750.1037152411009</v>
      </c>
      <c r="S382" s="10">
        <v>8872.6585332506038</v>
      </c>
      <c r="T382" s="10">
        <v>7995.2133512601049</v>
      </c>
      <c r="V382" t="s">
        <v>456</v>
      </c>
      <c r="W382" t="s">
        <v>1744</v>
      </c>
      <c r="X382" t="s">
        <v>1745</v>
      </c>
      <c r="Y382" t="s">
        <v>941</v>
      </c>
      <c r="Z382" t="s">
        <v>942</v>
      </c>
      <c r="AB382" t="s">
        <v>558</v>
      </c>
      <c r="AC382" t="s">
        <v>557</v>
      </c>
      <c r="AD382" t="s">
        <v>943</v>
      </c>
      <c r="AF382" t="s">
        <v>944</v>
      </c>
      <c r="AG382" t="s">
        <v>999</v>
      </c>
      <c r="AH382" t="s">
        <v>946</v>
      </c>
      <c r="AI382" t="s">
        <v>977</v>
      </c>
      <c r="AJ382" t="s">
        <v>948</v>
      </c>
      <c r="AK382">
        <v>5</v>
      </c>
      <c r="AL382" s="10">
        <v>247.3</v>
      </c>
      <c r="AM382" s="10">
        <v>454.8</v>
      </c>
      <c r="AN382" s="10">
        <v>921.8</v>
      </c>
      <c r="AO382" s="9">
        <v>0.11648989816424</v>
      </c>
      <c r="AP382" s="9">
        <v>18.526599999999998</v>
      </c>
      <c r="AQ382" s="9">
        <v>0.1390636220916788</v>
      </c>
      <c r="AR382" s="9">
        <v>6.1999999999999984</v>
      </c>
      <c r="AS382" s="9">
        <v>6.3390636220916781</v>
      </c>
      <c r="AT382" s="9">
        <v>0.53981402607953854</v>
      </c>
      <c r="AU382" s="9">
        <v>14.88</v>
      </c>
      <c r="AV382" s="9">
        <v>15.419814026079536</v>
      </c>
      <c r="AW382" s="11">
        <v>14.57605221618884</v>
      </c>
      <c r="AX382" s="11">
        <v>7.9952133512601051</v>
      </c>
      <c r="AY382" t="s">
        <v>949</v>
      </c>
      <c r="AZ382" t="s">
        <v>950</v>
      </c>
      <c r="BA382" t="s">
        <v>951</v>
      </c>
      <c r="BB382" t="s">
        <v>970</v>
      </c>
      <c r="BC382" t="b">
        <v>1</v>
      </c>
    </row>
    <row r="383" spans="1:55">
      <c r="A383" t="s">
        <v>1746</v>
      </c>
      <c r="B383" t="s">
        <v>939</v>
      </c>
      <c r="C383">
        <v>28913000</v>
      </c>
      <c r="D383">
        <v>15722300</v>
      </c>
      <c r="E383">
        <v>28913000</v>
      </c>
      <c r="F383">
        <v>58604900</v>
      </c>
      <c r="G383" s="9">
        <v>7.9407626430995949E-3</v>
      </c>
      <c r="H383" s="9">
        <v>2.4364735053399412E-2</v>
      </c>
      <c r="I383" s="9">
        <v>3.6547102580099119E-2</v>
      </c>
      <c r="J383" s="10">
        <v>926643.35472002614</v>
      </c>
      <c r="K383" s="10">
        <v>898752.44382854493</v>
      </c>
      <c r="L383" s="10">
        <v>870861.53293706384</v>
      </c>
      <c r="M383" s="10">
        <v>842970.62204558263</v>
      </c>
      <c r="N383" s="10">
        <v>815079.71115410153</v>
      </c>
      <c r="O383" s="10">
        <v>787188.80026262032</v>
      </c>
      <c r="P383" s="10">
        <v>731406.97847965802</v>
      </c>
      <c r="Q383" s="10">
        <v>675625.15669669572</v>
      </c>
      <c r="R383" s="10">
        <v>619843.33491373353</v>
      </c>
      <c r="S383" s="10">
        <v>564061.51313077111</v>
      </c>
      <c r="T383" s="10">
        <v>508279.69134780881</v>
      </c>
      <c r="V383" t="s">
        <v>456</v>
      </c>
      <c r="W383" t="s">
        <v>1746</v>
      </c>
      <c r="X383" t="s">
        <v>1747</v>
      </c>
      <c r="Y383" t="s">
        <v>941</v>
      </c>
      <c r="Z383" t="s">
        <v>942</v>
      </c>
      <c r="AB383" t="s">
        <v>558</v>
      </c>
      <c r="AC383" t="s">
        <v>557</v>
      </c>
      <c r="AD383" t="s">
        <v>943</v>
      </c>
      <c r="AF383" t="s">
        <v>944</v>
      </c>
      <c r="AG383" t="s">
        <v>959</v>
      </c>
      <c r="AH383" t="s">
        <v>946</v>
      </c>
      <c r="AI383" t="s">
        <v>960</v>
      </c>
      <c r="AJ383" t="s">
        <v>948</v>
      </c>
      <c r="AK383">
        <v>59</v>
      </c>
      <c r="AL383" s="10">
        <v>15722.3</v>
      </c>
      <c r="AM383" s="10">
        <v>28913</v>
      </c>
      <c r="AN383" s="10">
        <v>58604.9</v>
      </c>
      <c r="AO383" s="9">
        <v>0.74699887575735469</v>
      </c>
      <c r="AP383" s="9">
        <v>118.803</v>
      </c>
      <c r="AQ383" s="9">
        <v>0.19076264309959351</v>
      </c>
      <c r="AR383" s="9">
        <v>7.7499999999999991</v>
      </c>
      <c r="AS383" s="9">
        <v>7.9407626430995943</v>
      </c>
      <c r="AT383" s="9">
        <v>0.76473505339940828</v>
      </c>
      <c r="AU383" s="9">
        <v>23.599999999999994</v>
      </c>
      <c r="AV383" s="9">
        <v>24.364735053399411</v>
      </c>
      <c r="AW383" s="11">
        <v>926.6433547200262</v>
      </c>
      <c r="AX383" s="11">
        <v>508.27969134780881</v>
      </c>
      <c r="AY383" t="s">
        <v>949</v>
      </c>
      <c r="AZ383" t="s">
        <v>950</v>
      </c>
      <c r="BA383" t="s">
        <v>951</v>
      </c>
      <c r="BB383" t="s">
        <v>970</v>
      </c>
      <c r="BC383" t="b">
        <v>1</v>
      </c>
    </row>
    <row r="384" spans="1:55">
      <c r="A384" t="s">
        <v>1748</v>
      </c>
      <c r="B384" t="s">
        <v>939</v>
      </c>
      <c r="C384">
        <v>286700</v>
      </c>
      <c r="D384">
        <v>155900</v>
      </c>
      <c r="E384">
        <v>286700</v>
      </c>
      <c r="F384">
        <v>581100</v>
      </c>
      <c r="G384" s="9">
        <v>6.6825740392483868E-3</v>
      </c>
      <c r="H384" s="9">
        <v>1.5859588203372122E-2</v>
      </c>
      <c r="I384" s="9">
        <v>2.3789382305058185E-2</v>
      </c>
      <c r="J384" s="10">
        <v>9188.5535848314448</v>
      </c>
      <c r="K384" s="10">
        <v>8911.9885741930593</v>
      </c>
      <c r="L384" s="10">
        <v>8635.423563554672</v>
      </c>
      <c r="M384" s="10">
        <v>8358.8585529162865</v>
      </c>
      <c r="N384" s="10">
        <v>8082.293542277901</v>
      </c>
      <c r="O384" s="10">
        <v>7805.7285316395146</v>
      </c>
      <c r="P384" s="10">
        <v>7252.5985103627427</v>
      </c>
      <c r="Q384" s="10">
        <v>6699.4684890859717</v>
      </c>
      <c r="R384" s="10">
        <v>6146.3384678091998</v>
      </c>
      <c r="S384" s="10">
        <v>5593.2084465324269</v>
      </c>
      <c r="T384" s="10">
        <v>5040.078425255655</v>
      </c>
      <c r="V384" t="s">
        <v>456</v>
      </c>
      <c r="W384" t="s">
        <v>1748</v>
      </c>
      <c r="X384" t="s">
        <v>1749</v>
      </c>
      <c r="Y384" t="s">
        <v>941</v>
      </c>
      <c r="Z384" t="s">
        <v>942</v>
      </c>
      <c r="AB384" t="s">
        <v>558</v>
      </c>
      <c r="AC384" t="s">
        <v>557</v>
      </c>
      <c r="AD384" t="s">
        <v>943</v>
      </c>
      <c r="AF384" t="s">
        <v>944</v>
      </c>
      <c r="AG384" t="s">
        <v>976</v>
      </c>
      <c r="AH384" t="s">
        <v>956</v>
      </c>
      <c r="AI384" t="s">
        <v>977</v>
      </c>
      <c r="AJ384" t="s">
        <v>948</v>
      </c>
      <c r="AK384">
        <v>7</v>
      </c>
      <c r="AL384" s="10">
        <v>155.9</v>
      </c>
      <c r="AM384" s="10">
        <v>286.7</v>
      </c>
      <c r="AN384" s="10">
        <v>581.1</v>
      </c>
      <c r="AO384" s="9">
        <v>7.3432913901121902E-2</v>
      </c>
      <c r="AP384" s="9">
        <v>11.678800000000001</v>
      </c>
      <c r="AQ384" s="9">
        <v>0.4825740392483856</v>
      </c>
      <c r="AR384" s="9">
        <v>6.2</v>
      </c>
      <c r="AS384" s="9">
        <v>6.6825740392483866</v>
      </c>
      <c r="AT384" s="9">
        <v>0.97958820337211883</v>
      </c>
      <c r="AU384" s="9">
        <v>14.880000000000004</v>
      </c>
      <c r="AV384" s="9">
        <v>15.859588203372123</v>
      </c>
      <c r="AW384" s="11">
        <v>9.1885535848314444</v>
      </c>
      <c r="AX384" s="11">
        <v>5.040078425255655</v>
      </c>
      <c r="AY384" t="s">
        <v>949</v>
      </c>
      <c r="AZ384" t="s">
        <v>950</v>
      </c>
      <c r="BA384" t="s">
        <v>951</v>
      </c>
      <c r="BB384" t="s">
        <v>970</v>
      </c>
      <c r="BC384" t="b">
        <v>1</v>
      </c>
    </row>
    <row r="385" spans="1:55">
      <c r="A385" t="s">
        <v>1750</v>
      </c>
      <c r="B385" t="s">
        <v>939</v>
      </c>
      <c r="C385">
        <v>2209100</v>
      </c>
      <c r="D385">
        <v>1201300</v>
      </c>
      <c r="E385">
        <v>2209100</v>
      </c>
      <c r="F385">
        <v>4477700</v>
      </c>
      <c r="G385" s="9">
        <v>1.0197378173091137E-2</v>
      </c>
      <c r="H385" s="9">
        <v>2.7593091145063222E-2</v>
      </c>
      <c r="I385" s="9">
        <v>4.1389636717594831E-2</v>
      </c>
      <c r="J385" s="10">
        <v>70800.257147719371</v>
      </c>
      <c r="K385" s="10">
        <v>68669.249945064119</v>
      </c>
      <c r="L385" s="10">
        <v>66538.242742408882</v>
      </c>
      <c r="M385" s="10">
        <v>64407.23553975363</v>
      </c>
      <c r="N385" s="10">
        <v>62276.228337098393</v>
      </c>
      <c r="O385" s="10">
        <v>60145.221134443149</v>
      </c>
      <c r="P385" s="10">
        <v>55883.206729132668</v>
      </c>
      <c r="Q385" s="10">
        <v>51621.192323822179</v>
      </c>
      <c r="R385" s="10">
        <v>47359.17791851169</v>
      </c>
      <c r="S385" s="10">
        <v>43097.163513201209</v>
      </c>
      <c r="T385" s="10">
        <v>38835.14910789072</v>
      </c>
      <c r="V385" t="s">
        <v>456</v>
      </c>
      <c r="W385" t="s">
        <v>1750</v>
      </c>
      <c r="X385" t="s">
        <v>1751</v>
      </c>
      <c r="Y385" t="s">
        <v>941</v>
      </c>
      <c r="Z385" t="s">
        <v>942</v>
      </c>
      <c r="AB385" t="s">
        <v>558</v>
      </c>
      <c r="AC385" t="s">
        <v>557</v>
      </c>
      <c r="AD385" t="s">
        <v>943</v>
      </c>
      <c r="AF385" t="s">
        <v>944</v>
      </c>
      <c r="AG385" t="s">
        <v>965</v>
      </c>
      <c r="AH385" t="s">
        <v>956</v>
      </c>
      <c r="AI385" t="s">
        <v>960</v>
      </c>
      <c r="AJ385" t="s">
        <v>948</v>
      </c>
      <c r="AK385">
        <v>6</v>
      </c>
      <c r="AL385" s="10">
        <v>1201.3</v>
      </c>
      <c r="AM385" s="10">
        <v>2209.1</v>
      </c>
      <c r="AN385" s="10">
        <v>4477.7</v>
      </c>
      <c r="AO385" s="9">
        <v>5.7074806149883903E-2</v>
      </c>
      <c r="AP385" s="9">
        <v>9.0771999999999995</v>
      </c>
      <c r="AQ385" s="9">
        <v>2.4473781730911361</v>
      </c>
      <c r="AR385" s="9">
        <v>7.75</v>
      </c>
      <c r="AS385" s="9">
        <v>10.197378173091137</v>
      </c>
      <c r="AT385" s="9">
        <v>3.9930911450632194</v>
      </c>
      <c r="AU385" s="9">
        <v>23.6</v>
      </c>
      <c r="AV385" s="9">
        <v>27.593091145063223</v>
      </c>
      <c r="AW385" s="11">
        <v>70.800257147719364</v>
      </c>
      <c r="AX385" s="11">
        <v>38.835149107890722</v>
      </c>
      <c r="AY385" t="s">
        <v>949</v>
      </c>
      <c r="AZ385" t="s">
        <v>950</v>
      </c>
      <c r="BA385" t="s">
        <v>951</v>
      </c>
      <c r="BB385" t="s">
        <v>970</v>
      </c>
      <c r="BC385" t="b">
        <v>1</v>
      </c>
    </row>
    <row r="386" spans="1:55">
      <c r="A386" t="s">
        <v>1752</v>
      </c>
      <c r="B386" t="s">
        <v>939</v>
      </c>
      <c r="C386">
        <v>232400</v>
      </c>
      <c r="D386">
        <v>126400</v>
      </c>
      <c r="E386">
        <v>232400</v>
      </c>
      <c r="F386">
        <v>471000</v>
      </c>
      <c r="G386" s="9">
        <v>1.5837280804039216E-2</v>
      </c>
      <c r="H386" s="9">
        <v>3.49221931256549E-2</v>
      </c>
      <c r="I386" s="9">
        <v>5.2383289688482354E-2</v>
      </c>
      <c r="J386" s="10">
        <v>7448.2729442442533</v>
      </c>
      <c r="K386" s="10">
        <v>7224.0884012642719</v>
      </c>
      <c r="L386" s="10">
        <v>6999.9038582842895</v>
      </c>
      <c r="M386" s="10">
        <v>6775.7193153043072</v>
      </c>
      <c r="N386" s="10">
        <v>6551.5347723243258</v>
      </c>
      <c r="O386" s="10">
        <v>6327.3502293443435</v>
      </c>
      <c r="P386" s="10">
        <v>5878.9811433843797</v>
      </c>
      <c r="Q386" s="10">
        <v>5430.6120574244151</v>
      </c>
      <c r="R386" s="10">
        <v>4982.2429714644513</v>
      </c>
      <c r="S386" s="10">
        <v>4533.8738855044867</v>
      </c>
      <c r="T386" s="10">
        <v>4085.5047995445225</v>
      </c>
      <c r="V386" t="s">
        <v>456</v>
      </c>
      <c r="W386" t="s">
        <v>1752</v>
      </c>
      <c r="X386" t="s">
        <v>1753</v>
      </c>
      <c r="Y386" t="s">
        <v>941</v>
      </c>
      <c r="Z386" t="s">
        <v>942</v>
      </c>
      <c r="AB386" t="s">
        <v>558</v>
      </c>
      <c r="AC386" t="s">
        <v>557</v>
      </c>
      <c r="AD386" t="s">
        <v>943</v>
      </c>
      <c r="AF386" t="s">
        <v>944</v>
      </c>
      <c r="AG386" t="s">
        <v>1042</v>
      </c>
      <c r="AH386" t="s">
        <v>988</v>
      </c>
      <c r="AI386" t="s">
        <v>960</v>
      </c>
      <c r="AJ386" t="s">
        <v>948</v>
      </c>
      <c r="AK386">
        <v>1</v>
      </c>
      <c r="AL386" s="10">
        <v>126.4</v>
      </c>
      <c r="AM386" s="10">
        <v>232.4</v>
      </c>
      <c r="AN386" s="10">
        <v>471</v>
      </c>
      <c r="AO386" s="9">
        <v>6.0035060273993003E-3</v>
      </c>
      <c r="AP386" s="9">
        <v>0.95479999999999998</v>
      </c>
      <c r="AQ386" s="9">
        <v>8.0872808040392155</v>
      </c>
      <c r="AR386" s="9">
        <v>7.75</v>
      </c>
      <c r="AS386" s="9">
        <v>15.837280804039215</v>
      </c>
      <c r="AT386" s="9">
        <v>11.3221931256549</v>
      </c>
      <c r="AU386" s="9">
        <v>23.6</v>
      </c>
      <c r="AV386" s="9">
        <v>34.9221931256549</v>
      </c>
      <c r="AW386" s="11">
        <v>7.4482729442442537</v>
      </c>
      <c r="AX386" s="11">
        <v>4.0855047995445224</v>
      </c>
      <c r="AY386" t="s">
        <v>949</v>
      </c>
      <c r="AZ386" t="s">
        <v>950</v>
      </c>
      <c r="BA386" t="s">
        <v>951</v>
      </c>
      <c r="BB386" t="s">
        <v>970</v>
      </c>
      <c r="BC386" t="b">
        <v>1</v>
      </c>
    </row>
    <row r="387" spans="1:55">
      <c r="A387" t="s">
        <v>1754</v>
      </c>
      <c r="B387" t="s">
        <v>939</v>
      </c>
      <c r="C387">
        <v>1549700</v>
      </c>
      <c r="D387">
        <v>842700</v>
      </c>
      <c r="E387">
        <v>1549700</v>
      </c>
      <c r="F387">
        <v>3141200</v>
      </c>
      <c r="G387" s="9">
        <v>8.1656270018919865E-3</v>
      </c>
      <c r="H387" s="9">
        <v>2.4181877802648782E-2</v>
      </c>
      <c r="I387" s="9">
        <v>3.6272816703973171E-2</v>
      </c>
      <c r="J387" s="10">
        <v>61988</v>
      </c>
      <c r="K387" s="10">
        <v>61988</v>
      </c>
      <c r="L387" s="10">
        <v>61988</v>
      </c>
      <c r="M387" s="10">
        <v>61988</v>
      </c>
      <c r="N387" s="10">
        <v>61988</v>
      </c>
      <c r="O387" s="10">
        <v>61988</v>
      </c>
      <c r="P387" s="10">
        <v>61988</v>
      </c>
      <c r="Q387" s="10">
        <v>61988</v>
      </c>
      <c r="R387" s="10">
        <v>61988</v>
      </c>
      <c r="S387" s="10">
        <v>61988</v>
      </c>
      <c r="T387" s="10">
        <v>61988</v>
      </c>
      <c r="V387" t="s">
        <v>456</v>
      </c>
      <c r="W387" t="s">
        <v>1754</v>
      </c>
      <c r="X387" t="s">
        <v>1755</v>
      </c>
      <c r="Y387" t="s">
        <v>941</v>
      </c>
      <c r="Z387" t="s">
        <v>942</v>
      </c>
      <c r="AB387" t="s">
        <v>424</v>
      </c>
      <c r="AC387" t="s">
        <v>423</v>
      </c>
      <c r="AD387" t="s">
        <v>943</v>
      </c>
      <c r="AF387" t="s">
        <v>944</v>
      </c>
      <c r="AG387" t="s">
        <v>959</v>
      </c>
      <c r="AH387" t="s">
        <v>946</v>
      </c>
      <c r="AI387" t="s">
        <v>960</v>
      </c>
      <c r="AJ387" t="s">
        <v>948</v>
      </c>
      <c r="AK387">
        <v>1</v>
      </c>
      <c r="AL387" s="10">
        <v>842.7</v>
      </c>
      <c r="AM387" s="10">
        <v>1549.7</v>
      </c>
      <c r="AN387" s="10">
        <v>3141.2</v>
      </c>
      <c r="AO387" s="9">
        <v>0.29998901943559902</v>
      </c>
      <c r="AP387" s="9">
        <v>0.5464</v>
      </c>
      <c r="AQ387" s="9">
        <v>0.41562700189198598</v>
      </c>
      <c r="AR387" s="9">
        <v>7.7500000000000009</v>
      </c>
      <c r="AS387" s="9">
        <v>8.1656270018919859</v>
      </c>
      <c r="AT387" s="9">
        <v>0.58187780264878042</v>
      </c>
      <c r="AU387" s="9">
        <v>23.6</v>
      </c>
      <c r="AV387" s="9">
        <v>24.181877802648781</v>
      </c>
      <c r="AW387" s="11">
        <v>61.988</v>
      </c>
      <c r="AX387" s="11">
        <v>61.988</v>
      </c>
      <c r="AY387" t="s">
        <v>949</v>
      </c>
      <c r="AZ387" t="s">
        <v>950</v>
      </c>
      <c r="BA387" t="s">
        <v>951</v>
      </c>
      <c r="BB387" t="s">
        <v>952</v>
      </c>
      <c r="BC387" t="b">
        <v>1</v>
      </c>
    </row>
    <row r="388" spans="1:55">
      <c r="A388" t="s">
        <v>1756</v>
      </c>
      <c r="B388" t="s">
        <v>939</v>
      </c>
      <c r="C388">
        <v>3616200</v>
      </c>
      <c r="D388">
        <v>1966400</v>
      </c>
      <c r="E388">
        <v>3616200</v>
      </c>
      <c r="F388">
        <v>7329900</v>
      </c>
      <c r="G388" s="9">
        <v>1.759753667368924E-2</v>
      </c>
      <c r="H388" s="9">
        <v>3.7386551343164938E-2</v>
      </c>
      <c r="I388" s="9">
        <v>5.607982701474741E-2</v>
      </c>
      <c r="J388" s="10">
        <v>144648</v>
      </c>
      <c r="K388" s="10">
        <v>144648</v>
      </c>
      <c r="L388" s="10">
        <v>144648</v>
      </c>
      <c r="M388" s="10">
        <v>144648</v>
      </c>
      <c r="N388" s="10">
        <v>144648</v>
      </c>
      <c r="O388" s="10">
        <v>144648</v>
      </c>
      <c r="P388" s="10">
        <v>144648</v>
      </c>
      <c r="Q388" s="10">
        <v>144648</v>
      </c>
      <c r="R388" s="10">
        <v>144648</v>
      </c>
      <c r="S388" s="10">
        <v>144648</v>
      </c>
      <c r="T388" s="10">
        <v>144648</v>
      </c>
      <c r="V388" t="s">
        <v>456</v>
      </c>
      <c r="W388" t="s">
        <v>1756</v>
      </c>
      <c r="X388" t="s">
        <v>1757</v>
      </c>
      <c r="Y388" t="s">
        <v>941</v>
      </c>
      <c r="Z388" t="s">
        <v>942</v>
      </c>
      <c r="AB388" t="s">
        <v>424</v>
      </c>
      <c r="AC388" t="s">
        <v>423</v>
      </c>
      <c r="AD388" t="s">
        <v>943</v>
      </c>
      <c r="AF388" t="s">
        <v>944</v>
      </c>
      <c r="AG388" t="s">
        <v>1042</v>
      </c>
      <c r="AH388" t="s">
        <v>988</v>
      </c>
      <c r="AI388" t="s">
        <v>960</v>
      </c>
      <c r="AJ388" t="s">
        <v>948</v>
      </c>
      <c r="AK388">
        <v>1</v>
      </c>
      <c r="AL388" s="10">
        <v>1966.4</v>
      </c>
      <c r="AM388" s="10">
        <v>3616.2</v>
      </c>
      <c r="AN388" s="10">
        <v>7329.9</v>
      </c>
      <c r="AO388" s="9">
        <v>0.70001098056440103</v>
      </c>
      <c r="AP388" s="9">
        <v>1.2749999999999999</v>
      </c>
      <c r="AQ388" s="9">
        <v>9.8475366736892394</v>
      </c>
      <c r="AR388" s="9">
        <v>7.75</v>
      </c>
      <c r="AS388" s="9">
        <v>17.597536673689241</v>
      </c>
      <c r="AT388" s="9">
        <v>13.786551343164939</v>
      </c>
      <c r="AU388" s="9">
        <v>23.6</v>
      </c>
      <c r="AV388" s="9">
        <v>37.386551343164939</v>
      </c>
      <c r="AW388" s="11">
        <v>144.648</v>
      </c>
      <c r="AX388" s="11">
        <v>144.648</v>
      </c>
      <c r="AY388" t="s">
        <v>949</v>
      </c>
      <c r="AZ388" t="s">
        <v>950</v>
      </c>
      <c r="BA388" t="s">
        <v>951</v>
      </c>
      <c r="BB388" t="s">
        <v>952</v>
      </c>
      <c r="BC388" t="b">
        <v>1</v>
      </c>
    </row>
    <row r="389" spans="1:55">
      <c r="A389" t="s">
        <v>1758</v>
      </c>
      <c r="B389" t="s">
        <v>939</v>
      </c>
      <c r="C389">
        <v>2115400</v>
      </c>
      <c r="D389">
        <v>1150300</v>
      </c>
      <c r="E389">
        <v>2115400</v>
      </c>
      <c r="F389">
        <v>4287800</v>
      </c>
      <c r="G389" s="9">
        <v>7.8470254002670787E-3</v>
      </c>
      <c r="H389" s="9">
        <v>2.4002177962548582E-2</v>
      </c>
      <c r="I389" s="9">
        <v>3.6003266943822873E-2</v>
      </c>
      <c r="J389" s="10">
        <v>84616</v>
      </c>
      <c r="K389" s="10">
        <v>84616</v>
      </c>
      <c r="L389" s="10">
        <v>84616</v>
      </c>
      <c r="M389" s="10">
        <v>84616</v>
      </c>
      <c r="N389" s="10">
        <v>84616</v>
      </c>
      <c r="O389" s="10">
        <v>84616</v>
      </c>
      <c r="P389" s="10">
        <v>84616</v>
      </c>
      <c r="Q389" s="10">
        <v>84616</v>
      </c>
      <c r="R389" s="10">
        <v>84616</v>
      </c>
      <c r="S389" s="10">
        <v>84616</v>
      </c>
      <c r="T389" s="10">
        <v>84616</v>
      </c>
      <c r="V389" t="s">
        <v>456</v>
      </c>
      <c r="W389" t="s">
        <v>1758</v>
      </c>
      <c r="X389" t="s">
        <v>1759</v>
      </c>
      <c r="Y389" t="s">
        <v>941</v>
      </c>
      <c r="Z389" t="s">
        <v>942</v>
      </c>
      <c r="AB389" t="s">
        <v>65</v>
      </c>
      <c r="AC389" t="s">
        <v>65</v>
      </c>
      <c r="AD389" t="s">
        <v>943</v>
      </c>
      <c r="AF389" t="s">
        <v>944</v>
      </c>
      <c r="AG389" t="s">
        <v>959</v>
      </c>
      <c r="AH389" t="s">
        <v>946</v>
      </c>
      <c r="AI389" t="s">
        <v>960</v>
      </c>
      <c r="AJ389" t="s">
        <v>948</v>
      </c>
      <c r="AK389">
        <v>5</v>
      </c>
      <c r="AL389" s="10">
        <v>1150.3</v>
      </c>
      <c r="AM389" s="10">
        <v>2115.4</v>
      </c>
      <c r="AN389" s="10">
        <v>4287.8</v>
      </c>
      <c r="AO389" s="9">
        <v>1</v>
      </c>
      <c r="AP389" s="9">
        <v>5.3875000000000002</v>
      </c>
      <c r="AQ389" s="9">
        <v>9.7025400267078996E-2</v>
      </c>
      <c r="AR389" s="9">
        <v>7.7500000000000009</v>
      </c>
      <c r="AS389" s="9">
        <v>7.8470254002670785</v>
      </c>
      <c r="AT389" s="9">
        <v>0.40217796254858718</v>
      </c>
      <c r="AU389" s="9">
        <v>23.6</v>
      </c>
      <c r="AV389" s="9">
        <v>24.002177962548583</v>
      </c>
      <c r="AW389" s="11">
        <v>84.616</v>
      </c>
      <c r="AX389" s="11">
        <v>84.616</v>
      </c>
      <c r="AY389" t="s">
        <v>949</v>
      </c>
      <c r="AZ389" t="s">
        <v>950</v>
      </c>
      <c r="BA389" t="s">
        <v>951</v>
      </c>
      <c r="BB389" t="s">
        <v>952</v>
      </c>
      <c r="BC389" t="b">
        <v>1</v>
      </c>
    </row>
    <row r="390" spans="1:55">
      <c r="A390" t="s">
        <v>1760</v>
      </c>
      <c r="B390" t="s">
        <v>939</v>
      </c>
      <c r="C390">
        <v>0</v>
      </c>
      <c r="D390">
        <v>0</v>
      </c>
      <c r="E390">
        <v>0</v>
      </c>
      <c r="F390">
        <v>0</v>
      </c>
      <c r="G390" s="9">
        <v>6.1959910015479944E-2</v>
      </c>
      <c r="H390" s="9">
        <v>0.11252909604124063</v>
      </c>
      <c r="I390" s="9">
        <v>0.16879364406186095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V390" t="s">
        <v>456</v>
      </c>
      <c r="W390" t="s">
        <v>1760</v>
      </c>
      <c r="X390" t="s">
        <v>1761</v>
      </c>
      <c r="Y390" t="s">
        <v>941</v>
      </c>
      <c r="Z390" t="s">
        <v>942</v>
      </c>
      <c r="AB390" t="s">
        <v>1762</v>
      </c>
      <c r="AC390" t="s">
        <v>1762</v>
      </c>
      <c r="AD390" t="s">
        <v>943</v>
      </c>
      <c r="AF390" t="s">
        <v>986</v>
      </c>
      <c r="AG390" t="s">
        <v>1025</v>
      </c>
      <c r="AH390" t="s">
        <v>946</v>
      </c>
      <c r="AI390" t="s">
        <v>947</v>
      </c>
      <c r="AJ390" t="s">
        <v>989</v>
      </c>
      <c r="AK390">
        <v>9</v>
      </c>
      <c r="AL390" s="10">
        <v>0</v>
      </c>
      <c r="AM390" s="10">
        <v>0</v>
      </c>
      <c r="AN390" s="10">
        <v>0</v>
      </c>
      <c r="AO390" s="9">
        <v>0.71055102188199626</v>
      </c>
      <c r="AP390" s="9">
        <v>11.806800000000001</v>
      </c>
      <c r="AQ390" s="9">
        <v>22.899910015479943</v>
      </c>
      <c r="AR390" s="9">
        <v>39.06</v>
      </c>
      <c r="AS390" s="9">
        <v>61.959910015479942</v>
      </c>
      <c r="AT390" s="9">
        <v>39.32909604124066</v>
      </c>
      <c r="AU390" s="9">
        <v>73.2</v>
      </c>
      <c r="AV390" s="9">
        <v>112.52909604124063</v>
      </c>
      <c r="AW390" s="11">
        <v>0</v>
      </c>
      <c r="AX390" s="11">
        <v>0</v>
      </c>
      <c r="AY390" t="s">
        <v>973</v>
      </c>
      <c r="AZ390" t="s">
        <v>950</v>
      </c>
      <c r="BA390" t="s">
        <v>951</v>
      </c>
      <c r="BB390" t="s">
        <v>970</v>
      </c>
      <c r="BC390" t="b">
        <v>1</v>
      </c>
    </row>
    <row r="391" spans="1:55">
      <c r="A391" t="s">
        <v>1763</v>
      </c>
      <c r="B391" t="s">
        <v>939</v>
      </c>
      <c r="C391">
        <v>0</v>
      </c>
      <c r="D391">
        <v>0</v>
      </c>
      <c r="E391">
        <v>0</v>
      </c>
      <c r="F391">
        <v>0</v>
      </c>
      <c r="G391" s="9">
        <v>6.2338547400785115E-2</v>
      </c>
      <c r="H391" s="9">
        <v>0.10578996636109918</v>
      </c>
      <c r="I391" s="9">
        <v>0.15868494954164877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V391" t="s">
        <v>456</v>
      </c>
      <c r="W391" t="s">
        <v>1763</v>
      </c>
      <c r="X391" t="s">
        <v>1764</v>
      </c>
      <c r="Y391" t="s">
        <v>941</v>
      </c>
      <c r="Z391" t="s">
        <v>942</v>
      </c>
      <c r="AB391" t="s">
        <v>1762</v>
      </c>
      <c r="AC391" t="s">
        <v>1762</v>
      </c>
      <c r="AD391" t="s">
        <v>943</v>
      </c>
      <c r="AF391" t="s">
        <v>986</v>
      </c>
      <c r="AG391" t="s">
        <v>1028</v>
      </c>
      <c r="AH391" t="s">
        <v>956</v>
      </c>
      <c r="AI391" t="s">
        <v>947</v>
      </c>
      <c r="AJ391" t="s">
        <v>989</v>
      </c>
      <c r="AK391">
        <v>1</v>
      </c>
      <c r="AL391" s="10">
        <v>0</v>
      </c>
      <c r="AM391" s="10">
        <v>0</v>
      </c>
      <c r="AN391" s="10">
        <v>0</v>
      </c>
      <c r="AO391" s="9">
        <v>0.28944897811800391</v>
      </c>
      <c r="AP391" s="9">
        <v>4.8095999999999997</v>
      </c>
      <c r="AQ391" s="9">
        <v>23.278547400785119</v>
      </c>
      <c r="AR391" s="9">
        <v>39.06</v>
      </c>
      <c r="AS391" s="9">
        <v>62.338547400785117</v>
      </c>
      <c r="AT391" s="9">
        <v>32.589966361099165</v>
      </c>
      <c r="AU391" s="9">
        <v>73.2</v>
      </c>
      <c r="AV391" s="9">
        <v>105.78996636109918</v>
      </c>
      <c r="AW391" s="11">
        <v>0</v>
      </c>
      <c r="AX391" s="11">
        <v>0</v>
      </c>
      <c r="AY391" t="s">
        <v>973</v>
      </c>
      <c r="AZ391" t="s">
        <v>950</v>
      </c>
      <c r="BA391" t="s">
        <v>951</v>
      </c>
      <c r="BB391" t="s">
        <v>970</v>
      </c>
      <c r="BC391" t="b">
        <v>1</v>
      </c>
    </row>
    <row r="392" spans="1:55">
      <c r="A392" t="s">
        <v>1765</v>
      </c>
      <c r="B392" t="s">
        <v>939</v>
      </c>
      <c r="C392">
        <v>819400</v>
      </c>
      <c r="D392">
        <v>445600</v>
      </c>
      <c r="E392">
        <v>819400</v>
      </c>
      <c r="F392">
        <v>1660900</v>
      </c>
      <c r="G392" s="9">
        <v>1.4028705565713492E-2</v>
      </c>
      <c r="H392" s="9">
        <v>4.7033687652606564E-2</v>
      </c>
      <c r="I392" s="9">
        <v>7.0550531478909842E-2</v>
      </c>
      <c r="J392" s="10">
        <v>20965.249341299248</v>
      </c>
      <c r="K392" s="10">
        <v>20486.352634528626</v>
      </c>
      <c r="L392" s="10">
        <v>20007.455927758005</v>
      </c>
      <c r="M392" s="10">
        <v>19528.559220987383</v>
      </c>
      <c r="N392" s="10">
        <v>19049.662514216761</v>
      </c>
      <c r="O392" s="10">
        <v>18570.76580744614</v>
      </c>
      <c r="P392" s="10">
        <v>17612.972393904896</v>
      </c>
      <c r="Q392" s="10">
        <v>16655.178980363653</v>
      </c>
      <c r="R392" s="10">
        <v>15697.385566822411</v>
      </c>
      <c r="S392" s="10">
        <v>14739.59215328117</v>
      </c>
      <c r="T392" s="10">
        <v>13781.798739739927</v>
      </c>
      <c r="V392" t="s">
        <v>456</v>
      </c>
      <c r="W392" t="s">
        <v>1765</v>
      </c>
      <c r="X392" t="s">
        <v>1766</v>
      </c>
      <c r="Y392" t="s">
        <v>941</v>
      </c>
      <c r="Z392" t="s">
        <v>942</v>
      </c>
      <c r="AB392" t="s">
        <v>67</v>
      </c>
      <c r="AC392" t="s">
        <v>67</v>
      </c>
      <c r="AD392" t="s">
        <v>943</v>
      </c>
      <c r="AF392" t="s">
        <v>944</v>
      </c>
      <c r="AG392" t="s">
        <v>945</v>
      </c>
      <c r="AH392" t="s">
        <v>946</v>
      </c>
      <c r="AI392" t="s">
        <v>947</v>
      </c>
      <c r="AJ392" t="s">
        <v>948</v>
      </c>
      <c r="AK392">
        <v>2</v>
      </c>
      <c r="AL392" s="10">
        <v>445.6</v>
      </c>
      <c r="AM392" s="10">
        <v>819.4</v>
      </c>
      <c r="AN392" s="10">
        <v>1660.9</v>
      </c>
      <c r="AO392" s="9">
        <v>1</v>
      </c>
      <c r="AP392" s="9">
        <v>0.93479999999999996</v>
      </c>
      <c r="AQ392" s="9">
        <v>0.65805539116187894</v>
      </c>
      <c r="AR392" s="9">
        <v>13.370650174551612</v>
      </c>
      <c r="AS392" s="9">
        <v>14.028705565713492</v>
      </c>
      <c r="AT392" s="9">
        <v>3.1993470242207511</v>
      </c>
      <c r="AU392" s="9">
        <v>43.834340628385824</v>
      </c>
      <c r="AV392" s="9">
        <v>47.033687652606567</v>
      </c>
      <c r="AW392" s="11">
        <v>20.965249341299248</v>
      </c>
      <c r="AX392" s="11">
        <v>13.781798739739926</v>
      </c>
      <c r="AY392" t="s">
        <v>949</v>
      </c>
      <c r="AZ392" t="s">
        <v>950</v>
      </c>
      <c r="BA392" t="s">
        <v>951</v>
      </c>
      <c r="BB392" t="s">
        <v>970</v>
      </c>
      <c r="BC392" t="b">
        <v>1</v>
      </c>
    </row>
    <row r="393" spans="1:55">
      <c r="A393" t="s">
        <v>1767</v>
      </c>
      <c r="B393" t="s">
        <v>939</v>
      </c>
      <c r="C393">
        <v>36800</v>
      </c>
      <c r="D393">
        <v>28200</v>
      </c>
      <c r="E393">
        <v>36800</v>
      </c>
      <c r="F393">
        <v>62000</v>
      </c>
      <c r="G393" s="9">
        <v>4.2384062988629033E-3</v>
      </c>
      <c r="H393" s="9"/>
      <c r="I393" s="9"/>
      <c r="J393" s="10">
        <v>368</v>
      </c>
      <c r="K393" s="10">
        <v>368</v>
      </c>
      <c r="L393" s="10">
        <v>368</v>
      </c>
      <c r="M393" s="10">
        <v>368</v>
      </c>
      <c r="N393" s="10">
        <v>368</v>
      </c>
      <c r="O393" s="10">
        <v>368</v>
      </c>
      <c r="P393" s="10">
        <v>368</v>
      </c>
      <c r="Q393" s="10">
        <v>368</v>
      </c>
      <c r="R393" s="10">
        <v>368</v>
      </c>
      <c r="S393" s="10">
        <v>368</v>
      </c>
      <c r="T393" s="10">
        <v>368</v>
      </c>
      <c r="V393" t="s">
        <v>456</v>
      </c>
      <c r="W393" t="s">
        <v>1767</v>
      </c>
      <c r="X393" t="s">
        <v>1768</v>
      </c>
      <c r="Y393" t="s">
        <v>941</v>
      </c>
      <c r="Z393" t="s">
        <v>942</v>
      </c>
      <c r="AB393" t="s">
        <v>560</v>
      </c>
      <c r="AC393" t="s">
        <v>559</v>
      </c>
      <c r="AD393" t="s">
        <v>968</v>
      </c>
      <c r="AF393" t="s">
        <v>944</v>
      </c>
      <c r="AG393" t="s">
        <v>999</v>
      </c>
      <c r="AH393" t="s">
        <v>946</v>
      </c>
      <c r="AI393" t="s">
        <v>977</v>
      </c>
      <c r="AJ393" t="s">
        <v>948</v>
      </c>
      <c r="AK393">
        <v>3</v>
      </c>
      <c r="AL393" s="10">
        <v>28.2</v>
      </c>
      <c r="AM393" s="10">
        <v>36.799999999999997</v>
      </c>
      <c r="AN393" s="10">
        <v>62</v>
      </c>
      <c r="AO393" s="9">
        <v>5.9633667876507999E-2</v>
      </c>
      <c r="AP393" s="9">
        <v>1.6233</v>
      </c>
      <c r="AQ393" s="9">
        <v>0.5184062988629029</v>
      </c>
      <c r="AR393" s="9">
        <v>3.7200000000000006</v>
      </c>
      <c r="AS393" s="9">
        <v>4.2384062988629037</v>
      </c>
      <c r="AT393" s="9"/>
      <c r="AU393" s="9"/>
      <c r="AV393" s="9"/>
      <c r="AW393" s="11">
        <v>0.36799999999999999</v>
      </c>
      <c r="AX393" s="11">
        <v>0.36799999999999999</v>
      </c>
      <c r="AY393" t="s">
        <v>969</v>
      </c>
      <c r="AZ393" t="s">
        <v>950</v>
      </c>
      <c r="BA393" t="s">
        <v>951</v>
      </c>
      <c r="BB393" t="s">
        <v>970</v>
      </c>
      <c r="BC393" t="b">
        <v>0</v>
      </c>
    </row>
    <row r="394" spans="1:55">
      <c r="A394" t="s">
        <v>1769</v>
      </c>
      <c r="B394" t="s">
        <v>939</v>
      </c>
      <c r="C394">
        <v>73200</v>
      </c>
      <c r="D394">
        <v>56200</v>
      </c>
      <c r="E394">
        <v>73200</v>
      </c>
      <c r="F394">
        <v>123300</v>
      </c>
      <c r="G394" s="9">
        <v>4.2923627141441103E-3</v>
      </c>
      <c r="H394" s="9">
        <v>9.8884355372759296E-3</v>
      </c>
      <c r="I394" s="9">
        <v>1.4832653305913894E-2</v>
      </c>
      <c r="J394" s="10">
        <v>732.00000000000011</v>
      </c>
      <c r="K394" s="10">
        <v>732.00000000000011</v>
      </c>
      <c r="L394" s="10">
        <v>732.00000000000011</v>
      </c>
      <c r="M394" s="10">
        <v>732.00000000000011</v>
      </c>
      <c r="N394" s="10">
        <v>732.00000000000011</v>
      </c>
      <c r="O394" s="10">
        <v>732.00000000000011</v>
      </c>
      <c r="P394" s="10">
        <v>732.00000000000011</v>
      </c>
      <c r="Q394" s="10">
        <v>732.00000000000011</v>
      </c>
      <c r="R394" s="10">
        <v>732.00000000000011</v>
      </c>
      <c r="S394" s="10">
        <v>732.00000000000011</v>
      </c>
      <c r="T394" s="10">
        <v>732.00000000000011</v>
      </c>
      <c r="V394" t="s">
        <v>456</v>
      </c>
      <c r="W394" t="s">
        <v>1769</v>
      </c>
      <c r="X394" t="s">
        <v>1770</v>
      </c>
      <c r="Y394" t="s">
        <v>941</v>
      </c>
      <c r="Z394" t="s">
        <v>942</v>
      </c>
      <c r="AB394" t="s">
        <v>560</v>
      </c>
      <c r="AC394" t="s">
        <v>559</v>
      </c>
      <c r="AD394" t="s">
        <v>968</v>
      </c>
      <c r="AF394" t="s">
        <v>944</v>
      </c>
      <c r="AG394" t="s">
        <v>976</v>
      </c>
      <c r="AH394" t="s">
        <v>956</v>
      </c>
      <c r="AI394" t="s">
        <v>977</v>
      </c>
      <c r="AJ394" t="s">
        <v>948</v>
      </c>
      <c r="AK394">
        <v>1</v>
      </c>
      <c r="AL394" s="10">
        <v>56.2</v>
      </c>
      <c r="AM394" s="10">
        <v>73.2</v>
      </c>
      <c r="AN394" s="10">
        <v>123.3</v>
      </c>
      <c r="AO394" s="9">
        <v>0.11863180168398151</v>
      </c>
      <c r="AP394" s="9">
        <v>3.2292999999999998</v>
      </c>
      <c r="AQ394" s="9">
        <v>0.57236271414410955</v>
      </c>
      <c r="AR394" s="9">
        <v>3.7200000000000006</v>
      </c>
      <c r="AS394" s="9">
        <v>4.2923627141441099</v>
      </c>
      <c r="AT394" s="9">
        <v>1.2084355372759279</v>
      </c>
      <c r="AU394" s="9">
        <v>8.6800000000000015</v>
      </c>
      <c r="AV394" s="9">
        <v>9.8884355372759298</v>
      </c>
      <c r="AW394" s="11">
        <v>0.7320000000000001</v>
      </c>
      <c r="AX394" s="11">
        <v>0.7320000000000001</v>
      </c>
      <c r="AY394" t="s">
        <v>969</v>
      </c>
      <c r="AZ394" t="s">
        <v>950</v>
      </c>
      <c r="BA394" t="s">
        <v>951</v>
      </c>
      <c r="BB394" t="s">
        <v>970</v>
      </c>
      <c r="BC394" t="b">
        <v>1</v>
      </c>
    </row>
    <row r="395" spans="1:55">
      <c r="A395" t="s">
        <v>1771</v>
      </c>
      <c r="B395" t="s">
        <v>939</v>
      </c>
      <c r="C395">
        <v>5300</v>
      </c>
      <c r="D395">
        <v>2900</v>
      </c>
      <c r="E395">
        <v>5300</v>
      </c>
      <c r="F395">
        <v>10700</v>
      </c>
      <c r="G395" s="9">
        <v>7.8324529278876072E-3</v>
      </c>
      <c r="H395" s="9">
        <v>2.516129118721705E-2</v>
      </c>
      <c r="I395" s="9">
        <v>3.7741936780825575E-2</v>
      </c>
      <c r="J395" s="10">
        <v>212</v>
      </c>
      <c r="K395" s="10">
        <v>212</v>
      </c>
      <c r="L395" s="10">
        <v>212</v>
      </c>
      <c r="M395" s="10">
        <v>212</v>
      </c>
      <c r="N395" s="10">
        <v>212</v>
      </c>
      <c r="O395" s="10">
        <v>212</v>
      </c>
      <c r="P395" s="10">
        <v>212</v>
      </c>
      <c r="Q395" s="10">
        <v>212</v>
      </c>
      <c r="R395" s="10">
        <v>212</v>
      </c>
      <c r="S395" s="10">
        <v>212</v>
      </c>
      <c r="T395" s="10">
        <v>212</v>
      </c>
      <c r="V395" t="s">
        <v>456</v>
      </c>
      <c r="W395" t="s">
        <v>1771</v>
      </c>
      <c r="X395" t="s">
        <v>1772</v>
      </c>
      <c r="Y395" t="s">
        <v>941</v>
      </c>
      <c r="Z395" t="s">
        <v>942</v>
      </c>
      <c r="AB395" t="s">
        <v>560</v>
      </c>
      <c r="AC395" t="s">
        <v>559</v>
      </c>
      <c r="AD395" t="s">
        <v>943</v>
      </c>
      <c r="AF395" t="s">
        <v>944</v>
      </c>
      <c r="AG395" t="s">
        <v>959</v>
      </c>
      <c r="AH395" t="s">
        <v>946</v>
      </c>
      <c r="AI395" t="s">
        <v>960</v>
      </c>
      <c r="AJ395" t="s">
        <v>948</v>
      </c>
      <c r="AK395">
        <v>1</v>
      </c>
      <c r="AL395" s="10">
        <v>2.9</v>
      </c>
      <c r="AM395" s="10">
        <v>5.3</v>
      </c>
      <c r="AN395" s="10">
        <v>10.7</v>
      </c>
      <c r="AO395" s="9">
        <v>1.28576256741069E-2</v>
      </c>
      <c r="AP395" s="9">
        <v>0.35</v>
      </c>
      <c r="AQ395" s="9">
        <v>8.2452927887608496E-2</v>
      </c>
      <c r="AR395" s="9">
        <v>7.75</v>
      </c>
      <c r="AS395" s="9">
        <v>7.8324529278876076</v>
      </c>
      <c r="AT395" s="9">
        <v>1.5612911872170452</v>
      </c>
      <c r="AU395" s="9">
        <v>23.6</v>
      </c>
      <c r="AV395" s="9">
        <v>25.161291187217049</v>
      </c>
      <c r="AW395" s="11">
        <v>0.21199999999999999</v>
      </c>
      <c r="AX395" s="11">
        <v>0.21199999999999999</v>
      </c>
      <c r="AY395" t="s">
        <v>949</v>
      </c>
      <c r="AZ395" t="s">
        <v>950</v>
      </c>
      <c r="BA395" t="s">
        <v>951</v>
      </c>
      <c r="BB395" t="s">
        <v>952</v>
      </c>
      <c r="BC395" t="b">
        <v>1</v>
      </c>
    </row>
    <row r="396" spans="1:55">
      <c r="A396" t="s">
        <v>1773</v>
      </c>
      <c r="B396" t="s">
        <v>939</v>
      </c>
      <c r="C396">
        <v>1119200</v>
      </c>
      <c r="D396">
        <v>608600</v>
      </c>
      <c r="E396">
        <v>1119200</v>
      </c>
      <c r="F396">
        <v>2268500</v>
      </c>
      <c r="G396" s="9">
        <v>1.4917034497913579E-2</v>
      </c>
      <c r="H396" s="9">
        <v>4.9436223189346394E-2</v>
      </c>
      <c r="I396" s="9">
        <v>7.4154334784019588E-2</v>
      </c>
      <c r="J396" s="10">
        <v>44768</v>
      </c>
      <c r="K396" s="10">
        <v>44768</v>
      </c>
      <c r="L396" s="10">
        <v>44768</v>
      </c>
      <c r="M396" s="10">
        <v>44768</v>
      </c>
      <c r="N396" s="10">
        <v>44768</v>
      </c>
      <c r="O396" s="10">
        <v>44768</v>
      </c>
      <c r="P396" s="10">
        <v>44768</v>
      </c>
      <c r="Q396" s="10">
        <v>44768</v>
      </c>
      <c r="R396" s="10">
        <v>44768</v>
      </c>
      <c r="S396" s="10">
        <v>44768</v>
      </c>
      <c r="T396" s="10">
        <v>44768</v>
      </c>
      <c r="V396" t="s">
        <v>456</v>
      </c>
      <c r="W396" t="s">
        <v>1773</v>
      </c>
      <c r="X396" t="s">
        <v>1774</v>
      </c>
      <c r="Y396" t="s">
        <v>941</v>
      </c>
      <c r="Z396" t="s">
        <v>942</v>
      </c>
      <c r="AB396" t="s">
        <v>560</v>
      </c>
      <c r="AC396" t="s">
        <v>559</v>
      </c>
      <c r="AD396" t="s">
        <v>943</v>
      </c>
      <c r="AF396" t="s">
        <v>944</v>
      </c>
      <c r="AG396" t="s">
        <v>945</v>
      </c>
      <c r="AH396" t="s">
        <v>946</v>
      </c>
      <c r="AI396" t="s">
        <v>947</v>
      </c>
      <c r="AJ396" t="s">
        <v>948</v>
      </c>
      <c r="AK396">
        <v>5</v>
      </c>
      <c r="AL396" s="10">
        <v>608.6</v>
      </c>
      <c r="AM396" s="10">
        <v>1119.2</v>
      </c>
      <c r="AN396" s="10">
        <v>2268.5</v>
      </c>
      <c r="AO396" s="9">
        <v>0.79248526883458481</v>
      </c>
      <c r="AP396" s="9">
        <v>21.572399999999998</v>
      </c>
      <c r="AQ396" s="9">
        <v>0.1224657039615272</v>
      </c>
      <c r="AR396" s="9">
        <v>14.794568793952051</v>
      </c>
      <c r="AS396" s="9">
        <v>14.91703449791358</v>
      </c>
      <c r="AT396" s="9">
        <v>0.47577553111900261</v>
      </c>
      <c r="AU396" s="9">
        <v>48.960447658227402</v>
      </c>
      <c r="AV396" s="9">
        <v>49.436223189346393</v>
      </c>
      <c r="AW396" s="11">
        <v>44.768000000000001</v>
      </c>
      <c r="AX396" s="11">
        <v>44.768000000000001</v>
      </c>
      <c r="AY396" t="s">
        <v>949</v>
      </c>
      <c r="AZ396" t="s">
        <v>950</v>
      </c>
      <c r="BA396" t="s">
        <v>951</v>
      </c>
      <c r="BB396" t="s">
        <v>952</v>
      </c>
      <c r="BC396" t="b">
        <v>1</v>
      </c>
    </row>
    <row r="397" spans="1:55">
      <c r="A397" t="s">
        <v>1775</v>
      </c>
      <c r="B397" t="s">
        <v>939</v>
      </c>
      <c r="C397">
        <v>23100</v>
      </c>
      <c r="D397">
        <v>12600</v>
      </c>
      <c r="E397">
        <v>23100</v>
      </c>
      <c r="F397">
        <v>46900</v>
      </c>
      <c r="G397" s="9">
        <v>2.0429399129990561E-2</v>
      </c>
      <c r="H397" s="9">
        <v>5.6849210128681292E-2</v>
      </c>
      <c r="I397" s="9">
        <v>8.5273815193021935E-2</v>
      </c>
      <c r="J397" s="10">
        <v>924</v>
      </c>
      <c r="K397" s="10">
        <v>924</v>
      </c>
      <c r="L397" s="10">
        <v>924</v>
      </c>
      <c r="M397" s="10">
        <v>924</v>
      </c>
      <c r="N397" s="10">
        <v>924</v>
      </c>
      <c r="O397" s="10">
        <v>924</v>
      </c>
      <c r="P397" s="10">
        <v>924</v>
      </c>
      <c r="Q397" s="10">
        <v>924</v>
      </c>
      <c r="R397" s="10">
        <v>924</v>
      </c>
      <c r="S397" s="10">
        <v>924</v>
      </c>
      <c r="T397" s="10">
        <v>924</v>
      </c>
      <c r="V397" t="s">
        <v>456</v>
      </c>
      <c r="W397" t="s">
        <v>1775</v>
      </c>
      <c r="X397" t="s">
        <v>1776</v>
      </c>
      <c r="Y397" t="s">
        <v>941</v>
      </c>
      <c r="Z397" t="s">
        <v>942</v>
      </c>
      <c r="AB397" t="s">
        <v>560</v>
      </c>
      <c r="AC397" t="s">
        <v>559</v>
      </c>
      <c r="AD397" t="s">
        <v>943</v>
      </c>
      <c r="AF397" t="s">
        <v>944</v>
      </c>
      <c r="AG397" t="s">
        <v>955</v>
      </c>
      <c r="AH397" t="s">
        <v>956</v>
      </c>
      <c r="AI397" t="s">
        <v>947</v>
      </c>
      <c r="AJ397" t="s">
        <v>948</v>
      </c>
      <c r="AK397">
        <v>1</v>
      </c>
      <c r="AL397" s="10">
        <v>12.6</v>
      </c>
      <c r="AM397" s="10">
        <v>23.1</v>
      </c>
      <c r="AN397" s="10">
        <v>46.9</v>
      </c>
      <c r="AO397" s="9">
        <v>1.6391635930818601E-2</v>
      </c>
      <c r="AP397" s="9">
        <v>0.44619999999999999</v>
      </c>
      <c r="AQ397" s="9">
        <v>5.6348303360385064</v>
      </c>
      <c r="AR397" s="9">
        <v>14.794568793952052</v>
      </c>
      <c r="AS397" s="9">
        <v>20.429399129990561</v>
      </c>
      <c r="AT397" s="9">
        <v>7.8887624704539068</v>
      </c>
      <c r="AU397" s="9">
        <v>48.960447658227388</v>
      </c>
      <c r="AV397" s="9">
        <v>56.849210128681293</v>
      </c>
      <c r="AW397" s="11">
        <v>0.92400000000000004</v>
      </c>
      <c r="AX397" s="11">
        <v>0.92400000000000004</v>
      </c>
      <c r="AY397" t="s">
        <v>949</v>
      </c>
      <c r="AZ397" t="s">
        <v>950</v>
      </c>
      <c r="BA397" t="s">
        <v>951</v>
      </c>
      <c r="BB397" t="s">
        <v>952</v>
      </c>
      <c r="BC397" t="b">
        <v>1</v>
      </c>
    </row>
    <row r="398" spans="1:55">
      <c r="A398" t="s">
        <v>1777</v>
      </c>
      <c r="B398" t="s">
        <v>939</v>
      </c>
      <c r="C398">
        <v>161700</v>
      </c>
      <c r="D398">
        <v>32299.999999999996</v>
      </c>
      <c r="E398">
        <v>161700</v>
      </c>
      <c r="F398">
        <v>646700</v>
      </c>
      <c r="G398" s="9">
        <v>8.7171311927608883E-3</v>
      </c>
      <c r="H398" s="9"/>
      <c r="I398" s="9"/>
      <c r="J398" s="10">
        <v>6468</v>
      </c>
      <c r="K398" s="10">
        <v>6468</v>
      </c>
      <c r="L398" s="10">
        <v>6468</v>
      </c>
      <c r="M398" s="10">
        <v>6468</v>
      </c>
      <c r="N398" s="10">
        <v>6468</v>
      </c>
      <c r="O398" s="10">
        <v>6468</v>
      </c>
      <c r="P398" s="10">
        <v>6468</v>
      </c>
      <c r="Q398" s="10">
        <v>6468</v>
      </c>
      <c r="R398" s="10">
        <v>6468</v>
      </c>
      <c r="S398" s="10">
        <v>6468</v>
      </c>
      <c r="T398" s="10">
        <v>6468</v>
      </c>
      <c r="V398" t="s">
        <v>456</v>
      </c>
      <c r="W398" t="s">
        <v>1777</v>
      </c>
      <c r="X398" t="s">
        <v>1778</v>
      </c>
      <c r="Y398" t="s">
        <v>941</v>
      </c>
      <c r="Z398" t="s">
        <v>942</v>
      </c>
      <c r="AB398" t="s">
        <v>562</v>
      </c>
      <c r="AC398" t="s">
        <v>561</v>
      </c>
      <c r="AD398" t="s">
        <v>968</v>
      </c>
      <c r="AE398" t="s">
        <v>1779</v>
      </c>
      <c r="AF398" t="s">
        <v>944</v>
      </c>
      <c r="AG398" t="s">
        <v>955</v>
      </c>
      <c r="AH398" t="s">
        <v>956</v>
      </c>
      <c r="AI398" t="s">
        <v>947</v>
      </c>
      <c r="AJ398" t="s">
        <v>948</v>
      </c>
      <c r="AK398">
        <v>19</v>
      </c>
      <c r="AL398" s="10">
        <v>32.299999999999997</v>
      </c>
      <c r="AM398" s="10">
        <v>161.69999999999999</v>
      </c>
      <c r="AN398" s="10">
        <v>646.70000000000005</v>
      </c>
      <c r="AO398" s="9">
        <v>0</v>
      </c>
      <c r="AP398" s="9">
        <v>0</v>
      </c>
      <c r="AQ398" s="9">
        <v>2.7171311927608888</v>
      </c>
      <c r="AR398" s="9">
        <v>6</v>
      </c>
      <c r="AS398" s="9">
        <v>8.7171311927608883</v>
      </c>
      <c r="AT398" s="9"/>
      <c r="AU398" s="9"/>
      <c r="AV398" s="9"/>
      <c r="AW398" s="11">
        <v>6.468</v>
      </c>
      <c r="AX398" s="11">
        <v>6.468</v>
      </c>
      <c r="AY398" t="s">
        <v>1780</v>
      </c>
      <c r="AZ398" t="b">
        <v>1</v>
      </c>
      <c r="BA398" t="s">
        <v>1781</v>
      </c>
      <c r="BB398" t="s">
        <v>1088</v>
      </c>
      <c r="BC398" t="b">
        <v>0</v>
      </c>
    </row>
    <row r="399" spans="1:55">
      <c r="A399" t="s">
        <v>1782</v>
      </c>
      <c r="B399" t="s">
        <v>939</v>
      </c>
      <c r="C399">
        <v>100000</v>
      </c>
      <c r="D399">
        <v>76800</v>
      </c>
      <c r="E399">
        <v>100000</v>
      </c>
      <c r="F399">
        <v>168400</v>
      </c>
      <c r="G399" s="9">
        <v>4.4650937614728655E-3</v>
      </c>
      <c r="H399" s="9">
        <v>9.7231312660620121E-3</v>
      </c>
      <c r="I399" s="9">
        <v>1.4584696899093018E-2</v>
      </c>
      <c r="J399" s="10">
        <v>1000</v>
      </c>
      <c r="K399" s="10">
        <v>1000</v>
      </c>
      <c r="L399" s="10">
        <v>1000</v>
      </c>
      <c r="M399" s="10">
        <v>1000</v>
      </c>
      <c r="N399" s="10">
        <v>1000</v>
      </c>
      <c r="O399" s="10">
        <v>1000</v>
      </c>
      <c r="P399" s="10">
        <v>1000</v>
      </c>
      <c r="Q399" s="10">
        <v>1000</v>
      </c>
      <c r="R399" s="10">
        <v>1000</v>
      </c>
      <c r="S399" s="10">
        <v>1000</v>
      </c>
      <c r="T399" s="10">
        <v>1000</v>
      </c>
      <c r="V399" t="s">
        <v>456</v>
      </c>
      <c r="W399" t="s">
        <v>1782</v>
      </c>
      <c r="X399" t="s">
        <v>1783</v>
      </c>
      <c r="Y399" t="s">
        <v>941</v>
      </c>
      <c r="Z399" t="s">
        <v>942</v>
      </c>
      <c r="AB399" t="s">
        <v>1784</v>
      </c>
      <c r="AC399" t="s">
        <v>563</v>
      </c>
      <c r="AD399" t="s">
        <v>968</v>
      </c>
      <c r="AF399" t="s">
        <v>944</v>
      </c>
      <c r="AG399" t="s">
        <v>976</v>
      </c>
      <c r="AH399" t="s">
        <v>956</v>
      </c>
      <c r="AI399" t="s">
        <v>977</v>
      </c>
      <c r="AJ399" t="s">
        <v>948</v>
      </c>
      <c r="AK399">
        <v>1</v>
      </c>
      <c r="AL399" s="10">
        <v>76.8</v>
      </c>
      <c r="AM399" s="10">
        <v>100</v>
      </c>
      <c r="AN399" s="10">
        <v>168.4</v>
      </c>
      <c r="AO399" s="9">
        <v>0.65691992146157385</v>
      </c>
      <c r="AP399" s="9">
        <v>9</v>
      </c>
      <c r="AQ399" s="9">
        <v>0.74509376147286521</v>
      </c>
      <c r="AR399" s="9">
        <v>3.7200000000000006</v>
      </c>
      <c r="AS399" s="9">
        <v>4.4650937614728656</v>
      </c>
      <c r="AT399" s="9">
        <v>1.0431312660620111</v>
      </c>
      <c r="AU399" s="9">
        <v>8.6800000000000015</v>
      </c>
      <c r="AV399" s="9">
        <v>9.7231312660620119</v>
      </c>
      <c r="AW399" s="11">
        <v>1</v>
      </c>
      <c r="AX399" s="11">
        <v>1</v>
      </c>
      <c r="AY399" t="s">
        <v>969</v>
      </c>
      <c r="AZ399" t="s">
        <v>950</v>
      </c>
      <c r="BA399" t="s">
        <v>951</v>
      </c>
      <c r="BB399" t="s">
        <v>970</v>
      </c>
      <c r="BC399" t="b">
        <v>1</v>
      </c>
    </row>
    <row r="400" spans="1:55">
      <c r="A400" t="s">
        <v>1785</v>
      </c>
      <c r="B400" t="s">
        <v>939</v>
      </c>
      <c r="C400">
        <v>100</v>
      </c>
      <c r="D400">
        <v>0</v>
      </c>
      <c r="E400">
        <v>100</v>
      </c>
      <c r="F400">
        <v>100</v>
      </c>
      <c r="G400" s="9">
        <v>8.0030288308047103E-3</v>
      </c>
      <c r="H400" s="9">
        <v>2.4205505793908292E-2</v>
      </c>
      <c r="I400" s="9">
        <v>3.630825869086244E-2</v>
      </c>
      <c r="J400" s="10">
        <v>4</v>
      </c>
      <c r="K400" s="10">
        <v>4</v>
      </c>
      <c r="L400" s="10">
        <v>4</v>
      </c>
      <c r="M400" s="10">
        <v>4</v>
      </c>
      <c r="N400" s="10">
        <v>4</v>
      </c>
      <c r="O400" s="10">
        <v>4</v>
      </c>
      <c r="P400" s="10">
        <v>4</v>
      </c>
      <c r="Q400" s="10">
        <v>4</v>
      </c>
      <c r="R400" s="10">
        <v>4</v>
      </c>
      <c r="S400" s="10">
        <v>4</v>
      </c>
      <c r="T400" s="10">
        <v>4</v>
      </c>
      <c r="V400" t="s">
        <v>456</v>
      </c>
      <c r="W400" t="s">
        <v>1785</v>
      </c>
      <c r="X400" t="s">
        <v>1786</v>
      </c>
      <c r="Y400" t="s">
        <v>941</v>
      </c>
      <c r="Z400" t="s">
        <v>942</v>
      </c>
      <c r="AB400" t="s">
        <v>1784</v>
      </c>
      <c r="AC400" t="s">
        <v>563</v>
      </c>
      <c r="AD400" t="s">
        <v>943</v>
      </c>
      <c r="AF400" t="s">
        <v>944</v>
      </c>
      <c r="AG400" t="s">
        <v>959</v>
      </c>
      <c r="AH400" t="s">
        <v>946</v>
      </c>
      <c r="AI400" t="s">
        <v>960</v>
      </c>
      <c r="AJ400" t="s">
        <v>948</v>
      </c>
      <c r="AK400">
        <v>1</v>
      </c>
      <c r="AL400" s="10">
        <v>0</v>
      </c>
      <c r="AM400" s="10">
        <v>0.1</v>
      </c>
      <c r="AN400" s="10">
        <v>0.1</v>
      </c>
      <c r="AO400" s="9">
        <v>2.47512828186244E-2</v>
      </c>
      <c r="AP400" s="9">
        <v>0.33910000000000001</v>
      </c>
      <c r="AQ400" s="9">
        <v>0.2530288308047115</v>
      </c>
      <c r="AR400" s="9">
        <v>7.75</v>
      </c>
      <c r="AS400" s="9">
        <v>8.0030288308047108</v>
      </c>
      <c r="AT400" s="9">
        <v>0.60550579390828452</v>
      </c>
      <c r="AU400" s="9">
        <v>23.6</v>
      </c>
      <c r="AV400" s="9">
        <v>24.205505793908291</v>
      </c>
      <c r="AW400" s="11">
        <v>4.0000000000000001E-3</v>
      </c>
      <c r="AX400" s="11">
        <v>4.0000000000000001E-3</v>
      </c>
      <c r="AY400" t="s">
        <v>949</v>
      </c>
      <c r="AZ400" t="s">
        <v>950</v>
      </c>
      <c r="BA400" t="s">
        <v>951</v>
      </c>
      <c r="BB400" t="s">
        <v>952</v>
      </c>
      <c r="BC400" t="b">
        <v>1</v>
      </c>
    </row>
    <row r="401" spans="1:55">
      <c r="A401" t="s">
        <v>1787</v>
      </c>
      <c r="B401" t="s">
        <v>939</v>
      </c>
      <c r="C401">
        <v>760400</v>
      </c>
      <c r="D401">
        <v>413500</v>
      </c>
      <c r="E401">
        <v>760400</v>
      </c>
      <c r="F401">
        <v>1541400</v>
      </c>
      <c r="G401" s="9">
        <v>1.5427467678768852E-2</v>
      </c>
      <c r="H401" s="9">
        <v>5.0973063821723626E-2</v>
      </c>
      <c r="I401" s="9">
        <v>7.6459595732585442E-2</v>
      </c>
      <c r="J401" s="10">
        <v>30416</v>
      </c>
      <c r="K401" s="10">
        <v>30416</v>
      </c>
      <c r="L401" s="10">
        <v>30416</v>
      </c>
      <c r="M401" s="10">
        <v>30416</v>
      </c>
      <c r="N401" s="10">
        <v>30416</v>
      </c>
      <c r="O401" s="10">
        <v>30416</v>
      </c>
      <c r="P401" s="10">
        <v>30416</v>
      </c>
      <c r="Q401" s="10">
        <v>30416</v>
      </c>
      <c r="R401" s="10">
        <v>30416</v>
      </c>
      <c r="S401" s="10">
        <v>30416</v>
      </c>
      <c r="T401" s="10">
        <v>30416</v>
      </c>
      <c r="V401" t="s">
        <v>456</v>
      </c>
      <c r="W401" t="s">
        <v>1787</v>
      </c>
      <c r="X401" t="s">
        <v>1788</v>
      </c>
      <c r="Y401" t="s">
        <v>941</v>
      </c>
      <c r="Z401" t="s">
        <v>942</v>
      </c>
      <c r="AB401" t="s">
        <v>1784</v>
      </c>
      <c r="AC401" t="s">
        <v>563</v>
      </c>
      <c r="AD401" t="s">
        <v>943</v>
      </c>
      <c r="AF401" t="s">
        <v>944</v>
      </c>
      <c r="AG401" t="s">
        <v>945</v>
      </c>
      <c r="AH401" t="s">
        <v>946</v>
      </c>
      <c r="AI401" t="s">
        <v>947</v>
      </c>
      <c r="AJ401" t="s">
        <v>948</v>
      </c>
      <c r="AK401">
        <v>7</v>
      </c>
      <c r="AL401" s="10">
        <v>413.5</v>
      </c>
      <c r="AM401" s="10">
        <v>760.4</v>
      </c>
      <c r="AN401" s="10">
        <v>1541.4</v>
      </c>
      <c r="AO401" s="9">
        <v>0.31832879571980172</v>
      </c>
      <c r="AP401" s="9">
        <v>4.3612000000000002</v>
      </c>
      <c r="AQ401" s="9">
        <v>0.60101409193095334</v>
      </c>
      <c r="AR401" s="9">
        <v>14.8264535868379</v>
      </c>
      <c r="AS401" s="9">
        <v>15.427467678768853</v>
      </c>
      <c r="AT401" s="9">
        <v>1.8978309091071759</v>
      </c>
      <c r="AU401" s="9">
        <v>49.07523291261645</v>
      </c>
      <c r="AV401" s="9">
        <v>50.973063821723628</v>
      </c>
      <c r="AW401" s="11">
        <v>30.416</v>
      </c>
      <c r="AX401" s="11">
        <v>30.416</v>
      </c>
      <c r="AY401" t="s">
        <v>949</v>
      </c>
      <c r="AZ401" t="s">
        <v>950</v>
      </c>
      <c r="BA401" t="s">
        <v>951</v>
      </c>
      <c r="BB401" t="s">
        <v>952</v>
      </c>
      <c r="BC401" t="b">
        <v>1</v>
      </c>
    </row>
    <row r="402" spans="1:55">
      <c r="A402" t="s">
        <v>1789</v>
      </c>
      <c r="B402" t="s">
        <v>939</v>
      </c>
      <c r="C402">
        <v>200</v>
      </c>
      <c r="D402">
        <v>100</v>
      </c>
      <c r="E402">
        <v>200</v>
      </c>
      <c r="F402">
        <v>400</v>
      </c>
      <c r="G402" s="9">
        <v>7.7293865263475398E-2</v>
      </c>
      <c r="H402" s="9">
        <v>0.12855173168918588</v>
      </c>
      <c r="I402" s="9">
        <v>0.19282759753377882</v>
      </c>
      <c r="J402" s="10">
        <v>8</v>
      </c>
      <c r="K402" s="10">
        <v>8</v>
      </c>
      <c r="L402" s="10">
        <v>8</v>
      </c>
      <c r="M402" s="10">
        <v>8</v>
      </c>
      <c r="N402" s="10">
        <v>8</v>
      </c>
      <c r="O402" s="10">
        <v>8</v>
      </c>
      <c r="P402" s="10">
        <v>8</v>
      </c>
      <c r="Q402" s="10">
        <v>8</v>
      </c>
      <c r="R402" s="10">
        <v>8</v>
      </c>
      <c r="S402" s="10">
        <v>8</v>
      </c>
      <c r="T402" s="10">
        <v>8</v>
      </c>
      <c r="V402" t="s">
        <v>456</v>
      </c>
      <c r="W402" t="s">
        <v>1789</v>
      </c>
      <c r="X402" t="s">
        <v>1790</v>
      </c>
      <c r="Y402" t="s">
        <v>941</v>
      </c>
      <c r="Z402" t="s">
        <v>942</v>
      </c>
      <c r="AB402" t="s">
        <v>565</v>
      </c>
      <c r="AC402" t="s">
        <v>564</v>
      </c>
      <c r="AD402" t="s">
        <v>943</v>
      </c>
      <c r="AF402" t="s">
        <v>986</v>
      </c>
      <c r="AG402" t="s">
        <v>1025</v>
      </c>
      <c r="AH402" t="s">
        <v>946</v>
      </c>
      <c r="AI402" t="s">
        <v>947</v>
      </c>
      <c r="AJ402" t="s">
        <v>989</v>
      </c>
      <c r="AK402">
        <v>1</v>
      </c>
      <c r="AL402" s="10">
        <v>0.1</v>
      </c>
      <c r="AM402" s="10">
        <v>0.2</v>
      </c>
      <c r="AN402" s="10">
        <v>0.4</v>
      </c>
      <c r="AO402" s="9">
        <v>8.9593831670444796E-2</v>
      </c>
      <c r="AP402" s="9">
        <v>0.62050000000000005</v>
      </c>
      <c r="AQ402" s="9">
        <v>35.778049447659583</v>
      </c>
      <c r="AR402" s="9">
        <v>41.515815815815813</v>
      </c>
      <c r="AS402" s="9">
        <v>77.293865263475396</v>
      </c>
      <c r="AT402" s="9">
        <v>50.089269226723417</v>
      </c>
      <c r="AU402" s="9">
        <v>78.462462462462469</v>
      </c>
      <c r="AV402" s="9">
        <v>128.55173168918589</v>
      </c>
      <c r="AW402" s="11">
        <v>8.0000000000000002E-3</v>
      </c>
      <c r="AX402" s="11">
        <v>8.0000000000000002E-3</v>
      </c>
      <c r="AY402" t="s">
        <v>949</v>
      </c>
      <c r="AZ402" t="s">
        <v>950</v>
      </c>
      <c r="BA402" t="s">
        <v>951</v>
      </c>
      <c r="BB402" t="s">
        <v>952</v>
      </c>
      <c r="BC402" t="b">
        <v>1</v>
      </c>
    </row>
    <row r="403" spans="1:55">
      <c r="A403" t="s">
        <v>1791</v>
      </c>
      <c r="B403" t="s">
        <v>939</v>
      </c>
      <c r="C403">
        <v>600</v>
      </c>
      <c r="D403">
        <v>300</v>
      </c>
      <c r="E403">
        <v>600</v>
      </c>
      <c r="F403">
        <v>1200</v>
      </c>
      <c r="G403" s="9">
        <v>6.6533795342883492E-2</v>
      </c>
      <c r="H403" s="9">
        <v>0.1290021998932992</v>
      </c>
      <c r="I403" s="9">
        <v>0.19350329983994879</v>
      </c>
      <c r="J403" s="10">
        <v>24</v>
      </c>
      <c r="K403" s="10">
        <v>24</v>
      </c>
      <c r="L403" s="10">
        <v>24</v>
      </c>
      <c r="M403" s="10">
        <v>24</v>
      </c>
      <c r="N403" s="10">
        <v>24</v>
      </c>
      <c r="O403" s="10">
        <v>24</v>
      </c>
      <c r="P403" s="10">
        <v>24</v>
      </c>
      <c r="Q403" s="10">
        <v>24</v>
      </c>
      <c r="R403" s="10">
        <v>24</v>
      </c>
      <c r="S403" s="10">
        <v>24</v>
      </c>
      <c r="T403" s="10">
        <v>24</v>
      </c>
      <c r="V403" t="s">
        <v>456</v>
      </c>
      <c r="W403" t="s">
        <v>1791</v>
      </c>
      <c r="X403" t="s">
        <v>1792</v>
      </c>
      <c r="Y403" t="s">
        <v>941</v>
      </c>
      <c r="Z403" t="s">
        <v>942</v>
      </c>
      <c r="AB403" t="s">
        <v>565</v>
      </c>
      <c r="AC403" t="s">
        <v>564</v>
      </c>
      <c r="AD403" t="s">
        <v>943</v>
      </c>
      <c r="AF403" t="s">
        <v>986</v>
      </c>
      <c r="AG403" t="s">
        <v>1028</v>
      </c>
      <c r="AH403" t="s">
        <v>956</v>
      </c>
      <c r="AI403" t="s">
        <v>947</v>
      </c>
      <c r="AJ403" t="s">
        <v>989</v>
      </c>
      <c r="AK403">
        <v>3</v>
      </c>
      <c r="AL403" s="10">
        <v>0.3</v>
      </c>
      <c r="AM403" s="10">
        <v>0.6</v>
      </c>
      <c r="AN403" s="10">
        <v>1.2</v>
      </c>
      <c r="AO403" s="9">
        <v>0.2329728402905121</v>
      </c>
      <c r="AP403" s="9">
        <v>1.6134999999999999</v>
      </c>
      <c r="AQ403" s="9">
        <v>25.017979527067681</v>
      </c>
      <c r="AR403" s="9">
        <v>41.515815815815813</v>
      </c>
      <c r="AS403" s="9">
        <v>66.533795342883494</v>
      </c>
      <c r="AT403" s="9">
        <v>50.539737430836745</v>
      </c>
      <c r="AU403" s="9">
        <v>78.462462462462469</v>
      </c>
      <c r="AV403" s="9">
        <v>129.00219989329921</v>
      </c>
      <c r="AW403" s="11">
        <v>2.4E-2</v>
      </c>
      <c r="AX403" s="11">
        <v>2.4E-2</v>
      </c>
      <c r="AY403" t="s">
        <v>949</v>
      </c>
      <c r="AZ403" t="s">
        <v>950</v>
      </c>
      <c r="BA403" t="s">
        <v>951</v>
      </c>
      <c r="BB403" t="s">
        <v>952</v>
      </c>
      <c r="BC403" t="b">
        <v>1</v>
      </c>
    </row>
    <row r="404" spans="1:55">
      <c r="A404" t="s">
        <v>1793</v>
      </c>
      <c r="B404" t="s">
        <v>939</v>
      </c>
      <c r="C404">
        <v>139500</v>
      </c>
      <c r="D404">
        <v>75800</v>
      </c>
      <c r="E404">
        <v>139500</v>
      </c>
      <c r="F404">
        <v>282700</v>
      </c>
      <c r="G404" s="9">
        <v>3.0421186560156344E-2</v>
      </c>
      <c r="H404" s="9">
        <v>9.9567168052052818E-2</v>
      </c>
      <c r="I404" s="9">
        <v>0.14935075207807924</v>
      </c>
      <c r="J404" s="10">
        <v>5580</v>
      </c>
      <c r="K404" s="10">
        <v>5580</v>
      </c>
      <c r="L404" s="10">
        <v>5580</v>
      </c>
      <c r="M404" s="10">
        <v>5580</v>
      </c>
      <c r="N404" s="10">
        <v>5580</v>
      </c>
      <c r="O404" s="10">
        <v>5580</v>
      </c>
      <c r="P404" s="10">
        <v>5580</v>
      </c>
      <c r="Q404" s="10">
        <v>5580</v>
      </c>
      <c r="R404" s="10">
        <v>5580</v>
      </c>
      <c r="S404" s="10">
        <v>5580</v>
      </c>
      <c r="T404" s="10">
        <v>5580</v>
      </c>
      <c r="V404" t="s">
        <v>456</v>
      </c>
      <c r="W404" t="s">
        <v>1793</v>
      </c>
      <c r="X404" t="s">
        <v>1794</v>
      </c>
      <c r="Y404" t="s">
        <v>941</v>
      </c>
      <c r="Z404" t="s">
        <v>942</v>
      </c>
      <c r="AB404" t="s">
        <v>565</v>
      </c>
      <c r="AC404" t="s">
        <v>564</v>
      </c>
      <c r="AD404" t="s">
        <v>943</v>
      </c>
      <c r="AF404" t="s">
        <v>944</v>
      </c>
      <c r="AG404" t="s">
        <v>945</v>
      </c>
      <c r="AH404" t="s">
        <v>946</v>
      </c>
      <c r="AI404" t="s">
        <v>947</v>
      </c>
      <c r="AJ404" t="s">
        <v>948</v>
      </c>
      <c r="AK404">
        <v>2</v>
      </c>
      <c r="AL404" s="10">
        <v>75.8</v>
      </c>
      <c r="AM404" s="10">
        <v>139.5</v>
      </c>
      <c r="AN404" s="10">
        <v>282.7</v>
      </c>
      <c r="AO404" s="9">
        <v>0.67743332803904299</v>
      </c>
      <c r="AP404" s="9">
        <v>4.6917</v>
      </c>
      <c r="AQ404" s="9">
        <v>0.76703240600219269</v>
      </c>
      <c r="AR404" s="9">
        <v>29.65415415415416</v>
      </c>
      <c r="AS404" s="9">
        <v>30.421186560156343</v>
      </c>
      <c r="AT404" s="9">
        <v>1.4122130970978382</v>
      </c>
      <c r="AU404" s="9">
        <v>98.15495495495496</v>
      </c>
      <c r="AV404" s="9">
        <v>99.567168052052821</v>
      </c>
      <c r="AW404" s="11">
        <v>5.58</v>
      </c>
      <c r="AX404" s="11">
        <v>5.58</v>
      </c>
      <c r="AY404" t="s">
        <v>949</v>
      </c>
      <c r="AZ404" t="s">
        <v>950</v>
      </c>
      <c r="BA404" t="s">
        <v>951</v>
      </c>
      <c r="BB404" t="s">
        <v>952</v>
      </c>
      <c r="BC404" t="b">
        <v>1</v>
      </c>
    </row>
    <row r="405" spans="1:55">
      <c r="A405" t="s">
        <v>1795</v>
      </c>
      <c r="B405" t="s">
        <v>939</v>
      </c>
      <c r="C405">
        <v>1064000</v>
      </c>
      <c r="D405">
        <v>816700</v>
      </c>
      <c r="E405">
        <v>1064000</v>
      </c>
      <c r="F405">
        <v>1791500</v>
      </c>
      <c r="G405" s="9">
        <v>2.2884101190342409E-2</v>
      </c>
      <c r="H405" s="9">
        <v>5.1995418668526396E-2</v>
      </c>
      <c r="I405" s="9">
        <v>7.7993128002789597E-2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V405" t="s">
        <v>456</v>
      </c>
      <c r="W405" t="s">
        <v>1795</v>
      </c>
      <c r="X405" t="s">
        <v>1796</v>
      </c>
      <c r="Y405" t="s">
        <v>941</v>
      </c>
      <c r="Z405" t="s">
        <v>942</v>
      </c>
      <c r="AB405" t="s">
        <v>567</v>
      </c>
      <c r="AC405" t="s">
        <v>566</v>
      </c>
      <c r="AD405" t="s">
        <v>968</v>
      </c>
      <c r="AF405" t="s">
        <v>944</v>
      </c>
      <c r="AG405" t="s">
        <v>996</v>
      </c>
      <c r="AH405" t="s">
        <v>988</v>
      </c>
      <c r="AI405" t="s">
        <v>977</v>
      </c>
      <c r="AJ405" t="s">
        <v>948</v>
      </c>
      <c r="AK405">
        <v>2</v>
      </c>
      <c r="AL405" s="10">
        <v>816.7</v>
      </c>
      <c r="AM405" s="10">
        <v>1064</v>
      </c>
      <c r="AN405" s="10">
        <v>1791.5</v>
      </c>
      <c r="AO405" s="9">
        <v>8.0541237113401998E-2</v>
      </c>
      <c r="AP405" s="9">
        <v>0.7</v>
      </c>
      <c r="AQ405" s="9">
        <v>19.164101190342407</v>
      </c>
      <c r="AR405" s="9">
        <v>3.72</v>
      </c>
      <c r="AS405" s="9">
        <v>22.88410119034241</v>
      </c>
      <c r="AT405" s="9">
        <v>43.315418668526391</v>
      </c>
      <c r="AU405" s="9">
        <v>8.6800000000000015</v>
      </c>
      <c r="AV405" s="9">
        <v>51.995418668526398</v>
      </c>
      <c r="AW405" s="11">
        <v>0</v>
      </c>
      <c r="AX405" s="11">
        <v>0</v>
      </c>
      <c r="AY405" t="s">
        <v>969</v>
      </c>
      <c r="AZ405" t="s">
        <v>950</v>
      </c>
      <c r="BA405" t="s">
        <v>951</v>
      </c>
      <c r="BB405" t="s">
        <v>970</v>
      </c>
      <c r="BC405" t="b">
        <v>1</v>
      </c>
    </row>
    <row r="406" spans="1:55">
      <c r="A406" t="s">
        <v>1797</v>
      </c>
      <c r="B406" t="s">
        <v>939</v>
      </c>
      <c r="C406">
        <v>900</v>
      </c>
      <c r="D406">
        <v>500</v>
      </c>
      <c r="E406">
        <v>900</v>
      </c>
      <c r="F406">
        <v>1800</v>
      </c>
      <c r="G406" s="9">
        <v>1.1932859288711685E-2</v>
      </c>
      <c r="H406" s="9">
        <v>2.945600300419635E-2</v>
      </c>
      <c r="I406" s="9">
        <v>4.4184004506294526E-2</v>
      </c>
      <c r="J406" s="10">
        <v>36</v>
      </c>
      <c r="K406" s="10">
        <v>36</v>
      </c>
      <c r="L406" s="10">
        <v>36</v>
      </c>
      <c r="M406" s="10">
        <v>36</v>
      </c>
      <c r="N406" s="10">
        <v>36</v>
      </c>
      <c r="O406" s="10">
        <v>36</v>
      </c>
      <c r="P406" s="10">
        <v>36</v>
      </c>
      <c r="Q406" s="10">
        <v>36</v>
      </c>
      <c r="R406" s="10">
        <v>36</v>
      </c>
      <c r="S406" s="10">
        <v>36</v>
      </c>
      <c r="T406" s="10">
        <v>36</v>
      </c>
      <c r="V406" t="s">
        <v>456</v>
      </c>
      <c r="W406" t="s">
        <v>1797</v>
      </c>
      <c r="X406" t="s">
        <v>1798</v>
      </c>
      <c r="Y406" t="s">
        <v>941</v>
      </c>
      <c r="Z406" t="s">
        <v>942</v>
      </c>
      <c r="AB406" t="s">
        <v>567</v>
      </c>
      <c r="AC406" t="s">
        <v>566</v>
      </c>
      <c r="AD406" t="s">
        <v>943</v>
      </c>
      <c r="AF406" t="s">
        <v>944</v>
      </c>
      <c r="AG406" t="s">
        <v>965</v>
      </c>
      <c r="AH406" t="s">
        <v>956</v>
      </c>
      <c r="AI406" t="s">
        <v>960</v>
      </c>
      <c r="AJ406" t="s">
        <v>948</v>
      </c>
      <c r="AK406">
        <v>1</v>
      </c>
      <c r="AL406" s="10">
        <v>0.5</v>
      </c>
      <c r="AM406" s="10">
        <v>0.9</v>
      </c>
      <c r="AN406" s="10">
        <v>1.8</v>
      </c>
      <c r="AO406" s="9">
        <v>0.34517673048600878</v>
      </c>
      <c r="AP406" s="9">
        <v>3</v>
      </c>
      <c r="AQ406" s="9">
        <v>4.1828592887116818</v>
      </c>
      <c r="AR406" s="9">
        <v>7.75</v>
      </c>
      <c r="AS406" s="9">
        <v>11.932859288711684</v>
      </c>
      <c r="AT406" s="9">
        <v>5.8560030041963538</v>
      </c>
      <c r="AU406" s="9">
        <v>23.600000000000005</v>
      </c>
      <c r="AV406" s="9">
        <v>29.456003004196351</v>
      </c>
      <c r="AW406" s="11">
        <v>3.5999999999999997E-2</v>
      </c>
      <c r="AX406" s="11">
        <v>3.5999999999999997E-2</v>
      </c>
      <c r="AY406" t="s">
        <v>949</v>
      </c>
      <c r="AZ406" t="s">
        <v>950</v>
      </c>
      <c r="BA406" t="s">
        <v>951</v>
      </c>
      <c r="BB406" t="s">
        <v>952</v>
      </c>
      <c r="BC406" t="b">
        <v>1</v>
      </c>
    </row>
    <row r="407" spans="1:55">
      <c r="A407" t="s">
        <v>1799</v>
      </c>
      <c r="B407" t="s">
        <v>939</v>
      </c>
      <c r="C407">
        <v>15000</v>
      </c>
      <c r="D407">
        <v>8200</v>
      </c>
      <c r="E407">
        <v>15000</v>
      </c>
      <c r="F407">
        <v>30500</v>
      </c>
      <c r="G407" s="9">
        <v>2.0970994463601046E-2</v>
      </c>
      <c r="H407" s="9"/>
      <c r="I407" s="9"/>
      <c r="J407" s="10">
        <v>600</v>
      </c>
      <c r="K407" s="10">
        <v>600</v>
      </c>
      <c r="L407" s="10">
        <v>600</v>
      </c>
      <c r="M407" s="10">
        <v>600</v>
      </c>
      <c r="N407" s="10">
        <v>600</v>
      </c>
      <c r="O407" s="10">
        <v>600</v>
      </c>
      <c r="P407" s="10">
        <v>600</v>
      </c>
      <c r="Q407" s="10">
        <v>600</v>
      </c>
      <c r="R407" s="10">
        <v>600</v>
      </c>
      <c r="S407" s="10">
        <v>600</v>
      </c>
      <c r="T407" s="10">
        <v>600</v>
      </c>
      <c r="V407" t="s">
        <v>456</v>
      </c>
      <c r="W407" t="s">
        <v>1799</v>
      </c>
      <c r="X407" t="s">
        <v>1798</v>
      </c>
      <c r="Y407" t="s">
        <v>941</v>
      </c>
      <c r="Z407" t="s">
        <v>942</v>
      </c>
      <c r="AB407" t="s">
        <v>567</v>
      </c>
      <c r="AC407" t="s">
        <v>566</v>
      </c>
      <c r="AD407" t="s">
        <v>943</v>
      </c>
      <c r="AF407" t="s">
        <v>944</v>
      </c>
      <c r="AG407" t="s">
        <v>955</v>
      </c>
      <c r="AH407" t="s">
        <v>956</v>
      </c>
      <c r="AI407" t="s">
        <v>947</v>
      </c>
      <c r="AJ407" t="s">
        <v>948</v>
      </c>
      <c r="AK407">
        <v>1</v>
      </c>
      <c r="AL407" s="10">
        <v>8.1999999999999993</v>
      </c>
      <c r="AM407" s="10">
        <v>15</v>
      </c>
      <c r="AN407" s="10">
        <v>30.5</v>
      </c>
      <c r="AO407" s="9">
        <v>4.2019513991163403E-2</v>
      </c>
      <c r="AP407" s="9">
        <v>0.36520000000000002</v>
      </c>
      <c r="AQ407" s="9">
        <v>6.9035571980791399</v>
      </c>
      <c r="AR407" s="9">
        <v>14.067437265521908</v>
      </c>
      <c r="AS407" s="9">
        <v>20.970994463601045</v>
      </c>
      <c r="AT407" s="9"/>
      <c r="AU407" s="9"/>
      <c r="AV407" s="9"/>
      <c r="AW407" s="11">
        <v>0.6</v>
      </c>
      <c r="AX407" s="11">
        <v>0.6</v>
      </c>
      <c r="AY407" t="s">
        <v>949</v>
      </c>
      <c r="AZ407" t="s">
        <v>950</v>
      </c>
      <c r="BA407" t="s">
        <v>951</v>
      </c>
      <c r="BB407" t="s">
        <v>952</v>
      </c>
      <c r="BC407" t="b">
        <v>0</v>
      </c>
    </row>
    <row r="408" spans="1:55">
      <c r="A408" t="s">
        <v>1800</v>
      </c>
      <c r="B408" t="s">
        <v>939</v>
      </c>
      <c r="C408">
        <v>190500</v>
      </c>
      <c r="D408">
        <v>103600</v>
      </c>
      <c r="E408">
        <v>190500</v>
      </c>
      <c r="F408">
        <v>386200</v>
      </c>
      <c r="G408" s="9">
        <v>2.1779931546243029E-2</v>
      </c>
      <c r="H408" s="9"/>
      <c r="I408" s="9"/>
      <c r="J408" s="10">
        <v>7620</v>
      </c>
      <c r="K408" s="10">
        <v>7620</v>
      </c>
      <c r="L408" s="10">
        <v>7620</v>
      </c>
      <c r="M408" s="10">
        <v>7620</v>
      </c>
      <c r="N408" s="10">
        <v>7620</v>
      </c>
      <c r="O408" s="10">
        <v>7620</v>
      </c>
      <c r="P408" s="10">
        <v>7620</v>
      </c>
      <c r="Q408" s="10">
        <v>7620</v>
      </c>
      <c r="R408" s="10">
        <v>7620</v>
      </c>
      <c r="S408" s="10">
        <v>7620</v>
      </c>
      <c r="T408" s="10">
        <v>7620</v>
      </c>
      <c r="V408" t="s">
        <v>456</v>
      </c>
      <c r="W408" t="s">
        <v>1800</v>
      </c>
      <c r="X408" t="s">
        <v>1801</v>
      </c>
      <c r="Y408" t="s">
        <v>941</v>
      </c>
      <c r="Z408" t="s">
        <v>942</v>
      </c>
      <c r="AB408" t="s">
        <v>567</v>
      </c>
      <c r="AC408" t="s">
        <v>566</v>
      </c>
      <c r="AD408" t="s">
        <v>943</v>
      </c>
      <c r="AF408" t="s">
        <v>944</v>
      </c>
      <c r="AG408" t="s">
        <v>1037</v>
      </c>
      <c r="AH408" t="s">
        <v>988</v>
      </c>
      <c r="AI408" t="s">
        <v>947</v>
      </c>
      <c r="AJ408" t="s">
        <v>948</v>
      </c>
      <c r="AK408">
        <v>1</v>
      </c>
      <c r="AL408" s="10">
        <v>103.6</v>
      </c>
      <c r="AM408" s="10">
        <v>190.5</v>
      </c>
      <c r="AN408" s="10">
        <v>386.2</v>
      </c>
      <c r="AO408" s="9">
        <v>0.53226251840942562</v>
      </c>
      <c r="AP408" s="9">
        <v>4.6260000000000003</v>
      </c>
      <c r="AQ408" s="9">
        <v>7.7124942807211214</v>
      </c>
      <c r="AR408" s="9">
        <v>14.067437265521905</v>
      </c>
      <c r="AS408" s="9">
        <v>21.779931546243027</v>
      </c>
      <c r="AT408" s="9"/>
      <c r="AU408" s="9"/>
      <c r="AV408" s="9"/>
      <c r="AW408" s="11">
        <v>7.62</v>
      </c>
      <c r="AX408" s="11">
        <v>7.62</v>
      </c>
      <c r="AY408" t="s">
        <v>949</v>
      </c>
      <c r="AZ408" t="s">
        <v>950</v>
      </c>
      <c r="BA408" t="s">
        <v>951</v>
      </c>
      <c r="BB408" t="s">
        <v>952</v>
      </c>
      <c r="BC408" t="b">
        <v>0</v>
      </c>
    </row>
    <row r="409" spans="1:55">
      <c r="A409" t="s">
        <v>1802</v>
      </c>
      <c r="B409" t="s">
        <v>939</v>
      </c>
      <c r="C409">
        <v>1447800</v>
      </c>
      <c r="D409">
        <v>787300</v>
      </c>
      <c r="E409">
        <v>1447800</v>
      </c>
      <c r="F409">
        <v>2934500</v>
      </c>
      <c r="G409" s="9">
        <v>9.58166284719374E-3</v>
      </c>
      <c r="H409" s="9">
        <v>2.9869580687231466E-2</v>
      </c>
      <c r="I409" s="9">
        <v>4.4804371030847195E-2</v>
      </c>
      <c r="J409" s="10">
        <v>57912</v>
      </c>
      <c r="K409" s="10">
        <v>57912</v>
      </c>
      <c r="L409" s="10">
        <v>57912</v>
      </c>
      <c r="M409" s="10">
        <v>57912</v>
      </c>
      <c r="N409" s="10">
        <v>57912</v>
      </c>
      <c r="O409" s="10">
        <v>57912</v>
      </c>
      <c r="P409" s="10">
        <v>57912</v>
      </c>
      <c r="Q409" s="10">
        <v>57912</v>
      </c>
      <c r="R409" s="10">
        <v>57912</v>
      </c>
      <c r="S409" s="10">
        <v>57912</v>
      </c>
      <c r="T409" s="10">
        <v>57912</v>
      </c>
      <c r="V409" t="s">
        <v>456</v>
      </c>
      <c r="W409" t="s">
        <v>1802</v>
      </c>
      <c r="X409" t="s">
        <v>1803</v>
      </c>
      <c r="Y409" t="s">
        <v>941</v>
      </c>
      <c r="Z409" t="s">
        <v>942</v>
      </c>
      <c r="AB409" t="s">
        <v>568</v>
      </c>
      <c r="AC409" t="s">
        <v>568</v>
      </c>
      <c r="AD409" t="s">
        <v>943</v>
      </c>
      <c r="AF409" t="s">
        <v>944</v>
      </c>
      <c r="AG409" t="s">
        <v>965</v>
      </c>
      <c r="AH409" t="s">
        <v>956</v>
      </c>
      <c r="AI409" t="s">
        <v>960</v>
      </c>
      <c r="AJ409" t="s">
        <v>948</v>
      </c>
      <c r="AK409">
        <v>11</v>
      </c>
      <c r="AL409" s="10">
        <v>787.3</v>
      </c>
      <c r="AM409" s="10">
        <v>1447.8</v>
      </c>
      <c r="AN409" s="10">
        <v>2934.5</v>
      </c>
      <c r="AO409" s="9">
        <v>0.88954769813429369</v>
      </c>
      <c r="AP409" s="9">
        <v>11.462</v>
      </c>
      <c r="AQ409" s="9">
        <v>1.8316628471937413</v>
      </c>
      <c r="AR409" s="9">
        <v>7.7499999999999991</v>
      </c>
      <c r="AS409" s="9">
        <v>9.5816628471937406</v>
      </c>
      <c r="AT409" s="9">
        <v>6.2695806872314632</v>
      </c>
      <c r="AU409" s="9">
        <v>23.6</v>
      </c>
      <c r="AV409" s="9">
        <v>29.869580687231466</v>
      </c>
      <c r="AW409" s="11">
        <v>57.911999999999999</v>
      </c>
      <c r="AX409" s="11">
        <v>57.911999999999999</v>
      </c>
      <c r="AY409" t="s">
        <v>949</v>
      </c>
      <c r="AZ409" t="s">
        <v>950</v>
      </c>
      <c r="BA409" t="s">
        <v>951</v>
      </c>
      <c r="BB409" t="s">
        <v>952</v>
      </c>
      <c r="BC409" t="b">
        <v>1</v>
      </c>
    </row>
    <row r="410" spans="1:55">
      <c r="A410" t="s">
        <v>1804</v>
      </c>
      <c r="B410" t="s">
        <v>939</v>
      </c>
      <c r="C410">
        <v>179800</v>
      </c>
      <c r="D410">
        <v>97800</v>
      </c>
      <c r="E410">
        <v>179800</v>
      </c>
      <c r="F410">
        <v>364400</v>
      </c>
      <c r="G410" s="9">
        <v>1.2997707035279318E-2</v>
      </c>
      <c r="H410" s="9">
        <v>3.6874824626455575E-2</v>
      </c>
      <c r="I410" s="9">
        <v>5.531223693968336E-2</v>
      </c>
      <c r="J410" s="10">
        <v>7192</v>
      </c>
      <c r="K410" s="10">
        <v>7192</v>
      </c>
      <c r="L410" s="10">
        <v>7192</v>
      </c>
      <c r="M410" s="10">
        <v>7192</v>
      </c>
      <c r="N410" s="10">
        <v>7192</v>
      </c>
      <c r="O410" s="10">
        <v>7192</v>
      </c>
      <c r="P410" s="10">
        <v>7192</v>
      </c>
      <c r="Q410" s="10">
        <v>7192</v>
      </c>
      <c r="R410" s="10">
        <v>7192</v>
      </c>
      <c r="S410" s="10">
        <v>7192</v>
      </c>
      <c r="T410" s="10">
        <v>7192</v>
      </c>
      <c r="V410" t="s">
        <v>456</v>
      </c>
      <c r="W410" t="s">
        <v>1804</v>
      </c>
      <c r="X410" t="s">
        <v>1805</v>
      </c>
      <c r="Y410" t="s">
        <v>941</v>
      </c>
      <c r="Z410" t="s">
        <v>942</v>
      </c>
      <c r="AB410" t="s">
        <v>568</v>
      </c>
      <c r="AC410" t="s">
        <v>568</v>
      </c>
      <c r="AD410" t="s">
        <v>943</v>
      </c>
      <c r="AF410" t="s">
        <v>944</v>
      </c>
      <c r="AG410" t="s">
        <v>1042</v>
      </c>
      <c r="AH410" t="s">
        <v>988</v>
      </c>
      <c r="AI410" t="s">
        <v>960</v>
      </c>
      <c r="AJ410" t="s">
        <v>948</v>
      </c>
      <c r="AK410">
        <v>2</v>
      </c>
      <c r="AL410" s="10">
        <v>97.8</v>
      </c>
      <c r="AM410" s="10">
        <v>179.8</v>
      </c>
      <c r="AN410" s="10">
        <v>364.4</v>
      </c>
      <c r="AO410" s="9">
        <v>0.1104523018657064</v>
      </c>
      <c r="AP410" s="9">
        <v>1.4232</v>
      </c>
      <c r="AQ410" s="9">
        <v>5.2477070352793209</v>
      </c>
      <c r="AR410" s="9">
        <v>7.75</v>
      </c>
      <c r="AS410" s="9">
        <v>12.997707035279319</v>
      </c>
      <c r="AT410" s="9">
        <v>13.27482462645558</v>
      </c>
      <c r="AU410" s="9">
        <v>23.6</v>
      </c>
      <c r="AV410" s="9">
        <v>36.874824626455577</v>
      </c>
      <c r="AW410" s="11">
        <v>7.1920000000000002</v>
      </c>
      <c r="AX410" s="11">
        <v>7.1920000000000002</v>
      </c>
      <c r="AY410" t="s">
        <v>949</v>
      </c>
      <c r="AZ410" t="s">
        <v>950</v>
      </c>
      <c r="BA410" t="s">
        <v>951</v>
      </c>
      <c r="BB410" t="s">
        <v>952</v>
      </c>
      <c r="BC410" t="b">
        <v>1</v>
      </c>
    </row>
    <row r="411" spans="1:55">
      <c r="A411" t="s">
        <v>1806</v>
      </c>
      <c r="B411" t="s">
        <v>939</v>
      </c>
      <c r="C411">
        <v>0</v>
      </c>
      <c r="D411">
        <v>0</v>
      </c>
      <c r="E411">
        <v>0</v>
      </c>
      <c r="F411">
        <v>0</v>
      </c>
      <c r="G411" s="9">
        <v>7.9742934124701053E-3</v>
      </c>
      <c r="H411" s="9">
        <v>2.3914010777458149E-2</v>
      </c>
      <c r="I411" s="9">
        <v>3.5871016166187222E-2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V411" t="s">
        <v>456</v>
      </c>
      <c r="W411" t="s">
        <v>1806</v>
      </c>
      <c r="X411" t="s">
        <v>1807</v>
      </c>
      <c r="Y411" t="s">
        <v>941</v>
      </c>
      <c r="Z411" t="s">
        <v>942</v>
      </c>
      <c r="AB411" t="s">
        <v>569</v>
      </c>
      <c r="AC411" t="s">
        <v>569</v>
      </c>
      <c r="AD411" t="s">
        <v>943</v>
      </c>
      <c r="AF411" t="s">
        <v>944</v>
      </c>
      <c r="AG411" t="s">
        <v>959</v>
      </c>
      <c r="AH411" t="s">
        <v>946</v>
      </c>
      <c r="AI411" t="s">
        <v>960</v>
      </c>
      <c r="AJ411" t="s">
        <v>948</v>
      </c>
      <c r="AK411">
        <v>1</v>
      </c>
      <c r="AL411" s="10">
        <v>0</v>
      </c>
      <c r="AM411" s="10">
        <v>0</v>
      </c>
      <c r="AN411" s="10">
        <v>0</v>
      </c>
      <c r="AO411" s="9">
        <v>1</v>
      </c>
      <c r="AP411" s="9">
        <v>1.2749999999999999</v>
      </c>
      <c r="AQ411" s="9">
        <v>0.22429341247010501</v>
      </c>
      <c r="AR411" s="9">
        <v>7.75</v>
      </c>
      <c r="AS411" s="9">
        <v>7.9742934124701055</v>
      </c>
      <c r="AT411" s="9">
        <v>0.31401077745814709</v>
      </c>
      <c r="AU411" s="9">
        <v>23.6</v>
      </c>
      <c r="AV411" s="9">
        <v>23.914010777458149</v>
      </c>
      <c r="AW411" s="11">
        <v>0</v>
      </c>
      <c r="AX411" s="11">
        <v>0</v>
      </c>
      <c r="AY411" t="s">
        <v>949</v>
      </c>
      <c r="AZ411" t="s">
        <v>950</v>
      </c>
      <c r="BA411" t="s">
        <v>951</v>
      </c>
      <c r="BB411" t="s">
        <v>970</v>
      </c>
      <c r="BC411" t="b">
        <v>1</v>
      </c>
    </row>
    <row r="412" spans="1:55">
      <c r="A412" t="s">
        <v>1808</v>
      </c>
      <c r="B412" t="s">
        <v>939</v>
      </c>
      <c r="C412">
        <v>363600</v>
      </c>
      <c r="D412">
        <v>279000</v>
      </c>
      <c r="E412">
        <v>363600</v>
      </c>
      <c r="F412">
        <v>612100</v>
      </c>
      <c r="G412" s="9">
        <v>8.62499815279388E-3</v>
      </c>
      <c r="H412" s="9">
        <v>1.9018997413911439E-2</v>
      </c>
      <c r="I412" s="9">
        <v>2.8528496120867157E-2</v>
      </c>
      <c r="J412" s="10">
        <v>3635.7685845213846</v>
      </c>
      <c r="K412" s="10">
        <v>3635.7685845213846</v>
      </c>
      <c r="L412" s="10">
        <v>3635.7685845213846</v>
      </c>
      <c r="M412" s="10">
        <v>3635.7685845213846</v>
      </c>
      <c r="N412" s="10">
        <v>3635.7685845213846</v>
      </c>
      <c r="O412" s="10">
        <v>3635.7685845213846</v>
      </c>
      <c r="P412" s="10">
        <v>3635.7685845213846</v>
      </c>
      <c r="Q412" s="10">
        <v>3635.7685845213846</v>
      </c>
      <c r="R412" s="10">
        <v>3635.7685845213846</v>
      </c>
      <c r="S412" s="10">
        <v>3635.7685845213846</v>
      </c>
      <c r="T412" s="10">
        <v>3635.7685845213846</v>
      </c>
      <c r="V412" t="s">
        <v>456</v>
      </c>
      <c r="W412" t="s">
        <v>1808</v>
      </c>
      <c r="X412" t="s">
        <v>1809</v>
      </c>
      <c r="Y412" t="s">
        <v>941</v>
      </c>
      <c r="Z412" t="s">
        <v>942</v>
      </c>
      <c r="AB412" t="s">
        <v>571</v>
      </c>
      <c r="AC412" t="s">
        <v>570</v>
      </c>
      <c r="AD412" t="s">
        <v>968</v>
      </c>
      <c r="AF412" t="s">
        <v>986</v>
      </c>
      <c r="AG412" t="s">
        <v>999</v>
      </c>
      <c r="AH412" t="s">
        <v>946</v>
      </c>
      <c r="AI412" t="s">
        <v>977</v>
      </c>
      <c r="AJ412" t="s">
        <v>1054</v>
      </c>
      <c r="AK412">
        <v>1</v>
      </c>
      <c r="AL412" s="10">
        <v>279</v>
      </c>
      <c r="AM412" s="10">
        <v>363.6</v>
      </c>
      <c r="AN412" s="10">
        <v>612.1</v>
      </c>
      <c r="AO412" s="9">
        <v>1.08506655335178E-2</v>
      </c>
      <c r="AP412" s="9">
        <v>1.4172</v>
      </c>
      <c r="AQ412" s="9">
        <v>1.1849981527938798</v>
      </c>
      <c r="AR412" s="9">
        <v>7.4400000000000013</v>
      </c>
      <c r="AS412" s="9">
        <v>8.6249981527938804</v>
      </c>
      <c r="AT412" s="9">
        <v>1.6589974139114316</v>
      </c>
      <c r="AU412" s="9">
        <v>17.360000000000003</v>
      </c>
      <c r="AV412" s="9">
        <v>19.018997413911439</v>
      </c>
      <c r="AW412" s="11">
        <v>3.6357685845213847</v>
      </c>
      <c r="AX412" s="11">
        <v>3.6357685845213847</v>
      </c>
      <c r="AY412" t="s">
        <v>969</v>
      </c>
      <c r="AZ412" t="s">
        <v>950</v>
      </c>
      <c r="BA412" t="s">
        <v>951</v>
      </c>
      <c r="BB412" t="s">
        <v>970</v>
      </c>
      <c r="BC412" t="b">
        <v>1</v>
      </c>
    </row>
    <row r="413" spans="1:55">
      <c r="A413" t="s">
        <v>1810</v>
      </c>
      <c r="B413" t="s">
        <v>939</v>
      </c>
      <c r="C413">
        <v>553200</v>
      </c>
      <c r="D413">
        <v>424600</v>
      </c>
      <c r="E413">
        <v>553200</v>
      </c>
      <c r="F413">
        <v>931400</v>
      </c>
      <c r="G413" s="9">
        <v>1.0959633542397715E-2</v>
      </c>
      <c r="H413" s="9">
        <v>2.0769808424085403E-2</v>
      </c>
      <c r="I413" s="9">
        <v>3.1154712636128103E-2</v>
      </c>
      <c r="J413" s="10">
        <v>5531.6479124236248</v>
      </c>
      <c r="K413" s="10">
        <v>5531.6479124236248</v>
      </c>
      <c r="L413" s="10">
        <v>5531.6479124236248</v>
      </c>
      <c r="M413" s="10">
        <v>5531.6479124236248</v>
      </c>
      <c r="N413" s="10">
        <v>5531.6479124236248</v>
      </c>
      <c r="O413" s="10">
        <v>5531.6479124236248</v>
      </c>
      <c r="P413" s="10">
        <v>5531.6479124236248</v>
      </c>
      <c r="Q413" s="10">
        <v>5531.6479124236248</v>
      </c>
      <c r="R413" s="10">
        <v>5531.6479124236248</v>
      </c>
      <c r="S413" s="10">
        <v>5531.6479124236248</v>
      </c>
      <c r="T413" s="10">
        <v>5531.6479124236248</v>
      </c>
      <c r="V413" t="s">
        <v>456</v>
      </c>
      <c r="W413" t="s">
        <v>1810</v>
      </c>
      <c r="X413" t="s">
        <v>1811</v>
      </c>
      <c r="Y413" t="s">
        <v>941</v>
      </c>
      <c r="Z413" t="s">
        <v>942</v>
      </c>
      <c r="AB413" t="s">
        <v>571</v>
      </c>
      <c r="AC413" t="s">
        <v>570</v>
      </c>
      <c r="AD413" t="s">
        <v>968</v>
      </c>
      <c r="AF413" t="s">
        <v>986</v>
      </c>
      <c r="AG413" t="s">
        <v>976</v>
      </c>
      <c r="AH413" t="s">
        <v>956</v>
      </c>
      <c r="AI413" t="s">
        <v>977</v>
      </c>
      <c r="AJ413" t="s">
        <v>1054</v>
      </c>
      <c r="AK413">
        <v>1</v>
      </c>
      <c r="AL413" s="10">
        <v>424.6</v>
      </c>
      <c r="AM413" s="10">
        <v>553.20000000000005</v>
      </c>
      <c r="AN413" s="10">
        <v>931.4</v>
      </c>
      <c r="AO413" s="9">
        <v>1.65102844739471E-2</v>
      </c>
      <c r="AP413" s="9">
        <v>2.1564000000000001</v>
      </c>
      <c r="AQ413" s="9">
        <v>3.5196335423977128</v>
      </c>
      <c r="AR413" s="9">
        <v>7.4400000000000013</v>
      </c>
      <c r="AS413" s="9">
        <v>10.959633542397714</v>
      </c>
      <c r="AT413" s="9">
        <v>3.4098084240854005</v>
      </c>
      <c r="AU413" s="9">
        <v>17.360000000000003</v>
      </c>
      <c r="AV413" s="9">
        <v>20.769808424085404</v>
      </c>
      <c r="AW413" s="11">
        <v>5.5316479124236251</v>
      </c>
      <c r="AX413" s="11">
        <v>5.5316479124236251</v>
      </c>
      <c r="AY413" t="s">
        <v>969</v>
      </c>
      <c r="AZ413" t="s">
        <v>950</v>
      </c>
      <c r="BA413" t="s">
        <v>951</v>
      </c>
      <c r="BB413" t="s">
        <v>970</v>
      </c>
      <c r="BC413" t="b">
        <v>1</v>
      </c>
    </row>
    <row r="414" spans="1:55">
      <c r="A414" t="s">
        <v>1812</v>
      </c>
      <c r="B414" t="s">
        <v>939</v>
      </c>
      <c r="C414">
        <v>654400</v>
      </c>
      <c r="D414">
        <v>502300</v>
      </c>
      <c r="E414">
        <v>654400</v>
      </c>
      <c r="F414">
        <v>1101900</v>
      </c>
      <c r="G414" s="9">
        <v>4.188150685135515E-3</v>
      </c>
      <c r="H414" s="9">
        <v>1.0400388356118676E-2</v>
      </c>
      <c r="I414" s="9">
        <v>1.5600582534178014E-2</v>
      </c>
      <c r="J414" s="10">
        <v>6543.5835030549897</v>
      </c>
      <c r="K414" s="10">
        <v>6543.5835030549897</v>
      </c>
      <c r="L414" s="10">
        <v>6543.5835030549897</v>
      </c>
      <c r="M414" s="10">
        <v>6543.5835030549897</v>
      </c>
      <c r="N414" s="10">
        <v>6543.5835030549897</v>
      </c>
      <c r="O414" s="10">
        <v>6543.5835030549897</v>
      </c>
      <c r="P414" s="10">
        <v>6543.5835030549897</v>
      </c>
      <c r="Q414" s="10">
        <v>6543.5835030549897</v>
      </c>
      <c r="R414" s="10">
        <v>6543.5835030549897</v>
      </c>
      <c r="S414" s="10">
        <v>6543.5835030549897</v>
      </c>
      <c r="T414" s="10">
        <v>6543.5835030549897</v>
      </c>
      <c r="V414" t="s">
        <v>456</v>
      </c>
      <c r="W414" t="s">
        <v>1812</v>
      </c>
      <c r="X414" t="s">
        <v>1813</v>
      </c>
      <c r="Y414" t="s">
        <v>941</v>
      </c>
      <c r="Z414" t="s">
        <v>942</v>
      </c>
      <c r="AB414" t="s">
        <v>571</v>
      </c>
      <c r="AC414" t="s">
        <v>570</v>
      </c>
      <c r="AD414" t="s">
        <v>968</v>
      </c>
      <c r="AF414" t="s">
        <v>944</v>
      </c>
      <c r="AG414" t="s">
        <v>976</v>
      </c>
      <c r="AH414" t="s">
        <v>956</v>
      </c>
      <c r="AI414" t="s">
        <v>977</v>
      </c>
      <c r="AJ414" t="s">
        <v>948</v>
      </c>
      <c r="AK414">
        <v>11</v>
      </c>
      <c r="AL414" s="10">
        <v>502.3</v>
      </c>
      <c r="AM414" s="10">
        <v>654.4</v>
      </c>
      <c r="AN414" s="10">
        <v>1101.9000000000001</v>
      </c>
      <c r="AO414" s="9">
        <v>0.1960071817134281</v>
      </c>
      <c r="AP414" s="9">
        <v>25.6004</v>
      </c>
      <c r="AQ414" s="9">
        <v>0.46815068513551461</v>
      </c>
      <c r="AR414" s="9">
        <v>3.7200000000000006</v>
      </c>
      <c r="AS414" s="9">
        <v>4.1881506851355148</v>
      </c>
      <c r="AT414" s="9">
        <v>1.7203883561186737</v>
      </c>
      <c r="AU414" s="9">
        <v>8.6800000000000015</v>
      </c>
      <c r="AV414" s="9">
        <v>10.400388356118675</v>
      </c>
      <c r="AW414" s="11">
        <v>6.5435835030549896</v>
      </c>
      <c r="AX414" s="11">
        <v>6.5435835030549896</v>
      </c>
      <c r="AY414" t="s">
        <v>969</v>
      </c>
      <c r="AZ414" t="s">
        <v>950</v>
      </c>
      <c r="BA414" t="s">
        <v>951</v>
      </c>
      <c r="BB414" t="s">
        <v>970</v>
      </c>
      <c r="BC414" t="b">
        <v>1</v>
      </c>
    </row>
    <row r="415" spans="1:55">
      <c r="A415" t="s">
        <v>1814</v>
      </c>
      <c r="B415" t="s">
        <v>939</v>
      </c>
      <c r="C415">
        <v>2740300</v>
      </c>
      <c r="D415">
        <v>1490100</v>
      </c>
      <c r="E415">
        <v>2740300</v>
      </c>
      <c r="F415">
        <v>5554500</v>
      </c>
      <c r="G415" s="9">
        <v>8.0280588386984226E-3</v>
      </c>
      <c r="H415" s="9">
        <v>2.5518666678618122E-2</v>
      </c>
      <c r="I415" s="9">
        <v>3.827800001792718E-2</v>
      </c>
      <c r="J415" s="10">
        <v>109612</v>
      </c>
      <c r="K415" s="10">
        <v>108858.79310224672</v>
      </c>
      <c r="L415" s="10">
        <v>108105.58620449345</v>
      </c>
      <c r="M415" s="10">
        <v>107352.37930674019</v>
      </c>
      <c r="N415" s="10">
        <v>106599.17240898691</v>
      </c>
      <c r="O415" s="10">
        <v>105845.96551123365</v>
      </c>
      <c r="P415" s="10">
        <v>104339.5517157271</v>
      </c>
      <c r="Q415" s="10">
        <v>102833.13792022057</v>
      </c>
      <c r="R415" s="10">
        <v>101326.72412471402</v>
      </c>
      <c r="S415" s="10">
        <v>99820.310329207481</v>
      </c>
      <c r="T415" s="10">
        <v>98313.896533700943</v>
      </c>
      <c r="V415" t="s">
        <v>456</v>
      </c>
      <c r="W415" t="s">
        <v>1814</v>
      </c>
      <c r="X415" t="s">
        <v>1815</v>
      </c>
      <c r="Y415" t="s">
        <v>941</v>
      </c>
      <c r="Z415" t="s">
        <v>942</v>
      </c>
      <c r="AB415" t="s">
        <v>571</v>
      </c>
      <c r="AC415" t="s">
        <v>570</v>
      </c>
      <c r="AD415" t="s">
        <v>943</v>
      </c>
      <c r="AF415" t="s">
        <v>944</v>
      </c>
      <c r="AG415" t="s">
        <v>959</v>
      </c>
      <c r="AH415" t="s">
        <v>946</v>
      </c>
      <c r="AI415" t="s">
        <v>960</v>
      </c>
      <c r="AJ415" t="s">
        <v>948</v>
      </c>
      <c r="AK415">
        <v>50</v>
      </c>
      <c r="AL415" s="10">
        <v>1490.1</v>
      </c>
      <c r="AM415" s="10">
        <v>2740.3</v>
      </c>
      <c r="AN415" s="10">
        <v>5554.5</v>
      </c>
      <c r="AO415" s="9">
        <v>0.55849919033454676</v>
      </c>
      <c r="AP415" s="9">
        <v>72.945300000000003</v>
      </c>
      <c r="AQ415" s="9">
        <v>0.27805883869842252</v>
      </c>
      <c r="AR415" s="9">
        <v>7.7499999999999991</v>
      </c>
      <c r="AS415" s="9">
        <v>8.0280588386984224</v>
      </c>
      <c r="AT415" s="9">
        <v>1.9186666786181248</v>
      </c>
      <c r="AU415" s="9">
        <v>23.6</v>
      </c>
      <c r="AV415" s="9">
        <v>25.518666678618121</v>
      </c>
      <c r="AW415" s="11">
        <v>109.61199999999999</v>
      </c>
      <c r="AX415" s="11">
        <v>98.313896533700941</v>
      </c>
      <c r="AY415" t="s">
        <v>949</v>
      </c>
      <c r="AZ415" t="s">
        <v>950</v>
      </c>
      <c r="BA415" t="s">
        <v>951</v>
      </c>
      <c r="BB415" t="s">
        <v>952</v>
      </c>
      <c r="BC415" t="b">
        <v>1</v>
      </c>
    </row>
    <row r="416" spans="1:55">
      <c r="A416" t="s">
        <v>1816</v>
      </c>
      <c r="B416" t="s">
        <v>939</v>
      </c>
      <c r="C416">
        <v>13521200</v>
      </c>
      <c r="D416">
        <v>7352500</v>
      </c>
      <c r="E416">
        <v>13521200</v>
      </c>
      <c r="F416">
        <v>27406700</v>
      </c>
      <c r="G416" s="9">
        <v>1.4827982236625044E-2</v>
      </c>
      <c r="H416" s="9"/>
      <c r="I416" s="9"/>
      <c r="J416" s="10">
        <v>540848.00000000012</v>
      </c>
      <c r="K416" s="10">
        <v>537131.523298215</v>
      </c>
      <c r="L416" s="10">
        <v>533415.04659643001</v>
      </c>
      <c r="M416" s="10">
        <v>529698.5698946449</v>
      </c>
      <c r="N416" s="10">
        <v>525982.0931928599</v>
      </c>
      <c r="O416" s="10">
        <v>522265.61649107485</v>
      </c>
      <c r="P416" s="10">
        <v>514832.6630875048</v>
      </c>
      <c r="Q416" s="10">
        <v>507399.70968393475</v>
      </c>
      <c r="R416" s="10">
        <v>499966.75628036476</v>
      </c>
      <c r="S416" s="10">
        <v>492533.80287679465</v>
      </c>
      <c r="T416" s="10">
        <v>485100.84947322455</v>
      </c>
      <c r="V416" t="s">
        <v>456</v>
      </c>
      <c r="W416" t="s">
        <v>1816</v>
      </c>
      <c r="X416" t="s">
        <v>1817</v>
      </c>
      <c r="Y416" t="s">
        <v>941</v>
      </c>
      <c r="Z416" t="s">
        <v>942</v>
      </c>
      <c r="AB416" t="s">
        <v>571</v>
      </c>
      <c r="AC416" t="s">
        <v>570</v>
      </c>
      <c r="AD416" t="s">
        <v>943</v>
      </c>
      <c r="AF416" t="s">
        <v>944</v>
      </c>
      <c r="AG416" t="s">
        <v>945</v>
      </c>
      <c r="AH416" t="s">
        <v>946</v>
      </c>
      <c r="AI416" t="s">
        <v>947</v>
      </c>
      <c r="AJ416" t="s">
        <v>948</v>
      </c>
      <c r="AK416">
        <v>1</v>
      </c>
      <c r="AL416" s="10">
        <v>7352.5</v>
      </c>
      <c r="AM416" s="10">
        <v>13521.2</v>
      </c>
      <c r="AN416" s="10">
        <v>27406.7</v>
      </c>
      <c r="AO416" s="9">
        <v>1.30648995670299E-2</v>
      </c>
      <c r="AP416" s="9">
        <v>1.7063999999999999</v>
      </c>
      <c r="AQ416" s="9">
        <v>1.4518839450628469</v>
      </c>
      <c r="AR416" s="9">
        <v>13.376098291562201</v>
      </c>
      <c r="AS416" s="9">
        <v>14.827982236625044</v>
      </c>
      <c r="AT416" s="9"/>
      <c r="AU416" s="9"/>
      <c r="AV416" s="9"/>
      <c r="AW416" s="11">
        <v>540.84800000000007</v>
      </c>
      <c r="AX416" s="11">
        <v>485.10084947322457</v>
      </c>
      <c r="AY416" t="s">
        <v>949</v>
      </c>
      <c r="AZ416" t="s">
        <v>950</v>
      </c>
      <c r="BA416" t="s">
        <v>951</v>
      </c>
      <c r="BB416" t="s">
        <v>952</v>
      </c>
      <c r="BC416" t="b">
        <v>0</v>
      </c>
    </row>
    <row r="417" spans="1:55">
      <c r="A417" t="s">
        <v>1818</v>
      </c>
      <c r="B417" t="s">
        <v>939</v>
      </c>
      <c r="C417">
        <v>584000</v>
      </c>
      <c r="D417">
        <v>317600</v>
      </c>
      <c r="E417">
        <v>584000</v>
      </c>
      <c r="F417">
        <v>1183800</v>
      </c>
      <c r="G417" s="9">
        <v>8.5864647303783726E-3</v>
      </c>
      <c r="H417" s="9">
        <v>2.7623105356444033E-2</v>
      </c>
      <c r="I417" s="9">
        <v>4.1434658034666047E-2</v>
      </c>
      <c r="J417" s="10">
        <v>23360</v>
      </c>
      <c r="K417" s="10">
        <v>23199.480046605149</v>
      </c>
      <c r="L417" s="10">
        <v>23038.960093210295</v>
      </c>
      <c r="M417" s="10">
        <v>22878.440139815444</v>
      </c>
      <c r="N417" s="10">
        <v>22717.920186420597</v>
      </c>
      <c r="O417" s="10">
        <v>22557.400233025746</v>
      </c>
      <c r="P417" s="10">
        <v>22236.360326236041</v>
      </c>
      <c r="Q417" s="10">
        <v>21915.320419446343</v>
      </c>
      <c r="R417" s="10">
        <v>21594.280512656638</v>
      </c>
      <c r="S417" s="10">
        <v>21273.240605866937</v>
      </c>
      <c r="T417" s="10">
        <v>20952.200699077235</v>
      </c>
      <c r="V417" t="s">
        <v>456</v>
      </c>
      <c r="W417" t="s">
        <v>1818</v>
      </c>
      <c r="X417" t="s">
        <v>1819</v>
      </c>
      <c r="Y417" t="s">
        <v>941</v>
      </c>
      <c r="Z417" t="s">
        <v>942</v>
      </c>
      <c r="AB417" t="s">
        <v>571</v>
      </c>
      <c r="AC417" t="s">
        <v>570</v>
      </c>
      <c r="AD417" t="s">
        <v>943</v>
      </c>
      <c r="AF417" t="s">
        <v>944</v>
      </c>
      <c r="AG417" t="s">
        <v>965</v>
      </c>
      <c r="AH417" t="s">
        <v>956</v>
      </c>
      <c r="AI417" t="s">
        <v>960</v>
      </c>
      <c r="AJ417" t="s">
        <v>948</v>
      </c>
      <c r="AK417">
        <v>13</v>
      </c>
      <c r="AL417" s="10">
        <v>317.60000000000002</v>
      </c>
      <c r="AM417" s="10">
        <v>584</v>
      </c>
      <c r="AN417" s="10">
        <v>1183.8</v>
      </c>
      <c r="AO417" s="9">
        <v>0.119029626481994</v>
      </c>
      <c r="AP417" s="9">
        <v>15.546400000000002</v>
      </c>
      <c r="AQ417" s="9">
        <v>0.83646473037837377</v>
      </c>
      <c r="AR417" s="9">
        <v>7.7499999999999991</v>
      </c>
      <c r="AS417" s="9">
        <v>8.5864647303783723</v>
      </c>
      <c r="AT417" s="9">
        <v>4.0231053564440318</v>
      </c>
      <c r="AU417" s="9">
        <v>23.600000000000005</v>
      </c>
      <c r="AV417" s="9">
        <v>27.623105356444032</v>
      </c>
      <c r="AW417" s="11">
        <v>23.36</v>
      </c>
      <c r="AX417" s="11">
        <v>20.952200699077235</v>
      </c>
      <c r="AY417" t="s">
        <v>949</v>
      </c>
      <c r="AZ417" t="s">
        <v>950</v>
      </c>
      <c r="BA417" t="s">
        <v>951</v>
      </c>
      <c r="BB417" t="s">
        <v>952</v>
      </c>
      <c r="BC417" t="b">
        <v>1</v>
      </c>
    </row>
    <row r="418" spans="1:55">
      <c r="A418" t="s">
        <v>1820</v>
      </c>
      <c r="B418" t="s">
        <v>939</v>
      </c>
      <c r="C418">
        <v>422200</v>
      </c>
      <c r="D418">
        <v>229600</v>
      </c>
      <c r="E418">
        <v>422200</v>
      </c>
      <c r="F418">
        <v>855700</v>
      </c>
      <c r="G418" s="9">
        <v>9.7350651421470712E-3</v>
      </c>
      <c r="H418" s="9">
        <v>2.7480006954160675E-2</v>
      </c>
      <c r="I418" s="9">
        <v>4.1220010431241016E-2</v>
      </c>
      <c r="J418" s="10">
        <v>16887.999999999996</v>
      </c>
      <c r="K418" s="10">
        <v>16771.952869309407</v>
      </c>
      <c r="L418" s="10">
        <v>16655.905738618814</v>
      </c>
      <c r="M418" s="10">
        <v>16539.858607928221</v>
      </c>
      <c r="N418" s="10">
        <v>16423.811477237628</v>
      </c>
      <c r="O418" s="10">
        <v>16307.764346547036</v>
      </c>
      <c r="P418" s="10">
        <v>16075.67008516585</v>
      </c>
      <c r="Q418" s="10">
        <v>15843.575823784666</v>
      </c>
      <c r="R418" s="10">
        <v>15611.481562403482</v>
      </c>
      <c r="S418" s="10">
        <v>15379.387301022296</v>
      </c>
      <c r="T418" s="10">
        <v>15147.293039641112</v>
      </c>
      <c r="V418" t="s">
        <v>456</v>
      </c>
      <c r="W418" t="s">
        <v>1820</v>
      </c>
      <c r="X418" t="s">
        <v>1821</v>
      </c>
      <c r="Y418" t="s">
        <v>941</v>
      </c>
      <c r="Z418" t="s">
        <v>942</v>
      </c>
      <c r="AB418" t="s">
        <v>571</v>
      </c>
      <c r="AC418" t="s">
        <v>570</v>
      </c>
      <c r="AD418" t="s">
        <v>943</v>
      </c>
      <c r="AF418" t="s">
        <v>944</v>
      </c>
      <c r="AG418" t="s">
        <v>1042</v>
      </c>
      <c r="AH418" t="s">
        <v>988</v>
      </c>
      <c r="AI418" t="s">
        <v>960</v>
      </c>
      <c r="AJ418" t="s">
        <v>948</v>
      </c>
      <c r="AK418">
        <v>1</v>
      </c>
      <c r="AL418" s="10">
        <v>229.6</v>
      </c>
      <c r="AM418" s="10">
        <v>422.2</v>
      </c>
      <c r="AN418" s="10">
        <v>855.7</v>
      </c>
      <c r="AO418" s="9">
        <v>8.6038151895535903E-2</v>
      </c>
      <c r="AP418" s="9">
        <v>11.237399999999999</v>
      </c>
      <c r="AQ418" s="9">
        <v>1.9850651421470711</v>
      </c>
      <c r="AR418" s="9">
        <v>7.75</v>
      </c>
      <c r="AS418" s="9">
        <v>9.7350651421470715</v>
      </c>
      <c r="AT418" s="9">
        <v>3.8800069541606761</v>
      </c>
      <c r="AU418" s="9">
        <v>23.6</v>
      </c>
      <c r="AV418" s="9">
        <v>27.480006954160675</v>
      </c>
      <c r="AW418" s="11">
        <v>16.887999999999998</v>
      </c>
      <c r="AX418" s="11">
        <v>15.147293039641111</v>
      </c>
      <c r="AY418" t="s">
        <v>949</v>
      </c>
      <c r="AZ418" t="s">
        <v>950</v>
      </c>
      <c r="BA418" t="s">
        <v>951</v>
      </c>
      <c r="BB418" t="s">
        <v>952</v>
      </c>
      <c r="BC418" t="b">
        <v>1</v>
      </c>
    </row>
    <row r="419" spans="1:55">
      <c r="A419" t="s">
        <v>1822</v>
      </c>
      <c r="B419" t="s">
        <v>939</v>
      </c>
      <c r="C419">
        <v>6630400</v>
      </c>
      <c r="D419">
        <v>3605500</v>
      </c>
      <c r="E419">
        <v>6630400</v>
      </c>
      <c r="F419">
        <v>13439500</v>
      </c>
      <c r="G419" s="9">
        <v>1.5061065976616916E-2</v>
      </c>
      <c r="H419" s="9"/>
      <c r="I419" s="9"/>
      <c r="J419" s="10">
        <v>265216</v>
      </c>
      <c r="K419" s="10">
        <v>265216</v>
      </c>
      <c r="L419" s="10">
        <v>265216</v>
      </c>
      <c r="M419" s="10">
        <v>265216</v>
      </c>
      <c r="N419" s="10">
        <v>265216</v>
      </c>
      <c r="O419" s="10">
        <v>265216</v>
      </c>
      <c r="P419" s="10">
        <v>265216</v>
      </c>
      <c r="Q419" s="10">
        <v>265216</v>
      </c>
      <c r="R419" s="10">
        <v>265216</v>
      </c>
      <c r="S419" s="10">
        <v>265216</v>
      </c>
      <c r="T419" s="10">
        <v>265216</v>
      </c>
      <c r="V419" t="s">
        <v>456</v>
      </c>
      <c r="W419" t="s">
        <v>1822</v>
      </c>
      <c r="X419" t="s">
        <v>1823</v>
      </c>
      <c r="Y419" t="s">
        <v>941</v>
      </c>
      <c r="Z419" t="s">
        <v>942</v>
      </c>
      <c r="AB419" t="s">
        <v>69</v>
      </c>
      <c r="AC419" t="s">
        <v>69</v>
      </c>
      <c r="AD419" t="s">
        <v>943</v>
      </c>
      <c r="AF419" t="s">
        <v>944</v>
      </c>
      <c r="AG419" t="s">
        <v>945</v>
      </c>
      <c r="AH419" t="s">
        <v>946</v>
      </c>
      <c r="AI419" t="s">
        <v>947</v>
      </c>
      <c r="AJ419" t="s">
        <v>948</v>
      </c>
      <c r="AK419">
        <v>1</v>
      </c>
      <c r="AL419" s="10">
        <v>3605.5</v>
      </c>
      <c r="AM419" s="10">
        <v>6630.4</v>
      </c>
      <c r="AN419" s="10">
        <v>13439.5</v>
      </c>
      <c r="AO419" s="9">
        <v>1</v>
      </c>
      <c r="AP419" s="9">
        <v>1.7255</v>
      </c>
      <c r="AQ419" s="9">
        <v>0.23398889953984109</v>
      </c>
      <c r="AR419" s="9">
        <v>14.827077077077076</v>
      </c>
      <c r="AS419" s="9">
        <v>15.061065976616916</v>
      </c>
      <c r="AT419" s="9"/>
      <c r="AU419" s="9"/>
      <c r="AV419" s="9"/>
      <c r="AW419" s="11">
        <v>265.21600000000001</v>
      </c>
      <c r="AX419" s="11">
        <v>265.21600000000001</v>
      </c>
      <c r="AY419" t="s">
        <v>949</v>
      </c>
      <c r="AZ419" t="s">
        <v>950</v>
      </c>
      <c r="BA419" t="s">
        <v>951</v>
      </c>
      <c r="BB419" t="s">
        <v>952</v>
      </c>
      <c r="BC419" t="b">
        <v>0</v>
      </c>
    </row>
    <row r="420" spans="1:55">
      <c r="A420" t="s">
        <v>1824</v>
      </c>
      <c r="B420" t="s">
        <v>939</v>
      </c>
      <c r="C420">
        <v>54734900</v>
      </c>
      <c r="D420">
        <v>42010700</v>
      </c>
      <c r="E420">
        <v>54734900</v>
      </c>
      <c r="F420">
        <v>92158300</v>
      </c>
      <c r="G420" s="9">
        <v>9.5976899419429156E-3</v>
      </c>
      <c r="H420" s="9">
        <v>2.4119941687060217E-2</v>
      </c>
      <c r="I420" s="9">
        <v>3.6179912530590323E-2</v>
      </c>
      <c r="J420" s="10">
        <v>174476.950823992</v>
      </c>
      <c r="K420" s="10">
        <v>174476.950823992</v>
      </c>
      <c r="L420" s="10">
        <v>174476.950823992</v>
      </c>
      <c r="M420" s="10">
        <v>174476.950823992</v>
      </c>
      <c r="N420" s="10">
        <v>174476.950823992</v>
      </c>
      <c r="O420" s="10">
        <v>174476.950823992</v>
      </c>
      <c r="P420" s="10">
        <v>174476.950823992</v>
      </c>
      <c r="Q420" s="10">
        <v>174476.950823992</v>
      </c>
      <c r="R420" s="10">
        <v>174476.950823992</v>
      </c>
      <c r="S420" s="10">
        <v>174476.950823992</v>
      </c>
      <c r="T420" s="10">
        <v>174476.950823992</v>
      </c>
      <c r="V420" t="s">
        <v>456</v>
      </c>
      <c r="W420" t="s">
        <v>1824</v>
      </c>
      <c r="X420" t="s">
        <v>1825</v>
      </c>
      <c r="Y420" t="s">
        <v>941</v>
      </c>
      <c r="Z420" t="s">
        <v>942</v>
      </c>
      <c r="AB420" t="s">
        <v>573</v>
      </c>
      <c r="AC420" t="s">
        <v>572</v>
      </c>
      <c r="AD420" t="s">
        <v>968</v>
      </c>
      <c r="AF420" t="s">
        <v>944</v>
      </c>
      <c r="AG420" t="s">
        <v>945</v>
      </c>
      <c r="AH420" t="s">
        <v>946</v>
      </c>
      <c r="AI420" t="s">
        <v>947</v>
      </c>
      <c r="AJ420" t="s">
        <v>948</v>
      </c>
      <c r="AK420">
        <v>2</v>
      </c>
      <c r="AL420" s="10">
        <v>42010.7</v>
      </c>
      <c r="AM420" s="10">
        <v>54734.9</v>
      </c>
      <c r="AN420" s="10">
        <v>92158.3</v>
      </c>
      <c r="AO420" s="9">
        <v>0.2000224375155259</v>
      </c>
      <c r="AP420" s="9">
        <v>2.4961000000000002</v>
      </c>
      <c r="AQ420" s="9">
        <v>1.5138548491007944</v>
      </c>
      <c r="AR420" s="9">
        <v>8.0838350928421221</v>
      </c>
      <c r="AS420" s="9">
        <v>9.5976899419429156</v>
      </c>
      <c r="AT420" s="9">
        <v>1.2515188621127875</v>
      </c>
      <c r="AU420" s="9">
        <v>22.86842282494743</v>
      </c>
      <c r="AV420" s="9">
        <v>24.119941687060216</v>
      </c>
      <c r="AW420" s="11">
        <v>174.47695082399198</v>
      </c>
      <c r="AX420" s="11">
        <v>174.47695082399198</v>
      </c>
      <c r="AY420" t="s">
        <v>969</v>
      </c>
      <c r="AZ420" t="s">
        <v>950</v>
      </c>
      <c r="BA420" t="s">
        <v>951</v>
      </c>
      <c r="BB420" t="s">
        <v>970</v>
      </c>
      <c r="BC420" t="b">
        <v>1</v>
      </c>
    </row>
    <row r="421" spans="1:55">
      <c r="A421" t="s">
        <v>1826</v>
      </c>
      <c r="B421" t="s">
        <v>939</v>
      </c>
      <c r="C421">
        <v>7881000</v>
      </c>
      <c r="D421">
        <v>6048900</v>
      </c>
      <c r="E421">
        <v>7881000</v>
      </c>
      <c r="F421">
        <v>13269400</v>
      </c>
      <c r="G421" s="9">
        <v>1.2262823545404944E-2</v>
      </c>
      <c r="H421" s="9">
        <v>3.1275000095565941E-2</v>
      </c>
      <c r="I421" s="9">
        <v>4.6912500143348912E-2</v>
      </c>
      <c r="J421" s="10">
        <v>25122.049176008008</v>
      </c>
      <c r="K421" s="10">
        <v>25122.049176008008</v>
      </c>
      <c r="L421" s="10">
        <v>25122.049176008008</v>
      </c>
      <c r="M421" s="10">
        <v>25122.049176008008</v>
      </c>
      <c r="N421" s="10">
        <v>25122.049176008008</v>
      </c>
      <c r="O421" s="10">
        <v>25122.049176008008</v>
      </c>
      <c r="P421" s="10">
        <v>25122.049176008008</v>
      </c>
      <c r="Q421" s="10">
        <v>25122.049176008008</v>
      </c>
      <c r="R421" s="10">
        <v>25122.049176008008</v>
      </c>
      <c r="S421" s="10">
        <v>25122.049176008008</v>
      </c>
      <c r="T421" s="10">
        <v>25122.049176008008</v>
      </c>
      <c r="V421" t="s">
        <v>456</v>
      </c>
      <c r="W421" t="s">
        <v>1826</v>
      </c>
      <c r="X421" t="s">
        <v>1827</v>
      </c>
      <c r="Y421" t="s">
        <v>941</v>
      </c>
      <c r="Z421" t="s">
        <v>942</v>
      </c>
      <c r="AB421" t="s">
        <v>573</v>
      </c>
      <c r="AC421" t="s">
        <v>572</v>
      </c>
      <c r="AD421" t="s">
        <v>968</v>
      </c>
      <c r="AF421" t="s">
        <v>944</v>
      </c>
      <c r="AG421" t="s">
        <v>955</v>
      </c>
      <c r="AH421" t="s">
        <v>956</v>
      </c>
      <c r="AI421" t="s">
        <v>947</v>
      </c>
      <c r="AJ421" t="s">
        <v>948</v>
      </c>
      <c r="AK421">
        <v>1</v>
      </c>
      <c r="AL421" s="10">
        <v>6048.9</v>
      </c>
      <c r="AM421" s="10">
        <v>7881</v>
      </c>
      <c r="AN421" s="10">
        <v>13269.4</v>
      </c>
      <c r="AO421" s="9">
        <v>2.8800153857249301E-2</v>
      </c>
      <c r="AP421" s="9">
        <v>0.3594</v>
      </c>
      <c r="AQ421" s="9">
        <v>4.1789884525628214</v>
      </c>
      <c r="AR421" s="9">
        <v>8.0838350928421221</v>
      </c>
      <c r="AS421" s="9">
        <v>12.262823545404943</v>
      </c>
      <c r="AT421" s="9">
        <v>8.4065772706185111</v>
      </c>
      <c r="AU421" s="9">
        <v>22.868422824947437</v>
      </c>
      <c r="AV421" s="9">
        <v>31.27500009556594</v>
      </c>
      <c r="AW421" s="11">
        <v>25.122049176008009</v>
      </c>
      <c r="AX421" s="11">
        <v>25.122049176008009</v>
      </c>
      <c r="AY421" t="s">
        <v>969</v>
      </c>
      <c r="AZ421" t="s">
        <v>950</v>
      </c>
      <c r="BA421" t="s">
        <v>951</v>
      </c>
      <c r="BB421" t="s">
        <v>970</v>
      </c>
      <c r="BC421" t="b">
        <v>1</v>
      </c>
    </row>
    <row r="422" spans="1:55">
      <c r="A422" t="s">
        <v>1828</v>
      </c>
      <c r="B422" t="s">
        <v>939</v>
      </c>
      <c r="C422">
        <v>11039100</v>
      </c>
      <c r="D422">
        <v>6002800</v>
      </c>
      <c r="E422">
        <v>11039100</v>
      </c>
      <c r="F422">
        <v>22375500</v>
      </c>
      <c r="G422" s="9">
        <v>7.9583334635027689E-3</v>
      </c>
      <c r="H422" s="9">
        <v>2.4659305134902842E-2</v>
      </c>
      <c r="I422" s="9">
        <v>3.6988957702354261E-2</v>
      </c>
      <c r="J422" s="10">
        <v>441564</v>
      </c>
      <c r="K422" s="10">
        <v>432104.50984779181</v>
      </c>
      <c r="L422" s="10">
        <v>422645.01969558356</v>
      </c>
      <c r="M422" s="10">
        <v>413185.52954337542</v>
      </c>
      <c r="N422" s="10">
        <v>403726.03939116723</v>
      </c>
      <c r="O422" s="10">
        <v>394266.54923895898</v>
      </c>
      <c r="P422" s="10">
        <v>375347.56893454253</v>
      </c>
      <c r="Q422" s="10">
        <v>356428.58863012615</v>
      </c>
      <c r="R422" s="10">
        <v>337509.60832570976</v>
      </c>
      <c r="S422" s="10">
        <v>318590.62802129338</v>
      </c>
      <c r="T422" s="10">
        <v>299671.64771687693</v>
      </c>
      <c r="V422" t="s">
        <v>456</v>
      </c>
      <c r="W422" t="s">
        <v>1828</v>
      </c>
      <c r="X422" t="s">
        <v>1829</v>
      </c>
      <c r="Y422" t="s">
        <v>941</v>
      </c>
      <c r="Z422" t="s">
        <v>942</v>
      </c>
      <c r="AB422" t="s">
        <v>573</v>
      </c>
      <c r="AC422" t="s">
        <v>572</v>
      </c>
      <c r="AD422" t="s">
        <v>943</v>
      </c>
      <c r="AF422" t="s">
        <v>944</v>
      </c>
      <c r="AG422" t="s">
        <v>959</v>
      </c>
      <c r="AH422" t="s">
        <v>946</v>
      </c>
      <c r="AI422" t="s">
        <v>960</v>
      </c>
      <c r="AJ422" t="s">
        <v>948</v>
      </c>
      <c r="AK422">
        <v>8</v>
      </c>
      <c r="AL422" s="10">
        <v>6002.8</v>
      </c>
      <c r="AM422" s="10">
        <v>11039.1</v>
      </c>
      <c r="AN422" s="10">
        <v>22375.5</v>
      </c>
      <c r="AO422" s="9">
        <v>0.62319398033512019</v>
      </c>
      <c r="AP422" s="9">
        <v>7.7768999999999986</v>
      </c>
      <c r="AQ422" s="9">
        <v>0.2083334635027678</v>
      </c>
      <c r="AR422" s="9">
        <v>7.7500000000000009</v>
      </c>
      <c r="AS422" s="9">
        <v>7.9583334635027683</v>
      </c>
      <c r="AT422" s="9">
        <v>1.0593051349028346</v>
      </c>
      <c r="AU422" s="9">
        <v>23.599999999999994</v>
      </c>
      <c r="AV422" s="9">
        <v>24.659305134902841</v>
      </c>
      <c r="AW422" s="11">
        <v>441.56400000000002</v>
      </c>
      <c r="AX422" s="11">
        <v>299.67164771687692</v>
      </c>
      <c r="AY422" t="s">
        <v>949</v>
      </c>
      <c r="AZ422" t="s">
        <v>950</v>
      </c>
      <c r="BA422" t="s">
        <v>951</v>
      </c>
      <c r="BB422" t="s">
        <v>952</v>
      </c>
      <c r="BC422" t="b">
        <v>1</v>
      </c>
    </row>
    <row r="423" spans="1:55">
      <c r="A423" t="s">
        <v>1830</v>
      </c>
      <c r="B423" t="s">
        <v>939</v>
      </c>
      <c r="C423">
        <v>2621300</v>
      </c>
      <c r="D423">
        <v>1425400</v>
      </c>
      <c r="E423">
        <v>2621300</v>
      </c>
      <c r="F423">
        <v>5313300</v>
      </c>
      <c r="G423" s="9">
        <v>1.0436978473174896E-2</v>
      </c>
      <c r="H423" s="9">
        <v>2.8658982523434632E-2</v>
      </c>
      <c r="I423" s="9">
        <v>4.298847378515195E-2</v>
      </c>
      <c r="J423" s="10">
        <v>104852</v>
      </c>
      <c r="K423" s="10">
        <v>102605.78776023559</v>
      </c>
      <c r="L423" s="10">
        <v>100359.57552047117</v>
      </c>
      <c r="M423" s="10">
        <v>98113.363280706748</v>
      </c>
      <c r="N423" s="10">
        <v>95867.151040942335</v>
      </c>
      <c r="O423" s="10">
        <v>93620.938801177908</v>
      </c>
      <c r="P423" s="10">
        <v>89128.514321649083</v>
      </c>
      <c r="Q423" s="10">
        <v>84636.089842120258</v>
      </c>
      <c r="R423" s="10">
        <v>80143.665362591419</v>
      </c>
      <c r="S423" s="10">
        <v>75651.240883062579</v>
      </c>
      <c r="T423" s="10">
        <v>71158.816403533754</v>
      </c>
      <c r="V423" t="s">
        <v>456</v>
      </c>
      <c r="W423" t="s">
        <v>1830</v>
      </c>
      <c r="X423" t="s">
        <v>1831</v>
      </c>
      <c r="Y423" t="s">
        <v>941</v>
      </c>
      <c r="Z423" t="s">
        <v>942</v>
      </c>
      <c r="AB423" t="s">
        <v>573</v>
      </c>
      <c r="AC423" t="s">
        <v>572</v>
      </c>
      <c r="AD423" t="s">
        <v>943</v>
      </c>
      <c r="AF423" t="s">
        <v>944</v>
      </c>
      <c r="AG423" t="s">
        <v>965</v>
      </c>
      <c r="AH423" t="s">
        <v>956</v>
      </c>
      <c r="AI423" t="s">
        <v>960</v>
      </c>
      <c r="AJ423" t="s">
        <v>948</v>
      </c>
      <c r="AK423">
        <v>3</v>
      </c>
      <c r="AL423" s="10">
        <v>1425.4</v>
      </c>
      <c r="AM423" s="10">
        <v>2621.3000000000002</v>
      </c>
      <c r="AN423" s="10">
        <v>5313.3</v>
      </c>
      <c r="AO423" s="9">
        <v>0.1479834282921044</v>
      </c>
      <c r="AP423" s="9">
        <v>1.8467</v>
      </c>
      <c r="AQ423" s="9">
        <v>2.6869784731748938</v>
      </c>
      <c r="AR423" s="9">
        <v>7.75</v>
      </c>
      <c r="AS423" s="9">
        <v>10.436978473174896</v>
      </c>
      <c r="AT423" s="9">
        <v>5.0589825234346302</v>
      </c>
      <c r="AU423" s="9">
        <v>23.6</v>
      </c>
      <c r="AV423" s="9">
        <v>28.658982523434631</v>
      </c>
      <c r="AW423" s="11">
        <v>104.852</v>
      </c>
      <c r="AX423" s="11">
        <v>71.158816403533748</v>
      </c>
      <c r="AY423" t="s">
        <v>949</v>
      </c>
      <c r="AZ423" t="s">
        <v>950</v>
      </c>
      <c r="BA423" t="s">
        <v>951</v>
      </c>
      <c r="BB423" t="s">
        <v>952</v>
      </c>
      <c r="BC423" t="b">
        <v>1</v>
      </c>
    </row>
    <row r="424" spans="1:55">
      <c r="A424" t="s">
        <v>1832</v>
      </c>
      <c r="B424" t="s">
        <v>939</v>
      </c>
      <c r="C424">
        <v>250000</v>
      </c>
      <c r="D424">
        <v>250000</v>
      </c>
      <c r="E424">
        <v>250000</v>
      </c>
      <c r="F424">
        <v>250000</v>
      </c>
      <c r="G424" s="9">
        <v>8.7171311927608883E-3</v>
      </c>
      <c r="H424" s="9"/>
      <c r="I424" s="9"/>
      <c r="J424" s="10">
        <v>2500</v>
      </c>
      <c r="K424" s="10">
        <v>2500</v>
      </c>
      <c r="L424" s="10">
        <v>2500</v>
      </c>
      <c r="M424" s="10">
        <v>2500</v>
      </c>
      <c r="N424" s="10">
        <v>2500</v>
      </c>
      <c r="O424" s="10">
        <v>2500</v>
      </c>
      <c r="P424" s="10">
        <v>2500</v>
      </c>
      <c r="Q424" s="10">
        <v>2500</v>
      </c>
      <c r="R424" s="10">
        <v>2500</v>
      </c>
      <c r="S424" s="10">
        <v>2500</v>
      </c>
      <c r="T424" s="10">
        <v>2500</v>
      </c>
      <c r="V424" t="s">
        <v>456</v>
      </c>
      <c r="W424" t="s">
        <v>1832</v>
      </c>
      <c r="X424" t="s">
        <v>1833</v>
      </c>
      <c r="Y424" t="s">
        <v>941</v>
      </c>
      <c r="Z424" t="s">
        <v>942</v>
      </c>
      <c r="AB424" t="s">
        <v>575</v>
      </c>
      <c r="AC424" t="s">
        <v>574</v>
      </c>
      <c r="AD424" t="s">
        <v>968</v>
      </c>
      <c r="AF424" t="s">
        <v>944</v>
      </c>
      <c r="AG424" t="s">
        <v>965</v>
      </c>
      <c r="AH424" t="s">
        <v>956</v>
      </c>
      <c r="AI424" t="s">
        <v>960</v>
      </c>
      <c r="AJ424" t="s">
        <v>948</v>
      </c>
      <c r="AK424">
        <v>1</v>
      </c>
      <c r="AL424" s="10">
        <v>250</v>
      </c>
      <c r="AM424" s="10">
        <v>250</v>
      </c>
      <c r="AN424" s="10">
        <v>250</v>
      </c>
      <c r="AO424" s="9">
        <v>0</v>
      </c>
      <c r="AP424" s="9">
        <v>0</v>
      </c>
      <c r="AQ424" s="9">
        <v>2.7171311927608888</v>
      </c>
      <c r="AR424" s="9">
        <v>6</v>
      </c>
      <c r="AS424" s="9">
        <v>8.7171311927608883</v>
      </c>
      <c r="AT424" s="9"/>
      <c r="AU424" s="9"/>
      <c r="AV424" s="9"/>
      <c r="AW424" s="11">
        <v>2.5</v>
      </c>
      <c r="AX424" s="11">
        <v>2.5</v>
      </c>
      <c r="AY424" t="s">
        <v>969</v>
      </c>
      <c r="AZ424" t="b">
        <v>0</v>
      </c>
      <c r="BA424" t="s">
        <v>1087</v>
      </c>
      <c r="BB424" t="s">
        <v>1088</v>
      </c>
      <c r="BC424" t="b">
        <v>0</v>
      </c>
    </row>
    <row r="425" spans="1:55">
      <c r="A425" t="s">
        <v>1834</v>
      </c>
      <c r="B425" t="s">
        <v>939</v>
      </c>
      <c r="C425">
        <v>118800</v>
      </c>
      <c r="D425">
        <v>91200</v>
      </c>
      <c r="E425">
        <v>118800</v>
      </c>
      <c r="F425">
        <v>200000</v>
      </c>
      <c r="G425" s="9">
        <v>4.2596571848223363E-3</v>
      </c>
      <c r="H425" s="9">
        <v>1.0494591283436891E-2</v>
      </c>
      <c r="I425" s="9">
        <v>1.5741886925155338E-2</v>
      </c>
      <c r="J425" s="10">
        <v>4752</v>
      </c>
      <c r="K425" s="10">
        <v>4752</v>
      </c>
      <c r="L425" s="10">
        <v>4752</v>
      </c>
      <c r="M425" s="10">
        <v>4752</v>
      </c>
      <c r="N425" s="10">
        <v>4752</v>
      </c>
      <c r="O425" s="10">
        <v>4752</v>
      </c>
      <c r="P425" s="10">
        <v>4752</v>
      </c>
      <c r="Q425" s="10">
        <v>4752</v>
      </c>
      <c r="R425" s="10">
        <v>4752</v>
      </c>
      <c r="S425" s="10">
        <v>4752</v>
      </c>
      <c r="T425" s="10">
        <v>4752</v>
      </c>
      <c r="V425" t="s">
        <v>456</v>
      </c>
      <c r="W425" t="s">
        <v>1834</v>
      </c>
      <c r="X425" t="s">
        <v>1835</v>
      </c>
      <c r="Y425" t="s">
        <v>941</v>
      </c>
      <c r="Z425" t="s">
        <v>942</v>
      </c>
      <c r="AB425" t="s">
        <v>577</v>
      </c>
      <c r="AC425" t="s">
        <v>576</v>
      </c>
      <c r="AD425" t="s">
        <v>968</v>
      </c>
      <c r="AF425" t="s">
        <v>944</v>
      </c>
      <c r="AG425" t="s">
        <v>999</v>
      </c>
      <c r="AH425" t="s">
        <v>946</v>
      </c>
      <c r="AI425" t="s">
        <v>977</v>
      </c>
      <c r="AJ425" t="s">
        <v>948</v>
      </c>
      <c r="AK425">
        <v>5</v>
      </c>
      <c r="AL425" s="10">
        <v>91.2</v>
      </c>
      <c r="AM425" s="10">
        <v>118.8</v>
      </c>
      <c r="AN425" s="10">
        <v>200</v>
      </c>
      <c r="AO425" s="9">
        <v>1</v>
      </c>
      <c r="AP425" s="9">
        <v>3.5888</v>
      </c>
      <c r="AQ425" s="9">
        <v>0.53965718482233449</v>
      </c>
      <c r="AR425" s="9">
        <v>3.7200000000000006</v>
      </c>
      <c r="AS425" s="9">
        <v>4.2596571848223359</v>
      </c>
      <c r="AT425" s="9">
        <v>1.814591283436892</v>
      </c>
      <c r="AU425" s="9">
        <v>8.6800000000000033</v>
      </c>
      <c r="AV425" s="9">
        <v>10.494591283436892</v>
      </c>
      <c r="AW425" s="11">
        <v>4.7519999999999998</v>
      </c>
      <c r="AX425" s="11">
        <v>4.7519999999999998</v>
      </c>
      <c r="AY425" t="s">
        <v>969</v>
      </c>
      <c r="AZ425" t="s">
        <v>950</v>
      </c>
      <c r="BA425" t="s">
        <v>951</v>
      </c>
      <c r="BB425" t="s">
        <v>952</v>
      </c>
      <c r="BC425" t="b">
        <v>1</v>
      </c>
    </row>
    <row r="426" spans="1:55">
      <c r="A426" t="s">
        <v>1836</v>
      </c>
      <c r="B426" t="s">
        <v>939</v>
      </c>
      <c r="C426">
        <v>244300</v>
      </c>
      <c r="D426">
        <v>132900</v>
      </c>
      <c r="E426">
        <v>244300</v>
      </c>
      <c r="F426">
        <v>495300</v>
      </c>
      <c r="G426" s="9">
        <v>8.0007810912640503E-3</v>
      </c>
      <c r="H426" s="9">
        <v>2.4174690663434285E-2</v>
      </c>
      <c r="I426" s="9">
        <v>3.6262035995151432E-2</v>
      </c>
      <c r="J426" s="10">
        <v>9772</v>
      </c>
      <c r="K426" s="10">
        <v>9646.5202893309197</v>
      </c>
      <c r="L426" s="10">
        <v>9521.0405786618358</v>
      </c>
      <c r="M426" s="10">
        <v>9395.5608679927554</v>
      </c>
      <c r="N426" s="10">
        <v>9270.0811573236733</v>
      </c>
      <c r="O426" s="10">
        <v>9144.6014466545912</v>
      </c>
      <c r="P426" s="10">
        <v>8893.642025316427</v>
      </c>
      <c r="Q426" s="10">
        <v>8642.6826039782627</v>
      </c>
      <c r="R426" s="10">
        <v>8391.7231826400985</v>
      </c>
      <c r="S426" s="10">
        <v>8140.7637613019351</v>
      </c>
      <c r="T426" s="10">
        <v>7889.8043399637718</v>
      </c>
      <c r="V426" t="s">
        <v>456</v>
      </c>
      <c r="W426" t="s">
        <v>1836</v>
      </c>
      <c r="X426" t="s">
        <v>1837</v>
      </c>
      <c r="Y426" t="s">
        <v>941</v>
      </c>
      <c r="Z426" t="s">
        <v>942</v>
      </c>
      <c r="AB426" t="s">
        <v>579</v>
      </c>
      <c r="AC426" t="s">
        <v>578</v>
      </c>
      <c r="AD426" t="s">
        <v>943</v>
      </c>
      <c r="AF426" t="s">
        <v>944</v>
      </c>
      <c r="AG426" t="s">
        <v>959</v>
      </c>
      <c r="AH426" t="s">
        <v>946</v>
      </c>
      <c r="AI426" t="s">
        <v>960</v>
      </c>
      <c r="AJ426" t="s">
        <v>948</v>
      </c>
      <c r="AK426">
        <v>3</v>
      </c>
      <c r="AL426" s="10">
        <v>132.9</v>
      </c>
      <c r="AM426" s="10">
        <v>244.3</v>
      </c>
      <c r="AN426" s="10">
        <v>495.3</v>
      </c>
      <c r="AO426" s="9">
        <v>0.10743298788894851</v>
      </c>
      <c r="AP426" s="9">
        <v>1.6597</v>
      </c>
      <c r="AQ426" s="9">
        <v>0.2507810912640504</v>
      </c>
      <c r="AR426" s="9">
        <v>7.75</v>
      </c>
      <c r="AS426" s="9">
        <v>8.0007810912640505</v>
      </c>
      <c r="AT426" s="9">
        <v>0.57469066343428377</v>
      </c>
      <c r="AU426" s="9">
        <v>23.6</v>
      </c>
      <c r="AV426" s="9">
        <v>24.174690663434287</v>
      </c>
      <c r="AW426" s="11">
        <v>9.7720000000000002</v>
      </c>
      <c r="AX426" s="11">
        <v>7.8898043399637716</v>
      </c>
      <c r="AY426" t="s">
        <v>949</v>
      </c>
      <c r="AZ426" t="s">
        <v>950</v>
      </c>
      <c r="BA426" t="s">
        <v>951</v>
      </c>
      <c r="BB426" t="s">
        <v>952</v>
      </c>
      <c r="BC426" t="b">
        <v>1</v>
      </c>
    </row>
    <row r="427" spans="1:55">
      <c r="A427" t="s">
        <v>1838</v>
      </c>
      <c r="B427" t="s">
        <v>939</v>
      </c>
      <c r="C427">
        <v>17581200</v>
      </c>
      <c r="D427">
        <v>9560300</v>
      </c>
      <c r="E427">
        <v>17581200</v>
      </c>
      <c r="F427">
        <v>35636000</v>
      </c>
      <c r="G427" s="9">
        <v>1.6136160041681752E-2</v>
      </c>
      <c r="H427" s="9">
        <v>4.9007489566747803E-2</v>
      </c>
      <c r="I427" s="9">
        <v>7.3511234350121704E-2</v>
      </c>
      <c r="J427" s="10">
        <v>703248</v>
      </c>
      <c r="K427" s="10">
        <v>694217.77532044519</v>
      </c>
      <c r="L427" s="10">
        <v>685187.55064089026</v>
      </c>
      <c r="M427" s="10">
        <v>676157.32596133533</v>
      </c>
      <c r="N427" s="10">
        <v>667127.1012817804</v>
      </c>
      <c r="O427" s="10">
        <v>658096.87660222547</v>
      </c>
      <c r="P427" s="10">
        <v>640036.42724311561</v>
      </c>
      <c r="Q427" s="10">
        <v>621975.97788400587</v>
      </c>
      <c r="R427" s="10">
        <v>603915.52852489613</v>
      </c>
      <c r="S427" s="10">
        <v>585855.07916578627</v>
      </c>
      <c r="T427" s="10">
        <v>567794.62980667641</v>
      </c>
      <c r="V427" t="s">
        <v>456</v>
      </c>
      <c r="W427" t="s">
        <v>1838</v>
      </c>
      <c r="X427" t="s">
        <v>1839</v>
      </c>
      <c r="Y427" t="s">
        <v>941</v>
      </c>
      <c r="Z427" t="s">
        <v>942</v>
      </c>
      <c r="AB427" t="s">
        <v>579</v>
      </c>
      <c r="AC427" t="s">
        <v>578</v>
      </c>
      <c r="AD427" t="s">
        <v>943</v>
      </c>
      <c r="AF427" t="s">
        <v>944</v>
      </c>
      <c r="AG427" t="s">
        <v>945</v>
      </c>
      <c r="AH427" t="s">
        <v>946</v>
      </c>
      <c r="AI427" t="s">
        <v>947</v>
      </c>
      <c r="AJ427" t="s">
        <v>948</v>
      </c>
      <c r="AK427">
        <v>1</v>
      </c>
      <c r="AL427" s="10">
        <v>9560.2999999999993</v>
      </c>
      <c r="AM427" s="10">
        <v>17581.2</v>
      </c>
      <c r="AN427" s="10">
        <v>35636</v>
      </c>
      <c r="AO427" s="9">
        <v>9.0622511926568994E-3</v>
      </c>
      <c r="AP427" s="9">
        <v>0.14000000000000001</v>
      </c>
      <c r="AQ427" s="9">
        <v>2.1739484469575001</v>
      </c>
      <c r="AR427" s="9">
        <v>13.96221159472425</v>
      </c>
      <c r="AS427" s="9">
        <v>16.136160041681752</v>
      </c>
      <c r="AT427" s="9">
        <v>3.0435278257405001</v>
      </c>
      <c r="AU427" s="9">
        <v>45.963961741007303</v>
      </c>
      <c r="AV427" s="9">
        <v>49.0074895667478</v>
      </c>
      <c r="AW427" s="11">
        <v>703.24800000000005</v>
      </c>
      <c r="AX427" s="11">
        <v>567.79462980667643</v>
      </c>
      <c r="AY427" t="s">
        <v>949</v>
      </c>
      <c r="AZ427" t="s">
        <v>950</v>
      </c>
      <c r="BA427" t="s">
        <v>951</v>
      </c>
      <c r="BB427" t="s">
        <v>952</v>
      </c>
      <c r="BC427" t="b">
        <v>1</v>
      </c>
    </row>
    <row r="428" spans="1:55">
      <c r="A428" t="s">
        <v>1840</v>
      </c>
      <c r="B428" t="s">
        <v>939</v>
      </c>
      <c r="C428">
        <v>2009400</v>
      </c>
      <c r="D428">
        <v>1092700</v>
      </c>
      <c r="E428">
        <v>2009400</v>
      </c>
      <c r="F428">
        <v>4072900</v>
      </c>
      <c r="G428" s="9">
        <v>8.8049800675832623E-3</v>
      </c>
      <c r="H428" s="9">
        <v>2.9057095488530384E-2</v>
      </c>
      <c r="I428" s="9">
        <v>4.3585643232795575E-2</v>
      </c>
      <c r="J428" s="10">
        <v>80376</v>
      </c>
      <c r="K428" s="10">
        <v>79343.912686784883</v>
      </c>
      <c r="L428" s="10">
        <v>78311.82537356978</v>
      </c>
      <c r="M428" s="10">
        <v>77279.738060354648</v>
      </c>
      <c r="N428" s="10">
        <v>76247.650747139531</v>
      </c>
      <c r="O428" s="10">
        <v>75215.563433924413</v>
      </c>
      <c r="P428" s="10">
        <v>73151.388807494193</v>
      </c>
      <c r="Q428" s="10">
        <v>71087.214181063944</v>
      </c>
      <c r="R428" s="10">
        <v>69023.039554633709</v>
      </c>
      <c r="S428" s="10">
        <v>66958.864928203475</v>
      </c>
      <c r="T428" s="10">
        <v>64894.69030177324</v>
      </c>
      <c r="V428" t="s">
        <v>456</v>
      </c>
      <c r="W428" t="s">
        <v>1840</v>
      </c>
      <c r="X428" t="s">
        <v>1841</v>
      </c>
      <c r="Y428" t="s">
        <v>941</v>
      </c>
      <c r="Z428" t="s">
        <v>942</v>
      </c>
      <c r="AB428" t="s">
        <v>579</v>
      </c>
      <c r="AC428" t="s">
        <v>578</v>
      </c>
      <c r="AD428" t="s">
        <v>943</v>
      </c>
      <c r="AF428" t="s">
        <v>944</v>
      </c>
      <c r="AG428" t="s">
        <v>965</v>
      </c>
      <c r="AH428" t="s">
        <v>956</v>
      </c>
      <c r="AI428" t="s">
        <v>960</v>
      </c>
      <c r="AJ428" t="s">
        <v>948</v>
      </c>
      <c r="AK428">
        <v>17</v>
      </c>
      <c r="AL428" s="10">
        <v>1092.7</v>
      </c>
      <c r="AM428" s="10">
        <v>2009.4</v>
      </c>
      <c r="AN428" s="10">
        <v>4072.9</v>
      </c>
      <c r="AO428" s="9">
        <v>0.88350476091839447</v>
      </c>
      <c r="AP428" s="9">
        <v>13.648999999999999</v>
      </c>
      <c r="AQ428" s="9">
        <v>1.054980067583261</v>
      </c>
      <c r="AR428" s="9">
        <v>7.7499999999999991</v>
      </c>
      <c r="AS428" s="9">
        <v>8.8049800675832621</v>
      </c>
      <c r="AT428" s="9">
        <v>5.457095488530384</v>
      </c>
      <c r="AU428" s="9">
        <v>23.600000000000005</v>
      </c>
      <c r="AV428" s="9">
        <v>29.057095488530383</v>
      </c>
      <c r="AW428" s="11">
        <v>80.376000000000005</v>
      </c>
      <c r="AX428" s="11">
        <v>64.894690301773238</v>
      </c>
      <c r="AY428" t="s">
        <v>949</v>
      </c>
      <c r="AZ428" t="s">
        <v>950</v>
      </c>
      <c r="BA428" t="s">
        <v>951</v>
      </c>
      <c r="BB428" t="s">
        <v>952</v>
      </c>
      <c r="BC428" t="b">
        <v>1</v>
      </c>
    </row>
    <row r="429" spans="1:55">
      <c r="A429" t="s">
        <v>1842</v>
      </c>
      <c r="B429" t="s">
        <v>939</v>
      </c>
      <c r="C429">
        <v>78000</v>
      </c>
      <c r="D429">
        <v>59900</v>
      </c>
      <c r="E429">
        <v>78000</v>
      </c>
      <c r="F429">
        <v>131400</v>
      </c>
      <c r="G429" s="9">
        <v>1.025425187657618E-2</v>
      </c>
      <c r="H429" s="9">
        <v>2.7463608890757461E-2</v>
      </c>
      <c r="I429" s="9">
        <v>4.1195413336136188E-2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V429" t="s">
        <v>456</v>
      </c>
      <c r="W429" t="s">
        <v>1842</v>
      </c>
      <c r="X429" t="s">
        <v>1843</v>
      </c>
      <c r="Y429" t="s">
        <v>941</v>
      </c>
      <c r="Z429" t="s">
        <v>942</v>
      </c>
      <c r="AB429" t="s">
        <v>580</v>
      </c>
      <c r="AC429" t="s">
        <v>580</v>
      </c>
      <c r="AD429" t="s">
        <v>968</v>
      </c>
      <c r="AF429" t="s">
        <v>944</v>
      </c>
      <c r="AG429" t="s">
        <v>945</v>
      </c>
      <c r="AH429" t="s">
        <v>946</v>
      </c>
      <c r="AI429" t="s">
        <v>947</v>
      </c>
      <c r="AJ429" t="s">
        <v>948</v>
      </c>
      <c r="AK429">
        <v>1</v>
      </c>
      <c r="AL429" s="10">
        <v>59.9</v>
      </c>
      <c r="AM429" s="10">
        <v>78</v>
      </c>
      <c r="AN429" s="10">
        <v>131.4</v>
      </c>
      <c r="AO429" s="9">
        <v>7.1439319717431999E-3</v>
      </c>
      <c r="AP429" s="9">
        <v>1.7471000000000001</v>
      </c>
      <c r="AQ429" s="9">
        <v>1.4291774653615079</v>
      </c>
      <c r="AR429" s="9">
        <v>8.825074411214672</v>
      </c>
      <c r="AS429" s="9">
        <v>10.254251876576181</v>
      </c>
      <c r="AT429" s="9">
        <v>2.0008484515061111</v>
      </c>
      <c r="AU429" s="9">
        <v>25.462760439251348</v>
      </c>
      <c r="AV429" s="9">
        <v>27.46360889075746</v>
      </c>
      <c r="AW429" s="11">
        <v>0</v>
      </c>
      <c r="AX429" s="11">
        <v>0</v>
      </c>
      <c r="AY429" t="s">
        <v>969</v>
      </c>
      <c r="AZ429" t="s">
        <v>950</v>
      </c>
      <c r="BA429" t="s">
        <v>951</v>
      </c>
      <c r="BB429" t="s">
        <v>970</v>
      </c>
      <c r="BC429" t="b">
        <v>1</v>
      </c>
    </row>
    <row r="430" spans="1:55">
      <c r="A430" t="s">
        <v>1844</v>
      </c>
      <c r="B430" t="s">
        <v>939</v>
      </c>
      <c r="C430">
        <v>106300</v>
      </c>
      <c r="D430">
        <v>81600</v>
      </c>
      <c r="E430">
        <v>106300</v>
      </c>
      <c r="F430">
        <v>179000</v>
      </c>
      <c r="G430" s="9">
        <v>1.4633235583210851E-2</v>
      </c>
      <c r="H430" s="9">
        <v>3.3594186080045996E-2</v>
      </c>
      <c r="I430" s="9">
        <v>5.0391279120068994E-2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V430" t="s">
        <v>456</v>
      </c>
      <c r="W430" t="s">
        <v>1844</v>
      </c>
      <c r="X430" t="s">
        <v>1845</v>
      </c>
      <c r="Y430" t="s">
        <v>941</v>
      </c>
      <c r="Z430" t="s">
        <v>942</v>
      </c>
      <c r="AB430" t="s">
        <v>580</v>
      </c>
      <c r="AC430" t="s">
        <v>580</v>
      </c>
      <c r="AD430" t="s">
        <v>968</v>
      </c>
      <c r="AF430" t="s">
        <v>944</v>
      </c>
      <c r="AG430" t="s">
        <v>955</v>
      </c>
      <c r="AH430" t="s">
        <v>956</v>
      </c>
      <c r="AI430" t="s">
        <v>947</v>
      </c>
      <c r="AJ430" t="s">
        <v>948</v>
      </c>
      <c r="AK430">
        <v>2</v>
      </c>
      <c r="AL430" s="10">
        <v>81.599999999999994</v>
      </c>
      <c r="AM430" s="10">
        <v>106.3</v>
      </c>
      <c r="AN430" s="10">
        <v>179</v>
      </c>
      <c r="AO430" s="9">
        <v>9.7318745880308997E-3</v>
      </c>
      <c r="AP430" s="9">
        <v>2.38</v>
      </c>
      <c r="AQ430" s="9">
        <v>5.8081611719961801</v>
      </c>
      <c r="AR430" s="9">
        <v>8.825074411214672</v>
      </c>
      <c r="AS430" s="9">
        <v>14.633235583210851</v>
      </c>
      <c r="AT430" s="9">
        <v>8.1314256407946512</v>
      </c>
      <c r="AU430" s="9">
        <v>25.462760439251348</v>
      </c>
      <c r="AV430" s="9">
        <v>33.594186080045993</v>
      </c>
      <c r="AW430" s="11">
        <v>0</v>
      </c>
      <c r="AX430" s="11">
        <v>0</v>
      </c>
      <c r="AY430" t="s">
        <v>969</v>
      </c>
      <c r="AZ430" t="s">
        <v>950</v>
      </c>
      <c r="BA430" t="s">
        <v>951</v>
      </c>
      <c r="BB430" t="s">
        <v>970</v>
      </c>
      <c r="BC430" t="b">
        <v>1</v>
      </c>
    </row>
    <row r="431" spans="1:55">
      <c r="A431" t="s">
        <v>1846</v>
      </c>
      <c r="B431" t="s">
        <v>939</v>
      </c>
      <c r="C431">
        <v>1054300</v>
      </c>
      <c r="D431">
        <v>809200</v>
      </c>
      <c r="E431">
        <v>1054300</v>
      </c>
      <c r="F431">
        <v>1775200</v>
      </c>
      <c r="G431" s="9">
        <v>1.4184146846403999E-2</v>
      </c>
      <c r="H431" s="9">
        <v>3.7842578180006574E-2</v>
      </c>
      <c r="I431" s="9">
        <v>5.6763867270009857E-2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V431" t="s">
        <v>456</v>
      </c>
      <c r="W431" t="s">
        <v>1846</v>
      </c>
      <c r="X431" t="s">
        <v>1847</v>
      </c>
      <c r="Y431" t="s">
        <v>941</v>
      </c>
      <c r="Z431" t="s">
        <v>942</v>
      </c>
      <c r="AB431" t="s">
        <v>580</v>
      </c>
      <c r="AC431" t="s">
        <v>580</v>
      </c>
      <c r="AD431" t="s">
        <v>968</v>
      </c>
      <c r="AF431" t="s">
        <v>944</v>
      </c>
      <c r="AG431" t="s">
        <v>1037</v>
      </c>
      <c r="AH431" t="s">
        <v>988</v>
      </c>
      <c r="AI431" t="s">
        <v>947</v>
      </c>
      <c r="AJ431" t="s">
        <v>948</v>
      </c>
      <c r="AK431">
        <v>11</v>
      </c>
      <c r="AL431" s="10">
        <v>809.2</v>
      </c>
      <c r="AM431" s="10">
        <v>1054.3</v>
      </c>
      <c r="AN431" s="10">
        <v>1775.2</v>
      </c>
      <c r="AO431" s="9">
        <v>9.65038036091352E-2</v>
      </c>
      <c r="AP431" s="9">
        <v>23.6007</v>
      </c>
      <c r="AQ431" s="9">
        <v>5.3590724351893293</v>
      </c>
      <c r="AR431" s="9">
        <v>8.8250744112146737</v>
      </c>
      <c r="AS431" s="9">
        <v>14.184146846403999</v>
      </c>
      <c r="AT431" s="9">
        <v>12.379817740755234</v>
      </c>
      <c r="AU431" s="9">
        <v>25.462760439251348</v>
      </c>
      <c r="AV431" s="9">
        <v>37.842578180006576</v>
      </c>
      <c r="AW431" s="11">
        <v>0</v>
      </c>
      <c r="AX431" s="11">
        <v>0</v>
      </c>
      <c r="AY431" t="s">
        <v>969</v>
      </c>
      <c r="AZ431" t="s">
        <v>950</v>
      </c>
      <c r="BA431" t="s">
        <v>951</v>
      </c>
      <c r="BB431" t="s">
        <v>970</v>
      </c>
      <c r="BC431" t="b">
        <v>1</v>
      </c>
    </row>
    <row r="432" spans="1:55">
      <c r="A432" t="s">
        <v>1848</v>
      </c>
      <c r="B432" t="s">
        <v>939</v>
      </c>
      <c r="C432">
        <v>3698400</v>
      </c>
      <c r="D432">
        <v>2838600</v>
      </c>
      <c r="E432">
        <v>3698400</v>
      </c>
      <c r="F432">
        <v>6227100</v>
      </c>
      <c r="G432" s="9">
        <v>1.3141344498279039E-2</v>
      </c>
      <c r="H432" s="9">
        <v>3.7259081636924291E-2</v>
      </c>
      <c r="I432" s="9">
        <v>5.5888622455386436E-2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V432" t="s">
        <v>456</v>
      </c>
      <c r="W432" t="s">
        <v>1848</v>
      </c>
      <c r="X432" t="s">
        <v>1849</v>
      </c>
      <c r="Y432" t="s">
        <v>941</v>
      </c>
      <c r="Z432" t="s">
        <v>942</v>
      </c>
      <c r="AB432" t="s">
        <v>580</v>
      </c>
      <c r="AC432" t="s">
        <v>580</v>
      </c>
      <c r="AD432" t="s">
        <v>968</v>
      </c>
      <c r="AF432" t="s">
        <v>944</v>
      </c>
      <c r="AG432" t="s">
        <v>1135</v>
      </c>
      <c r="AH432" t="s">
        <v>1136</v>
      </c>
      <c r="AI432" t="s">
        <v>947</v>
      </c>
      <c r="AJ432" t="s">
        <v>948</v>
      </c>
      <c r="AK432">
        <v>36</v>
      </c>
      <c r="AL432" s="10">
        <v>2838.6</v>
      </c>
      <c r="AM432" s="10">
        <v>3698.4</v>
      </c>
      <c r="AN432" s="10">
        <v>6227.1</v>
      </c>
      <c r="AO432" s="9">
        <v>0.33851671510795828</v>
      </c>
      <c r="AP432" s="9">
        <v>82.786699999999982</v>
      </c>
      <c r="AQ432" s="9">
        <v>4.3162700870643649</v>
      </c>
      <c r="AR432" s="9">
        <v>8.8250744112146737</v>
      </c>
      <c r="AS432" s="9">
        <v>13.141344498279039</v>
      </c>
      <c r="AT432" s="9">
        <v>11.79632119767294</v>
      </c>
      <c r="AU432" s="9">
        <v>25.462760439251351</v>
      </c>
      <c r="AV432" s="9">
        <v>37.259081636924293</v>
      </c>
      <c r="AW432" s="11">
        <v>0</v>
      </c>
      <c r="AX432" s="11">
        <v>0</v>
      </c>
      <c r="AY432" t="s">
        <v>969</v>
      </c>
      <c r="AZ432" t="s">
        <v>950</v>
      </c>
      <c r="BA432" t="s">
        <v>951</v>
      </c>
      <c r="BB432" t="s">
        <v>970</v>
      </c>
      <c r="BC432" t="b">
        <v>1</v>
      </c>
    </row>
    <row r="433" spans="1:55">
      <c r="A433" t="s">
        <v>1850</v>
      </c>
      <c r="B433" t="s">
        <v>939</v>
      </c>
      <c r="C433">
        <v>157500</v>
      </c>
      <c r="D433">
        <v>85700</v>
      </c>
      <c r="E433">
        <v>157500</v>
      </c>
      <c r="F433">
        <v>319300</v>
      </c>
      <c r="G433" s="9">
        <v>7.8753042140754306E-3</v>
      </c>
      <c r="H433" s="9">
        <v>2.3782325941218343E-2</v>
      </c>
      <c r="I433" s="9">
        <v>3.5673488911827513E-2</v>
      </c>
      <c r="J433" s="10">
        <v>6300</v>
      </c>
      <c r="K433" s="10">
        <v>6300</v>
      </c>
      <c r="L433" s="10">
        <v>6300</v>
      </c>
      <c r="M433" s="10">
        <v>6300</v>
      </c>
      <c r="N433" s="10">
        <v>6300</v>
      </c>
      <c r="O433" s="10">
        <v>6300</v>
      </c>
      <c r="P433" s="10">
        <v>6300</v>
      </c>
      <c r="Q433" s="10">
        <v>6300</v>
      </c>
      <c r="R433" s="10">
        <v>6300</v>
      </c>
      <c r="S433" s="10">
        <v>6300</v>
      </c>
      <c r="T433" s="10">
        <v>6300</v>
      </c>
      <c r="V433" t="s">
        <v>456</v>
      </c>
      <c r="W433" t="s">
        <v>1850</v>
      </c>
      <c r="X433" t="s">
        <v>1851</v>
      </c>
      <c r="Y433" t="s">
        <v>941</v>
      </c>
      <c r="Z433" t="s">
        <v>942</v>
      </c>
      <c r="AB433" t="s">
        <v>580</v>
      </c>
      <c r="AC433" t="s">
        <v>580</v>
      </c>
      <c r="AD433" t="s">
        <v>943</v>
      </c>
      <c r="AF433" t="s">
        <v>944</v>
      </c>
      <c r="AG433" t="s">
        <v>959</v>
      </c>
      <c r="AH433" t="s">
        <v>946</v>
      </c>
      <c r="AI433" t="s">
        <v>960</v>
      </c>
      <c r="AJ433" t="s">
        <v>948</v>
      </c>
      <c r="AK433">
        <v>4</v>
      </c>
      <c r="AL433" s="10">
        <v>85.7</v>
      </c>
      <c r="AM433" s="10">
        <v>157.5</v>
      </c>
      <c r="AN433" s="10">
        <v>319.3</v>
      </c>
      <c r="AO433" s="9">
        <v>3.9959567741207298E-2</v>
      </c>
      <c r="AP433" s="9">
        <v>9.7723999999999993</v>
      </c>
      <c r="AQ433" s="9">
        <v>0.1253042140754308</v>
      </c>
      <c r="AR433" s="9">
        <v>7.7499999999999982</v>
      </c>
      <c r="AS433" s="9">
        <v>7.8753042140754301</v>
      </c>
      <c r="AT433" s="9">
        <v>0.18232594121834059</v>
      </c>
      <c r="AU433" s="9">
        <v>23.6</v>
      </c>
      <c r="AV433" s="9">
        <v>23.782325941218343</v>
      </c>
      <c r="AW433" s="11">
        <v>6.3</v>
      </c>
      <c r="AX433" s="11">
        <v>6.3</v>
      </c>
      <c r="AY433" t="s">
        <v>949</v>
      </c>
      <c r="AZ433" t="s">
        <v>950</v>
      </c>
      <c r="BA433" t="s">
        <v>951</v>
      </c>
      <c r="BB433" t="s">
        <v>952</v>
      </c>
      <c r="BC433" t="b">
        <v>1</v>
      </c>
    </row>
    <row r="434" spans="1:55">
      <c r="A434" t="s">
        <v>1852</v>
      </c>
      <c r="B434" t="s">
        <v>939</v>
      </c>
      <c r="C434">
        <v>4409700</v>
      </c>
      <c r="D434">
        <v>2397900</v>
      </c>
      <c r="E434">
        <v>4409700</v>
      </c>
      <c r="F434">
        <v>8938100</v>
      </c>
      <c r="G434" s="9">
        <v>1.5111478758193533E-2</v>
      </c>
      <c r="H434" s="9">
        <v>5.0299809230231043E-2</v>
      </c>
      <c r="I434" s="9">
        <v>7.5449713845346572E-2</v>
      </c>
      <c r="J434" s="10">
        <v>176388</v>
      </c>
      <c r="K434" s="10">
        <v>176388</v>
      </c>
      <c r="L434" s="10">
        <v>176388</v>
      </c>
      <c r="M434" s="10">
        <v>176388</v>
      </c>
      <c r="N434" s="10">
        <v>176388</v>
      </c>
      <c r="O434" s="10">
        <v>176388</v>
      </c>
      <c r="P434" s="10">
        <v>176388</v>
      </c>
      <c r="Q434" s="10">
        <v>176388</v>
      </c>
      <c r="R434" s="10">
        <v>176388</v>
      </c>
      <c r="S434" s="10">
        <v>176388</v>
      </c>
      <c r="T434" s="10">
        <v>176388</v>
      </c>
      <c r="V434" t="s">
        <v>456</v>
      </c>
      <c r="W434" t="s">
        <v>1852</v>
      </c>
      <c r="X434" t="s">
        <v>1853</v>
      </c>
      <c r="Y434" t="s">
        <v>941</v>
      </c>
      <c r="Z434" t="s">
        <v>942</v>
      </c>
      <c r="AB434" t="s">
        <v>580</v>
      </c>
      <c r="AC434" t="s">
        <v>580</v>
      </c>
      <c r="AD434" t="s">
        <v>943</v>
      </c>
      <c r="AF434" t="s">
        <v>944</v>
      </c>
      <c r="AG434" t="s">
        <v>945</v>
      </c>
      <c r="AH434" t="s">
        <v>946</v>
      </c>
      <c r="AI434" t="s">
        <v>947</v>
      </c>
      <c r="AJ434" t="s">
        <v>948</v>
      </c>
      <c r="AK434">
        <v>66</v>
      </c>
      <c r="AL434" s="10">
        <v>2397.9</v>
      </c>
      <c r="AM434" s="10">
        <v>4409.7</v>
      </c>
      <c r="AN434" s="10">
        <v>8938.1</v>
      </c>
      <c r="AO434" s="9">
        <v>0.40361845817665559</v>
      </c>
      <c r="AP434" s="9">
        <v>98.707800000000006</v>
      </c>
      <c r="AQ434" s="9">
        <v>0.40302140616907761</v>
      </c>
      <c r="AR434" s="9">
        <v>14.708457352024451</v>
      </c>
      <c r="AS434" s="9">
        <v>15.111478758193533</v>
      </c>
      <c r="AT434" s="9">
        <v>1.6493627629430141</v>
      </c>
      <c r="AU434" s="9">
        <v>48.650446467288027</v>
      </c>
      <c r="AV434" s="9">
        <v>50.299809230231041</v>
      </c>
      <c r="AW434" s="11">
        <v>176.38800000000001</v>
      </c>
      <c r="AX434" s="11">
        <v>176.38800000000001</v>
      </c>
      <c r="AY434" t="s">
        <v>949</v>
      </c>
      <c r="AZ434" t="s">
        <v>950</v>
      </c>
      <c r="BA434" t="s">
        <v>951</v>
      </c>
      <c r="BB434" t="s">
        <v>952</v>
      </c>
      <c r="BC434" t="b">
        <v>1</v>
      </c>
    </row>
    <row r="435" spans="1:55">
      <c r="A435" t="s">
        <v>1854</v>
      </c>
      <c r="B435" t="s">
        <v>939</v>
      </c>
      <c r="C435">
        <v>1142000</v>
      </c>
      <c r="D435">
        <v>621000</v>
      </c>
      <c r="E435">
        <v>1142000</v>
      </c>
      <c r="F435">
        <v>2314700</v>
      </c>
      <c r="G435" s="9">
        <v>1.6526459740222502E-2</v>
      </c>
      <c r="H435" s="9">
        <v>5.3504867378688273E-2</v>
      </c>
      <c r="I435" s="9">
        <v>8.0257301068032416E-2</v>
      </c>
      <c r="J435" s="10">
        <v>45680</v>
      </c>
      <c r="K435" s="10">
        <v>45680</v>
      </c>
      <c r="L435" s="10">
        <v>45680</v>
      </c>
      <c r="M435" s="10">
        <v>45680</v>
      </c>
      <c r="N435" s="10">
        <v>45680</v>
      </c>
      <c r="O435" s="10">
        <v>45680</v>
      </c>
      <c r="P435" s="10">
        <v>45680</v>
      </c>
      <c r="Q435" s="10">
        <v>45680</v>
      </c>
      <c r="R435" s="10">
        <v>45680</v>
      </c>
      <c r="S435" s="10">
        <v>45680</v>
      </c>
      <c r="T435" s="10">
        <v>45680</v>
      </c>
      <c r="V435" t="s">
        <v>456</v>
      </c>
      <c r="W435" t="s">
        <v>1854</v>
      </c>
      <c r="X435" t="s">
        <v>1855</v>
      </c>
      <c r="Y435" t="s">
        <v>941</v>
      </c>
      <c r="Z435" t="s">
        <v>942</v>
      </c>
      <c r="AB435" t="s">
        <v>580</v>
      </c>
      <c r="AC435" t="s">
        <v>580</v>
      </c>
      <c r="AD435" t="s">
        <v>943</v>
      </c>
      <c r="AF435" t="s">
        <v>944</v>
      </c>
      <c r="AG435" t="s">
        <v>955</v>
      </c>
      <c r="AH435" t="s">
        <v>956</v>
      </c>
      <c r="AI435" t="s">
        <v>947</v>
      </c>
      <c r="AJ435" t="s">
        <v>948</v>
      </c>
      <c r="AK435">
        <v>19</v>
      </c>
      <c r="AL435" s="10">
        <v>621</v>
      </c>
      <c r="AM435" s="10">
        <v>1142</v>
      </c>
      <c r="AN435" s="10">
        <v>2314.6999999999998</v>
      </c>
      <c r="AO435" s="9">
        <v>0.1045256488052692</v>
      </c>
      <c r="AP435" s="9">
        <v>25.5625</v>
      </c>
      <c r="AQ435" s="9">
        <v>1.81800238819805</v>
      </c>
      <c r="AR435" s="9">
        <v>14.708457352024451</v>
      </c>
      <c r="AS435" s="9">
        <v>16.526459740222503</v>
      </c>
      <c r="AT435" s="9">
        <v>4.8544209114002612</v>
      </c>
      <c r="AU435" s="9">
        <v>48.650446467288013</v>
      </c>
      <c r="AV435" s="9">
        <v>53.504867378688274</v>
      </c>
      <c r="AW435" s="11">
        <v>45.68</v>
      </c>
      <c r="AX435" s="11">
        <v>45.68</v>
      </c>
      <c r="AY435" t="s">
        <v>949</v>
      </c>
      <c r="AZ435" t="s">
        <v>950</v>
      </c>
      <c r="BA435" t="s">
        <v>951</v>
      </c>
      <c r="BB435" t="s">
        <v>952</v>
      </c>
      <c r="BC435" t="b">
        <v>1</v>
      </c>
    </row>
    <row r="436" spans="1:55">
      <c r="A436" t="s">
        <v>1856</v>
      </c>
      <c r="B436" t="s">
        <v>939</v>
      </c>
      <c r="C436">
        <v>22037600</v>
      </c>
      <c r="D436">
        <v>11983600</v>
      </c>
      <c r="E436">
        <v>22037600</v>
      </c>
      <c r="F436">
        <v>44668800</v>
      </c>
      <c r="G436" s="9">
        <v>6.4272686330022213E-2</v>
      </c>
      <c r="H436" s="9">
        <v>0.11359294398333575</v>
      </c>
      <c r="I436" s="9">
        <v>0.17038941597500362</v>
      </c>
      <c r="J436" s="10">
        <v>688262.71101026156</v>
      </c>
      <c r="K436" s="10">
        <v>663704.2697958037</v>
      </c>
      <c r="L436" s="10">
        <v>639145.82858134585</v>
      </c>
      <c r="M436" s="10">
        <v>614587.38736688788</v>
      </c>
      <c r="N436" s="10">
        <v>590028.94615243003</v>
      </c>
      <c r="O436" s="10">
        <v>565470.50493797229</v>
      </c>
      <c r="P436" s="10">
        <v>516353.62250905641</v>
      </c>
      <c r="Q436" s="10">
        <v>467236.74008014076</v>
      </c>
      <c r="R436" s="10">
        <v>418119.857651225</v>
      </c>
      <c r="S436" s="10">
        <v>369002.97522230924</v>
      </c>
      <c r="T436" s="10">
        <v>319886.09279339353</v>
      </c>
      <c r="V436" t="s">
        <v>456</v>
      </c>
      <c r="W436" t="s">
        <v>1856</v>
      </c>
      <c r="X436" t="s">
        <v>1857</v>
      </c>
      <c r="Y436" t="s">
        <v>941</v>
      </c>
      <c r="Z436" t="s">
        <v>942</v>
      </c>
      <c r="AB436" t="s">
        <v>581</v>
      </c>
      <c r="AC436" t="s">
        <v>581</v>
      </c>
      <c r="AD436" t="s">
        <v>943</v>
      </c>
      <c r="AF436" t="s">
        <v>986</v>
      </c>
      <c r="AG436" t="s">
        <v>1025</v>
      </c>
      <c r="AH436" t="s">
        <v>946</v>
      </c>
      <c r="AI436" t="s">
        <v>947</v>
      </c>
      <c r="AJ436" t="s">
        <v>989</v>
      </c>
      <c r="AK436">
        <v>21</v>
      </c>
      <c r="AL436" s="10">
        <v>11983.6</v>
      </c>
      <c r="AM436" s="10">
        <v>22037.599999999999</v>
      </c>
      <c r="AN436" s="10">
        <v>44668.800000000003</v>
      </c>
      <c r="AO436" s="9">
        <v>0.77398087188820364</v>
      </c>
      <c r="AP436" s="9">
        <v>115.71609999999998</v>
      </c>
      <c r="AQ436" s="9">
        <v>22.756870514206391</v>
      </c>
      <c r="AR436" s="9">
        <v>41.51581581581582</v>
      </c>
      <c r="AS436" s="9">
        <v>64.272686330022211</v>
      </c>
      <c r="AT436" s="9">
        <v>35.130481520873268</v>
      </c>
      <c r="AU436" s="9">
        <v>78.462462462462497</v>
      </c>
      <c r="AV436" s="9">
        <v>113.59294398333574</v>
      </c>
      <c r="AW436" s="11">
        <v>688.26271101026157</v>
      </c>
      <c r="AX436" s="11">
        <v>319.88609279339352</v>
      </c>
      <c r="AY436" t="s">
        <v>949</v>
      </c>
      <c r="AZ436" t="s">
        <v>950</v>
      </c>
      <c r="BA436" t="s">
        <v>951</v>
      </c>
      <c r="BB436" t="s">
        <v>970</v>
      </c>
      <c r="BC436" t="b">
        <v>1</v>
      </c>
    </row>
    <row r="437" spans="1:55">
      <c r="A437" t="s">
        <v>1858</v>
      </c>
      <c r="B437" t="s">
        <v>939</v>
      </c>
      <c r="C437">
        <v>758000</v>
      </c>
      <c r="D437">
        <v>412200</v>
      </c>
      <c r="E437">
        <v>758000</v>
      </c>
      <c r="F437">
        <v>1536500</v>
      </c>
      <c r="G437" s="9">
        <v>1.488161635057208E-2</v>
      </c>
      <c r="H437" s="9">
        <v>4.9168186421515395E-2</v>
      </c>
      <c r="I437" s="9">
        <v>7.3752279632273099E-2</v>
      </c>
      <c r="J437" s="10">
        <v>23673.319006869093</v>
      </c>
      <c r="K437" s="10">
        <v>22828.612757524377</v>
      </c>
      <c r="L437" s="10">
        <v>21983.906508179665</v>
      </c>
      <c r="M437" s="10">
        <v>21139.20025883495</v>
      </c>
      <c r="N437" s="10">
        <v>20294.494009490238</v>
      </c>
      <c r="O437" s="10">
        <v>19449.787760145526</v>
      </c>
      <c r="P437" s="10">
        <v>17760.375261456098</v>
      </c>
      <c r="Q437" s="10">
        <v>16070.962762766669</v>
      </c>
      <c r="R437" s="10">
        <v>14381.550264077243</v>
      </c>
      <c r="S437" s="10">
        <v>12692.137765387812</v>
      </c>
      <c r="T437" s="10">
        <v>11002.725266698386</v>
      </c>
      <c r="V437" t="s">
        <v>456</v>
      </c>
      <c r="W437" t="s">
        <v>1858</v>
      </c>
      <c r="X437" t="s">
        <v>1859</v>
      </c>
      <c r="Y437" t="s">
        <v>941</v>
      </c>
      <c r="Z437" t="s">
        <v>942</v>
      </c>
      <c r="AB437" t="s">
        <v>581</v>
      </c>
      <c r="AC437" t="s">
        <v>581</v>
      </c>
      <c r="AD437" t="s">
        <v>943</v>
      </c>
      <c r="AF437" t="s">
        <v>944</v>
      </c>
      <c r="AG437" t="s">
        <v>945</v>
      </c>
      <c r="AH437" t="s">
        <v>946</v>
      </c>
      <c r="AI437" t="s">
        <v>947</v>
      </c>
      <c r="AJ437" t="s">
        <v>948</v>
      </c>
      <c r="AK437">
        <v>20</v>
      </c>
      <c r="AL437" s="10">
        <v>412.2</v>
      </c>
      <c r="AM437" s="10">
        <v>758</v>
      </c>
      <c r="AN437" s="10">
        <v>1536.5</v>
      </c>
      <c r="AO437" s="9">
        <v>0.2260191281117962</v>
      </c>
      <c r="AP437" s="9">
        <v>33.791600000000003</v>
      </c>
      <c r="AQ437" s="9">
        <v>5.4539273495004301E-2</v>
      </c>
      <c r="AR437" s="9">
        <v>14.827077077077078</v>
      </c>
      <c r="AS437" s="9">
        <v>14.881616350572081</v>
      </c>
      <c r="AT437" s="9">
        <v>9.0708944037906997E-2</v>
      </c>
      <c r="AU437" s="9">
        <v>49.077477477477487</v>
      </c>
      <c r="AV437" s="9">
        <v>49.168186421515394</v>
      </c>
      <c r="AW437" s="11">
        <v>23.673319006869093</v>
      </c>
      <c r="AX437" s="11">
        <v>11.002725266698386</v>
      </c>
      <c r="AY437" t="s">
        <v>949</v>
      </c>
      <c r="AZ437" t="s">
        <v>950</v>
      </c>
      <c r="BA437" t="s">
        <v>951</v>
      </c>
      <c r="BB437" t="s">
        <v>970</v>
      </c>
      <c r="BC437" t="b">
        <v>1</v>
      </c>
    </row>
    <row r="438" spans="1:55">
      <c r="A438" t="s">
        <v>1860</v>
      </c>
      <c r="B438" t="s">
        <v>939</v>
      </c>
      <c r="C438">
        <v>2472600</v>
      </c>
      <c r="D438">
        <v>1344500</v>
      </c>
      <c r="E438">
        <v>2472600</v>
      </c>
      <c r="F438">
        <v>5011700</v>
      </c>
      <c r="G438" s="9">
        <v>8.1089468155396086E-3</v>
      </c>
      <c r="H438" s="9">
        <v>2.4457035357041065E-2</v>
      </c>
      <c r="I438" s="9">
        <v>3.6685553035561598E-2</v>
      </c>
      <c r="J438" s="10">
        <v>98904</v>
      </c>
      <c r="K438" s="10">
        <v>97111.451093837954</v>
      </c>
      <c r="L438" s="10">
        <v>95318.902187675922</v>
      </c>
      <c r="M438" s="10">
        <v>93526.353281513875</v>
      </c>
      <c r="N438" s="10">
        <v>91733.804375351843</v>
      </c>
      <c r="O438" s="10">
        <v>89941.255469189797</v>
      </c>
      <c r="P438" s="10">
        <v>86356.157656865718</v>
      </c>
      <c r="Q438" s="10">
        <v>82771.05984454164</v>
      </c>
      <c r="R438" s="10">
        <v>79185.962032217547</v>
      </c>
      <c r="S438" s="10">
        <v>75600.864219893469</v>
      </c>
      <c r="T438" s="10">
        <v>72015.76640756939</v>
      </c>
      <c r="V438" t="s">
        <v>456</v>
      </c>
      <c r="W438" t="s">
        <v>1860</v>
      </c>
      <c r="X438" t="s">
        <v>1861</v>
      </c>
      <c r="Y438" t="s">
        <v>941</v>
      </c>
      <c r="Z438" t="s">
        <v>942</v>
      </c>
      <c r="AB438" t="s">
        <v>130</v>
      </c>
      <c r="AC438" t="s">
        <v>70</v>
      </c>
      <c r="AD438" t="s">
        <v>943</v>
      </c>
      <c r="AF438" t="s">
        <v>944</v>
      </c>
      <c r="AG438" t="s">
        <v>959</v>
      </c>
      <c r="AH438" t="s">
        <v>946</v>
      </c>
      <c r="AI438" t="s">
        <v>960</v>
      </c>
      <c r="AJ438" t="s">
        <v>948</v>
      </c>
      <c r="AK438">
        <v>5</v>
      </c>
      <c r="AL438" s="10">
        <v>1344.5</v>
      </c>
      <c r="AM438" s="10">
        <v>2472.6</v>
      </c>
      <c r="AN438" s="10">
        <v>5011.7</v>
      </c>
      <c r="AO438" s="9">
        <v>0.91605552999756445</v>
      </c>
      <c r="AP438" s="9">
        <v>3.3851</v>
      </c>
      <c r="AQ438" s="9">
        <v>0.35894681553960828</v>
      </c>
      <c r="AR438" s="9">
        <v>7.75</v>
      </c>
      <c r="AS438" s="9">
        <v>8.1089468155396087</v>
      </c>
      <c r="AT438" s="9">
        <v>0.85703535704106337</v>
      </c>
      <c r="AU438" s="9">
        <v>23.6</v>
      </c>
      <c r="AV438" s="9">
        <v>24.457035357041065</v>
      </c>
      <c r="AW438" s="11">
        <v>98.903999999999996</v>
      </c>
      <c r="AX438" s="11">
        <v>72.015766407569387</v>
      </c>
      <c r="AY438" t="s">
        <v>949</v>
      </c>
      <c r="AZ438" t="s">
        <v>950</v>
      </c>
      <c r="BA438" t="s">
        <v>951</v>
      </c>
      <c r="BB438" t="s">
        <v>952</v>
      </c>
      <c r="BC438" t="b">
        <v>1</v>
      </c>
    </row>
    <row r="439" spans="1:55">
      <c r="A439" t="s">
        <v>1862</v>
      </c>
      <c r="B439" t="s">
        <v>939</v>
      </c>
      <c r="C439">
        <v>15571400</v>
      </c>
      <c r="D439">
        <v>8467400</v>
      </c>
      <c r="E439">
        <v>15571400</v>
      </c>
      <c r="F439">
        <v>31562200</v>
      </c>
      <c r="G439" s="9">
        <v>1.5020163610548219E-2</v>
      </c>
      <c r="H439" s="9"/>
      <c r="I439" s="9"/>
      <c r="J439" s="10">
        <v>622856</v>
      </c>
      <c r="K439" s="10">
        <v>611567.27718296065</v>
      </c>
      <c r="L439" s="10">
        <v>600278.55436592118</v>
      </c>
      <c r="M439" s="10">
        <v>588989.83154888183</v>
      </c>
      <c r="N439" s="10">
        <v>577701.10873184237</v>
      </c>
      <c r="O439" s="10">
        <v>566412.38591480302</v>
      </c>
      <c r="P439" s="10">
        <v>543834.9402807242</v>
      </c>
      <c r="Q439" s="10">
        <v>521257.49464664544</v>
      </c>
      <c r="R439" s="10">
        <v>498680.04901256668</v>
      </c>
      <c r="S439" s="10">
        <v>476102.60337848787</v>
      </c>
      <c r="T439" s="10">
        <v>453525.15774440911</v>
      </c>
      <c r="V439" t="s">
        <v>456</v>
      </c>
      <c r="W439" t="s">
        <v>1862</v>
      </c>
      <c r="X439" t="s">
        <v>1863</v>
      </c>
      <c r="Y439" t="s">
        <v>941</v>
      </c>
      <c r="Z439" t="s">
        <v>942</v>
      </c>
      <c r="AB439" t="s">
        <v>130</v>
      </c>
      <c r="AC439" t="s">
        <v>70</v>
      </c>
      <c r="AD439" t="s">
        <v>943</v>
      </c>
      <c r="AF439" t="s">
        <v>944</v>
      </c>
      <c r="AG439" t="s">
        <v>945</v>
      </c>
      <c r="AH439" t="s">
        <v>946</v>
      </c>
      <c r="AI439" t="s">
        <v>947</v>
      </c>
      <c r="AJ439" t="s">
        <v>948</v>
      </c>
      <c r="AK439">
        <v>1</v>
      </c>
      <c r="AL439" s="10">
        <v>8467.4</v>
      </c>
      <c r="AM439" s="10">
        <v>15571.4</v>
      </c>
      <c r="AN439" s="10">
        <v>31562.2</v>
      </c>
      <c r="AO439" s="9">
        <v>8.3944470002435503E-2</v>
      </c>
      <c r="AP439" s="9">
        <v>0.31019999999999998</v>
      </c>
      <c r="AQ439" s="9">
        <v>0.73210378411921717</v>
      </c>
      <c r="AR439" s="9">
        <v>14.288059826429</v>
      </c>
      <c r="AS439" s="9">
        <v>15.020163610548218</v>
      </c>
      <c r="AT439" s="9"/>
      <c r="AU439" s="9"/>
      <c r="AV439" s="9"/>
      <c r="AW439" s="11">
        <v>622.85599999999999</v>
      </c>
      <c r="AX439" s="11">
        <v>453.52515774440911</v>
      </c>
      <c r="AY439" t="s">
        <v>949</v>
      </c>
      <c r="AZ439" t="s">
        <v>950</v>
      </c>
      <c r="BA439" t="s">
        <v>951</v>
      </c>
      <c r="BB439" t="s">
        <v>952</v>
      </c>
      <c r="BC439" t="b">
        <v>0</v>
      </c>
    </row>
    <row r="440" spans="1:55">
      <c r="A440" t="s">
        <v>1864</v>
      </c>
      <c r="B440" t="s">
        <v>939</v>
      </c>
      <c r="C440">
        <v>344500</v>
      </c>
      <c r="D440">
        <v>68900</v>
      </c>
      <c r="E440">
        <v>344500</v>
      </c>
      <c r="F440">
        <v>1378000</v>
      </c>
      <c r="G440" s="9">
        <v>8.7171311927608883E-3</v>
      </c>
      <c r="H440" s="9"/>
      <c r="I440" s="9"/>
      <c r="J440" s="10">
        <v>13780</v>
      </c>
      <c r="K440" s="10">
        <v>13780</v>
      </c>
      <c r="L440" s="10">
        <v>13780</v>
      </c>
      <c r="M440" s="10">
        <v>13780</v>
      </c>
      <c r="N440" s="10">
        <v>13780</v>
      </c>
      <c r="O440" s="10">
        <v>13780</v>
      </c>
      <c r="P440" s="10">
        <v>13780</v>
      </c>
      <c r="Q440" s="10">
        <v>13780</v>
      </c>
      <c r="R440" s="10">
        <v>13780</v>
      </c>
      <c r="S440" s="10">
        <v>13780</v>
      </c>
      <c r="T440" s="10">
        <v>13780</v>
      </c>
      <c r="V440" t="s">
        <v>456</v>
      </c>
      <c r="W440" t="s">
        <v>1864</v>
      </c>
      <c r="X440" t="s">
        <v>1865</v>
      </c>
      <c r="Y440" t="s">
        <v>941</v>
      </c>
      <c r="Z440" t="s">
        <v>942</v>
      </c>
      <c r="AB440" t="s">
        <v>131</v>
      </c>
      <c r="AC440" t="s">
        <v>71</v>
      </c>
      <c r="AD440" t="s">
        <v>968</v>
      </c>
      <c r="AE440" t="s">
        <v>1779</v>
      </c>
      <c r="AF440" t="s">
        <v>944</v>
      </c>
      <c r="AG440" t="s">
        <v>955</v>
      </c>
      <c r="AH440" t="s">
        <v>956</v>
      </c>
      <c r="AI440" t="s">
        <v>947</v>
      </c>
      <c r="AJ440" t="s">
        <v>948</v>
      </c>
      <c r="AK440">
        <v>18</v>
      </c>
      <c r="AL440" s="10">
        <v>68.900000000000006</v>
      </c>
      <c r="AM440" s="10">
        <v>344.5</v>
      </c>
      <c r="AN440" s="10">
        <v>1378</v>
      </c>
      <c r="AO440" s="9">
        <v>0</v>
      </c>
      <c r="AP440" s="9">
        <v>0</v>
      </c>
      <c r="AQ440" s="9">
        <v>2.7171311927608888</v>
      </c>
      <c r="AR440" s="9">
        <v>6</v>
      </c>
      <c r="AS440" s="9">
        <v>8.7171311927608883</v>
      </c>
      <c r="AT440" s="9"/>
      <c r="AU440" s="9"/>
      <c r="AV440" s="9"/>
      <c r="AW440" s="11">
        <v>13.78</v>
      </c>
      <c r="AX440" s="11">
        <v>13.78</v>
      </c>
      <c r="AY440" t="s">
        <v>1780</v>
      </c>
      <c r="AZ440" t="b">
        <v>1</v>
      </c>
      <c r="BA440" t="s">
        <v>1781</v>
      </c>
      <c r="BB440" t="s">
        <v>1088</v>
      </c>
      <c r="BC440" t="b">
        <v>0</v>
      </c>
    </row>
    <row r="441" spans="1:55">
      <c r="A441" t="s">
        <v>1866</v>
      </c>
      <c r="B441" t="s">
        <v>939</v>
      </c>
      <c r="C441">
        <v>163000</v>
      </c>
      <c r="D441">
        <v>125100</v>
      </c>
      <c r="E441">
        <v>163000</v>
      </c>
      <c r="F441">
        <v>274400</v>
      </c>
      <c r="G441" s="9">
        <v>5.599647935545223E-3</v>
      </c>
      <c r="H441" s="9">
        <v>1.3215722931002339E-2</v>
      </c>
      <c r="I441" s="9">
        <v>1.9823584396503509E-2</v>
      </c>
      <c r="J441" s="10">
        <v>6520</v>
      </c>
      <c r="K441" s="10">
        <v>6520</v>
      </c>
      <c r="L441" s="10">
        <v>6520</v>
      </c>
      <c r="M441" s="10">
        <v>6520</v>
      </c>
      <c r="N441" s="10">
        <v>6520</v>
      </c>
      <c r="O441" s="10">
        <v>6520</v>
      </c>
      <c r="P441" s="10">
        <v>6520</v>
      </c>
      <c r="Q441" s="10">
        <v>6520</v>
      </c>
      <c r="R441" s="10">
        <v>6520</v>
      </c>
      <c r="S441" s="10">
        <v>6520</v>
      </c>
      <c r="T441" s="10">
        <v>6520</v>
      </c>
      <c r="V441" t="s">
        <v>456</v>
      </c>
      <c r="W441" t="s">
        <v>1866</v>
      </c>
      <c r="X441" t="s">
        <v>1867</v>
      </c>
      <c r="Y441" t="s">
        <v>941</v>
      </c>
      <c r="Z441" t="s">
        <v>942</v>
      </c>
      <c r="AB441" t="s">
        <v>583</v>
      </c>
      <c r="AC441" t="s">
        <v>582</v>
      </c>
      <c r="AD441" t="s">
        <v>968</v>
      </c>
      <c r="AF441" t="s">
        <v>944</v>
      </c>
      <c r="AG441" t="s">
        <v>996</v>
      </c>
      <c r="AH441" t="s">
        <v>988</v>
      </c>
      <c r="AI441" t="s">
        <v>977</v>
      </c>
      <c r="AJ441" t="s">
        <v>948</v>
      </c>
      <c r="AK441">
        <v>2</v>
      </c>
      <c r="AL441" s="10">
        <v>125.1</v>
      </c>
      <c r="AM441" s="10">
        <v>163</v>
      </c>
      <c r="AN441" s="10">
        <v>274.39999999999998</v>
      </c>
      <c r="AO441" s="9">
        <v>8.8225560457914395E-2</v>
      </c>
      <c r="AP441" s="9">
        <v>6.2648000000000001</v>
      </c>
      <c r="AQ441" s="9">
        <v>1.8796479355452225</v>
      </c>
      <c r="AR441" s="9">
        <v>3.7200000000000006</v>
      </c>
      <c r="AS441" s="9">
        <v>5.5996479355452227</v>
      </c>
      <c r="AT441" s="9">
        <v>4.5357229310023381</v>
      </c>
      <c r="AU441" s="9">
        <v>8.6800000000000015</v>
      </c>
      <c r="AV441" s="9">
        <v>13.215722931002338</v>
      </c>
      <c r="AW441" s="11">
        <v>6.52</v>
      </c>
      <c r="AX441" s="11">
        <v>6.52</v>
      </c>
      <c r="AY441" t="s">
        <v>969</v>
      </c>
      <c r="AZ441" t="s">
        <v>950</v>
      </c>
      <c r="BA441" t="s">
        <v>951</v>
      </c>
      <c r="BB441" t="s">
        <v>952</v>
      </c>
      <c r="BC441" t="b">
        <v>1</v>
      </c>
    </row>
    <row r="442" spans="1:55">
      <c r="A442" t="s">
        <v>1868</v>
      </c>
      <c r="B442" t="s">
        <v>939</v>
      </c>
      <c r="C442">
        <v>1687100</v>
      </c>
      <c r="D442">
        <v>917400</v>
      </c>
      <c r="E442">
        <v>1687100</v>
      </c>
      <c r="F442">
        <v>3419700</v>
      </c>
      <c r="G442" s="9">
        <v>8.0221535931317301E-3</v>
      </c>
      <c r="H442" s="9">
        <v>2.4265538411988349E-2</v>
      </c>
      <c r="I442" s="9">
        <v>3.6398307617982524E-2</v>
      </c>
      <c r="J442" s="10">
        <v>67484</v>
      </c>
      <c r="K442" s="10">
        <v>67484</v>
      </c>
      <c r="L442" s="10">
        <v>67484</v>
      </c>
      <c r="M442" s="10">
        <v>67484</v>
      </c>
      <c r="N442" s="10">
        <v>67484</v>
      </c>
      <c r="O442" s="10">
        <v>67484</v>
      </c>
      <c r="P442" s="10">
        <v>67484</v>
      </c>
      <c r="Q442" s="10">
        <v>67484</v>
      </c>
      <c r="R442" s="10">
        <v>67484</v>
      </c>
      <c r="S442" s="10">
        <v>67484</v>
      </c>
      <c r="T442" s="10">
        <v>67484</v>
      </c>
      <c r="V442" t="s">
        <v>456</v>
      </c>
      <c r="W442" t="s">
        <v>1868</v>
      </c>
      <c r="X442" t="s">
        <v>1869</v>
      </c>
      <c r="Y442" t="s">
        <v>941</v>
      </c>
      <c r="Z442" t="s">
        <v>942</v>
      </c>
      <c r="AB442" t="s">
        <v>583</v>
      </c>
      <c r="AC442" t="s">
        <v>582</v>
      </c>
      <c r="AD442" t="s">
        <v>943</v>
      </c>
      <c r="AF442" t="s">
        <v>944</v>
      </c>
      <c r="AG442" t="s">
        <v>959</v>
      </c>
      <c r="AH442" t="s">
        <v>946</v>
      </c>
      <c r="AI442" t="s">
        <v>960</v>
      </c>
      <c r="AJ442" t="s">
        <v>948</v>
      </c>
      <c r="AK442">
        <v>15</v>
      </c>
      <c r="AL442" s="10">
        <v>917.4</v>
      </c>
      <c r="AM442" s="10">
        <v>1687.1</v>
      </c>
      <c r="AN442" s="10">
        <v>3419.7</v>
      </c>
      <c r="AO442" s="9">
        <v>0.59886295943184586</v>
      </c>
      <c r="AP442" s="9">
        <v>42.524599999999992</v>
      </c>
      <c r="AQ442" s="9">
        <v>0.2721535931317286</v>
      </c>
      <c r="AR442" s="9">
        <v>7.75</v>
      </c>
      <c r="AS442" s="9">
        <v>8.0221535931317298</v>
      </c>
      <c r="AT442" s="9">
        <v>0.66553841198834762</v>
      </c>
      <c r="AU442" s="9">
        <v>23.6</v>
      </c>
      <c r="AV442" s="9">
        <v>24.265538411988349</v>
      </c>
      <c r="AW442" s="11">
        <v>67.483999999999995</v>
      </c>
      <c r="AX442" s="11">
        <v>67.483999999999995</v>
      </c>
      <c r="AY442" t="s">
        <v>949</v>
      </c>
      <c r="AZ442" t="s">
        <v>950</v>
      </c>
      <c r="BA442" t="s">
        <v>951</v>
      </c>
      <c r="BB442" t="s">
        <v>952</v>
      </c>
      <c r="BC442" t="b">
        <v>1</v>
      </c>
    </row>
    <row r="443" spans="1:55">
      <c r="A443" t="s">
        <v>1870</v>
      </c>
      <c r="B443" t="s">
        <v>939</v>
      </c>
      <c r="C443">
        <v>881500</v>
      </c>
      <c r="D443">
        <v>479400</v>
      </c>
      <c r="E443">
        <v>881500</v>
      </c>
      <c r="F443">
        <v>1786800</v>
      </c>
      <c r="G443" s="9">
        <v>9.0945051433158654E-3</v>
      </c>
      <c r="H443" s="9">
        <v>2.7189303652855004E-2</v>
      </c>
      <c r="I443" s="9">
        <v>4.0783955479282506E-2</v>
      </c>
      <c r="J443" s="10">
        <v>35260</v>
      </c>
      <c r="K443" s="10">
        <v>35260</v>
      </c>
      <c r="L443" s="10">
        <v>35260</v>
      </c>
      <c r="M443" s="10">
        <v>35260</v>
      </c>
      <c r="N443" s="10">
        <v>35260</v>
      </c>
      <c r="O443" s="10">
        <v>35260</v>
      </c>
      <c r="P443" s="10">
        <v>35260</v>
      </c>
      <c r="Q443" s="10">
        <v>35260</v>
      </c>
      <c r="R443" s="10">
        <v>35260</v>
      </c>
      <c r="S443" s="10">
        <v>35260</v>
      </c>
      <c r="T443" s="10">
        <v>35260</v>
      </c>
      <c r="V443" t="s">
        <v>456</v>
      </c>
      <c r="W443" t="s">
        <v>1870</v>
      </c>
      <c r="X443" t="s">
        <v>1871</v>
      </c>
      <c r="Y443" t="s">
        <v>941</v>
      </c>
      <c r="Z443" t="s">
        <v>942</v>
      </c>
      <c r="AB443" t="s">
        <v>583</v>
      </c>
      <c r="AC443" t="s">
        <v>582</v>
      </c>
      <c r="AD443" t="s">
        <v>943</v>
      </c>
      <c r="AF443" t="s">
        <v>944</v>
      </c>
      <c r="AG443" t="s">
        <v>965</v>
      </c>
      <c r="AH443" t="s">
        <v>956</v>
      </c>
      <c r="AI443" t="s">
        <v>960</v>
      </c>
      <c r="AJ443" t="s">
        <v>948</v>
      </c>
      <c r="AK443">
        <v>9</v>
      </c>
      <c r="AL443" s="10">
        <v>479.4</v>
      </c>
      <c r="AM443" s="10">
        <v>881.5</v>
      </c>
      <c r="AN443" s="10">
        <v>1786.8</v>
      </c>
      <c r="AO443" s="9">
        <v>0.31291148011023973</v>
      </c>
      <c r="AP443" s="9">
        <v>22.2195</v>
      </c>
      <c r="AQ443" s="9">
        <v>1.3445051433158637</v>
      </c>
      <c r="AR443" s="9">
        <v>7.7500000000000018</v>
      </c>
      <c r="AS443" s="9">
        <v>9.0945051433158657</v>
      </c>
      <c r="AT443" s="9">
        <v>3.5893036528550031</v>
      </c>
      <c r="AU443" s="9">
        <v>23.6</v>
      </c>
      <c r="AV443" s="9">
        <v>27.189303652855003</v>
      </c>
      <c r="AW443" s="11">
        <v>35.26</v>
      </c>
      <c r="AX443" s="11">
        <v>35.26</v>
      </c>
      <c r="AY443" t="s">
        <v>949</v>
      </c>
      <c r="AZ443" t="s">
        <v>950</v>
      </c>
      <c r="BA443" t="s">
        <v>951</v>
      </c>
      <c r="BB443" t="s">
        <v>952</v>
      </c>
      <c r="BC443" t="b">
        <v>1</v>
      </c>
    </row>
    <row r="444" spans="1:55">
      <c r="A444" t="s">
        <v>1872</v>
      </c>
      <c r="B444" t="s">
        <v>939</v>
      </c>
      <c r="C444">
        <v>118400</v>
      </c>
      <c r="D444">
        <v>64400.000000000007</v>
      </c>
      <c r="E444">
        <v>118400</v>
      </c>
      <c r="F444">
        <v>240000</v>
      </c>
      <c r="G444" s="9">
        <v>8.7250905703468492E-3</v>
      </c>
      <c r="H444" s="9">
        <v>2.4965126798485587E-2</v>
      </c>
      <c r="I444" s="9">
        <v>3.7447690197728381E-2</v>
      </c>
      <c r="J444" s="10">
        <v>4736.0000000000009</v>
      </c>
      <c r="K444" s="10">
        <v>4736.0000000000009</v>
      </c>
      <c r="L444" s="10">
        <v>4736.0000000000009</v>
      </c>
      <c r="M444" s="10">
        <v>4736.0000000000009</v>
      </c>
      <c r="N444" s="10">
        <v>4736.0000000000009</v>
      </c>
      <c r="O444" s="10">
        <v>4736.0000000000009</v>
      </c>
      <c r="P444" s="10">
        <v>4736.0000000000009</v>
      </c>
      <c r="Q444" s="10">
        <v>4736.0000000000009</v>
      </c>
      <c r="R444" s="10">
        <v>4736.0000000000009</v>
      </c>
      <c r="S444" s="10">
        <v>4736.0000000000009</v>
      </c>
      <c r="T444" s="10">
        <v>4736.0000000000009</v>
      </c>
      <c r="V444" t="s">
        <v>456</v>
      </c>
      <c r="W444" t="s">
        <v>1872</v>
      </c>
      <c r="X444" t="s">
        <v>1873</v>
      </c>
      <c r="Y444" t="s">
        <v>941</v>
      </c>
      <c r="Z444" t="s">
        <v>942</v>
      </c>
      <c r="AB444" t="s">
        <v>584</v>
      </c>
      <c r="AC444" t="s">
        <v>584</v>
      </c>
      <c r="AD444" t="s">
        <v>943</v>
      </c>
      <c r="AF444" t="s">
        <v>944</v>
      </c>
      <c r="AG444" t="s">
        <v>959</v>
      </c>
      <c r="AH444" t="s">
        <v>946</v>
      </c>
      <c r="AI444" t="s">
        <v>960</v>
      </c>
      <c r="AJ444" t="s">
        <v>948</v>
      </c>
      <c r="AK444">
        <v>1</v>
      </c>
      <c r="AL444" s="10">
        <v>64.400000000000006</v>
      </c>
      <c r="AM444" s="10">
        <v>118.4</v>
      </c>
      <c r="AN444" s="10">
        <v>240</v>
      </c>
      <c r="AO444" s="9">
        <v>0.1149953093368883</v>
      </c>
      <c r="AP444" s="9">
        <v>0.2329</v>
      </c>
      <c r="AQ444" s="9">
        <v>0.97509057034684921</v>
      </c>
      <c r="AR444" s="9">
        <v>7.75</v>
      </c>
      <c r="AS444" s="9">
        <v>8.7250905703468487</v>
      </c>
      <c r="AT444" s="9">
        <v>1.3651267984855886</v>
      </c>
      <c r="AU444" s="9">
        <v>23.600000000000005</v>
      </c>
      <c r="AV444" s="9">
        <v>24.965126798485588</v>
      </c>
      <c r="AW444" s="11">
        <v>4.7360000000000007</v>
      </c>
      <c r="AX444" s="11">
        <v>4.7360000000000007</v>
      </c>
      <c r="AY444" t="s">
        <v>949</v>
      </c>
      <c r="AZ444" t="s">
        <v>950</v>
      </c>
      <c r="BA444" t="s">
        <v>951</v>
      </c>
      <c r="BB444" t="s">
        <v>952</v>
      </c>
      <c r="BC444" t="b">
        <v>1</v>
      </c>
    </row>
    <row r="445" spans="1:55">
      <c r="A445" t="s">
        <v>1874</v>
      </c>
      <c r="B445" t="s">
        <v>939</v>
      </c>
      <c r="C445">
        <v>2924400</v>
      </c>
      <c r="D445">
        <v>1590200</v>
      </c>
      <c r="E445">
        <v>2924400</v>
      </c>
      <c r="F445">
        <v>5927500</v>
      </c>
      <c r="G445" s="9">
        <v>1.525427796866652E-2</v>
      </c>
      <c r="H445" s="9">
        <v>4.9725858865265558E-2</v>
      </c>
      <c r="I445" s="9">
        <v>7.4588788297898334E-2</v>
      </c>
      <c r="J445" s="10">
        <v>116976</v>
      </c>
      <c r="K445" s="10">
        <v>116976</v>
      </c>
      <c r="L445" s="10">
        <v>116976</v>
      </c>
      <c r="M445" s="10">
        <v>116976</v>
      </c>
      <c r="N445" s="10">
        <v>116976</v>
      </c>
      <c r="O445" s="10">
        <v>116976</v>
      </c>
      <c r="P445" s="10">
        <v>116976</v>
      </c>
      <c r="Q445" s="10">
        <v>116976</v>
      </c>
      <c r="R445" s="10">
        <v>116976</v>
      </c>
      <c r="S445" s="10">
        <v>116976</v>
      </c>
      <c r="T445" s="10">
        <v>116976</v>
      </c>
      <c r="V445" t="s">
        <v>456</v>
      </c>
      <c r="W445" t="s">
        <v>1874</v>
      </c>
      <c r="X445" t="s">
        <v>1875</v>
      </c>
      <c r="Y445" t="s">
        <v>941</v>
      </c>
      <c r="Z445" t="s">
        <v>942</v>
      </c>
      <c r="AB445" t="s">
        <v>584</v>
      </c>
      <c r="AC445" t="s">
        <v>584</v>
      </c>
      <c r="AD445" t="s">
        <v>943</v>
      </c>
      <c r="AF445" t="s">
        <v>944</v>
      </c>
      <c r="AG445" t="s">
        <v>945</v>
      </c>
      <c r="AH445" t="s">
        <v>946</v>
      </c>
      <c r="AI445" t="s">
        <v>947</v>
      </c>
      <c r="AJ445" t="s">
        <v>948</v>
      </c>
      <c r="AK445">
        <v>2</v>
      </c>
      <c r="AL445" s="10">
        <v>1590.2</v>
      </c>
      <c r="AM445" s="10">
        <v>2924.4</v>
      </c>
      <c r="AN445" s="10">
        <v>5927.5</v>
      </c>
      <c r="AO445" s="9">
        <v>0.27906976744186041</v>
      </c>
      <c r="AP445" s="9">
        <v>0.56519999999999992</v>
      </c>
      <c r="AQ445" s="9">
        <v>1.1222750201592724</v>
      </c>
      <c r="AR445" s="9">
        <v>14.132002948507248</v>
      </c>
      <c r="AS445" s="9">
        <v>15.25427796866652</v>
      </c>
      <c r="AT445" s="9">
        <v>3.1506482506394566</v>
      </c>
      <c r="AU445" s="9">
        <v>46.575210614626101</v>
      </c>
      <c r="AV445" s="9">
        <v>49.725858865265558</v>
      </c>
      <c r="AW445" s="11">
        <v>116.976</v>
      </c>
      <c r="AX445" s="11">
        <v>116.976</v>
      </c>
      <c r="AY445" t="s">
        <v>949</v>
      </c>
      <c r="AZ445" t="s">
        <v>950</v>
      </c>
      <c r="BA445" t="s">
        <v>951</v>
      </c>
      <c r="BB445" t="s">
        <v>952</v>
      </c>
      <c r="BC445" t="b">
        <v>1</v>
      </c>
    </row>
    <row r="446" spans="1:55">
      <c r="A446" t="s">
        <v>1876</v>
      </c>
      <c r="B446" t="s">
        <v>939</v>
      </c>
      <c r="C446">
        <v>623900</v>
      </c>
      <c r="D446">
        <v>339300</v>
      </c>
      <c r="E446">
        <v>623900</v>
      </c>
      <c r="F446">
        <v>1264600</v>
      </c>
      <c r="G446" s="9">
        <v>1.0441530170505697E-2</v>
      </c>
      <c r="H446" s="9">
        <v>3.0418160729098583E-2</v>
      </c>
      <c r="I446" s="9">
        <v>4.5627241093647873E-2</v>
      </c>
      <c r="J446" s="10">
        <v>24956</v>
      </c>
      <c r="K446" s="10">
        <v>24956</v>
      </c>
      <c r="L446" s="10">
        <v>24956</v>
      </c>
      <c r="M446" s="10">
        <v>24956</v>
      </c>
      <c r="N446" s="10">
        <v>24956</v>
      </c>
      <c r="O446" s="10">
        <v>24956</v>
      </c>
      <c r="P446" s="10">
        <v>24956</v>
      </c>
      <c r="Q446" s="10">
        <v>24956</v>
      </c>
      <c r="R446" s="10">
        <v>24956</v>
      </c>
      <c r="S446" s="10">
        <v>24956</v>
      </c>
      <c r="T446" s="10">
        <v>24956</v>
      </c>
      <c r="V446" t="s">
        <v>456</v>
      </c>
      <c r="W446" t="s">
        <v>1876</v>
      </c>
      <c r="X446" t="s">
        <v>1877</v>
      </c>
      <c r="Y446" t="s">
        <v>941</v>
      </c>
      <c r="Z446" t="s">
        <v>942</v>
      </c>
      <c r="AB446" t="s">
        <v>584</v>
      </c>
      <c r="AC446" t="s">
        <v>584</v>
      </c>
      <c r="AD446" t="s">
        <v>943</v>
      </c>
      <c r="AF446" t="s">
        <v>944</v>
      </c>
      <c r="AG446" t="s">
        <v>965</v>
      </c>
      <c r="AH446" t="s">
        <v>956</v>
      </c>
      <c r="AI446" t="s">
        <v>960</v>
      </c>
      <c r="AJ446" t="s">
        <v>948</v>
      </c>
      <c r="AK446">
        <v>2</v>
      </c>
      <c r="AL446" s="10">
        <v>339.3</v>
      </c>
      <c r="AM446" s="10">
        <v>623.9</v>
      </c>
      <c r="AN446" s="10">
        <v>1264.5999999999999</v>
      </c>
      <c r="AO446" s="9">
        <v>0.6059349232212512</v>
      </c>
      <c r="AP446" s="9">
        <v>1.2272000000000001</v>
      </c>
      <c r="AQ446" s="9">
        <v>2.691530170505696</v>
      </c>
      <c r="AR446" s="9">
        <v>7.7499999999999991</v>
      </c>
      <c r="AS446" s="9">
        <v>10.441530170505697</v>
      </c>
      <c r="AT446" s="9">
        <v>6.8181607290985813</v>
      </c>
      <c r="AU446" s="9">
        <v>23.6</v>
      </c>
      <c r="AV446" s="9">
        <v>30.418160729098584</v>
      </c>
      <c r="AW446" s="11">
        <v>24.956</v>
      </c>
      <c r="AX446" s="11">
        <v>24.956</v>
      </c>
      <c r="AY446" t="s">
        <v>949</v>
      </c>
      <c r="AZ446" t="s">
        <v>950</v>
      </c>
      <c r="BA446" t="s">
        <v>951</v>
      </c>
      <c r="BB446" t="s">
        <v>952</v>
      </c>
      <c r="BC446" t="b">
        <v>1</v>
      </c>
    </row>
    <row r="447" spans="1:55">
      <c r="A447" t="s">
        <v>1878</v>
      </c>
      <c r="B447" t="s">
        <v>939</v>
      </c>
      <c r="C447">
        <v>1355900</v>
      </c>
      <c r="D447">
        <v>1040700</v>
      </c>
      <c r="E447">
        <v>1355900</v>
      </c>
      <c r="F447">
        <v>2282900</v>
      </c>
      <c r="G447" s="9">
        <v>4.1669438175441853E-3</v>
      </c>
      <c r="H447" s="9">
        <v>1.0177660725492876E-2</v>
      </c>
      <c r="I447" s="9">
        <v>1.5266491088239314E-2</v>
      </c>
      <c r="J447" s="10">
        <v>54236</v>
      </c>
      <c r="K447" s="10">
        <v>54236</v>
      </c>
      <c r="L447" s="10">
        <v>54236</v>
      </c>
      <c r="M447" s="10">
        <v>54236</v>
      </c>
      <c r="N447" s="10">
        <v>54236</v>
      </c>
      <c r="O447" s="10">
        <v>54236</v>
      </c>
      <c r="P447" s="10">
        <v>54236</v>
      </c>
      <c r="Q447" s="10">
        <v>54236</v>
      </c>
      <c r="R447" s="10">
        <v>54236</v>
      </c>
      <c r="S447" s="10">
        <v>54236</v>
      </c>
      <c r="T447" s="10">
        <v>54236</v>
      </c>
      <c r="V447" t="s">
        <v>456</v>
      </c>
      <c r="W447" t="s">
        <v>1878</v>
      </c>
      <c r="X447" t="s">
        <v>1879</v>
      </c>
      <c r="Y447" t="s">
        <v>941</v>
      </c>
      <c r="Z447" t="s">
        <v>942</v>
      </c>
      <c r="AB447" t="s">
        <v>1880</v>
      </c>
      <c r="AC447" t="s">
        <v>585</v>
      </c>
      <c r="AD447" t="s">
        <v>968</v>
      </c>
      <c r="AF447" t="s">
        <v>944</v>
      </c>
      <c r="AG447" t="s">
        <v>999</v>
      </c>
      <c r="AH447" t="s">
        <v>946</v>
      </c>
      <c r="AI447" t="s">
        <v>977</v>
      </c>
      <c r="AJ447" t="s">
        <v>948</v>
      </c>
      <c r="AK447">
        <v>24</v>
      </c>
      <c r="AL447" s="10">
        <v>1040.7</v>
      </c>
      <c r="AM447" s="10">
        <v>1355.9</v>
      </c>
      <c r="AN447" s="10">
        <v>2282.9</v>
      </c>
      <c r="AO447" s="9">
        <v>1.75138476553022E-2</v>
      </c>
      <c r="AP447" s="9">
        <v>33.421699999999994</v>
      </c>
      <c r="AQ447" s="9">
        <v>0.446943817544184</v>
      </c>
      <c r="AR447" s="9">
        <v>3.7200000000000011</v>
      </c>
      <c r="AS447" s="9">
        <v>4.1669438175441851</v>
      </c>
      <c r="AT447" s="9">
        <v>1.4976607254928764</v>
      </c>
      <c r="AU447" s="9">
        <v>8.6800000000000015</v>
      </c>
      <c r="AV447" s="9">
        <v>10.177660725492876</v>
      </c>
      <c r="AW447" s="11">
        <v>54.235999999999997</v>
      </c>
      <c r="AX447" s="11">
        <v>54.235999999999997</v>
      </c>
      <c r="AY447" t="s">
        <v>969</v>
      </c>
      <c r="AZ447" t="s">
        <v>950</v>
      </c>
      <c r="BA447" t="s">
        <v>951</v>
      </c>
      <c r="BB447" t="s">
        <v>952</v>
      </c>
      <c r="BC447" t="b">
        <v>1</v>
      </c>
    </row>
    <row r="448" spans="1:55">
      <c r="A448" t="s">
        <v>1881</v>
      </c>
      <c r="B448" t="s">
        <v>939</v>
      </c>
      <c r="C448">
        <v>25694100</v>
      </c>
      <c r="D448">
        <v>19721000</v>
      </c>
      <c r="E448">
        <v>25694100</v>
      </c>
      <c r="F448">
        <v>43261700</v>
      </c>
      <c r="G448" s="9">
        <v>4.7962048672426684E-3</v>
      </c>
      <c r="H448" s="9">
        <v>1.2485357234399795E-2</v>
      </c>
      <c r="I448" s="9">
        <v>1.8728035851599694E-2</v>
      </c>
      <c r="J448" s="10">
        <v>1027763.9999999999</v>
      </c>
      <c r="K448" s="10">
        <v>1027763.9999999999</v>
      </c>
      <c r="L448" s="10">
        <v>1027763.9999999999</v>
      </c>
      <c r="M448" s="10">
        <v>1027763.9999999999</v>
      </c>
      <c r="N448" s="10">
        <v>1027763.9999999999</v>
      </c>
      <c r="O448" s="10">
        <v>1027763.9999999999</v>
      </c>
      <c r="P448" s="10">
        <v>1027763.9999999999</v>
      </c>
      <c r="Q448" s="10">
        <v>1027763.9999999999</v>
      </c>
      <c r="R448" s="10">
        <v>1027763.9999999999</v>
      </c>
      <c r="S448" s="10">
        <v>1027763.9999999999</v>
      </c>
      <c r="T448" s="10">
        <v>1027763.9999999999</v>
      </c>
      <c r="V448" t="s">
        <v>456</v>
      </c>
      <c r="W448" t="s">
        <v>1881</v>
      </c>
      <c r="X448" t="s">
        <v>1882</v>
      </c>
      <c r="Y448" t="s">
        <v>941</v>
      </c>
      <c r="Z448" t="s">
        <v>942</v>
      </c>
      <c r="AB448" t="s">
        <v>1880</v>
      </c>
      <c r="AC448" t="s">
        <v>585</v>
      </c>
      <c r="AD448" t="s">
        <v>968</v>
      </c>
      <c r="AF448" t="s">
        <v>944</v>
      </c>
      <c r="AG448" t="s">
        <v>976</v>
      </c>
      <c r="AH448" t="s">
        <v>956</v>
      </c>
      <c r="AI448" t="s">
        <v>977</v>
      </c>
      <c r="AJ448" t="s">
        <v>948</v>
      </c>
      <c r="AK448">
        <v>303</v>
      </c>
      <c r="AL448" s="10">
        <v>19721</v>
      </c>
      <c r="AM448" s="10">
        <v>25694.1</v>
      </c>
      <c r="AN448" s="10">
        <v>43261.7</v>
      </c>
      <c r="AO448" s="9">
        <v>0.33189185943059102</v>
      </c>
      <c r="AP448" s="9">
        <v>633.34969999999998</v>
      </c>
      <c r="AQ448" s="9">
        <v>1.0762048672426667</v>
      </c>
      <c r="AR448" s="9">
        <v>3.7200000000000006</v>
      </c>
      <c r="AS448" s="9">
        <v>4.7962048672426683</v>
      </c>
      <c r="AT448" s="9">
        <v>3.8053572343997919</v>
      </c>
      <c r="AU448" s="9">
        <v>8.68</v>
      </c>
      <c r="AV448" s="9">
        <v>12.485357234399796</v>
      </c>
      <c r="AW448" s="11">
        <v>1027.7639999999999</v>
      </c>
      <c r="AX448" s="11">
        <v>1027.7639999999999</v>
      </c>
      <c r="AY448" t="s">
        <v>969</v>
      </c>
      <c r="AZ448" t="s">
        <v>950</v>
      </c>
      <c r="BA448" t="s">
        <v>951</v>
      </c>
      <c r="BB448" t="s">
        <v>952</v>
      </c>
      <c r="BC448" t="b">
        <v>1</v>
      </c>
    </row>
    <row r="449" spans="1:55">
      <c r="A449" t="s">
        <v>1883</v>
      </c>
      <c r="B449" t="s">
        <v>939</v>
      </c>
      <c r="C449">
        <v>17670900</v>
      </c>
      <c r="D449">
        <v>13562900</v>
      </c>
      <c r="E449">
        <v>17670900</v>
      </c>
      <c r="F449">
        <v>29752800</v>
      </c>
      <c r="G449" s="9">
        <v>6.0381089134990936E-3</v>
      </c>
      <c r="H449" s="9">
        <v>1.5931755564540292E-2</v>
      </c>
      <c r="I449" s="9">
        <v>2.3897633346810436E-2</v>
      </c>
      <c r="J449" s="10">
        <v>706836</v>
      </c>
      <c r="K449" s="10">
        <v>706836</v>
      </c>
      <c r="L449" s="10">
        <v>706836</v>
      </c>
      <c r="M449" s="10">
        <v>706836</v>
      </c>
      <c r="N449" s="10">
        <v>706836</v>
      </c>
      <c r="O449" s="10">
        <v>706836</v>
      </c>
      <c r="P449" s="10">
        <v>706836</v>
      </c>
      <c r="Q449" s="10">
        <v>706836</v>
      </c>
      <c r="R449" s="10">
        <v>706836</v>
      </c>
      <c r="S449" s="10">
        <v>706836</v>
      </c>
      <c r="T449" s="10">
        <v>706836</v>
      </c>
      <c r="V449" t="s">
        <v>456</v>
      </c>
      <c r="W449" t="s">
        <v>1883</v>
      </c>
      <c r="X449" t="s">
        <v>1884</v>
      </c>
      <c r="Y449" t="s">
        <v>941</v>
      </c>
      <c r="Z449" t="s">
        <v>942</v>
      </c>
      <c r="AB449" t="s">
        <v>1880</v>
      </c>
      <c r="AC449" t="s">
        <v>585</v>
      </c>
      <c r="AD449" t="s">
        <v>968</v>
      </c>
      <c r="AF449" t="s">
        <v>944</v>
      </c>
      <c r="AG449" t="s">
        <v>996</v>
      </c>
      <c r="AH449" t="s">
        <v>988</v>
      </c>
      <c r="AI449" t="s">
        <v>977</v>
      </c>
      <c r="AJ449" t="s">
        <v>948</v>
      </c>
      <c r="AK449">
        <v>253</v>
      </c>
      <c r="AL449" s="10">
        <v>13562.9</v>
      </c>
      <c r="AM449" s="10">
        <v>17670.900000000001</v>
      </c>
      <c r="AN449" s="10">
        <v>29752.799999999999</v>
      </c>
      <c r="AO449" s="9">
        <v>0.22825492870256239</v>
      </c>
      <c r="AP449" s="9">
        <v>435.57920000000001</v>
      </c>
      <c r="AQ449" s="9">
        <v>2.3181089134990929</v>
      </c>
      <c r="AR449" s="9">
        <v>3.7200000000000006</v>
      </c>
      <c r="AS449" s="9">
        <v>6.0381089134990935</v>
      </c>
      <c r="AT449" s="9">
        <v>7.2517555645402911</v>
      </c>
      <c r="AU449" s="9">
        <v>8.68</v>
      </c>
      <c r="AV449" s="9">
        <v>15.931755564540291</v>
      </c>
      <c r="AW449" s="11">
        <v>706.83600000000001</v>
      </c>
      <c r="AX449" s="11">
        <v>706.83600000000001</v>
      </c>
      <c r="AY449" t="s">
        <v>969</v>
      </c>
      <c r="AZ449" t="s">
        <v>950</v>
      </c>
      <c r="BA449" t="s">
        <v>951</v>
      </c>
      <c r="BB449" t="s">
        <v>952</v>
      </c>
      <c r="BC449" t="b">
        <v>1</v>
      </c>
    </row>
    <row r="450" spans="1:55">
      <c r="A450" t="s">
        <v>1885</v>
      </c>
      <c r="B450" t="s">
        <v>939</v>
      </c>
      <c r="C450">
        <v>909400</v>
      </c>
      <c r="D450">
        <v>698000</v>
      </c>
      <c r="E450">
        <v>909400</v>
      </c>
      <c r="F450">
        <v>1531200</v>
      </c>
      <c r="G450" s="9">
        <v>9.9853900385220712E-3</v>
      </c>
      <c r="H450" s="9">
        <v>2.319781658433601E-2</v>
      </c>
      <c r="I450" s="9">
        <v>3.4796724876504016E-2</v>
      </c>
      <c r="J450" s="10">
        <v>36376</v>
      </c>
      <c r="K450" s="10">
        <v>36376</v>
      </c>
      <c r="L450" s="10">
        <v>36376</v>
      </c>
      <c r="M450" s="10">
        <v>36376</v>
      </c>
      <c r="N450" s="10">
        <v>36376</v>
      </c>
      <c r="O450" s="10">
        <v>36376</v>
      </c>
      <c r="P450" s="10">
        <v>36376</v>
      </c>
      <c r="Q450" s="10">
        <v>36376</v>
      </c>
      <c r="R450" s="10">
        <v>36376</v>
      </c>
      <c r="S450" s="10">
        <v>36376</v>
      </c>
      <c r="T450" s="10">
        <v>36376</v>
      </c>
      <c r="V450" t="s">
        <v>456</v>
      </c>
      <c r="W450" t="s">
        <v>1885</v>
      </c>
      <c r="X450" t="s">
        <v>1886</v>
      </c>
      <c r="Y450" t="s">
        <v>941</v>
      </c>
      <c r="Z450" t="s">
        <v>942</v>
      </c>
      <c r="AB450" t="s">
        <v>1880</v>
      </c>
      <c r="AC450" t="s">
        <v>585</v>
      </c>
      <c r="AD450" t="s">
        <v>968</v>
      </c>
      <c r="AF450" t="s">
        <v>944</v>
      </c>
      <c r="AG450" t="s">
        <v>1454</v>
      </c>
      <c r="AH450" t="s">
        <v>1136</v>
      </c>
      <c r="AI450" t="s">
        <v>977</v>
      </c>
      <c r="AJ450" t="s">
        <v>948</v>
      </c>
      <c r="AK450">
        <v>12</v>
      </c>
      <c r="AL450" s="10">
        <v>698</v>
      </c>
      <c r="AM450" s="10">
        <v>909.4</v>
      </c>
      <c r="AN450" s="10">
        <v>1531.2</v>
      </c>
      <c r="AO450" s="9">
        <v>1.1746938926943E-2</v>
      </c>
      <c r="AP450" s="9">
        <v>22.416699999999995</v>
      </c>
      <c r="AQ450" s="9">
        <v>6.2653900385220718</v>
      </c>
      <c r="AR450" s="9">
        <v>3.7200000000000006</v>
      </c>
      <c r="AS450" s="9">
        <v>9.9853900385220715</v>
      </c>
      <c r="AT450" s="9">
        <v>14.517816584336009</v>
      </c>
      <c r="AU450" s="9">
        <v>8.68</v>
      </c>
      <c r="AV450" s="9">
        <v>23.19781658433601</v>
      </c>
      <c r="AW450" s="11">
        <v>36.375999999999998</v>
      </c>
      <c r="AX450" s="11">
        <v>36.375999999999998</v>
      </c>
      <c r="AY450" t="s">
        <v>969</v>
      </c>
      <c r="AZ450" t="s">
        <v>950</v>
      </c>
      <c r="BA450" t="s">
        <v>951</v>
      </c>
      <c r="BB450" t="s">
        <v>952</v>
      </c>
      <c r="BC450" t="b">
        <v>1</v>
      </c>
    </row>
    <row r="451" spans="1:55">
      <c r="A451" t="s">
        <v>1887</v>
      </c>
      <c r="B451" t="s">
        <v>939</v>
      </c>
      <c r="C451">
        <v>53228300</v>
      </c>
      <c r="D451">
        <v>28944400</v>
      </c>
      <c r="E451">
        <v>53228300</v>
      </c>
      <c r="F451">
        <v>107890500</v>
      </c>
      <c r="G451" s="9">
        <v>9.067052208468572E-2</v>
      </c>
      <c r="H451" s="9">
        <v>0.13255873091855999</v>
      </c>
      <c r="I451" s="9">
        <v>0.19883809637784</v>
      </c>
      <c r="J451" s="10">
        <v>2025803.7702497488</v>
      </c>
      <c r="K451" s="10">
        <v>1958632.0674792409</v>
      </c>
      <c r="L451" s="10">
        <v>1891460.364708733</v>
      </c>
      <c r="M451" s="10">
        <v>1824288.6619382252</v>
      </c>
      <c r="N451" s="10">
        <v>1757116.9591677173</v>
      </c>
      <c r="O451" s="10">
        <v>1689945.2563972096</v>
      </c>
      <c r="P451" s="10">
        <v>1555601.8508561938</v>
      </c>
      <c r="Q451" s="10">
        <v>1421258.445315178</v>
      </c>
      <c r="R451" s="10">
        <v>1286915.0397741622</v>
      </c>
      <c r="S451" s="10">
        <v>1152571.6342331467</v>
      </c>
      <c r="T451" s="10">
        <v>1018228.2286921308</v>
      </c>
      <c r="V451" t="s">
        <v>456</v>
      </c>
      <c r="W451" t="s">
        <v>1887</v>
      </c>
      <c r="X451" t="s">
        <v>1888</v>
      </c>
      <c r="Y451" t="s">
        <v>941</v>
      </c>
      <c r="Z451" t="s">
        <v>942</v>
      </c>
      <c r="AB451" t="s">
        <v>1880</v>
      </c>
      <c r="AC451" t="s">
        <v>585</v>
      </c>
      <c r="AD451" t="s">
        <v>943</v>
      </c>
      <c r="AF451" t="s">
        <v>986</v>
      </c>
      <c r="AG451" t="s">
        <v>1889</v>
      </c>
      <c r="AH451" t="s">
        <v>1116</v>
      </c>
      <c r="AI451" t="s">
        <v>960</v>
      </c>
      <c r="AJ451" t="s">
        <v>989</v>
      </c>
      <c r="AK451">
        <v>1</v>
      </c>
      <c r="AL451" s="10">
        <v>28944.400000000001</v>
      </c>
      <c r="AM451" s="10">
        <v>53228.3</v>
      </c>
      <c r="AN451" s="10">
        <v>107890.5</v>
      </c>
      <c r="AO451" s="9">
        <v>4.58889774959E-4</v>
      </c>
      <c r="AP451" s="9">
        <v>0.87570000000000003</v>
      </c>
      <c r="AQ451" s="9">
        <v>68.970522084685712</v>
      </c>
      <c r="AR451" s="9">
        <v>21.7</v>
      </c>
      <c r="AS451" s="9">
        <v>90.670522084685715</v>
      </c>
      <c r="AT451" s="9">
        <v>96.558730918559959</v>
      </c>
      <c r="AU451" s="9">
        <v>36</v>
      </c>
      <c r="AV451" s="9">
        <v>132.55873091856</v>
      </c>
      <c r="AW451" s="11">
        <v>2025.8037702497488</v>
      </c>
      <c r="AX451" s="11">
        <v>1018.2282286921308</v>
      </c>
      <c r="AY451" t="s">
        <v>949</v>
      </c>
      <c r="AZ451" t="s">
        <v>950</v>
      </c>
      <c r="BA451" t="s">
        <v>951</v>
      </c>
      <c r="BB451" t="s">
        <v>970</v>
      </c>
      <c r="BC451" t="b">
        <v>1</v>
      </c>
    </row>
    <row r="452" spans="1:55">
      <c r="A452" t="s">
        <v>1890</v>
      </c>
      <c r="B452" t="s">
        <v>939</v>
      </c>
      <c r="C452">
        <v>91100</v>
      </c>
      <c r="D452">
        <v>49500</v>
      </c>
      <c r="E452">
        <v>91100</v>
      </c>
      <c r="F452">
        <v>184600</v>
      </c>
      <c r="G452" s="9">
        <v>6.7708967749521235E-3</v>
      </c>
      <c r="H452" s="9">
        <v>1.7346825125555028E-2</v>
      </c>
      <c r="I452" s="9">
        <v>2.6020237688332542E-2</v>
      </c>
      <c r="J452" s="10">
        <v>3467.154191844415</v>
      </c>
      <c r="K452" s="10">
        <v>3352.1901196799222</v>
      </c>
      <c r="L452" s="10">
        <v>3237.2260475154294</v>
      </c>
      <c r="M452" s="10">
        <v>3122.2619753509371</v>
      </c>
      <c r="N452" s="10">
        <v>3007.2979031864443</v>
      </c>
      <c r="O452" s="10">
        <v>2892.3338310219515</v>
      </c>
      <c r="P452" s="10">
        <v>2662.4056866929664</v>
      </c>
      <c r="Q452" s="10">
        <v>2432.4775423639808</v>
      </c>
      <c r="R452" s="10">
        <v>2202.5493980349956</v>
      </c>
      <c r="S452" s="10">
        <v>1972.6212537060101</v>
      </c>
      <c r="T452" s="10">
        <v>1742.6931093770247</v>
      </c>
      <c r="V452" t="s">
        <v>456</v>
      </c>
      <c r="W452" t="s">
        <v>1890</v>
      </c>
      <c r="X452" t="s">
        <v>1891</v>
      </c>
      <c r="Y452" t="s">
        <v>941</v>
      </c>
      <c r="Z452" t="s">
        <v>942</v>
      </c>
      <c r="AB452" t="s">
        <v>1880</v>
      </c>
      <c r="AC452" t="s">
        <v>585</v>
      </c>
      <c r="AD452" t="s">
        <v>943</v>
      </c>
      <c r="AF452" t="s">
        <v>944</v>
      </c>
      <c r="AG452" t="s">
        <v>999</v>
      </c>
      <c r="AH452" t="s">
        <v>946</v>
      </c>
      <c r="AI452" t="s">
        <v>977</v>
      </c>
      <c r="AJ452" t="s">
        <v>948</v>
      </c>
      <c r="AK452">
        <v>3</v>
      </c>
      <c r="AL452" s="10">
        <v>49.5</v>
      </c>
      <c r="AM452" s="10">
        <v>91.1</v>
      </c>
      <c r="AN452" s="10">
        <v>184.6</v>
      </c>
      <c r="AO452" s="9">
        <v>1.1767009131785E-3</v>
      </c>
      <c r="AP452" s="9">
        <v>2.2454999999999998</v>
      </c>
      <c r="AQ452" s="9">
        <v>0.57089677495212332</v>
      </c>
      <c r="AR452" s="9">
        <v>6.2000000000000011</v>
      </c>
      <c r="AS452" s="9">
        <v>6.7708967749521234</v>
      </c>
      <c r="AT452" s="9">
        <v>2.466825125555026</v>
      </c>
      <c r="AU452" s="9">
        <v>14.880000000000004</v>
      </c>
      <c r="AV452" s="9">
        <v>17.346825125555029</v>
      </c>
      <c r="AW452" s="11">
        <v>3.4671541918444149</v>
      </c>
      <c r="AX452" s="11">
        <v>1.7426931093770248</v>
      </c>
      <c r="AY452" t="s">
        <v>949</v>
      </c>
      <c r="AZ452" t="s">
        <v>950</v>
      </c>
      <c r="BA452" t="s">
        <v>951</v>
      </c>
      <c r="BB452" t="s">
        <v>970</v>
      </c>
      <c r="BC452" t="b">
        <v>1</v>
      </c>
    </row>
    <row r="453" spans="1:55">
      <c r="A453" t="s">
        <v>1892</v>
      </c>
      <c r="B453" t="s">
        <v>939</v>
      </c>
      <c r="C453">
        <v>46331100</v>
      </c>
      <c r="D453">
        <v>25193800</v>
      </c>
      <c r="E453">
        <v>46331100</v>
      </c>
      <c r="F453">
        <v>93910300</v>
      </c>
      <c r="G453" s="9">
        <v>7.931089623232199E-3</v>
      </c>
      <c r="H453" s="9">
        <v>2.425253727854881E-2</v>
      </c>
      <c r="I453" s="9">
        <v>3.6378805917823213E-2</v>
      </c>
      <c r="J453" s="10">
        <v>1763304.8032685269</v>
      </c>
      <c r="K453" s="10">
        <v>1704837.0543787319</v>
      </c>
      <c r="L453" s="10">
        <v>1646369.3054889368</v>
      </c>
      <c r="M453" s="10">
        <v>1587901.5565991418</v>
      </c>
      <c r="N453" s="10">
        <v>1529433.8077093468</v>
      </c>
      <c r="O453" s="10">
        <v>1470966.0588195517</v>
      </c>
      <c r="P453" s="10">
        <v>1354030.5610399616</v>
      </c>
      <c r="Q453" s="10">
        <v>1237095.0632603718</v>
      </c>
      <c r="R453" s="10">
        <v>1120159.5654807815</v>
      </c>
      <c r="S453" s="10">
        <v>1003224.0677011915</v>
      </c>
      <c r="T453" s="10">
        <v>886288.56992160145</v>
      </c>
      <c r="V453" t="s">
        <v>456</v>
      </c>
      <c r="W453" t="s">
        <v>1892</v>
      </c>
      <c r="X453" t="s">
        <v>1893</v>
      </c>
      <c r="Y453" t="s">
        <v>941</v>
      </c>
      <c r="Z453" t="s">
        <v>942</v>
      </c>
      <c r="AB453" t="s">
        <v>1880</v>
      </c>
      <c r="AC453" t="s">
        <v>585</v>
      </c>
      <c r="AD453" t="s">
        <v>943</v>
      </c>
      <c r="AF453" t="s">
        <v>944</v>
      </c>
      <c r="AG453" t="s">
        <v>959</v>
      </c>
      <c r="AH453" t="s">
        <v>946</v>
      </c>
      <c r="AI453" t="s">
        <v>960</v>
      </c>
      <c r="AJ453" t="s">
        <v>948</v>
      </c>
      <c r="AK453">
        <v>231</v>
      </c>
      <c r="AL453" s="10">
        <v>25193.8</v>
      </c>
      <c r="AM453" s="10">
        <v>46331.1</v>
      </c>
      <c r="AN453" s="10">
        <v>93910.3</v>
      </c>
      <c r="AO453" s="9">
        <v>0.19611708087621799</v>
      </c>
      <c r="AP453" s="9">
        <v>374.25049999999999</v>
      </c>
      <c r="AQ453" s="9">
        <v>0.18108962323219899</v>
      </c>
      <c r="AR453" s="9">
        <v>7.7499999999999991</v>
      </c>
      <c r="AS453" s="9">
        <v>7.9310896232321992</v>
      </c>
      <c r="AT453" s="9">
        <v>0.65253727854881105</v>
      </c>
      <c r="AU453" s="9">
        <v>23.600000000000005</v>
      </c>
      <c r="AV453" s="9">
        <v>24.252537278548811</v>
      </c>
      <c r="AW453" s="11">
        <v>1763.3048032685269</v>
      </c>
      <c r="AX453" s="11">
        <v>886.28856992160149</v>
      </c>
      <c r="AY453" t="s">
        <v>949</v>
      </c>
      <c r="AZ453" t="s">
        <v>950</v>
      </c>
      <c r="BA453" t="s">
        <v>951</v>
      </c>
      <c r="BB453" t="s">
        <v>970</v>
      </c>
      <c r="BC453" t="b">
        <v>1</v>
      </c>
    </row>
    <row r="454" spans="1:55">
      <c r="A454" t="s">
        <v>1894</v>
      </c>
      <c r="B454" t="s">
        <v>939</v>
      </c>
      <c r="C454">
        <v>386298400</v>
      </c>
      <c r="D454">
        <v>210060500</v>
      </c>
      <c r="E454">
        <v>386298400</v>
      </c>
      <c r="F454">
        <v>783003000</v>
      </c>
      <c r="G454" s="9">
        <v>1.4508765651819491E-2</v>
      </c>
      <c r="H454" s="9">
        <v>4.7022839146781362E-2</v>
      </c>
      <c r="I454" s="9">
        <v>7.0534258720172049E-2</v>
      </c>
      <c r="J454" s="10">
        <v>14702042.995200776</v>
      </c>
      <c r="K454" s="10">
        <v>14214551.917982027</v>
      </c>
      <c r="L454" s="10">
        <v>13727060.840763276</v>
      </c>
      <c r="M454" s="10">
        <v>13239569.763544528</v>
      </c>
      <c r="N454" s="10">
        <v>12752078.686325777</v>
      </c>
      <c r="O454" s="10">
        <v>12264587.609107029</v>
      </c>
      <c r="P454" s="10">
        <v>11289605.45466953</v>
      </c>
      <c r="Q454" s="10">
        <v>10314623.300232032</v>
      </c>
      <c r="R454" s="10">
        <v>9339641.1457945351</v>
      </c>
      <c r="S454" s="10">
        <v>8364658.991357035</v>
      </c>
      <c r="T454" s="10">
        <v>7389676.8369195368</v>
      </c>
      <c r="V454" t="s">
        <v>456</v>
      </c>
      <c r="W454" t="s">
        <v>1894</v>
      </c>
      <c r="X454" t="s">
        <v>1895</v>
      </c>
      <c r="Y454" t="s">
        <v>941</v>
      </c>
      <c r="Z454" t="s">
        <v>942</v>
      </c>
      <c r="AB454" t="s">
        <v>1880</v>
      </c>
      <c r="AC454" t="s">
        <v>585</v>
      </c>
      <c r="AD454" t="s">
        <v>943</v>
      </c>
      <c r="AF454" t="s">
        <v>944</v>
      </c>
      <c r="AG454" t="s">
        <v>945</v>
      </c>
      <c r="AH454" t="s">
        <v>946</v>
      </c>
      <c r="AI454" t="s">
        <v>947</v>
      </c>
      <c r="AJ454" t="s">
        <v>948</v>
      </c>
      <c r="AK454">
        <v>28</v>
      </c>
      <c r="AL454" s="10">
        <v>210060.5</v>
      </c>
      <c r="AM454" s="10">
        <v>386298.4</v>
      </c>
      <c r="AN454" s="10">
        <v>783003</v>
      </c>
      <c r="AO454" s="9">
        <v>8.5964931954668998E-3</v>
      </c>
      <c r="AP454" s="9">
        <v>16.404700000000002</v>
      </c>
      <c r="AQ454" s="9">
        <v>0.65599996967538954</v>
      </c>
      <c r="AR454" s="9">
        <v>13.852765682144105</v>
      </c>
      <c r="AS454" s="9">
        <v>14.508765651819491</v>
      </c>
      <c r="AT454" s="9">
        <v>1.4528826910625867</v>
      </c>
      <c r="AU454" s="9">
        <v>45.569956455718781</v>
      </c>
      <c r="AV454" s="9">
        <v>47.022839146781365</v>
      </c>
      <c r="AW454" s="11">
        <v>14702.042995200776</v>
      </c>
      <c r="AX454" s="11">
        <v>7389.676836919537</v>
      </c>
      <c r="AY454" t="s">
        <v>949</v>
      </c>
      <c r="AZ454" t="s">
        <v>950</v>
      </c>
      <c r="BA454" t="s">
        <v>951</v>
      </c>
      <c r="BB454" t="s">
        <v>970</v>
      </c>
      <c r="BC454" t="b">
        <v>1</v>
      </c>
    </row>
    <row r="455" spans="1:55">
      <c r="A455" t="s">
        <v>1896</v>
      </c>
      <c r="B455" t="s">
        <v>939</v>
      </c>
      <c r="C455">
        <v>1102400</v>
      </c>
      <c r="D455">
        <v>599400</v>
      </c>
      <c r="E455">
        <v>1102400</v>
      </c>
      <c r="F455">
        <v>2234500</v>
      </c>
      <c r="G455" s="9">
        <v>7.6184120224806143E-3</v>
      </c>
      <c r="H455" s="9">
        <v>1.9516743164395892E-2</v>
      </c>
      <c r="I455" s="9">
        <v>2.927511474659384E-2</v>
      </c>
      <c r="J455" s="10">
        <v>41955.991010859318</v>
      </c>
      <c r="K455" s="10">
        <v>40564.812161746944</v>
      </c>
      <c r="L455" s="10">
        <v>39173.633312634578</v>
      </c>
      <c r="M455" s="10">
        <v>37782.454463522212</v>
      </c>
      <c r="N455" s="10">
        <v>36391.275614409846</v>
      </c>
      <c r="O455" s="10">
        <v>35000.096765297472</v>
      </c>
      <c r="P455" s="10">
        <v>32217.739067072744</v>
      </c>
      <c r="Q455" s="10">
        <v>29435.381368848004</v>
      </c>
      <c r="R455" s="10">
        <v>26653.023670623268</v>
      </c>
      <c r="S455" s="10">
        <v>23870.665972398532</v>
      </c>
      <c r="T455" s="10">
        <v>21088.308274173793</v>
      </c>
      <c r="V455" t="s">
        <v>456</v>
      </c>
      <c r="W455" t="s">
        <v>1896</v>
      </c>
      <c r="X455" t="s">
        <v>1897</v>
      </c>
      <c r="Y455" t="s">
        <v>941</v>
      </c>
      <c r="Z455" t="s">
        <v>942</v>
      </c>
      <c r="AB455" t="s">
        <v>1880</v>
      </c>
      <c r="AC455" t="s">
        <v>585</v>
      </c>
      <c r="AD455" t="s">
        <v>943</v>
      </c>
      <c r="AF455" t="s">
        <v>944</v>
      </c>
      <c r="AG455" t="s">
        <v>976</v>
      </c>
      <c r="AH455" t="s">
        <v>956</v>
      </c>
      <c r="AI455" t="s">
        <v>977</v>
      </c>
      <c r="AJ455" t="s">
        <v>948</v>
      </c>
      <c r="AK455">
        <v>18</v>
      </c>
      <c r="AL455" s="10">
        <v>599.4</v>
      </c>
      <c r="AM455" s="10">
        <v>1102.4000000000001</v>
      </c>
      <c r="AN455" s="10">
        <v>2234.5</v>
      </c>
      <c r="AO455" s="9">
        <v>1.4239469718986699E-2</v>
      </c>
      <c r="AP455" s="9">
        <v>27.173200000000001</v>
      </c>
      <c r="AQ455" s="9">
        <v>1.4184120224806127</v>
      </c>
      <c r="AR455" s="9">
        <v>6.2</v>
      </c>
      <c r="AS455" s="9">
        <v>7.618412022480614</v>
      </c>
      <c r="AT455" s="9">
        <v>4.636743164395889</v>
      </c>
      <c r="AU455" s="9">
        <v>14.880000000000004</v>
      </c>
      <c r="AV455" s="9">
        <v>19.516743164395891</v>
      </c>
      <c r="AW455" s="11">
        <v>41.955991010859314</v>
      </c>
      <c r="AX455" s="11">
        <v>21.088308274173794</v>
      </c>
      <c r="AY455" t="s">
        <v>949</v>
      </c>
      <c r="AZ455" t="s">
        <v>950</v>
      </c>
      <c r="BA455" t="s">
        <v>951</v>
      </c>
      <c r="BB455" t="s">
        <v>970</v>
      </c>
      <c r="BC455" t="b">
        <v>1</v>
      </c>
    </row>
    <row r="456" spans="1:55">
      <c r="A456" t="s">
        <v>1898</v>
      </c>
      <c r="B456" t="s">
        <v>939</v>
      </c>
      <c r="C456">
        <v>38462800</v>
      </c>
      <c r="D456">
        <v>20915200</v>
      </c>
      <c r="E456">
        <v>38462800</v>
      </c>
      <c r="F456">
        <v>77961600</v>
      </c>
      <c r="G456" s="9">
        <v>8.9252760623267126E-3</v>
      </c>
      <c r="H456" s="9">
        <v>2.780978257473778E-2</v>
      </c>
      <c r="I456" s="9">
        <v>4.1714673862106671E-2</v>
      </c>
      <c r="J456" s="10">
        <v>1463846.9621303338</v>
      </c>
      <c r="K456" s="10">
        <v>1415308.6513197031</v>
      </c>
      <c r="L456" s="10">
        <v>1366770.3405090726</v>
      </c>
      <c r="M456" s="10">
        <v>1318232.029698442</v>
      </c>
      <c r="N456" s="10">
        <v>1269693.7188878115</v>
      </c>
      <c r="O456" s="10">
        <v>1221155.4080771806</v>
      </c>
      <c r="P456" s="10">
        <v>1124078.7864559193</v>
      </c>
      <c r="Q456" s="10">
        <v>1027002.164834658</v>
      </c>
      <c r="R456" s="10">
        <v>929925.5432133968</v>
      </c>
      <c r="S456" s="10">
        <v>832848.92159213556</v>
      </c>
      <c r="T456" s="10">
        <v>735772.29997087433</v>
      </c>
      <c r="V456" t="s">
        <v>456</v>
      </c>
      <c r="W456" t="s">
        <v>1898</v>
      </c>
      <c r="X456" t="s">
        <v>1899</v>
      </c>
      <c r="Y456" t="s">
        <v>941</v>
      </c>
      <c r="Z456" t="s">
        <v>942</v>
      </c>
      <c r="AB456" t="s">
        <v>1880</v>
      </c>
      <c r="AC456" t="s">
        <v>585</v>
      </c>
      <c r="AD456" t="s">
        <v>943</v>
      </c>
      <c r="AF456" t="s">
        <v>944</v>
      </c>
      <c r="AG456" t="s">
        <v>965</v>
      </c>
      <c r="AH456" t="s">
        <v>956</v>
      </c>
      <c r="AI456" t="s">
        <v>960</v>
      </c>
      <c r="AJ456" t="s">
        <v>948</v>
      </c>
      <c r="AK456">
        <v>189</v>
      </c>
      <c r="AL456" s="10">
        <v>20915.2</v>
      </c>
      <c r="AM456" s="10">
        <v>38462.800000000003</v>
      </c>
      <c r="AN456" s="10">
        <v>77961.600000000006</v>
      </c>
      <c r="AO456" s="9">
        <v>0.1628108117512255</v>
      </c>
      <c r="AP456" s="9">
        <v>310.69210000000004</v>
      </c>
      <c r="AQ456" s="9">
        <v>1.1752760623267142</v>
      </c>
      <c r="AR456" s="9">
        <v>7.7499999999999982</v>
      </c>
      <c r="AS456" s="9">
        <v>8.9252760623267129</v>
      </c>
      <c r="AT456" s="9">
        <v>4.2097825747377779</v>
      </c>
      <c r="AU456" s="9">
        <v>23.6</v>
      </c>
      <c r="AV456" s="9">
        <v>27.809782574737781</v>
      </c>
      <c r="AW456" s="11">
        <v>1463.8469621303338</v>
      </c>
      <c r="AX456" s="11">
        <v>735.77229997087431</v>
      </c>
      <c r="AY456" t="s">
        <v>949</v>
      </c>
      <c r="AZ456" t="s">
        <v>950</v>
      </c>
      <c r="BA456" t="s">
        <v>951</v>
      </c>
      <c r="BB456" t="s">
        <v>970</v>
      </c>
      <c r="BC456" t="b">
        <v>1</v>
      </c>
    </row>
    <row r="457" spans="1:55">
      <c r="A457" t="s">
        <v>1900</v>
      </c>
      <c r="B457" t="s">
        <v>939</v>
      </c>
      <c r="C457">
        <v>39325200</v>
      </c>
      <c r="D457">
        <v>21384200</v>
      </c>
      <c r="E457">
        <v>39325200</v>
      </c>
      <c r="F457">
        <v>79709800</v>
      </c>
      <c r="G457" s="9">
        <v>1.8414356848399305E-2</v>
      </c>
      <c r="H457" s="9">
        <v>5.8369686730852494E-2</v>
      </c>
      <c r="I457" s="9">
        <v>8.755453009627874E-2</v>
      </c>
      <c r="J457" s="10">
        <v>1496668.8476961581</v>
      </c>
      <c r="K457" s="10">
        <v>1447042.227161766</v>
      </c>
      <c r="L457" s="10">
        <v>1397415.6066273742</v>
      </c>
      <c r="M457" s="10">
        <v>1347788.9860929821</v>
      </c>
      <c r="N457" s="10">
        <v>1298162.3655585903</v>
      </c>
      <c r="O457" s="10">
        <v>1248535.7450241982</v>
      </c>
      <c r="P457" s="10">
        <v>1149282.5039554143</v>
      </c>
      <c r="Q457" s="10">
        <v>1050029.2628866304</v>
      </c>
      <c r="R457" s="10">
        <v>950776.02181784657</v>
      </c>
      <c r="S457" s="10">
        <v>851522.78074906254</v>
      </c>
      <c r="T457" s="10">
        <v>752269.53968027863</v>
      </c>
      <c r="V457" t="s">
        <v>456</v>
      </c>
      <c r="W457" t="s">
        <v>1900</v>
      </c>
      <c r="X457" t="s">
        <v>1901</v>
      </c>
      <c r="Y457" t="s">
        <v>941</v>
      </c>
      <c r="Z457" t="s">
        <v>942</v>
      </c>
      <c r="AB457" t="s">
        <v>1880</v>
      </c>
      <c r="AC457" t="s">
        <v>585</v>
      </c>
      <c r="AD457" t="s">
        <v>943</v>
      </c>
      <c r="AF457" t="s">
        <v>944</v>
      </c>
      <c r="AG457" t="s">
        <v>955</v>
      </c>
      <c r="AH457" t="s">
        <v>956</v>
      </c>
      <c r="AI457" t="s">
        <v>947</v>
      </c>
      <c r="AJ457" t="s">
        <v>948</v>
      </c>
      <c r="AK457">
        <v>4</v>
      </c>
      <c r="AL457" s="10">
        <v>21384.2</v>
      </c>
      <c r="AM457" s="10">
        <v>39325.199999999997</v>
      </c>
      <c r="AN457" s="10">
        <v>79709.8</v>
      </c>
      <c r="AO457" s="9">
        <v>8.7512381429890001E-4</v>
      </c>
      <c r="AP457" s="9">
        <v>1.67</v>
      </c>
      <c r="AQ457" s="9">
        <v>4.5615911662551998</v>
      </c>
      <c r="AR457" s="9">
        <v>13.852765682144106</v>
      </c>
      <c r="AS457" s="9">
        <v>18.414356848399304</v>
      </c>
      <c r="AT457" s="9">
        <v>12.799730275133708</v>
      </c>
      <c r="AU457" s="9">
        <v>45.569956455718788</v>
      </c>
      <c r="AV457" s="9">
        <v>58.369686730852493</v>
      </c>
      <c r="AW457" s="11">
        <v>1496.6688476961581</v>
      </c>
      <c r="AX457" s="11">
        <v>752.26953968027863</v>
      </c>
      <c r="AY457" t="s">
        <v>949</v>
      </c>
      <c r="AZ457" t="s">
        <v>950</v>
      </c>
      <c r="BA457" t="s">
        <v>951</v>
      </c>
      <c r="BB457" t="s">
        <v>970</v>
      </c>
      <c r="BC457" t="b">
        <v>1</v>
      </c>
    </row>
    <row r="458" spans="1:55">
      <c r="A458" t="s">
        <v>1902</v>
      </c>
      <c r="B458" t="s">
        <v>939</v>
      </c>
      <c r="C458">
        <v>1118700</v>
      </c>
      <c r="D458">
        <v>608300</v>
      </c>
      <c r="E458">
        <v>1118700</v>
      </c>
      <c r="F458">
        <v>2267600</v>
      </c>
      <c r="G458" s="9">
        <v>8.2872514304580796E-3</v>
      </c>
      <c r="H458" s="9">
        <v>2.0885557990210642E-2</v>
      </c>
      <c r="I458" s="9">
        <v>3.1328336985315966E-2</v>
      </c>
      <c r="J458" s="10">
        <v>42576.349005667929</v>
      </c>
      <c r="K458" s="10">
        <v>41164.60029512547</v>
      </c>
      <c r="L458" s="10">
        <v>39752.851584583012</v>
      </c>
      <c r="M458" s="10">
        <v>38341.102874040553</v>
      </c>
      <c r="N458" s="10">
        <v>36929.354163498087</v>
      </c>
      <c r="O458" s="10">
        <v>35517.605452955635</v>
      </c>
      <c r="P458" s="10">
        <v>32694.108031870714</v>
      </c>
      <c r="Q458" s="10">
        <v>29870.610610785796</v>
      </c>
      <c r="R458" s="10">
        <v>27047.113189700882</v>
      </c>
      <c r="S458" s="10">
        <v>24223.61576861596</v>
      </c>
      <c r="T458" s="10">
        <v>21400.118347531046</v>
      </c>
      <c r="V458" t="s">
        <v>456</v>
      </c>
      <c r="W458" t="s">
        <v>1902</v>
      </c>
      <c r="X458" t="s">
        <v>1903</v>
      </c>
      <c r="Y458" t="s">
        <v>941</v>
      </c>
      <c r="Z458" t="s">
        <v>942</v>
      </c>
      <c r="AB458" t="s">
        <v>1880</v>
      </c>
      <c r="AC458" t="s">
        <v>585</v>
      </c>
      <c r="AD458" t="s">
        <v>943</v>
      </c>
      <c r="AF458" t="s">
        <v>944</v>
      </c>
      <c r="AG458" t="s">
        <v>996</v>
      </c>
      <c r="AH458" t="s">
        <v>988</v>
      </c>
      <c r="AI458" t="s">
        <v>977</v>
      </c>
      <c r="AJ458" t="s">
        <v>948</v>
      </c>
      <c r="AK458">
        <v>17</v>
      </c>
      <c r="AL458" s="10">
        <v>608.29999999999995</v>
      </c>
      <c r="AM458" s="10">
        <v>1118.7</v>
      </c>
      <c r="AN458" s="10">
        <v>2267.6</v>
      </c>
      <c r="AO458" s="9">
        <v>1.44508095000087E-2</v>
      </c>
      <c r="AP458" s="9">
        <v>27.576500000000003</v>
      </c>
      <c r="AQ458" s="9">
        <v>2.08725143045808</v>
      </c>
      <c r="AR458" s="9">
        <v>6.1999999999999993</v>
      </c>
      <c r="AS458" s="9">
        <v>8.2872514304580793</v>
      </c>
      <c r="AT458" s="9">
        <v>6.0055579902106411</v>
      </c>
      <c r="AU458" s="9">
        <v>14.88</v>
      </c>
      <c r="AV458" s="9">
        <v>20.885557990210643</v>
      </c>
      <c r="AW458" s="11">
        <v>42.576349005667929</v>
      </c>
      <c r="AX458" s="11">
        <v>21.400118347531045</v>
      </c>
      <c r="AY458" t="s">
        <v>949</v>
      </c>
      <c r="AZ458" t="s">
        <v>950</v>
      </c>
      <c r="BA458" t="s">
        <v>951</v>
      </c>
      <c r="BB458" t="s">
        <v>970</v>
      </c>
      <c r="BC458" t="b">
        <v>1</v>
      </c>
    </row>
    <row r="459" spans="1:55">
      <c r="A459" t="s">
        <v>1904</v>
      </c>
      <c r="B459" t="s">
        <v>939</v>
      </c>
      <c r="C459">
        <v>2803500</v>
      </c>
      <c r="D459">
        <v>1524500</v>
      </c>
      <c r="E459">
        <v>2803500</v>
      </c>
      <c r="F459">
        <v>5682500</v>
      </c>
      <c r="G459" s="9">
        <v>1.2372463434719217E-2</v>
      </c>
      <c r="H459" s="9">
        <v>3.4766995548862686E-2</v>
      </c>
      <c r="I459" s="9">
        <v>5.215049332329403E-2</v>
      </c>
      <c r="J459" s="10">
        <v>106697.7692298114</v>
      </c>
      <c r="K459" s="10">
        <v>103159.87925930475</v>
      </c>
      <c r="L459" s="10">
        <v>99621.989288798126</v>
      </c>
      <c r="M459" s="10">
        <v>96084.099318291468</v>
      </c>
      <c r="N459" s="10">
        <v>92546.209347784825</v>
      </c>
      <c r="O459" s="10">
        <v>89008.319377278181</v>
      </c>
      <c r="P459" s="10">
        <v>81932.539436264909</v>
      </c>
      <c r="Q459" s="10">
        <v>74856.759495251608</v>
      </c>
      <c r="R459" s="10">
        <v>67780.979554238322</v>
      </c>
      <c r="S459" s="10">
        <v>60705.199613225042</v>
      </c>
      <c r="T459" s="10">
        <v>53629.419672211756</v>
      </c>
      <c r="V459" t="s">
        <v>456</v>
      </c>
      <c r="W459" t="s">
        <v>1904</v>
      </c>
      <c r="X459" t="s">
        <v>1905</v>
      </c>
      <c r="Y459" t="s">
        <v>941</v>
      </c>
      <c r="Z459" t="s">
        <v>942</v>
      </c>
      <c r="AB459" t="s">
        <v>1880</v>
      </c>
      <c r="AC459" t="s">
        <v>585</v>
      </c>
      <c r="AD459" t="s">
        <v>943</v>
      </c>
      <c r="AF459" t="s">
        <v>944</v>
      </c>
      <c r="AG459" t="s">
        <v>1042</v>
      </c>
      <c r="AH459" t="s">
        <v>988</v>
      </c>
      <c r="AI459" t="s">
        <v>960</v>
      </c>
      <c r="AJ459" t="s">
        <v>948</v>
      </c>
      <c r="AK459">
        <v>20</v>
      </c>
      <c r="AL459" s="10">
        <v>1524.5</v>
      </c>
      <c r="AM459" s="10">
        <v>2803.5</v>
      </c>
      <c r="AN459" s="10">
        <v>5682.5</v>
      </c>
      <c r="AO459" s="9">
        <v>1.18670457402588E-2</v>
      </c>
      <c r="AP459" s="9">
        <v>22.645900000000001</v>
      </c>
      <c r="AQ459" s="9">
        <v>4.6224634347192159</v>
      </c>
      <c r="AR459" s="9">
        <v>7.7499999999999991</v>
      </c>
      <c r="AS459" s="9">
        <v>12.372463434719217</v>
      </c>
      <c r="AT459" s="9">
        <v>11.166995548862692</v>
      </c>
      <c r="AU459" s="9">
        <v>23.6</v>
      </c>
      <c r="AV459" s="9">
        <v>34.766995548862688</v>
      </c>
      <c r="AW459" s="11">
        <v>106.6977692298114</v>
      </c>
      <c r="AX459" s="11">
        <v>53.629419672211753</v>
      </c>
      <c r="AY459" t="s">
        <v>949</v>
      </c>
      <c r="AZ459" t="s">
        <v>950</v>
      </c>
      <c r="BA459" t="s">
        <v>951</v>
      </c>
      <c r="BB459" t="s">
        <v>970</v>
      </c>
      <c r="BC459" t="b">
        <v>1</v>
      </c>
    </row>
    <row r="460" spans="1:55">
      <c r="A460" t="s">
        <v>1906</v>
      </c>
      <c r="B460" t="s">
        <v>939</v>
      </c>
      <c r="C460">
        <v>10146500</v>
      </c>
      <c r="D460">
        <v>7787800</v>
      </c>
      <c r="E460">
        <v>10146500</v>
      </c>
      <c r="F460">
        <v>17083900</v>
      </c>
      <c r="G460" s="9">
        <v>1.2560617874687624E-2</v>
      </c>
      <c r="H460" s="9">
        <v>2.927765563569917E-2</v>
      </c>
      <c r="I460" s="9">
        <v>4.3916483453548753E-2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V460" t="s">
        <v>456</v>
      </c>
      <c r="W460" t="s">
        <v>1906</v>
      </c>
      <c r="X460" t="s">
        <v>1907</v>
      </c>
      <c r="Y460" t="s">
        <v>941</v>
      </c>
      <c r="Z460" t="s">
        <v>942</v>
      </c>
      <c r="AB460" t="s">
        <v>587</v>
      </c>
      <c r="AC460" t="s">
        <v>586</v>
      </c>
      <c r="AD460" t="s">
        <v>968</v>
      </c>
      <c r="AF460" t="s">
        <v>944</v>
      </c>
      <c r="AG460" t="s">
        <v>955</v>
      </c>
      <c r="AH460" t="s">
        <v>956</v>
      </c>
      <c r="AI460" t="s">
        <v>947</v>
      </c>
      <c r="AJ460" t="s">
        <v>948</v>
      </c>
      <c r="AK460">
        <v>1</v>
      </c>
      <c r="AL460" s="10">
        <v>7787.8</v>
      </c>
      <c r="AM460" s="10">
        <v>10146.5</v>
      </c>
      <c r="AN460" s="10">
        <v>17083.900000000001</v>
      </c>
      <c r="AO460" s="9">
        <v>3.0953363598844399E-2</v>
      </c>
      <c r="AP460" s="9">
        <v>1.53</v>
      </c>
      <c r="AQ460" s="9">
        <v>4.4092890122416728</v>
      </c>
      <c r="AR460" s="9">
        <v>8.1513288624459506</v>
      </c>
      <c r="AS460" s="9">
        <v>12.560617874687624</v>
      </c>
      <c r="AT460" s="9">
        <v>6.1730046171383428</v>
      </c>
      <c r="AU460" s="9">
        <v>23.104651018560823</v>
      </c>
      <c r="AV460" s="9">
        <v>29.277655635699169</v>
      </c>
      <c r="AW460" s="11">
        <v>0</v>
      </c>
      <c r="AX460" s="11">
        <v>0</v>
      </c>
      <c r="AY460" t="s">
        <v>969</v>
      </c>
      <c r="AZ460" t="s">
        <v>950</v>
      </c>
      <c r="BA460" t="s">
        <v>951</v>
      </c>
      <c r="BB460" t="s">
        <v>970</v>
      </c>
      <c r="BC460" t="b">
        <v>1</v>
      </c>
    </row>
    <row r="461" spans="1:55">
      <c r="A461" t="s">
        <v>1908</v>
      </c>
      <c r="B461" t="s">
        <v>939</v>
      </c>
      <c r="C461">
        <v>1169200</v>
      </c>
      <c r="D461">
        <v>635800</v>
      </c>
      <c r="E461">
        <v>1169200</v>
      </c>
      <c r="F461">
        <v>2370000</v>
      </c>
      <c r="G461" s="9">
        <v>8.2982093716184105E-3</v>
      </c>
      <c r="H461" s="9">
        <v>2.4565452062848703E-2</v>
      </c>
      <c r="I461" s="9">
        <v>3.6848178094273057E-2</v>
      </c>
      <c r="J461" s="10">
        <v>46768</v>
      </c>
      <c r="K461" s="10">
        <v>46768</v>
      </c>
      <c r="L461" s="10">
        <v>46768</v>
      </c>
      <c r="M461" s="10">
        <v>46768</v>
      </c>
      <c r="N461" s="10">
        <v>46768</v>
      </c>
      <c r="O461" s="10">
        <v>46768</v>
      </c>
      <c r="P461" s="10">
        <v>46768</v>
      </c>
      <c r="Q461" s="10">
        <v>46768</v>
      </c>
      <c r="R461" s="10">
        <v>46768</v>
      </c>
      <c r="S461" s="10">
        <v>46768</v>
      </c>
      <c r="T461" s="10">
        <v>46768</v>
      </c>
      <c r="V461" t="s">
        <v>456</v>
      </c>
      <c r="W461" t="s">
        <v>1908</v>
      </c>
      <c r="X461" t="s">
        <v>1909</v>
      </c>
      <c r="Y461" t="s">
        <v>941</v>
      </c>
      <c r="Z461" t="s">
        <v>942</v>
      </c>
      <c r="AB461" t="s">
        <v>587</v>
      </c>
      <c r="AC461" t="s">
        <v>586</v>
      </c>
      <c r="AD461" t="s">
        <v>943</v>
      </c>
      <c r="AF461" t="s">
        <v>944</v>
      </c>
      <c r="AG461" t="s">
        <v>959</v>
      </c>
      <c r="AH461" t="s">
        <v>946</v>
      </c>
      <c r="AI461" t="s">
        <v>960</v>
      </c>
      <c r="AJ461" t="s">
        <v>948</v>
      </c>
      <c r="AK461">
        <v>8</v>
      </c>
      <c r="AL461" s="10">
        <v>635.79999999999995</v>
      </c>
      <c r="AM461" s="10">
        <v>1169.2</v>
      </c>
      <c r="AN461" s="10">
        <v>2370</v>
      </c>
      <c r="AO461" s="9">
        <v>0.2425691696406172</v>
      </c>
      <c r="AP461" s="9">
        <v>11.99</v>
      </c>
      <c r="AQ461" s="9">
        <v>0.54820937161841188</v>
      </c>
      <c r="AR461" s="9">
        <v>7.75</v>
      </c>
      <c r="AS461" s="9">
        <v>8.2982093716184107</v>
      </c>
      <c r="AT461" s="9">
        <v>0.96545206284870455</v>
      </c>
      <c r="AU461" s="9">
        <v>23.6</v>
      </c>
      <c r="AV461" s="9">
        <v>24.565452062848703</v>
      </c>
      <c r="AW461" s="11">
        <v>46.768000000000001</v>
      </c>
      <c r="AX461" s="11">
        <v>46.768000000000001</v>
      </c>
      <c r="AY461" t="s">
        <v>949</v>
      </c>
      <c r="AZ461" t="s">
        <v>950</v>
      </c>
      <c r="BA461" t="s">
        <v>951</v>
      </c>
      <c r="BB461" t="s">
        <v>952</v>
      </c>
      <c r="BC461" t="b">
        <v>1</v>
      </c>
    </row>
    <row r="462" spans="1:55">
      <c r="A462" t="s">
        <v>1910</v>
      </c>
      <c r="B462" t="s">
        <v>939</v>
      </c>
      <c r="C462">
        <v>11045100</v>
      </c>
      <c r="D462">
        <v>6006100</v>
      </c>
      <c r="E462">
        <v>11045100</v>
      </c>
      <c r="F462">
        <v>22387700</v>
      </c>
      <c r="G462" s="9">
        <v>1.3935672153495539E-2</v>
      </c>
      <c r="H462" s="9">
        <v>4.5452350129654442E-2</v>
      </c>
      <c r="I462" s="9">
        <v>6.8178525194481671E-2</v>
      </c>
      <c r="J462" s="10">
        <v>441804</v>
      </c>
      <c r="K462" s="10">
        <v>441804</v>
      </c>
      <c r="L462" s="10">
        <v>441804</v>
      </c>
      <c r="M462" s="10">
        <v>441804</v>
      </c>
      <c r="N462" s="10">
        <v>441804</v>
      </c>
      <c r="O462" s="10">
        <v>441804</v>
      </c>
      <c r="P462" s="10">
        <v>441804</v>
      </c>
      <c r="Q462" s="10">
        <v>441804</v>
      </c>
      <c r="R462" s="10">
        <v>441804</v>
      </c>
      <c r="S462" s="10">
        <v>441804</v>
      </c>
      <c r="T462" s="10">
        <v>441804</v>
      </c>
      <c r="V462" t="s">
        <v>456</v>
      </c>
      <c r="W462" t="s">
        <v>1910</v>
      </c>
      <c r="X462" t="s">
        <v>1911</v>
      </c>
      <c r="Y462" t="s">
        <v>941</v>
      </c>
      <c r="Z462" t="s">
        <v>942</v>
      </c>
      <c r="AB462" t="s">
        <v>587</v>
      </c>
      <c r="AC462" t="s">
        <v>586</v>
      </c>
      <c r="AD462" t="s">
        <v>943</v>
      </c>
      <c r="AF462" t="s">
        <v>944</v>
      </c>
      <c r="AG462" t="s">
        <v>945</v>
      </c>
      <c r="AH462" t="s">
        <v>946</v>
      </c>
      <c r="AI462" t="s">
        <v>947</v>
      </c>
      <c r="AJ462" t="s">
        <v>948</v>
      </c>
      <c r="AK462">
        <v>2</v>
      </c>
      <c r="AL462" s="10">
        <v>6006.1</v>
      </c>
      <c r="AM462" s="10">
        <v>11045.1</v>
      </c>
      <c r="AN462" s="10">
        <v>22387.7</v>
      </c>
      <c r="AO462" s="9">
        <v>3.3694658218219098E-2</v>
      </c>
      <c r="AP462" s="9">
        <v>1.6655</v>
      </c>
      <c r="AQ462" s="9">
        <v>0.35012404941895459</v>
      </c>
      <c r="AR462" s="9">
        <v>13.585548104076585</v>
      </c>
      <c r="AS462" s="9">
        <v>13.935672153495538</v>
      </c>
      <c r="AT462" s="9">
        <v>0.84437695497873566</v>
      </c>
      <c r="AU462" s="9">
        <v>44.607973174675706</v>
      </c>
      <c r="AV462" s="9">
        <v>45.452350129654441</v>
      </c>
      <c r="AW462" s="11">
        <v>441.80399999999997</v>
      </c>
      <c r="AX462" s="11">
        <v>441.80399999999997</v>
      </c>
      <c r="AY462" t="s">
        <v>949</v>
      </c>
      <c r="AZ462" t="s">
        <v>950</v>
      </c>
      <c r="BA462" t="s">
        <v>951</v>
      </c>
      <c r="BB462" t="s">
        <v>952</v>
      </c>
      <c r="BC462" t="b">
        <v>1</v>
      </c>
    </row>
    <row r="463" spans="1:55">
      <c r="A463" t="s">
        <v>1912</v>
      </c>
      <c r="B463" t="s">
        <v>939</v>
      </c>
      <c r="C463">
        <v>2959600</v>
      </c>
      <c r="D463">
        <v>1609400</v>
      </c>
      <c r="E463">
        <v>2959600</v>
      </c>
      <c r="F463">
        <v>5998900</v>
      </c>
      <c r="G463" s="9">
        <v>9.003708458083624E-3</v>
      </c>
      <c r="H463" s="9">
        <v>2.7669003553074788E-2</v>
      </c>
      <c r="I463" s="9">
        <v>4.1503505329612181E-2</v>
      </c>
      <c r="J463" s="10">
        <v>118384</v>
      </c>
      <c r="K463" s="10">
        <v>118384</v>
      </c>
      <c r="L463" s="10">
        <v>118384</v>
      </c>
      <c r="M463" s="10">
        <v>118384</v>
      </c>
      <c r="N463" s="10">
        <v>118384</v>
      </c>
      <c r="O463" s="10">
        <v>118384</v>
      </c>
      <c r="P463" s="10">
        <v>118384</v>
      </c>
      <c r="Q463" s="10">
        <v>118384</v>
      </c>
      <c r="R463" s="10">
        <v>118384</v>
      </c>
      <c r="S463" s="10">
        <v>118384</v>
      </c>
      <c r="T463" s="10">
        <v>118384</v>
      </c>
      <c r="V463" t="s">
        <v>456</v>
      </c>
      <c r="W463" t="s">
        <v>1912</v>
      </c>
      <c r="X463" t="s">
        <v>1913</v>
      </c>
      <c r="Y463" t="s">
        <v>941</v>
      </c>
      <c r="Z463" t="s">
        <v>942</v>
      </c>
      <c r="AB463" t="s">
        <v>587</v>
      </c>
      <c r="AC463" t="s">
        <v>586</v>
      </c>
      <c r="AD463" t="s">
        <v>943</v>
      </c>
      <c r="AF463" t="s">
        <v>944</v>
      </c>
      <c r="AG463" t="s">
        <v>965</v>
      </c>
      <c r="AH463" t="s">
        <v>956</v>
      </c>
      <c r="AI463" t="s">
        <v>960</v>
      </c>
      <c r="AJ463" t="s">
        <v>948</v>
      </c>
      <c r="AK463">
        <v>13</v>
      </c>
      <c r="AL463" s="10">
        <v>1609.4</v>
      </c>
      <c r="AM463" s="10">
        <v>2959.6</v>
      </c>
      <c r="AN463" s="10">
        <v>5998.9</v>
      </c>
      <c r="AO463" s="9">
        <v>0.61400144044410987</v>
      </c>
      <c r="AP463" s="9">
        <v>30.349599999999995</v>
      </c>
      <c r="AQ463" s="9">
        <v>1.2537084580836244</v>
      </c>
      <c r="AR463" s="9">
        <v>7.7500000000000009</v>
      </c>
      <c r="AS463" s="9">
        <v>9.003708458083624</v>
      </c>
      <c r="AT463" s="9">
        <v>4.0690035530747846</v>
      </c>
      <c r="AU463" s="9">
        <v>23.600000000000009</v>
      </c>
      <c r="AV463" s="9">
        <v>27.669003553074788</v>
      </c>
      <c r="AW463" s="11">
        <v>118.384</v>
      </c>
      <c r="AX463" s="11">
        <v>118.384</v>
      </c>
      <c r="AY463" t="s">
        <v>949</v>
      </c>
      <c r="AZ463" t="s">
        <v>950</v>
      </c>
      <c r="BA463" t="s">
        <v>951</v>
      </c>
      <c r="BB463" t="s">
        <v>952</v>
      </c>
      <c r="BC463" t="b">
        <v>1</v>
      </c>
    </row>
    <row r="464" spans="1:55">
      <c r="A464" t="s">
        <v>1914</v>
      </c>
      <c r="B464" t="s">
        <v>939</v>
      </c>
      <c r="C464">
        <v>379700</v>
      </c>
      <c r="D464">
        <v>206500</v>
      </c>
      <c r="E464">
        <v>379700</v>
      </c>
      <c r="F464">
        <v>769700</v>
      </c>
      <c r="G464" s="9">
        <v>1.2069997409941963E-2</v>
      </c>
      <c r="H464" s="9">
        <v>3.3862814512991744E-2</v>
      </c>
      <c r="I464" s="9">
        <v>5.0794221769487613E-2</v>
      </c>
      <c r="J464" s="10">
        <v>15188</v>
      </c>
      <c r="K464" s="10">
        <v>15188</v>
      </c>
      <c r="L464" s="10">
        <v>15188</v>
      </c>
      <c r="M464" s="10">
        <v>15188</v>
      </c>
      <c r="N464" s="10">
        <v>15188</v>
      </c>
      <c r="O464" s="10">
        <v>15188</v>
      </c>
      <c r="P464" s="10">
        <v>15188</v>
      </c>
      <c r="Q464" s="10">
        <v>15188</v>
      </c>
      <c r="R464" s="10">
        <v>15188</v>
      </c>
      <c r="S464" s="10">
        <v>15188</v>
      </c>
      <c r="T464" s="10">
        <v>15188</v>
      </c>
      <c r="V464" t="s">
        <v>456</v>
      </c>
      <c r="W464" t="s">
        <v>1914</v>
      </c>
      <c r="X464" t="s">
        <v>1915</v>
      </c>
      <c r="Y464" t="s">
        <v>941</v>
      </c>
      <c r="Z464" t="s">
        <v>942</v>
      </c>
      <c r="AB464" t="s">
        <v>587</v>
      </c>
      <c r="AC464" t="s">
        <v>586</v>
      </c>
      <c r="AD464" t="s">
        <v>943</v>
      </c>
      <c r="AF464" t="s">
        <v>944</v>
      </c>
      <c r="AG464" t="s">
        <v>1042</v>
      </c>
      <c r="AH464" t="s">
        <v>988</v>
      </c>
      <c r="AI464" t="s">
        <v>960</v>
      </c>
      <c r="AJ464" t="s">
        <v>948</v>
      </c>
      <c r="AK464">
        <v>3</v>
      </c>
      <c r="AL464" s="10">
        <v>206.5</v>
      </c>
      <c r="AM464" s="10">
        <v>379.7</v>
      </c>
      <c r="AN464" s="10">
        <v>769.7</v>
      </c>
      <c r="AO464" s="9">
        <v>7.8781368098209098E-2</v>
      </c>
      <c r="AP464" s="9">
        <v>3.8940999999999999</v>
      </c>
      <c r="AQ464" s="9">
        <v>4.3199974099419638</v>
      </c>
      <c r="AR464" s="9">
        <v>7.7500000000000009</v>
      </c>
      <c r="AS464" s="9">
        <v>12.069997409941964</v>
      </c>
      <c r="AT464" s="9">
        <v>10.262814512991749</v>
      </c>
      <c r="AU464" s="9">
        <v>23.6</v>
      </c>
      <c r="AV464" s="9">
        <v>33.862814512991747</v>
      </c>
      <c r="AW464" s="11">
        <v>15.188000000000001</v>
      </c>
      <c r="AX464" s="11">
        <v>15.188000000000001</v>
      </c>
      <c r="AY464" t="s">
        <v>949</v>
      </c>
      <c r="AZ464" t="s">
        <v>950</v>
      </c>
      <c r="BA464" t="s">
        <v>951</v>
      </c>
      <c r="BB464" t="s">
        <v>952</v>
      </c>
      <c r="BC464" t="b">
        <v>1</v>
      </c>
    </row>
    <row r="465" spans="1:55">
      <c r="A465" t="s">
        <v>1916</v>
      </c>
      <c r="B465" t="s">
        <v>939</v>
      </c>
      <c r="C465">
        <v>868100</v>
      </c>
      <c r="D465">
        <v>472100</v>
      </c>
      <c r="E465">
        <v>868100</v>
      </c>
      <c r="F465">
        <v>1759600</v>
      </c>
      <c r="G465" s="9">
        <v>1.0015804960903481E-2</v>
      </c>
      <c r="H465" s="9">
        <v>2.6950540722855701E-2</v>
      </c>
      <c r="I465" s="9">
        <v>4.0425811084283551E-2</v>
      </c>
      <c r="J465" s="10">
        <v>34724.000000000007</v>
      </c>
      <c r="K465" s="10">
        <v>34038.37948346608</v>
      </c>
      <c r="L465" s="10">
        <v>33352.758966932161</v>
      </c>
      <c r="M465" s="10">
        <v>32667.138450398234</v>
      </c>
      <c r="N465" s="10">
        <v>31981.51793386431</v>
      </c>
      <c r="O465" s="10">
        <v>31295.897417330387</v>
      </c>
      <c r="P465" s="10">
        <v>29924.65638426254</v>
      </c>
      <c r="Q465" s="10">
        <v>28553.415351194697</v>
      </c>
      <c r="R465" s="10">
        <v>27182.17431812685</v>
      </c>
      <c r="S465" s="10">
        <v>25810.933285059004</v>
      </c>
      <c r="T465" s="10">
        <v>24439.692251991157</v>
      </c>
      <c r="V465" t="s">
        <v>456</v>
      </c>
      <c r="W465" t="s">
        <v>1916</v>
      </c>
      <c r="X465" t="s">
        <v>1917</v>
      </c>
      <c r="Y465" t="s">
        <v>941</v>
      </c>
      <c r="Z465" t="s">
        <v>942</v>
      </c>
      <c r="AB465" t="s">
        <v>132</v>
      </c>
      <c r="AC465" t="s">
        <v>72</v>
      </c>
      <c r="AD465" t="s">
        <v>943</v>
      </c>
      <c r="AF465" t="s">
        <v>944</v>
      </c>
      <c r="AG465" t="s">
        <v>959</v>
      </c>
      <c r="AH465" t="s">
        <v>946</v>
      </c>
      <c r="AI465" t="s">
        <v>960</v>
      </c>
      <c r="AJ465" t="s">
        <v>948</v>
      </c>
      <c r="AK465">
        <v>4</v>
      </c>
      <c r="AL465" s="10">
        <v>472.1</v>
      </c>
      <c r="AM465" s="10">
        <v>868.1</v>
      </c>
      <c r="AN465" s="10">
        <v>1759.6</v>
      </c>
      <c r="AO465" s="9">
        <v>0.32380663524800518</v>
      </c>
      <c r="AP465" s="9">
        <v>1.3878999999999999</v>
      </c>
      <c r="AQ465" s="9">
        <v>2.2658049609034809</v>
      </c>
      <c r="AR465" s="9">
        <v>7.7500000000000009</v>
      </c>
      <c r="AS465" s="9">
        <v>10.015804960903482</v>
      </c>
      <c r="AT465" s="9">
        <v>3.3505407228556998</v>
      </c>
      <c r="AU465" s="9">
        <v>23.600000000000005</v>
      </c>
      <c r="AV465" s="9">
        <v>26.950540722855703</v>
      </c>
      <c r="AW465" s="11">
        <v>34.724000000000004</v>
      </c>
      <c r="AX465" s="11">
        <v>24.439692251991158</v>
      </c>
      <c r="AY465" t="s">
        <v>949</v>
      </c>
      <c r="AZ465" t="s">
        <v>950</v>
      </c>
      <c r="BA465" t="s">
        <v>951</v>
      </c>
      <c r="BB465" t="s">
        <v>952</v>
      </c>
      <c r="BC465" t="b">
        <v>1</v>
      </c>
    </row>
    <row r="466" spans="1:55">
      <c r="A466" t="s">
        <v>1918</v>
      </c>
      <c r="B466" t="s">
        <v>939</v>
      </c>
      <c r="C466">
        <v>41979600</v>
      </c>
      <c r="D466">
        <v>22827600</v>
      </c>
      <c r="E466">
        <v>41979600</v>
      </c>
      <c r="F466">
        <v>85090000</v>
      </c>
      <c r="G466" s="9">
        <v>1.5255700739457308E-2</v>
      </c>
      <c r="H466" s="9"/>
      <c r="I466" s="9"/>
      <c r="J466" s="10">
        <v>1679184</v>
      </c>
      <c r="K466" s="10">
        <v>1646028.7471076057</v>
      </c>
      <c r="L466" s="10">
        <v>1612873.4942152114</v>
      </c>
      <c r="M466" s="10">
        <v>1579718.2413228173</v>
      </c>
      <c r="N466" s="10">
        <v>1546562.9884304227</v>
      </c>
      <c r="O466" s="10">
        <v>1513407.7355380286</v>
      </c>
      <c r="P466" s="10">
        <v>1447097.22975324</v>
      </c>
      <c r="Q466" s="10">
        <v>1380786.7239684516</v>
      </c>
      <c r="R466" s="10">
        <v>1314476.218183663</v>
      </c>
      <c r="S466" s="10">
        <v>1248165.7123988743</v>
      </c>
      <c r="T466" s="10">
        <v>1181855.2066140857</v>
      </c>
      <c r="V466" t="s">
        <v>456</v>
      </c>
      <c r="W466" t="s">
        <v>1918</v>
      </c>
      <c r="X466" t="s">
        <v>1919</v>
      </c>
      <c r="Y466" t="s">
        <v>941</v>
      </c>
      <c r="Z466" t="s">
        <v>942</v>
      </c>
      <c r="AB466" t="s">
        <v>132</v>
      </c>
      <c r="AC466" t="s">
        <v>72</v>
      </c>
      <c r="AD466" t="s">
        <v>943</v>
      </c>
      <c r="AF466" t="s">
        <v>944</v>
      </c>
      <c r="AG466" t="s">
        <v>945</v>
      </c>
      <c r="AH466" t="s">
        <v>946</v>
      </c>
      <c r="AI466" t="s">
        <v>947</v>
      </c>
      <c r="AJ466" t="s">
        <v>948</v>
      </c>
      <c r="AK466">
        <v>2</v>
      </c>
      <c r="AL466" s="10">
        <v>22827.599999999999</v>
      </c>
      <c r="AM466" s="10">
        <v>41979.6</v>
      </c>
      <c r="AN466" s="10">
        <v>85090</v>
      </c>
      <c r="AO466" s="9">
        <v>0.117610004199524</v>
      </c>
      <c r="AP466" s="9">
        <v>0.50409999999999999</v>
      </c>
      <c r="AQ466" s="9">
        <v>0.97892881877688898</v>
      </c>
      <c r="AR466" s="9">
        <v>14.276771920680419</v>
      </c>
      <c r="AS466" s="9">
        <v>15.255700739457309</v>
      </c>
      <c r="AT466" s="9"/>
      <c r="AU466" s="9"/>
      <c r="AV466" s="9"/>
      <c r="AW466" s="11">
        <v>1679.184</v>
      </c>
      <c r="AX466" s="11">
        <v>1181.8552066140858</v>
      </c>
      <c r="AY466" t="s">
        <v>949</v>
      </c>
      <c r="AZ466" t="s">
        <v>950</v>
      </c>
      <c r="BA466" t="s">
        <v>951</v>
      </c>
      <c r="BB466" t="s">
        <v>952</v>
      </c>
      <c r="BC466" t="b">
        <v>0</v>
      </c>
    </row>
    <row r="467" spans="1:55">
      <c r="A467" t="s">
        <v>1920</v>
      </c>
      <c r="B467" t="s">
        <v>939</v>
      </c>
      <c r="C467">
        <v>1497600</v>
      </c>
      <c r="D467">
        <v>814300</v>
      </c>
      <c r="E467">
        <v>1497600</v>
      </c>
      <c r="F467">
        <v>3035500</v>
      </c>
      <c r="G467" s="9">
        <v>1.0507305357079099E-2</v>
      </c>
      <c r="H467" s="9">
        <v>3.0050957841138887E-2</v>
      </c>
      <c r="I467" s="9">
        <v>4.5076436761708333E-2</v>
      </c>
      <c r="J467" s="10">
        <v>59904</v>
      </c>
      <c r="K467" s="10">
        <v>58721.203910193297</v>
      </c>
      <c r="L467" s="10">
        <v>57538.407820386587</v>
      </c>
      <c r="M467" s="10">
        <v>56355.611730579883</v>
      </c>
      <c r="N467" s="10">
        <v>55172.815640773166</v>
      </c>
      <c r="O467" s="10">
        <v>53990.019550966455</v>
      </c>
      <c r="P467" s="10">
        <v>51624.427371353042</v>
      </c>
      <c r="Q467" s="10">
        <v>49258.835191739628</v>
      </c>
      <c r="R467" s="10">
        <v>46893.243012126215</v>
      </c>
      <c r="S467" s="10">
        <v>44527.650832512794</v>
      </c>
      <c r="T467" s="10">
        <v>42162.058652899374</v>
      </c>
      <c r="V467" t="s">
        <v>456</v>
      </c>
      <c r="W467" t="s">
        <v>1920</v>
      </c>
      <c r="X467" t="s">
        <v>1921</v>
      </c>
      <c r="Y467" t="s">
        <v>941</v>
      </c>
      <c r="Z467" t="s">
        <v>942</v>
      </c>
      <c r="AB467" t="s">
        <v>132</v>
      </c>
      <c r="AC467" t="s">
        <v>72</v>
      </c>
      <c r="AD467" t="s">
        <v>943</v>
      </c>
      <c r="AF467" t="s">
        <v>944</v>
      </c>
      <c r="AG467" t="s">
        <v>965</v>
      </c>
      <c r="AH467" t="s">
        <v>956</v>
      </c>
      <c r="AI467" t="s">
        <v>960</v>
      </c>
      <c r="AJ467" t="s">
        <v>948</v>
      </c>
      <c r="AK467">
        <v>4</v>
      </c>
      <c r="AL467" s="10">
        <v>814.3</v>
      </c>
      <c r="AM467" s="10">
        <v>1497.6</v>
      </c>
      <c r="AN467" s="10">
        <v>3035.5</v>
      </c>
      <c r="AO467" s="9">
        <v>0.55858336055247071</v>
      </c>
      <c r="AP467" s="9">
        <v>2.3942000000000001</v>
      </c>
      <c r="AQ467" s="9">
        <v>2.7573053570791011</v>
      </c>
      <c r="AR467" s="9">
        <v>7.75</v>
      </c>
      <c r="AS467" s="9">
        <v>10.507305357079099</v>
      </c>
      <c r="AT467" s="9">
        <v>6.4509578411388908</v>
      </c>
      <c r="AU467" s="9">
        <v>23.600000000000005</v>
      </c>
      <c r="AV467" s="9">
        <v>30.050957841138889</v>
      </c>
      <c r="AW467" s="11">
        <v>59.904000000000003</v>
      </c>
      <c r="AX467" s="11">
        <v>42.162058652899375</v>
      </c>
      <c r="AY467" t="s">
        <v>949</v>
      </c>
      <c r="AZ467" t="s">
        <v>950</v>
      </c>
      <c r="BA467" t="s">
        <v>951</v>
      </c>
      <c r="BB467" t="s">
        <v>952</v>
      </c>
      <c r="BC467" t="b">
        <v>1</v>
      </c>
    </row>
    <row r="468" spans="1:55">
      <c r="A468" t="s">
        <v>1922</v>
      </c>
      <c r="B468" t="s">
        <v>939</v>
      </c>
      <c r="C468">
        <v>524200.00000000006</v>
      </c>
      <c r="D468">
        <v>402400</v>
      </c>
      <c r="E468">
        <v>524200.00000000006</v>
      </c>
      <c r="F468">
        <v>882700</v>
      </c>
      <c r="G468" s="9">
        <v>9.011577195202786E-3</v>
      </c>
      <c r="H468" s="9">
        <v>1.9393434304107816E-2</v>
      </c>
      <c r="I468" s="9">
        <v>2.9090151456161725E-2</v>
      </c>
      <c r="J468" s="10">
        <v>8499.3993095512087</v>
      </c>
      <c r="K468" s="10">
        <v>8499.3993095512087</v>
      </c>
      <c r="L468" s="10">
        <v>8499.3993095512087</v>
      </c>
      <c r="M468" s="10">
        <v>8499.3993095512087</v>
      </c>
      <c r="N468" s="10">
        <v>8499.3993095512087</v>
      </c>
      <c r="O468" s="10">
        <v>8499.3993095512087</v>
      </c>
      <c r="P468" s="10">
        <v>8499.3993095512087</v>
      </c>
      <c r="Q468" s="10">
        <v>8499.3993095512087</v>
      </c>
      <c r="R468" s="10">
        <v>8499.3993095512087</v>
      </c>
      <c r="S468" s="10">
        <v>8499.3993095512087</v>
      </c>
      <c r="T468" s="10">
        <v>8499.3993095512087</v>
      </c>
      <c r="V468" t="s">
        <v>456</v>
      </c>
      <c r="W468" t="s">
        <v>1922</v>
      </c>
      <c r="X468" t="s">
        <v>1923</v>
      </c>
      <c r="Y468" t="s">
        <v>941</v>
      </c>
      <c r="Z468" t="s">
        <v>942</v>
      </c>
      <c r="AB468" t="s">
        <v>589</v>
      </c>
      <c r="AC468" t="s">
        <v>588</v>
      </c>
      <c r="AD468" t="s">
        <v>968</v>
      </c>
      <c r="AF468" t="s">
        <v>986</v>
      </c>
      <c r="AG468" t="s">
        <v>976</v>
      </c>
      <c r="AH468" t="s">
        <v>956</v>
      </c>
      <c r="AI468" t="s">
        <v>977</v>
      </c>
      <c r="AJ468" t="s">
        <v>1054</v>
      </c>
      <c r="AK468">
        <v>2</v>
      </c>
      <c r="AL468" s="10">
        <v>402.4</v>
      </c>
      <c r="AM468" s="10">
        <v>524.20000000000005</v>
      </c>
      <c r="AN468" s="10">
        <v>882.7</v>
      </c>
      <c r="AO468" s="9">
        <v>7.8795333354038002E-2</v>
      </c>
      <c r="AP468" s="9">
        <v>21.819199999999999</v>
      </c>
      <c r="AQ468" s="9">
        <v>1.5715771952027844</v>
      </c>
      <c r="AR468" s="9">
        <v>7.4400000000000013</v>
      </c>
      <c r="AS468" s="9">
        <v>9.0115771952027863</v>
      </c>
      <c r="AT468" s="9">
        <v>2.0334343041078151</v>
      </c>
      <c r="AU468" s="9">
        <v>17.360000000000003</v>
      </c>
      <c r="AV468" s="9">
        <v>19.393434304107817</v>
      </c>
      <c r="AW468" s="11">
        <v>8.4993993095512081</v>
      </c>
      <c r="AX468" s="11">
        <v>8.4993993095512081</v>
      </c>
      <c r="AY468" t="s">
        <v>969</v>
      </c>
      <c r="AZ468" t="s">
        <v>950</v>
      </c>
      <c r="BA468" t="s">
        <v>951</v>
      </c>
      <c r="BB468" t="s">
        <v>970</v>
      </c>
      <c r="BC468" t="b">
        <v>1</v>
      </c>
    </row>
    <row r="469" spans="1:55">
      <c r="A469" t="s">
        <v>1924</v>
      </c>
      <c r="B469" t="s">
        <v>939</v>
      </c>
      <c r="C469">
        <v>344800</v>
      </c>
      <c r="D469">
        <v>264600</v>
      </c>
      <c r="E469">
        <v>344800</v>
      </c>
      <c r="F469">
        <v>580500</v>
      </c>
      <c r="G469" s="9">
        <v>9.8339926440421128E-3</v>
      </c>
      <c r="H469" s="9"/>
      <c r="I469" s="9"/>
      <c r="J469" s="10">
        <v>5590.6006904487913</v>
      </c>
      <c r="K469" s="10">
        <v>5590.6006904487913</v>
      </c>
      <c r="L469" s="10">
        <v>5590.6006904487913</v>
      </c>
      <c r="M469" s="10">
        <v>5590.6006904487913</v>
      </c>
      <c r="N469" s="10">
        <v>5590.6006904487913</v>
      </c>
      <c r="O469" s="10">
        <v>5590.6006904487913</v>
      </c>
      <c r="P469" s="10">
        <v>5590.6006904487913</v>
      </c>
      <c r="Q469" s="10">
        <v>5590.6006904487913</v>
      </c>
      <c r="R469" s="10">
        <v>5590.6006904487913</v>
      </c>
      <c r="S469" s="10">
        <v>5590.6006904487913</v>
      </c>
      <c r="T469" s="10">
        <v>5590.6006904487913</v>
      </c>
      <c r="V469" t="s">
        <v>456</v>
      </c>
      <c r="W469" t="s">
        <v>1924</v>
      </c>
      <c r="X469" t="s">
        <v>1925</v>
      </c>
      <c r="Y469" t="s">
        <v>941</v>
      </c>
      <c r="Z469" t="s">
        <v>942</v>
      </c>
      <c r="AB469" t="s">
        <v>589</v>
      </c>
      <c r="AC469" t="s">
        <v>588</v>
      </c>
      <c r="AD469" t="s">
        <v>968</v>
      </c>
      <c r="AF469" t="s">
        <v>986</v>
      </c>
      <c r="AG469" t="s">
        <v>996</v>
      </c>
      <c r="AH469" t="s">
        <v>988</v>
      </c>
      <c r="AI469" t="s">
        <v>977</v>
      </c>
      <c r="AJ469" t="s">
        <v>1054</v>
      </c>
      <c r="AK469">
        <v>1</v>
      </c>
      <c r="AL469" s="10">
        <v>264.60000000000002</v>
      </c>
      <c r="AM469" s="10">
        <v>344.8</v>
      </c>
      <c r="AN469" s="10">
        <v>580.5</v>
      </c>
      <c r="AO469" s="9">
        <v>5.1821929018041203E-2</v>
      </c>
      <c r="AP469" s="9">
        <v>14.35</v>
      </c>
      <c r="AQ469" s="9">
        <v>2.3939926440421111</v>
      </c>
      <c r="AR469" s="9">
        <v>7.4400000000000013</v>
      </c>
      <c r="AS469" s="9">
        <v>9.8339926440421124</v>
      </c>
      <c r="AT469" s="9"/>
      <c r="AU469" s="9"/>
      <c r="AV469" s="9"/>
      <c r="AW469" s="11">
        <v>5.5906006904487917</v>
      </c>
      <c r="AX469" s="11">
        <v>5.5906006904487917</v>
      </c>
      <c r="AY469" t="s">
        <v>969</v>
      </c>
      <c r="AZ469" t="s">
        <v>950</v>
      </c>
      <c r="BA469" t="s">
        <v>951</v>
      </c>
      <c r="BB469" t="s">
        <v>970</v>
      </c>
      <c r="BC469" t="b">
        <v>0</v>
      </c>
    </row>
    <row r="470" spans="1:55">
      <c r="A470" t="s">
        <v>1926</v>
      </c>
      <c r="B470" t="s">
        <v>939</v>
      </c>
      <c r="C470">
        <v>5350500</v>
      </c>
      <c r="D470">
        <v>2909500</v>
      </c>
      <c r="E470">
        <v>5350500</v>
      </c>
      <c r="F470">
        <v>10845100</v>
      </c>
      <c r="G470" s="9">
        <v>2.2645428710425942E-2</v>
      </c>
      <c r="H470" s="9">
        <v>3.7099990718315413E-2</v>
      </c>
      <c r="I470" s="9">
        <v>5.5649986077473124E-2</v>
      </c>
      <c r="J470" s="10">
        <v>214020</v>
      </c>
      <c r="K470" s="10">
        <v>214020</v>
      </c>
      <c r="L470" s="10">
        <v>214020</v>
      </c>
      <c r="M470" s="10">
        <v>214020</v>
      </c>
      <c r="N470" s="10">
        <v>214020</v>
      </c>
      <c r="O470" s="10">
        <v>214020</v>
      </c>
      <c r="P470" s="10">
        <v>214020</v>
      </c>
      <c r="Q470" s="10">
        <v>214020</v>
      </c>
      <c r="R470" s="10">
        <v>214020</v>
      </c>
      <c r="S470" s="10">
        <v>214020</v>
      </c>
      <c r="T470" s="10">
        <v>214020</v>
      </c>
      <c r="V470" t="s">
        <v>456</v>
      </c>
      <c r="W470" t="s">
        <v>1926</v>
      </c>
      <c r="X470" t="s">
        <v>1927</v>
      </c>
      <c r="Y470" t="s">
        <v>941</v>
      </c>
      <c r="Z470" t="s">
        <v>942</v>
      </c>
      <c r="AB470" t="s">
        <v>589</v>
      </c>
      <c r="AC470" t="s">
        <v>588</v>
      </c>
      <c r="AD470" t="s">
        <v>943</v>
      </c>
      <c r="AF470" t="s">
        <v>986</v>
      </c>
      <c r="AG470" t="s">
        <v>959</v>
      </c>
      <c r="AH470" t="s">
        <v>946</v>
      </c>
      <c r="AI470" t="s">
        <v>960</v>
      </c>
      <c r="AJ470" t="s">
        <v>1054</v>
      </c>
      <c r="AK470">
        <v>19</v>
      </c>
      <c r="AL470" s="10">
        <v>2909.5</v>
      </c>
      <c r="AM470" s="10">
        <v>5350.5</v>
      </c>
      <c r="AN470" s="10">
        <v>10845.1</v>
      </c>
      <c r="AO470" s="9">
        <v>0.28784355049911559</v>
      </c>
      <c r="AP470" s="9">
        <v>79.706699999999998</v>
      </c>
      <c r="AQ470" s="9">
        <v>0.94542871042594678</v>
      </c>
      <c r="AR470" s="9">
        <v>21.7</v>
      </c>
      <c r="AS470" s="9">
        <v>22.645428710425943</v>
      </c>
      <c r="AT470" s="9">
        <v>1.0999907183154194</v>
      </c>
      <c r="AU470" s="9">
        <v>35.999999999999993</v>
      </c>
      <c r="AV470" s="9">
        <v>37.099990718315411</v>
      </c>
      <c r="AW470" s="11">
        <v>214.02</v>
      </c>
      <c r="AX470" s="11">
        <v>214.02</v>
      </c>
      <c r="AY470" t="s">
        <v>949</v>
      </c>
      <c r="AZ470" t="s">
        <v>950</v>
      </c>
      <c r="BA470" t="s">
        <v>951</v>
      </c>
      <c r="BB470" t="s">
        <v>952</v>
      </c>
      <c r="BC470" t="b">
        <v>1</v>
      </c>
    </row>
    <row r="471" spans="1:55">
      <c r="A471" t="s">
        <v>1928</v>
      </c>
      <c r="B471" t="s">
        <v>939</v>
      </c>
      <c r="C471">
        <v>5628300</v>
      </c>
      <c r="D471">
        <v>3060500</v>
      </c>
      <c r="E471">
        <v>5628300</v>
      </c>
      <c r="F471">
        <v>11408100</v>
      </c>
      <c r="G471" s="9">
        <v>2.6670239052386177E-2</v>
      </c>
      <c r="H471" s="9">
        <v>3.9702553446726692E-2</v>
      </c>
      <c r="I471" s="9">
        <v>5.9553830170090041E-2</v>
      </c>
      <c r="J471" s="10">
        <v>225132</v>
      </c>
      <c r="K471" s="10">
        <v>225132</v>
      </c>
      <c r="L471" s="10">
        <v>225132</v>
      </c>
      <c r="M471" s="10">
        <v>225132</v>
      </c>
      <c r="N471" s="10">
        <v>225132</v>
      </c>
      <c r="O471" s="10">
        <v>225132</v>
      </c>
      <c r="P471" s="10">
        <v>225132</v>
      </c>
      <c r="Q471" s="10">
        <v>225132</v>
      </c>
      <c r="R471" s="10">
        <v>225132</v>
      </c>
      <c r="S471" s="10">
        <v>225132</v>
      </c>
      <c r="T471" s="10">
        <v>225132</v>
      </c>
      <c r="V471" t="s">
        <v>456</v>
      </c>
      <c r="W471" t="s">
        <v>1928</v>
      </c>
      <c r="X471" t="s">
        <v>1929</v>
      </c>
      <c r="Y471" t="s">
        <v>941</v>
      </c>
      <c r="Z471" t="s">
        <v>942</v>
      </c>
      <c r="AB471" t="s">
        <v>589</v>
      </c>
      <c r="AC471" t="s">
        <v>588</v>
      </c>
      <c r="AD471" t="s">
        <v>943</v>
      </c>
      <c r="AF471" t="s">
        <v>986</v>
      </c>
      <c r="AG471" t="s">
        <v>965</v>
      </c>
      <c r="AH471" t="s">
        <v>956</v>
      </c>
      <c r="AI471" t="s">
        <v>960</v>
      </c>
      <c r="AJ471" t="s">
        <v>1054</v>
      </c>
      <c r="AK471">
        <v>59</v>
      </c>
      <c r="AL471" s="10">
        <v>3060.5</v>
      </c>
      <c r="AM471" s="10">
        <v>5628.3</v>
      </c>
      <c r="AN471" s="10">
        <v>11408.1</v>
      </c>
      <c r="AO471" s="9">
        <v>0.30278812811969819</v>
      </c>
      <c r="AP471" s="9">
        <v>83.844999999999999</v>
      </c>
      <c r="AQ471" s="9">
        <v>4.9702390523861757</v>
      </c>
      <c r="AR471" s="9">
        <v>21.7</v>
      </c>
      <c r="AS471" s="9">
        <v>26.670239052386176</v>
      </c>
      <c r="AT471" s="9">
        <v>3.7025534467266881</v>
      </c>
      <c r="AU471" s="9">
        <v>36.000000000000007</v>
      </c>
      <c r="AV471" s="9">
        <v>39.702553446726689</v>
      </c>
      <c r="AW471" s="11">
        <v>225.13200000000001</v>
      </c>
      <c r="AX471" s="11">
        <v>225.13200000000001</v>
      </c>
      <c r="AY471" t="s">
        <v>949</v>
      </c>
      <c r="AZ471" t="s">
        <v>950</v>
      </c>
      <c r="BA471" t="s">
        <v>951</v>
      </c>
      <c r="BB471" t="s">
        <v>952</v>
      </c>
      <c r="BC471" t="b">
        <v>1</v>
      </c>
    </row>
    <row r="472" spans="1:55">
      <c r="A472" t="s">
        <v>1930</v>
      </c>
      <c r="B472" t="s">
        <v>939</v>
      </c>
      <c r="C472">
        <v>38300</v>
      </c>
      <c r="D472">
        <v>20800</v>
      </c>
      <c r="E472">
        <v>38300</v>
      </c>
      <c r="F472">
        <v>77500</v>
      </c>
      <c r="G472" s="9">
        <v>4.5457652882913764E-2</v>
      </c>
      <c r="H472" s="9"/>
      <c r="I472" s="9"/>
      <c r="J472" s="10">
        <v>1531.9999999999998</v>
      </c>
      <c r="K472" s="10">
        <v>1531.9999999999998</v>
      </c>
      <c r="L472" s="10">
        <v>1531.9999999999998</v>
      </c>
      <c r="M472" s="10">
        <v>1531.9999999999998</v>
      </c>
      <c r="N472" s="10">
        <v>1531.9999999999998</v>
      </c>
      <c r="O472" s="10">
        <v>1531.9999999999998</v>
      </c>
      <c r="P472" s="10">
        <v>1531.9999999999998</v>
      </c>
      <c r="Q472" s="10">
        <v>1531.9999999999998</v>
      </c>
      <c r="R472" s="10">
        <v>1531.9999999999998</v>
      </c>
      <c r="S472" s="10">
        <v>1531.9999999999998</v>
      </c>
      <c r="T472" s="10">
        <v>1531.9999999999998</v>
      </c>
      <c r="V472" t="s">
        <v>456</v>
      </c>
      <c r="W472" t="s">
        <v>1930</v>
      </c>
      <c r="X472" t="s">
        <v>1931</v>
      </c>
      <c r="Y472" t="s">
        <v>941</v>
      </c>
      <c r="Z472" t="s">
        <v>942</v>
      </c>
      <c r="AB472" t="s">
        <v>589</v>
      </c>
      <c r="AC472" t="s">
        <v>588</v>
      </c>
      <c r="AD472" t="s">
        <v>943</v>
      </c>
      <c r="AF472" t="s">
        <v>986</v>
      </c>
      <c r="AG472" t="s">
        <v>1435</v>
      </c>
      <c r="AH472" t="s">
        <v>956</v>
      </c>
      <c r="AI472" t="s">
        <v>960</v>
      </c>
      <c r="AJ472" t="s">
        <v>989</v>
      </c>
      <c r="AK472">
        <v>3</v>
      </c>
      <c r="AL472" s="10">
        <v>20.8</v>
      </c>
      <c r="AM472" s="10">
        <v>38.299999999999997</v>
      </c>
      <c r="AN472" s="10">
        <v>77.5</v>
      </c>
      <c r="AO472" s="9">
        <v>2.0580708952879002E-3</v>
      </c>
      <c r="AP472" s="9">
        <v>0.56990000000000007</v>
      </c>
      <c r="AQ472" s="9">
        <v>23.75765288291376</v>
      </c>
      <c r="AR472" s="9">
        <v>21.7</v>
      </c>
      <c r="AS472" s="9">
        <v>45.457652882913763</v>
      </c>
      <c r="AT472" s="9"/>
      <c r="AU472" s="9"/>
      <c r="AV472" s="9"/>
      <c r="AW472" s="11">
        <v>1.5319999999999998</v>
      </c>
      <c r="AX472" s="11">
        <v>1.5319999999999998</v>
      </c>
      <c r="AY472" t="s">
        <v>949</v>
      </c>
      <c r="AZ472" t="s">
        <v>950</v>
      </c>
      <c r="BA472" t="s">
        <v>951</v>
      </c>
      <c r="BB472" t="s">
        <v>952</v>
      </c>
      <c r="BC472" t="b">
        <v>0</v>
      </c>
    </row>
    <row r="473" spans="1:55">
      <c r="A473" t="s">
        <v>1932</v>
      </c>
      <c r="B473" t="s">
        <v>939</v>
      </c>
      <c r="C473">
        <v>214600</v>
      </c>
      <c r="D473">
        <v>116700</v>
      </c>
      <c r="E473">
        <v>214600</v>
      </c>
      <c r="F473">
        <v>434900</v>
      </c>
      <c r="G473" s="9">
        <v>4.1635537950617349E-2</v>
      </c>
      <c r="H473" s="9"/>
      <c r="I473" s="9"/>
      <c r="J473" s="10">
        <v>8584</v>
      </c>
      <c r="K473" s="10">
        <v>8584</v>
      </c>
      <c r="L473" s="10">
        <v>8584</v>
      </c>
      <c r="M473" s="10">
        <v>8584</v>
      </c>
      <c r="N473" s="10">
        <v>8584</v>
      </c>
      <c r="O473" s="10">
        <v>8584</v>
      </c>
      <c r="P473" s="10">
        <v>8584</v>
      </c>
      <c r="Q473" s="10">
        <v>8584</v>
      </c>
      <c r="R473" s="10">
        <v>8584</v>
      </c>
      <c r="S473" s="10">
        <v>8584</v>
      </c>
      <c r="T473" s="10">
        <v>8584</v>
      </c>
      <c r="V473" t="s">
        <v>456</v>
      </c>
      <c r="W473" t="s">
        <v>1932</v>
      </c>
      <c r="X473" t="s">
        <v>1933</v>
      </c>
      <c r="Y473" t="s">
        <v>941</v>
      </c>
      <c r="Z473" t="s">
        <v>942</v>
      </c>
      <c r="AB473" t="s">
        <v>589</v>
      </c>
      <c r="AC473" t="s">
        <v>588</v>
      </c>
      <c r="AD473" t="s">
        <v>943</v>
      </c>
      <c r="AF473" t="s">
        <v>986</v>
      </c>
      <c r="AG473" t="s">
        <v>1042</v>
      </c>
      <c r="AH473" t="s">
        <v>988</v>
      </c>
      <c r="AI473" t="s">
        <v>960</v>
      </c>
      <c r="AJ473" t="s">
        <v>1054</v>
      </c>
      <c r="AK473">
        <v>4</v>
      </c>
      <c r="AL473" s="10">
        <v>116.7</v>
      </c>
      <c r="AM473" s="10">
        <v>214.6</v>
      </c>
      <c r="AN473" s="10">
        <v>434.9</v>
      </c>
      <c r="AO473" s="9">
        <v>1.15423867266525E-2</v>
      </c>
      <c r="AP473" s="9">
        <v>3.1962000000000002</v>
      </c>
      <c r="AQ473" s="9">
        <v>19.935537950617345</v>
      </c>
      <c r="AR473" s="9">
        <v>21.700000000000003</v>
      </c>
      <c r="AS473" s="9">
        <v>41.635537950617348</v>
      </c>
      <c r="AT473" s="9"/>
      <c r="AU473" s="9"/>
      <c r="AV473" s="9"/>
      <c r="AW473" s="11">
        <v>8.5839999999999996</v>
      </c>
      <c r="AX473" s="11">
        <v>8.5839999999999996</v>
      </c>
      <c r="AY473" t="s">
        <v>949</v>
      </c>
      <c r="AZ473" t="s">
        <v>950</v>
      </c>
      <c r="BA473" t="s">
        <v>951</v>
      </c>
      <c r="BB473" t="s">
        <v>952</v>
      </c>
      <c r="BC473" t="b">
        <v>0</v>
      </c>
    </row>
    <row r="474" spans="1:55">
      <c r="A474" t="s">
        <v>1934</v>
      </c>
      <c r="B474" t="s">
        <v>939</v>
      </c>
      <c r="C474">
        <v>14600</v>
      </c>
      <c r="D474">
        <v>7900</v>
      </c>
      <c r="E474">
        <v>14600</v>
      </c>
      <c r="F474">
        <v>29600</v>
      </c>
      <c r="G474" s="9">
        <v>6.3707242415163887E-2</v>
      </c>
      <c r="H474" s="9"/>
      <c r="I474" s="9"/>
      <c r="J474" s="10">
        <v>584</v>
      </c>
      <c r="K474" s="10">
        <v>584</v>
      </c>
      <c r="L474" s="10">
        <v>584</v>
      </c>
      <c r="M474" s="10">
        <v>584</v>
      </c>
      <c r="N474" s="10">
        <v>584</v>
      </c>
      <c r="O474" s="10">
        <v>584</v>
      </c>
      <c r="P474" s="10">
        <v>584</v>
      </c>
      <c r="Q474" s="10">
        <v>584</v>
      </c>
      <c r="R474" s="10">
        <v>584</v>
      </c>
      <c r="S474" s="10">
        <v>584</v>
      </c>
      <c r="T474" s="10">
        <v>584</v>
      </c>
      <c r="V474" t="s">
        <v>456</v>
      </c>
      <c r="W474" t="s">
        <v>1934</v>
      </c>
      <c r="X474" t="s">
        <v>1935</v>
      </c>
      <c r="Y474" t="s">
        <v>941</v>
      </c>
      <c r="Z474" t="s">
        <v>942</v>
      </c>
      <c r="AB474" t="s">
        <v>589</v>
      </c>
      <c r="AC474" t="s">
        <v>588</v>
      </c>
      <c r="AD474" t="s">
        <v>943</v>
      </c>
      <c r="AF474" t="s">
        <v>986</v>
      </c>
      <c r="AG474" t="s">
        <v>1348</v>
      </c>
      <c r="AH474" t="s">
        <v>988</v>
      </c>
      <c r="AI474" t="s">
        <v>960</v>
      </c>
      <c r="AJ474" t="s">
        <v>989</v>
      </c>
      <c r="AK474">
        <v>1</v>
      </c>
      <c r="AL474" s="10">
        <v>7.9</v>
      </c>
      <c r="AM474" s="10">
        <v>14.6</v>
      </c>
      <c r="AN474" s="10">
        <v>29.6</v>
      </c>
      <c r="AO474" s="9">
        <v>7.8437093956220001E-4</v>
      </c>
      <c r="AP474" s="9">
        <v>0.2172</v>
      </c>
      <c r="AQ474" s="9">
        <v>42.007242415163873</v>
      </c>
      <c r="AR474" s="9">
        <v>21.7</v>
      </c>
      <c r="AS474" s="9">
        <v>63.707242415163883</v>
      </c>
      <c r="AT474" s="9"/>
      <c r="AU474" s="9"/>
      <c r="AV474" s="9"/>
      <c r="AW474" s="11">
        <v>0.58399999999999996</v>
      </c>
      <c r="AX474" s="11">
        <v>0.58399999999999996</v>
      </c>
      <c r="AY474" t="s">
        <v>949</v>
      </c>
      <c r="AZ474" t="s">
        <v>950</v>
      </c>
      <c r="BA474" t="s">
        <v>951</v>
      </c>
      <c r="BB474" t="s">
        <v>952</v>
      </c>
      <c r="BC474" t="b">
        <v>0</v>
      </c>
    </row>
    <row r="475" spans="1:55">
      <c r="A475" t="s">
        <v>1936</v>
      </c>
      <c r="B475" t="s">
        <v>939</v>
      </c>
      <c r="C475">
        <v>1932200</v>
      </c>
      <c r="D475">
        <v>1050700</v>
      </c>
      <c r="E475">
        <v>1932200</v>
      </c>
      <c r="F475">
        <v>3916500</v>
      </c>
      <c r="G475" s="9">
        <v>1.3144907032040973E-2</v>
      </c>
      <c r="H475" s="9">
        <v>4.425878313001582E-2</v>
      </c>
      <c r="I475" s="9">
        <v>6.6388174695023727E-2</v>
      </c>
      <c r="J475" s="10">
        <v>77288</v>
      </c>
      <c r="K475" s="10">
        <v>77288</v>
      </c>
      <c r="L475" s="10">
        <v>77288</v>
      </c>
      <c r="M475" s="10">
        <v>77288</v>
      </c>
      <c r="N475" s="10">
        <v>77288</v>
      </c>
      <c r="O475" s="10">
        <v>77288</v>
      </c>
      <c r="P475" s="10">
        <v>77288</v>
      </c>
      <c r="Q475" s="10">
        <v>77288</v>
      </c>
      <c r="R475" s="10">
        <v>77288</v>
      </c>
      <c r="S475" s="10">
        <v>77288</v>
      </c>
      <c r="T475" s="10">
        <v>77288</v>
      </c>
      <c r="V475" t="s">
        <v>456</v>
      </c>
      <c r="W475" t="s">
        <v>1936</v>
      </c>
      <c r="X475" t="s">
        <v>1937</v>
      </c>
      <c r="Y475" t="s">
        <v>941</v>
      </c>
      <c r="Z475" t="s">
        <v>942</v>
      </c>
      <c r="AB475" t="s">
        <v>589</v>
      </c>
      <c r="AC475" t="s">
        <v>588</v>
      </c>
      <c r="AD475" t="s">
        <v>943</v>
      </c>
      <c r="AF475" t="s">
        <v>944</v>
      </c>
      <c r="AG475" t="s">
        <v>945</v>
      </c>
      <c r="AH475" t="s">
        <v>946</v>
      </c>
      <c r="AI475" t="s">
        <v>947</v>
      </c>
      <c r="AJ475" t="s">
        <v>948</v>
      </c>
      <c r="AK475">
        <v>17</v>
      </c>
      <c r="AL475" s="10">
        <v>1050.7</v>
      </c>
      <c r="AM475" s="10">
        <v>1932.2</v>
      </c>
      <c r="AN475" s="10">
        <v>3916.5</v>
      </c>
      <c r="AO475" s="9">
        <v>0.23523580602781119</v>
      </c>
      <c r="AP475" s="9">
        <v>65.139099999999999</v>
      </c>
      <c r="AQ475" s="9">
        <v>7.6666698099309497E-2</v>
      </c>
      <c r="AR475" s="9">
        <v>13.068240333941665</v>
      </c>
      <c r="AS475" s="9">
        <v>13.144907032040972</v>
      </c>
      <c r="AT475" s="9">
        <v>1.5131179278258282</v>
      </c>
      <c r="AU475" s="9">
        <v>42.745665202189997</v>
      </c>
      <c r="AV475" s="9">
        <v>44.258783130015821</v>
      </c>
      <c r="AW475" s="11">
        <v>77.287999999999997</v>
      </c>
      <c r="AX475" s="11">
        <v>77.287999999999997</v>
      </c>
      <c r="AY475" t="s">
        <v>949</v>
      </c>
      <c r="AZ475" t="s">
        <v>950</v>
      </c>
      <c r="BA475" t="s">
        <v>951</v>
      </c>
      <c r="BB475" t="s">
        <v>952</v>
      </c>
      <c r="BC475" t="b">
        <v>1</v>
      </c>
    </row>
    <row r="476" spans="1:55">
      <c r="A476" t="s">
        <v>1938</v>
      </c>
      <c r="B476" t="s">
        <v>939</v>
      </c>
      <c r="C476">
        <v>156300</v>
      </c>
      <c r="D476">
        <v>85000</v>
      </c>
      <c r="E476">
        <v>156300</v>
      </c>
      <c r="F476">
        <v>316700</v>
      </c>
      <c r="G476" s="9">
        <v>8.8995458755505297E-3</v>
      </c>
      <c r="H476" s="9">
        <v>2.520936422577074E-2</v>
      </c>
      <c r="I476" s="9">
        <v>3.7814046338656107E-2</v>
      </c>
      <c r="J476" s="10">
        <v>6252.0000000000009</v>
      </c>
      <c r="K476" s="10">
        <v>6252.0000000000009</v>
      </c>
      <c r="L476" s="10">
        <v>6252.0000000000009</v>
      </c>
      <c r="M476" s="10">
        <v>6252.0000000000009</v>
      </c>
      <c r="N476" s="10">
        <v>6252.0000000000009</v>
      </c>
      <c r="O476" s="10">
        <v>6252.0000000000009</v>
      </c>
      <c r="P476" s="10">
        <v>6252.0000000000009</v>
      </c>
      <c r="Q476" s="10">
        <v>6252.0000000000009</v>
      </c>
      <c r="R476" s="10">
        <v>6252.0000000000009</v>
      </c>
      <c r="S476" s="10">
        <v>6252.0000000000009</v>
      </c>
      <c r="T476" s="10">
        <v>6252.0000000000009</v>
      </c>
      <c r="V476" t="s">
        <v>456</v>
      </c>
      <c r="W476" t="s">
        <v>1938</v>
      </c>
      <c r="X476" t="s">
        <v>1939</v>
      </c>
      <c r="Y476" t="s">
        <v>941</v>
      </c>
      <c r="Z476" t="s">
        <v>942</v>
      </c>
      <c r="AB476" t="s">
        <v>589</v>
      </c>
      <c r="AC476" t="s">
        <v>588</v>
      </c>
      <c r="AD476" t="s">
        <v>943</v>
      </c>
      <c r="AF476" t="s">
        <v>944</v>
      </c>
      <c r="AG476" t="s">
        <v>965</v>
      </c>
      <c r="AH476" t="s">
        <v>956</v>
      </c>
      <c r="AI476" t="s">
        <v>960</v>
      </c>
      <c r="AJ476" t="s">
        <v>948</v>
      </c>
      <c r="AK476">
        <v>1</v>
      </c>
      <c r="AL476" s="10">
        <v>85</v>
      </c>
      <c r="AM476" s="10">
        <v>156.30000000000001</v>
      </c>
      <c r="AN476" s="10">
        <v>316.7</v>
      </c>
      <c r="AO476" s="9">
        <v>2.9130424419793001E-2</v>
      </c>
      <c r="AP476" s="9">
        <v>8.0664999999999996</v>
      </c>
      <c r="AQ476" s="9">
        <v>1.1495458755505292</v>
      </c>
      <c r="AR476" s="9">
        <v>7.75</v>
      </c>
      <c r="AS476" s="9">
        <v>8.8995458755505297</v>
      </c>
      <c r="AT476" s="9">
        <v>1.6093642257707408</v>
      </c>
      <c r="AU476" s="9">
        <v>23.6</v>
      </c>
      <c r="AV476" s="9">
        <v>25.209364225770742</v>
      </c>
      <c r="AW476" s="11">
        <v>6.2520000000000007</v>
      </c>
      <c r="AX476" s="11">
        <v>6.2520000000000007</v>
      </c>
      <c r="AY476" t="s">
        <v>949</v>
      </c>
      <c r="AZ476" t="s">
        <v>950</v>
      </c>
      <c r="BA476" t="s">
        <v>951</v>
      </c>
      <c r="BB476" t="s">
        <v>952</v>
      </c>
      <c r="BC476" t="b">
        <v>1</v>
      </c>
    </row>
    <row r="477" spans="1:55">
      <c r="A477" t="s">
        <v>1940</v>
      </c>
      <c r="B477" t="s">
        <v>939</v>
      </c>
      <c r="C477">
        <v>0</v>
      </c>
      <c r="D477">
        <v>0</v>
      </c>
      <c r="E477">
        <v>0</v>
      </c>
      <c r="F477">
        <v>0</v>
      </c>
      <c r="G477" s="9">
        <v>6.2830180710130218E-2</v>
      </c>
      <c r="H477" s="9">
        <v>0.10699650175596696</v>
      </c>
      <c r="I477" s="9">
        <v>0.16049475263395044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V477" t="s">
        <v>456</v>
      </c>
      <c r="W477" t="s">
        <v>1940</v>
      </c>
      <c r="X477" t="s">
        <v>1941</v>
      </c>
      <c r="Y477" t="s">
        <v>941</v>
      </c>
      <c r="Z477" t="s">
        <v>942</v>
      </c>
      <c r="AB477" t="s">
        <v>1942</v>
      </c>
      <c r="AC477" t="s">
        <v>1942</v>
      </c>
      <c r="AD477" t="s">
        <v>943</v>
      </c>
      <c r="AF477" t="s">
        <v>986</v>
      </c>
      <c r="AG477" t="s">
        <v>1028</v>
      </c>
      <c r="AH477" t="s">
        <v>956</v>
      </c>
      <c r="AI477" t="s">
        <v>947</v>
      </c>
      <c r="AJ477" t="s">
        <v>989</v>
      </c>
      <c r="AK477">
        <v>2</v>
      </c>
      <c r="AL477" s="10">
        <v>0</v>
      </c>
      <c r="AM477" s="10">
        <v>0</v>
      </c>
      <c r="AN477" s="10">
        <v>0</v>
      </c>
      <c r="AO477" s="9">
        <v>1</v>
      </c>
      <c r="AP477" s="9">
        <v>5.5648</v>
      </c>
      <c r="AQ477" s="9">
        <v>23.770180710130216</v>
      </c>
      <c r="AR477" s="9">
        <v>39.06</v>
      </c>
      <c r="AS477" s="9">
        <v>62.830180710130222</v>
      </c>
      <c r="AT477" s="9">
        <v>33.796501755966936</v>
      </c>
      <c r="AU477" s="9">
        <v>73.2</v>
      </c>
      <c r="AV477" s="9">
        <v>106.99650175596696</v>
      </c>
      <c r="AW477" s="11">
        <v>0</v>
      </c>
      <c r="AX477" s="11">
        <v>0</v>
      </c>
      <c r="AY477" t="s">
        <v>973</v>
      </c>
      <c r="AZ477" t="s">
        <v>950</v>
      </c>
      <c r="BA477" t="s">
        <v>951</v>
      </c>
      <c r="BB477" t="s">
        <v>970</v>
      </c>
      <c r="BC477" t="b">
        <v>1</v>
      </c>
    </row>
    <row r="478" spans="1:55">
      <c r="A478" t="s">
        <v>1943</v>
      </c>
      <c r="B478" t="s">
        <v>939</v>
      </c>
      <c r="C478">
        <v>644500</v>
      </c>
      <c r="D478">
        <v>350400</v>
      </c>
      <c r="E478">
        <v>644500</v>
      </c>
      <c r="F478">
        <v>1306300</v>
      </c>
      <c r="G478" s="9">
        <v>8.3387959394186709E-3</v>
      </c>
      <c r="H478" s="9">
        <v>2.442431431518614E-2</v>
      </c>
      <c r="I478" s="9">
        <v>3.6636471472779208E-2</v>
      </c>
      <c r="J478" s="10">
        <v>18442.989910578599</v>
      </c>
      <c r="K478" s="10">
        <v>17731.550718118506</v>
      </c>
      <c r="L478" s="10">
        <v>17020.111525658416</v>
      </c>
      <c r="M478" s="10">
        <v>16308.672333198319</v>
      </c>
      <c r="N478" s="10">
        <v>15597.233140738226</v>
      </c>
      <c r="O478" s="10">
        <v>14885.793948278133</v>
      </c>
      <c r="P478" s="10">
        <v>13462.915563357947</v>
      </c>
      <c r="Q478" s="10">
        <v>12040.037178437758</v>
      </c>
      <c r="R478" s="10">
        <v>10617.158793517572</v>
      </c>
      <c r="S478" s="10">
        <v>9194.2804085973839</v>
      </c>
      <c r="T478" s="10">
        <v>7771.4020236771976</v>
      </c>
      <c r="V478" t="s">
        <v>456</v>
      </c>
      <c r="W478" t="s">
        <v>1943</v>
      </c>
      <c r="X478" t="s">
        <v>1944</v>
      </c>
      <c r="Y478" t="s">
        <v>941</v>
      </c>
      <c r="Z478" t="s">
        <v>942</v>
      </c>
      <c r="AB478" t="s">
        <v>591</v>
      </c>
      <c r="AC478" t="s">
        <v>590</v>
      </c>
      <c r="AD478" t="s">
        <v>943</v>
      </c>
      <c r="AF478" t="s">
        <v>944</v>
      </c>
      <c r="AG478" t="s">
        <v>959</v>
      </c>
      <c r="AH478" t="s">
        <v>946</v>
      </c>
      <c r="AI478" t="s">
        <v>960</v>
      </c>
      <c r="AJ478" t="s">
        <v>948</v>
      </c>
      <c r="AK478">
        <v>1</v>
      </c>
      <c r="AL478" s="10">
        <v>350.4</v>
      </c>
      <c r="AM478" s="10">
        <v>644.5</v>
      </c>
      <c r="AN478" s="10">
        <v>1306.3</v>
      </c>
      <c r="AO478" s="9">
        <v>0.17738226637233259</v>
      </c>
      <c r="AP478" s="9">
        <v>0.38569999999999999</v>
      </c>
      <c r="AQ478" s="9">
        <v>0.58879593941867037</v>
      </c>
      <c r="AR478" s="9">
        <v>7.75</v>
      </c>
      <c r="AS478" s="9">
        <v>8.3387959394186701</v>
      </c>
      <c r="AT478" s="9">
        <v>0.82431431518613851</v>
      </c>
      <c r="AU478" s="9">
        <v>23.6</v>
      </c>
      <c r="AV478" s="9">
        <v>24.424314315186141</v>
      </c>
      <c r="AW478" s="11">
        <v>18.4429899105786</v>
      </c>
      <c r="AX478" s="11">
        <v>7.7714020236771963</v>
      </c>
      <c r="AY478" t="s">
        <v>949</v>
      </c>
      <c r="AZ478" t="s">
        <v>950</v>
      </c>
      <c r="BA478" t="s">
        <v>951</v>
      </c>
      <c r="BB478" t="s">
        <v>970</v>
      </c>
      <c r="BC478" t="b">
        <v>1</v>
      </c>
    </row>
    <row r="479" spans="1:55">
      <c r="A479" t="s">
        <v>1945</v>
      </c>
      <c r="B479" t="s">
        <v>939</v>
      </c>
      <c r="C479">
        <v>6990200</v>
      </c>
      <c r="D479">
        <v>3801100</v>
      </c>
      <c r="E479">
        <v>6990200</v>
      </c>
      <c r="F479">
        <v>14168800</v>
      </c>
      <c r="G479" s="9">
        <v>1.4050694688946543E-2</v>
      </c>
      <c r="H479" s="9"/>
      <c r="I479" s="9"/>
      <c r="J479" s="10">
        <v>200031.3236197464</v>
      </c>
      <c r="K479" s="10">
        <v>192315.10601984794</v>
      </c>
      <c r="L479" s="10">
        <v>184598.88841994951</v>
      </c>
      <c r="M479" s="10">
        <v>176882.67082005105</v>
      </c>
      <c r="N479" s="10">
        <v>169166.45322015262</v>
      </c>
      <c r="O479" s="10">
        <v>161450.23562025419</v>
      </c>
      <c r="P479" s="10">
        <v>146017.80042045726</v>
      </c>
      <c r="Q479" s="10">
        <v>130585.36522066037</v>
      </c>
      <c r="R479" s="10">
        <v>115152.93002086351</v>
      </c>
      <c r="S479" s="10">
        <v>99720.494821066604</v>
      </c>
      <c r="T479" s="10">
        <v>84288.059621269727</v>
      </c>
      <c r="V479" t="s">
        <v>456</v>
      </c>
      <c r="W479" t="s">
        <v>1945</v>
      </c>
      <c r="X479" t="s">
        <v>1944</v>
      </c>
      <c r="Y479" t="s">
        <v>941</v>
      </c>
      <c r="Z479" t="s">
        <v>942</v>
      </c>
      <c r="AB479" t="s">
        <v>591</v>
      </c>
      <c r="AC479" t="s">
        <v>590</v>
      </c>
      <c r="AD479" t="s">
        <v>943</v>
      </c>
      <c r="AF479" t="s">
        <v>944</v>
      </c>
      <c r="AG479" t="s">
        <v>945</v>
      </c>
      <c r="AH479" t="s">
        <v>946</v>
      </c>
      <c r="AI479" t="s">
        <v>947</v>
      </c>
      <c r="AJ479" t="s">
        <v>948</v>
      </c>
      <c r="AK479">
        <v>1</v>
      </c>
      <c r="AL479" s="10">
        <v>3801.1</v>
      </c>
      <c r="AM479" s="10">
        <v>6990.2</v>
      </c>
      <c r="AN479" s="10">
        <v>14168.8</v>
      </c>
      <c r="AO479" s="9">
        <v>0.3144315673289183</v>
      </c>
      <c r="AP479" s="9">
        <v>0.68369999999999997</v>
      </c>
      <c r="AQ479" s="9">
        <v>0.41827424440453997</v>
      </c>
      <c r="AR479" s="9">
        <v>13.632420444542005</v>
      </c>
      <c r="AS479" s="9">
        <v>14.050694688946542</v>
      </c>
      <c r="AT479" s="9"/>
      <c r="AU479" s="9"/>
      <c r="AV479" s="9"/>
      <c r="AW479" s="11">
        <v>200.03132361974639</v>
      </c>
      <c r="AX479" s="11">
        <v>84.288059621269724</v>
      </c>
      <c r="AY479" t="s">
        <v>949</v>
      </c>
      <c r="AZ479" t="s">
        <v>950</v>
      </c>
      <c r="BA479" t="s">
        <v>951</v>
      </c>
      <c r="BB479" t="s">
        <v>970</v>
      </c>
      <c r="BC479" t="b">
        <v>0</v>
      </c>
    </row>
    <row r="480" spans="1:55">
      <c r="A480" t="s">
        <v>1946</v>
      </c>
      <c r="B480" t="s">
        <v>939</v>
      </c>
      <c r="C480">
        <v>1846300</v>
      </c>
      <c r="D480">
        <v>1004000</v>
      </c>
      <c r="E480">
        <v>1846300</v>
      </c>
      <c r="F480">
        <v>3742400</v>
      </c>
      <c r="G480" s="9">
        <v>1.1141603667052443E-2</v>
      </c>
      <c r="H480" s="9">
        <v>2.8348245133873424E-2</v>
      </c>
      <c r="I480" s="9">
        <v>4.2522367700810138E-2</v>
      </c>
      <c r="J480" s="10">
        <v>52833.657520405388</v>
      </c>
      <c r="K480" s="10">
        <v>50795.596727482087</v>
      </c>
      <c r="L480" s="10">
        <v>48757.535934558771</v>
      </c>
      <c r="M480" s="10">
        <v>46719.47514163547</v>
      </c>
      <c r="N480" s="10">
        <v>44681.414348712169</v>
      </c>
      <c r="O480" s="10">
        <v>42643.353555788854</v>
      </c>
      <c r="P480" s="10">
        <v>38567.231969942244</v>
      </c>
      <c r="Q480" s="10">
        <v>34491.110384095635</v>
      </c>
      <c r="R480" s="10">
        <v>30414.988798249018</v>
      </c>
      <c r="S480" s="10">
        <v>26338.867212402401</v>
      </c>
      <c r="T480" s="10">
        <v>22262.745626555792</v>
      </c>
      <c r="V480" t="s">
        <v>456</v>
      </c>
      <c r="W480" t="s">
        <v>1946</v>
      </c>
      <c r="X480" t="s">
        <v>1947</v>
      </c>
      <c r="Y480" t="s">
        <v>941</v>
      </c>
      <c r="Z480" t="s">
        <v>942</v>
      </c>
      <c r="AB480" t="s">
        <v>591</v>
      </c>
      <c r="AC480" t="s">
        <v>590</v>
      </c>
      <c r="AD480" t="s">
        <v>943</v>
      </c>
      <c r="AF480" t="s">
        <v>944</v>
      </c>
      <c r="AG480" t="s">
        <v>965</v>
      </c>
      <c r="AH480" t="s">
        <v>956</v>
      </c>
      <c r="AI480" t="s">
        <v>960</v>
      </c>
      <c r="AJ480" t="s">
        <v>948</v>
      </c>
      <c r="AK480">
        <v>1</v>
      </c>
      <c r="AL480" s="10">
        <v>1004</v>
      </c>
      <c r="AM480" s="10">
        <v>1846.3</v>
      </c>
      <c r="AN480" s="10">
        <v>3742.4</v>
      </c>
      <c r="AO480" s="9">
        <v>0.50818616629874913</v>
      </c>
      <c r="AP480" s="9">
        <v>1.105</v>
      </c>
      <c r="AQ480" s="9">
        <v>3.3916036670524434</v>
      </c>
      <c r="AR480" s="9">
        <v>7.7500000000000009</v>
      </c>
      <c r="AS480" s="9">
        <v>11.141603667052443</v>
      </c>
      <c r="AT480" s="9">
        <v>4.7482451338734206</v>
      </c>
      <c r="AU480" s="9">
        <v>23.6</v>
      </c>
      <c r="AV480" s="9">
        <v>28.348245133873423</v>
      </c>
      <c r="AW480" s="11">
        <v>52.833657520405389</v>
      </c>
      <c r="AX480" s="11">
        <v>22.262745626555791</v>
      </c>
      <c r="AY480" t="s">
        <v>949</v>
      </c>
      <c r="AZ480" t="s">
        <v>950</v>
      </c>
      <c r="BA480" t="s">
        <v>951</v>
      </c>
      <c r="BB480" t="s">
        <v>970</v>
      </c>
      <c r="BC480" t="b">
        <v>1</v>
      </c>
    </row>
    <row r="481" spans="1:55">
      <c r="A481" t="s">
        <v>1948</v>
      </c>
      <c r="B481" t="s">
        <v>939</v>
      </c>
      <c r="C481">
        <v>214500</v>
      </c>
      <c r="D481">
        <v>116600</v>
      </c>
      <c r="E481">
        <v>214500</v>
      </c>
      <c r="F481">
        <v>434700</v>
      </c>
      <c r="G481" s="9">
        <v>8.1767898212530433E-3</v>
      </c>
      <c r="H481" s="9">
        <v>2.4250230042707609E-2</v>
      </c>
      <c r="I481" s="9">
        <v>3.6375345064061412E-2</v>
      </c>
      <c r="J481" s="10">
        <v>8580</v>
      </c>
      <c r="K481" s="10">
        <v>8476.1817218397209</v>
      </c>
      <c r="L481" s="10">
        <v>8372.3634436794418</v>
      </c>
      <c r="M481" s="10">
        <v>8268.5451655191628</v>
      </c>
      <c r="N481" s="10">
        <v>8164.7268873588819</v>
      </c>
      <c r="O481" s="10">
        <v>8060.9086091986019</v>
      </c>
      <c r="P481" s="10">
        <v>7853.2720528780437</v>
      </c>
      <c r="Q481" s="10">
        <v>7645.6354965574856</v>
      </c>
      <c r="R481" s="10">
        <v>7437.9989402369256</v>
      </c>
      <c r="S481" s="10">
        <v>7230.3623839163665</v>
      </c>
      <c r="T481" s="10">
        <v>7022.7258275958084</v>
      </c>
      <c r="V481" t="s">
        <v>456</v>
      </c>
      <c r="W481" t="s">
        <v>1948</v>
      </c>
      <c r="X481" t="s">
        <v>1949</v>
      </c>
      <c r="Y481" t="s">
        <v>941</v>
      </c>
      <c r="Z481" t="s">
        <v>942</v>
      </c>
      <c r="AB481" t="s">
        <v>593</v>
      </c>
      <c r="AC481" t="s">
        <v>592</v>
      </c>
      <c r="AD481" t="s">
        <v>943</v>
      </c>
      <c r="AF481" t="s">
        <v>944</v>
      </c>
      <c r="AG481" t="s">
        <v>959</v>
      </c>
      <c r="AH481" t="s">
        <v>946</v>
      </c>
      <c r="AI481" t="s">
        <v>960</v>
      </c>
      <c r="AJ481" t="s">
        <v>948</v>
      </c>
      <c r="AK481">
        <v>5</v>
      </c>
      <c r="AL481" s="10">
        <v>116.6</v>
      </c>
      <c r="AM481" s="10">
        <v>214.5</v>
      </c>
      <c r="AN481" s="10">
        <v>434.7</v>
      </c>
      <c r="AO481" s="9">
        <v>2.77575880882928E-2</v>
      </c>
      <c r="AP481" s="9">
        <v>6.0301999999999989</v>
      </c>
      <c r="AQ481" s="9">
        <v>0.42678982125304171</v>
      </c>
      <c r="AR481" s="9">
        <v>7.7500000000000018</v>
      </c>
      <c r="AS481" s="9">
        <v>8.1767898212530437</v>
      </c>
      <c r="AT481" s="9">
        <v>0.65023004270760887</v>
      </c>
      <c r="AU481" s="9">
        <v>23.600000000000005</v>
      </c>
      <c r="AV481" s="9">
        <v>24.25023004270761</v>
      </c>
      <c r="AW481" s="11">
        <v>8.58</v>
      </c>
      <c r="AX481" s="11">
        <v>7.0227258275958082</v>
      </c>
      <c r="AY481" t="s">
        <v>949</v>
      </c>
      <c r="AZ481" t="s">
        <v>950</v>
      </c>
      <c r="BA481" t="s">
        <v>951</v>
      </c>
      <c r="BB481" t="s">
        <v>952</v>
      </c>
      <c r="BC481" t="b">
        <v>1</v>
      </c>
    </row>
    <row r="482" spans="1:55">
      <c r="A482" t="s">
        <v>1950</v>
      </c>
      <c r="B482" t="s">
        <v>939</v>
      </c>
      <c r="C482">
        <v>17013600</v>
      </c>
      <c r="D482">
        <v>9251600</v>
      </c>
      <c r="E482">
        <v>17013600</v>
      </c>
      <c r="F482">
        <v>34485400</v>
      </c>
      <c r="G482" s="9">
        <v>1.4291824575101916E-2</v>
      </c>
      <c r="H482" s="9">
        <v>4.5848481222896628E-2</v>
      </c>
      <c r="I482" s="9">
        <v>6.8772721834344935E-2</v>
      </c>
      <c r="J482" s="10">
        <v>680544</v>
      </c>
      <c r="K482" s="10">
        <v>672309.39553702681</v>
      </c>
      <c r="L482" s="10">
        <v>664074.79107405385</v>
      </c>
      <c r="M482" s="10">
        <v>655840.18661108066</v>
      </c>
      <c r="N482" s="10">
        <v>647605.58214810758</v>
      </c>
      <c r="O482" s="10">
        <v>639370.97768513439</v>
      </c>
      <c r="P482" s="10">
        <v>622901.76875918824</v>
      </c>
      <c r="Q482" s="10">
        <v>606432.55983324209</v>
      </c>
      <c r="R482" s="10">
        <v>589963.35090729571</v>
      </c>
      <c r="S482" s="10">
        <v>573494.14198134956</v>
      </c>
      <c r="T482" s="10">
        <v>557024.93305540341</v>
      </c>
      <c r="V482" t="s">
        <v>456</v>
      </c>
      <c r="W482" t="s">
        <v>1950</v>
      </c>
      <c r="X482" t="s">
        <v>1951</v>
      </c>
      <c r="Y482" t="s">
        <v>941</v>
      </c>
      <c r="Z482" t="s">
        <v>942</v>
      </c>
      <c r="AB482" t="s">
        <v>593</v>
      </c>
      <c r="AC482" t="s">
        <v>592</v>
      </c>
      <c r="AD482" t="s">
        <v>943</v>
      </c>
      <c r="AF482" t="s">
        <v>944</v>
      </c>
      <c r="AG482" t="s">
        <v>945</v>
      </c>
      <c r="AH482" t="s">
        <v>946</v>
      </c>
      <c r="AI482" t="s">
        <v>947</v>
      </c>
      <c r="AJ482" t="s">
        <v>948</v>
      </c>
      <c r="AK482">
        <v>4</v>
      </c>
      <c r="AL482" s="10">
        <v>9251.6</v>
      </c>
      <c r="AM482" s="10">
        <v>17013.599999999999</v>
      </c>
      <c r="AN482" s="10">
        <v>34485.4</v>
      </c>
      <c r="AO482" s="9">
        <v>1.0467900081520799E-2</v>
      </c>
      <c r="AP482" s="9">
        <v>2.2740999999999998</v>
      </c>
      <c r="AQ482" s="9">
        <v>0.60788998731923605</v>
      </c>
      <c r="AR482" s="9">
        <v>13.68393458778268</v>
      </c>
      <c r="AS482" s="9">
        <v>14.291824575101916</v>
      </c>
      <c r="AT482" s="9">
        <v>0.88631670687896369</v>
      </c>
      <c r="AU482" s="9">
        <v>44.962164516017673</v>
      </c>
      <c r="AV482" s="9">
        <v>45.848481222896631</v>
      </c>
      <c r="AW482" s="11">
        <v>680.54399999999998</v>
      </c>
      <c r="AX482" s="11">
        <v>557.02493305540338</v>
      </c>
      <c r="AY482" t="s">
        <v>949</v>
      </c>
      <c r="AZ482" t="s">
        <v>950</v>
      </c>
      <c r="BA482" t="s">
        <v>951</v>
      </c>
      <c r="BB482" t="s">
        <v>952</v>
      </c>
      <c r="BC482" t="b">
        <v>1</v>
      </c>
    </row>
    <row r="483" spans="1:55">
      <c r="A483" t="s">
        <v>1952</v>
      </c>
      <c r="B483" t="s">
        <v>939</v>
      </c>
      <c r="C483">
        <v>903200</v>
      </c>
      <c r="D483">
        <v>491200</v>
      </c>
      <c r="E483">
        <v>903200</v>
      </c>
      <c r="F483">
        <v>1830800</v>
      </c>
      <c r="G483" s="9">
        <v>8.601556598836076E-3</v>
      </c>
      <c r="H483" s="9">
        <v>2.551078951321209E-2</v>
      </c>
      <c r="I483" s="9">
        <v>3.8266184269818135E-2</v>
      </c>
      <c r="J483" s="10">
        <v>36128</v>
      </c>
      <c r="K483" s="10">
        <v>35690.850028744222</v>
      </c>
      <c r="L483" s="10">
        <v>35253.700057488444</v>
      </c>
      <c r="M483" s="10">
        <v>34816.550086232666</v>
      </c>
      <c r="N483" s="10">
        <v>34379.400114976888</v>
      </c>
      <c r="O483" s="10">
        <v>33942.25014372111</v>
      </c>
      <c r="P483" s="10">
        <v>33067.950201209555</v>
      </c>
      <c r="Q483" s="10">
        <v>32193.650258697999</v>
      </c>
      <c r="R483" s="10">
        <v>31319.350316186439</v>
      </c>
      <c r="S483" s="10">
        <v>30445.050373674883</v>
      </c>
      <c r="T483" s="10">
        <v>29570.750431163331</v>
      </c>
      <c r="V483" t="s">
        <v>456</v>
      </c>
      <c r="W483" t="s">
        <v>1952</v>
      </c>
      <c r="X483" t="s">
        <v>1953</v>
      </c>
      <c r="Y483" t="s">
        <v>941</v>
      </c>
      <c r="Z483" t="s">
        <v>942</v>
      </c>
      <c r="AB483" t="s">
        <v>593</v>
      </c>
      <c r="AC483" t="s">
        <v>592</v>
      </c>
      <c r="AD483" t="s">
        <v>943</v>
      </c>
      <c r="AF483" t="s">
        <v>944</v>
      </c>
      <c r="AG483" t="s">
        <v>965</v>
      </c>
      <c r="AH483" t="s">
        <v>956</v>
      </c>
      <c r="AI483" t="s">
        <v>960</v>
      </c>
      <c r="AJ483" t="s">
        <v>948</v>
      </c>
      <c r="AK483">
        <v>3</v>
      </c>
      <c r="AL483" s="10">
        <v>491.2</v>
      </c>
      <c r="AM483" s="10">
        <v>903.2</v>
      </c>
      <c r="AN483" s="10">
        <v>1830.8</v>
      </c>
      <c r="AO483" s="9">
        <v>0.1168942360495127</v>
      </c>
      <c r="AP483" s="9">
        <v>25.3947</v>
      </c>
      <c r="AQ483" s="9">
        <v>0.85155659883607604</v>
      </c>
      <c r="AR483" s="9">
        <v>7.7499999999999991</v>
      </c>
      <c r="AS483" s="9">
        <v>8.6015565988360763</v>
      </c>
      <c r="AT483" s="9">
        <v>1.9107895132120869</v>
      </c>
      <c r="AU483" s="9">
        <v>23.6</v>
      </c>
      <c r="AV483" s="9">
        <v>25.510789513212089</v>
      </c>
      <c r="AW483" s="11">
        <v>36.128</v>
      </c>
      <c r="AX483" s="11">
        <v>29.570750431163329</v>
      </c>
      <c r="AY483" t="s">
        <v>949</v>
      </c>
      <c r="AZ483" t="s">
        <v>950</v>
      </c>
      <c r="BA483" t="s">
        <v>951</v>
      </c>
      <c r="BB483" t="s">
        <v>952</v>
      </c>
      <c r="BC483" t="b">
        <v>1</v>
      </c>
    </row>
    <row r="484" spans="1:55">
      <c r="A484" t="s">
        <v>1954</v>
      </c>
      <c r="B484" t="s">
        <v>939</v>
      </c>
      <c r="C484">
        <v>13354400</v>
      </c>
      <c r="D484">
        <v>7261800</v>
      </c>
      <c r="E484">
        <v>13354400</v>
      </c>
      <c r="F484">
        <v>27068500</v>
      </c>
      <c r="G484" s="9">
        <v>1.5665904894299559E-2</v>
      </c>
      <c r="H484" s="9"/>
      <c r="I484" s="9"/>
      <c r="J484" s="10">
        <v>534175.99999999988</v>
      </c>
      <c r="K484" s="10">
        <v>527712.45308222075</v>
      </c>
      <c r="L484" s="10">
        <v>521248.90616444155</v>
      </c>
      <c r="M484" s="10">
        <v>514785.35924666241</v>
      </c>
      <c r="N484" s="10">
        <v>508321.81232888321</v>
      </c>
      <c r="O484" s="10">
        <v>501858.26541110402</v>
      </c>
      <c r="P484" s="10">
        <v>488931.17157554562</v>
      </c>
      <c r="Q484" s="10">
        <v>476004.07773998729</v>
      </c>
      <c r="R484" s="10">
        <v>463076.9839044289</v>
      </c>
      <c r="S484" s="10">
        <v>450149.89006887056</v>
      </c>
      <c r="T484" s="10">
        <v>437222.79623331217</v>
      </c>
      <c r="V484" t="s">
        <v>456</v>
      </c>
      <c r="W484" t="s">
        <v>1954</v>
      </c>
      <c r="X484" t="s">
        <v>1955</v>
      </c>
      <c r="Y484" t="s">
        <v>941</v>
      </c>
      <c r="Z484" t="s">
        <v>942</v>
      </c>
      <c r="AB484" t="s">
        <v>593</v>
      </c>
      <c r="AC484" t="s">
        <v>592</v>
      </c>
      <c r="AD484" t="s">
        <v>943</v>
      </c>
      <c r="AF484" t="s">
        <v>944</v>
      </c>
      <c r="AG484" t="s">
        <v>955</v>
      </c>
      <c r="AH484" t="s">
        <v>956</v>
      </c>
      <c r="AI484" t="s">
        <v>947</v>
      </c>
      <c r="AJ484" t="s">
        <v>948</v>
      </c>
      <c r="AK484">
        <v>1</v>
      </c>
      <c r="AL484" s="10">
        <v>7261.8</v>
      </c>
      <c r="AM484" s="10">
        <v>13354.4</v>
      </c>
      <c r="AN484" s="10">
        <v>27068.5</v>
      </c>
      <c r="AO484" s="9">
        <v>8.2165259423571998E-3</v>
      </c>
      <c r="AP484" s="9">
        <v>1.7849999999999999</v>
      </c>
      <c r="AQ484" s="9">
        <v>1.9819703065168768</v>
      </c>
      <c r="AR484" s="9">
        <v>13.68393458778268</v>
      </c>
      <c r="AS484" s="9">
        <v>15.665904894299558</v>
      </c>
      <c r="AT484" s="9"/>
      <c r="AU484" s="9"/>
      <c r="AV484" s="9"/>
      <c r="AW484" s="11">
        <v>534.17599999999993</v>
      </c>
      <c r="AX484" s="11">
        <v>437.22279623331218</v>
      </c>
      <c r="AY484" t="s">
        <v>949</v>
      </c>
      <c r="AZ484" t="s">
        <v>950</v>
      </c>
      <c r="BA484" t="s">
        <v>951</v>
      </c>
      <c r="BB484" t="s">
        <v>952</v>
      </c>
      <c r="BC484" t="b">
        <v>0</v>
      </c>
    </row>
    <row r="485" spans="1:55">
      <c r="A485" t="s">
        <v>1956</v>
      </c>
      <c r="B485" t="s">
        <v>939</v>
      </c>
      <c r="C485">
        <v>6464900</v>
      </c>
      <c r="D485">
        <v>3515500</v>
      </c>
      <c r="E485">
        <v>6464900</v>
      </c>
      <c r="F485">
        <v>13104000</v>
      </c>
      <c r="G485" s="9">
        <v>8.5503312645388036E-3</v>
      </c>
      <c r="H485" s="9">
        <v>2.6945386942673514E-2</v>
      </c>
      <c r="I485" s="9">
        <v>4.0418080414010273E-2</v>
      </c>
      <c r="J485" s="10">
        <v>258596</v>
      </c>
      <c r="K485" s="10">
        <v>255466.98001641774</v>
      </c>
      <c r="L485" s="10">
        <v>252337.96003283552</v>
      </c>
      <c r="M485" s="10">
        <v>249208.94004925326</v>
      </c>
      <c r="N485" s="10">
        <v>246079.92006567106</v>
      </c>
      <c r="O485" s="10">
        <v>242950.9000820888</v>
      </c>
      <c r="P485" s="10">
        <v>236692.86011492432</v>
      </c>
      <c r="Q485" s="10">
        <v>230434.82014775983</v>
      </c>
      <c r="R485" s="10">
        <v>224176.78018059535</v>
      </c>
      <c r="S485" s="10">
        <v>217918.74021343089</v>
      </c>
      <c r="T485" s="10">
        <v>211660.70024626641</v>
      </c>
      <c r="V485" t="s">
        <v>456</v>
      </c>
      <c r="W485" t="s">
        <v>1956</v>
      </c>
      <c r="X485" t="s">
        <v>1957</v>
      </c>
      <c r="Y485" t="s">
        <v>941</v>
      </c>
      <c r="Z485" t="s">
        <v>942</v>
      </c>
      <c r="AB485" t="s">
        <v>593</v>
      </c>
      <c r="AC485" t="s">
        <v>592</v>
      </c>
      <c r="AD485" t="s">
        <v>943</v>
      </c>
      <c r="AF485" t="s">
        <v>944</v>
      </c>
      <c r="AG485" t="s">
        <v>1042</v>
      </c>
      <c r="AH485" t="s">
        <v>988</v>
      </c>
      <c r="AI485" t="s">
        <v>960</v>
      </c>
      <c r="AJ485" t="s">
        <v>948</v>
      </c>
      <c r="AK485">
        <v>19</v>
      </c>
      <c r="AL485" s="10">
        <v>3515.5</v>
      </c>
      <c r="AM485" s="10">
        <v>6464.9</v>
      </c>
      <c r="AN485" s="10">
        <v>13104</v>
      </c>
      <c r="AO485" s="9">
        <v>0.83666374983831626</v>
      </c>
      <c r="AP485" s="9">
        <v>181.76110000000003</v>
      </c>
      <c r="AQ485" s="9">
        <v>0.80033126453880488</v>
      </c>
      <c r="AR485" s="9">
        <v>7.7499999999999982</v>
      </c>
      <c r="AS485" s="9">
        <v>8.5503312645388032</v>
      </c>
      <c r="AT485" s="9">
        <v>3.345386942673509</v>
      </c>
      <c r="AU485" s="9">
        <v>23.600000000000009</v>
      </c>
      <c r="AV485" s="9">
        <v>26.945386942673515</v>
      </c>
      <c r="AW485" s="11">
        <v>258.596</v>
      </c>
      <c r="AX485" s="11">
        <v>211.6607002462664</v>
      </c>
      <c r="AY485" t="s">
        <v>949</v>
      </c>
      <c r="AZ485" t="s">
        <v>950</v>
      </c>
      <c r="BA485" t="s">
        <v>951</v>
      </c>
      <c r="BB485" t="s">
        <v>952</v>
      </c>
      <c r="BC485" t="b">
        <v>1</v>
      </c>
    </row>
    <row r="486" spans="1:55">
      <c r="A486" t="s">
        <v>1958</v>
      </c>
      <c r="B486" t="s">
        <v>939</v>
      </c>
      <c r="C486">
        <v>930200</v>
      </c>
      <c r="D486">
        <v>505800</v>
      </c>
      <c r="E486">
        <v>930200</v>
      </c>
      <c r="F486">
        <v>1885500</v>
      </c>
      <c r="G486" s="9">
        <v>1.2262796214184701E-2</v>
      </c>
      <c r="H486" s="9">
        <v>2.9917914699858581E-2</v>
      </c>
      <c r="I486" s="9">
        <v>4.4876872049787873E-2</v>
      </c>
      <c r="J486" s="10">
        <v>37208</v>
      </c>
      <c r="K486" s="10">
        <v>37208</v>
      </c>
      <c r="L486" s="10">
        <v>37208</v>
      </c>
      <c r="M486" s="10">
        <v>37208</v>
      </c>
      <c r="N486" s="10">
        <v>37208</v>
      </c>
      <c r="O486" s="10">
        <v>37208</v>
      </c>
      <c r="P486" s="10">
        <v>37208</v>
      </c>
      <c r="Q486" s="10">
        <v>37208</v>
      </c>
      <c r="R486" s="10">
        <v>37208</v>
      </c>
      <c r="S486" s="10">
        <v>37208</v>
      </c>
      <c r="T486" s="10">
        <v>37208</v>
      </c>
      <c r="V486" t="s">
        <v>456</v>
      </c>
      <c r="W486" t="s">
        <v>1958</v>
      </c>
      <c r="X486" t="s">
        <v>1959</v>
      </c>
      <c r="Y486" t="s">
        <v>941</v>
      </c>
      <c r="Z486" t="s">
        <v>942</v>
      </c>
      <c r="AB486" t="s">
        <v>73</v>
      </c>
      <c r="AC486" t="s">
        <v>73</v>
      </c>
      <c r="AD486" t="s">
        <v>943</v>
      </c>
      <c r="AF486" t="s">
        <v>944</v>
      </c>
      <c r="AG486" t="s">
        <v>965</v>
      </c>
      <c r="AH486" t="s">
        <v>956</v>
      </c>
      <c r="AI486" t="s">
        <v>960</v>
      </c>
      <c r="AJ486" t="s">
        <v>948</v>
      </c>
      <c r="AK486">
        <v>1</v>
      </c>
      <c r="AL486" s="10">
        <v>505.8</v>
      </c>
      <c r="AM486" s="10">
        <v>930.2</v>
      </c>
      <c r="AN486" s="10">
        <v>1885.5</v>
      </c>
      <c r="AO486" s="9">
        <v>1</v>
      </c>
      <c r="AP486" s="9">
        <v>1.2941</v>
      </c>
      <c r="AQ486" s="9">
        <v>4.5127962141847</v>
      </c>
      <c r="AR486" s="9">
        <v>7.75</v>
      </c>
      <c r="AS486" s="9">
        <v>12.2627962141847</v>
      </c>
      <c r="AT486" s="9">
        <v>6.3179146998585791</v>
      </c>
      <c r="AU486" s="9">
        <v>23.6</v>
      </c>
      <c r="AV486" s="9">
        <v>29.917914699858581</v>
      </c>
      <c r="AW486" s="11">
        <v>37.207999999999998</v>
      </c>
      <c r="AX486" s="11">
        <v>37.207999999999998</v>
      </c>
      <c r="AY486" t="s">
        <v>949</v>
      </c>
      <c r="AZ486" t="s">
        <v>950</v>
      </c>
      <c r="BA486" t="s">
        <v>951</v>
      </c>
      <c r="BB486" t="s">
        <v>952</v>
      </c>
      <c r="BC486" t="b">
        <v>1</v>
      </c>
    </row>
    <row r="487" spans="1:55">
      <c r="A487" t="s">
        <v>1960</v>
      </c>
      <c r="B487" t="s">
        <v>939</v>
      </c>
      <c r="C487">
        <v>183500</v>
      </c>
      <c r="D487">
        <v>99800</v>
      </c>
      <c r="E487">
        <v>183500</v>
      </c>
      <c r="F487">
        <v>371900</v>
      </c>
      <c r="G487" s="9">
        <v>1.5827783024686879E-2</v>
      </c>
      <c r="H487" s="9">
        <v>5.036376063002105E-2</v>
      </c>
      <c r="I487" s="9">
        <v>7.5545640945031578E-2</v>
      </c>
      <c r="J487" s="10">
        <v>7340</v>
      </c>
      <c r="K487" s="10">
        <v>7340</v>
      </c>
      <c r="L487" s="10">
        <v>7340</v>
      </c>
      <c r="M487" s="10">
        <v>7340</v>
      </c>
      <c r="N487" s="10">
        <v>7340</v>
      </c>
      <c r="O487" s="10">
        <v>7340</v>
      </c>
      <c r="P487" s="10">
        <v>7340</v>
      </c>
      <c r="Q487" s="10">
        <v>7340</v>
      </c>
      <c r="R487" s="10">
        <v>7340</v>
      </c>
      <c r="S487" s="10">
        <v>7340</v>
      </c>
      <c r="T487" s="10">
        <v>7340</v>
      </c>
      <c r="V487" t="s">
        <v>456</v>
      </c>
      <c r="W487" t="s">
        <v>1960</v>
      </c>
      <c r="X487" t="s">
        <v>1961</v>
      </c>
      <c r="Y487" t="s">
        <v>941</v>
      </c>
      <c r="Z487" t="s">
        <v>942</v>
      </c>
      <c r="AB487" t="s">
        <v>74</v>
      </c>
      <c r="AC487" t="s">
        <v>74</v>
      </c>
      <c r="AD487" t="s">
        <v>943</v>
      </c>
      <c r="AF487" t="s">
        <v>944</v>
      </c>
      <c r="AG487" t="s">
        <v>945</v>
      </c>
      <c r="AH487" t="s">
        <v>946</v>
      </c>
      <c r="AI487" t="s">
        <v>947</v>
      </c>
      <c r="AJ487" t="s">
        <v>948</v>
      </c>
      <c r="AK487">
        <v>1</v>
      </c>
      <c r="AL487" s="10">
        <v>99.8</v>
      </c>
      <c r="AM487" s="10">
        <v>183.5</v>
      </c>
      <c r="AN487" s="10">
        <v>371.9</v>
      </c>
      <c r="AO487" s="9">
        <v>2.5288407428249799E-2</v>
      </c>
      <c r="AP487" s="9">
        <v>0.2157</v>
      </c>
      <c r="AQ487" s="9">
        <v>1.0528446631144237</v>
      </c>
      <c r="AR487" s="9">
        <v>14.774938361572456</v>
      </c>
      <c r="AS487" s="9">
        <v>15.82778302468688</v>
      </c>
      <c r="AT487" s="9">
        <v>1.4739825283601928</v>
      </c>
      <c r="AU487" s="9">
        <v>48.889778101660852</v>
      </c>
      <c r="AV487" s="9">
        <v>50.363760630021048</v>
      </c>
      <c r="AW487" s="11">
        <v>7.34</v>
      </c>
      <c r="AX487" s="11">
        <v>7.34</v>
      </c>
      <c r="AY487" t="s">
        <v>949</v>
      </c>
      <c r="AZ487" t="s">
        <v>950</v>
      </c>
      <c r="BA487" t="s">
        <v>951</v>
      </c>
      <c r="BB487" t="s">
        <v>952</v>
      </c>
      <c r="BC487" t="b">
        <v>1</v>
      </c>
    </row>
    <row r="488" spans="1:55">
      <c r="A488" t="s">
        <v>1962</v>
      </c>
      <c r="B488" t="s">
        <v>939</v>
      </c>
      <c r="C488">
        <v>10500</v>
      </c>
      <c r="D488">
        <v>5700</v>
      </c>
      <c r="E488">
        <v>10500</v>
      </c>
      <c r="F488">
        <v>21400</v>
      </c>
      <c r="G488" s="9">
        <v>8.8014895820414489E-3</v>
      </c>
      <c r="H488" s="9">
        <v>2.5072085414858031E-2</v>
      </c>
      <c r="I488" s="9">
        <v>3.7608128122287046E-2</v>
      </c>
      <c r="J488" s="10">
        <v>420</v>
      </c>
      <c r="K488" s="10">
        <v>420</v>
      </c>
      <c r="L488" s="10">
        <v>420</v>
      </c>
      <c r="M488" s="10">
        <v>420</v>
      </c>
      <c r="N488" s="10">
        <v>420</v>
      </c>
      <c r="O488" s="10">
        <v>420</v>
      </c>
      <c r="P488" s="10">
        <v>420</v>
      </c>
      <c r="Q488" s="10">
        <v>420</v>
      </c>
      <c r="R488" s="10">
        <v>420</v>
      </c>
      <c r="S488" s="10">
        <v>420</v>
      </c>
      <c r="T488" s="10">
        <v>420</v>
      </c>
      <c r="V488" t="s">
        <v>456</v>
      </c>
      <c r="W488" t="s">
        <v>1962</v>
      </c>
      <c r="X488" t="s">
        <v>1963</v>
      </c>
      <c r="Y488" t="s">
        <v>941</v>
      </c>
      <c r="Z488" t="s">
        <v>942</v>
      </c>
      <c r="AB488" t="s">
        <v>74</v>
      </c>
      <c r="AC488" t="s">
        <v>74</v>
      </c>
      <c r="AD488" t="s">
        <v>943</v>
      </c>
      <c r="AF488" t="s">
        <v>944</v>
      </c>
      <c r="AG488" t="s">
        <v>965</v>
      </c>
      <c r="AH488" t="s">
        <v>956</v>
      </c>
      <c r="AI488" t="s">
        <v>960</v>
      </c>
      <c r="AJ488" t="s">
        <v>948</v>
      </c>
      <c r="AK488">
        <v>1</v>
      </c>
      <c r="AL488" s="10">
        <v>5.7</v>
      </c>
      <c r="AM488" s="10">
        <v>10.5</v>
      </c>
      <c r="AN488" s="10">
        <v>21.4</v>
      </c>
      <c r="AO488" s="9">
        <v>0.80412915025323584</v>
      </c>
      <c r="AP488" s="9">
        <v>6.8589000000000002</v>
      </c>
      <c r="AQ488" s="9">
        <v>1.0514895820414485</v>
      </c>
      <c r="AR488" s="9">
        <v>7.75</v>
      </c>
      <c r="AS488" s="9">
        <v>8.801489582041448</v>
      </c>
      <c r="AT488" s="9">
        <v>1.4720854148580276</v>
      </c>
      <c r="AU488" s="9">
        <v>23.6</v>
      </c>
      <c r="AV488" s="9">
        <v>25.07208541485803</v>
      </c>
      <c r="AW488" s="11">
        <v>0.42</v>
      </c>
      <c r="AX488" s="11">
        <v>0.42</v>
      </c>
      <c r="AY488" t="s">
        <v>949</v>
      </c>
      <c r="AZ488" t="s">
        <v>950</v>
      </c>
      <c r="BA488" t="s">
        <v>951</v>
      </c>
      <c r="BB488" t="s">
        <v>952</v>
      </c>
      <c r="BC488" t="b">
        <v>1</v>
      </c>
    </row>
    <row r="489" spans="1:55">
      <c r="A489" t="s">
        <v>1964</v>
      </c>
      <c r="B489" t="s">
        <v>939</v>
      </c>
      <c r="C489">
        <v>216900</v>
      </c>
      <c r="D489">
        <v>118000</v>
      </c>
      <c r="E489">
        <v>216900</v>
      </c>
      <c r="F489">
        <v>439700</v>
      </c>
      <c r="G489" s="9">
        <v>2.4452058407906152E-2</v>
      </c>
      <c r="H489" s="9">
        <v>6.243774616652803E-2</v>
      </c>
      <c r="I489" s="9">
        <v>9.3656619249792045E-2</v>
      </c>
      <c r="J489" s="10">
        <v>8676</v>
      </c>
      <c r="K489" s="10">
        <v>8676</v>
      </c>
      <c r="L489" s="10">
        <v>8676</v>
      </c>
      <c r="M489" s="10">
        <v>8676</v>
      </c>
      <c r="N489" s="10">
        <v>8676</v>
      </c>
      <c r="O489" s="10">
        <v>8676</v>
      </c>
      <c r="P489" s="10">
        <v>8676</v>
      </c>
      <c r="Q489" s="10">
        <v>8676</v>
      </c>
      <c r="R489" s="10">
        <v>8676</v>
      </c>
      <c r="S489" s="10">
        <v>8676</v>
      </c>
      <c r="T489" s="10">
        <v>8676</v>
      </c>
      <c r="V489" t="s">
        <v>456</v>
      </c>
      <c r="W489" t="s">
        <v>1964</v>
      </c>
      <c r="X489" t="s">
        <v>1963</v>
      </c>
      <c r="Y489" t="s">
        <v>941</v>
      </c>
      <c r="Z489" t="s">
        <v>942</v>
      </c>
      <c r="AB489" t="s">
        <v>74</v>
      </c>
      <c r="AC489" t="s">
        <v>74</v>
      </c>
      <c r="AD489" t="s">
        <v>943</v>
      </c>
      <c r="AF489" t="s">
        <v>944</v>
      </c>
      <c r="AG489" t="s">
        <v>955</v>
      </c>
      <c r="AH489" t="s">
        <v>956</v>
      </c>
      <c r="AI489" t="s">
        <v>947</v>
      </c>
      <c r="AJ489" t="s">
        <v>948</v>
      </c>
      <c r="AK489">
        <v>1</v>
      </c>
      <c r="AL489" s="10">
        <v>118</v>
      </c>
      <c r="AM489" s="10">
        <v>216.9</v>
      </c>
      <c r="AN489" s="10">
        <v>439.7</v>
      </c>
      <c r="AO489" s="9">
        <v>2.9895891952729299E-2</v>
      </c>
      <c r="AP489" s="9">
        <v>0.255</v>
      </c>
      <c r="AQ489" s="9">
        <v>9.6771200463336964</v>
      </c>
      <c r="AR489" s="9">
        <v>14.774938361572456</v>
      </c>
      <c r="AS489" s="9">
        <v>24.452058407906151</v>
      </c>
      <c r="AT489" s="9">
        <v>13.547968064867174</v>
      </c>
      <c r="AU489" s="9">
        <v>48.889778101660852</v>
      </c>
      <c r="AV489" s="9">
        <v>62.437746166528029</v>
      </c>
      <c r="AW489" s="11">
        <v>8.6760000000000002</v>
      </c>
      <c r="AX489" s="11">
        <v>8.6760000000000002</v>
      </c>
      <c r="AY489" t="s">
        <v>949</v>
      </c>
      <c r="AZ489" t="s">
        <v>950</v>
      </c>
      <c r="BA489" t="s">
        <v>951</v>
      </c>
      <c r="BB489" t="s">
        <v>952</v>
      </c>
      <c r="BC489" t="b">
        <v>1</v>
      </c>
    </row>
    <row r="490" spans="1:55">
      <c r="A490" t="s">
        <v>1965</v>
      </c>
      <c r="B490" t="s">
        <v>939</v>
      </c>
      <c r="C490">
        <v>1020800</v>
      </c>
      <c r="D490">
        <v>555100</v>
      </c>
      <c r="E490">
        <v>1020800</v>
      </c>
      <c r="F490">
        <v>2069100</v>
      </c>
      <c r="G490" s="9">
        <v>2.2072738057165382E-2</v>
      </c>
      <c r="H490" s="9"/>
      <c r="I490" s="9"/>
      <c r="J490" s="10">
        <v>40832</v>
      </c>
      <c r="K490" s="10">
        <v>40832</v>
      </c>
      <c r="L490" s="10">
        <v>40832</v>
      </c>
      <c r="M490" s="10">
        <v>40832</v>
      </c>
      <c r="N490" s="10">
        <v>40832</v>
      </c>
      <c r="O490" s="10">
        <v>40832</v>
      </c>
      <c r="P490" s="10">
        <v>40832</v>
      </c>
      <c r="Q490" s="10">
        <v>40832</v>
      </c>
      <c r="R490" s="10">
        <v>40832</v>
      </c>
      <c r="S490" s="10">
        <v>40832</v>
      </c>
      <c r="T490" s="10">
        <v>40832</v>
      </c>
      <c r="V490" t="s">
        <v>456</v>
      </c>
      <c r="W490" t="s">
        <v>1965</v>
      </c>
      <c r="X490" t="s">
        <v>1966</v>
      </c>
      <c r="Y490" t="s">
        <v>941</v>
      </c>
      <c r="Z490" t="s">
        <v>942</v>
      </c>
      <c r="AB490" t="s">
        <v>74</v>
      </c>
      <c r="AC490" t="s">
        <v>74</v>
      </c>
      <c r="AD490" t="s">
        <v>943</v>
      </c>
      <c r="AF490" t="s">
        <v>944</v>
      </c>
      <c r="AG490" t="s">
        <v>1037</v>
      </c>
      <c r="AH490" t="s">
        <v>988</v>
      </c>
      <c r="AI490" t="s">
        <v>947</v>
      </c>
      <c r="AJ490" t="s">
        <v>948</v>
      </c>
      <c r="AK490">
        <v>1</v>
      </c>
      <c r="AL490" s="10">
        <v>555.1</v>
      </c>
      <c r="AM490" s="10">
        <v>1020.8</v>
      </c>
      <c r="AN490" s="10">
        <v>2069.1</v>
      </c>
      <c r="AO490" s="9">
        <v>0.14068655036578501</v>
      </c>
      <c r="AP490" s="9">
        <v>1.2</v>
      </c>
      <c r="AQ490" s="9">
        <v>7.2977996955929259</v>
      </c>
      <c r="AR490" s="9">
        <v>14.774938361572456</v>
      </c>
      <c r="AS490" s="9">
        <v>22.072738057165381</v>
      </c>
      <c r="AT490" s="9"/>
      <c r="AU490" s="9"/>
      <c r="AV490" s="9"/>
      <c r="AW490" s="11">
        <v>40.832000000000001</v>
      </c>
      <c r="AX490" s="11">
        <v>40.832000000000001</v>
      </c>
      <c r="AY490" t="s">
        <v>949</v>
      </c>
      <c r="AZ490" t="s">
        <v>950</v>
      </c>
      <c r="BA490" t="s">
        <v>951</v>
      </c>
      <c r="BB490" t="s">
        <v>952</v>
      </c>
      <c r="BC490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66A74-2618-4F29-8D02-23EEA352D693}">
  <dimension ref="A1:Z1165"/>
  <sheetViews>
    <sheetView workbookViewId="0"/>
  </sheetViews>
  <sheetFormatPr defaultRowHeight="14.25"/>
  <sheetData>
    <row r="1" spans="1:26">
      <c r="A1" t="s">
        <v>0</v>
      </c>
      <c r="I1" t="s">
        <v>1</v>
      </c>
      <c r="P1" t="s">
        <v>0</v>
      </c>
      <c r="X1" t="s">
        <v>1</v>
      </c>
    </row>
    <row r="2" spans="1:26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I2" t="s">
        <v>3</v>
      </c>
      <c r="J2" t="s">
        <v>9</v>
      </c>
      <c r="K2" t="s">
        <v>10</v>
      </c>
      <c r="L2" t="s">
        <v>4190</v>
      </c>
      <c r="M2" t="s">
        <v>4191</v>
      </c>
      <c r="N2" t="s">
        <v>14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X2" t="s">
        <v>3</v>
      </c>
      <c r="Y2" t="s">
        <v>9</v>
      </c>
      <c r="Z2" t="s">
        <v>641</v>
      </c>
    </row>
    <row r="3" spans="1:26">
      <c r="A3" t="s">
        <v>1967</v>
      </c>
      <c r="B3" t="s">
        <v>1968</v>
      </c>
      <c r="C3" t="s">
        <v>1969</v>
      </c>
      <c r="D3" t="s">
        <v>11</v>
      </c>
      <c r="E3" t="s">
        <v>13</v>
      </c>
      <c r="F3" t="s">
        <v>1970</v>
      </c>
      <c r="G3" t="s">
        <v>12</v>
      </c>
      <c r="I3" t="s">
        <v>1968</v>
      </c>
      <c r="J3" t="s">
        <v>4192</v>
      </c>
      <c r="K3" s="11">
        <v>40.429623749435123</v>
      </c>
      <c r="L3" s="9">
        <v>0.24209171604706869</v>
      </c>
      <c r="M3" s="11">
        <v>65.282528882561195</v>
      </c>
      <c r="N3" s="11">
        <v>71.810781770817314</v>
      </c>
      <c r="P3" t="s">
        <v>1967</v>
      </c>
      <c r="Q3" t="s">
        <v>5355</v>
      </c>
      <c r="R3" t="s">
        <v>5356</v>
      </c>
      <c r="S3" t="s">
        <v>11</v>
      </c>
      <c r="T3" t="s">
        <v>13</v>
      </c>
      <c r="U3" t="s">
        <v>75</v>
      </c>
      <c r="V3" t="s">
        <v>12</v>
      </c>
      <c r="X3" t="s">
        <v>5355</v>
      </c>
      <c r="Y3" t="s">
        <v>76</v>
      </c>
      <c r="Z3" s="9">
        <v>1</v>
      </c>
    </row>
    <row r="4" spans="1:26">
      <c r="A4" t="s">
        <v>1967</v>
      </c>
      <c r="B4" t="s">
        <v>1971</v>
      </c>
      <c r="C4" t="s">
        <v>1972</v>
      </c>
      <c r="D4" t="s">
        <v>11</v>
      </c>
      <c r="E4" t="s">
        <v>13</v>
      </c>
      <c r="F4" t="s">
        <v>1970</v>
      </c>
      <c r="G4" t="s">
        <v>12</v>
      </c>
      <c r="I4" t="s">
        <v>1971</v>
      </c>
      <c r="J4" t="s">
        <v>4193</v>
      </c>
      <c r="K4" s="11">
        <v>35.885728596692928</v>
      </c>
      <c r="L4" s="9">
        <v>0.2432268752779663</v>
      </c>
      <c r="M4" s="10">
        <v>131.68483823958567</v>
      </c>
      <c r="N4" s="10">
        <v>144.85332206354425</v>
      </c>
      <c r="P4" t="s">
        <v>1967</v>
      </c>
      <c r="Q4" t="s">
        <v>5357</v>
      </c>
      <c r="R4" t="s">
        <v>5358</v>
      </c>
      <c r="S4" t="s">
        <v>11</v>
      </c>
      <c r="T4" t="s">
        <v>13</v>
      </c>
      <c r="U4" t="s">
        <v>75</v>
      </c>
      <c r="V4" t="s">
        <v>12</v>
      </c>
      <c r="X4" t="s">
        <v>5357</v>
      </c>
      <c r="Y4" t="s">
        <v>76</v>
      </c>
      <c r="Z4" s="9">
        <v>1</v>
      </c>
    </row>
    <row r="5" spans="1:26">
      <c r="A5" t="s">
        <v>1967</v>
      </c>
      <c r="B5" t="s">
        <v>1973</v>
      </c>
      <c r="C5" t="s">
        <v>1974</v>
      </c>
      <c r="D5" t="s">
        <v>11</v>
      </c>
      <c r="E5" t="s">
        <v>13</v>
      </c>
      <c r="F5" t="s">
        <v>1970</v>
      </c>
      <c r="G5" t="s">
        <v>12</v>
      </c>
      <c r="I5" t="s">
        <v>1973</v>
      </c>
      <c r="J5" t="s">
        <v>4194</v>
      </c>
      <c r="K5" s="9">
        <v>1.7962176738143454</v>
      </c>
      <c r="L5" s="9">
        <v>0.28135755203371349</v>
      </c>
      <c r="M5" s="10">
        <v>196.73382088180517</v>
      </c>
      <c r="N5" s="10">
        <v>216.40720296998572</v>
      </c>
      <c r="P5" t="s">
        <v>1967</v>
      </c>
      <c r="Q5" t="s">
        <v>5359</v>
      </c>
      <c r="R5" t="s">
        <v>5360</v>
      </c>
      <c r="S5" t="s">
        <v>11</v>
      </c>
      <c r="T5" t="s">
        <v>13</v>
      </c>
      <c r="U5" t="s">
        <v>75</v>
      </c>
      <c r="V5" t="s">
        <v>12</v>
      </c>
      <c r="X5" t="s">
        <v>5359</v>
      </c>
      <c r="Y5" t="s">
        <v>76</v>
      </c>
      <c r="Z5" s="9">
        <v>1</v>
      </c>
    </row>
    <row r="6" spans="1:26">
      <c r="A6" t="s">
        <v>1967</v>
      </c>
      <c r="B6" t="s">
        <v>1975</v>
      </c>
      <c r="C6" t="s">
        <v>1974</v>
      </c>
      <c r="D6" t="s">
        <v>11</v>
      </c>
      <c r="E6" t="s">
        <v>13</v>
      </c>
      <c r="F6" t="s">
        <v>1970</v>
      </c>
      <c r="G6" t="s">
        <v>12</v>
      </c>
      <c r="I6" t="s">
        <v>1975</v>
      </c>
      <c r="J6" t="s">
        <v>4195</v>
      </c>
      <c r="K6" s="11">
        <v>26.770469594256248</v>
      </c>
      <c r="L6" s="9">
        <v>0.25611272502951909</v>
      </c>
      <c r="M6" s="10">
        <v>133.80850091952499</v>
      </c>
      <c r="N6" s="10">
        <v>147.1893510114775</v>
      </c>
      <c r="P6" t="s">
        <v>1967</v>
      </c>
      <c r="Q6" t="s">
        <v>5361</v>
      </c>
      <c r="R6" t="s">
        <v>5362</v>
      </c>
      <c r="S6" t="s">
        <v>11</v>
      </c>
      <c r="T6" t="s">
        <v>13</v>
      </c>
      <c r="U6" t="s">
        <v>75</v>
      </c>
      <c r="V6" t="s">
        <v>12</v>
      </c>
      <c r="X6" t="s">
        <v>5361</v>
      </c>
      <c r="Y6" t="s">
        <v>76</v>
      </c>
      <c r="Z6" s="9">
        <v>1</v>
      </c>
    </row>
    <row r="7" spans="1:26">
      <c r="A7" t="s">
        <v>1967</v>
      </c>
      <c r="B7" t="s">
        <v>1976</v>
      </c>
      <c r="C7" t="s">
        <v>1977</v>
      </c>
      <c r="D7" t="s">
        <v>11</v>
      </c>
      <c r="E7" t="s">
        <v>13</v>
      </c>
      <c r="F7" t="s">
        <v>1970</v>
      </c>
      <c r="G7" t="s">
        <v>12</v>
      </c>
      <c r="I7" t="s">
        <v>1976</v>
      </c>
      <c r="J7" t="s">
        <v>4196</v>
      </c>
      <c r="K7" s="11">
        <v>37.987338123650048</v>
      </c>
      <c r="L7" s="9">
        <v>0.2806122233841814</v>
      </c>
      <c r="M7" s="10">
        <v>176.56115189817717</v>
      </c>
      <c r="N7" s="10">
        <v>194.21726708799491</v>
      </c>
      <c r="P7" t="s">
        <v>1967</v>
      </c>
      <c r="Q7" t="s">
        <v>5363</v>
      </c>
      <c r="R7" t="s">
        <v>5364</v>
      </c>
      <c r="S7" t="s">
        <v>11</v>
      </c>
      <c r="T7" t="s">
        <v>13</v>
      </c>
      <c r="U7" t="s">
        <v>75</v>
      </c>
      <c r="V7" t="s">
        <v>12</v>
      </c>
      <c r="X7" t="s">
        <v>5363</v>
      </c>
      <c r="Y7" t="s">
        <v>76</v>
      </c>
      <c r="Z7" s="9">
        <v>1</v>
      </c>
    </row>
    <row r="8" spans="1:26">
      <c r="A8" t="s">
        <v>1967</v>
      </c>
      <c r="B8" t="s">
        <v>1978</v>
      </c>
      <c r="C8" t="s">
        <v>1979</v>
      </c>
      <c r="D8" t="s">
        <v>11</v>
      </c>
      <c r="E8" t="s">
        <v>13</v>
      </c>
      <c r="F8" t="s">
        <v>1970</v>
      </c>
      <c r="G8" t="s">
        <v>12</v>
      </c>
      <c r="I8" t="s">
        <v>1978</v>
      </c>
      <c r="J8" t="s">
        <v>4197</v>
      </c>
      <c r="K8" s="11">
        <v>17.571407673498147</v>
      </c>
      <c r="L8" s="9">
        <v>0.26265161511858032</v>
      </c>
      <c r="M8" s="10">
        <v>164.63720989300131</v>
      </c>
      <c r="N8" s="10">
        <v>181.10093088230147</v>
      </c>
      <c r="P8" t="s">
        <v>1967</v>
      </c>
      <c r="Q8" t="s">
        <v>5365</v>
      </c>
      <c r="R8" t="s">
        <v>5366</v>
      </c>
      <c r="S8" t="s">
        <v>11</v>
      </c>
      <c r="T8" t="s">
        <v>13</v>
      </c>
      <c r="U8" t="s">
        <v>75</v>
      </c>
      <c r="V8" t="s">
        <v>12</v>
      </c>
      <c r="X8" t="s">
        <v>5365</v>
      </c>
      <c r="Y8" t="s">
        <v>76</v>
      </c>
      <c r="Z8" s="9">
        <v>1</v>
      </c>
    </row>
    <row r="9" spans="1:26">
      <c r="A9" t="s">
        <v>1967</v>
      </c>
      <c r="B9" t="s">
        <v>1980</v>
      </c>
      <c r="C9" t="s">
        <v>1981</v>
      </c>
      <c r="D9" t="s">
        <v>11</v>
      </c>
      <c r="E9" t="s">
        <v>13</v>
      </c>
      <c r="F9" t="s">
        <v>1970</v>
      </c>
      <c r="G9" t="s">
        <v>12</v>
      </c>
      <c r="I9" t="s">
        <v>1980</v>
      </c>
      <c r="J9" t="s">
        <v>4198</v>
      </c>
      <c r="K9" s="9">
        <v>0.64643546006144237</v>
      </c>
      <c r="L9" s="9">
        <v>0.23136532407031421</v>
      </c>
      <c r="M9" s="10">
        <v>104.57988475698065</v>
      </c>
      <c r="N9" s="10">
        <v>115.03787323267872</v>
      </c>
      <c r="P9" t="s">
        <v>1967</v>
      </c>
      <c r="Q9" t="s">
        <v>5367</v>
      </c>
      <c r="R9" t="s">
        <v>5368</v>
      </c>
      <c r="S9" t="s">
        <v>11</v>
      </c>
      <c r="T9" t="s">
        <v>13</v>
      </c>
      <c r="U9" t="s">
        <v>75</v>
      </c>
      <c r="V9" t="s">
        <v>12</v>
      </c>
      <c r="X9" t="s">
        <v>5367</v>
      </c>
      <c r="Y9" t="s">
        <v>76</v>
      </c>
      <c r="Z9" s="9">
        <v>1</v>
      </c>
    </row>
    <row r="10" spans="1:26">
      <c r="A10" t="s">
        <v>1967</v>
      </c>
      <c r="B10" t="s">
        <v>1982</v>
      </c>
      <c r="C10" t="s">
        <v>1983</v>
      </c>
      <c r="D10" t="s">
        <v>11</v>
      </c>
      <c r="E10" t="s">
        <v>13</v>
      </c>
      <c r="F10" t="s">
        <v>1970</v>
      </c>
      <c r="G10" t="s">
        <v>12</v>
      </c>
      <c r="I10" t="s">
        <v>1982</v>
      </c>
      <c r="J10" t="s">
        <v>4199</v>
      </c>
      <c r="K10" s="11">
        <v>94.698736705765569</v>
      </c>
      <c r="L10" s="9">
        <v>0.2758485400882732</v>
      </c>
      <c r="M10" s="10">
        <v>116.95456746678744</v>
      </c>
      <c r="N10" s="10">
        <v>128.6500242134662</v>
      </c>
      <c r="P10" t="s">
        <v>1967</v>
      </c>
      <c r="Q10" t="s">
        <v>5369</v>
      </c>
      <c r="R10" t="s">
        <v>5370</v>
      </c>
      <c r="S10" t="s">
        <v>11</v>
      </c>
      <c r="T10" t="s">
        <v>13</v>
      </c>
      <c r="U10" t="s">
        <v>75</v>
      </c>
      <c r="V10" t="s">
        <v>12</v>
      </c>
      <c r="X10" t="s">
        <v>5369</v>
      </c>
      <c r="Y10" t="s">
        <v>76</v>
      </c>
      <c r="Z10" s="9">
        <v>1</v>
      </c>
    </row>
    <row r="11" spans="1:26">
      <c r="A11" t="s">
        <v>1967</v>
      </c>
      <c r="B11" t="s">
        <v>1984</v>
      </c>
      <c r="C11" t="s">
        <v>1985</v>
      </c>
      <c r="D11" t="s">
        <v>11</v>
      </c>
      <c r="E11" t="s">
        <v>13</v>
      </c>
      <c r="F11" t="s">
        <v>1970</v>
      </c>
      <c r="G11" t="s">
        <v>12</v>
      </c>
      <c r="I11" t="s">
        <v>1984</v>
      </c>
      <c r="J11" t="s">
        <v>4200</v>
      </c>
      <c r="K11" s="10">
        <v>105.31756201712484</v>
      </c>
      <c r="L11" s="9">
        <v>0.27260803057858851</v>
      </c>
      <c r="M11" s="10">
        <v>156.78051536222841</v>
      </c>
      <c r="N11" s="10">
        <v>172.45856689845127</v>
      </c>
      <c r="P11" t="s">
        <v>1967</v>
      </c>
      <c r="Q11" t="s">
        <v>5371</v>
      </c>
      <c r="R11" t="s">
        <v>5372</v>
      </c>
      <c r="S11" t="s">
        <v>11</v>
      </c>
      <c r="T11" t="s">
        <v>13</v>
      </c>
      <c r="U11" t="s">
        <v>75</v>
      </c>
      <c r="V11" t="s">
        <v>12</v>
      </c>
      <c r="X11" t="s">
        <v>5371</v>
      </c>
      <c r="Y11" t="s">
        <v>76</v>
      </c>
      <c r="Z11" s="9">
        <v>1</v>
      </c>
    </row>
    <row r="12" spans="1:26">
      <c r="A12" t="s">
        <v>1967</v>
      </c>
      <c r="B12" t="s">
        <v>1986</v>
      </c>
      <c r="C12" t="s">
        <v>1987</v>
      </c>
      <c r="D12" t="s">
        <v>11</v>
      </c>
      <c r="E12" t="s">
        <v>13</v>
      </c>
      <c r="F12" t="s">
        <v>1970</v>
      </c>
      <c r="G12" t="s">
        <v>12</v>
      </c>
      <c r="I12" t="s">
        <v>1986</v>
      </c>
      <c r="J12" t="s">
        <v>4201</v>
      </c>
      <c r="K12" s="10">
        <v>178.12261115356043</v>
      </c>
      <c r="L12" s="9">
        <v>0.25694209595025469</v>
      </c>
      <c r="M12" s="10">
        <v>141.24988966813186</v>
      </c>
      <c r="N12" s="10">
        <v>155.37487863494505</v>
      </c>
      <c r="P12" t="s">
        <v>1967</v>
      </c>
      <c r="Q12" t="s">
        <v>5373</v>
      </c>
      <c r="R12" t="s">
        <v>5374</v>
      </c>
      <c r="S12" t="s">
        <v>11</v>
      </c>
      <c r="T12" t="s">
        <v>13</v>
      </c>
      <c r="U12" t="s">
        <v>75</v>
      </c>
      <c r="V12" t="s">
        <v>12</v>
      </c>
      <c r="X12" t="s">
        <v>5373</v>
      </c>
      <c r="Y12" t="s">
        <v>76</v>
      </c>
      <c r="Z12" s="9">
        <v>1</v>
      </c>
    </row>
    <row r="13" spans="1:26">
      <c r="A13" t="s">
        <v>1967</v>
      </c>
      <c r="B13" t="s">
        <v>1988</v>
      </c>
      <c r="C13" t="s">
        <v>1989</v>
      </c>
      <c r="D13" t="s">
        <v>11</v>
      </c>
      <c r="E13" t="s">
        <v>13</v>
      </c>
      <c r="F13" t="s">
        <v>1970</v>
      </c>
      <c r="G13" t="s">
        <v>12</v>
      </c>
      <c r="I13" t="s">
        <v>1988</v>
      </c>
      <c r="J13" t="s">
        <v>4202</v>
      </c>
      <c r="K13" s="10">
        <v>128.91280312607631</v>
      </c>
      <c r="L13" s="9">
        <v>0.23693872403984459</v>
      </c>
      <c r="M13" s="11">
        <v>56.480402740562027</v>
      </c>
      <c r="N13" s="11">
        <v>62.128443014618234</v>
      </c>
      <c r="P13" t="s">
        <v>1967</v>
      </c>
      <c r="Q13" t="s">
        <v>5375</v>
      </c>
      <c r="R13" t="s">
        <v>5376</v>
      </c>
      <c r="S13" t="s">
        <v>11</v>
      </c>
      <c r="T13" t="s">
        <v>13</v>
      </c>
      <c r="U13" t="s">
        <v>75</v>
      </c>
      <c r="V13" t="s">
        <v>12</v>
      </c>
      <c r="X13" t="s">
        <v>5375</v>
      </c>
      <c r="Y13" t="s">
        <v>76</v>
      </c>
      <c r="Z13" s="9">
        <v>1</v>
      </c>
    </row>
    <row r="14" spans="1:26">
      <c r="A14" t="s">
        <v>1967</v>
      </c>
      <c r="B14" t="s">
        <v>1990</v>
      </c>
      <c r="C14" t="s">
        <v>1991</v>
      </c>
      <c r="D14" t="s">
        <v>11</v>
      </c>
      <c r="E14" t="s">
        <v>13</v>
      </c>
      <c r="F14" t="s">
        <v>1970</v>
      </c>
      <c r="G14" t="s">
        <v>12</v>
      </c>
      <c r="I14" t="s">
        <v>1990</v>
      </c>
      <c r="J14" t="s">
        <v>4203</v>
      </c>
      <c r="K14" s="10">
        <v>270.22040482770916</v>
      </c>
      <c r="L14" s="9">
        <v>0.23434139873296339</v>
      </c>
      <c r="M14" s="10">
        <v>107.54022644920944</v>
      </c>
      <c r="N14" s="10">
        <v>118.29424909413039</v>
      </c>
      <c r="P14" t="s">
        <v>1967</v>
      </c>
      <c r="Q14" t="s">
        <v>5377</v>
      </c>
      <c r="R14" t="s">
        <v>5378</v>
      </c>
      <c r="S14" t="s">
        <v>11</v>
      </c>
      <c r="T14" t="s">
        <v>13</v>
      </c>
      <c r="U14" t="s">
        <v>75</v>
      </c>
      <c r="V14" t="s">
        <v>12</v>
      </c>
      <c r="X14" t="s">
        <v>5377</v>
      </c>
      <c r="Y14" t="s">
        <v>76</v>
      </c>
      <c r="Z14" s="9">
        <v>1</v>
      </c>
    </row>
    <row r="15" spans="1:26">
      <c r="A15" t="s">
        <v>1967</v>
      </c>
      <c r="B15" t="s">
        <v>1992</v>
      </c>
      <c r="C15" t="s">
        <v>1993</v>
      </c>
      <c r="D15" t="s">
        <v>11</v>
      </c>
      <c r="E15" t="s">
        <v>13</v>
      </c>
      <c r="F15" t="s">
        <v>1970</v>
      </c>
      <c r="G15" t="s">
        <v>12</v>
      </c>
      <c r="I15" t="s">
        <v>1992</v>
      </c>
      <c r="J15" t="s">
        <v>4204</v>
      </c>
      <c r="K15" s="10">
        <v>194.86258012317089</v>
      </c>
      <c r="L15" s="9">
        <v>0.24619987884319661</v>
      </c>
      <c r="M15" s="10">
        <v>242.96090128124376</v>
      </c>
      <c r="N15" s="10">
        <v>267.25699140936814</v>
      </c>
      <c r="P15" t="s">
        <v>1967</v>
      </c>
      <c r="Q15" t="s">
        <v>5379</v>
      </c>
      <c r="R15" t="s">
        <v>5380</v>
      </c>
      <c r="S15" t="s">
        <v>11</v>
      </c>
      <c r="T15" t="s">
        <v>13</v>
      </c>
      <c r="U15" t="s">
        <v>75</v>
      </c>
      <c r="V15" t="s">
        <v>12</v>
      </c>
      <c r="X15" t="s">
        <v>5379</v>
      </c>
      <c r="Y15" t="s">
        <v>76</v>
      </c>
      <c r="Z15" s="9">
        <v>1</v>
      </c>
    </row>
    <row r="16" spans="1:26">
      <c r="A16" t="s">
        <v>1967</v>
      </c>
      <c r="B16" t="s">
        <v>1994</v>
      </c>
      <c r="C16" t="s">
        <v>1993</v>
      </c>
      <c r="D16" t="s">
        <v>11</v>
      </c>
      <c r="E16" t="s">
        <v>13</v>
      </c>
      <c r="F16" t="s">
        <v>1970</v>
      </c>
      <c r="G16" t="s">
        <v>12</v>
      </c>
      <c r="I16" t="s">
        <v>1994</v>
      </c>
      <c r="J16" t="s">
        <v>4205</v>
      </c>
      <c r="K16" s="10">
        <v>284.53564847550399</v>
      </c>
      <c r="L16" s="9">
        <v>0.2324697352378651</v>
      </c>
      <c r="M16" s="10">
        <v>375.70046485725283</v>
      </c>
      <c r="N16" s="10">
        <v>413.27051134297812</v>
      </c>
      <c r="P16" t="s">
        <v>1967</v>
      </c>
      <c r="Q16" t="s">
        <v>5381</v>
      </c>
      <c r="R16" t="s">
        <v>5382</v>
      </c>
      <c r="S16" t="s">
        <v>11</v>
      </c>
      <c r="T16" t="s">
        <v>13</v>
      </c>
      <c r="U16" t="s">
        <v>75</v>
      </c>
      <c r="V16" t="s">
        <v>12</v>
      </c>
      <c r="X16" t="s">
        <v>5381</v>
      </c>
      <c r="Y16" t="s">
        <v>76</v>
      </c>
      <c r="Z16" s="9">
        <v>1</v>
      </c>
    </row>
    <row r="17" spans="1:26">
      <c r="A17" t="s">
        <v>1967</v>
      </c>
      <c r="B17" t="s">
        <v>1995</v>
      </c>
      <c r="C17" t="s">
        <v>1996</v>
      </c>
      <c r="D17" t="s">
        <v>11</v>
      </c>
      <c r="E17" t="s">
        <v>13</v>
      </c>
      <c r="F17" t="s">
        <v>1970</v>
      </c>
      <c r="G17" t="s">
        <v>12</v>
      </c>
      <c r="I17" t="s">
        <v>1995</v>
      </c>
      <c r="J17" t="s">
        <v>4206</v>
      </c>
      <c r="K17" s="11">
        <v>87.440639523639888</v>
      </c>
      <c r="L17" s="9">
        <v>0.19785632512399931</v>
      </c>
      <c r="M17" s="11">
        <v>80.225752236268676</v>
      </c>
      <c r="N17" s="11">
        <v>88.248327459895549</v>
      </c>
      <c r="P17" t="s">
        <v>1967</v>
      </c>
      <c r="Q17" t="s">
        <v>5383</v>
      </c>
      <c r="R17" t="s">
        <v>5384</v>
      </c>
      <c r="S17" t="s">
        <v>11</v>
      </c>
      <c r="T17" t="s">
        <v>13</v>
      </c>
      <c r="U17" t="s">
        <v>75</v>
      </c>
      <c r="V17" t="s">
        <v>12</v>
      </c>
      <c r="X17" t="s">
        <v>5383</v>
      </c>
      <c r="Y17" t="s">
        <v>76</v>
      </c>
      <c r="Z17" s="9">
        <v>1</v>
      </c>
    </row>
    <row r="18" spans="1:26">
      <c r="A18" t="s">
        <v>1967</v>
      </c>
      <c r="B18" t="s">
        <v>1997</v>
      </c>
      <c r="C18" t="s">
        <v>1998</v>
      </c>
      <c r="D18" t="s">
        <v>11</v>
      </c>
      <c r="E18" t="s">
        <v>13</v>
      </c>
      <c r="F18" t="s">
        <v>1970</v>
      </c>
      <c r="G18" t="s">
        <v>12</v>
      </c>
      <c r="I18" t="s">
        <v>1997</v>
      </c>
      <c r="J18" t="s">
        <v>4207</v>
      </c>
      <c r="K18" s="10">
        <v>135.01209709891313</v>
      </c>
      <c r="L18" s="9">
        <v>0.16776980325947469</v>
      </c>
      <c r="M18" s="11">
        <v>77.814292401422165</v>
      </c>
      <c r="N18" s="11">
        <v>85.595721641564381</v>
      </c>
      <c r="P18" t="s">
        <v>1967</v>
      </c>
      <c r="Q18" t="s">
        <v>5385</v>
      </c>
      <c r="R18" t="s">
        <v>5386</v>
      </c>
      <c r="S18" t="s">
        <v>11</v>
      </c>
      <c r="T18" t="s">
        <v>13</v>
      </c>
      <c r="U18" t="s">
        <v>75</v>
      </c>
      <c r="V18" t="s">
        <v>12</v>
      </c>
      <c r="X18" t="s">
        <v>5385</v>
      </c>
      <c r="Y18" t="s">
        <v>76</v>
      </c>
      <c r="Z18" s="9">
        <v>1</v>
      </c>
    </row>
    <row r="19" spans="1:26">
      <c r="A19" t="s">
        <v>1967</v>
      </c>
      <c r="B19" t="s">
        <v>1999</v>
      </c>
      <c r="C19" t="s">
        <v>2000</v>
      </c>
      <c r="D19" t="s">
        <v>11</v>
      </c>
      <c r="E19" t="s">
        <v>13</v>
      </c>
      <c r="F19" t="s">
        <v>1970</v>
      </c>
      <c r="G19" t="s">
        <v>12</v>
      </c>
      <c r="I19" t="s">
        <v>1999</v>
      </c>
      <c r="J19" t="s">
        <v>4208</v>
      </c>
      <c r="K19" s="10">
        <v>272.38391949131164</v>
      </c>
      <c r="L19" s="9">
        <v>0.21530169291813839</v>
      </c>
      <c r="M19" s="10">
        <v>102.89935157750844</v>
      </c>
      <c r="N19" s="10">
        <v>113.18928673525929</v>
      </c>
      <c r="P19" t="s">
        <v>1967</v>
      </c>
      <c r="Q19" t="s">
        <v>5387</v>
      </c>
      <c r="R19" t="s">
        <v>5388</v>
      </c>
      <c r="S19" t="s">
        <v>11</v>
      </c>
      <c r="T19" t="s">
        <v>13</v>
      </c>
      <c r="U19" t="s">
        <v>75</v>
      </c>
      <c r="V19" t="s">
        <v>12</v>
      </c>
      <c r="X19" t="s">
        <v>5387</v>
      </c>
      <c r="Y19" t="s">
        <v>76</v>
      </c>
      <c r="Z19" s="9">
        <v>1</v>
      </c>
    </row>
    <row r="20" spans="1:26">
      <c r="A20" t="s">
        <v>1967</v>
      </c>
      <c r="B20" t="s">
        <v>2001</v>
      </c>
      <c r="C20" t="s">
        <v>2002</v>
      </c>
      <c r="D20" t="s">
        <v>11</v>
      </c>
      <c r="E20" t="s">
        <v>13</v>
      </c>
      <c r="F20" t="s">
        <v>1970</v>
      </c>
      <c r="G20" t="s">
        <v>12</v>
      </c>
      <c r="I20" t="s">
        <v>2001</v>
      </c>
      <c r="J20" t="s">
        <v>4209</v>
      </c>
      <c r="K20" s="10">
        <v>162.24522162712407</v>
      </c>
      <c r="L20" s="9">
        <v>0.22491762877952501</v>
      </c>
      <c r="M20" s="11">
        <v>79.334981541019289</v>
      </c>
      <c r="N20" s="11">
        <v>87.268479695121229</v>
      </c>
      <c r="P20" t="s">
        <v>1967</v>
      </c>
      <c r="Q20" t="s">
        <v>5389</v>
      </c>
      <c r="R20" t="s">
        <v>5390</v>
      </c>
      <c r="S20" t="s">
        <v>11</v>
      </c>
      <c r="T20" t="s">
        <v>13</v>
      </c>
      <c r="U20" t="s">
        <v>75</v>
      </c>
      <c r="V20" t="s">
        <v>12</v>
      </c>
      <c r="X20" t="s">
        <v>5389</v>
      </c>
      <c r="Y20" t="s">
        <v>76</v>
      </c>
      <c r="Z20" s="9">
        <v>1</v>
      </c>
    </row>
    <row r="21" spans="1:26">
      <c r="A21" t="s">
        <v>1967</v>
      </c>
      <c r="B21" t="s">
        <v>2003</v>
      </c>
      <c r="C21" t="s">
        <v>2004</v>
      </c>
      <c r="D21" t="s">
        <v>11</v>
      </c>
      <c r="E21" t="s">
        <v>13</v>
      </c>
      <c r="F21" t="s">
        <v>1970</v>
      </c>
      <c r="G21" t="s">
        <v>12</v>
      </c>
      <c r="I21" t="s">
        <v>2003</v>
      </c>
      <c r="J21" t="s">
        <v>4210</v>
      </c>
      <c r="K21" s="10">
        <v>138.78012286452483</v>
      </c>
      <c r="L21" s="9">
        <v>0.2222315384386408</v>
      </c>
      <c r="M21" s="10">
        <v>117.5549008183184</v>
      </c>
      <c r="N21" s="10">
        <v>129.31039090015025</v>
      </c>
      <c r="P21" t="s">
        <v>1967</v>
      </c>
      <c r="Q21" t="s">
        <v>5391</v>
      </c>
      <c r="R21" t="s">
        <v>5392</v>
      </c>
      <c r="S21" t="s">
        <v>11</v>
      </c>
      <c r="T21" t="s">
        <v>13</v>
      </c>
      <c r="U21" t="s">
        <v>75</v>
      </c>
      <c r="V21" t="s">
        <v>12</v>
      </c>
      <c r="X21" t="s">
        <v>5391</v>
      </c>
      <c r="Y21" t="s">
        <v>76</v>
      </c>
      <c r="Z21" s="9">
        <v>1</v>
      </c>
    </row>
    <row r="22" spans="1:26">
      <c r="A22" t="s">
        <v>1967</v>
      </c>
      <c r="B22" t="s">
        <v>2005</v>
      </c>
      <c r="C22" t="s">
        <v>2006</v>
      </c>
      <c r="D22" t="s">
        <v>11</v>
      </c>
      <c r="E22" t="s">
        <v>13</v>
      </c>
      <c r="F22" t="s">
        <v>1970</v>
      </c>
      <c r="G22" t="s">
        <v>12</v>
      </c>
      <c r="I22" t="s">
        <v>2005</v>
      </c>
      <c r="J22" t="s">
        <v>4211</v>
      </c>
      <c r="K22" s="10">
        <v>209.91709080204546</v>
      </c>
      <c r="L22" s="9">
        <v>0.21825155291531029</v>
      </c>
      <c r="M22" s="10">
        <v>230.85915005733929</v>
      </c>
      <c r="N22" s="10">
        <v>253.94506506307323</v>
      </c>
      <c r="P22" t="s">
        <v>1967</v>
      </c>
      <c r="Q22" t="s">
        <v>5393</v>
      </c>
      <c r="R22" t="s">
        <v>5394</v>
      </c>
      <c r="S22" t="s">
        <v>11</v>
      </c>
      <c r="T22" t="s">
        <v>13</v>
      </c>
      <c r="U22" t="s">
        <v>75</v>
      </c>
      <c r="V22" t="s">
        <v>12</v>
      </c>
      <c r="X22" t="s">
        <v>5393</v>
      </c>
      <c r="Y22" t="s">
        <v>76</v>
      </c>
      <c r="Z22" s="9">
        <v>1</v>
      </c>
    </row>
    <row r="23" spans="1:26">
      <c r="A23" t="s">
        <v>1967</v>
      </c>
      <c r="B23" t="s">
        <v>2007</v>
      </c>
      <c r="C23" t="s">
        <v>2008</v>
      </c>
      <c r="D23" t="s">
        <v>11</v>
      </c>
      <c r="E23" t="s">
        <v>13</v>
      </c>
      <c r="F23" t="s">
        <v>1970</v>
      </c>
      <c r="G23" t="s">
        <v>12</v>
      </c>
      <c r="I23" t="s">
        <v>2007</v>
      </c>
      <c r="J23" t="s">
        <v>4212</v>
      </c>
      <c r="K23" s="10">
        <v>272.53396287117437</v>
      </c>
      <c r="L23" s="9">
        <v>0.21466330898377911</v>
      </c>
      <c r="M23" s="10">
        <v>117.87827411117441</v>
      </c>
      <c r="N23" s="10">
        <v>129.66610152229185</v>
      </c>
      <c r="P23" t="s">
        <v>1967</v>
      </c>
      <c r="Q23" t="s">
        <v>5395</v>
      </c>
      <c r="R23" t="s">
        <v>5396</v>
      </c>
      <c r="S23" t="s">
        <v>11</v>
      </c>
      <c r="T23" t="s">
        <v>13</v>
      </c>
      <c r="U23" t="s">
        <v>75</v>
      </c>
      <c r="V23" t="s">
        <v>12</v>
      </c>
      <c r="X23" t="s">
        <v>5395</v>
      </c>
      <c r="Y23" t="s">
        <v>76</v>
      </c>
      <c r="Z23" s="9">
        <v>1</v>
      </c>
    </row>
    <row r="24" spans="1:26">
      <c r="A24" t="s">
        <v>1967</v>
      </c>
      <c r="B24" t="s">
        <v>2009</v>
      </c>
      <c r="C24" t="s">
        <v>2010</v>
      </c>
      <c r="D24" t="s">
        <v>11</v>
      </c>
      <c r="E24" t="s">
        <v>13</v>
      </c>
      <c r="F24" t="s">
        <v>1970</v>
      </c>
      <c r="G24" t="s">
        <v>12</v>
      </c>
      <c r="I24" t="s">
        <v>2009</v>
      </c>
      <c r="J24" t="s">
        <v>4213</v>
      </c>
      <c r="K24" s="9">
        <v>2.7510514081958291</v>
      </c>
      <c r="L24" s="9">
        <v>0.19867690555283429</v>
      </c>
      <c r="M24" s="11">
        <v>35.163745414863257</v>
      </c>
      <c r="N24" s="11">
        <v>38.680119956349586</v>
      </c>
      <c r="P24" t="s">
        <v>1967</v>
      </c>
      <c r="Q24" t="s">
        <v>5397</v>
      </c>
      <c r="R24" t="s">
        <v>5398</v>
      </c>
      <c r="S24" t="s">
        <v>11</v>
      </c>
      <c r="T24" t="s">
        <v>13</v>
      </c>
      <c r="U24" t="s">
        <v>75</v>
      </c>
      <c r="V24" t="s">
        <v>12</v>
      </c>
      <c r="X24" t="s">
        <v>5397</v>
      </c>
      <c r="Y24" t="s">
        <v>76</v>
      </c>
      <c r="Z24" s="9">
        <v>1</v>
      </c>
    </row>
    <row r="25" spans="1:26">
      <c r="A25" t="s">
        <v>1967</v>
      </c>
      <c r="B25" t="s">
        <v>2011</v>
      </c>
      <c r="C25" t="s">
        <v>2012</v>
      </c>
      <c r="D25" t="s">
        <v>11</v>
      </c>
      <c r="E25" t="s">
        <v>13</v>
      </c>
      <c r="F25" t="s">
        <v>1970</v>
      </c>
      <c r="G25" t="s">
        <v>12</v>
      </c>
      <c r="I25" t="s">
        <v>2011</v>
      </c>
      <c r="J25" t="s">
        <v>4214</v>
      </c>
      <c r="K25" s="9">
        <v>2.9668184764027696</v>
      </c>
      <c r="L25" s="9">
        <v>0.2063850265323042</v>
      </c>
      <c r="M25" s="11">
        <v>42.766755916257175</v>
      </c>
      <c r="N25" s="11">
        <v>47.043431507882893</v>
      </c>
      <c r="P25" t="s">
        <v>1967</v>
      </c>
      <c r="Q25" t="s">
        <v>5399</v>
      </c>
      <c r="R25" t="s">
        <v>5400</v>
      </c>
      <c r="S25" t="s">
        <v>11</v>
      </c>
      <c r="T25" t="s">
        <v>13</v>
      </c>
      <c r="U25" t="s">
        <v>75</v>
      </c>
      <c r="V25" t="s">
        <v>12</v>
      </c>
      <c r="X25" t="s">
        <v>5399</v>
      </c>
      <c r="Y25" t="s">
        <v>76</v>
      </c>
      <c r="Z25" s="9">
        <v>1</v>
      </c>
    </row>
    <row r="26" spans="1:26">
      <c r="A26" t="s">
        <v>1967</v>
      </c>
      <c r="B26" t="s">
        <v>2013</v>
      </c>
      <c r="C26" t="s">
        <v>2014</v>
      </c>
      <c r="D26" t="s">
        <v>11</v>
      </c>
      <c r="E26" t="s">
        <v>13</v>
      </c>
      <c r="F26" t="s">
        <v>1970</v>
      </c>
      <c r="G26" t="s">
        <v>12</v>
      </c>
      <c r="I26" t="s">
        <v>2013</v>
      </c>
      <c r="J26" t="s">
        <v>4215</v>
      </c>
      <c r="K26" s="9">
        <v>1.845092390655162</v>
      </c>
      <c r="L26" s="9">
        <v>0.2017858465285079</v>
      </c>
      <c r="M26" s="11">
        <v>34.102079553813113</v>
      </c>
      <c r="N26" s="11">
        <v>37.512287509194429</v>
      </c>
      <c r="P26" t="s">
        <v>1967</v>
      </c>
      <c r="Q26" t="s">
        <v>5401</v>
      </c>
      <c r="R26" t="s">
        <v>5402</v>
      </c>
      <c r="S26" t="s">
        <v>11</v>
      </c>
      <c r="T26" t="s">
        <v>13</v>
      </c>
      <c r="U26" t="s">
        <v>75</v>
      </c>
      <c r="V26" t="s">
        <v>12</v>
      </c>
      <c r="X26" t="s">
        <v>5401</v>
      </c>
      <c r="Y26" t="s">
        <v>76</v>
      </c>
      <c r="Z26" s="9">
        <v>1</v>
      </c>
    </row>
    <row r="27" spans="1:26">
      <c r="A27" t="s">
        <v>1967</v>
      </c>
      <c r="B27" t="s">
        <v>2015</v>
      </c>
      <c r="C27" t="s">
        <v>2016</v>
      </c>
      <c r="D27" t="s">
        <v>11</v>
      </c>
      <c r="E27" t="s">
        <v>13</v>
      </c>
      <c r="F27" t="s">
        <v>1970</v>
      </c>
      <c r="G27" t="s">
        <v>12</v>
      </c>
      <c r="I27" t="s">
        <v>2015</v>
      </c>
      <c r="J27" t="s">
        <v>4216</v>
      </c>
      <c r="K27" s="9">
        <v>4.5090269107368695</v>
      </c>
      <c r="L27" s="9">
        <v>0.20690680658552821</v>
      </c>
      <c r="M27" s="11">
        <v>22.026918247783133</v>
      </c>
      <c r="N27" s="11">
        <v>24.229610072561449</v>
      </c>
      <c r="P27" t="s">
        <v>1967</v>
      </c>
      <c r="Q27" t="s">
        <v>5403</v>
      </c>
      <c r="R27" t="s">
        <v>5404</v>
      </c>
      <c r="S27" t="s">
        <v>11</v>
      </c>
      <c r="T27" t="s">
        <v>13</v>
      </c>
      <c r="U27" t="s">
        <v>75</v>
      </c>
      <c r="V27" t="s">
        <v>12</v>
      </c>
      <c r="X27" t="s">
        <v>5403</v>
      </c>
      <c r="Y27" t="s">
        <v>76</v>
      </c>
      <c r="Z27" s="9">
        <v>1</v>
      </c>
    </row>
    <row r="28" spans="1:26">
      <c r="A28" t="s">
        <v>1967</v>
      </c>
      <c r="B28" t="s">
        <v>2017</v>
      </c>
      <c r="C28" t="s">
        <v>2018</v>
      </c>
      <c r="D28" t="s">
        <v>11</v>
      </c>
      <c r="E28" t="s">
        <v>13</v>
      </c>
      <c r="F28" t="s">
        <v>1970</v>
      </c>
      <c r="G28" t="s">
        <v>12</v>
      </c>
      <c r="I28" t="s">
        <v>2017</v>
      </c>
      <c r="J28" t="s">
        <v>4217</v>
      </c>
      <c r="K28" s="11">
        <v>13.173910233501278</v>
      </c>
      <c r="L28" s="9">
        <v>0.2621331075202496</v>
      </c>
      <c r="M28" s="10">
        <v>282.35769327375482</v>
      </c>
      <c r="N28" s="10">
        <v>310.59346260113034</v>
      </c>
      <c r="P28" t="s">
        <v>1967</v>
      </c>
      <c r="Q28" t="s">
        <v>5405</v>
      </c>
      <c r="R28" t="s">
        <v>5406</v>
      </c>
      <c r="S28" t="s">
        <v>11</v>
      </c>
      <c r="T28" t="s">
        <v>13</v>
      </c>
      <c r="U28" t="s">
        <v>75</v>
      </c>
      <c r="V28" t="s">
        <v>12</v>
      </c>
      <c r="X28" t="s">
        <v>5405</v>
      </c>
      <c r="Y28" t="s">
        <v>76</v>
      </c>
      <c r="Z28" s="9">
        <v>1</v>
      </c>
    </row>
    <row r="29" spans="1:26">
      <c r="A29" t="s">
        <v>1967</v>
      </c>
      <c r="B29" t="s">
        <v>2019</v>
      </c>
      <c r="C29" t="s">
        <v>2018</v>
      </c>
      <c r="D29" t="s">
        <v>11</v>
      </c>
      <c r="E29" t="s">
        <v>13</v>
      </c>
      <c r="F29" t="s">
        <v>1970</v>
      </c>
      <c r="G29" t="s">
        <v>12</v>
      </c>
      <c r="I29" t="s">
        <v>2019</v>
      </c>
      <c r="J29" t="s">
        <v>4218</v>
      </c>
      <c r="K29" s="11">
        <v>41.898836316950934</v>
      </c>
      <c r="L29" s="9">
        <v>0.2609304316295577</v>
      </c>
      <c r="M29" s="10">
        <v>159.65671363768158</v>
      </c>
      <c r="N29" s="10">
        <v>175.62238500144974</v>
      </c>
      <c r="P29" t="s">
        <v>1967</v>
      </c>
      <c r="Q29" t="s">
        <v>5407</v>
      </c>
      <c r="R29" t="s">
        <v>5408</v>
      </c>
      <c r="S29" t="s">
        <v>11</v>
      </c>
      <c r="T29" t="s">
        <v>13</v>
      </c>
      <c r="U29" t="s">
        <v>75</v>
      </c>
      <c r="V29" t="s">
        <v>12</v>
      </c>
      <c r="X29" t="s">
        <v>5407</v>
      </c>
      <c r="Y29" t="s">
        <v>76</v>
      </c>
      <c r="Z29" s="9">
        <v>1</v>
      </c>
    </row>
    <row r="30" spans="1:26">
      <c r="A30" t="s">
        <v>1967</v>
      </c>
      <c r="B30" t="s">
        <v>2020</v>
      </c>
      <c r="C30" t="s">
        <v>2021</v>
      </c>
      <c r="D30" t="s">
        <v>11</v>
      </c>
      <c r="E30" t="s">
        <v>13</v>
      </c>
      <c r="F30" t="s">
        <v>1970</v>
      </c>
      <c r="G30" t="s">
        <v>12</v>
      </c>
      <c r="I30" t="s">
        <v>2020</v>
      </c>
      <c r="J30" t="s">
        <v>4219</v>
      </c>
      <c r="K30" s="11">
        <v>15.315627960818603</v>
      </c>
      <c r="L30" s="9">
        <v>0.25413614750029467</v>
      </c>
      <c r="M30" s="11">
        <v>59.846735706039787</v>
      </c>
      <c r="N30" s="11">
        <v>65.831409276643768</v>
      </c>
      <c r="P30" t="s">
        <v>1967</v>
      </c>
      <c r="Q30" t="s">
        <v>5409</v>
      </c>
      <c r="R30" t="s">
        <v>5410</v>
      </c>
      <c r="S30" t="s">
        <v>11</v>
      </c>
      <c r="T30" t="s">
        <v>13</v>
      </c>
      <c r="U30" t="s">
        <v>75</v>
      </c>
      <c r="V30" t="s">
        <v>12</v>
      </c>
      <c r="X30" t="s">
        <v>5409</v>
      </c>
      <c r="Y30" t="s">
        <v>76</v>
      </c>
      <c r="Z30" s="9">
        <v>1</v>
      </c>
    </row>
    <row r="31" spans="1:26">
      <c r="A31" t="s">
        <v>1967</v>
      </c>
      <c r="B31" t="s">
        <v>2022</v>
      </c>
      <c r="C31" t="s">
        <v>2018</v>
      </c>
      <c r="D31" t="s">
        <v>11</v>
      </c>
      <c r="E31" t="s">
        <v>13</v>
      </c>
      <c r="F31" t="s">
        <v>1970</v>
      </c>
      <c r="G31" t="s">
        <v>12</v>
      </c>
      <c r="I31" t="s">
        <v>2022</v>
      </c>
      <c r="J31" t="s">
        <v>4220</v>
      </c>
      <c r="K31" s="11">
        <v>37.800362342468652</v>
      </c>
      <c r="L31" s="9">
        <v>0.25826389960016949</v>
      </c>
      <c r="M31" s="10">
        <v>132.2507312523027</v>
      </c>
      <c r="N31" s="10">
        <v>145.475804377533</v>
      </c>
      <c r="P31" t="s">
        <v>1967</v>
      </c>
      <c r="Q31" t="s">
        <v>5411</v>
      </c>
      <c r="R31" t="s">
        <v>5412</v>
      </c>
      <c r="S31" t="s">
        <v>11</v>
      </c>
      <c r="T31" t="s">
        <v>13</v>
      </c>
      <c r="U31" t="s">
        <v>75</v>
      </c>
      <c r="V31" t="s">
        <v>12</v>
      </c>
      <c r="X31" t="s">
        <v>5411</v>
      </c>
      <c r="Y31" t="s">
        <v>76</v>
      </c>
      <c r="Z31" s="9">
        <v>1</v>
      </c>
    </row>
    <row r="32" spans="1:26">
      <c r="A32" t="s">
        <v>1967</v>
      </c>
      <c r="B32" t="s">
        <v>2023</v>
      </c>
      <c r="C32" t="s">
        <v>2024</v>
      </c>
      <c r="D32" t="s">
        <v>11</v>
      </c>
      <c r="E32" t="s">
        <v>13</v>
      </c>
      <c r="F32" t="s">
        <v>1970</v>
      </c>
      <c r="G32" t="s">
        <v>12</v>
      </c>
      <c r="I32" t="s">
        <v>2023</v>
      </c>
      <c r="J32" t="s">
        <v>4221</v>
      </c>
      <c r="K32" s="10">
        <v>279.37806991076241</v>
      </c>
      <c r="L32" s="9">
        <v>0.22192768323889481</v>
      </c>
      <c r="M32" s="10">
        <v>178.02571327892662</v>
      </c>
      <c r="N32" s="10">
        <v>195.8282846068193</v>
      </c>
      <c r="P32" t="s">
        <v>1967</v>
      </c>
      <c r="Q32" t="s">
        <v>5413</v>
      </c>
      <c r="R32" t="s">
        <v>5414</v>
      </c>
      <c r="S32" t="s">
        <v>11</v>
      </c>
      <c r="T32" t="s">
        <v>13</v>
      </c>
      <c r="U32" t="s">
        <v>75</v>
      </c>
      <c r="V32" t="s">
        <v>12</v>
      </c>
      <c r="X32" t="s">
        <v>5413</v>
      </c>
      <c r="Y32" t="s">
        <v>76</v>
      </c>
      <c r="Z32" s="9">
        <v>1</v>
      </c>
    </row>
    <row r="33" spans="1:26">
      <c r="A33" t="s">
        <v>1967</v>
      </c>
      <c r="B33" t="s">
        <v>2025</v>
      </c>
      <c r="C33" t="s">
        <v>2026</v>
      </c>
      <c r="D33" t="s">
        <v>11</v>
      </c>
      <c r="E33" t="s">
        <v>13</v>
      </c>
      <c r="F33" t="s">
        <v>1970</v>
      </c>
      <c r="G33" t="s">
        <v>12</v>
      </c>
      <c r="I33" t="s">
        <v>2025</v>
      </c>
      <c r="J33" t="s">
        <v>4222</v>
      </c>
      <c r="K33" s="9">
        <v>5.6092368958513417</v>
      </c>
      <c r="L33" s="9">
        <v>0.20063517660203919</v>
      </c>
      <c r="M33" s="10">
        <v>324.20928090515309</v>
      </c>
      <c r="N33" s="10">
        <v>356.63020899566845</v>
      </c>
      <c r="P33" t="s">
        <v>1967</v>
      </c>
      <c r="Q33" t="s">
        <v>5415</v>
      </c>
      <c r="R33" t="s">
        <v>5416</v>
      </c>
      <c r="S33" t="s">
        <v>11</v>
      </c>
      <c r="T33" t="s">
        <v>13</v>
      </c>
      <c r="U33" t="s">
        <v>75</v>
      </c>
      <c r="V33" t="s">
        <v>12</v>
      </c>
      <c r="X33" t="s">
        <v>5415</v>
      </c>
      <c r="Y33" t="s">
        <v>76</v>
      </c>
      <c r="Z33" s="9">
        <v>1</v>
      </c>
    </row>
    <row r="34" spans="1:26">
      <c r="A34" t="s">
        <v>1967</v>
      </c>
      <c r="B34" t="s">
        <v>2027</v>
      </c>
      <c r="C34" t="s">
        <v>2028</v>
      </c>
      <c r="D34" t="s">
        <v>11</v>
      </c>
      <c r="E34" t="s">
        <v>13</v>
      </c>
      <c r="F34" t="s">
        <v>1970</v>
      </c>
      <c r="G34" t="s">
        <v>12</v>
      </c>
      <c r="I34" t="s">
        <v>2027</v>
      </c>
      <c r="J34" t="s">
        <v>4223</v>
      </c>
      <c r="K34" s="10">
        <v>149.63546630648196</v>
      </c>
      <c r="L34" s="9">
        <v>0.21105123044512369</v>
      </c>
      <c r="M34" s="10">
        <v>190.8765427225288</v>
      </c>
      <c r="N34" s="10">
        <v>209.9641969947817</v>
      </c>
      <c r="P34" t="s">
        <v>1967</v>
      </c>
      <c r="Q34" t="s">
        <v>5417</v>
      </c>
      <c r="R34" t="s">
        <v>5418</v>
      </c>
      <c r="S34" t="s">
        <v>11</v>
      </c>
      <c r="T34" t="s">
        <v>13</v>
      </c>
      <c r="U34" t="s">
        <v>75</v>
      </c>
      <c r="V34" t="s">
        <v>12</v>
      </c>
      <c r="X34" t="s">
        <v>5417</v>
      </c>
      <c r="Y34" t="s">
        <v>76</v>
      </c>
      <c r="Z34" s="9">
        <v>1</v>
      </c>
    </row>
    <row r="35" spans="1:26">
      <c r="A35" t="s">
        <v>1967</v>
      </c>
      <c r="B35" t="s">
        <v>2029</v>
      </c>
      <c r="C35" t="s">
        <v>2030</v>
      </c>
      <c r="D35" t="s">
        <v>11</v>
      </c>
      <c r="E35" t="s">
        <v>13</v>
      </c>
      <c r="F35" t="s">
        <v>1970</v>
      </c>
      <c r="G35" t="s">
        <v>12</v>
      </c>
      <c r="I35" t="s">
        <v>2029</v>
      </c>
      <c r="J35" t="s">
        <v>4224</v>
      </c>
      <c r="K35" s="10">
        <v>200.18022747253482</v>
      </c>
      <c r="L35" s="9">
        <v>0.22883087130911031</v>
      </c>
      <c r="M35" s="10">
        <v>122.65249541763779</v>
      </c>
      <c r="N35" s="10">
        <v>134.91774495940157</v>
      </c>
      <c r="P35" t="s">
        <v>1967</v>
      </c>
      <c r="Q35" t="s">
        <v>5419</v>
      </c>
      <c r="R35" t="s">
        <v>5420</v>
      </c>
      <c r="S35" t="s">
        <v>11</v>
      </c>
      <c r="T35" t="s">
        <v>13</v>
      </c>
      <c r="U35" t="s">
        <v>75</v>
      </c>
      <c r="V35" t="s">
        <v>12</v>
      </c>
      <c r="X35" t="s">
        <v>5419</v>
      </c>
      <c r="Y35" t="s">
        <v>76</v>
      </c>
      <c r="Z35" s="9">
        <v>1</v>
      </c>
    </row>
    <row r="36" spans="1:26">
      <c r="A36" t="s">
        <v>1967</v>
      </c>
      <c r="B36" t="s">
        <v>2031</v>
      </c>
      <c r="C36" t="s">
        <v>2032</v>
      </c>
      <c r="D36" t="s">
        <v>11</v>
      </c>
      <c r="E36" t="s">
        <v>13</v>
      </c>
      <c r="F36" t="s">
        <v>1970</v>
      </c>
      <c r="G36" t="s">
        <v>12</v>
      </c>
      <c r="I36" t="s">
        <v>2031</v>
      </c>
      <c r="J36" t="s">
        <v>4225</v>
      </c>
      <c r="K36" s="11">
        <v>26.233700464422107</v>
      </c>
      <c r="L36" s="9">
        <v>0.2143316227284835</v>
      </c>
      <c r="M36" s="11">
        <v>87.6139545655967</v>
      </c>
      <c r="N36" s="11">
        <v>96.375350022156383</v>
      </c>
      <c r="P36" t="s">
        <v>1967</v>
      </c>
      <c r="Q36" t="s">
        <v>5421</v>
      </c>
      <c r="R36" t="s">
        <v>5422</v>
      </c>
      <c r="S36" t="s">
        <v>11</v>
      </c>
      <c r="T36" t="s">
        <v>13</v>
      </c>
      <c r="U36" t="s">
        <v>75</v>
      </c>
      <c r="V36" t="s">
        <v>12</v>
      </c>
      <c r="X36" t="s">
        <v>5421</v>
      </c>
      <c r="Y36" t="s">
        <v>76</v>
      </c>
      <c r="Z36" s="9">
        <v>1</v>
      </c>
    </row>
    <row r="37" spans="1:26">
      <c r="A37" t="s">
        <v>1967</v>
      </c>
      <c r="B37" t="s">
        <v>2033</v>
      </c>
      <c r="C37" t="s">
        <v>2034</v>
      </c>
      <c r="D37" t="s">
        <v>11</v>
      </c>
      <c r="E37" t="s">
        <v>13</v>
      </c>
      <c r="F37" t="s">
        <v>1970</v>
      </c>
      <c r="G37" t="s">
        <v>12</v>
      </c>
      <c r="I37" t="s">
        <v>2033</v>
      </c>
      <c r="J37" t="s">
        <v>4226</v>
      </c>
      <c r="K37" s="11">
        <v>83.158688838253624</v>
      </c>
      <c r="L37" s="9">
        <v>0.25427231286608049</v>
      </c>
      <c r="M37" s="10">
        <v>104.60159387459036</v>
      </c>
      <c r="N37" s="10">
        <v>115.06175326204941</v>
      </c>
      <c r="P37" t="s">
        <v>1967</v>
      </c>
      <c r="Q37" t="s">
        <v>5423</v>
      </c>
      <c r="R37" t="s">
        <v>5424</v>
      </c>
      <c r="S37" t="s">
        <v>11</v>
      </c>
      <c r="T37" t="s">
        <v>13</v>
      </c>
      <c r="U37" t="s">
        <v>75</v>
      </c>
      <c r="V37" t="s">
        <v>12</v>
      </c>
      <c r="X37" t="s">
        <v>5423</v>
      </c>
      <c r="Y37" t="s">
        <v>76</v>
      </c>
      <c r="Z37" s="9">
        <v>1</v>
      </c>
    </row>
    <row r="38" spans="1:26">
      <c r="A38" t="s">
        <v>1967</v>
      </c>
      <c r="B38" t="s">
        <v>2035</v>
      </c>
      <c r="C38" t="s">
        <v>2036</v>
      </c>
      <c r="D38" t="s">
        <v>11</v>
      </c>
      <c r="E38" t="s">
        <v>13</v>
      </c>
      <c r="F38" t="s">
        <v>1970</v>
      </c>
      <c r="G38" t="s">
        <v>12</v>
      </c>
      <c r="I38" t="s">
        <v>2035</v>
      </c>
      <c r="J38" t="s">
        <v>4227</v>
      </c>
      <c r="K38" s="11">
        <v>32.213498638975139</v>
      </c>
      <c r="L38" s="9">
        <v>0.20267430251291871</v>
      </c>
      <c r="M38" s="10">
        <v>138.17015203756034</v>
      </c>
      <c r="N38" s="10">
        <v>151.9871672413164</v>
      </c>
      <c r="P38" t="s">
        <v>1967</v>
      </c>
      <c r="Q38" t="s">
        <v>5425</v>
      </c>
      <c r="R38" t="s">
        <v>5426</v>
      </c>
      <c r="S38" t="s">
        <v>11</v>
      </c>
      <c r="T38" t="s">
        <v>13</v>
      </c>
      <c r="U38" t="s">
        <v>75</v>
      </c>
      <c r="V38" t="s">
        <v>12</v>
      </c>
      <c r="X38" t="s">
        <v>5425</v>
      </c>
      <c r="Y38" t="s">
        <v>76</v>
      </c>
      <c r="Z38" s="9">
        <v>1</v>
      </c>
    </row>
    <row r="39" spans="1:26">
      <c r="A39" t="s">
        <v>1967</v>
      </c>
      <c r="B39" t="s">
        <v>2037</v>
      </c>
      <c r="C39" t="s">
        <v>2038</v>
      </c>
      <c r="D39" t="s">
        <v>11</v>
      </c>
      <c r="E39" t="s">
        <v>13</v>
      </c>
      <c r="F39" t="s">
        <v>1970</v>
      </c>
      <c r="G39" t="s">
        <v>12</v>
      </c>
      <c r="I39" t="s">
        <v>2037</v>
      </c>
      <c r="J39" t="s">
        <v>4228</v>
      </c>
      <c r="K39" s="11">
        <v>34.881169670229909</v>
      </c>
      <c r="L39" s="9">
        <v>0.20348774790760371</v>
      </c>
      <c r="M39" s="10">
        <v>141.76234290219381</v>
      </c>
      <c r="N39" s="10">
        <v>155.93857719241319</v>
      </c>
      <c r="P39" t="s">
        <v>1967</v>
      </c>
      <c r="Q39" t="s">
        <v>5427</v>
      </c>
      <c r="R39" t="s">
        <v>5428</v>
      </c>
      <c r="S39" t="s">
        <v>11</v>
      </c>
      <c r="T39" t="s">
        <v>13</v>
      </c>
      <c r="U39" t="s">
        <v>75</v>
      </c>
      <c r="V39" t="s">
        <v>12</v>
      </c>
      <c r="X39" t="s">
        <v>5427</v>
      </c>
      <c r="Y39" t="s">
        <v>76</v>
      </c>
      <c r="Z39" s="9">
        <v>1</v>
      </c>
    </row>
    <row r="40" spans="1:26">
      <c r="A40" t="s">
        <v>1967</v>
      </c>
      <c r="B40" t="s">
        <v>2039</v>
      </c>
      <c r="C40" t="s">
        <v>2040</v>
      </c>
      <c r="D40" t="s">
        <v>11</v>
      </c>
      <c r="E40" t="s">
        <v>13</v>
      </c>
      <c r="F40" t="s">
        <v>1970</v>
      </c>
      <c r="G40" t="s">
        <v>12</v>
      </c>
      <c r="I40" t="s">
        <v>2039</v>
      </c>
      <c r="J40" t="s">
        <v>4229</v>
      </c>
      <c r="K40" s="11">
        <v>34.305568408705724</v>
      </c>
      <c r="L40" s="9">
        <v>0.20514958939848671</v>
      </c>
      <c r="M40" s="10">
        <v>214.54463264917791</v>
      </c>
      <c r="N40" s="10">
        <v>235.99909591409573</v>
      </c>
      <c r="P40" t="s">
        <v>1967</v>
      </c>
      <c r="Q40" t="s">
        <v>5429</v>
      </c>
      <c r="R40" t="s">
        <v>5430</v>
      </c>
      <c r="S40" t="s">
        <v>11</v>
      </c>
      <c r="T40" t="s">
        <v>13</v>
      </c>
      <c r="U40" t="s">
        <v>75</v>
      </c>
      <c r="V40" t="s">
        <v>12</v>
      </c>
      <c r="X40" t="s">
        <v>5429</v>
      </c>
      <c r="Y40" t="s">
        <v>76</v>
      </c>
      <c r="Z40" s="9">
        <v>1</v>
      </c>
    </row>
    <row r="41" spans="1:26">
      <c r="A41" t="s">
        <v>1967</v>
      </c>
      <c r="B41" t="s">
        <v>2041</v>
      </c>
      <c r="C41" t="s">
        <v>2042</v>
      </c>
      <c r="D41" t="s">
        <v>11</v>
      </c>
      <c r="E41" t="s">
        <v>13</v>
      </c>
      <c r="F41" t="s">
        <v>1970</v>
      </c>
      <c r="G41" t="s">
        <v>12</v>
      </c>
      <c r="I41" t="s">
        <v>2041</v>
      </c>
      <c r="J41" t="s">
        <v>4230</v>
      </c>
      <c r="K41" s="11">
        <v>45.998869858637825</v>
      </c>
      <c r="L41" s="9">
        <v>0.21077477975670131</v>
      </c>
      <c r="M41" s="10">
        <v>148.6238945750992</v>
      </c>
      <c r="N41" s="10">
        <v>163.48628403260912</v>
      </c>
      <c r="P41" t="s">
        <v>1967</v>
      </c>
      <c r="Q41" t="s">
        <v>5431</v>
      </c>
      <c r="R41" t="s">
        <v>5432</v>
      </c>
      <c r="S41" t="s">
        <v>11</v>
      </c>
      <c r="T41" t="s">
        <v>13</v>
      </c>
      <c r="U41" t="s">
        <v>75</v>
      </c>
      <c r="V41" t="s">
        <v>12</v>
      </c>
      <c r="X41" t="s">
        <v>5431</v>
      </c>
      <c r="Y41" t="s">
        <v>76</v>
      </c>
      <c r="Z41" s="9">
        <v>1</v>
      </c>
    </row>
    <row r="42" spans="1:26">
      <c r="A42" t="s">
        <v>1967</v>
      </c>
      <c r="B42" t="s">
        <v>2043</v>
      </c>
      <c r="C42" t="s">
        <v>2044</v>
      </c>
      <c r="D42" t="s">
        <v>11</v>
      </c>
      <c r="E42" t="s">
        <v>13</v>
      </c>
      <c r="F42" t="s">
        <v>1970</v>
      </c>
      <c r="G42" t="s">
        <v>12</v>
      </c>
      <c r="I42" t="s">
        <v>2043</v>
      </c>
      <c r="J42" t="s">
        <v>4231</v>
      </c>
      <c r="K42" s="11">
        <v>30.742488480699546</v>
      </c>
      <c r="L42" s="9">
        <v>0.21356566667419269</v>
      </c>
      <c r="M42" s="11">
        <v>94.432613389908681</v>
      </c>
      <c r="N42" s="10">
        <v>103.87587472889956</v>
      </c>
      <c r="P42" t="s">
        <v>1967</v>
      </c>
      <c r="Q42" t="s">
        <v>5433</v>
      </c>
      <c r="R42" t="s">
        <v>5434</v>
      </c>
      <c r="S42" t="s">
        <v>11</v>
      </c>
      <c r="T42" t="s">
        <v>13</v>
      </c>
      <c r="U42" t="s">
        <v>75</v>
      </c>
      <c r="V42" t="s">
        <v>12</v>
      </c>
      <c r="X42" t="s">
        <v>5433</v>
      </c>
      <c r="Y42" t="s">
        <v>76</v>
      </c>
      <c r="Z42" s="9">
        <v>1</v>
      </c>
    </row>
    <row r="43" spans="1:26">
      <c r="A43" t="s">
        <v>1967</v>
      </c>
      <c r="B43" t="s">
        <v>2045</v>
      </c>
      <c r="C43" t="s">
        <v>2046</v>
      </c>
      <c r="D43" t="s">
        <v>11</v>
      </c>
      <c r="E43" t="s">
        <v>13</v>
      </c>
      <c r="F43" t="s">
        <v>1970</v>
      </c>
      <c r="G43" t="s">
        <v>12</v>
      </c>
      <c r="I43" t="s">
        <v>2045</v>
      </c>
      <c r="J43" t="s">
        <v>4232</v>
      </c>
      <c r="K43" s="11">
        <v>35.974977377642929</v>
      </c>
      <c r="L43" s="9">
        <v>0.20541612878845489</v>
      </c>
      <c r="M43" s="10">
        <v>101.16215211050412</v>
      </c>
      <c r="N43" s="10">
        <v>111.27836732155454</v>
      </c>
      <c r="P43" t="s">
        <v>1967</v>
      </c>
      <c r="Q43" t="s">
        <v>5435</v>
      </c>
      <c r="R43" t="s">
        <v>5436</v>
      </c>
      <c r="S43" t="s">
        <v>11</v>
      </c>
      <c r="T43" t="s">
        <v>13</v>
      </c>
      <c r="U43" t="s">
        <v>75</v>
      </c>
      <c r="V43" t="s">
        <v>12</v>
      </c>
      <c r="X43" t="s">
        <v>5435</v>
      </c>
      <c r="Y43" t="s">
        <v>76</v>
      </c>
      <c r="Z43" s="9">
        <v>1</v>
      </c>
    </row>
    <row r="44" spans="1:26">
      <c r="A44" t="s">
        <v>1967</v>
      </c>
      <c r="B44" t="s">
        <v>2047</v>
      </c>
      <c r="C44" t="s">
        <v>2048</v>
      </c>
      <c r="D44" t="s">
        <v>11</v>
      </c>
      <c r="E44" t="s">
        <v>13</v>
      </c>
      <c r="F44" t="s">
        <v>1970</v>
      </c>
      <c r="G44" t="s">
        <v>12</v>
      </c>
      <c r="I44" t="s">
        <v>2047</v>
      </c>
      <c r="J44" t="s">
        <v>4233</v>
      </c>
      <c r="K44" s="11">
        <v>84.11825769698298</v>
      </c>
      <c r="L44" s="9">
        <v>0.20862270946691791</v>
      </c>
      <c r="M44" s="10">
        <v>138.90257453264962</v>
      </c>
      <c r="N44" s="10">
        <v>152.7928319859146</v>
      </c>
      <c r="P44" t="s">
        <v>1967</v>
      </c>
      <c r="Q44" t="s">
        <v>5437</v>
      </c>
      <c r="R44" t="s">
        <v>5438</v>
      </c>
      <c r="S44" t="s">
        <v>11</v>
      </c>
      <c r="T44" t="s">
        <v>13</v>
      </c>
      <c r="U44" t="s">
        <v>75</v>
      </c>
      <c r="V44" t="s">
        <v>12</v>
      </c>
      <c r="X44" t="s">
        <v>5437</v>
      </c>
      <c r="Y44" t="s">
        <v>76</v>
      </c>
      <c r="Z44" s="9">
        <v>1</v>
      </c>
    </row>
    <row r="45" spans="1:26">
      <c r="A45" t="s">
        <v>1967</v>
      </c>
      <c r="B45" t="s">
        <v>2049</v>
      </c>
      <c r="C45" t="s">
        <v>2050</v>
      </c>
      <c r="D45" t="s">
        <v>11</v>
      </c>
      <c r="E45" t="s">
        <v>13</v>
      </c>
      <c r="F45" t="s">
        <v>1970</v>
      </c>
      <c r="G45" t="s">
        <v>12</v>
      </c>
      <c r="I45" t="s">
        <v>2049</v>
      </c>
      <c r="J45" t="s">
        <v>4234</v>
      </c>
      <c r="K45" s="9">
        <v>1.3488008546472114</v>
      </c>
      <c r="L45" s="9">
        <v>0.23498116143455069</v>
      </c>
      <c r="M45" s="11">
        <v>94.068046812048166</v>
      </c>
      <c r="N45" s="10">
        <v>103.47485149325298</v>
      </c>
      <c r="P45" t="s">
        <v>1967</v>
      </c>
      <c r="Q45" t="s">
        <v>5439</v>
      </c>
      <c r="R45" t="s">
        <v>5440</v>
      </c>
      <c r="S45" t="s">
        <v>11</v>
      </c>
      <c r="T45" t="s">
        <v>13</v>
      </c>
      <c r="U45" t="s">
        <v>75</v>
      </c>
      <c r="V45" t="s">
        <v>12</v>
      </c>
      <c r="X45" t="s">
        <v>5439</v>
      </c>
      <c r="Y45" t="s">
        <v>76</v>
      </c>
      <c r="Z45" s="9">
        <v>1</v>
      </c>
    </row>
    <row r="46" spans="1:26">
      <c r="A46" t="s">
        <v>1967</v>
      </c>
      <c r="B46" t="s">
        <v>2051</v>
      </c>
      <c r="C46" t="s">
        <v>2052</v>
      </c>
      <c r="D46" t="s">
        <v>11</v>
      </c>
      <c r="E46" t="s">
        <v>13</v>
      </c>
      <c r="F46" t="s">
        <v>1970</v>
      </c>
      <c r="G46" t="s">
        <v>12</v>
      </c>
      <c r="I46" t="s">
        <v>2051</v>
      </c>
      <c r="J46" t="s">
        <v>4235</v>
      </c>
      <c r="K46" s="9">
        <v>4.0775593155320324</v>
      </c>
      <c r="L46" s="9">
        <v>0.2415143990785078</v>
      </c>
      <c r="M46" s="11">
        <v>38.175333115002594</v>
      </c>
      <c r="N46" s="11">
        <v>41.992866426502857</v>
      </c>
      <c r="P46" t="s">
        <v>1967</v>
      </c>
      <c r="Q46" t="s">
        <v>5441</v>
      </c>
      <c r="R46" t="s">
        <v>5442</v>
      </c>
      <c r="S46" t="s">
        <v>11</v>
      </c>
      <c r="T46" t="s">
        <v>13</v>
      </c>
      <c r="U46" t="s">
        <v>75</v>
      </c>
      <c r="V46" t="s">
        <v>12</v>
      </c>
      <c r="X46" t="s">
        <v>5441</v>
      </c>
      <c r="Y46" t="s">
        <v>76</v>
      </c>
      <c r="Z46" s="9">
        <v>1</v>
      </c>
    </row>
    <row r="47" spans="1:26">
      <c r="A47" t="s">
        <v>1967</v>
      </c>
      <c r="B47" t="s">
        <v>2053</v>
      </c>
      <c r="C47" t="s">
        <v>2054</v>
      </c>
      <c r="D47" t="s">
        <v>11</v>
      </c>
      <c r="E47" t="s">
        <v>13</v>
      </c>
      <c r="F47" t="s">
        <v>1970</v>
      </c>
      <c r="G47" t="s">
        <v>12</v>
      </c>
      <c r="I47" t="s">
        <v>2053</v>
      </c>
      <c r="J47" t="s">
        <v>4236</v>
      </c>
      <c r="K47" s="9">
        <v>0.88773269152866008</v>
      </c>
      <c r="L47" s="9">
        <v>0.21614055618094649</v>
      </c>
      <c r="M47" s="11">
        <v>41.32825438727933</v>
      </c>
      <c r="N47" s="11">
        <v>45.461079826007264</v>
      </c>
      <c r="P47" t="s">
        <v>1967</v>
      </c>
      <c r="Q47" t="s">
        <v>5443</v>
      </c>
      <c r="R47" t="s">
        <v>5444</v>
      </c>
      <c r="S47" t="s">
        <v>11</v>
      </c>
      <c r="T47" t="s">
        <v>13</v>
      </c>
      <c r="U47" t="s">
        <v>75</v>
      </c>
      <c r="V47" t="s">
        <v>12</v>
      </c>
      <c r="X47" t="s">
        <v>5443</v>
      </c>
      <c r="Y47" t="s">
        <v>76</v>
      </c>
      <c r="Z47" s="9">
        <v>1</v>
      </c>
    </row>
    <row r="48" spans="1:26">
      <c r="A48" t="s">
        <v>1967</v>
      </c>
      <c r="B48" t="s">
        <v>2055</v>
      </c>
      <c r="C48" t="s">
        <v>2056</v>
      </c>
      <c r="D48" t="s">
        <v>11</v>
      </c>
      <c r="E48" t="s">
        <v>13</v>
      </c>
      <c r="F48" t="s">
        <v>1970</v>
      </c>
      <c r="G48" t="s">
        <v>12</v>
      </c>
      <c r="I48" t="s">
        <v>2055</v>
      </c>
      <c r="J48" t="s">
        <v>4237</v>
      </c>
      <c r="K48" s="10">
        <v>275.30000916228579</v>
      </c>
      <c r="L48" s="9">
        <v>0.2211531187617537</v>
      </c>
      <c r="M48" s="10">
        <v>1226.066511760024</v>
      </c>
      <c r="N48" s="10">
        <v>1348.6731629360265</v>
      </c>
      <c r="P48" t="s">
        <v>1967</v>
      </c>
      <c r="Q48" t="s">
        <v>5445</v>
      </c>
      <c r="R48" t="s">
        <v>5446</v>
      </c>
      <c r="S48" t="s">
        <v>11</v>
      </c>
      <c r="T48" t="s">
        <v>13</v>
      </c>
      <c r="U48" t="s">
        <v>75</v>
      </c>
      <c r="V48" t="s">
        <v>12</v>
      </c>
      <c r="X48" t="s">
        <v>5445</v>
      </c>
      <c r="Y48" t="s">
        <v>76</v>
      </c>
      <c r="Z48" s="9">
        <v>1</v>
      </c>
    </row>
    <row r="49" spans="1:26">
      <c r="A49" t="s">
        <v>1967</v>
      </c>
      <c r="B49" t="s">
        <v>2057</v>
      </c>
      <c r="C49" t="s">
        <v>2058</v>
      </c>
      <c r="D49" t="s">
        <v>11</v>
      </c>
      <c r="E49" t="s">
        <v>13</v>
      </c>
      <c r="F49" t="s">
        <v>1970</v>
      </c>
      <c r="G49" t="s">
        <v>12</v>
      </c>
      <c r="I49" t="s">
        <v>2057</v>
      </c>
      <c r="J49" t="s">
        <v>4238</v>
      </c>
      <c r="K49" s="10">
        <v>146.8928978487223</v>
      </c>
      <c r="L49" s="9">
        <v>0.24360377590047139</v>
      </c>
      <c r="M49" s="10">
        <v>794.75131305541277</v>
      </c>
      <c r="N49" s="10">
        <v>874.22644436095413</v>
      </c>
      <c r="P49" t="s">
        <v>1967</v>
      </c>
      <c r="Q49" t="s">
        <v>5447</v>
      </c>
      <c r="R49" t="s">
        <v>5448</v>
      </c>
      <c r="S49" t="s">
        <v>11</v>
      </c>
      <c r="T49" t="s">
        <v>13</v>
      </c>
      <c r="U49" t="s">
        <v>75</v>
      </c>
      <c r="V49" t="s">
        <v>12</v>
      </c>
      <c r="X49" t="s">
        <v>5447</v>
      </c>
      <c r="Y49" t="s">
        <v>76</v>
      </c>
      <c r="Z49" s="9">
        <v>1</v>
      </c>
    </row>
    <row r="50" spans="1:26">
      <c r="A50" t="s">
        <v>1967</v>
      </c>
      <c r="B50" t="s">
        <v>2059</v>
      </c>
      <c r="C50" t="s">
        <v>2060</v>
      </c>
      <c r="D50" t="s">
        <v>11</v>
      </c>
      <c r="E50" t="s">
        <v>13</v>
      </c>
      <c r="F50" t="s">
        <v>1970</v>
      </c>
      <c r="G50" t="s">
        <v>12</v>
      </c>
      <c r="I50" t="s">
        <v>2059</v>
      </c>
      <c r="J50" t="s">
        <v>4239</v>
      </c>
      <c r="K50" s="10">
        <v>641.80257366619401</v>
      </c>
      <c r="L50" s="9">
        <v>0.24572122085483389</v>
      </c>
      <c r="M50" s="10">
        <v>1084.4648962660142</v>
      </c>
      <c r="N50" s="10">
        <v>1192.9113858926157</v>
      </c>
      <c r="P50" t="s">
        <v>1967</v>
      </c>
      <c r="Q50" t="s">
        <v>5449</v>
      </c>
      <c r="R50" t="s">
        <v>5450</v>
      </c>
      <c r="S50" t="s">
        <v>11</v>
      </c>
      <c r="T50" t="s">
        <v>13</v>
      </c>
      <c r="U50" t="s">
        <v>75</v>
      </c>
      <c r="V50" t="s">
        <v>12</v>
      </c>
      <c r="X50" t="s">
        <v>5449</v>
      </c>
      <c r="Y50" t="s">
        <v>76</v>
      </c>
      <c r="Z50" s="9">
        <v>1</v>
      </c>
    </row>
    <row r="51" spans="1:26">
      <c r="A51" t="s">
        <v>1967</v>
      </c>
      <c r="B51" t="s">
        <v>2061</v>
      </c>
      <c r="C51" t="s">
        <v>2062</v>
      </c>
      <c r="D51" t="s">
        <v>11</v>
      </c>
      <c r="E51" t="s">
        <v>13</v>
      </c>
      <c r="F51" t="s">
        <v>1970</v>
      </c>
      <c r="G51" t="s">
        <v>12</v>
      </c>
      <c r="I51" t="s">
        <v>2061</v>
      </c>
      <c r="J51" t="s">
        <v>4240</v>
      </c>
      <c r="K51" s="10">
        <v>375.96729730576232</v>
      </c>
      <c r="L51" s="9">
        <v>0.24458841667871989</v>
      </c>
      <c r="M51" s="10">
        <v>1757.8722769072131</v>
      </c>
      <c r="N51" s="10">
        <v>1933.6595045979345</v>
      </c>
      <c r="P51" t="s">
        <v>1967</v>
      </c>
      <c r="Q51" t="s">
        <v>5451</v>
      </c>
      <c r="R51" t="s">
        <v>5452</v>
      </c>
      <c r="S51" t="s">
        <v>11</v>
      </c>
      <c r="T51" t="s">
        <v>13</v>
      </c>
      <c r="U51" t="s">
        <v>75</v>
      </c>
      <c r="V51" t="s">
        <v>12</v>
      </c>
      <c r="X51" t="s">
        <v>5451</v>
      </c>
      <c r="Y51" t="s">
        <v>76</v>
      </c>
      <c r="Z51" s="9">
        <v>1</v>
      </c>
    </row>
    <row r="52" spans="1:26">
      <c r="A52" t="s">
        <v>1967</v>
      </c>
      <c r="B52" t="s">
        <v>2063</v>
      </c>
      <c r="C52" t="s">
        <v>2064</v>
      </c>
      <c r="D52" t="s">
        <v>11</v>
      </c>
      <c r="E52" t="s">
        <v>13</v>
      </c>
      <c r="F52" t="s">
        <v>1970</v>
      </c>
      <c r="G52" t="s">
        <v>12</v>
      </c>
      <c r="I52" t="s">
        <v>2063</v>
      </c>
      <c r="J52" t="s">
        <v>4241</v>
      </c>
      <c r="K52" s="11">
        <v>35.565424748715309</v>
      </c>
      <c r="L52" s="9">
        <v>0.2369495484414611</v>
      </c>
      <c r="M52" s="10">
        <v>1397.1543273419441</v>
      </c>
      <c r="N52" s="10">
        <v>1536.8697600761386</v>
      </c>
      <c r="P52" t="s">
        <v>1967</v>
      </c>
      <c r="Q52" t="s">
        <v>5453</v>
      </c>
      <c r="R52" t="s">
        <v>5454</v>
      </c>
      <c r="S52" t="s">
        <v>11</v>
      </c>
      <c r="T52" t="s">
        <v>13</v>
      </c>
      <c r="U52" t="s">
        <v>75</v>
      </c>
      <c r="V52" t="s">
        <v>12</v>
      </c>
      <c r="X52" t="s">
        <v>5453</v>
      </c>
      <c r="Y52" t="s">
        <v>76</v>
      </c>
      <c r="Z52" s="9">
        <v>1</v>
      </c>
    </row>
    <row r="53" spans="1:26">
      <c r="A53" t="s">
        <v>1967</v>
      </c>
      <c r="B53" t="s">
        <v>2065</v>
      </c>
      <c r="C53" t="s">
        <v>2062</v>
      </c>
      <c r="D53" t="s">
        <v>11</v>
      </c>
      <c r="E53" t="s">
        <v>13</v>
      </c>
      <c r="F53" t="s">
        <v>1970</v>
      </c>
      <c r="G53" t="s">
        <v>12</v>
      </c>
      <c r="I53" t="s">
        <v>2065</v>
      </c>
      <c r="J53" t="s">
        <v>4242</v>
      </c>
      <c r="K53" s="10">
        <v>117.78706653179185</v>
      </c>
      <c r="L53" s="9">
        <v>0.2352669845903643</v>
      </c>
      <c r="M53" s="10">
        <v>1994.8579868979109</v>
      </c>
      <c r="N53" s="10">
        <v>2194.3437855877023</v>
      </c>
      <c r="P53" t="s">
        <v>1967</v>
      </c>
      <c r="Q53" t="s">
        <v>5455</v>
      </c>
      <c r="R53" t="s">
        <v>5456</v>
      </c>
      <c r="S53" t="s">
        <v>11</v>
      </c>
      <c r="T53" t="s">
        <v>13</v>
      </c>
      <c r="U53" t="s">
        <v>75</v>
      </c>
      <c r="V53" t="s">
        <v>12</v>
      </c>
      <c r="X53" t="s">
        <v>5455</v>
      </c>
      <c r="Y53" t="s">
        <v>76</v>
      </c>
      <c r="Z53" s="9">
        <v>1</v>
      </c>
    </row>
    <row r="54" spans="1:26">
      <c r="A54" t="s">
        <v>1967</v>
      </c>
      <c r="B54" t="s">
        <v>2066</v>
      </c>
      <c r="C54" t="s">
        <v>2058</v>
      </c>
      <c r="D54" t="s">
        <v>11</v>
      </c>
      <c r="E54" t="s">
        <v>13</v>
      </c>
      <c r="F54" t="s">
        <v>1970</v>
      </c>
      <c r="G54" t="s">
        <v>12</v>
      </c>
      <c r="I54" t="s">
        <v>2066</v>
      </c>
      <c r="J54" t="s">
        <v>4243</v>
      </c>
      <c r="K54" s="10">
        <v>630.29276433145117</v>
      </c>
      <c r="L54" s="9">
        <v>0.23473920001456439</v>
      </c>
      <c r="M54" s="10">
        <v>1606.3514578658239</v>
      </c>
      <c r="N54" s="10">
        <v>1766.9866036524065</v>
      </c>
      <c r="P54" t="s">
        <v>1967</v>
      </c>
      <c r="Q54" t="s">
        <v>5457</v>
      </c>
      <c r="R54" t="s">
        <v>5458</v>
      </c>
      <c r="S54" t="s">
        <v>11</v>
      </c>
      <c r="T54" t="s">
        <v>13</v>
      </c>
      <c r="U54" t="s">
        <v>75</v>
      </c>
      <c r="V54" t="s">
        <v>12</v>
      </c>
      <c r="X54" t="s">
        <v>5457</v>
      </c>
      <c r="Y54" t="s">
        <v>76</v>
      </c>
      <c r="Z54" s="9">
        <v>1</v>
      </c>
    </row>
    <row r="55" spans="1:26">
      <c r="A55" t="s">
        <v>1967</v>
      </c>
      <c r="B55" t="s">
        <v>2067</v>
      </c>
      <c r="C55" t="s">
        <v>2068</v>
      </c>
      <c r="D55" t="s">
        <v>11</v>
      </c>
      <c r="E55" t="s">
        <v>13</v>
      </c>
      <c r="F55" t="s">
        <v>1970</v>
      </c>
      <c r="G55" t="s">
        <v>12</v>
      </c>
      <c r="I55" t="s">
        <v>2067</v>
      </c>
      <c r="J55" t="s">
        <v>4244</v>
      </c>
      <c r="K55" s="10">
        <v>110.30891875360558</v>
      </c>
      <c r="L55" s="9">
        <v>0.22684093300539729</v>
      </c>
      <c r="M55" s="10">
        <v>486.22308767178419</v>
      </c>
      <c r="N55" s="10">
        <v>534.84539643896267</v>
      </c>
      <c r="P55" t="s">
        <v>1967</v>
      </c>
      <c r="Q55" t="s">
        <v>5459</v>
      </c>
      <c r="R55" t="s">
        <v>5460</v>
      </c>
      <c r="S55" t="s">
        <v>11</v>
      </c>
      <c r="T55" t="s">
        <v>13</v>
      </c>
      <c r="U55" t="s">
        <v>75</v>
      </c>
      <c r="V55" t="s">
        <v>12</v>
      </c>
      <c r="X55" t="s">
        <v>5459</v>
      </c>
      <c r="Y55" t="s">
        <v>76</v>
      </c>
      <c r="Z55" s="9">
        <v>1</v>
      </c>
    </row>
    <row r="56" spans="1:26">
      <c r="A56" t="s">
        <v>1967</v>
      </c>
      <c r="B56" t="s">
        <v>2069</v>
      </c>
      <c r="C56" t="s">
        <v>2070</v>
      </c>
      <c r="D56" t="s">
        <v>11</v>
      </c>
      <c r="E56" t="s">
        <v>13</v>
      </c>
      <c r="F56" t="s">
        <v>1970</v>
      </c>
      <c r="G56" t="s">
        <v>12</v>
      </c>
      <c r="I56" t="s">
        <v>2069</v>
      </c>
      <c r="J56" t="s">
        <v>4245</v>
      </c>
      <c r="K56" s="11">
        <v>16.819956335016723</v>
      </c>
      <c r="L56" s="9">
        <v>0.21187388913601091</v>
      </c>
      <c r="M56" s="10">
        <v>284.01362537554974</v>
      </c>
      <c r="N56" s="10">
        <v>312.41498791310471</v>
      </c>
      <c r="P56" t="s">
        <v>1967</v>
      </c>
      <c r="Q56" t="s">
        <v>5461</v>
      </c>
      <c r="R56" t="s">
        <v>5462</v>
      </c>
      <c r="S56" t="s">
        <v>11</v>
      </c>
      <c r="T56" t="s">
        <v>13</v>
      </c>
      <c r="U56" t="s">
        <v>75</v>
      </c>
      <c r="V56" t="s">
        <v>12</v>
      </c>
      <c r="X56" t="s">
        <v>5461</v>
      </c>
      <c r="Y56" t="s">
        <v>76</v>
      </c>
      <c r="Z56" s="9">
        <v>1</v>
      </c>
    </row>
    <row r="57" spans="1:26">
      <c r="A57" t="s">
        <v>1967</v>
      </c>
      <c r="B57" t="s">
        <v>2071</v>
      </c>
      <c r="C57" t="s">
        <v>2072</v>
      </c>
      <c r="D57" t="s">
        <v>11</v>
      </c>
      <c r="E57" t="s">
        <v>13</v>
      </c>
      <c r="F57" t="s">
        <v>1970</v>
      </c>
      <c r="G57" t="s">
        <v>12</v>
      </c>
      <c r="I57" t="s">
        <v>2071</v>
      </c>
      <c r="J57" t="s">
        <v>4246</v>
      </c>
      <c r="K57" s="11">
        <v>15.936278728651709</v>
      </c>
      <c r="L57" s="9">
        <v>0.18649502899795989</v>
      </c>
      <c r="M57" s="10">
        <v>252.49568569485035</v>
      </c>
      <c r="N57" s="10">
        <v>277.74525426433541</v>
      </c>
      <c r="P57" t="s">
        <v>1967</v>
      </c>
      <c r="Q57" t="s">
        <v>5463</v>
      </c>
      <c r="R57" t="s">
        <v>5464</v>
      </c>
      <c r="S57" t="s">
        <v>11</v>
      </c>
      <c r="T57" t="s">
        <v>13</v>
      </c>
      <c r="U57" t="s">
        <v>75</v>
      </c>
      <c r="V57" t="s">
        <v>12</v>
      </c>
      <c r="X57" t="s">
        <v>5463</v>
      </c>
      <c r="Y57" t="s">
        <v>76</v>
      </c>
      <c r="Z57" s="9">
        <v>1</v>
      </c>
    </row>
    <row r="58" spans="1:26">
      <c r="A58" t="s">
        <v>1967</v>
      </c>
      <c r="B58" t="s">
        <v>2073</v>
      </c>
      <c r="C58" t="s">
        <v>2062</v>
      </c>
      <c r="D58" t="s">
        <v>11</v>
      </c>
      <c r="E58" t="s">
        <v>13</v>
      </c>
      <c r="F58" t="s">
        <v>1970</v>
      </c>
      <c r="G58" t="s">
        <v>12</v>
      </c>
      <c r="I58" t="s">
        <v>2073</v>
      </c>
      <c r="J58" t="s">
        <v>4247</v>
      </c>
      <c r="K58" s="10">
        <v>316.322190485585</v>
      </c>
      <c r="L58" s="9">
        <v>0.24272014704459699</v>
      </c>
      <c r="M58" s="10">
        <v>1202.7170583965251</v>
      </c>
      <c r="N58" s="10">
        <v>1322.9887642361778</v>
      </c>
      <c r="P58" t="s">
        <v>1967</v>
      </c>
      <c r="Q58" t="s">
        <v>5465</v>
      </c>
      <c r="R58" t="s">
        <v>5466</v>
      </c>
      <c r="S58" t="s">
        <v>11</v>
      </c>
      <c r="T58" t="s">
        <v>13</v>
      </c>
      <c r="U58" t="s">
        <v>75</v>
      </c>
      <c r="V58" t="s">
        <v>12</v>
      </c>
      <c r="X58" t="s">
        <v>5465</v>
      </c>
      <c r="Y58" t="s">
        <v>76</v>
      </c>
      <c r="Z58" s="9">
        <v>1</v>
      </c>
    </row>
    <row r="59" spans="1:26">
      <c r="A59" t="s">
        <v>1967</v>
      </c>
      <c r="B59" t="s">
        <v>2074</v>
      </c>
      <c r="C59" t="s">
        <v>2070</v>
      </c>
      <c r="D59" t="s">
        <v>11</v>
      </c>
      <c r="E59" t="s">
        <v>13</v>
      </c>
      <c r="F59" t="s">
        <v>1970</v>
      </c>
      <c r="G59" t="s">
        <v>12</v>
      </c>
      <c r="I59" t="s">
        <v>2074</v>
      </c>
      <c r="J59" t="s">
        <v>4248</v>
      </c>
      <c r="K59" s="10">
        <v>402.67705915902991</v>
      </c>
      <c r="L59" s="9">
        <v>0.22900156917432521</v>
      </c>
      <c r="M59" s="10">
        <v>697.23506619509988</v>
      </c>
      <c r="N59" s="10">
        <v>766.95857281460997</v>
      </c>
      <c r="P59" t="s">
        <v>1967</v>
      </c>
      <c r="Q59" t="s">
        <v>5467</v>
      </c>
      <c r="R59" t="s">
        <v>5468</v>
      </c>
      <c r="S59" t="s">
        <v>11</v>
      </c>
      <c r="T59" t="s">
        <v>13</v>
      </c>
      <c r="U59" t="s">
        <v>75</v>
      </c>
      <c r="V59" t="s">
        <v>12</v>
      </c>
      <c r="X59" t="s">
        <v>5467</v>
      </c>
      <c r="Y59" t="s">
        <v>76</v>
      </c>
      <c r="Z59" s="9">
        <v>1</v>
      </c>
    </row>
    <row r="60" spans="1:26">
      <c r="A60" t="s">
        <v>1967</v>
      </c>
      <c r="B60" t="s">
        <v>2075</v>
      </c>
      <c r="C60" t="s">
        <v>2076</v>
      </c>
      <c r="D60" t="s">
        <v>11</v>
      </c>
      <c r="E60" t="s">
        <v>13</v>
      </c>
      <c r="F60" t="s">
        <v>1970</v>
      </c>
      <c r="G60" t="s">
        <v>12</v>
      </c>
      <c r="I60" t="s">
        <v>2075</v>
      </c>
      <c r="J60" t="s">
        <v>4249</v>
      </c>
      <c r="K60" s="11">
        <v>21.31813700508507</v>
      </c>
      <c r="L60" s="9">
        <v>0.22231614716695741</v>
      </c>
      <c r="M60" s="10">
        <v>359.29264901899938</v>
      </c>
      <c r="N60" s="10">
        <v>395.22191392089934</v>
      </c>
      <c r="P60" t="s">
        <v>1967</v>
      </c>
      <c r="Q60" t="s">
        <v>5469</v>
      </c>
      <c r="R60" t="s">
        <v>5470</v>
      </c>
      <c r="S60" t="s">
        <v>11</v>
      </c>
      <c r="T60" t="s">
        <v>13</v>
      </c>
      <c r="U60" t="s">
        <v>75</v>
      </c>
      <c r="V60" t="s">
        <v>12</v>
      </c>
      <c r="X60" t="s">
        <v>5469</v>
      </c>
      <c r="Y60" t="s">
        <v>76</v>
      </c>
      <c r="Z60" s="9">
        <v>1</v>
      </c>
    </row>
    <row r="61" spans="1:26">
      <c r="A61" t="s">
        <v>1967</v>
      </c>
      <c r="B61" t="s">
        <v>2077</v>
      </c>
      <c r="C61" t="s">
        <v>2078</v>
      </c>
      <c r="D61" t="s">
        <v>11</v>
      </c>
      <c r="E61" t="s">
        <v>13</v>
      </c>
      <c r="F61" t="s">
        <v>1970</v>
      </c>
      <c r="G61" t="s">
        <v>12</v>
      </c>
      <c r="I61" t="s">
        <v>2077</v>
      </c>
      <c r="J61" t="s">
        <v>4250</v>
      </c>
      <c r="K61" s="9">
        <v>1.0140903918275743</v>
      </c>
      <c r="L61" s="9">
        <v>0.17504903652681189</v>
      </c>
      <c r="M61" s="10">
        <v>517.96553081666298</v>
      </c>
      <c r="N61" s="10">
        <v>569.76208389832937</v>
      </c>
      <c r="P61" t="s">
        <v>1967</v>
      </c>
      <c r="Q61" t="s">
        <v>5471</v>
      </c>
      <c r="R61" t="s">
        <v>5472</v>
      </c>
      <c r="S61" t="s">
        <v>11</v>
      </c>
      <c r="T61" t="s">
        <v>13</v>
      </c>
      <c r="U61" t="s">
        <v>75</v>
      </c>
      <c r="V61" t="s">
        <v>12</v>
      </c>
      <c r="X61" t="s">
        <v>5471</v>
      </c>
      <c r="Y61" t="s">
        <v>76</v>
      </c>
      <c r="Z61" s="9">
        <v>1</v>
      </c>
    </row>
    <row r="62" spans="1:26">
      <c r="A62" t="s">
        <v>1967</v>
      </c>
      <c r="B62" t="s">
        <v>2079</v>
      </c>
      <c r="C62" t="s">
        <v>2072</v>
      </c>
      <c r="D62" t="s">
        <v>11</v>
      </c>
      <c r="E62" t="s">
        <v>13</v>
      </c>
      <c r="F62" t="s">
        <v>1970</v>
      </c>
      <c r="G62" t="s">
        <v>12</v>
      </c>
      <c r="I62" t="s">
        <v>2079</v>
      </c>
      <c r="J62" t="s">
        <v>4251</v>
      </c>
      <c r="K62" s="9">
        <v>8.281605879061102</v>
      </c>
      <c r="L62" s="9">
        <v>0.20195480266218041</v>
      </c>
      <c r="M62" s="10">
        <v>298.00764507749039</v>
      </c>
      <c r="N62" s="10">
        <v>327.80840958523947</v>
      </c>
      <c r="P62" t="s">
        <v>1967</v>
      </c>
      <c r="Q62" t="s">
        <v>5473</v>
      </c>
      <c r="R62" t="s">
        <v>5474</v>
      </c>
      <c r="S62" t="s">
        <v>11</v>
      </c>
      <c r="T62" t="s">
        <v>13</v>
      </c>
      <c r="U62" t="s">
        <v>75</v>
      </c>
      <c r="V62" t="s">
        <v>12</v>
      </c>
      <c r="X62" t="s">
        <v>5473</v>
      </c>
      <c r="Y62" t="s">
        <v>76</v>
      </c>
      <c r="Z62" s="9">
        <v>1</v>
      </c>
    </row>
    <row r="63" spans="1:26">
      <c r="A63" t="s">
        <v>1967</v>
      </c>
      <c r="B63" t="s">
        <v>2080</v>
      </c>
      <c r="C63" t="s">
        <v>2058</v>
      </c>
      <c r="D63" t="s">
        <v>11</v>
      </c>
      <c r="E63" t="s">
        <v>13</v>
      </c>
      <c r="F63" t="s">
        <v>1970</v>
      </c>
      <c r="G63" t="s">
        <v>12</v>
      </c>
      <c r="I63" t="s">
        <v>2080</v>
      </c>
      <c r="J63" t="s">
        <v>4252</v>
      </c>
      <c r="K63" s="9">
        <v>9.4921015023619013</v>
      </c>
      <c r="L63" s="9">
        <v>0.2039508615105772</v>
      </c>
      <c r="M63" s="10">
        <v>704.52917800340128</v>
      </c>
      <c r="N63" s="10">
        <v>774.98209580374146</v>
      </c>
      <c r="P63" t="s">
        <v>1967</v>
      </c>
      <c r="Q63" t="s">
        <v>5475</v>
      </c>
      <c r="R63" t="s">
        <v>5476</v>
      </c>
      <c r="S63" t="s">
        <v>11</v>
      </c>
      <c r="T63" t="s">
        <v>13</v>
      </c>
      <c r="U63" t="s">
        <v>75</v>
      </c>
      <c r="V63" t="s">
        <v>12</v>
      </c>
      <c r="X63" t="s">
        <v>5475</v>
      </c>
      <c r="Y63" t="s">
        <v>76</v>
      </c>
      <c r="Z63" s="9">
        <v>1</v>
      </c>
    </row>
    <row r="64" spans="1:26">
      <c r="A64" t="s">
        <v>1967</v>
      </c>
      <c r="B64" t="s">
        <v>2081</v>
      </c>
      <c r="C64" t="s">
        <v>2058</v>
      </c>
      <c r="D64" t="s">
        <v>11</v>
      </c>
      <c r="E64" t="s">
        <v>13</v>
      </c>
      <c r="F64" t="s">
        <v>1970</v>
      </c>
      <c r="G64" t="s">
        <v>12</v>
      </c>
      <c r="I64" t="s">
        <v>2081</v>
      </c>
      <c r="J64" t="s">
        <v>4253</v>
      </c>
      <c r="K64" s="10">
        <v>171.4920164291652</v>
      </c>
      <c r="L64" s="9">
        <v>0.22685730776806021</v>
      </c>
      <c r="M64" s="10">
        <v>765.1436131219449</v>
      </c>
      <c r="N64" s="10">
        <v>841.65797443413942</v>
      </c>
      <c r="P64" t="s">
        <v>1967</v>
      </c>
      <c r="Q64" t="s">
        <v>5477</v>
      </c>
      <c r="R64" t="s">
        <v>5478</v>
      </c>
      <c r="S64" t="s">
        <v>11</v>
      </c>
      <c r="T64" t="s">
        <v>13</v>
      </c>
      <c r="U64" t="s">
        <v>75</v>
      </c>
      <c r="V64" t="s">
        <v>12</v>
      </c>
      <c r="X64" t="s">
        <v>5477</v>
      </c>
      <c r="Y64" t="s">
        <v>76</v>
      </c>
      <c r="Z64" s="9">
        <v>1</v>
      </c>
    </row>
    <row r="65" spans="1:26">
      <c r="A65" t="s">
        <v>1967</v>
      </c>
      <c r="B65" t="s">
        <v>2082</v>
      </c>
      <c r="C65" t="s">
        <v>2058</v>
      </c>
      <c r="D65" t="s">
        <v>11</v>
      </c>
      <c r="E65" t="s">
        <v>13</v>
      </c>
      <c r="F65" t="s">
        <v>1970</v>
      </c>
      <c r="G65" t="s">
        <v>12</v>
      </c>
      <c r="I65" t="s">
        <v>2082</v>
      </c>
      <c r="J65" t="s">
        <v>4254</v>
      </c>
      <c r="K65" s="10">
        <v>488.71898814080748</v>
      </c>
      <c r="L65" s="9">
        <v>0.23647081569430989</v>
      </c>
      <c r="M65" s="10">
        <v>1024.5659922020616</v>
      </c>
      <c r="N65" s="10">
        <v>1127.0225914222679</v>
      </c>
      <c r="P65" t="s">
        <v>1967</v>
      </c>
      <c r="Q65" t="s">
        <v>5479</v>
      </c>
      <c r="R65" t="s">
        <v>5480</v>
      </c>
      <c r="S65" t="s">
        <v>11</v>
      </c>
      <c r="T65" t="s">
        <v>13</v>
      </c>
      <c r="U65" t="s">
        <v>75</v>
      </c>
      <c r="V65" t="s">
        <v>12</v>
      </c>
      <c r="X65" t="s">
        <v>5479</v>
      </c>
      <c r="Y65" t="s">
        <v>76</v>
      </c>
      <c r="Z65" s="9">
        <v>1</v>
      </c>
    </row>
    <row r="66" spans="1:26">
      <c r="A66" t="s">
        <v>1967</v>
      </c>
      <c r="B66" t="s">
        <v>2083</v>
      </c>
      <c r="C66" t="s">
        <v>2064</v>
      </c>
      <c r="D66" t="s">
        <v>11</v>
      </c>
      <c r="E66" t="s">
        <v>13</v>
      </c>
      <c r="F66" t="s">
        <v>1970</v>
      </c>
      <c r="G66" t="s">
        <v>12</v>
      </c>
      <c r="I66" t="s">
        <v>2083</v>
      </c>
      <c r="J66" t="s">
        <v>4255</v>
      </c>
      <c r="K66" s="11">
        <v>58.352560381953076</v>
      </c>
      <c r="L66" s="9">
        <v>0.22943405644675169</v>
      </c>
      <c r="M66" s="10">
        <v>791.20212964759605</v>
      </c>
      <c r="N66" s="10">
        <v>870.32234261235578</v>
      </c>
      <c r="P66" t="s">
        <v>1967</v>
      </c>
      <c r="Q66" t="s">
        <v>5481</v>
      </c>
      <c r="R66" t="s">
        <v>5482</v>
      </c>
      <c r="S66" t="s">
        <v>11</v>
      </c>
      <c r="T66" t="s">
        <v>13</v>
      </c>
      <c r="U66" t="s">
        <v>75</v>
      </c>
      <c r="V66" t="s">
        <v>12</v>
      </c>
      <c r="X66" t="s">
        <v>5481</v>
      </c>
      <c r="Y66" t="s">
        <v>76</v>
      </c>
      <c r="Z66" s="9">
        <v>1</v>
      </c>
    </row>
    <row r="67" spans="1:26">
      <c r="A67" t="s">
        <v>1967</v>
      </c>
      <c r="B67" t="s">
        <v>2084</v>
      </c>
      <c r="C67" t="s">
        <v>2064</v>
      </c>
      <c r="D67" t="s">
        <v>11</v>
      </c>
      <c r="E67" t="s">
        <v>13</v>
      </c>
      <c r="F67" t="s">
        <v>1970</v>
      </c>
      <c r="G67" t="s">
        <v>12</v>
      </c>
      <c r="I67" t="s">
        <v>2084</v>
      </c>
      <c r="J67" t="s">
        <v>4256</v>
      </c>
      <c r="K67" s="11">
        <v>60.769502423782761</v>
      </c>
      <c r="L67" s="9">
        <v>0.23543932100788131</v>
      </c>
      <c r="M67" s="10">
        <v>577.31043703559249</v>
      </c>
      <c r="N67" s="10">
        <v>635.04148073915178</v>
      </c>
      <c r="P67" t="s">
        <v>1967</v>
      </c>
      <c r="Q67" t="s">
        <v>5483</v>
      </c>
      <c r="R67" t="s">
        <v>5484</v>
      </c>
      <c r="S67" t="s">
        <v>11</v>
      </c>
      <c r="T67" t="s">
        <v>13</v>
      </c>
      <c r="U67" t="s">
        <v>75</v>
      </c>
      <c r="V67" t="s">
        <v>12</v>
      </c>
      <c r="X67" t="s">
        <v>5483</v>
      </c>
      <c r="Y67" t="s">
        <v>76</v>
      </c>
      <c r="Z67" s="9">
        <v>1</v>
      </c>
    </row>
    <row r="68" spans="1:26">
      <c r="A68" t="s">
        <v>1967</v>
      </c>
      <c r="B68" t="s">
        <v>2085</v>
      </c>
      <c r="C68" t="s">
        <v>2064</v>
      </c>
      <c r="D68" t="s">
        <v>11</v>
      </c>
      <c r="E68" t="s">
        <v>13</v>
      </c>
      <c r="F68" t="s">
        <v>1970</v>
      </c>
      <c r="G68" t="s">
        <v>12</v>
      </c>
      <c r="I68" t="s">
        <v>2085</v>
      </c>
      <c r="J68" t="s">
        <v>4257</v>
      </c>
      <c r="K68" s="11">
        <v>21.587300023140468</v>
      </c>
      <c r="L68" s="9">
        <v>0.21819246651963539</v>
      </c>
      <c r="M68" s="10">
        <v>339.53414624354122</v>
      </c>
      <c r="N68" s="10">
        <v>373.48756086789535</v>
      </c>
      <c r="P68" t="s">
        <v>1967</v>
      </c>
      <c r="Q68" t="s">
        <v>5485</v>
      </c>
      <c r="R68" t="s">
        <v>5486</v>
      </c>
      <c r="S68" t="s">
        <v>11</v>
      </c>
      <c r="T68" t="s">
        <v>13</v>
      </c>
      <c r="U68" t="s">
        <v>75</v>
      </c>
      <c r="V68" t="s">
        <v>12</v>
      </c>
      <c r="X68" t="s">
        <v>5485</v>
      </c>
      <c r="Y68" t="s">
        <v>76</v>
      </c>
      <c r="Z68" s="9">
        <v>1</v>
      </c>
    </row>
    <row r="69" spans="1:26">
      <c r="A69" t="s">
        <v>1967</v>
      </c>
      <c r="B69" t="s">
        <v>2086</v>
      </c>
      <c r="C69" t="s">
        <v>2087</v>
      </c>
      <c r="D69" t="s">
        <v>11</v>
      </c>
      <c r="E69" t="s">
        <v>13</v>
      </c>
      <c r="F69" t="s">
        <v>1970</v>
      </c>
      <c r="G69" t="s">
        <v>12</v>
      </c>
      <c r="I69" t="s">
        <v>2086</v>
      </c>
      <c r="J69" t="s">
        <v>4258</v>
      </c>
      <c r="K69" s="11">
        <v>22.329962180096306</v>
      </c>
      <c r="L69" s="9">
        <v>0.15968293646557691</v>
      </c>
      <c r="M69" s="11">
        <v>67.542504593924747</v>
      </c>
      <c r="N69" s="11">
        <v>74.296755053317227</v>
      </c>
      <c r="P69" t="s">
        <v>1967</v>
      </c>
      <c r="Q69" t="s">
        <v>5487</v>
      </c>
      <c r="R69" t="s">
        <v>5488</v>
      </c>
      <c r="S69" t="s">
        <v>11</v>
      </c>
      <c r="T69" t="s">
        <v>13</v>
      </c>
      <c r="U69" t="s">
        <v>75</v>
      </c>
      <c r="V69" t="s">
        <v>12</v>
      </c>
      <c r="X69" t="s">
        <v>5487</v>
      </c>
      <c r="Y69" t="s">
        <v>76</v>
      </c>
      <c r="Z69" s="9">
        <v>1</v>
      </c>
    </row>
    <row r="70" spans="1:26">
      <c r="A70" t="s">
        <v>1967</v>
      </c>
      <c r="B70" t="s">
        <v>2088</v>
      </c>
      <c r="C70" t="s">
        <v>2089</v>
      </c>
      <c r="D70" t="s">
        <v>11</v>
      </c>
      <c r="E70" t="s">
        <v>13</v>
      </c>
      <c r="F70" t="s">
        <v>1970</v>
      </c>
      <c r="G70" t="s">
        <v>12</v>
      </c>
      <c r="I70" t="s">
        <v>2088</v>
      </c>
      <c r="J70" t="s">
        <v>4259</v>
      </c>
      <c r="K70" s="11">
        <v>37.031370812102082</v>
      </c>
      <c r="L70" s="9">
        <v>0.15318378701920241</v>
      </c>
      <c r="M70" s="11">
        <v>43.612773281636585</v>
      </c>
      <c r="N70" s="11">
        <v>47.974050609800244</v>
      </c>
      <c r="P70" t="s">
        <v>1967</v>
      </c>
      <c r="Q70" t="s">
        <v>5489</v>
      </c>
      <c r="R70" t="s">
        <v>5490</v>
      </c>
      <c r="S70" t="s">
        <v>11</v>
      </c>
      <c r="T70" t="s">
        <v>13</v>
      </c>
      <c r="U70" t="s">
        <v>75</v>
      </c>
      <c r="V70" t="s">
        <v>12</v>
      </c>
      <c r="X70" t="s">
        <v>5489</v>
      </c>
      <c r="Y70" t="s">
        <v>76</v>
      </c>
      <c r="Z70" s="9">
        <v>1</v>
      </c>
    </row>
    <row r="71" spans="1:26">
      <c r="A71" t="s">
        <v>1967</v>
      </c>
      <c r="B71" t="s">
        <v>2090</v>
      </c>
      <c r="C71" t="s">
        <v>2091</v>
      </c>
      <c r="D71" t="s">
        <v>11</v>
      </c>
      <c r="E71" t="s">
        <v>13</v>
      </c>
      <c r="F71" t="s">
        <v>1970</v>
      </c>
      <c r="G71" t="s">
        <v>12</v>
      </c>
      <c r="I71" t="s">
        <v>2090</v>
      </c>
      <c r="J71" t="s">
        <v>4260</v>
      </c>
      <c r="K71" s="9">
        <v>5.074577662109383</v>
      </c>
      <c r="L71" s="9">
        <v>0.16262828141994259</v>
      </c>
      <c r="M71" s="11">
        <v>65.264177126370058</v>
      </c>
      <c r="N71" s="11">
        <v>71.790594839007071</v>
      </c>
      <c r="P71" t="s">
        <v>1967</v>
      </c>
      <c r="Q71" t="s">
        <v>5491</v>
      </c>
      <c r="R71" t="s">
        <v>5492</v>
      </c>
      <c r="S71" t="s">
        <v>11</v>
      </c>
      <c r="T71" t="s">
        <v>13</v>
      </c>
      <c r="U71" t="s">
        <v>75</v>
      </c>
      <c r="V71" t="s">
        <v>12</v>
      </c>
      <c r="X71" t="s">
        <v>5491</v>
      </c>
      <c r="Y71" t="s">
        <v>76</v>
      </c>
      <c r="Z71" s="9">
        <v>1</v>
      </c>
    </row>
    <row r="72" spans="1:26">
      <c r="A72" t="s">
        <v>1967</v>
      </c>
      <c r="B72" t="s">
        <v>2092</v>
      </c>
      <c r="C72" t="s">
        <v>2093</v>
      </c>
      <c r="D72" t="s">
        <v>11</v>
      </c>
      <c r="E72" t="s">
        <v>13</v>
      </c>
      <c r="F72" t="s">
        <v>1970</v>
      </c>
      <c r="G72" t="s">
        <v>12</v>
      </c>
      <c r="I72" t="s">
        <v>2092</v>
      </c>
      <c r="J72" t="s">
        <v>4261</v>
      </c>
      <c r="K72" s="9">
        <v>6.4736917890386891</v>
      </c>
      <c r="L72" s="9">
        <v>0.16258111003121159</v>
      </c>
      <c r="M72" s="11">
        <v>54.472516590387372</v>
      </c>
      <c r="N72" s="11">
        <v>59.919768249426113</v>
      </c>
      <c r="P72" t="s">
        <v>1967</v>
      </c>
      <c r="Q72" t="s">
        <v>5493</v>
      </c>
      <c r="R72" t="s">
        <v>5494</v>
      </c>
      <c r="S72" t="s">
        <v>11</v>
      </c>
      <c r="T72" t="s">
        <v>13</v>
      </c>
      <c r="U72" t="s">
        <v>75</v>
      </c>
      <c r="V72" t="s">
        <v>12</v>
      </c>
      <c r="X72" t="s">
        <v>5493</v>
      </c>
      <c r="Y72" t="s">
        <v>76</v>
      </c>
      <c r="Z72" s="9">
        <v>1</v>
      </c>
    </row>
    <row r="73" spans="1:26">
      <c r="A73" t="s">
        <v>1967</v>
      </c>
      <c r="B73" t="s">
        <v>2094</v>
      </c>
      <c r="C73" t="s">
        <v>2095</v>
      </c>
      <c r="D73" t="s">
        <v>11</v>
      </c>
      <c r="E73" t="s">
        <v>13</v>
      </c>
      <c r="F73" t="s">
        <v>1970</v>
      </c>
      <c r="G73" t="s">
        <v>12</v>
      </c>
      <c r="I73" t="s">
        <v>2094</v>
      </c>
      <c r="J73" t="s">
        <v>4262</v>
      </c>
      <c r="K73" s="9">
        <v>2.4887315929654266</v>
      </c>
      <c r="L73" s="9">
        <v>0.23740755695375881</v>
      </c>
      <c r="M73" s="11">
        <v>45.850342152502328</v>
      </c>
      <c r="N73" s="11">
        <v>50.435376367752568</v>
      </c>
      <c r="P73" t="s">
        <v>1967</v>
      </c>
      <c r="Q73" t="s">
        <v>5495</v>
      </c>
      <c r="R73" t="s">
        <v>5496</v>
      </c>
      <c r="S73" t="s">
        <v>11</v>
      </c>
      <c r="T73" t="s">
        <v>13</v>
      </c>
      <c r="U73" t="s">
        <v>75</v>
      </c>
      <c r="V73" t="s">
        <v>12</v>
      </c>
      <c r="X73" t="s">
        <v>5495</v>
      </c>
      <c r="Y73" t="s">
        <v>76</v>
      </c>
      <c r="Z73" s="9">
        <v>1</v>
      </c>
    </row>
    <row r="74" spans="1:26">
      <c r="A74" t="s">
        <v>1967</v>
      </c>
      <c r="B74" t="s">
        <v>2096</v>
      </c>
      <c r="C74" t="s">
        <v>2097</v>
      </c>
      <c r="D74" t="s">
        <v>11</v>
      </c>
      <c r="E74" t="s">
        <v>13</v>
      </c>
      <c r="F74" t="s">
        <v>1970</v>
      </c>
      <c r="G74" t="s">
        <v>12</v>
      </c>
      <c r="I74" t="s">
        <v>2096</v>
      </c>
      <c r="J74" t="s">
        <v>4263</v>
      </c>
      <c r="K74" s="11">
        <v>10.105602854513672</v>
      </c>
      <c r="L74" s="9">
        <v>0.2011399939239682</v>
      </c>
      <c r="M74" s="11">
        <v>54.837531008702847</v>
      </c>
      <c r="N74" s="11">
        <v>60.321284109573135</v>
      </c>
      <c r="P74" t="s">
        <v>1967</v>
      </c>
      <c r="Q74" t="s">
        <v>5497</v>
      </c>
      <c r="R74" t="s">
        <v>5498</v>
      </c>
      <c r="S74" t="s">
        <v>11</v>
      </c>
      <c r="T74" t="s">
        <v>13</v>
      </c>
      <c r="U74" t="s">
        <v>75</v>
      </c>
      <c r="V74" t="s">
        <v>12</v>
      </c>
      <c r="X74" t="s">
        <v>5497</v>
      </c>
      <c r="Y74" t="s">
        <v>76</v>
      </c>
      <c r="Z74" s="9">
        <v>1</v>
      </c>
    </row>
    <row r="75" spans="1:26">
      <c r="A75" t="s">
        <v>1967</v>
      </c>
      <c r="B75" t="s">
        <v>2098</v>
      </c>
      <c r="C75" t="s">
        <v>2099</v>
      </c>
      <c r="D75" t="s">
        <v>11</v>
      </c>
      <c r="E75" t="s">
        <v>13</v>
      </c>
      <c r="F75" t="s">
        <v>1970</v>
      </c>
      <c r="G75" t="s">
        <v>12</v>
      </c>
      <c r="I75" t="s">
        <v>2098</v>
      </c>
      <c r="J75" t="s">
        <v>4264</v>
      </c>
      <c r="K75" s="9">
        <v>1.7522907355971213</v>
      </c>
      <c r="L75" s="9">
        <v>0.18935322249639849</v>
      </c>
      <c r="M75" s="11">
        <v>30.566328464271088</v>
      </c>
      <c r="N75" s="11">
        <v>33.622961310698201</v>
      </c>
      <c r="P75" t="s">
        <v>1967</v>
      </c>
      <c r="Q75" t="s">
        <v>5499</v>
      </c>
      <c r="R75" t="s">
        <v>5500</v>
      </c>
      <c r="S75" t="s">
        <v>11</v>
      </c>
      <c r="T75" t="s">
        <v>13</v>
      </c>
      <c r="U75" t="s">
        <v>75</v>
      </c>
      <c r="V75" t="s">
        <v>12</v>
      </c>
      <c r="X75" t="s">
        <v>5499</v>
      </c>
      <c r="Y75" t="s">
        <v>76</v>
      </c>
      <c r="Z75" s="9">
        <v>1</v>
      </c>
    </row>
    <row r="76" spans="1:26">
      <c r="A76" t="s">
        <v>1967</v>
      </c>
      <c r="B76" t="s">
        <v>2100</v>
      </c>
      <c r="C76" t="s">
        <v>2101</v>
      </c>
      <c r="D76" t="s">
        <v>11</v>
      </c>
      <c r="E76" t="s">
        <v>13</v>
      </c>
      <c r="F76" t="s">
        <v>1970</v>
      </c>
      <c r="G76" t="s">
        <v>12</v>
      </c>
      <c r="I76" t="s">
        <v>2100</v>
      </c>
      <c r="J76" t="s">
        <v>4265</v>
      </c>
      <c r="K76" s="9">
        <v>5.495138900054152</v>
      </c>
      <c r="L76" s="9">
        <v>0.19485232300790109</v>
      </c>
      <c r="M76" s="11">
        <v>67.20608189135865</v>
      </c>
      <c r="N76" s="11">
        <v>73.926690080494524</v>
      </c>
      <c r="P76" t="s">
        <v>1967</v>
      </c>
      <c r="Q76" t="s">
        <v>5501</v>
      </c>
      <c r="R76" t="s">
        <v>5502</v>
      </c>
      <c r="S76" t="s">
        <v>11</v>
      </c>
      <c r="T76" t="s">
        <v>13</v>
      </c>
      <c r="U76" t="s">
        <v>75</v>
      </c>
      <c r="V76" t="s">
        <v>12</v>
      </c>
      <c r="X76" t="s">
        <v>5501</v>
      </c>
      <c r="Y76" t="s">
        <v>76</v>
      </c>
      <c r="Z76" s="9">
        <v>1</v>
      </c>
    </row>
    <row r="77" spans="1:26">
      <c r="A77" t="s">
        <v>1967</v>
      </c>
      <c r="B77" t="s">
        <v>2102</v>
      </c>
      <c r="C77" t="s">
        <v>2103</v>
      </c>
      <c r="D77" t="s">
        <v>11</v>
      </c>
      <c r="E77" t="s">
        <v>13</v>
      </c>
      <c r="F77" t="s">
        <v>1970</v>
      </c>
      <c r="G77" t="s">
        <v>12</v>
      </c>
      <c r="I77" t="s">
        <v>2102</v>
      </c>
      <c r="J77" t="s">
        <v>4266</v>
      </c>
      <c r="K77" s="9">
        <v>4.1407956498152387</v>
      </c>
      <c r="L77" s="9">
        <v>0.21943425486284709</v>
      </c>
      <c r="M77" s="11">
        <v>48.70061611872238</v>
      </c>
      <c r="N77" s="11">
        <v>53.570677730594625</v>
      </c>
      <c r="P77" t="s">
        <v>1967</v>
      </c>
      <c r="Q77" t="s">
        <v>5503</v>
      </c>
      <c r="R77" t="s">
        <v>5504</v>
      </c>
      <c r="S77" t="s">
        <v>11</v>
      </c>
      <c r="T77" t="s">
        <v>13</v>
      </c>
      <c r="U77" t="s">
        <v>75</v>
      </c>
      <c r="V77" t="s">
        <v>12</v>
      </c>
      <c r="X77" t="s">
        <v>5503</v>
      </c>
      <c r="Y77" t="s">
        <v>76</v>
      </c>
      <c r="Z77" s="9">
        <v>1</v>
      </c>
    </row>
    <row r="78" spans="1:26">
      <c r="A78" t="s">
        <v>1967</v>
      </c>
      <c r="B78" t="s">
        <v>2104</v>
      </c>
      <c r="C78" t="s">
        <v>2105</v>
      </c>
      <c r="D78" t="s">
        <v>11</v>
      </c>
      <c r="E78" t="s">
        <v>13</v>
      </c>
      <c r="F78" t="s">
        <v>1970</v>
      </c>
      <c r="G78" t="s">
        <v>12</v>
      </c>
      <c r="I78" t="s">
        <v>2104</v>
      </c>
      <c r="J78" t="s">
        <v>4267</v>
      </c>
      <c r="K78" s="9">
        <v>2.3039535035033483</v>
      </c>
      <c r="L78" s="9">
        <v>0.20206903911752319</v>
      </c>
      <c r="M78" s="11">
        <v>55.169717165958765</v>
      </c>
      <c r="N78" s="11">
        <v>60.686688882554648</v>
      </c>
      <c r="P78" t="s">
        <v>1967</v>
      </c>
      <c r="Q78" t="s">
        <v>5505</v>
      </c>
      <c r="R78" t="s">
        <v>5506</v>
      </c>
      <c r="S78" t="s">
        <v>11</v>
      </c>
      <c r="T78" t="s">
        <v>13</v>
      </c>
      <c r="U78" t="s">
        <v>75</v>
      </c>
      <c r="V78" t="s">
        <v>12</v>
      </c>
      <c r="X78" t="s">
        <v>5505</v>
      </c>
      <c r="Y78" t="s">
        <v>76</v>
      </c>
      <c r="Z78" s="9">
        <v>1</v>
      </c>
    </row>
    <row r="79" spans="1:26">
      <c r="A79" t="s">
        <v>1967</v>
      </c>
      <c r="B79" t="s">
        <v>2106</v>
      </c>
      <c r="C79" t="s">
        <v>2107</v>
      </c>
      <c r="D79" t="s">
        <v>11</v>
      </c>
      <c r="E79" t="s">
        <v>13</v>
      </c>
      <c r="F79" t="s">
        <v>1970</v>
      </c>
      <c r="G79" t="s">
        <v>12</v>
      </c>
      <c r="I79" t="s">
        <v>2106</v>
      </c>
      <c r="J79" t="s">
        <v>4268</v>
      </c>
      <c r="K79" s="11">
        <v>39.042859610105161</v>
      </c>
      <c r="L79" s="9">
        <v>0.14035711736821019</v>
      </c>
      <c r="M79" s="11">
        <v>17.442394510617152</v>
      </c>
      <c r="N79" s="11">
        <v>19.186633961678869</v>
      </c>
      <c r="P79" t="s">
        <v>1967</v>
      </c>
      <c r="Q79" t="s">
        <v>5507</v>
      </c>
      <c r="R79" t="s">
        <v>5508</v>
      </c>
      <c r="S79" t="s">
        <v>11</v>
      </c>
      <c r="T79" t="s">
        <v>13</v>
      </c>
      <c r="U79" t="s">
        <v>75</v>
      </c>
      <c r="V79" t="s">
        <v>12</v>
      </c>
      <c r="X79" t="s">
        <v>5507</v>
      </c>
      <c r="Y79" t="s">
        <v>76</v>
      </c>
      <c r="Z79" s="9">
        <v>1</v>
      </c>
    </row>
    <row r="80" spans="1:26">
      <c r="A80" t="s">
        <v>1967</v>
      </c>
      <c r="B80" t="s">
        <v>2108</v>
      </c>
      <c r="C80" t="s">
        <v>2109</v>
      </c>
      <c r="D80" t="s">
        <v>11</v>
      </c>
      <c r="E80" t="s">
        <v>13</v>
      </c>
      <c r="F80" t="s">
        <v>1970</v>
      </c>
      <c r="G80" t="s">
        <v>12</v>
      </c>
      <c r="I80" t="s">
        <v>2108</v>
      </c>
      <c r="J80" t="s">
        <v>4269</v>
      </c>
      <c r="K80" s="11">
        <v>11.066330687976702</v>
      </c>
      <c r="L80" s="9">
        <v>0.13718824909379909</v>
      </c>
      <c r="M80" s="11">
        <v>37.930256333534565</v>
      </c>
      <c r="N80" s="11">
        <v>41.723281966888024</v>
      </c>
      <c r="P80" t="s">
        <v>1967</v>
      </c>
      <c r="Q80" t="s">
        <v>5509</v>
      </c>
      <c r="R80" t="s">
        <v>5510</v>
      </c>
      <c r="S80" t="s">
        <v>11</v>
      </c>
      <c r="T80" t="s">
        <v>13</v>
      </c>
      <c r="U80" t="s">
        <v>75</v>
      </c>
      <c r="V80" t="s">
        <v>12</v>
      </c>
      <c r="X80" t="s">
        <v>5509</v>
      </c>
      <c r="Y80" t="s">
        <v>76</v>
      </c>
      <c r="Z80" s="9">
        <v>1</v>
      </c>
    </row>
    <row r="81" spans="1:26">
      <c r="A81" t="s">
        <v>1967</v>
      </c>
      <c r="B81" t="s">
        <v>2110</v>
      </c>
      <c r="C81" t="s">
        <v>2111</v>
      </c>
      <c r="D81" t="s">
        <v>11</v>
      </c>
      <c r="E81" t="s">
        <v>13</v>
      </c>
      <c r="F81" t="s">
        <v>1970</v>
      </c>
      <c r="G81" t="s">
        <v>12</v>
      </c>
      <c r="I81" t="s">
        <v>2110</v>
      </c>
      <c r="J81" t="s">
        <v>4270</v>
      </c>
      <c r="K81" s="11">
        <v>15.047503494818136</v>
      </c>
      <c r="L81" s="9">
        <v>0.13546392327362811</v>
      </c>
      <c r="M81" s="9">
        <v>9.4241552970728897</v>
      </c>
      <c r="N81" s="11">
        <v>10.36657082678018</v>
      </c>
      <c r="P81" t="s">
        <v>1967</v>
      </c>
      <c r="Q81" t="s">
        <v>5511</v>
      </c>
      <c r="R81" t="s">
        <v>5512</v>
      </c>
      <c r="S81" t="s">
        <v>11</v>
      </c>
      <c r="T81" t="s">
        <v>13</v>
      </c>
      <c r="U81" t="s">
        <v>75</v>
      </c>
      <c r="V81" t="s">
        <v>12</v>
      </c>
      <c r="X81" t="s">
        <v>5511</v>
      </c>
      <c r="Y81" t="s">
        <v>76</v>
      </c>
      <c r="Z81" s="9">
        <v>1</v>
      </c>
    </row>
    <row r="82" spans="1:26">
      <c r="A82" t="s">
        <v>1967</v>
      </c>
      <c r="B82" t="s">
        <v>2112</v>
      </c>
      <c r="C82" t="s">
        <v>2113</v>
      </c>
      <c r="D82" t="s">
        <v>11</v>
      </c>
      <c r="E82" t="s">
        <v>13</v>
      </c>
      <c r="F82" t="s">
        <v>1970</v>
      </c>
      <c r="G82" t="s">
        <v>12</v>
      </c>
      <c r="I82" t="s">
        <v>2112</v>
      </c>
      <c r="J82" t="s">
        <v>4271</v>
      </c>
      <c r="K82" s="11">
        <v>10.431799112053286</v>
      </c>
      <c r="L82" s="9">
        <v>0.22180408892254491</v>
      </c>
      <c r="M82" s="11">
        <v>19.721529855579121</v>
      </c>
      <c r="N82" s="11">
        <v>21.693682841137033</v>
      </c>
      <c r="P82" t="s">
        <v>1967</v>
      </c>
      <c r="Q82" t="s">
        <v>5513</v>
      </c>
      <c r="R82" t="s">
        <v>5514</v>
      </c>
      <c r="S82" t="s">
        <v>11</v>
      </c>
      <c r="T82" t="s">
        <v>13</v>
      </c>
      <c r="U82" t="s">
        <v>75</v>
      </c>
      <c r="V82" t="s">
        <v>12</v>
      </c>
      <c r="X82" t="s">
        <v>5513</v>
      </c>
      <c r="Y82" t="s">
        <v>76</v>
      </c>
      <c r="Z82" s="9">
        <v>1</v>
      </c>
    </row>
    <row r="83" spans="1:26">
      <c r="A83" t="s">
        <v>1967</v>
      </c>
      <c r="B83" t="s">
        <v>2114</v>
      </c>
      <c r="C83" t="s">
        <v>2115</v>
      </c>
      <c r="D83" t="s">
        <v>11</v>
      </c>
      <c r="E83" t="s">
        <v>13</v>
      </c>
      <c r="F83" t="s">
        <v>1970</v>
      </c>
      <c r="G83" t="s">
        <v>12</v>
      </c>
      <c r="I83" t="s">
        <v>2114</v>
      </c>
      <c r="J83" t="s">
        <v>4272</v>
      </c>
      <c r="K83" s="11">
        <v>32.391238210962605</v>
      </c>
      <c r="L83" s="9">
        <v>0.2334500380483687</v>
      </c>
      <c r="M83" s="11">
        <v>44.836797519186923</v>
      </c>
      <c r="N83" s="11">
        <v>49.320477271105617</v>
      </c>
      <c r="P83" t="s">
        <v>1967</v>
      </c>
      <c r="Q83" t="s">
        <v>5515</v>
      </c>
      <c r="R83" t="s">
        <v>5516</v>
      </c>
      <c r="S83" t="s">
        <v>11</v>
      </c>
      <c r="T83" t="s">
        <v>13</v>
      </c>
      <c r="U83" t="s">
        <v>75</v>
      </c>
      <c r="V83" t="s">
        <v>12</v>
      </c>
      <c r="X83" t="s">
        <v>5515</v>
      </c>
      <c r="Y83" t="s">
        <v>76</v>
      </c>
      <c r="Z83" s="9">
        <v>1</v>
      </c>
    </row>
    <row r="84" spans="1:26">
      <c r="A84" t="s">
        <v>1967</v>
      </c>
      <c r="B84" t="s">
        <v>2116</v>
      </c>
      <c r="C84" t="s">
        <v>2117</v>
      </c>
      <c r="D84" t="s">
        <v>11</v>
      </c>
      <c r="E84" t="s">
        <v>13</v>
      </c>
      <c r="F84" t="s">
        <v>1970</v>
      </c>
      <c r="G84" t="s">
        <v>12</v>
      </c>
      <c r="I84" t="s">
        <v>2116</v>
      </c>
      <c r="J84" t="s">
        <v>4273</v>
      </c>
      <c r="K84" s="9">
        <v>2.068885773473236</v>
      </c>
      <c r="L84" s="9">
        <v>0.20443012955085421</v>
      </c>
      <c r="M84" s="11">
        <v>26.532785143563508</v>
      </c>
      <c r="N84" s="11">
        <v>29.18606365791986</v>
      </c>
      <c r="P84" t="s">
        <v>1967</v>
      </c>
      <c r="Q84" t="s">
        <v>5517</v>
      </c>
      <c r="R84" t="s">
        <v>5518</v>
      </c>
      <c r="S84" t="s">
        <v>11</v>
      </c>
      <c r="T84" t="s">
        <v>13</v>
      </c>
      <c r="U84" t="s">
        <v>75</v>
      </c>
      <c r="V84" t="s">
        <v>12</v>
      </c>
      <c r="X84" t="s">
        <v>5517</v>
      </c>
      <c r="Y84" t="s">
        <v>76</v>
      </c>
      <c r="Z84" s="9">
        <v>1</v>
      </c>
    </row>
    <row r="85" spans="1:26">
      <c r="A85" t="s">
        <v>1967</v>
      </c>
      <c r="B85" t="s">
        <v>2118</v>
      </c>
      <c r="C85" t="s">
        <v>2119</v>
      </c>
      <c r="D85" t="s">
        <v>11</v>
      </c>
      <c r="E85" t="s">
        <v>13</v>
      </c>
      <c r="F85" t="s">
        <v>1970</v>
      </c>
      <c r="G85" t="s">
        <v>12</v>
      </c>
      <c r="I85" t="s">
        <v>2118</v>
      </c>
      <c r="J85" t="s">
        <v>4274</v>
      </c>
      <c r="K85" s="11">
        <v>12.545325170600274</v>
      </c>
      <c r="L85" s="9">
        <v>0.184769447819215</v>
      </c>
      <c r="M85" s="11">
        <v>20.041915116432619</v>
      </c>
      <c r="N85" s="11">
        <v>22.046106628075883</v>
      </c>
      <c r="P85" t="s">
        <v>1967</v>
      </c>
      <c r="Q85" t="s">
        <v>5519</v>
      </c>
      <c r="R85" t="s">
        <v>5520</v>
      </c>
      <c r="S85" t="s">
        <v>11</v>
      </c>
      <c r="T85" t="s">
        <v>13</v>
      </c>
      <c r="U85" t="s">
        <v>75</v>
      </c>
      <c r="V85" t="s">
        <v>12</v>
      </c>
      <c r="X85" t="s">
        <v>5519</v>
      </c>
      <c r="Y85" t="s">
        <v>76</v>
      </c>
      <c r="Z85" s="9">
        <v>1</v>
      </c>
    </row>
    <row r="86" spans="1:26">
      <c r="A86" t="s">
        <v>1967</v>
      </c>
      <c r="B86" t="s">
        <v>2120</v>
      </c>
      <c r="C86" t="s">
        <v>2121</v>
      </c>
      <c r="D86" t="s">
        <v>11</v>
      </c>
      <c r="E86" t="s">
        <v>13</v>
      </c>
      <c r="F86" t="s">
        <v>1970</v>
      </c>
      <c r="G86" t="s">
        <v>12</v>
      </c>
      <c r="I86" t="s">
        <v>2120</v>
      </c>
      <c r="J86" t="s">
        <v>4275</v>
      </c>
      <c r="K86" s="9">
        <v>7.154147227245665</v>
      </c>
      <c r="L86" s="9">
        <v>0.19076185359885711</v>
      </c>
      <c r="M86" s="11">
        <v>16.203861124653333</v>
      </c>
      <c r="N86" s="11">
        <v>17.824247237118669</v>
      </c>
      <c r="P86" t="s">
        <v>1967</v>
      </c>
      <c r="Q86" t="s">
        <v>5521</v>
      </c>
      <c r="R86" t="s">
        <v>5522</v>
      </c>
      <c r="S86" t="s">
        <v>11</v>
      </c>
      <c r="T86" t="s">
        <v>13</v>
      </c>
      <c r="U86" t="s">
        <v>75</v>
      </c>
      <c r="V86" t="s">
        <v>12</v>
      </c>
      <c r="X86" t="s">
        <v>5521</v>
      </c>
      <c r="Y86" t="s">
        <v>76</v>
      </c>
      <c r="Z86" s="9">
        <v>1</v>
      </c>
    </row>
    <row r="87" spans="1:26">
      <c r="A87" t="s">
        <v>1967</v>
      </c>
      <c r="B87" t="s">
        <v>2122</v>
      </c>
      <c r="C87" t="s">
        <v>2123</v>
      </c>
      <c r="D87" t="s">
        <v>11</v>
      </c>
      <c r="E87" t="s">
        <v>13</v>
      </c>
      <c r="F87" t="s">
        <v>1970</v>
      </c>
      <c r="G87" t="s">
        <v>12</v>
      </c>
      <c r="I87" t="s">
        <v>2122</v>
      </c>
      <c r="J87" t="s">
        <v>4276</v>
      </c>
      <c r="K87" s="11">
        <v>28.234549537238198</v>
      </c>
      <c r="L87" s="9">
        <v>0.2433824508135595</v>
      </c>
      <c r="M87" s="11">
        <v>88.182050885305912</v>
      </c>
      <c r="N87" s="11">
        <v>97.000255973836516</v>
      </c>
      <c r="P87" t="s">
        <v>1967</v>
      </c>
      <c r="Q87" t="s">
        <v>5523</v>
      </c>
      <c r="R87" t="s">
        <v>5524</v>
      </c>
      <c r="S87" t="s">
        <v>11</v>
      </c>
      <c r="T87" t="s">
        <v>13</v>
      </c>
      <c r="U87" t="s">
        <v>75</v>
      </c>
      <c r="V87" t="s">
        <v>12</v>
      </c>
      <c r="X87" t="s">
        <v>5523</v>
      </c>
      <c r="Y87" t="s">
        <v>76</v>
      </c>
      <c r="Z87" s="9">
        <v>1</v>
      </c>
    </row>
    <row r="88" spans="1:26">
      <c r="A88" t="s">
        <v>1967</v>
      </c>
      <c r="B88" t="s">
        <v>2124</v>
      </c>
      <c r="C88" t="s">
        <v>2125</v>
      </c>
      <c r="D88" t="s">
        <v>11</v>
      </c>
      <c r="E88" t="s">
        <v>13</v>
      </c>
      <c r="F88" t="s">
        <v>1970</v>
      </c>
      <c r="G88" t="s">
        <v>12</v>
      </c>
      <c r="I88" t="s">
        <v>2124</v>
      </c>
      <c r="J88" t="s">
        <v>4277</v>
      </c>
      <c r="K88" s="11">
        <v>21.932423693461672</v>
      </c>
      <c r="L88" s="9">
        <v>0.23139460783888741</v>
      </c>
      <c r="M88" s="11">
        <v>65.207313862559104</v>
      </c>
      <c r="N88" s="11">
        <v>71.728045248815022</v>
      </c>
      <c r="P88" t="s">
        <v>1967</v>
      </c>
      <c r="Q88" t="s">
        <v>5525</v>
      </c>
      <c r="R88" t="s">
        <v>5526</v>
      </c>
      <c r="S88" t="s">
        <v>11</v>
      </c>
      <c r="T88" t="s">
        <v>13</v>
      </c>
      <c r="U88" t="s">
        <v>75</v>
      </c>
      <c r="V88" t="s">
        <v>12</v>
      </c>
      <c r="X88" t="s">
        <v>5525</v>
      </c>
      <c r="Y88" t="s">
        <v>76</v>
      </c>
      <c r="Z88" s="9">
        <v>1</v>
      </c>
    </row>
    <row r="89" spans="1:26">
      <c r="A89" t="s">
        <v>1967</v>
      </c>
      <c r="B89" t="s">
        <v>2126</v>
      </c>
      <c r="C89" t="s">
        <v>2127</v>
      </c>
      <c r="D89" t="s">
        <v>11</v>
      </c>
      <c r="E89" t="s">
        <v>13</v>
      </c>
      <c r="F89" t="s">
        <v>1970</v>
      </c>
      <c r="G89" t="s">
        <v>12</v>
      </c>
      <c r="I89" t="s">
        <v>2126</v>
      </c>
      <c r="J89" t="s">
        <v>4278</v>
      </c>
      <c r="K89" s="11">
        <v>41.191191007453995</v>
      </c>
      <c r="L89" s="9">
        <v>0.237809344689905</v>
      </c>
      <c r="M89" s="10">
        <v>110.21400337591616</v>
      </c>
      <c r="N89" s="10">
        <v>121.23540371350779</v>
      </c>
      <c r="P89" t="s">
        <v>1967</v>
      </c>
      <c r="Q89" t="s">
        <v>5527</v>
      </c>
      <c r="R89" t="s">
        <v>5528</v>
      </c>
      <c r="S89" t="s">
        <v>11</v>
      </c>
      <c r="T89" t="s">
        <v>13</v>
      </c>
      <c r="U89" t="s">
        <v>75</v>
      </c>
      <c r="V89" t="s">
        <v>12</v>
      </c>
      <c r="X89" t="s">
        <v>5527</v>
      </c>
      <c r="Y89" t="s">
        <v>76</v>
      </c>
      <c r="Z89" s="9">
        <v>1</v>
      </c>
    </row>
    <row r="90" spans="1:26">
      <c r="A90" t="s">
        <v>1967</v>
      </c>
      <c r="B90" t="s">
        <v>2128</v>
      </c>
      <c r="C90" t="s">
        <v>2129</v>
      </c>
      <c r="D90" t="s">
        <v>11</v>
      </c>
      <c r="E90" t="s">
        <v>13</v>
      </c>
      <c r="F90" t="s">
        <v>1970</v>
      </c>
      <c r="G90" t="s">
        <v>12</v>
      </c>
      <c r="I90" t="s">
        <v>2128</v>
      </c>
      <c r="J90" t="s">
        <v>4279</v>
      </c>
      <c r="K90" s="11">
        <v>24.454852615220378</v>
      </c>
      <c r="L90" s="9">
        <v>0.23557399266571791</v>
      </c>
      <c r="M90" s="11">
        <v>96.298973355738894</v>
      </c>
      <c r="N90" s="10">
        <v>105.9288706913128</v>
      </c>
      <c r="P90" t="s">
        <v>1967</v>
      </c>
      <c r="Q90" t="s">
        <v>5529</v>
      </c>
      <c r="R90" t="s">
        <v>5530</v>
      </c>
      <c r="S90" t="s">
        <v>11</v>
      </c>
      <c r="T90" t="s">
        <v>13</v>
      </c>
      <c r="U90" t="s">
        <v>75</v>
      </c>
      <c r="V90" t="s">
        <v>12</v>
      </c>
      <c r="X90" t="s">
        <v>5529</v>
      </c>
      <c r="Y90" t="s">
        <v>76</v>
      </c>
      <c r="Z90" s="9">
        <v>1</v>
      </c>
    </row>
    <row r="91" spans="1:26">
      <c r="A91" t="s">
        <v>1967</v>
      </c>
      <c r="B91" t="s">
        <v>2130</v>
      </c>
      <c r="C91" t="s">
        <v>2131</v>
      </c>
      <c r="D91" t="s">
        <v>11</v>
      </c>
      <c r="E91" t="s">
        <v>13</v>
      </c>
      <c r="F91" t="s">
        <v>1970</v>
      </c>
      <c r="G91" t="s">
        <v>12</v>
      </c>
      <c r="I91" t="s">
        <v>2130</v>
      </c>
      <c r="J91" t="s">
        <v>4280</v>
      </c>
      <c r="K91" s="11">
        <v>27.871835625256111</v>
      </c>
      <c r="L91" s="9">
        <v>0.2400283604949662</v>
      </c>
      <c r="M91" s="11">
        <v>83.004202795317894</v>
      </c>
      <c r="N91" s="11">
        <v>91.304623074849687</v>
      </c>
      <c r="P91" t="s">
        <v>1967</v>
      </c>
      <c r="Q91" t="s">
        <v>5531</v>
      </c>
      <c r="R91" t="s">
        <v>5532</v>
      </c>
      <c r="S91" t="s">
        <v>11</v>
      </c>
      <c r="T91" t="s">
        <v>13</v>
      </c>
      <c r="U91" t="s">
        <v>75</v>
      </c>
      <c r="V91" t="s">
        <v>12</v>
      </c>
      <c r="X91" t="s">
        <v>5531</v>
      </c>
      <c r="Y91" t="s">
        <v>76</v>
      </c>
      <c r="Z91" s="9">
        <v>1</v>
      </c>
    </row>
    <row r="92" spans="1:26">
      <c r="A92" t="s">
        <v>1967</v>
      </c>
      <c r="B92" t="s">
        <v>2132</v>
      </c>
      <c r="C92" t="s">
        <v>2133</v>
      </c>
      <c r="D92" t="s">
        <v>11</v>
      </c>
      <c r="E92" t="s">
        <v>13</v>
      </c>
      <c r="F92" t="s">
        <v>1970</v>
      </c>
      <c r="G92" t="s">
        <v>12</v>
      </c>
      <c r="I92" t="s">
        <v>2132</v>
      </c>
      <c r="J92" t="s">
        <v>4281</v>
      </c>
      <c r="K92" s="11">
        <v>16.858769461895768</v>
      </c>
      <c r="L92" s="9">
        <v>0.24984302382600901</v>
      </c>
      <c r="M92" s="11">
        <v>61.335351593577151</v>
      </c>
      <c r="N92" s="11">
        <v>67.468886752934878</v>
      </c>
      <c r="P92" t="s">
        <v>1967</v>
      </c>
      <c r="Q92" t="s">
        <v>5533</v>
      </c>
      <c r="R92" t="s">
        <v>5534</v>
      </c>
      <c r="S92" t="s">
        <v>11</v>
      </c>
      <c r="T92" t="s">
        <v>13</v>
      </c>
      <c r="U92" t="s">
        <v>75</v>
      </c>
      <c r="V92" t="s">
        <v>12</v>
      </c>
      <c r="X92" t="s">
        <v>5533</v>
      </c>
      <c r="Y92" t="s">
        <v>76</v>
      </c>
      <c r="Z92" s="9">
        <v>1</v>
      </c>
    </row>
    <row r="93" spans="1:26">
      <c r="A93" t="s">
        <v>1967</v>
      </c>
      <c r="B93" t="s">
        <v>2134</v>
      </c>
      <c r="C93" t="s">
        <v>2135</v>
      </c>
      <c r="D93" t="s">
        <v>11</v>
      </c>
      <c r="E93" t="s">
        <v>13</v>
      </c>
      <c r="F93" t="s">
        <v>1970</v>
      </c>
      <c r="G93" t="s">
        <v>12</v>
      </c>
      <c r="I93" t="s">
        <v>2134</v>
      </c>
      <c r="J93" t="s">
        <v>4282</v>
      </c>
      <c r="K93" s="11">
        <v>43.964138344623009</v>
      </c>
      <c r="L93" s="9">
        <v>0.2534262348604413</v>
      </c>
      <c r="M93" s="10">
        <v>111.91408359480413</v>
      </c>
      <c r="N93" s="10">
        <v>123.10549195428455</v>
      </c>
      <c r="P93" t="s">
        <v>1967</v>
      </c>
      <c r="Q93" t="s">
        <v>5535</v>
      </c>
      <c r="R93" t="s">
        <v>5536</v>
      </c>
      <c r="S93" t="s">
        <v>11</v>
      </c>
      <c r="T93" t="s">
        <v>13</v>
      </c>
      <c r="U93" t="s">
        <v>75</v>
      </c>
      <c r="V93" t="s">
        <v>12</v>
      </c>
      <c r="X93" t="s">
        <v>5535</v>
      </c>
      <c r="Y93" t="s">
        <v>76</v>
      </c>
      <c r="Z93" s="9">
        <v>1</v>
      </c>
    </row>
    <row r="94" spans="1:26">
      <c r="A94" t="s">
        <v>1967</v>
      </c>
      <c r="B94" t="s">
        <v>2136</v>
      </c>
      <c r="C94" t="s">
        <v>2137</v>
      </c>
      <c r="D94" t="s">
        <v>11</v>
      </c>
      <c r="E94" t="s">
        <v>13</v>
      </c>
      <c r="F94" t="s">
        <v>1970</v>
      </c>
      <c r="G94" t="s">
        <v>12</v>
      </c>
      <c r="I94" t="s">
        <v>2136</v>
      </c>
      <c r="J94" t="s">
        <v>4283</v>
      </c>
      <c r="K94" s="11">
        <v>32.004793572128143</v>
      </c>
      <c r="L94" s="9">
        <v>0.1946406805054702</v>
      </c>
      <c r="M94" s="11">
        <v>93.781296586649475</v>
      </c>
      <c r="N94" s="10">
        <v>103.15942624531444</v>
      </c>
      <c r="P94" t="s">
        <v>1967</v>
      </c>
      <c r="Q94" t="s">
        <v>5537</v>
      </c>
      <c r="R94" t="s">
        <v>5538</v>
      </c>
      <c r="S94" t="s">
        <v>11</v>
      </c>
      <c r="T94" t="s">
        <v>13</v>
      </c>
      <c r="U94" t="s">
        <v>75</v>
      </c>
      <c r="V94" t="s">
        <v>12</v>
      </c>
      <c r="X94" t="s">
        <v>5537</v>
      </c>
      <c r="Y94" t="s">
        <v>76</v>
      </c>
      <c r="Z94" s="9">
        <v>1</v>
      </c>
    </row>
    <row r="95" spans="1:26">
      <c r="A95" t="s">
        <v>1967</v>
      </c>
      <c r="B95" t="s">
        <v>2138</v>
      </c>
      <c r="C95" t="s">
        <v>2139</v>
      </c>
      <c r="D95" t="s">
        <v>11</v>
      </c>
      <c r="E95" t="s">
        <v>13</v>
      </c>
      <c r="F95" t="s">
        <v>1970</v>
      </c>
      <c r="G95" t="s">
        <v>12</v>
      </c>
      <c r="I95" t="s">
        <v>2138</v>
      </c>
      <c r="J95" t="s">
        <v>4284</v>
      </c>
      <c r="K95" s="11">
        <v>41.86669916614251</v>
      </c>
      <c r="L95" s="9">
        <v>0.19349533480869849</v>
      </c>
      <c r="M95" s="11">
        <v>63.524384729329029</v>
      </c>
      <c r="N95" s="11">
        <v>69.876823202261932</v>
      </c>
      <c r="P95" t="s">
        <v>1967</v>
      </c>
      <c r="Q95" t="s">
        <v>5539</v>
      </c>
      <c r="R95" t="s">
        <v>5540</v>
      </c>
      <c r="S95" t="s">
        <v>11</v>
      </c>
      <c r="T95" t="s">
        <v>13</v>
      </c>
      <c r="U95" t="s">
        <v>75</v>
      </c>
      <c r="V95" t="s">
        <v>12</v>
      </c>
      <c r="X95" t="s">
        <v>5539</v>
      </c>
      <c r="Y95" t="s">
        <v>76</v>
      </c>
      <c r="Z95" s="9">
        <v>1</v>
      </c>
    </row>
    <row r="96" spans="1:26">
      <c r="A96" t="s">
        <v>1967</v>
      </c>
      <c r="B96" t="s">
        <v>2140</v>
      </c>
      <c r="C96" t="s">
        <v>2141</v>
      </c>
      <c r="D96" t="s">
        <v>11</v>
      </c>
      <c r="E96" t="s">
        <v>13</v>
      </c>
      <c r="F96" t="s">
        <v>1970</v>
      </c>
      <c r="G96" t="s">
        <v>12</v>
      </c>
      <c r="I96" t="s">
        <v>2140</v>
      </c>
      <c r="J96" t="s">
        <v>4285</v>
      </c>
      <c r="K96" s="11">
        <v>88.714920473255887</v>
      </c>
      <c r="L96" s="9">
        <v>0.1911382907048616</v>
      </c>
      <c r="M96" s="11">
        <v>68.594918625180611</v>
      </c>
      <c r="N96" s="11">
        <v>75.454410487698681</v>
      </c>
      <c r="P96" t="s">
        <v>1967</v>
      </c>
      <c r="Q96" t="s">
        <v>5541</v>
      </c>
      <c r="R96" t="s">
        <v>5542</v>
      </c>
      <c r="S96" t="s">
        <v>11</v>
      </c>
      <c r="T96" t="s">
        <v>13</v>
      </c>
      <c r="U96" t="s">
        <v>75</v>
      </c>
      <c r="V96" t="s">
        <v>12</v>
      </c>
      <c r="X96" t="s">
        <v>5541</v>
      </c>
      <c r="Y96" t="s">
        <v>76</v>
      </c>
      <c r="Z96" s="9">
        <v>1</v>
      </c>
    </row>
    <row r="97" spans="1:26">
      <c r="A97" t="s">
        <v>1967</v>
      </c>
      <c r="B97" t="s">
        <v>2142</v>
      </c>
      <c r="C97" t="s">
        <v>2143</v>
      </c>
      <c r="D97" t="s">
        <v>11</v>
      </c>
      <c r="E97" t="s">
        <v>13</v>
      </c>
      <c r="F97" t="s">
        <v>1970</v>
      </c>
      <c r="G97" t="s">
        <v>12</v>
      </c>
      <c r="I97" t="s">
        <v>2142</v>
      </c>
      <c r="J97" t="s">
        <v>4286</v>
      </c>
      <c r="K97" s="11">
        <v>54.353663469339971</v>
      </c>
      <c r="L97" s="9">
        <v>0.19540381449165911</v>
      </c>
      <c r="M97" s="11">
        <v>55.705943348674367</v>
      </c>
      <c r="N97" s="11">
        <v>61.276537683541811</v>
      </c>
      <c r="P97" t="s">
        <v>1967</v>
      </c>
      <c r="Q97" t="s">
        <v>5543</v>
      </c>
      <c r="R97" t="s">
        <v>5544</v>
      </c>
      <c r="S97" t="s">
        <v>11</v>
      </c>
      <c r="T97" t="s">
        <v>13</v>
      </c>
      <c r="U97" t="s">
        <v>75</v>
      </c>
      <c r="V97" t="s">
        <v>12</v>
      </c>
      <c r="X97" t="s">
        <v>5543</v>
      </c>
      <c r="Y97" t="s">
        <v>76</v>
      </c>
      <c r="Z97" s="9">
        <v>1</v>
      </c>
    </row>
    <row r="98" spans="1:26">
      <c r="A98" t="s">
        <v>1967</v>
      </c>
      <c r="B98" t="s">
        <v>2144</v>
      </c>
      <c r="C98" t="s">
        <v>2145</v>
      </c>
      <c r="D98" t="s">
        <v>11</v>
      </c>
      <c r="E98" t="s">
        <v>13</v>
      </c>
      <c r="F98" t="s">
        <v>1970</v>
      </c>
      <c r="G98" t="s">
        <v>12</v>
      </c>
      <c r="I98" t="s">
        <v>2144</v>
      </c>
      <c r="J98" t="s">
        <v>4287</v>
      </c>
      <c r="K98" s="11">
        <v>75.973967986491118</v>
      </c>
      <c r="L98" s="9">
        <v>0.18760808693908071</v>
      </c>
      <c r="M98" s="11">
        <v>49.67822061642557</v>
      </c>
      <c r="N98" s="11">
        <v>54.646042678068135</v>
      </c>
      <c r="P98" t="s">
        <v>1967</v>
      </c>
      <c r="Q98" t="s">
        <v>5545</v>
      </c>
      <c r="R98" t="s">
        <v>5546</v>
      </c>
      <c r="S98" t="s">
        <v>11</v>
      </c>
      <c r="T98" t="s">
        <v>13</v>
      </c>
      <c r="U98" t="s">
        <v>75</v>
      </c>
      <c r="V98" t="s">
        <v>12</v>
      </c>
      <c r="X98" t="s">
        <v>5545</v>
      </c>
      <c r="Y98" t="s">
        <v>76</v>
      </c>
      <c r="Z98" s="9">
        <v>1</v>
      </c>
    </row>
    <row r="99" spans="1:26">
      <c r="A99" t="s">
        <v>1967</v>
      </c>
      <c r="B99" t="s">
        <v>2146</v>
      </c>
      <c r="C99" t="s">
        <v>2147</v>
      </c>
      <c r="D99" t="s">
        <v>11</v>
      </c>
      <c r="E99" t="s">
        <v>13</v>
      </c>
      <c r="F99" t="s">
        <v>1970</v>
      </c>
      <c r="G99" t="s">
        <v>12</v>
      </c>
      <c r="I99" t="s">
        <v>2146</v>
      </c>
      <c r="J99" t="s">
        <v>4288</v>
      </c>
      <c r="K99" s="9">
        <v>7.3940982924871843</v>
      </c>
      <c r="L99" s="9">
        <v>0.19299234599871989</v>
      </c>
      <c r="M99" s="11">
        <v>50.944860862446674</v>
      </c>
      <c r="N99" s="11">
        <v>56.039346948691346</v>
      </c>
      <c r="P99" t="s">
        <v>1967</v>
      </c>
      <c r="Q99" t="s">
        <v>5547</v>
      </c>
      <c r="R99" t="s">
        <v>5548</v>
      </c>
      <c r="S99" t="s">
        <v>11</v>
      </c>
      <c r="T99" t="s">
        <v>13</v>
      </c>
      <c r="U99" t="s">
        <v>75</v>
      </c>
      <c r="V99" t="s">
        <v>12</v>
      </c>
      <c r="X99" t="s">
        <v>5547</v>
      </c>
      <c r="Y99" t="s">
        <v>76</v>
      </c>
      <c r="Z99" s="9">
        <v>1</v>
      </c>
    </row>
    <row r="100" spans="1:26">
      <c r="A100" t="s">
        <v>1967</v>
      </c>
      <c r="B100" t="s">
        <v>2148</v>
      </c>
      <c r="C100" t="s">
        <v>2149</v>
      </c>
      <c r="D100" t="s">
        <v>11</v>
      </c>
      <c r="E100" t="s">
        <v>13</v>
      </c>
      <c r="F100" t="s">
        <v>1970</v>
      </c>
      <c r="G100" t="s">
        <v>12</v>
      </c>
      <c r="I100" t="s">
        <v>2148</v>
      </c>
      <c r="J100" t="s">
        <v>4289</v>
      </c>
      <c r="K100" s="11">
        <v>11.98772064469706</v>
      </c>
      <c r="L100" s="9">
        <v>0.19186822487964539</v>
      </c>
      <c r="M100" s="11">
        <v>50.346282580891966</v>
      </c>
      <c r="N100" s="11">
        <v>55.380910838981166</v>
      </c>
      <c r="P100" t="s">
        <v>1967</v>
      </c>
      <c r="Q100" t="s">
        <v>5549</v>
      </c>
      <c r="R100" t="s">
        <v>5550</v>
      </c>
      <c r="S100" t="s">
        <v>11</v>
      </c>
      <c r="T100" t="s">
        <v>13</v>
      </c>
      <c r="U100" t="s">
        <v>75</v>
      </c>
      <c r="V100" t="s">
        <v>12</v>
      </c>
      <c r="X100" t="s">
        <v>5549</v>
      </c>
      <c r="Y100" t="s">
        <v>76</v>
      </c>
      <c r="Z100" s="9">
        <v>1</v>
      </c>
    </row>
    <row r="101" spans="1:26">
      <c r="A101" t="s">
        <v>1967</v>
      </c>
      <c r="B101" t="s">
        <v>2150</v>
      </c>
      <c r="C101" t="s">
        <v>2151</v>
      </c>
      <c r="D101" t="s">
        <v>11</v>
      </c>
      <c r="E101" t="s">
        <v>13</v>
      </c>
      <c r="F101" t="s">
        <v>1970</v>
      </c>
      <c r="G101" t="s">
        <v>12</v>
      </c>
      <c r="I101" t="s">
        <v>2150</v>
      </c>
      <c r="J101" t="s">
        <v>4290</v>
      </c>
      <c r="K101" s="9">
        <v>0.7279049604721185</v>
      </c>
      <c r="L101" s="9">
        <v>0.20221743344826509</v>
      </c>
      <c r="M101" s="11">
        <v>26.130114265819245</v>
      </c>
      <c r="N101" s="11">
        <v>28.743125692401172</v>
      </c>
      <c r="P101" t="s">
        <v>1967</v>
      </c>
      <c r="Q101" t="s">
        <v>5551</v>
      </c>
      <c r="R101" t="s">
        <v>5552</v>
      </c>
      <c r="S101" t="s">
        <v>11</v>
      </c>
      <c r="T101" t="s">
        <v>13</v>
      </c>
      <c r="U101" t="s">
        <v>75</v>
      </c>
      <c r="V101" t="s">
        <v>12</v>
      </c>
      <c r="X101" t="s">
        <v>5551</v>
      </c>
      <c r="Y101" t="s">
        <v>76</v>
      </c>
      <c r="Z101" s="9">
        <v>1</v>
      </c>
    </row>
    <row r="102" spans="1:26">
      <c r="A102" t="s">
        <v>1967</v>
      </c>
      <c r="B102" t="s">
        <v>2152</v>
      </c>
      <c r="C102" t="s">
        <v>2153</v>
      </c>
      <c r="D102" t="s">
        <v>11</v>
      </c>
      <c r="E102" t="s">
        <v>13</v>
      </c>
      <c r="F102" t="s">
        <v>1970</v>
      </c>
      <c r="G102" t="s">
        <v>12</v>
      </c>
      <c r="I102" t="s">
        <v>2152</v>
      </c>
      <c r="J102" t="s">
        <v>4291</v>
      </c>
      <c r="K102" s="9">
        <v>1.7745902834350078</v>
      </c>
      <c r="L102" s="9">
        <v>0.19771847217087271</v>
      </c>
      <c r="M102" s="11">
        <v>37.436843408286506</v>
      </c>
      <c r="N102" s="11">
        <v>41.180527749115157</v>
      </c>
      <c r="P102" t="s">
        <v>1967</v>
      </c>
      <c r="Q102" t="s">
        <v>5553</v>
      </c>
      <c r="R102" t="s">
        <v>5554</v>
      </c>
      <c r="S102" t="s">
        <v>11</v>
      </c>
      <c r="T102" t="s">
        <v>13</v>
      </c>
      <c r="U102" t="s">
        <v>75</v>
      </c>
      <c r="V102" t="s">
        <v>12</v>
      </c>
      <c r="X102" t="s">
        <v>5553</v>
      </c>
      <c r="Y102" t="s">
        <v>76</v>
      </c>
      <c r="Z102" s="9">
        <v>1</v>
      </c>
    </row>
    <row r="103" spans="1:26">
      <c r="A103" t="s">
        <v>1967</v>
      </c>
      <c r="B103" t="s">
        <v>2154</v>
      </c>
      <c r="C103" t="s">
        <v>2155</v>
      </c>
      <c r="D103" t="s">
        <v>11</v>
      </c>
      <c r="E103" t="s">
        <v>13</v>
      </c>
      <c r="F103" t="s">
        <v>1970</v>
      </c>
      <c r="G103" t="s">
        <v>12</v>
      </c>
      <c r="I103" t="s">
        <v>2154</v>
      </c>
      <c r="J103" t="s">
        <v>4292</v>
      </c>
      <c r="K103" s="9">
        <v>2.7325688054038384</v>
      </c>
      <c r="L103" s="9">
        <v>0.18498248520358171</v>
      </c>
      <c r="M103" s="11">
        <v>67.384290335544449</v>
      </c>
      <c r="N103" s="11">
        <v>74.122719369098903</v>
      </c>
      <c r="P103" t="s">
        <v>1967</v>
      </c>
      <c r="Q103" t="s">
        <v>5555</v>
      </c>
      <c r="R103" t="s">
        <v>5556</v>
      </c>
      <c r="S103" t="s">
        <v>11</v>
      </c>
      <c r="T103" t="s">
        <v>13</v>
      </c>
      <c r="U103" t="s">
        <v>75</v>
      </c>
      <c r="V103" t="s">
        <v>12</v>
      </c>
      <c r="X103" t="s">
        <v>5555</v>
      </c>
      <c r="Y103" t="s">
        <v>76</v>
      </c>
      <c r="Z103" s="9">
        <v>1</v>
      </c>
    </row>
    <row r="104" spans="1:26">
      <c r="A104" t="s">
        <v>1967</v>
      </c>
      <c r="B104" t="s">
        <v>2156</v>
      </c>
      <c r="C104" t="s">
        <v>2157</v>
      </c>
      <c r="D104" t="s">
        <v>11</v>
      </c>
      <c r="E104" t="s">
        <v>13</v>
      </c>
      <c r="F104" t="s">
        <v>1970</v>
      </c>
      <c r="G104" t="s">
        <v>12</v>
      </c>
      <c r="I104" t="s">
        <v>2156</v>
      </c>
      <c r="J104" t="s">
        <v>4293</v>
      </c>
      <c r="K104" s="9">
        <v>5.2416229221116888</v>
      </c>
      <c r="L104" s="9">
        <v>0.1910791044911932</v>
      </c>
      <c r="M104" s="11">
        <v>29.345778902583408</v>
      </c>
      <c r="N104" s="11">
        <v>32.280356792841751</v>
      </c>
      <c r="P104" t="s">
        <v>1967</v>
      </c>
      <c r="Q104" t="s">
        <v>5557</v>
      </c>
      <c r="R104" t="s">
        <v>5558</v>
      </c>
      <c r="S104" t="s">
        <v>11</v>
      </c>
      <c r="T104" t="s">
        <v>13</v>
      </c>
      <c r="U104" t="s">
        <v>75</v>
      </c>
      <c r="V104" t="s">
        <v>12</v>
      </c>
      <c r="X104" t="s">
        <v>5557</v>
      </c>
      <c r="Y104" t="s">
        <v>76</v>
      </c>
      <c r="Z104" s="9">
        <v>1</v>
      </c>
    </row>
    <row r="105" spans="1:26">
      <c r="A105" t="s">
        <v>1967</v>
      </c>
      <c r="B105" t="s">
        <v>2158</v>
      </c>
      <c r="C105" t="s">
        <v>2159</v>
      </c>
      <c r="D105" t="s">
        <v>11</v>
      </c>
      <c r="E105" t="s">
        <v>13</v>
      </c>
      <c r="F105" t="s">
        <v>1970</v>
      </c>
      <c r="G105" t="s">
        <v>12</v>
      </c>
      <c r="I105" t="s">
        <v>2158</v>
      </c>
      <c r="J105" t="s">
        <v>4294</v>
      </c>
      <c r="K105" s="9">
        <v>9.8143835197622682</v>
      </c>
      <c r="L105" s="9">
        <v>0.1682966265383129</v>
      </c>
      <c r="M105" s="11">
        <v>29.316153374543919</v>
      </c>
      <c r="N105" s="11">
        <v>32.247768711998312</v>
      </c>
      <c r="P105" t="s">
        <v>1967</v>
      </c>
      <c r="Q105" t="s">
        <v>5559</v>
      </c>
      <c r="R105" t="s">
        <v>5560</v>
      </c>
      <c r="S105" t="s">
        <v>11</v>
      </c>
      <c r="T105" t="s">
        <v>13</v>
      </c>
      <c r="U105" t="s">
        <v>75</v>
      </c>
      <c r="V105" t="s">
        <v>12</v>
      </c>
      <c r="X105" t="s">
        <v>5559</v>
      </c>
      <c r="Y105" t="s">
        <v>76</v>
      </c>
      <c r="Z105" s="9">
        <v>1</v>
      </c>
    </row>
    <row r="106" spans="1:26">
      <c r="A106" t="s">
        <v>1967</v>
      </c>
      <c r="B106" t="s">
        <v>2160</v>
      </c>
      <c r="C106" t="s">
        <v>2161</v>
      </c>
      <c r="D106" t="s">
        <v>11</v>
      </c>
      <c r="E106" t="s">
        <v>13</v>
      </c>
      <c r="F106" t="s">
        <v>1970</v>
      </c>
      <c r="G106" t="s">
        <v>12</v>
      </c>
      <c r="I106" t="s">
        <v>2160</v>
      </c>
      <c r="J106" t="s">
        <v>4295</v>
      </c>
      <c r="K106" s="9">
        <v>2.3145426424650379</v>
      </c>
      <c r="L106" s="9">
        <v>0.17883851394931591</v>
      </c>
      <c r="M106" s="11">
        <v>36.80633153146011</v>
      </c>
      <c r="N106" s="11">
        <v>40.486964684606122</v>
      </c>
      <c r="P106" t="s">
        <v>1967</v>
      </c>
      <c r="Q106" t="s">
        <v>5561</v>
      </c>
      <c r="R106" t="s">
        <v>5562</v>
      </c>
      <c r="S106" t="s">
        <v>11</v>
      </c>
      <c r="T106" t="s">
        <v>13</v>
      </c>
      <c r="U106" t="s">
        <v>75</v>
      </c>
      <c r="V106" t="s">
        <v>12</v>
      </c>
      <c r="X106" t="s">
        <v>5561</v>
      </c>
      <c r="Y106" t="s">
        <v>76</v>
      </c>
      <c r="Z106" s="9">
        <v>1</v>
      </c>
    </row>
    <row r="107" spans="1:26">
      <c r="A107" t="s">
        <v>1967</v>
      </c>
      <c r="B107" t="s">
        <v>2162</v>
      </c>
      <c r="C107" t="s">
        <v>2163</v>
      </c>
      <c r="D107" t="s">
        <v>11</v>
      </c>
      <c r="E107" t="s">
        <v>13</v>
      </c>
      <c r="F107" t="s">
        <v>1970</v>
      </c>
      <c r="G107" t="s">
        <v>12</v>
      </c>
      <c r="I107" t="s">
        <v>2162</v>
      </c>
      <c r="J107" t="s">
        <v>4296</v>
      </c>
      <c r="K107" s="11">
        <v>11.027584771476281</v>
      </c>
      <c r="L107" s="9">
        <v>0.17290808593865539</v>
      </c>
      <c r="M107" s="11">
        <v>20.676128612507409</v>
      </c>
      <c r="N107" s="11">
        <v>22.743741473758153</v>
      </c>
      <c r="P107" t="s">
        <v>1967</v>
      </c>
      <c r="Q107" t="s">
        <v>5563</v>
      </c>
      <c r="R107" t="s">
        <v>5564</v>
      </c>
      <c r="S107" t="s">
        <v>11</v>
      </c>
      <c r="T107" t="s">
        <v>13</v>
      </c>
      <c r="U107" t="s">
        <v>75</v>
      </c>
      <c r="V107" t="s">
        <v>12</v>
      </c>
      <c r="X107" t="s">
        <v>5563</v>
      </c>
      <c r="Y107" t="s">
        <v>76</v>
      </c>
      <c r="Z107" s="9">
        <v>1</v>
      </c>
    </row>
    <row r="108" spans="1:26">
      <c r="A108" t="s">
        <v>1967</v>
      </c>
      <c r="B108" t="s">
        <v>2164</v>
      </c>
      <c r="C108" t="s">
        <v>2165</v>
      </c>
      <c r="D108" t="s">
        <v>11</v>
      </c>
      <c r="E108" t="s">
        <v>13</v>
      </c>
      <c r="F108" t="s">
        <v>1970</v>
      </c>
      <c r="G108" t="s">
        <v>12</v>
      </c>
      <c r="I108" t="s">
        <v>2164</v>
      </c>
      <c r="J108" t="s">
        <v>4297</v>
      </c>
      <c r="K108" s="9">
        <v>8.2001220776860642</v>
      </c>
      <c r="L108" s="9">
        <v>0.1403407542838494</v>
      </c>
      <c r="M108" s="11">
        <v>78.983841831464872</v>
      </c>
      <c r="N108" s="11">
        <v>86.882226014611362</v>
      </c>
      <c r="P108" t="s">
        <v>1967</v>
      </c>
      <c r="Q108" t="s">
        <v>5565</v>
      </c>
      <c r="R108" t="s">
        <v>5566</v>
      </c>
      <c r="S108" t="s">
        <v>11</v>
      </c>
      <c r="T108" t="s">
        <v>13</v>
      </c>
      <c r="U108" t="s">
        <v>75</v>
      </c>
      <c r="V108" t="s">
        <v>12</v>
      </c>
      <c r="X108" t="s">
        <v>5565</v>
      </c>
      <c r="Y108" t="s">
        <v>76</v>
      </c>
      <c r="Z108" s="9">
        <v>1</v>
      </c>
    </row>
    <row r="109" spans="1:26">
      <c r="A109" t="s">
        <v>1967</v>
      </c>
      <c r="B109" t="s">
        <v>2166</v>
      </c>
      <c r="C109" t="s">
        <v>2167</v>
      </c>
      <c r="D109" t="s">
        <v>11</v>
      </c>
      <c r="E109" t="s">
        <v>13</v>
      </c>
      <c r="F109" t="s">
        <v>1970</v>
      </c>
      <c r="G109" t="s">
        <v>12</v>
      </c>
      <c r="I109" t="s">
        <v>2166</v>
      </c>
      <c r="J109" t="s">
        <v>4298</v>
      </c>
      <c r="K109" s="9">
        <v>5.0822712652977629</v>
      </c>
      <c r="L109" s="9">
        <v>0.13904888210737579</v>
      </c>
      <c r="M109" s="11">
        <v>59.576264058641527</v>
      </c>
      <c r="N109" s="11">
        <v>65.533890464505689</v>
      </c>
      <c r="P109" t="s">
        <v>1967</v>
      </c>
      <c r="Q109" t="s">
        <v>5567</v>
      </c>
      <c r="R109" t="s">
        <v>5568</v>
      </c>
      <c r="S109" t="s">
        <v>11</v>
      </c>
      <c r="T109" t="s">
        <v>13</v>
      </c>
      <c r="U109" t="s">
        <v>75</v>
      </c>
      <c r="V109" t="s">
        <v>12</v>
      </c>
      <c r="X109" t="s">
        <v>5567</v>
      </c>
      <c r="Y109" t="s">
        <v>76</v>
      </c>
      <c r="Z109" s="9">
        <v>1</v>
      </c>
    </row>
    <row r="110" spans="1:26">
      <c r="A110" t="s">
        <v>1967</v>
      </c>
      <c r="B110" t="s">
        <v>2168</v>
      </c>
      <c r="C110" t="s">
        <v>2169</v>
      </c>
      <c r="D110" t="s">
        <v>11</v>
      </c>
      <c r="E110" t="s">
        <v>13</v>
      </c>
      <c r="F110" t="s">
        <v>1970</v>
      </c>
      <c r="G110" t="s">
        <v>12</v>
      </c>
      <c r="I110" t="s">
        <v>2168</v>
      </c>
      <c r="J110" t="s">
        <v>4299</v>
      </c>
      <c r="K110" s="9">
        <v>4.0917869458114096</v>
      </c>
      <c r="L110" s="9">
        <v>0.13793762847744079</v>
      </c>
      <c r="M110" s="10">
        <v>141.99070730225162</v>
      </c>
      <c r="N110" s="10">
        <v>156.1897780324768</v>
      </c>
      <c r="P110" t="s">
        <v>1967</v>
      </c>
      <c r="Q110" t="s">
        <v>5569</v>
      </c>
      <c r="R110" t="s">
        <v>5570</v>
      </c>
      <c r="S110" t="s">
        <v>11</v>
      </c>
      <c r="T110" t="s">
        <v>13</v>
      </c>
      <c r="U110" t="s">
        <v>75</v>
      </c>
      <c r="V110" t="s">
        <v>12</v>
      </c>
      <c r="X110" t="s">
        <v>5569</v>
      </c>
      <c r="Y110" t="s">
        <v>76</v>
      </c>
      <c r="Z110" s="9">
        <v>1</v>
      </c>
    </row>
    <row r="111" spans="1:26">
      <c r="A111" t="s">
        <v>1967</v>
      </c>
      <c r="B111" t="s">
        <v>2170</v>
      </c>
      <c r="C111" t="s">
        <v>2171</v>
      </c>
      <c r="D111" t="s">
        <v>11</v>
      </c>
      <c r="E111" t="s">
        <v>13</v>
      </c>
      <c r="F111" t="s">
        <v>1970</v>
      </c>
      <c r="G111" t="s">
        <v>12</v>
      </c>
      <c r="I111" t="s">
        <v>2170</v>
      </c>
      <c r="J111" t="s">
        <v>4300</v>
      </c>
      <c r="K111" s="9">
        <v>9.6756640170018464</v>
      </c>
      <c r="L111" s="9">
        <v>0.1388559355455721</v>
      </c>
      <c r="M111" s="11">
        <v>79.581597641790324</v>
      </c>
      <c r="N111" s="11">
        <v>87.539757405969368</v>
      </c>
      <c r="P111" t="s">
        <v>1967</v>
      </c>
      <c r="Q111" t="s">
        <v>5571</v>
      </c>
      <c r="R111" t="s">
        <v>5572</v>
      </c>
      <c r="S111" t="s">
        <v>11</v>
      </c>
      <c r="T111" t="s">
        <v>13</v>
      </c>
      <c r="U111" t="s">
        <v>75</v>
      </c>
      <c r="V111" t="s">
        <v>12</v>
      </c>
      <c r="X111" t="s">
        <v>5571</v>
      </c>
      <c r="Y111" t="s">
        <v>76</v>
      </c>
      <c r="Z111" s="9">
        <v>1</v>
      </c>
    </row>
    <row r="112" spans="1:26">
      <c r="A112" t="s">
        <v>1967</v>
      </c>
      <c r="B112" t="s">
        <v>2172</v>
      </c>
      <c r="C112" t="s">
        <v>2173</v>
      </c>
      <c r="D112" t="s">
        <v>11</v>
      </c>
      <c r="E112" t="s">
        <v>13</v>
      </c>
      <c r="F112" t="s">
        <v>1970</v>
      </c>
      <c r="G112" t="s">
        <v>12</v>
      </c>
      <c r="I112" t="s">
        <v>2172</v>
      </c>
      <c r="J112" t="s">
        <v>4301</v>
      </c>
      <c r="K112" s="11">
        <v>19.514215024114847</v>
      </c>
      <c r="L112" s="9">
        <v>0.14134145092805309</v>
      </c>
      <c r="M112" s="11">
        <v>92.603060902414242</v>
      </c>
      <c r="N112" s="10">
        <v>101.86336699265567</v>
      </c>
      <c r="P112" t="s">
        <v>1967</v>
      </c>
      <c r="Q112" t="s">
        <v>5573</v>
      </c>
      <c r="R112" t="s">
        <v>5574</v>
      </c>
      <c r="S112" t="s">
        <v>11</v>
      </c>
      <c r="T112" t="s">
        <v>13</v>
      </c>
      <c r="U112" t="s">
        <v>75</v>
      </c>
      <c r="V112" t="s">
        <v>12</v>
      </c>
      <c r="X112" t="s">
        <v>5573</v>
      </c>
      <c r="Y112" t="s">
        <v>76</v>
      </c>
      <c r="Z112" s="9">
        <v>1</v>
      </c>
    </row>
    <row r="113" spans="1:26">
      <c r="A113" t="s">
        <v>1967</v>
      </c>
      <c r="B113" t="s">
        <v>2174</v>
      </c>
      <c r="C113" t="s">
        <v>2175</v>
      </c>
      <c r="D113" t="s">
        <v>11</v>
      </c>
      <c r="E113" t="s">
        <v>13</v>
      </c>
      <c r="F113" t="s">
        <v>1970</v>
      </c>
      <c r="G113" t="s">
        <v>12</v>
      </c>
      <c r="I113" t="s">
        <v>2174</v>
      </c>
      <c r="J113" t="s">
        <v>4302</v>
      </c>
      <c r="K113" s="11">
        <v>17.124230754893759</v>
      </c>
      <c r="L113" s="9">
        <v>0.1426770946001468</v>
      </c>
      <c r="M113" s="11">
        <v>59.766472669282166</v>
      </c>
      <c r="N113" s="11">
        <v>65.743119936210391</v>
      </c>
      <c r="P113" t="s">
        <v>1967</v>
      </c>
      <c r="Q113" t="s">
        <v>5575</v>
      </c>
      <c r="R113" t="s">
        <v>5576</v>
      </c>
      <c r="S113" t="s">
        <v>11</v>
      </c>
      <c r="T113" t="s">
        <v>13</v>
      </c>
      <c r="U113" t="s">
        <v>75</v>
      </c>
      <c r="V113" t="s">
        <v>12</v>
      </c>
      <c r="X113" t="s">
        <v>5575</v>
      </c>
      <c r="Y113" t="s">
        <v>76</v>
      </c>
      <c r="Z113" s="9">
        <v>1</v>
      </c>
    </row>
    <row r="114" spans="1:26">
      <c r="A114" t="s">
        <v>1967</v>
      </c>
      <c r="B114" t="s">
        <v>2176</v>
      </c>
      <c r="C114" t="s">
        <v>2177</v>
      </c>
      <c r="D114" t="s">
        <v>11</v>
      </c>
      <c r="E114" t="s">
        <v>13</v>
      </c>
      <c r="F114" t="s">
        <v>1970</v>
      </c>
      <c r="G114" t="s">
        <v>12</v>
      </c>
      <c r="I114" t="s">
        <v>2176</v>
      </c>
      <c r="J114" t="s">
        <v>4303</v>
      </c>
      <c r="K114" s="11">
        <v>25.415494257434272</v>
      </c>
      <c r="L114" s="9">
        <v>0.18756460341215159</v>
      </c>
      <c r="M114" s="10">
        <v>498.95567411953988</v>
      </c>
      <c r="N114" s="10">
        <v>548.85124153149388</v>
      </c>
      <c r="P114" t="s">
        <v>1967</v>
      </c>
      <c r="Q114" t="s">
        <v>5577</v>
      </c>
      <c r="R114" t="s">
        <v>5578</v>
      </c>
      <c r="S114" t="s">
        <v>11</v>
      </c>
      <c r="T114" t="s">
        <v>13</v>
      </c>
      <c r="U114" t="s">
        <v>75</v>
      </c>
      <c r="V114" t="s">
        <v>12</v>
      </c>
      <c r="X114" t="s">
        <v>5577</v>
      </c>
      <c r="Y114" t="s">
        <v>76</v>
      </c>
      <c r="Z114" s="9">
        <v>1</v>
      </c>
    </row>
    <row r="115" spans="1:26">
      <c r="A115" t="s">
        <v>1967</v>
      </c>
      <c r="B115" t="s">
        <v>2178</v>
      </c>
      <c r="C115" t="s">
        <v>2179</v>
      </c>
      <c r="D115" t="s">
        <v>11</v>
      </c>
      <c r="E115" t="s">
        <v>13</v>
      </c>
      <c r="F115" t="s">
        <v>1970</v>
      </c>
      <c r="G115" t="s">
        <v>12</v>
      </c>
      <c r="I115" t="s">
        <v>2178</v>
      </c>
      <c r="J115" t="s">
        <v>4304</v>
      </c>
      <c r="K115" s="11">
        <v>11.155749999999999</v>
      </c>
      <c r="L115" s="9">
        <v>0.18333500217768239</v>
      </c>
      <c r="M115" s="10">
        <v>677.36276269506368</v>
      </c>
      <c r="N115" s="10">
        <v>745.09903896457013</v>
      </c>
      <c r="P115" t="s">
        <v>1967</v>
      </c>
      <c r="Q115" t="s">
        <v>5579</v>
      </c>
      <c r="R115" t="s">
        <v>5580</v>
      </c>
      <c r="S115" t="s">
        <v>11</v>
      </c>
      <c r="T115" t="s">
        <v>13</v>
      </c>
      <c r="U115" t="s">
        <v>75</v>
      </c>
      <c r="V115" t="s">
        <v>12</v>
      </c>
      <c r="X115" t="s">
        <v>5579</v>
      </c>
      <c r="Y115" t="s">
        <v>76</v>
      </c>
      <c r="Z115" s="9">
        <v>1</v>
      </c>
    </row>
    <row r="116" spans="1:26">
      <c r="A116" t="s">
        <v>1967</v>
      </c>
      <c r="B116" t="s">
        <v>2180</v>
      </c>
      <c r="C116" t="s">
        <v>2177</v>
      </c>
      <c r="D116" t="s">
        <v>11</v>
      </c>
      <c r="E116" t="s">
        <v>13</v>
      </c>
      <c r="F116" t="s">
        <v>1970</v>
      </c>
      <c r="G116" t="s">
        <v>12</v>
      </c>
      <c r="I116" t="s">
        <v>2180</v>
      </c>
      <c r="J116" t="s">
        <v>4305</v>
      </c>
      <c r="K116" s="11">
        <v>17.746944923298077</v>
      </c>
      <c r="L116" s="9">
        <v>0.18578636600986001</v>
      </c>
      <c r="M116" s="10">
        <v>273.72775411544291</v>
      </c>
      <c r="N116" s="10">
        <v>301.1005295269872</v>
      </c>
      <c r="P116" t="s">
        <v>1967</v>
      </c>
      <c r="Q116" t="s">
        <v>5581</v>
      </c>
      <c r="R116" t="s">
        <v>5582</v>
      </c>
      <c r="S116" t="s">
        <v>11</v>
      </c>
      <c r="T116" t="s">
        <v>13</v>
      </c>
      <c r="U116" t="s">
        <v>75</v>
      </c>
      <c r="V116" t="s">
        <v>12</v>
      </c>
      <c r="X116" t="s">
        <v>5581</v>
      </c>
      <c r="Y116" t="s">
        <v>76</v>
      </c>
      <c r="Z116" s="9">
        <v>1</v>
      </c>
    </row>
    <row r="117" spans="1:26">
      <c r="A117" t="s">
        <v>1967</v>
      </c>
      <c r="B117" t="s">
        <v>2181</v>
      </c>
      <c r="C117" t="s">
        <v>2182</v>
      </c>
      <c r="D117" t="s">
        <v>11</v>
      </c>
      <c r="E117" t="s">
        <v>13</v>
      </c>
      <c r="F117" t="s">
        <v>1970</v>
      </c>
      <c r="G117" t="s">
        <v>12</v>
      </c>
      <c r="I117" t="s">
        <v>2181</v>
      </c>
      <c r="J117" t="s">
        <v>4306</v>
      </c>
      <c r="K117" s="11">
        <v>14.52968253014868</v>
      </c>
      <c r="L117" s="9">
        <v>0.18589478677424179</v>
      </c>
      <c r="M117" s="10">
        <v>352.06521371846816</v>
      </c>
      <c r="N117" s="10">
        <v>387.27173509031502</v>
      </c>
      <c r="P117" t="s">
        <v>1967</v>
      </c>
      <c r="Q117" t="s">
        <v>5583</v>
      </c>
      <c r="R117" t="s">
        <v>5584</v>
      </c>
      <c r="S117" t="s">
        <v>11</v>
      </c>
      <c r="T117" t="s">
        <v>13</v>
      </c>
      <c r="U117" t="s">
        <v>75</v>
      </c>
      <c r="V117" t="s">
        <v>12</v>
      </c>
      <c r="X117" t="s">
        <v>5583</v>
      </c>
      <c r="Y117" t="s">
        <v>76</v>
      </c>
      <c r="Z117" s="9">
        <v>1</v>
      </c>
    </row>
    <row r="118" spans="1:26">
      <c r="A118" t="s">
        <v>1967</v>
      </c>
      <c r="B118" t="s">
        <v>2183</v>
      </c>
      <c r="C118" t="s">
        <v>2184</v>
      </c>
      <c r="D118" t="s">
        <v>11</v>
      </c>
      <c r="E118" t="s">
        <v>13</v>
      </c>
      <c r="F118" t="s">
        <v>1970</v>
      </c>
      <c r="G118" t="s">
        <v>12</v>
      </c>
      <c r="I118" t="s">
        <v>2183</v>
      </c>
      <c r="J118" t="s">
        <v>4307</v>
      </c>
      <c r="K118" s="11">
        <v>18.507022198926936</v>
      </c>
      <c r="L118" s="9">
        <v>0.18791746287390759</v>
      </c>
      <c r="M118" s="10">
        <v>503.5067731771228</v>
      </c>
      <c r="N118" s="10">
        <v>553.85745049483512</v>
      </c>
      <c r="P118" t="s">
        <v>1967</v>
      </c>
      <c r="Q118" t="s">
        <v>5585</v>
      </c>
      <c r="R118" t="s">
        <v>5586</v>
      </c>
      <c r="S118" t="s">
        <v>11</v>
      </c>
      <c r="T118" t="s">
        <v>13</v>
      </c>
      <c r="U118" t="s">
        <v>75</v>
      </c>
      <c r="V118" t="s">
        <v>12</v>
      </c>
      <c r="X118" t="s">
        <v>5585</v>
      </c>
      <c r="Y118" t="s">
        <v>76</v>
      </c>
      <c r="Z118" s="9">
        <v>1</v>
      </c>
    </row>
    <row r="119" spans="1:26">
      <c r="A119" t="s">
        <v>1967</v>
      </c>
      <c r="B119" t="s">
        <v>2185</v>
      </c>
      <c r="C119" t="s">
        <v>2186</v>
      </c>
      <c r="D119" t="s">
        <v>11</v>
      </c>
      <c r="E119" t="s">
        <v>13</v>
      </c>
      <c r="F119" t="s">
        <v>1970</v>
      </c>
      <c r="G119" t="s">
        <v>12</v>
      </c>
      <c r="I119" t="s">
        <v>2185</v>
      </c>
      <c r="J119" t="s">
        <v>4308</v>
      </c>
      <c r="K119" s="9">
        <v>4.3734293364405206</v>
      </c>
      <c r="L119" s="9">
        <v>0.1927104063942621</v>
      </c>
      <c r="M119" s="10">
        <v>186.83303015488531</v>
      </c>
      <c r="N119" s="10">
        <v>205.51633317037385</v>
      </c>
      <c r="P119" t="s">
        <v>1967</v>
      </c>
      <c r="Q119" t="s">
        <v>5587</v>
      </c>
      <c r="R119" t="s">
        <v>5588</v>
      </c>
      <c r="S119" t="s">
        <v>11</v>
      </c>
      <c r="T119" t="s">
        <v>13</v>
      </c>
      <c r="U119" t="s">
        <v>75</v>
      </c>
      <c r="V119" t="s">
        <v>12</v>
      </c>
      <c r="X119" t="s">
        <v>5587</v>
      </c>
      <c r="Y119" t="s">
        <v>76</v>
      </c>
      <c r="Z119" s="9">
        <v>1</v>
      </c>
    </row>
    <row r="120" spans="1:26">
      <c r="A120" t="s">
        <v>1967</v>
      </c>
      <c r="B120" t="s">
        <v>2187</v>
      </c>
      <c r="C120" t="s">
        <v>2186</v>
      </c>
      <c r="D120" t="s">
        <v>11</v>
      </c>
      <c r="E120" t="s">
        <v>13</v>
      </c>
      <c r="F120" t="s">
        <v>1970</v>
      </c>
      <c r="G120" t="s">
        <v>12</v>
      </c>
      <c r="I120" t="s">
        <v>2187</v>
      </c>
      <c r="J120" t="s">
        <v>4309</v>
      </c>
      <c r="K120" s="11">
        <v>22.103135261205601</v>
      </c>
      <c r="L120" s="9">
        <v>0.20002154728938179</v>
      </c>
      <c r="M120" s="10">
        <v>502.98088980185008</v>
      </c>
      <c r="N120" s="10">
        <v>553.2789787820351</v>
      </c>
      <c r="P120" t="s">
        <v>1967</v>
      </c>
      <c r="Q120" t="s">
        <v>5589</v>
      </c>
      <c r="R120" t="s">
        <v>5590</v>
      </c>
      <c r="S120" t="s">
        <v>11</v>
      </c>
      <c r="T120" t="s">
        <v>13</v>
      </c>
      <c r="U120" t="s">
        <v>75</v>
      </c>
      <c r="V120" t="s">
        <v>12</v>
      </c>
      <c r="X120" t="s">
        <v>5589</v>
      </c>
      <c r="Y120" t="s">
        <v>76</v>
      </c>
      <c r="Z120" s="9">
        <v>1</v>
      </c>
    </row>
    <row r="121" spans="1:26">
      <c r="A121" t="s">
        <v>1967</v>
      </c>
      <c r="B121" t="s">
        <v>2188</v>
      </c>
      <c r="C121" t="s">
        <v>2189</v>
      </c>
      <c r="D121" t="s">
        <v>11</v>
      </c>
      <c r="E121" t="s">
        <v>13</v>
      </c>
      <c r="F121" t="s">
        <v>1970</v>
      </c>
      <c r="G121" t="s">
        <v>12</v>
      </c>
      <c r="I121" t="s">
        <v>2188</v>
      </c>
      <c r="J121" t="s">
        <v>4310</v>
      </c>
      <c r="K121" s="11">
        <v>15.702386395853857</v>
      </c>
      <c r="L121" s="9">
        <v>0.2012761576769625</v>
      </c>
      <c r="M121" s="10">
        <v>438.60532376942479</v>
      </c>
      <c r="N121" s="10">
        <v>482.46585614636729</v>
      </c>
      <c r="P121" t="s">
        <v>1967</v>
      </c>
      <c r="Q121" t="s">
        <v>5591</v>
      </c>
      <c r="R121" t="s">
        <v>5592</v>
      </c>
      <c r="S121" t="s">
        <v>11</v>
      </c>
      <c r="T121" t="s">
        <v>13</v>
      </c>
      <c r="U121" t="s">
        <v>75</v>
      </c>
      <c r="V121" t="s">
        <v>12</v>
      </c>
      <c r="X121" t="s">
        <v>5591</v>
      </c>
      <c r="Y121" t="s">
        <v>76</v>
      </c>
      <c r="Z121" s="9">
        <v>1</v>
      </c>
    </row>
    <row r="122" spans="1:26">
      <c r="A122" t="s">
        <v>1967</v>
      </c>
      <c r="B122" t="s">
        <v>2190</v>
      </c>
      <c r="C122" t="s">
        <v>2191</v>
      </c>
      <c r="D122" t="s">
        <v>11</v>
      </c>
      <c r="E122" t="s">
        <v>13</v>
      </c>
      <c r="F122" t="s">
        <v>1970</v>
      </c>
      <c r="G122" t="s">
        <v>12</v>
      </c>
      <c r="I122" t="s">
        <v>2190</v>
      </c>
      <c r="J122" t="s">
        <v>4311</v>
      </c>
      <c r="K122" s="11">
        <v>19.41822935941768</v>
      </c>
      <c r="L122" s="9">
        <v>0.1885313706060554</v>
      </c>
      <c r="M122" s="10">
        <v>231.63148655908213</v>
      </c>
      <c r="N122" s="10">
        <v>254.79463521499036</v>
      </c>
      <c r="P122" t="s">
        <v>1967</v>
      </c>
      <c r="Q122" t="s">
        <v>5593</v>
      </c>
      <c r="R122" t="s">
        <v>5594</v>
      </c>
      <c r="S122" t="s">
        <v>11</v>
      </c>
      <c r="T122" t="s">
        <v>13</v>
      </c>
      <c r="U122" t="s">
        <v>75</v>
      </c>
      <c r="V122" t="s">
        <v>12</v>
      </c>
      <c r="X122" t="s">
        <v>5593</v>
      </c>
      <c r="Y122" t="s">
        <v>76</v>
      </c>
      <c r="Z122" s="9">
        <v>1</v>
      </c>
    </row>
    <row r="123" spans="1:26">
      <c r="A123" t="s">
        <v>1967</v>
      </c>
      <c r="B123" t="s">
        <v>2192</v>
      </c>
      <c r="C123" t="s">
        <v>2193</v>
      </c>
      <c r="D123" t="s">
        <v>11</v>
      </c>
      <c r="E123" t="s">
        <v>13</v>
      </c>
      <c r="F123" t="s">
        <v>1970</v>
      </c>
      <c r="G123" t="s">
        <v>12</v>
      </c>
      <c r="I123" t="s">
        <v>2192</v>
      </c>
      <c r="J123" t="s">
        <v>4312</v>
      </c>
      <c r="K123" s="9">
        <v>1.0807676805122486</v>
      </c>
      <c r="L123" s="9">
        <v>0.20964159705456539</v>
      </c>
      <c r="M123" s="11">
        <v>95.669771118841524</v>
      </c>
      <c r="N123" s="10">
        <v>105.23674823072568</v>
      </c>
      <c r="P123" t="s">
        <v>1967</v>
      </c>
      <c r="Q123" t="s">
        <v>5595</v>
      </c>
      <c r="R123" t="s">
        <v>5596</v>
      </c>
      <c r="S123" t="s">
        <v>11</v>
      </c>
      <c r="T123" t="s">
        <v>13</v>
      </c>
      <c r="U123" t="s">
        <v>75</v>
      </c>
      <c r="V123" t="s">
        <v>12</v>
      </c>
      <c r="X123" t="s">
        <v>5595</v>
      </c>
      <c r="Y123" t="s">
        <v>76</v>
      </c>
      <c r="Z123" s="9">
        <v>1</v>
      </c>
    </row>
    <row r="124" spans="1:26">
      <c r="A124" t="s">
        <v>1967</v>
      </c>
      <c r="B124" t="s">
        <v>2194</v>
      </c>
      <c r="C124" t="s">
        <v>2195</v>
      </c>
      <c r="D124" t="s">
        <v>11</v>
      </c>
      <c r="E124" t="s">
        <v>13</v>
      </c>
      <c r="F124" t="s">
        <v>1970</v>
      </c>
      <c r="G124" t="s">
        <v>12</v>
      </c>
      <c r="I124" t="s">
        <v>2194</v>
      </c>
      <c r="J124" t="s">
        <v>4313</v>
      </c>
      <c r="K124" s="11">
        <v>19.060847165189941</v>
      </c>
      <c r="L124" s="9">
        <v>0.1921069693208943</v>
      </c>
      <c r="M124" s="11">
        <v>43.272313592777692</v>
      </c>
      <c r="N124" s="11">
        <v>47.599544952055467</v>
      </c>
      <c r="P124" t="s">
        <v>1967</v>
      </c>
      <c r="Q124" t="s">
        <v>5597</v>
      </c>
      <c r="R124" t="s">
        <v>5598</v>
      </c>
      <c r="S124" t="s">
        <v>11</v>
      </c>
      <c r="T124" t="s">
        <v>13</v>
      </c>
      <c r="U124" t="s">
        <v>75</v>
      </c>
      <c r="V124" t="s">
        <v>12</v>
      </c>
      <c r="X124" t="s">
        <v>5597</v>
      </c>
      <c r="Y124" t="s">
        <v>76</v>
      </c>
      <c r="Z124" s="9">
        <v>1</v>
      </c>
    </row>
    <row r="125" spans="1:26">
      <c r="A125" t="s">
        <v>1967</v>
      </c>
      <c r="B125" t="s">
        <v>2196</v>
      </c>
      <c r="C125" t="s">
        <v>2197</v>
      </c>
      <c r="D125" t="s">
        <v>11</v>
      </c>
      <c r="E125" t="s">
        <v>13</v>
      </c>
      <c r="F125" t="s">
        <v>1970</v>
      </c>
      <c r="G125" t="s">
        <v>12</v>
      </c>
      <c r="I125" t="s">
        <v>2196</v>
      </c>
      <c r="J125" t="s">
        <v>4314</v>
      </c>
      <c r="K125" s="11">
        <v>57.337468411838685</v>
      </c>
      <c r="L125" s="9">
        <v>0.1990712962679424</v>
      </c>
      <c r="M125" s="11">
        <v>65.91941083409084</v>
      </c>
      <c r="N125" s="11">
        <v>72.511351917499937</v>
      </c>
      <c r="P125" t="s">
        <v>1967</v>
      </c>
      <c r="Q125" t="s">
        <v>5599</v>
      </c>
      <c r="R125" t="s">
        <v>5600</v>
      </c>
      <c r="S125" t="s">
        <v>11</v>
      </c>
      <c r="T125" t="s">
        <v>13</v>
      </c>
      <c r="U125" t="s">
        <v>75</v>
      </c>
      <c r="V125" t="s">
        <v>12</v>
      </c>
      <c r="X125" t="s">
        <v>5599</v>
      </c>
      <c r="Y125" t="s">
        <v>76</v>
      </c>
      <c r="Z125" s="9">
        <v>1</v>
      </c>
    </row>
    <row r="126" spans="1:26">
      <c r="A126" t="s">
        <v>1967</v>
      </c>
      <c r="B126" t="s">
        <v>2198</v>
      </c>
      <c r="C126" t="s">
        <v>2199</v>
      </c>
      <c r="D126" t="s">
        <v>11</v>
      </c>
      <c r="E126" t="s">
        <v>13</v>
      </c>
      <c r="F126" t="s">
        <v>1970</v>
      </c>
      <c r="G126" t="s">
        <v>12</v>
      </c>
      <c r="I126" t="s">
        <v>2198</v>
      </c>
      <c r="J126" t="s">
        <v>4315</v>
      </c>
      <c r="K126" s="11">
        <v>16.878159145176152</v>
      </c>
      <c r="L126" s="9">
        <v>0.1817609047542327</v>
      </c>
      <c r="M126" s="11">
        <v>43.407343708594325</v>
      </c>
      <c r="N126" s="11">
        <v>47.748078079453762</v>
      </c>
      <c r="P126" t="s">
        <v>1967</v>
      </c>
      <c r="Q126" t="s">
        <v>5601</v>
      </c>
      <c r="R126" t="s">
        <v>5602</v>
      </c>
      <c r="S126" t="s">
        <v>11</v>
      </c>
      <c r="T126" t="s">
        <v>13</v>
      </c>
      <c r="U126" t="s">
        <v>75</v>
      </c>
      <c r="V126" t="s">
        <v>12</v>
      </c>
      <c r="X126" t="s">
        <v>5601</v>
      </c>
      <c r="Y126" t="s">
        <v>76</v>
      </c>
      <c r="Z126" s="9">
        <v>1</v>
      </c>
    </row>
    <row r="127" spans="1:26">
      <c r="A127" t="s">
        <v>1967</v>
      </c>
      <c r="B127" t="s">
        <v>2200</v>
      </c>
      <c r="C127" t="s">
        <v>2201</v>
      </c>
      <c r="D127" t="s">
        <v>11</v>
      </c>
      <c r="E127" t="s">
        <v>13</v>
      </c>
      <c r="F127" t="s">
        <v>1970</v>
      </c>
      <c r="G127" t="s">
        <v>12</v>
      </c>
      <c r="I127" t="s">
        <v>2200</v>
      </c>
      <c r="J127" t="s">
        <v>4316</v>
      </c>
      <c r="K127" s="11">
        <v>10.03444359587434</v>
      </c>
      <c r="L127" s="9">
        <v>0.18899205730108651</v>
      </c>
      <c r="M127" s="11">
        <v>25.640540079400218</v>
      </c>
      <c r="N127" s="11">
        <v>28.20459408734024</v>
      </c>
      <c r="P127" t="s">
        <v>1967</v>
      </c>
      <c r="Q127" t="s">
        <v>5603</v>
      </c>
      <c r="R127" t="s">
        <v>5604</v>
      </c>
      <c r="S127" t="s">
        <v>11</v>
      </c>
      <c r="T127" t="s">
        <v>13</v>
      </c>
      <c r="U127" t="s">
        <v>75</v>
      </c>
      <c r="V127" t="s">
        <v>12</v>
      </c>
      <c r="X127" t="s">
        <v>5603</v>
      </c>
      <c r="Y127" t="s">
        <v>76</v>
      </c>
      <c r="Z127" s="9">
        <v>1</v>
      </c>
    </row>
    <row r="128" spans="1:26">
      <c r="A128" t="s">
        <v>1967</v>
      </c>
      <c r="B128" t="s">
        <v>2202</v>
      </c>
      <c r="C128" t="s">
        <v>2203</v>
      </c>
      <c r="D128" t="s">
        <v>11</v>
      </c>
      <c r="E128" t="s">
        <v>13</v>
      </c>
      <c r="F128" t="s">
        <v>1970</v>
      </c>
      <c r="G128" t="s">
        <v>12</v>
      </c>
      <c r="I128" t="s">
        <v>2202</v>
      </c>
      <c r="J128" t="s">
        <v>4317</v>
      </c>
      <c r="K128" s="11">
        <v>94.291780502712655</v>
      </c>
      <c r="L128" s="9">
        <v>0.19870449760274669</v>
      </c>
      <c r="M128" s="10">
        <v>126.15780120095444</v>
      </c>
      <c r="N128" s="10">
        <v>138.7735813210499</v>
      </c>
      <c r="P128" t="s">
        <v>1967</v>
      </c>
      <c r="Q128" t="s">
        <v>5605</v>
      </c>
      <c r="R128" t="s">
        <v>5606</v>
      </c>
      <c r="S128" t="s">
        <v>11</v>
      </c>
      <c r="T128" t="s">
        <v>13</v>
      </c>
      <c r="U128" t="s">
        <v>75</v>
      </c>
      <c r="V128" t="s">
        <v>12</v>
      </c>
      <c r="X128" t="s">
        <v>5605</v>
      </c>
      <c r="Y128" t="s">
        <v>76</v>
      </c>
      <c r="Z128" s="9">
        <v>1</v>
      </c>
    </row>
    <row r="129" spans="1:26">
      <c r="A129" t="s">
        <v>1967</v>
      </c>
      <c r="B129" t="s">
        <v>2204</v>
      </c>
      <c r="C129" t="s">
        <v>2205</v>
      </c>
      <c r="D129" t="s">
        <v>11</v>
      </c>
      <c r="E129" t="s">
        <v>13</v>
      </c>
      <c r="F129" t="s">
        <v>1970</v>
      </c>
      <c r="G129" t="s">
        <v>12</v>
      </c>
      <c r="I129" t="s">
        <v>2204</v>
      </c>
      <c r="J129" t="s">
        <v>4318</v>
      </c>
      <c r="K129" s="11">
        <v>73.742617394667192</v>
      </c>
      <c r="L129" s="9">
        <v>0.20463808327246141</v>
      </c>
      <c r="M129" s="10">
        <v>138.36581764503958</v>
      </c>
      <c r="N129" s="10">
        <v>152.20239940954355</v>
      </c>
      <c r="P129" t="s">
        <v>1967</v>
      </c>
      <c r="Q129" t="s">
        <v>5607</v>
      </c>
      <c r="R129" t="s">
        <v>5608</v>
      </c>
      <c r="S129" t="s">
        <v>11</v>
      </c>
      <c r="T129" t="s">
        <v>13</v>
      </c>
      <c r="U129" t="s">
        <v>75</v>
      </c>
      <c r="V129" t="s">
        <v>12</v>
      </c>
      <c r="X129" t="s">
        <v>5607</v>
      </c>
      <c r="Y129" t="s">
        <v>76</v>
      </c>
      <c r="Z129" s="9">
        <v>1</v>
      </c>
    </row>
    <row r="130" spans="1:26">
      <c r="A130" t="s">
        <v>1967</v>
      </c>
      <c r="B130" t="s">
        <v>2206</v>
      </c>
      <c r="C130" t="s">
        <v>2207</v>
      </c>
      <c r="D130" t="s">
        <v>11</v>
      </c>
      <c r="E130" t="s">
        <v>13</v>
      </c>
      <c r="F130" t="s">
        <v>1970</v>
      </c>
      <c r="G130" t="s">
        <v>12</v>
      </c>
      <c r="I130" t="s">
        <v>2206</v>
      </c>
      <c r="J130" t="s">
        <v>4319</v>
      </c>
      <c r="K130" s="11">
        <v>61.683798898036414</v>
      </c>
      <c r="L130" s="9">
        <v>0.20573843706775749</v>
      </c>
      <c r="M130" s="11">
        <v>57.842404758495412</v>
      </c>
      <c r="N130" s="11">
        <v>63.626645234344956</v>
      </c>
      <c r="P130" t="s">
        <v>1967</v>
      </c>
      <c r="Q130" t="s">
        <v>5609</v>
      </c>
      <c r="R130" t="s">
        <v>5610</v>
      </c>
      <c r="S130" t="s">
        <v>11</v>
      </c>
      <c r="T130" t="s">
        <v>13</v>
      </c>
      <c r="U130" t="s">
        <v>75</v>
      </c>
      <c r="V130" t="s">
        <v>12</v>
      </c>
      <c r="X130" t="s">
        <v>5609</v>
      </c>
      <c r="Y130" t="s">
        <v>76</v>
      </c>
      <c r="Z130" s="9">
        <v>1</v>
      </c>
    </row>
    <row r="131" spans="1:26">
      <c r="A131" t="s">
        <v>1967</v>
      </c>
      <c r="B131" t="s">
        <v>2208</v>
      </c>
      <c r="C131" t="s">
        <v>2209</v>
      </c>
      <c r="D131" t="s">
        <v>11</v>
      </c>
      <c r="E131" t="s">
        <v>13</v>
      </c>
      <c r="F131" t="s">
        <v>1970</v>
      </c>
      <c r="G131" t="s">
        <v>12</v>
      </c>
      <c r="I131" t="s">
        <v>2208</v>
      </c>
      <c r="J131" t="s">
        <v>4320</v>
      </c>
      <c r="K131" s="11">
        <v>18.258925281352937</v>
      </c>
      <c r="L131" s="9">
        <v>0.18883385094008881</v>
      </c>
      <c r="M131" s="11">
        <v>79.746126359072505</v>
      </c>
      <c r="N131" s="11">
        <v>87.720738994979769</v>
      </c>
      <c r="P131" t="s">
        <v>1967</v>
      </c>
      <c r="Q131" t="s">
        <v>5611</v>
      </c>
      <c r="R131" t="s">
        <v>5612</v>
      </c>
      <c r="S131" t="s">
        <v>11</v>
      </c>
      <c r="T131" t="s">
        <v>13</v>
      </c>
      <c r="U131" t="s">
        <v>75</v>
      </c>
      <c r="V131" t="s">
        <v>12</v>
      </c>
      <c r="X131" t="s">
        <v>5611</v>
      </c>
      <c r="Y131" t="s">
        <v>76</v>
      </c>
      <c r="Z131" s="9">
        <v>1</v>
      </c>
    </row>
    <row r="132" spans="1:26">
      <c r="A132" t="s">
        <v>1967</v>
      </c>
      <c r="B132" t="s">
        <v>2210</v>
      </c>
      <c r="C132" t="s">
        <v>2211</v>
      </c>
      <c r="D132" t="s">
        <v>11</v>
      </c>
      <c r="E132" t="s">
        <v>13</v>
      </c>
      <c r="F132" t="s">
        <v>1970</v>
      </c>
      <c r="G132" t="s">
        <v>12</v>
      </c>
      <c r="I132" t="s">
        <v>2210</v>
      </c>
      <c r="J132" t="s">
        <v>4321</v>
      </c>
      <c r="K132" s="11">
        <v>10.468708963173292</v>
      </c>
      <c r="L132" s="9">
        <v>0.1768232347038754</v>
      </c>
      <c r="M132" s="11">
        <v>29.803300033516201</v>
      </c>
      <c r="N132" s="11">
        <v>32.783630036867827</v>
      </c>
      <c r="P132" t="s">
        <v>1967</v>
      </c>
      <c r="Q132" t="s">
        <v>5613</v>
      </c>
      <c r="R132" t="s">
        <v>5614</v>
      </c>
      <c r="S132" t="s">
        <v>11</v>
      </c>
      <c r="T132" t="s">
        <v>13</v>
      </c>
      <c r="U132" t="s">
        <v>75</v>
      </c>
      <c r="V132" t="s">
        <v>12</v>
      </c>
      <c r="X132" t="s">
        <v>5613</v>
      </c>
      <c r="Y132" t="s">
        <v>76</v>
      </c>
      <c r="Z132" s="9">
        <v>1</v>
      </c>
    </row>
    <row r="133" spans="1:26">
      <c r="A133" t="s">
        <v>1967</v>
      </c>
      <c r="B133" t="s">
        <v>2212</v>
      </c>
      <c r="C133" t="s">
        <v>2213</v>
      </c>
      <c r="D133" t="s">
        <v>11</v>
      </c>
      <c r="E133" t="s">
        <v>13</v>
      </c>
      <c r="F133" t="s">
        <v>1970</v>
      </c>
      <c r="G133" t="s">
        <v>12</v>
      </c>
      <c r="I133" t="s">
        <v>2212</v>
      </c>
      <c r="J133" t="s">
        <v>4322</v>
      </c>
      <c r="K133" s="11">
        <v>30.30455682994215</v>
      </c>
      <c r="L133" s="9">
        <v>0.1935742941785534</v>
      </c>
      <c r="M133" s="11">
        <v>63.302715804115465</v>
      </c>
      <c r="N133" s="11">
        <v>69.632987384527013</v>
      </c>
      <c r="P133" t="s">
        <v>1967</v>
      </c>
      <c r="Q133" t="s">
        <v>5615</v>
      </c>
      <c r="R133" t="s">
        <v>5616</v>
      </c>
      <c r="S133" t="s">
        <v>11</v>
      </c>
      <c r="T133" t="s">
        <v>13</v>
      </c>
      <c r="U133" t="s">
        <v>75</v>
      </c>
      <c r="V133" t="s">
        <v>12</v>
      </c>
      <c r="X133" t="s">
        <v>5615</v>
      </c>
      <c r="Y133" t="s">
        <v>76</v>
      </c>
      <c r="Z133" s="9">
        <v>1</v>
      </c>
    </row>
    <row r="134" spans="1:26">
      <c r="A134" t="s">
        <v>1967</v>
      </c>
      <c r="B134" t="s">
        <v>2214</v>
      </c>
      <c r="C134" t="s">
        <v>2215</v>
      </c>
      <c r="D134" t="s">
        <v>11</v>
      </c>
      <c r="E134" t="s">
        <v>13</v>
      </c>
      <c r="F134" t="s">
        <v>1970</v>
      </c>
      <c r="G134" t="s">
        <v>12</v>
      </c>
      <c r="I134" t="s">
        <v>2214</v>
      </c>
      <c r="J134" t="s">
        <v>4323</v>
      </c>
      <c r="K134" s="10">
        <v>160.52083234216423</v>
      </c>
      <c r="L134" s="9">
        <v>0.2152975014064418</v>
      </c>
      <c r="M134" s="11">
        <v>44.983755172676268</v>
      </c>
      <c r="N134" s="11">
        <v>49.482130689943901</v>
      </c>
      <c r="P134" t="s">
        <v>1967</v>
      </c>
      <c r="Q134" t="s">
        <v>5617</v>
      </c>
      <c r="R134" t="s">
        <v>5618</v>
      </c>
      <c r="S134" t="s">
        <v>11</v>
      </c>
      <c r="T134" t="s">
        <v>13</v>
      </c>
      <c r="U134" t="s">
        <v>75</v>
      </c>
      <c r="V134" t="s">
        <v>12</v>
      </c>
      <c r="X134" t="s">
        <v>5617</v>
      </c>
      <c r="Y134" t="s">
        <v>76</v>
      </c>
      <c r="Z134" s="9">
        <v>1</v>
      </c>
    </row>
    <row r="135" spans="1:26">
      <c r="A135" t="s">
        <v>1967</v>
      </c>
      <c r="B135" t="s">
        <v>2216</v>
      </c>
      <c r="C135" t="s">
        <v>2217</v>
      </c>
      <c r="D135" t="s">
        <v>11</v>
      </c>
      <c r="E135" t="s">
        <v>13</v>
      </c>
      <c r="F135" t="s">
        <v>1970</v>
      </c>
      <c r="G135" t="s">
        <v>12</v>
      </c>
      <c r="I135" t="s">
        <v>2216</v>
      </c>
      <c r="J135" t="s">
        <v>4324</v>
      </c>
      <c r="K135" s="10">
        <v>241.96497699623524</v>
      </c>
      <c r="L135" s="9">
        <v>0.21825723821366191</v>
      </c>
      <c r="M135" s="10">
        <v>131.79348379331901</v>
      </c>
      <c r="N135" s="10">
        <v>144.97283217265093</v>
      </c>
      <c r="P135" t="s">
        <v>1967</v>
      </c>
      <c r="Q135" t="s">
        <v>5619</v>
      </c>
      <c r="R135" t="s">
        <v>5620</v>
      </c>
      <c r="S135" t="s">
        <v>11</v>
      </c>
      <c r="T135" t="s">
        <v>13</v>
      </c>
      <c r="U135" t="s">
        <v>75</v>
      </c>
      <c r="V135" t="s">
        <v>12</v>
      </c>
      <c r="X135" t="s">
        <v>5619</v>
      </c>
      <c r="Y135" t="s">
        <v>76</v>
      </c>
      <c r="Z135" s="9">
        <v>1</v>
      </c>
    </row>
    <row r="136" spans="1:26">
      <c r="A136" t="s">
        <v>1967</v>
      </c>
      <c r="B136" t="s">
        <v>2218</v>
      </c>
      <c r="C136" t="s">
        <v>2219</v>
      </c>
      <c r="D136" t="s">
        <v>11</v>
      </c>
      <c r="E136" t="s">
        <v>13</v>
      </c>
      <c r="F136" t="s">
        <v>1970</v>
      </c>
      <c r="G136" t="s">
        <v>12</v>
      </c>
      <c r="I136" t="s">
        <v>2218</v>
      </c>
      <c r="J136" t="s">
        <v>4325</v>
      </c>
      <c r="K136" s="10">
        <v>318.9704051313538</v>
      </c>
      <c r="L136" s="9">
        <v>0.2096646957473626</v>
      </c>
      <c r="M136" s="11">
        <v>79.690132308140278</v>
      </c>
      <c r="N136" s="11">
        <v>87.659145538954306</v>
      </c>
      <c r="P136" t="s">
        <v>1967</v>
      </c>
      <c r="Q136" t="s">
        <v>5621</v>
      </c>
      <c r="R136" t="s">
        <v>5622</v>
      </c>
      <c r="S136" t="s">
        <v>11</v>
      </c>
      <c r="T136" t="s">
        <v>13</v>
      </c>
      <c r="U136" t="s">
        <v>75</v>
      </c>
      <c r="V136" t="s">
        <v>12</v>
      </c>
      <c r="X136" t="s">
        <v>5621</v>
      </c>
      <c r="Y136" t="s">
        <v>76</v>
      </c>
      <c r="Z136" s="9">
        <v>1</v>
      </c>
    </row>
    <row r="137" spans="1:26">
      <c r="A137" t="s">
        <v>1967</v>
      </c>
      <c r="B137" t="s">
        <v>2220</v>
      </c>
      <c r="C137" t="s">
        <v>2221</v>
      </c>
      <c r="D137" t="s">
        <v>11</v>
      </c>
      <c r="E137" t="s">
        <v>13</v>
      </c>
      <c r="F137" t="s">
        <v>1970</v>
      </c>
      <c r="G137" t="s">
        <v>12</v>
      </c>
      <c r="I137" t="s">
        <v>2220</v>
      </c>
      <c r="J137" t="s">
        <v>4326</v>
      </c>
      <c r="K137" s="10">
        <v>154.48753323532759</v>
      </c>
      <c r="L137" s="9">
        <v>0.1980430513448081</v>
      </c>
      <c r="M137" s="10">
        <v>155.04609697593668</v>
      </c>
      <c r="N137" s="10">
        <v>170.55070667353036</v>
      </c>
      <c r="P137" t="s">
        <v>1967</v>
      </c>
      <c r="Q137" t="s">
        <v>5623</v>
      </c>
      <c r="R137" t="s">
        <v>5624</v>
      </c>
      <c r="S137" t="s">
        <v>11</v>
      </c>
      <c r="T137" t="s">
        <v>13</v>
      </c>
      <c r="U137" t="s">
        <v>75</v>
      </c>
      <c r="V137" t="s">
        <v>12</v>
      </c>
      <c r="X137" t="s">
        <v>5623</v>
      </c>
      <c r="Y137" t="s">
        <v>76</v>
      </c>
      <c r="Z137" s="9">
        <v>1</v>
      </c>
    </row>
    <row r="138" spans="1:26">
      <c r="A138" t="s">
        <v>1967</v>
      </c>
      <c r="B138" t="s">
        <v>2222</v>
      </c>
      <c r="C138" t="s">
        <v>2223</v>
      </c>
      <c r="D138" t="s">
        <v>11</v>
      </c>
      <c r="E138" t="s">
        <v>13</v>
      </c>
      <c r="F138" t="s">
        <v>1970</v>
      </c>
      <c r="G138" t="s">
        <v>12</v>
      </c>
      <c r="I138" t="s">
        <v>2222</v>
      </c>
      <c r="J138" t="s">
        <v>4327</v>
      </c>
      <c r="K138" s="10">
        <v>100.58996901798115</v>
      </c>
      <c r="L138" s="9">
        <v>0.1905513019334385</v>
      </c>
      <c r="M138" s="10">
        <v>131.18688484868633</v>
      </c>
      <c r="N138" s="10">
        <v>144.30557333355497</v>
      </c>
      <c r="P138" t="s">
        <v>1967</v>
      </c>
      <c r="Q138" t="s">
        <v>5625</v>
      </c>
      <c r="R138" t="s">
        <v>5626</v>
      </c>
      <c r="S138" t="s">
        <v>11</v>
      </c>
      <c r="T138" t="s">
        <v>13</v>
      </c>
      <c r="U138" t="s">
        <v>75</v>
      </c>
      <c r="V138" t="s">
        <v>12</v>
      </c>
      <c r="X138" t="s">
        <v>5625</v>
      </c>
      <c r="Y138" t="s">
        <v>76</v>
      </c>
      <c r="Z138" s="9">
        <v>1</v>
      </c>
    </row>
    <row r="139" spans="1:26">
      <c r="A139" t="s">
        <v>1967</v>
      </c>
      <c r="B139" t="s">
        <v>2224</v>
      </c>
      <c r="C139" t="s">
        <v>2225</v>
      </c>
      <c r="D139" t="s">
        <v>11</v>
      </c>
      <c r="E139" t="s">
        <v>13</v>
      </c>
      <c r="F139" t="s">
        <v>1970</v>
      </c>
      <c r="G139" t="s">
        <v>12</v>
      </c>
      <c r="I139" t="s">
        <v>2224</v>
      </c>
      <c r="J139" t="s">
        <v>4328</v>
      </c>
      <c r="K139" s="10">
        <v>150.9767429576367</v>
      </c>
      <c r="L139" s="9">
        <v>0.19456635566077529</v>
      </c>
      <c r="M139" s="10">
        <v>135.67670075531842</v>
      </c>
      <c r="N139" s="10">
        <v>149.24437083085027</v>
      </c>
      <c r="P139" t="s">
        <v>1967</v>
      </c>
      <c r="Q139" t="s">
        <v>5627</v>
      </c>
      <c r="R139" t="s">
        <v>5628</v>
      </c>
      <c r="S139" t="s">
        <v>11</v>
      </c>
      <c r="T139" t="s">
        <v>13</v>
      </c>
      <c r="U139" t="s">
        <v>75</v>
      </c>
      <c r="V139" t="s">
        <v>12</v>
      </c>
      <c r="X139" t="s">
        <v>5627</v>
      </c>
      <c r="Y139" t="s">
        <v>76</v>
      </c>
      <c r="Z139" s="9">
        <v>1</v>
      </c>
    </row>
    <row r="140" spans="1:26">
      <c r="A140" t="s">
        <v>1967</v>
      </c>
      <c r="B140" t="s">
        <v>2226</v>
      </c>
      <c r="C140" t="s">
        <v>2227</v>
      </c>
      <c r="D140" t="s">
        <v>11</v>
      </c>
      <c r="E140" t="s">
        <v>13</v>
      </c>
      <c r="F140" t="s">
        <v>1970</v>
      </c>
      <c r="G140" t="s">
        <v>12</v>
      </c>
      <c r="I140" t="s">
        <v>2226</v>
      </c>
      <c r="J140" t="s">
        <v>4329</v>
      </c>
      <c r="K140" s="11">
        <v>62.919572681745983</v>
      </c>
      <c r="L140" s="9">
        <v>0.1884770407321702</v>
      </c>
      <c r="M140" s="10">
        <v>111.78496841639112</v>
      </c>
      <c r="N140" s="10">
        <v>122.96346525803024</v>
      </c>
      <c r="P140" t="s">
        <v>1967</v>
      </c>
      <c r="Q140" t="s">
        <v>5629</v>
      </c>
      <c r="R140" t="s">
        <v>5630</v>
      </c>
      <c r="S140" t="s">
        <v>11</v>
      </c>
      <c r="T140" t="s">
        <v>13</v>
      </c>
      <c r="U140" t="s">
        <v>75</v>
      </c>
      <c r="V140" t="s">
        <v>12</v>
      </c>
      <c r="X140" t="s">
        <v>5629</v>
      </c>
      <c r="Y140" t="s">
        <v>76</v>
      </c>
      <c r="Z140" s="9">
        <v>1</v>
      </c>
    </row>
    <row r="141" spans="1:26">
      <c r="A141" t="s">
        <v>1967</v>
      </c>
      <c r="B141" t="s">
        <v>2228</v>
      </c>
      <c r="C141" t="s">
        <v>2229</v>
      </c>
      <c r="D141" t="s">
        <v>11</v>
      </c>
      <c r="E141" t="s">
        <v>13</v>
      </c>
      <c r="F141" t="s">
        <v>1970</v>
      </c>
      <c r="G141" t="s">
        <v>12</v>
      </c>
      <c r="I141" t="s">
        <v>2228</v>
      </c>
      <c r="J141" t="s">
        <v>4330</v>
      </c>
      <c r="K141" s="11">
        <v>12.7334</v>
      </c>
      <c r="L141" s="9">
        <v>0.17652899353672169</v>
      </c>
      <c r="M141" s="11">
        <v>68.748347576244086</v>
      </c>
      <c r="N141" s="11">
        <v>75.623182333868499</v>
      </c>
      <c r="P141" t="s">
        <v>1967</v>
      </c>
      <c r="Q141" t="s">
        <v>5631</v>
      </c>
      <c r="R141" t="s">
        <v>5632</v>
      </c>
      <c r="S141" t="s">
        <v>11</v>
      </c>
      <c r="T141" t="s">
        <v>13</v>
      </c>
      <c r="U141" t="s">
        <v>75</v>
      </c>
      <c r="V141" t="s">
        <v>12</v>
      </c>
      <c r="X141" t="s">
        <v>5631</v>
      </c>
      <c r="Y141" t="s">
        <v>76</v>
      </c>
      <c r="Z141" s="9">
        <v>1</v>
      </c>
    </row>
    <row r="142" spans="1:26">
      <c r="A142" t="s">
        <v>1967</v>
      </c>
      <c r="B142" t="s">
        <v>2230</v>
      </c>
      <c r="C142" t="s">
        <v>2231</v>
      </c>
      <c r="D142" t="s">
        <v>11</v>
      </c>
      <c r="E142" t="s">
        <v>13</v>
      </c>
      <c r="F142" t="s">
        <v>1970</v>
      </c>
      <c r="G142" t="s">
        <v>12</v>
      </c>
      <c r="I142" t="s">
        <v>2230</v>
      </c>
      <c r="J142" t="s">
        <v>4331</v>
      </c>
      <c r="K142" s="9">
        <v>2.2076927755389812</v>
      </c>
      <c r="L142" s="9">
        <v>0.17178948408777109</v>
      </c>
      <c r="M142" s="10">
        <v>174.54166481495213</v>
      </c>
      <c r="N142" s="10">
        <v>191.99583129644736</v>
      </c>
      <c r="P142" t="s">
        <v>1967</v>
      </c>
      <c r="Q142" t="s">
        <v>5633</v>
      </c>
      <c r="R142" t="s">
        <v>5634</v>
      </c>
      <c r="S142" t="s">
        <v>11</v>
      </c>
      <c r="T142" t="s">
        <v>13</v>
      </c>
      <c r="U142" t="s">
        <v>75</v>
      </c>
      <c r="V142" t="s">
        <v>12</v>
      </c>
      <c r="X142" t="s">
        <v>5633</v>
      </c>
      <c r="Y142" t="s">
        <v>76</v>
      </c>
      <c r="Z142" s="9">
        <v>1</v>
      </c>
    </row>
    <row r="143" spans="1:26">
      <c r="A143" t="s">
        <v>1967</v>
      </c>
      <c r="B143" t="s">
        <v>2232</v>
      </c>
      <c r="C143" t="s">
        <v>2233</v>
      </c>
      <c r="D143" t="s">
        <v>11</v>
      </c>
      <c r="E143" t="s">
        <v>13</v>
      </c>
      <c r="F143" t="s">
        <v>1970</v>
      </c>
      <c r="G143" t="s">
        <v>12</v>
      </c>
      <c r="I143" t="s">
        <v>2232</v>
      </c>
      <c r="J143" t="s">
        <v>4332</v>
      </c>
      <c r="K143" s="11">
        <v>58.535032336403845</v>
      </c>
      <c r="L143" s="9">
        <v>0.1921941177606421</v>
      </c>
      <c r="M143" s="10">
        <v>202.12074423667525</v>
      </c>
      <c r="N143" s="10">
        <v>222.33281866034278</v>
      </c>
      <c r="P143" t="s">
        <v>1967</v>
      </c>
      <c r="Q143" t="s">
        <v>5635</v>
      </c>
      <c r="R143" t="s">
        <v>5636</v>
      </c>
      <c r="S143" t="s">
        <v>11</v>
      </c>
      <c r="T143" t="s">
        <v>13</v>
      </c>
      <c r="U143" t="s">
        <v>75</v>
      </c>
      <c r="V143" t="s">
        <v>12</v>
      </c>
      <c r="X143" t="s">
        <v>5635</v>
      </c>
      <c r="Y143" t="s">
        <v>76</v>
      </c>
      <c r="Z143" s="9">
        <v>1</v>
      </c>
    </row>
    <row r="144" spans="1:26">
      <c r="A144" t="s">
        <v>1967</v>
      </c>
      <c r="B144" t="s">
        <v>2234</v>
      </c>
      <c r="C144" t="s">
        <v>2235</v>
      </c>
      <c r="D144" t="s">
        <v>11</v>
      </c>
      <c r="E144" t="s">
        <v>13</v>
      </c>
      <c r="F144" t="s">
        <v>1970</v>
      </c>
      <c r="G144" t="s">
        <v>12</v>
      </c>
      <c r="I144" t="s">
        <v>2234</v>
      </c>
      <c r="J144" t="s">
        <v>4333</v>
      </c>
      <c r="K144" s="10">
        <v>124.48754102573592</v>
      </c>
      <c r="L144" s="9">
        <v>0.18311632438883371</v>
      </c>
      <c r="M144" s="10">
        <v>119.72719992782343</v>
      </c>
      <c r="N144" s="10">
        <v>131.69991992060579</v>
      </c>
      <c r="P144" t="s">
        <v>1967</v>
      </c>
      <c r="Q144" t="s">
        <v>5637</v>
      </c>
      <c r="R144" t="s">
        <v>5638</v>
      </c>
      <c r="S144" t="s">
        <v>11</v>
      </c>
      <c r="T144" t="s">
        <v>13</v>
      </c>
      <c r="U144" t="s">
        <v>75</v>
      </c>
      <c r="V144" t="s">
        <v>12</v>
      </c>
      <c r="X144" t="s">
        <v>5637</v>
      </c>
      <c r="Y144" t="s">
        <v>76</v>
      </c>
      <c r="Z144" s="9">
        <v>1</v>
      </c>
    </row>
    <row r="145" spans="1:26">
      <c r="A145" t="s">
        <v>1967</v>
      </c>
      <c r="B145" t="s">
        <v>2236</v>
      </c>
      <c r="C145" t="s">
        <v>2237</v>
      </c>
      <c r="D145" t="s">
        <v>11</v>
      </c>
      <c r="E145" t="s">
        <v>13</v>
      </c>
      <c r="F145" t="s">
        <v>1970</v>
      </c>
      <c r="G145" t="s">
        <v>12</v>
      </c>
      <c r="I145" t="s">
        <v>2236</v>
      </c>
      <c r="J145" t="s">
        <v>4334</v>
      </c>
      <c r="K145" s="9">
        <v>2.4892500000000002</v>
      </c>
      <c r="L145" s="9">
        <v>0.18003136357274499</v>
      </c>
      <c r="M145" s="10">
        <v>156.90231240462811</v>
      </c>
      <c r="N145" s="10">
        <v>172.59254364509093</v>
      </c>
      <c r="P145" t="s">
        <v>1967</v>
      </c>
      <c r="Q145" t="s">
        <v>5639</v>
      </c>
      <c r="R145" t="s">
        <v>5640</v>
      </c>
      <c r="S145" t="s">
        <v>11</v>
      </c>
      <c r="T145" t="s">
        <v>13</v>
      </c>
      <c r="U145" t="s">
        <v>75</v>
      </c>
      <c r="V145" t="s">
        <v>12</v>
      </c>
      <c r="X145" t="s">
        <v>5639</v>
      </c>
      <c r="Y145" t="s">
        <v>76</v>
      </c>
      <c r="Z145" s="9">
        <v>1</v>
      </c>
    </row>
    <row r="146" spans="1:26">
      <c r="A146" t="s">
        <v>1967</v>
      </c>
      <c r="B146" t="s">
        <v>2238</v>
      </c>
      <c r="C146" t="s">
        <v>2239</v>
      </c>
      <c r="D146" t="s">
        <v>11</v>
      </c>
      <c r="E146" t="s">
        <v>13</v>
      </c>
      <c r="F146" t="s">
        <v>1970</v>
      </c>
      <c r="G146" t="s">
        <v>12</v>
      </c>
      <c r="I146" t="s">
        <v>2238</v>
      </c>
      <c r="J146" t="s">
        <v>4335</v>
      </c>
      <c r="K146" s="11">
        <v>30.77075</v>
      </c>
      <c r="L146" s="9">
        <v>0.1807131108048316</v>
      </c>
      <c r="M146" s="10">
        <v>131.41267002303704</v>
      </c>
      <c r="N146" s="10">
        <v>144.55393702534076</v>
      </c>
      <c r="P146" t="s">
        <v>1967</v>
      </c>
      <c r="Q146" t="s">
        <v>5641</v>
      </c>
      <c r="R146" t="s">
        <v>5642</v>
      </c>
      <c r="S146" t="s">
        <v>11</v>
      </c>
      <c r="T146" t="s">
        <v>13</v>
      </c>
      <c r="U146" t="s">
        <v>75</v>
      </c>
      <c r="V146" t="s">
        <v>12</v>
      </c>
      <c r="X146" t="s">
        <v>5641</v>
      </c>
      <c r="Y146" t="s">
        <v>76</v>
      </c>
      <c r="Z146" s="9">
        <v>1</v>
      </c>
    </row>
    <row r="147" spans="1:26">
      <c r="A147" t="s">
        <v>1967</v>
      </c>
      <c r="B147" t="s">
        <v>2240</v>
      </c>
      <c r="C147" t="s">
        <v>2241</v>
      </c>
      <c r="D147" t="s">
        <v>11</v>
      </c>
      <c r="E147" t="s">
        <v>13</v>
      </c>
      <c r="F147" t="s">
        <v>1970</v>
      </c>
      <c r="G147" t="s">
        <v>12</v>
      </c>
      <c r="I147" t="s">
        <v>2240</v>
      </c>
      <c r="J147" t="s">
        <v>4336</v>
      </c>
      <c r="K147" s="11">
        <v>23.572070478891</v>
      </c>
      <c r="L147" s="9">
        <v>0.23885133923579499</v>
      </c>
      <c r="M147" s="10">
        <v>103.78706387644893</v>
      </c>
      <c r="N147" s="10">
        <v>114.16577026409382</v>
      </c>
      <c r="P147" t="s">
        <v>1967</v>
      </c>
      <c r="Q147" t="s">
        <v>5643</v>
      </c>
      <c r="R147" t="s">
        <v>5644</v>
      </c>
      <c r="S147" t="s">
        <v>11</v>
      </c>
      <c r="T147" t="s">
        <v>13</v>
      </c>
      <c r="U147" t="s">
        <v>75</v>
      </c>
      <c r="V147" t="s">
        <v>12</v>
      </c>
      <c r="X147" t="s">
        <v>5643</v>
      </c>
      <c r="Y147" t="s">
        <v>76</v>
      </c>
      <c r="Z147" s="9">
        <v>1</v>
      </c>
    </row>
    <row r="148" spans="1:26">
      <c r="A148" t="s">
        <v>1967</v>
      </c>
      <c r="B148" t="s">
        <v>2242</v>
      </c>
      <c r="C148" t="s">
        <v>2243</v>
      </c>
      <c r="D148" t="s">
        <v>11</v>
      </c>
      <c r="E148" t="s">
        <v>13</v>
      </c>
      <c r="F148" t="s">
        <v>1970</v>
      </c>
      <c r="G148" t="s">
        <v>12</v>
      </c>
      <c r="I148" t="s">
        <v>2242</v>
      </c>
      <c r="J148" t="s">
        <v>4337</v>
      </c>
      <c r="K148" s="11">
        <v>18.264412080723762</v>
      </c>
      <c r="L148" s="9">
        <v>0.21871324750517071</v>
      </c>
      <c r="M148" s="11">
        <v>84.013320150635167</v>
      </c>
      <c r="N148" s="11">
        <v>92.414652165698698</v>
      </c>
      <c r="P148" t="s">
        <v>1967</v>
      </c>
      <c r="Q148" t="s">
        <v>5645</v>
      </c>
      <c r="R148" t="s">
        <v>5646</v>
      </c>
      <c r="S148" t="s">
        <v>11</v>
      </c>
      <c r="T148" t="s">
        <v>13</v>
      </c>
      <c r="U148" t="s">
        <v>75</v>
      </c>
      <c r="V148" t="s">
        <v>12</v>
      </c>
      <c r="X148" t="s">
        <v>5645</v>
      </c>
      <c r="Y148" t="s">
        <v>76</v>
      </c>
      <c r="Z148" s="9">
        <v>1</v>
      </c>
    </row>
    <row r="149" spans="1:26">
      <c r="A149" t="s">
        <v>1967</v>
      </c>
      <c r="B149" t="s">
        <v>2244</v>
      </c>
      <c r="C149" t="s">
        <v>2245</v>
      </c>
      <c r="D149" t="s">
        <v>11</v>
      </c>
      <c r="E149" t="s">
        <v>13</v>
      </c>
      <c r="F149" t="s">
        <v>1970</v>
      </c>
      <c r="G149" t="s">
        <v>12</v>
      </c>
      <c r="I149" t="s">
        <v>2244</v>
      </c>
      <c r="J149" t="s">
        <v>4338</v>
      </c>
      <c r="K149" s="11">
        <v>60.314740678904926</v>
      </c>
      <c r="L149" s="9">
        <v>0.23048050184753049</v>
      </c>
      <c r="M149" s="11">
        <v>60.440415720427723</v>
      </c>
      <c r="N149" s="11">
        <v>66.484457292470495</v>
      </c>
      <c r="P149" t="s">
        <v>1967</v>
      </c>
      <c r="Q149" t="s">
        <v>5647</v>
      </c>
      <c r="R149" t="s">
        <v>5648</v>
      </c>
      <c r="S149" t="s">
        <v>11</v>
      </c>
      <c r="T149" t="s">
        <v>13</v>
      </c>
      <c r="U149" t="s">
        <v>75</v>
      </c>
      <c r="V149" t="s">
        <v>12</v>
      </c>
      <c r="X149" t="s">
        <v>5647</v>
      </c>
      <c r="Y149" t="s">
        <v>76</v>
      </c>
      <c r="Z149" s="9">
        <v>1</v>
      </c>
    </row>
    <row r="150" spans="1:26">
      <c r="A150" t="s">
        <v>1967</v>
      </c>
      <c r="B150" t="s">
        <v>2246</v>
      </c>
      <c r="C150" t="s">
        <v>2247</v>
      </c>
      <c r="D150" t="s">
        <v>11</v>
      </c>
      <c r="E150" t="s">
        <v>13</v>
      </c>
      <c r="F150" t="s">
        <v>1970</v>
      </c>
      <c r="G150" t="s">
        <v>12</v>
      </c>
      <c r="I150" t="s">
        <v>2246</v>
      </c>
      <c r="J150" t="s">
        <v>4339</v>
      </c>
      <c r="K150" s="10">
        <v>106.336744168479</v>
      </c>
      <c r="L150" s="9">
        <v>0.24590716633495091</v>
      </c>
      <c r="M150" s="10">
        <v>169.32893455752003</v>
      </c>
      <c r="N150" s="10">
        <v>186.26182801327204</v>
      </c>
      <c r="P150" t="s">
        <v>1967</v>
      </c>
      <c r="Q150" t="s">
        <v>5649</v>
      </c>
      <c r="R150" t="s">
        <v>5650</v>
      </c>
      <c r="S150" t="s">
        <v>11</v>
      </c>
      <c r="T150" t="s">
        <v>13</v>
      </c>
      <c r="U150" t="s">
        <v>75</v>
      </c>
      <c r="V150" t="s">
        <v>12</v>
      </c>
      <c r="X150" t="s">
        <v>5649</v>
      </c>
      <c r="Y150" t="s">
        <v>76</v>
      </c>
      <c r="Z150" s="9">
        <v>1</v>
      </c>
    </row>
    <row r="151" spans="1:26">
      <c r="A151" t="s">
        <v>1967</v>
      </c>
      <c r="B151" t="s">
        <v>2248</v>
      </c>
      <c r="C151" t="s">
        <v>2249</v>
      </c>
      <c r="D151" t="s">
        <v>11</v>
      </c>
      <c r="E151" t="s">
        <v>13</v>
      </c>
      <c r="F151" t="s">
        <v>1970</v>
      </c>
      <c r="G151" t="s">
        <v>12</v>
      </c>
      <c r="I151" t="s">
        <v>2248</v>
      </c>
      <c r="J151" t="s">
        <v>4340</v>
      </c>
      <c r="K151" s="11">
        <v>78.174266250878361</v>
      </c>
      <c r="L151" s="9">
        <v>0.24373492160444979</v>
      </c>
      <c r="M151" s="10">
        <v>201.5129329790405</v>
      </c>
      <c r="N151" s="10">
        <v>221.66422627694456</v>
      </c>
      <c r="P151" t="s">
        <v>1967</v>
      </c>
      <c r="Q151" t="s">
        <v>5651</v>
      </c>
      <c r="R151" t="s">
        <v>5652</v>
      </c>
      <c r="S151" t="s">
        <v>11</v>
      </c>
      <c r="T151" t="s">
        <v>13</v>
      </c>
      <c r="U151" t="s">
        <v>75</v>
      </c>
      <c r="V151" t="s">
        <v>12</v>
      </c>
      <c r="X151" t="s">
        <v>5651</v>
      </c>
      <c r="Y151" t="s">
        <v>76</v>
      </c>
      <c r="Z151" s="9">
        <v>1</v>
      </c>
    </row>
    <row r="152" spans="1:26">
      <c r="A152" t="s">
        <v>1967</v>
      </c>
      <c r="B152" t="s">
        <v>2250</v>
      </c>
      <c r="C152" t="s">
        <v>2251</v>
      </c>
      <c r="D152" t="s">
        <v>11</v>
      </c>
      <c r="E152" t="s">
        <v>13</v>
      </c>
      <c r="F152" t="s">
        <v>1970</v>
      </c>
      <c r="G152" t="s">
        <v>12</v>
      </c>
      <c r="I152" t="s">
        <v>2250</v>
      </c>
      <c r="J152" t="s">
        <v>4341</v>
      </c>
      <c r="K152" s="10">
        <v>118.58904731549025</v>
      </c>
      <c r="L152" s="9">
        <v>0.2644598657401393</v>
      </c>
      <c r="M152" s="10">
        <v>439.66158115164251</v>
      </c>
      <c r="N152" s="10">
        <v>483.62773926680677</v>
      </c>
      <c r="P152" t="s">
        <v>1967</v>
      </c>
      <c r="Q152" t="s">
        <v>5653</v>
      </c>
      <c r="R152" t="s">
        <v>5654</v>
      </c>
      <c r="S152" t="s">
        <v>11</v>
      </c>
      <c r="T152" t="s">
        <v>13</v>
      </c>
      <c r="U152" t="s">
        <v>75</v>
      </c>
      <c r="V152" t="s">
        <v>12</v>
      </c>
      <c r="X152" t="s">
        <v>5653</v>
      </c>
      <c r="Y152" t="s">
        <v>76</v>
      </c>
      <c r="Z152" s="9">
        <v>1</v>
      </c>
    </row>
    <row r="153" spans="1:26">
      <c r="A153" t="s">
        <v>1967</v>
      </c>
      <c r="B153" t="s">
        <v>2252</v>
      </c>
      <c r="C153" t="s">
        <v>2253</v>
      </c>
      <c r="D153" t="s">
        <v>11</v>
      </c>
      <c r="E153" t="s">
        <v>13</v>
      </c>
      <c r="F153" t="s">
        <v>1970</v>
      </c>
      <c r="G153" t="s">
        <v>12</v>
      </c>
      <c r="I153" t="s">
        <v>2252</v>
      </c>
      <c r="J153" t="s">
        <v>4342</v>
      </c>
      <c r="K153" s="10">
        <v>151.17871270154424</v>
      </c>
      <c r="L153" s="9">
        <v>0.24839295040614581</v>
      </c>
      <c r="M153" s="10">
        <v>186.3090087953498</v>
      </c>
      <c r="N153" s="10">
        <v>204.9399096748848</v>
      </c>
      <c r="P153" t="s">
        <v>1967</v>
      </c>
      <c r="Q153" t="s">
        <v>5655</v>
      </c>
      <c r="R153" t="s">
        <v>5656</v>
      </c>
      <c r="S153" t="s">
        <v>11</v>
      </c>
      <c r="T153" t="s">
        <v>13</v>
      </c>
      <c r="U153" t="s">
        <v>75</v>
      </c>
      <c r="V153" t="s">
        <v>12</v>
      </c>
      <c r="X153" t="s">
        <v>5655</v>
      </c>
      <c r="Y153" t="s">
        <v>76</v>
      </c>
      <c r="Z153" s="9">
        <v>1</v>
      </c>
    </row>
    <row r="154" spans="1:26">
      <c r="A154" t="s">
        <v>1967</v>
      </c>
      <c r="B154" t="s">
        <v>2254</v>
      </c>
      <c r="C154" t="s">
        <v>2255</v>
      </c>
      <c r="D154" t="s">
        <v>11</v>
      </c>
      <c r="E154" t="s">
        <v>13</v>
      </c>
      <c r="F154" t="s">
        <v>1970</v>
      </c>
      <c r="G154" t="s">
        <v>12</v>
      </c>
      <c r="I154" t="s">
        <v>2254</v>
      </c>
      <c r="J154" t="s">
        <v>4343</v>
      </c>
      <c r="K154" s="10">
        <v>111.76905991636232</v>
      </c>
      <c r="L154" s="9">
        <v>0.25564889146577391</v>
      </c>
      <c r="M154" s="10">
        <v>350.88869941552417</v>
      </c>
      <c r="N154" s="10">
        <v>385.97756935707662</v>
      </c>
      <c r="P154" t="s">
        <v>1967</v>
      </c>
      <c r="Q154" t="s">
        <v>5657</v>
      </c>
      <c r="R154" t="s">
        <v>5658</v>
      </c>
      <c r="S154" t="s">
        <v>11</v>
      </c>
      <c r="T154" t="s">
        <v>13</v>
      </c>
      <c r="U154" t="s">
        <v>75</v>
      </c>
      <c r="V154" t="s">
        <v>12</v>
      </c>
      <c r="X154" t="s">
        <v>5657</v>
      </c>
      <c r="Y154" t="s">
        <v>76</v>
      </c>
      <c r="Z154" s="9">
        <v>1</v>
      </c>
    </row>
    <row r="155" spans="1:26">
      <c r="A155" t="s">
        <v>1967</v>
      </c>
      <c r="B155" t="s">
        <v>2256</v>
      </c>
      <c r="C155" t="s">
        <v>2257</v>
      </c>
      <c r="D155" t="s">
        <v>11</v>
      </c>
      <c r="E155" t="s">
        <v>13</v>
      </c>
      <c r="F155" t="s">
        <v>1970</v>
      </c>
      <c r="G155" t="s">
        <v>12</v>
      </c>
      <c r="I155" t="s">
        <v>2256</v>
      </c>
      <c r="J155" t="s">
        <v>4344</v>
      </c>
      <c r="K155" s="11">
        <v>79.497578931275825</v>
      </c>
      <c r="L155" s="9">
        <v>0.2502960024065341</v>
      </c>
      <c r="M155" s="10">
        <v>145.2147108562348</v>
      </c>
      <c r="N155" s="10">
        <v>159.73618194185829</v>
      </c>
      <c r="P155" t="s">
        <v>1967</v>
      </c>
      <c r="Q155" t="s">
        <v>5659</v>
      </c>
      <c r="R155" t="s">
        <v>5660</v>
      </c>
      <c r="S155" t="s">
        <v>11</v>
      </c>
      <c r="T155" t="s">
        <v>13</v>
      </c>
      <c r="U155" t="s">
        <v>75</v>
      </c>
      <c r="V155" t="s">
        <v>12</v>
      </c>
      <c r="X155" t="s">
        <v>5659</v>
      </c>
      <c r="Y155" t="s">
        <v>76</v>
      </c>
      <c r="Z155" s="9">
        <v>1</v>
      </c>
    </row>
    <row r="156" spans="1:26">
      <c r="A156" t="s">
        <v>1967</v>
      </c>
      <c r="B156" t="s">
        <v>2258</v>
      </c>
      <c r="C156" t="s">
        <v>2259</v>
      </c>
      <c r="D156" t="s">
        <v>11</v>
      </c>
      <c r="E156" t="s">
        <v>13</v>
      </c>
      <c r="F156" t="s">
        <v>1970</v>
      </c>
      <c r="G156" t="s">
        <v>12</v>
      </c>
      <c r="I156" t="s">
        <v>2258</v>
      </c>
      <c r="J156" t="s">
        <v>4345</v>
      </c>
      <c r="K156" s="9">
        <v>9.1072500000000005</v>
      </c>
      <c r="L156" s="9">
        <v>0.22221005333989571</v>
      </c>
      <c r="M156" s="10">
        <v>130.29804461682266</v>
      </c>
      <c r="N156" s="10">
        <v>143.32784907850495</v>
      </c>
      <c r="P156" t="s">
        <v>1967</v>
      </c>
      <c r="Q156" t="s">
        <v>5661</v>
      </c>
      <c r="R156" t="s">
        <v>5662</v>
      </c>
      <c r="S156" t="s">
        <v>11</v>
      </c>
      <c r="T156" t="s">
        <v>13</v>
      </c>
      <c r="U156" t="s">
        <v>75</v>
      </c>
      <c r="V156" t="s">
        <v>12</v>
      </c>
      <c r="X156" t="s">
        <v>5661</v>
      </c>
      <c r="Y156" t="s">
        <v>76</v>
      </c>
      <c r="Z156" s="9">
        <v>1</v>
      </c>
    </row>
    <row r="157" spans="1:26">
      <c r="A157" t="s">
        <v>1967</v>
      </c>
      <c r="B157" t="s">
        <v>2260</v>
      </c>
      <c r="C157" t="s">
        <v>2261</v>
      </c>
      <c r="D157" t="s">
        <v>11</v>
      </c>
      <c r="E157" t="s">
        <v>13</v>
      </c>
      <c r="F157" t="s">
        <v>1970</v>
      </c>
      <c r="G157" t="s">
        <v>12</v>
      </c>
      <c r="I157" t="s">
        <v>2260</v>
      </c>
      <c r="J157" t="s">
        <v>4346</v>
      </c>
      <c r="K157" s="9">
        <v>1.18275</v>
      </c>
      <c r="L157" s="9">
        <v>0.21057535780256581</v>
      </c>
      <c r="M157" s="11">
        <v>48.234506502647321</v>
      </c>
      <c r="N157" s="11">
        <v>53.05795715291206</v>
      </c>
      <c r="P157" t="s">
        <v>1967</v>
      </c>
      <c r="Q157" t="s">
        <v>5663</v>
      </c>
      <c r="R157" t="s">
        <v>5664</v>
      </c>
      <c r="S157" t="s">
        <v>11</v>
      </c>
      <c r="T157" t="s">
        <v>13</v>
      </c>
      <c r="U157" t="s">
        <v>75</v>
      </c>
      <c r="V157" t="s">
        <v>12</v>
      </c>
      <c r="X157" t="s">
        <v>5663</v>
      </c>
      <c r="Y157" t="s">
        <v>76</v>
      </c>
      <c r="Z157" s="9">
        <v>1</v>
      </c>
    </row>
    <row r="158" spans="1:26">
      <c r="A158" t="s">
        <v>1967</v>
      </c>
      <c r="B158" t="s">
        <v>2262</v>
      </c>
      <c r="C158" t="s">
        <v>2263</v>
      </c>
      <c r="D158" t="s">
        <v>11</v>
      </c>
      <c r="E158" t="s">
        <v>13</v>
      </c>
      <c r="F158" t="s">
        <v>1970</v>
      </c>
      <c r="G158" t="s">
        <v>12</v>
      </c>
      <c r="I158" t="s">
        <v>2262</v>
      </c>
      <c r="J158" t="s">
        <v>4347</v>
      </c>
      <c r="K158" s="9">
        <v>9.3049999999999997</v>
      </c>
      <c r="L158" s="9">
        <v>0.2223037629882417</v>
      </c>
      <c r="M158" s="10">
        <v>140.42166021087669</v>
      </c>
      <c r="N158" s="10">
        <v>154.46382623196439</v>
      </c>
      <c r="P158" t="s">
        <v>1967</v>
      </c>
      <c r="Q158" t="s">
        <v>5665</v>
      </c>
      <c r="R158" t="s">
        <v>5666</v>
      </c>
      <c r="S158" t="s">
        <v>11</v>
      </c>
      <c r="T158" t="s">
        <v>13</v>
      </c>
      <c r="U158" t="s">
        <v>75</v>
      </c>
      <c r="V158" t="s">
        <v>12</v>
      </c>
      <c r="X158" t="s">
        <v>5665</v>
      </c>
      <c r="Y158" t="s">
        <v>76</v>
      </c>
      <c r="Z158" s="9">
        <v>1</v>
      </c>
    </row>
    <row r="159" spans="1:26">
      <c r="A159" t="s">
        <v>1967</v>
      </c>
      <c r="B159" t="s">
        <v>2264</v>
      </c>
      <c r="C159" t="s">
        <v>2265</v>
      </c>
      <c r="D159" t="s">
        <v>11</v>
      </c>
      <c r="E159" t="s">
        <v>13</v>
      </c>
      <c r="F159" t="s">
        <v>1970</v>
      </c>
      <c r="G159" t="s">
        <v>12</v>
      </c>
      <c r="I159" t="s">
        <v>2264</v>
      </c>
      <c r="J159" t="s">
        <v>4348</v>
      </c>
      <c r="K159" s="9">
        <v>0.56699999999999995</v>
      </c>
      <c r="L159" s="9">
        <v>0.22474668244492951</v>
      </c>
      <c r="M159" s="10">
        <v>487.6240636067356</v>
      </c>
      <c r="N159" s="10">
        <v>536.3864699674092</v>
      </c>
    </row>
    <row r="160" spans="1:26">
      <c r="A160" t="s">
        <v>1967</v>
      </c>
      <c r="B160" t="s">
        <v>2266</v>
      </c>
      <c r="C160" t="s">
        <v>2267</v>
      </c>
      <c r="D160" t="s">
        <v>11</v>
      </c>
      <c r="E160" t="s">
        <v>13</v>
      </c>
      <c r="F160" t="s">
        <v>1970</v>
      </c>
      <c r="G160" t="s">
        <v>12</v>
      </c>
      <c r="I160" t="s">
        <v>2266</v>
      </c>
      <c r="J160" t="s">
        <v>4349</v>
      </c>
      <c r="K160" s="9">
        <v>2.7397499999999999</v>
      </c>
      <c r="L160" s="9">
        <v>0.2206204190543781</v>
      </c>
      <c r="M160" s="11">
        <v>99.243514092955564</v>
      </c>
      <c r="N160" s="10">
        <v>109.16786550225113</v>
      </c>
    </row>
    <row r="161" spans="1:14">
      <c r="A161" t="s">
        <v>1967</v>
      </c>
      <c r="B161" t="s">
        <v>2268</v>
      </c>
      <c r="C161" t="s">
        <v>2265</v>
      </c>
      <c r="D161" t="s">
        <v>11</v>
      </c>
      <c r="E161" t="s">
        <v>13</v>
      </c>
      <c r="F161" t="s">
        <v>1970</v>
      </c>
      <c r="G161" t="s">
        <v>12</v>
      </c>
      <c r="I161" t="s">
        <v>2268</v>
      </c>
      <c r="J161" t="s">
        <v>4350</v>
      </c>
      <c r="K161" s="9">
        <v>1.5142500000000001</v>
      </c>
      <c r="L161" s="9">
        <v>0.21550421989101029</v>
      </c>
      <c r="M161" s="10">
        <v>277.76287803745106</v>
      </c>
      <c r="N161" s="10">
        <v>305.53916584119617</v>
      </c>
    </row>
    <row r="162" spans="1:14">
      <c r="A162" t="s">
        <v>1967</v>
      </c>
      <c r="B162" t="s">
        <v>2269</v>
      </c>
      <c r="C162" t="s">
        <v>2270</v>
      </c>
      <c r="D162" t="s">
        <v>11</v>
      </c>
      <c r="E162" t="s">
        <v>13</v>
      </c>
      <c r="F162" t="s">
        <v>1970</v>
      </c>
      <c r="G162" t="s">
        <v>12</v>
      </c>
      <c r="I162" t="s">
        <v>2269</v>
      </c>
      <c r="J162" t="s">
        <v>4351</v>
      </c>
      <c r="K162" s="11">
        <v>14.973436301137328</v>
      </c>
      <c r="L162" s="9">
        <v>0.22648811597411739</v>
      </c>
      <c r="M162" s="10">
        <v>229.4298144936827</v>
      </c>
      <c r="N162" s="10">
        <v>252.37279594305099</v>
      </c>
    </row>
    <row r="163" spans="1:14">
      <c r="A163" t="s">
        <v>1967</v>
      </c>
      <c r="B163" t="s">
        <v>2271</v>
      </c>
      <c r="C163" t="s">
        <v>2272</v>
      </c>
      <c r="D163" t="s">
        <v>11</v>
      </c>
      <c r="E163" t="s">
        <v>13</v>
      </c>
      <c r="F163" t="s">
        <v>1970</v>
      </c>
      <c r="G163" t="s">
        <v>12</v>
      </c>
      <c r="I163" t="s">
        <v>2271</v>
      </c>
      <c r="J163" t="s">
        <v>4352</v>
      </c>
      <c r="K163" s="9">
        <v>4.9312500000000004</v>
      </c>
      <c r="L163" s="9">
        <v>0.22854031685996351</v>
      </c>
      <c r="M163" s="10">
        <v>242.39136189426611</v>
      </c>
      <c r="N163" s="10">
        <v>266.63049808369277</v>
      </c>
    </row>
    <row r="164" spans="1:14">
      <c r="A164" t="s">
        <v>1967</v>
      </c>
      <c r="B164" t="s">
        <v>2273</v>
      </c>
      <c r="C164" t="s">
        <v>2274</v>
      </c>
      <c r="D164" t="s">
        <v>11</v>
      </c>
      <c r="E164" t="s">
        <v>13</v>
      </c>
      <c r="F164" t="s">
        <v>1970</v>
      </c>
      <c r="G164" t="s">
        <v>12</v>
      </c>
      <c r="I164" t="s">
        <v>2273</v>
      </c>
      <c r="J164" t="s">
        <v>4353</v>
      </c>
      <c r="K164" s="11">
        <v>62.368584625997684</v>
      </c>
      <c r="L164" s="9">
        <v>0.2412333850375086</v>
      </c>
      <c r="M164" s="10">
        <v>507.64264932703298</v>
      </c>
      <c r="N164" s="10">
        <v>558.40691425973637</v>
      </c>
    </row>
    <row r="165" spans="1:14">
      <c r="A165" t="s">
        <v>1967</v>
      </c>
      <c r="B165" t="s">
        <v>2275</v>
      </c>
      <c r="C165" t="s">
        <v>2276</v>
      </c>
      <c r="D165" t="s">
        <v>11</v>
      </c>
      <c r="E165" t="s">
        <v>13</v>
      </c>
      <c r="F165" t="s">
        <v>1970</v>
      </c>
      <c r="G165" t="s">
        <v>12</v>
      </c>
      <c r="I165" t="s">
        <v>2275</v>
      </c>
      <c r="J165" t="s">
        <v>4354</v>
      </c>
      <c r="K165" s="9">
        <v>4.4125756213194487</v>
      </c>
      <c r="L165" s="9">
        <v>0.1578673617572911</v>
      </c>
      <c r="M165" s="10">
        <v>1026.0000636855607</v>
      </c>
      <c r="N165" s="10">
        <v>1128.6000700541169</v>
      </c>
    </row>
    <row r="166" spans="1:14">
      <c r="A166" t="s">
        <v>1967</v>
      </c>
      <c r="B166" t="s">
        <v>2277</v>
      </c>
      <c r="C166" t="s">
        <v>2278</v>
      </c>
      <c r="D166" t="s">
        <v>11</v>
      </c>
      <c r="E166" t="s">
        <v>13</v>
      </c>
      <c r="F166" t="s">
        <v>1970</v>
      </c>
      <c r="G166" t="s">
        <v>12</v>
      </c>
      <c r="I166" t="s">
        <v>2277</v>
      </c>
      <c r="J166" t="s">
        <v>4355</v>
      </c>
      <c r="K166" s="9">
        <v>6.0556601806755186</v>
      </c>
      <c r="L166" s="9">
        <v>0.16593494718653329</v>
      </c>
      <c r="M166" s="10">
        <v>962.52832539617123</v>
      </c>
      <c r="N166" s="10">
        <v>1058.7811579357885</v>
      </c>
    </row>
    <row r="167" spans="1:14">
      <c r="A167" t="s">
        <v>1967</v>
      </c>
      <c r="B167" t="s">
        <v>2279</v>
      </c>
      <c r="C167" t="s">
        <v>2276</v>
      </c>
      <c r="D167" t="s">
        <v>11</v>
      </c>
      <c r="E167" t="s">
        <v>13</v>
      </c>
      <c r="F167" t="s">
        <v>1970</v>
      </c>
      <c r="G167" t="s">
        <v>12</v>
      </c>
      <c r="I167" t="s">
        <v>2279</v>
      </c>
      <c r="J167" t="s">
        <v>4356</v>
      </c>
      <c r="K167" s="11">
        <v>12.610943249559696</v>
      </c>
      <c r="L167" s="9">
        <v>0.14784541853687611</v>
      </c>
      <c r="M167" s="10">
        <v>1160.1315352692184</v>
      </c>
      <c r="N167" s="10">
        <v>1276.1446887961404</v>
      </c>
    </row>
    <row r="168" spans="1:14">
      <c r="A168" t="s">
        <v>1967</v>
      </c>
      <c r="B168" t="s">
        <v>2280</v>
      </c>
      <c r="C168" t="s">
        <v>2276</v>
      </c>
      <c r="D168" t="s">
        <v>11</v>
      </c>
      <c r="E168" t="s">
        <v>13</v>
      </c>
      <c r="F168" t="s">
        <v>1970</v>
      </c>
      <c r="G168" t="s">
        <v>12</v>
      </c>
      <c r="I168" t="s">
        <v>2280</v>
      </c>
      <c r="J168" t="s">
        <v>4357</v>
      </c>
      <c r="K168" s="11">
        <v>34.111944870999338</v>
      </c>
      <c r="L168" s="9">
        <v>0.1490152437490786</v>
      </c>
      <c r="M168" s="10">
        <v>1187.6084007414006</v>
      </c>
      <c r="N168" s="10">
        <v>1306.3692408155407</v>
      </c>
    </row>
    <row r="169" spans="1:14">
      <c r="A169" t="s">
        <v>1967</v>
      </c>
      <c r="B169" t="s">
        <v>2281</v>
      </c>
      <c r="C169" t="s">
        <v>2276</v>
      </c>
      <c r="D169" t="s">
        <v>11</v>
      </c>
      <c r="E169" t="s">
        <v>13</v>
      </c>
      <c r="F169" t="s">
        <v>1970</v>
      </c>
      <c r="G169" t="s">
        <v>12</v>
      </c>
      <c r="I169" t="s">
        <v>2281</v>
      </c>
      <c r="J169" t="s">
        <v>4358</v>
      </c>
      <c r="K169" s="9">
        <v>7.6693619773122883</v>
      </c>
      <c r="L169" s="9">
        <v>0.1629325747244981</v>
      </c>
      <c r="M169" s="10">
        <v>661.03283924136849</v>
      </c>
      <c r="N169" s="10">
        <v>727.13612316550541</v>
      </c>
    </row>
    <row r="170" spans="1:14">
      <c r="A170" t="s">
        <v>1967</v>
      </c>
      <c r="B170" t="s">
        <v>2282</v>
      </c>
      <c r="C170" t="s">
        <v>2276</v>
      </c>
      <c r="D170" t="s">
        <v>11</v>
      </c>
      <c r="E170" t="s">
        <v>13</v>
      </c>
      <c r="F170" t="s">
        <v>1970</v>
      </c>
      <c r="G170" t="s">
        <v>12</v>
      </c>
      <c r="I170" t="s">
        <v>2282</v>
      </c>
      <c r="J170" t="s">
        <v>4359</v>
      </c>
      <c r="K170" s="9">
        <v>4.3261815671018962</v>
      </c>
      <c r="L170" s="9">
        <v>0.1594932022488211</v>
      </c>
      <c r="M170" s="10">
        <v>826.49503089708628</v>
      </c>
      <c r="N170" s="10">
        <v>909.14453398679495</v>
      </c>
    </row>
    <row r="171" spans="1:14">
      <c r="A171" t="s">
        <v>1967</v>
      </c>
      <c r="B171" t="s">
        <v>2283</v>
      </c>
      <c r="C171" t="s">
        <v>2284</v>
      </c>
      <c r="D171" t="s">
        <v>11</v>
      </c>
      <c r="E171" t="s">
        <v>13</v>
      </c>
      <c r="F171" t="s">
        <v>1970</v>
      </c>
      <c r="G171" t="s">
        <v>12</v>
      </c>
      <c r="I171" t="s">
        <v>2283</v>
      </c>
      <c r="J171" t="s">
        <v>4360</v>
      </c>
      <c r="K171" s="9">
        <v>2.6929327914187637</v>
      </c>
      <c r="L171" s="9">
        <v>0.1720573443310868</v>
      </c>
      <c r="M171" s="10">
        <v>769.65050570792744</v>
      </c>
      <c r="N171" s="10">
        <v>846.61555627872031</v>
      </c>
    </row>
    <row r="172" spans="1:14">
      <c r="A172" t="s">
        <v>1967</v>
      </c>
      <c r="B172" t="s">
        <v>2285</v>
      </c>
      <c r="C172" t="s">
        <v>2286</v>
      </c>
      <c r="D172" t="s">
        <v>11</v>
      </c>
      <c r="E172" t="s">
        <v>13</v>
      </c>
      <c r="F172" t="s">
        <v>1970</v>
      </c>
      <c r="G172" t="s">
        <v>12</v>
      </c>
      <c r="I172" t="s">
        <v>2285</v>
      </c>
      <c r="J172" t="s">
        <v>4361</v>
      </c>
      <c r="K172" s="11">
        <v>12.552202831788049</v>
      </c>
      <c r="L172" s="9">
        <v>0.1737698354395498</v>
      </c>
      <c r="M172" s="10">
        <v>869.98889451210744</v>
      </c>
      <c r="N172" s="10">
        <v>956.98778396331829</v>
      </c>
    </row>
    <row r="173" spans="1:14">
      <c r="A173" t="s">
        <v>1967</v>
      </c>
      <c r="B173" t="s">
        <v>2287</v>
      </c>
      <c r="C173" t="s">
        <v>2286</v>
      </c>
      <c r="D173" t="s">
        <v>11</v>
      </c>
      <c r="E173" t="s">
        <v>13</v>
      </c>
      <c r="F173" t="s">
        <v>1970</v>
      </c>
      <c r="G173" t="s">
        <v>12</v>
      </c>
      <c r="I173" t="s">
        <v>2287</v>
      </c>
      <c r="J173" t="s">
        <v>4362</v>
      </c>
      <c r="K173" s="9">
        <v>8.6798308628118956</v>
      </c>
      <c r="L173" s="9">
        <v>0.19669143859341071</v>
      </c>
      <c r="M173" s="10">
        <v>338.82670212151925</v>
      </c>
      <c r="N173" s="10">
        <v>372.70937233367118</v>
      </c>
    </row>
    <row r="174" spans="1:14">
      <c r="A174" t="s">
        <v>1967</v>
      </c>
      <c r="B174" t="s">
        <v>2288</v>
      </c>
      <c r="C174" t="s">
        <v>2289</v>
      </c>
      <c r="D174" t="s">
        <v>11</v>
      </c>
      <c r="E174" t="s">
        <v>13</v>
      </c>
      <c r="F174" t="s">
        <v>1970</v>
      </c>
      <c r="G174" t="s">
        <v>12</v>
      </c>
      <c r="I174" t="s">
        <v>2288</v>
      </c>
      <c r="J174" t="s">
        <v>4363</v>
      </c>
      <c r="K174" s="11">
        <v>57.638774002979801</v>
      </c>
      <c r="L174" s="9">
        <v>0.21653753505677731</v>
      </c>
      <c r="M174" s="10">
        <v>256.2700812998599</v>
      </c>
      <c r="N174" s="10">
        <v>281.89708942984589</v>
      </c>
    </row>
    <row r="175" spans="1:14">
      <c r="A175" t="s">
        <v>1967</v>
      </c>
      <c r="B175" t="s">
        <v>2290</v>
      </c>
      <c r="C175" t="s">
        <v>2291</v>
      </c>
      <c r="D175" t="s">
        <v>11</v>
      </c>
      <c r="E175" t="s">
        <v>13</v>
      </c>
      <c r="F175" t="s">
        <v>1970</v>
      </c>
      <c r="G175" t="s">
        <v>12</v>
      </c>
      <c r="I175" t="s">
        <v>2290</v>
      </c>
      <c r="J175" t="s">
        <v>4364</v>
      </c>
      <c r="K175" s="11">
        <v>21.311106618196199</v>
      </c>
      <c r="L175" s="9">
        <v>0.21101044826160681</v>
      </c>
      <c r="M175" s="10">
        <v>235.55252394306896</v>
      </c>
      <c r="N175" s="10">
        <v>259.10777633737587</v>
      </c>
    </row>
    <row r="176" spans="1:14">
      <c r="A176" t="s">
        <v>1967</v>
      </c>
      <c r="B176" t="s">
        <v>2292</v>
      </c>
      <c r="C176" t="s">
        <v>2293</v>
      </c>
      <c r="D176" t="s">
        <v>11</v>
      </c>
      <c r="E176" t="s">
        <v>13</v>
      </c>
      <c r="F176" t="s">
        <v>1970</v>
      </c>
      <c r="G176" t="s">
        <v>12</v>
      </c>
      <c r="I176" t="s">
        <v>2292</v>
      </c>
      <c r="J176" t="s">
        <v>4365</v>
      </c>
      <c r="K176" s="11">
        <v>18.684166769073009</v>
      </c>
      <c r="L176" s="9">
        <v>0.18010500063572449</v>
      </c>
      <c r="M176" s="10">
        <v>554.35064192842742</v>
      </c>
      <c r="N176" s="10">
        <v>609.78570612127021</v>
      </c>
    </row>
    <row r="177" spans="1:14">
      <c r="A177" t="s">
        <v>1967</v>
      </c>
      <c r="B177" t="s">
        <v>2294</v>
      </c>
      <c r="C177" t="s">
        <v>2295</v>
      </c>
      <c r="D177" t="s">
        <v>11</v>
      </c>
      <c r="E177" t="s">
        <v>13</v>
      </c>
      <c r="F177" t="s">
        <v>1970</v>
      </c>
      <c r="G177" t="s">
        <v>12</v>
      </c>
      <c r="I177" t="s">
        <v>2294</v>
      </c>
      <c r="J177" t="s">
        <v>4366</v>
      </c>
      <c r="K177" s="9">
        <v>3.8181952775851422</v>
      </c>
      <c r="L177" s="9">
        <v>0.1584083231358725</v>
      </c>
      <c r="M177" s="10">
        <v>1510.9735351465708</v>
      </c>
      <c r="N177" s="10">
        <v>1662.0708886612281</v>
      </c>
    </row>
    <row r="178" spans="1:14">
      <c r="A178" t="s">
        <v>1967</v>
      </c>
      <c r="B178" t="s">
        <v>2296</v>
      </c>
      <c r="C178" t="s">
        <v>2297</v>
      </c>
      <c r="D178" t="s">
        <v>11</v>
      </c>
      <c r="E178" t="s">
        <v>13</v>
      </c>
      <c r="F178" t="s">
        <v>1970</v>
      </c>
      <c r="G178" t="s">
        <v>12</v>
      </c>
      <c r="I178" t="s">
        <v>2296</v>
      </c>
      <c r="J178" t="s">
        <v>4367</v>
      </c>
      <c r="K178" s="9">
        <v>1.9445954049903618</v>
      </c>
      <c r="L178" s="9">
        <v>0.1906389031940213</v>
      </c>
      <c r="M178" s="10">
        <v>282.33154498500699</v>
      </c>
      <c r="N178" s="10">
        <v>310.5646994835077</v>
      </c>
    </row>
    <row r="179" spans="1:14">
      <c r="A179" t="s">
        <v>1967</v>
      </c>
      <c r="B179" t="s">
        <v>2298</v>
      </c>
      <c r="C179" t="s">
        <v>2293</v>
      </c>
      <c r="D179" t="s">
        <v>11</v>
      </c>
      <c r="E179" t="s">
        <v>13</v>
      </c>
      <c r="F179" t="s">
        <v>1970</v>
      </c>
      <c r="G179" t="s">
        <v>12</v>
      </c>
      <c r="I179" t="s">
        <v>2298</v>
      </c>
      <c r="J179" t="s">
        <v>4368</v>
      </c>
      <c r="K179" s="11">
        <v>12.503949750419528</v>
      </c>
      <c r="L179" s="9">
        <v>0.18156893149225301</v>
      </c>
      <c r="M179" s="10">
        <v>653.40999402306807</v>
      </c>
      <c r="N179" s="10">
        <v>718.75099342537499</v>
      </c>
    </row>
    <row r="180" spans="1:14">
      <c r="A180" t="s">
        <v>1967</v>
      </c>
      <c r="B180" t="s">
        <v>2299</v>
      </c>
      <c r="C180" t="s">
        <v>2300</v>
      </c>
      <c r="D180" t="s">
        <v>11</v>
      </c>
      <c r="E180" t="s">
        <v>13</v>
      </c>
      <c r="F180" t="s">
        <v>1970</v>
      </c>
      <c r="G180" t="s">
        <v>12</v>
      </c>
      <c r="I180" t="s">
        <v>2299</v>
      </c>
      <c r="J180" t="s">
        <v>4369</v>
      </c>
      <c r="K180" s="11">
        <v>19.294208625792383</v>
      </c>
      <c r="L180" s="9">
        <v>0.17567743162902569</v>
      </c>
      <c r="M180" s="10">
        <v>853.29240357006961</v>
      </c>
      <c r="N180" s="10">
        <v>938.62164392707666</v>
      </c>
    </row>
    <row r="181" spans="1:14">
      <c r="A181" t="s">
        <v>1967</v>
      </c>
      <c r="B181" t="s">
        <v>2301</v>
      </c>
      <c r="C181" t="s">
        <v>2302</v>
      </c>
      <c r="D181" t="s">
        <v>11</v>
      </c>
      <c r="E181" t="s">
        <v>13</v>
      </c>
      <c r="F181" t="s">
        <v>1970</v>
      </c>
      <c r="G181" t="s">
        <v>12</v>
      </c>
      <c r="I181" t="s">
        <v>2301</v>
      </c>
      <c r="J181" t="s">
        <v>4370</v>
      </c>
      <c r="K181" s="11">
        <v>10.009217423470183</v>
      </c>
      <c r="L181" s="9">
        <v>0.1703513303420213</v>
      </c>
      <c r="M181" s="10">
        <v>562.93595936246925</v>
      </c>
      <c r="N181" s="10">
        <v>619.22955529871626</v>
      </c>
    </row>
    <row r="182" spans="1:14">
      <c r="A182" t="s">
        <v>1967</v>
      </c>
      <c r="B182" t="s">
        <v>2303</v>
      </c>
      <c r="C182" t="s">
        <v>2300</v>
      </c>
      <c r="D182" t="s">
        <v>11</v>
      </c>
      <c r="E182" t="s">
        <v>13</v>
      </c>
      <c r="F182" t="s">
        <v>1970</v>
      </c>
      <c r="G182" t="s">
        <v>12</v>
      </c>
      <c r="I182" t="s">
        <v>2303</v>
      </c>
      <c r="J182" t="s">
        <v>4371</v>
      </c>
      <c r="K182" s="9">
        <v>4.5438411255984903</v>
      </c>
      <c r="L182" s="9">
        <v>0.17986958585580309</v>
      </c>
      <c r="M182" s="10">
        <v>393.21508690754399</v>
      </c>
      <c r="N182" s="10">
        <v>432.53659559829845</v>
      </c>
    </row>
    <row r="183" spans="1:14">
      <c r="A183" t="s">
        <v>1967</v>
      </c>
      <c r="B183" t="s">
        <v>2304</v>
      </c>
      <c r="C183" t="s">
        <v>2305</v>
      </c>
      <c r="D183" t="s">
        <v>11</v>
      </c>
      <c r="E183" t="s">
        <v>13</v>
      </c>
      <c r="F183" t="s">
        <v>1970</v>
      </c>
      <c r="G183" t="s">
        <v>12</v>
      </c>
      <c r="I183" t="s">
        <v>2304</v>
      </c>
      <c r="J183" t="s">
        <v>4372</v>
      </c>
      <c r="K183" s="9">
        <v>2.0018526470588842</v>
      </c>
      <c r="L183" s="9">
        <v>0.1872592870277357</v>
      </c>
      <c r="M183" s="11">
        <v>83.842091513470962</v>
      </c>
      <c r="N183" s="11">
        <v>92.226300664818069</v>
      </c>
    </row>
    <row r="184" spans="1:14">
      <c r="A184" t="s">
        <v>1967</v>
      </c>
      <c r="B184" t="s">
        <v>2306</v>
      </c>
      <c r="C184" t="s">
        <v>2307</v>
      </c>
      <c r="D184" t="s">
        <v>11</v>
      </c>
      <c r="E184" t="s">
        <v>13</v>
      </c>
      <c r="F184" t="s">
        <v>1970</v>
      </c>
      <c r="G184" t="s">
        <v>12</v>
      </c>
      <c r="I184" t="s">
        <v>2306</v>
      </c>
      <c r="J184" t="s">
        <v>4373</v>
      </c>
      <c r="K184" s="9">
        <v>7.809574016385648</v>
      </c>
      <c r="L184" s="9">
        <v>0.17757830913539011</v>
      </c>
      <c r="M184" s="10">
        <v>138.11450531983974</v>
      </c>
      <c r="N184" s="10">
        <v>151.92595585182372</v>
      </c>
    </row>
    <row r="185" spans="1:14">
      <c r="A185" t="s">
        <v>1967</v>
      </c>
      <c r="B185" t="s">
        <v>2308</v>
      </c>
      <c r="C185" t="s">
        <v>2309</v>
      </c>
      <c r="D185" t="s">
        <v>11</v>
      </c>
      <c r="E185" t="s">
        <v>13</v>
      </c>
      <c r="F185" t="s">
        <v>1970</v>
      </c>
      <c r="G185" t="s">
        <v>12</v>
      </c>
      <c r="I185" t="s">
        <v>2308</v>
      </c>
      <c r="J185" t="s">
        <v>4374</v>
      </c>
      <c r="K185" s="9">
        <v>7.1583506698829886</v>
      </c>
      <c r="L185" s="9">
        <v>0.1559021414684521</v>
      </c>
      <c r="M185" s="10">
        <v>345.71942927642482</v>
      </c>
      <c r="N185" s="10">
        <v>380.29137220406733</v>
      </c>
    </row>
    <row r="186" spans="1:14">
      <c r="A186" t="s">
        <v>1967</v>
      </c>
      <c r="B186" t="s">
        <v>2310</v>
      </c>
      <c r="C186" t="s">
        <v>2311</v>
      </c>
      <c r="D186" t="s">
        <v>11</v>
      </c>
      <c r="E186" t="s">
        <v>13</v>
      </c>
      <c r="F186" t="s">
        <v>1970</v>
      </c>
      <c r="G186" t="s">
        <v>12</v>
      </c>
      <c r="I186" t="s">
        <v>2310</v>
      </c>
      <c r="J186" t="s">
        <v>4375</v>
      </c>
      <c r="K186" s="9">
        <v>0.4239614990206918</v>
      </c>
      <c r="L186" s="9">
        <v>0.17677176335614239</v>
      </c>
      <c r="M186" s="10">
        <v>187.41925455155609</v>
      </c>
      <c r="N186" s="10">
        <v>206.16118000671173</v>
      </c>
    </row>
    <row r="187" spans="1:14">
      <c r="A187" t="s">
        <v>1967</v>
      </c>
      <c r="B187" t="s">
        <v>2312</v>
      </c>
      <c r="C187" t="s">
        <v>2276</v>
      </c>
      <c r="D187" t="s">
        <v>11</v>
      </c>
      <c r="E187" t="s">
        <v>13</v>
      </c>
      <c r="F187" t="s">
        <v>1970</v>
      </c>
      <c r="G187" t="s">
        <v>12</v>
      </c>
      <c r="I187" t="s">
        <v>2312</v>
      </c>
      <c r="J187" t="s">
        <v>4376</v>
      </c>
      <c r="K187" s="9">
        <v>4.4270484633177132</v>
      </c>
      <c r="L187" s="9">
        <v>0.16739202687139779</v>
      </c>
      <c r="M187" s="10">
        <v>317.84301916215344</v>
      </c>
      <c r="N187" s="10">
        <v>349.62732107836882</v>
      </c>
    </row>
    <row r="188" spans="1:14">
      <c r="A188" t="s">
        <v>1967</v>
      </c>
      <c r="B188" t="s">
        <v>2313</v>
      </c>
      <c r="C188" t="s">
        <v>2314</v>
      </c>
      <c r="D188" t="s">
        <v>11</v>
      </c>
      <c r="E188" t="s">
        <v>13</v>
      </c>
      <c r="F188" t="s">
        <v>1970</v>
      </c>
      <c r="G188" t="s">
        <v>12</v>
      </c>
      <c r="I188" t="s">
        <v>2313</v>
      </c>
      <c r="J188" t="s">
        <v>4377</v>
      </c>
      <c r="K188" s="9">
        <v>0.76034134828229827</v>
      </c>
      <c r="L188" s="9">
        <v>0.17854139677481451</v>
      </c>
      <c r="M188" s="11">
        <v>31.616604502860703</v>
      </c>
      <c r="N188" s="11">
        <v>34.778264953146774</v>
      </c>
    </row>
    <row r="189" spans="1:14">
      <c r="A189" t="s">
        <v>1967</v>
      </c>
      <c r="B189" t="s">
        <v>2315</v>
      </c>
      <c r="C189" t="s">
        <v>2316</v>
      </c>
      <c r="D189" t="s">
        <v>11</v>
      </c>
      <c r="E189" t="s">
        <v>13</v>
      </c>
      <c r="F189" t="s">
        <v>1970</v>
      </c>
      <c r="G189" t="s">
        <v>12</v>
      </c>
      <c r="I189" t="s">
        <v>2315</v>
      </c>
      <c r="J189" t="s">
        <v>4378</v>
      </c>
      <c r="K189" s="11">
        <v>10.356135789708583</v>
      </c>
      <c r="L189" s="9">
        <v>0.16320844777537699</v>
      </c>
      <c r="M189" s="9">
        <v>8.7386753779343938</v>
      </c>
      <c r="N189" s="9">
        <v>9.6125429157278344</v>
      </c>
    </row>
    <row r="190" spans="1:14">
      <c r="A190" t="s">
        <v>1967</v>
      </c>
      <c r="B190" t="s">
        <v>2317</v>
      </c>
      <c r="C190" t="s">
        <v>2318</v>
      </c>
      <c r="D190" t="s">
        <v>11</v>
      </c>
      <c r="E190" t="s">
        <v>13</v>
      </c>
      <c r="F190" t="s">
        <v>1970</v>
      </c>
      <c r="G190" t="s">
        <v>12</v>
      </c>
      <c r="I190" t="s">
        <v>2317</v>
      </c>
      <c r="J190" t="s">
        <v>4379</v>
      </c>
      <c r="K190" s="11">
        <v>13.566288342032459</v>
      </c>
      <c r="L190" s="9">
        <v>0.16482773087546851</v>
      </c>
      <c r="M190" s="11">
        <v>22.990161134755461</v>
      </c>
      <c r="N190" s="11">
        <v>25.28917724823101</v>
      </c>
    </row>
    <row r="191" spans="1:14">
      <c r="A191" t="s">
        <v>1967</v>
      </c>
      <c r="B191" t="s">
        <v>2319</v>
      </c>
      <c r="C191" t="s">
        <v>2320</v>
      </c>
      <c r="D191" t="s">
        <v>11</v>
      </c>
      <c r="E191" t="s">
        <v>13</v>
      </c>
      <c r="F191" t="s">
        <v>1970</v>
      </c>
      <c r="G191" t="s">
        <v>12</v>
      </c>
      <c r="I191" t="s">
        <v>2319</v>
      </c>
      <c r="J191" t="s">
        <v>4380</v>
      </c>
      <c r="K191" s="9">
        <v>0.52656024362040832</v>
      </c>
      <c r="L191" s="9">
        <v>0.1819000117606516</v>
      </c>
      <c r="M191" s="11">
        <v>63.327390103905039</v>
      </c>
      <c r="N191" s="11">
        <v>69.660129114295543</v>
      </c>
    </row>
    <row r="192" spans="1:14">
      <c r="A192" t="s">
        <v>1967</v>
      </c>
      <c r="B192" t="s">
        <v>2321</v>
      </c>
      <c r="C192" t="s">
        <v>2322</v>
      </c>
      <c r="D192" t="s">
        <v>11</v>
      </c>
      <c r="E192" t="s">
        <v>13</v>
      </c>
      <c r="F192" t="s">
        <v>1970</v>
      </c>
      <c r="G192" t="s">
        <v>12</v>
      </c>
      <c r="I192" t="s">
        <v>2321</v>
      </c>
      <c r="J192" t="s">
        <v>4381</v>
      </c>
      <c r="K192" s="9">
        <v>0.10686832725835528</v>
      </c>
      <c r="L192" s="9">
        <v>0.15149804780211179</v>
      </c>
      <c r="M192" s="10">
        <v>328.02194633220694</v>
      </c>
      <c r="N192" s="10">
        <v>360.82414096542766</v>
      </c>
    </row>
    <row r="193" spans="1:14">
      <c r="A193" t="s">
        <v>1967</v>
      </c>
      <c r="B193" t="s">
        <v>2323</v>
      </c>
      <c r="C193" t="s">
        <v>2324</v>
      </c>
      <c r="D193" t="s">
        <v>11</v>
      </c>
      <c r="E193" t="s">
        <v>13</v>
      </c>
      <c r="F193" t="s">
        <v>1970</v>
      </c>
      <c r="G193" t="s">
        <v>12</v>
      </c>
      <c r="I193" t="s">
        <v>2323</v>
      </c>
      <c r="J193" t="s">
        <v>4382</v>
      </c>
      <c r="K193" s="9">
        <v>2.1962234880020097</v>
      </c>
      <c r="L193" s="9">
        <v>0.19336242030969669</v>
      </c>
      <c r="M193" s="10">
        <v>341.04770680516799</v>
      </c>
      <c r="N193" s="10">
        <v>375.15247748568481</v>
      </c>
    </row>
    <row r="194" spans="1:14">
      <c r="A194" t="s">
        <v>1967</v>
      </c>
      <c r="B194" t="s">
        <v>2325</v>
      </c>
      <c r="C194" t="s">
        <v>2326</v>
      </c>
      <c r="D194" t="s">
        <v>11</v>
      </c>
      <c r="E194" t="s">
        <v>13</v>
      </c>
      <c r="F194" t="s">
        <v>1970</v>
      </c>
      <c r="G194" t="s">
        <v>12</v>
      </c>
      <c r="I194" t="s">
        <v>2325</v>
      </c>
      <c r="J194" t="s">
        <v>4383</v>
      </c>
      <c r="K194" s="9">
        <v>5.6984654547970619</v>
      </c>
      <c r="L194" s="9">
        <v>0.23392215803149199</v>
      </c>
      <c r="M194" s="11">
        <v>50.8906675232029</v>
      </c>
      <c r="N194" s="11">
        <v>55.979734275523192</v>
      </c>
    </row>
    <row r="195" spans="1:14">
      <c r="A195" t="s">
        <v>1967</v>
      </c>
      <c r="B195" t="s">
        <v>2327</v>
      </c>
      <c r="C195" t="s">
        <v>2328</v>
      </c>
      <c r="D195" t="s">
        <v>11</v>
      </c>
      <c r="E195" t="s">
        <v>13</v>
      </c>
      <c r="F195" t="s">
        <v>1970</v>
      </c>
      <c r="G195" t="s">
        <v>12</v>
      </c>
      <c r="I195" t="s">
        <v>2327</v>
      </c>
      <c r="J195" t="s">
        <v>4384</v>
      </c>
      <c r="K195" s="9">
        <v>2.4472758669054202</v>
      </c>
      <c r="L195" s="9">
        <v>0.20792985653104251</v>
      </c>
      <c r="M195" s="11">
        <v>87.133647035749419</v>
      </c>
      <c r="N195" s="11">
        <v>95.847011739324373</v>
      </c>
    </row>
    <row r="196" spans="1:14">
      <c r="A196" t="s">
        <v>1967</v>
      </c>
      <c r="B196" t="s">
        <v>2329</v>
      </c>
      <c r="C196" t="s">
        <v>2330</v>
      </c>
      <c r="D196" t="s">
        <v>11</v>
      </c>
      <c r="E196" t="s">
        <v>13</v>
      </c>
      <c r="F196" t="s">
        <v>1970</v>
      </c>
      <c r="G196" t="s">
        <v>12</v>
      </c>
      <c r="I196" t="s">
        <v>2329</v>
      </c>
      <c r="J196" t="s">
        <v>4385</v>
      </c>
      <c r="K196" s="10">
        <v>120.33999386346731</v>
      </c>
      <c r="L196" s="9">
        <v>0.29854797667301558</v>
      </c>
      <c r="M196" s="10">
        <v>102.51089739887811</v>
      </c>
      <c r="N196" s="10">
        <v>112.76198713876593</v>
      </c>
    </row>
    <row r="197" spans="1:14">
      <c r="A197" t="s">
        <v>1967</v>
      </c>
      <c r="B197" t="s">
        <v>2331</v>
      </c>
      <c r="C197" t="s">
        <v>2332</v>
      </c>
      <c r="D197" t="s">
        <v>11</v>
      </c>
      <c r="E197" t="s">
        <v>13</v>
      </c>
      <c r="F197" t="s">
        <v>1970</v>
      </c>
      <c r="G197" t="s">
        <v>12</v>
      </c>
      <c r="I197" t="s">
        <v>2331</v>
      </c>
      <c r="J197" t="s">
        <v>4386</v>
      </c>
      <c r="K197" s="11">
        <v>15.305503442103037</v>
      </c>
      <c r="L197" s="9">
        <v>0.2630205482152676</v>
      </c>
      <c r="M197" s="11">
        <v>86.244465046647846</v>
      </c>
      <c r="N197" s="11">
        <v>94.868911551312635</v>
      </c>
    </row>
    <row r="198" spans="1:14">
      <c r="A198" t="s">
        <v>1967</v>
      </c>
      <c r="B198" t="s">
        <v>2333</v>
      </c>
      <c r="C198" t="s">
        <v>2334</v>
      </c>
      <c r="D198" t="s">
        <v>11</v>
      </c>
      <c r="E198" t="s">
        <v>13</v>
      </c>
      <c r="F198" t="s">
        <v>1970</v>
      </c>
      <c r="G198" t="s">
        <v>12</v>
      </c>
      <c r="I198" t="s">
        <v>2333</v>
      </c>
      <c r="J198" t="s">
        <v>4387</v>
      </c>
      <c r="K198" s="10">
        <v>137.47766881247034</v>
      </c>
      <c r="L198" s="9">
        <v>0.20057553869361161</v>
      </c>
      <c r="M198" s="11">
        <v>42.177764454233362</v>
      </c>
      <c r="N198" s="11">
        <v>46.395540899656702</v>
      </c>
    </row>
    <row r="199" spans="1:14">
      <c r="A199" t="s">
        <v>1967</v>
      </c>
      <c r="B199" t="s">
        <v>2335</v>
      </c>
      <c r="C199" t="s">
        <v>2336</v>
      </c>
      <c r="D199" t="s">
        <v>11</v>
      </c>
      <c r="E199" t="s">
        <v>13</v>
      </c>
      <c r="F199" t="s">
        <v>1970</v>
      </c>
      <c r="G199" t="s">
        <v>12</v>
      </c>
      <c r="I199" t="s">
        <v>2335</v>
      </c>
      <c r="J199" t="s">
        <v>4388</v>
      </c>
      <c r="K199" s="10">
        <v>222.07903652502489</v>
      </c>
      <c r="L199" s="9">
        <v>0.18192200826762561</v>
      </c>
      <c r="M199" s="11">
        <v>63.479014169196162</v>
      </c>
      <c r="N199" s="11">
        <v>69.826915586115788</v>
      </c>
    </row>
    <row r="200" spans="1:14">
      <c r="A200" t="s">
        <v>1967</v>
      </c>
      <c r="B200" t="s">
        <v>2337</v>
      </c>
      <c r="C200" t="s">
        <v>2338</v>
      </c>
      <c r="D200" t="s">
        <v>11</v>
      </c>
      <c r="E200" t="s">
        <v>13</v>
      </c>
      <c r="F200" t="s">
        <v>1970</v>
      </c>
      <c r="G200" t="s">
        <v>12</v>
      </c>
      <c r="I200" t="s">
        <v>2337</v>
      </c>
      <c r="J200" t="s">
        <v>4389</v>
      </c>
      <c r="K200" s="10">
        <v>133.94265982687151</v>
      </c>
      <c r="L200" s="9">
        <v>0.15472210793400679</v>
      </c>
      <c r="M200" s="11">
        <v>39.67874826957096</v>
      </c>
      <c r="N200" s="11">
        <v>43.64662309652806</v>
      </c>
    </row>
    <row r="201" spans="1:14">
      <c r="A201" t="s">
        <v>1967</v>
      </c>
      <c r="B201" t="s">
        <v>2339</v>
      </c>
      <c r="C201" t="s">
        <v>2340</v>
      </c>
      <c r="D201" t="s">
        <v>11</v>
      </c>
      <c r="E201" t="s">
        <v>13</v>
      </c>
      <c r="F201" t="s">
        <v>1970</v>
      </c>
      <c r="G201" t="s">
        <v>12</v>
      </c>
      <c r="I201" t="s">
        <v>2339</v>
      </c>
      <c r="J201" t="s">
        <v>4390</v>
      </c>
      <c r="K201" s="10">
        <v>122.09326233790054</v>
      </c>
      <c r="L201" s="9">
        <v>0.15175950844485839</v>
      </c>
      <c r="M201" s="11">
        <v>54.908728679981941</v>
      </c>
      <c r="N201" s="11">
        <v>60.39960154798014</v>
      </c>
    </row>
    <row r="202" spans="1:14">
      <c r="A202" t="s">
        <v>1967</v>
      </c>
      <c r="B202" t="s">
        <v>2341</v>
      </c>
      <c r="C202" t="s">
        <v>2342</v>
      </c>
      <c r="D202" t="s">
        <v>11</v>
      </c>
      <c r="E202" t="s">
        <v>13</v>
      </c>
      <c r="F202" t="s">
        <v>1970</v>
      </c>
      <c r="G202" t="s">
        <v>12</v>
      </c>
      <c r="I202" t="s">
        <v>2341</v>
      </c>
      <c r="J202" t="s">
        <v>4391</v>
      </c>
      <c r="K202" s="10">
        <v>260.8050154340325</v>
      </c>
      <c r="L202" s="9">
        <v>0.18454534485083851</v>
      </c>
      <c r="M202" s="11">
        <v>50.961238498245706</v>
      </c>
      <c r="N202" s="11">
        <v>56.057362348070278</v>
      </c>
    </row>
    <row r="203" spans="1:14">
      <c r="A203" t="s">
        <v>1967</v>
      </c>
      <c r="B203" t="s">
        <v>2343</v>
      </c>
      <c r="C203" t="s">
        <v>2344</v>
      </c>
      <c r="D203" t="s">
        <v>11</v>
      </c>
      <c r="E203" t="s">
        <v>13</v>
      </c>
      <c r="F203" t="s">
        <v>1970</v>
      </c>
      <c r="G203" t="s">
        <v>12</v>
      </c>
      <c r="I203" t="s">
        <v>2343</v>
      </c>
      <c r="J203" t="s">
        <v>4392</v>
      </c>
      <c r="K203" s="11">
        <v>82.824258908307954</v>
      </c>
      <c r="L203" s="9">
        <v>0.15730426583036869</v>
      </c>
      <c r="M203" s="11">
        <v>55.276479007709682</v>
      </c>
      <c r="N203" s="11">
        <v>60.804126908480654</v>
      </c>
    </row>
    <row r="204" spans="1:14">
      <c r="A204" t="s">
        <v>1967</v>
      </c>
      <c r="B204" t="s">
        <v>2345</v>
      </c>
      <c r="C204" t="s">
        <v>2346</v>
      </c>
      <c r="D204" t="s">
        <v>11</v>
      </c>
      <c r="E204" t="s">
        <v>13</v>
      </c>
      <c r="F204" t="s">
        <v>1970</v>
      </c>
      <c r="G204" t="s">
        <v>12</v>
      </c>
      <c r="I204" t="s">
        <v>2345</v>
      </c>
      <c r="J204" t="s">
        <v>4393</v>
      </c>
      <c r="K204" s="11">
        <v>32.131052720965521</v>
      </c>
      <c r="L204" s="9">
        <v>0.14781243173211331</v>
      </c>
      <c r="M204" s="11">
        <v>68.5876766483198</v>
      </c>
      <c r="N204" s="11">
        <v>75.446444313151787</v>
      </c>
    </row>
    <row r="205" spans="1:14">
      <c r="A205" t="s">
        <v>1967</v>
      </c>
      <c r="B205" t="s">
        <v>2347</v>
      </c>
      <c r="C205" t="s">
        <v>2348</v>
      </c>
      <c r="D205" t="s">
        <v>11</v>
      </c>
      <c r="E205" t="s">
        <v>13</v>
      </c>
      <c r="F205" t="s">
        <v>1970</v>
      </c>
      <c r="G205" t="s">
        <v>12</v>
      </c>
      <c r="I205" t="s">
        <v>2347</v>
      </c>
      <c r="J205" t="s">
        <v>4394</v>
      </c>
      <c r="K205" s="11">
        <v>55.509860585036655</v>
      </c>
      <c r="L205" s="9">
        <v>0.17057869753980309</v>
      </c>
      <c r="M205" s="11">
        <v>58.301026525326279</v>
      </c>
      <c r="N205" s="11">
        <v>64.131129177858909</v>
      </c>
    </row>
    <row r="206" spans="1:14">
      <c r="A206" t="s">
        <v>1967</v>
      </c>
      <c r="B206" t="s">
        <v>2349</v>
      </c>
      <c r="C206" t="s">
        <v>2350</v>
      </c>
      <c r="D206" t="s">
        <v>11</v>
      </c>
      <c r="E206" t="s">
        <v>13</v>
      </c>
      <c r="F206" t="s">
        <v>1970</v>
      </c>
      <c r="G206" t="s">
        <v>12</v>
      </c>
      <c r="I206" t="s">
        <v>2349</v>
      </c>
      <c r="J206" t="s">
        <v>4395</v>
      </c>
      <c r="K206" s="10">
        <v>150.42583879480441</v>
      </c>
      <c r="L206" s="9">
        <v>0.1643044317925258</v>
      </c>
      <c r="M206" s="11">
        <v>52.674288759334928</v>
      </c>
      <c r="N206" s="11">
        <v>57.941717635268425</v>
      </c>
    </row>
    <row r="207" spans="1:14">
      <c r="A207" t="s">
        <v>1967</v>
      </c>
      <c r="B207" t="s">
        <v>2351</v>
      </c>
      <c r="C207" t="s">
        <v>2352</v>
      </c>
      <c r="D207" t="s">
        <v>11</v>
      </c>
      <c r="E207" t="s">
        <v>13</v>
      </c>
      <c r="F207" t="s">
        <v>1970</v>
      </c>
      <c r="G207" t="s">
        <v>12</v>
      </c>
      <c r="I207" t="s">
        <v>2351</v>
      </c>
      <c r="J207" t="s">
        <v>4396</v>
      </c>
      <c r="K207" s="10">
        <v>104.70353394666603</v>
      </c>
      <c r="L207" s="9">
        <v>0.1649540941956554</v>
      </c>
      <c r="M207" s="11">
        <v>67.561964263657373</v>
      </c>
      <c r="N207" s="11">
        <v>74.31816069002312</v>
      </c>
    </row>
    <row r="208" spans="1:14">
      <c r="A208" t="s">
        <v>1967</v>
      </c>
      <c r="B208" t="s">
        <v>2353</v>
      </c>
      <c r="C208" t="s">
        <v>2354</v>
      </c>
      <c r="D208" t="s">
        <v>11</v>
      </c>
      <c r="E208" t="s">
        <v>13</v>
      </c>
      <c r="F208" t="s">
        <v>1970</v>
      </c>
      <c r="G208" t="s">
        <v>12</v>
      </c>
      <c r="I208" t="s">
        <v>2353</v>
      </c>
      <c r="J208" t="s">
        <v>4397</v>
      </c>
      <c r="K208" s="10">
        <v>282.25751875926841</v>
      </c>
      <c r="L208" s="9">
        <v>0.20278116010362729</v>
      </c>
      <c r="M208" s="10">
        <v>121.37235458798216</v>
      </c>
      <c r="N208" s="10">
        <v>133.50959004678037</v>
      </c>
    </row>
    <row r="209" spans="1:14">
      <c r="A209" t="s">
        <v>1967</v>
      </c>
      <c r="B209" t="s">
        <v>2355</v>
      </c>
      <c r="C209" t="s">
        <v>2356</v>
      </c>
      <c r="D209" t="s">
        <v>11</v>
      </c>
      <c r="E209" t="s">
        <v>13</v>
      </c>
      <c r="F209" t="s">
        <v>1970</v>
      </c>
      <c r="G209" t="s">
        <v>12</v>
      </c>
      <c r="I209" t="s">
        <v>2355</v>
      </c>
      <c r="J209" t="s">
        <v>4398</v>
      </c>
      <c r="K209" s="10">
        <v>131.50769775764445</v>
      </c>
      <c r="L209" s="9">
        <v>0.19726130718076121</v>
      </c>
      <c r="M209" s="10">
        <v>303.1572563545991</v>
      </c>
      <c r="N209" s="10">
        <v>333.47298199005905</v>
      </c>
    </row>
    <row r="210" spans="1:14">
      <c r="A210" t="s">
        <v>1967</v>
      </c>
      <c r="B210" t="s">
        <v>2357</v>
      </c>
      <c r="C210" t="s">
        <v>2358</v>
      </c>
      <c r="D210" t="s">
        <v>11</v>
      </c>
      <c r="E210" t="s">
        <v>13</v>
      </c>
      <c r="F210" t="s">
        <v>1970</v>
      </c>
      <c r="G210" t="s">
        <v>12</v>
      </c>
      <c r="I210" t="s">
        <v>2357</v>
      </c>
      <c r="J210" t="s">
        <v>4399</v>
      </c>
      <c r="K210" s="10">
        <v>315.33157174832371</v>
      </c>
      <c r="L210" s="9">
        <v>0.19907084814689591</v>
      </c>
      <c r="M210" s="10">
        <v>139.87542714766178</v>
      </c>
      <c r="N210" s="10">
        <v>153.86296986242797</v>
      </c>
    </row>
    <row r="211" spans="1:14">
      <c r="A211" t="s">
        <v>1967</v>
      </c>
      <c r="B211" t="s">
        <v>2359</v>
      </c>
      <c r="C211" t="s">
        <v>2360</v>
      </c>
      <c r="D211" t="s">
        <v>11</v>
      </c>
      <c r="E211" t="s">
        <v>13</v>
      </c>
      <c r="F211" t="s">
        <v>1970</v>
      </c>
      <c r="G211" t="s">
        <v>12</v>
      </c>
      <c r="I211" t="s">
        <v>2359</v>
      </c>
      <c r="J211" t="s">
        <v>4400</v>
      </c>
      <c r="K211" s="10">
        <v>335.05339825230135</v>
      </c>
      <c r="L211" s="9">
        <v>0.20931971268864011</v>
      </c>
      <c r="M211" s="10">
        <v>426.46632767546282</v>
      </c>
      <c r="N211" s="10">
        <v>469.11296044300911</v>
      </c>
    </row>
    <row r="212" spans="1:14">
      <c r="A212" t="s">
        <v>1967</v>
      </c>
      <c r="B212" t="s">
        <v>2361</v>
      </c>
      <c r="C212" t="s">
        <v>2360</v>
      </c>
      <c r="D212" t="s">
        <v>11</v>
      </c>
      <c r="E212" t="s">
        <v>13</v>
      </c>
      <c r="F212" t="s">
        <v>1970</v>
      </c>
      <c r="G212" t="s">
        <v>12</v>
      </c>
      <c r="I212" t="s">
        <v>2361</v>
      </c>
      <c r="J212" t="s">
        <v>4401</v>
      </c>
      <c r="K212" s="10">
        <v>279.76523932503818</v>
      </c>
      <c r="L212" s="9">
        <v>0.191189317247173</v>
      </c>
      <c r="M212" s="10">
        <v>405.79931289625682</v>
      </c>
      <c r="N212" s="10">
        <v>446.37924418588256</v>
      </c>
    </row>
    <row r="213" spans="1:14">
      <c r="A213" t="s">
        <v>1967</v>
      </c>
      <c r="B213" t="s">
        <v>2362</v>
      </c>
      <c r="C213" t="s">
        <v>2363</v>
      </c>
      <c r="D213" t="s">
        <v>11</v>
      </c>
      <c r="E213" t="s">
        <v>13</v>
      </c>
      <c r="F213" t="s">
        <v>1970</v>
      </c>
      <c r="G213" t="s">
        <v>12</v>
      </c>
      <c r="I213" t="s">
        <v>2362</v>
      </c>
      <c r="J213" t="s">
        <v>4402</v>
      </c>
      <c r="K213" s="10">
        <v>302.16067062025621</v>
      </c>
      <c r="L213" s="9">
        <v>0.23286467020453619</v>
      </c>
      <c r="M213" s="10">
        <v>307.49589532231431</v>
      </c>
      <c r="N213" s="10">
        <v>338.24548485454579</v>
      </c>
    </row>
    <row r="214" spans="1:14">
      <c r="A214" t="s">
        <v>1967</v>
      </c>
      <c r="B214" t="s">
        <v>2364</v>
      </c>
      <c r="C214" t="s">
        <v>2365</v>
      </c>
      <c r="D214" t="s">
        <v>11</v>
      </c>
      <c r="E214" t="s">
        <v>13</v>
      </c>
      <c r="F214" t="s">
        <v>1970</v>
      </c>
      <c r="G214" t="s">
        <v>12</v>
      </c>
      <c r="I214" t="s">
        <v>2364</v>
      </c>
      <c r="J214" t="s">
        <v>4403</v>
      </c>
      <c r="K214" s="10">
        <v>419.43998815302513</v>
      </c>
      <c r="L214" s="9">
        <v>0.25726332754014469</v>
      </c>
      <c r="M214" s="10">
        <v>687.71456150614915</v>
      </c>
      <c r="N214" s="10">
        <v>756.48601765676415</v>
      </c>
    </row>
    <row r="215" spans="1:14">
      <c r="A215" t="s">
        <v>1967</v>
      </c>
      <c r="B215" t="s">
        <v>2366</v>
      </c>
      <c r="C215" t="s">
        <v>2367</v>
      </c>
      <c r="D215" t="s">
        <v>11</v>
      </c>
      <c r="E215" t="s">
        <v>13</v>
      </c>
      <c r="F215" t="s">
        <v>1970</v>
      </c>
      <c r="G215" t="s">
        <v>12</v>
      </c>
      <c r="I215" t="s">
        <v>2366</v>
      </c>
      <c r="J215" t="s">
        <v>4404</v>
      </c>
      <c r="K215" s="10">
        <v>712.69156736973252</v>
      </c>
      <c r="L215" s="9">
        <v>0.26163668511088378</v>
      </c>
      <c r="M215" s="10">
        <v>868.04126126162805</v>
      </c>
      <c r="N215" s="10">
        <v>954.84538738779088</v>
      </c>
    </row>
    <row r="216" spans="1:14">
      <c r="A216" t="s">
        <v>1967</v>
      </c>
      <c r="B216" t="s">
        <v>2368</v>
      </c>
      <c r="C216" t="s">
        <v>2367</v>
      </c>
      <c r="D216" t="s">
        <v>11</v>
      </c>
      <c r="E216" t="s">
        <v>13</v>
      </c>
      <c r="F216" t="s">
        <v>1970</v>
      </c>
      <c r="G216" t="s">
        <v>12</v>
      </c>
      <c r="I216" t="s">
        <v>2368</v>
      </c>
      <c r="J216" t="s">
        <v>4405</v>
      </c>
      <c r="K216" s="10">
        <v>218.48636409811652</v>
      </c>
      <c r="L216" s="9">
        <v>0.22616053665039279</v>
      </c>
      <c r="M216" s="10">
        <v>495.35727159922601</v>
      </c>
      <c r="N216" s="10">
        <v>544.89299875914867</v>
      </c>
    </row>
    <row r="217" spans="1:14">
      <c r="A217" t="s">
        <v>1967</v>
      </c>
      <c r="B217" t="s">
        <v>2369</v>
      </c>
      <c r="C217" t="s">
        <v>2367</v>
      </c>
      <c r="D217" t="s">
        <v>11</v>
      </c>
      <c r="E217" t="s">
        <v>13</v>
      </c>
      <c r="F217" t="s">
        <v>1970</v>
      </c>
      <c r="G217" t="s">
        <v>12</v>
      </c>
      <c r="I217" t="s">
        <v>2369</v>
      </c>
      <c r="J217" t="s">
        <v>4406</v>
      </c>
      <c r="K217" s="10">
        <v>737.8683982974178</v>
      </c>
      <c r="L217" s="9">
        <v>0.25030724691256268</v>
      </c>
      <c r="M217" s="10">
        <v>404.54252778344528</v>
      </c>
      <c r="N217" s="10">
        <v>444.99678056178982</v>
      </c>
    </row>
    <row r="218" spans="1:14">
      <c r="A218" t="s">
        <v>1967</v>
      </c>
      <c r="B218" t="s">
        <v>2370</v>
      </c>
      <c r="C218" t="s">
        <v>2371</v>
      </c>
      <c r="D218" t="s">
        <v>11</v>
      </c>
      <c r="E218" t="s">
        <v>13</v>
      </c>
      <c r="F218" t="s">
        <v>1970</v>
      </c>
      <c r="G218" t="s">
        <v>12</v>
      </c>
      <c r="I218" t="s">
        <v>2370</v>
      </c>
      <c r="J218" t="s">
        <v>4407</v>
      </c>
      <c r="K218" s="11">
        <v>14.358294683260688</v>
      </c>
      <c r="L218" s="9">
        <v>0.2034100880550653</v>
      </c>
      <c r="M218" s="10">
        <v>164.80545072705925</v>
      </c>
      <c r="N218" s="10">
        <v>181.2859957997652</v>
      </c>
    </row>
    <row r="219" spans="1:14">
      <c r="A219" t="s">
        <v>1967</v>
      </c>
      <c r="B219" t="s">
        <v>2372</v>
      </c>
      <c r="C219" t="s">
        <v>2373</v>
      </c>
      <c r="D219" t="s">
        <v>11</v>
      </c>
      <c r="E219" t="s">
        <v>13</v>
      </c>
      <c r="F219" t="s">
        <v>1970</v>
      </c>
      <c r="G219" t="s">
        <v>12</v>
      </c>
      <c r="I219" t="s">
        <v>2372</v>
      </c>
      <c r="J219" t="s">
        <v>4408</v>
      </c>
      <c r="K219" s="11">
        <v>30.996367345128991</v>
      </c>
      <c r="L219" s="9">
        <v>0.18758229559432429</v>
      </c>
      <c r="M219" s="10">
        <v>122.52833249203982</v>
      </c>
      <c r="N219" s="10">
        <v>134.78116574124383</v>
      </c>
    </row>
    <row r="220" spans="1:14">
      <c r="A220" t="s">
        <v>1967</v>
      </c>
      <c r="B220" t="s">
        <v>2374</v>
      </c>
      <c r="C220" t="s">
        <v>2375</v>
      </c>
      <c r="D220" t="s">
        <v>11</v>
      </c>
      <c r="E220" t="s">
        <v>13</v>
      </c>
      <c r="F220" t="s">
        <v>1970</v>
      </c>
      <c r="G220" t="s">
        <v>12</v>
      </c>
      <c r="I220" t="s">
        <v>2374</v>
      </c>
      <c r="J220" t="s">
        <v>4409</v>
      </c>
      <c r="K220" s="10">
        <v>225.61936350395678</v>
      </c>
      <c r="L220" s="9">
        <v>0.2046712048880395</v>
      </c>
      <c r="M220" s="11">
        <v>49.027280167306223</v>
      </c>
      <c r="N220" s="11">
        <v>53.930008184036851</v>
      </c>
    </row>
    <row r="221" spans="1:14">
      <c r="A221" t="s">
        <v>1967</v>
      </c>
      <c r="B221" t="s">
        <v>2376</v>
      </c>
      <c r="C221" t="s">
        <v>2377</v>
      </c>
      <c r="D221" t="s">
        <v>11</v>
      </c>
      <c r="E221" t="s">
        <v>13</v>
      </c>
      <c r="F221" t="s">
        <v>1970</v>
      </c>
      <c r="G221" t="s">
        <v>12</v>
      </c>
      <c r="I221" t="s">
        <v>2376</v>
      </c>
      <c r="J221" t="s">
        <v>4410</v>
      </c>
      <c r="K221" s="10">
        <v>338.69303111424625</v>
      </c>
      <c r="L221" s="9">
        <v>0.21678710772936971</v>
      </c>
      <c r="M221" s="10">
        <v>185.82132861245728</v>
      </c>
      <c r="N221" s="10">
        <v>204.40346147370303</v>
      </c>
    </row>
    <row r="222" spans="1:14">
      <c r="A222" t="s">
        <v>1967</v>
      </c>
      <c r="B222" t="s">
        <v>2378</v>
      </c>
      <c r="C222" t="s">
        <v>2379</v>
      </c>
      <c r="D222" t="s">
        <v>11</v>
      </c>
      <c r="E222" t="s">
        <v>13</v>
      </c>
      <c r="F222" t="s">
        <v>1970</v>
      </c>
      <c r="G222" t="s">
        <v>12</v>
      </c>
      <c r="I222" t="s">
        <v>2378</v>
      </c>
      <c r="J222" t="s">
        <v>4411</v>
      </c>
      <c r="K222" s="10">
        <v>478.91835006202393</v>
      </c>
      <c r="L222" s="9">
        <v>0.24363281290889729</v>
      </c>
      <c r="M222" s="10">
        <v>265.69382236239682</v>
      </c>
      <c r="N222" s="10">
        <v>292.26320459863655</v>
      </c>
    </row>
    <row r="223" spans="1:14">
      <c r="A223" t="s">
        <v>1967</v>
      </c>
      <c r="B223" t="s">
        <v>2380</v>
      </c>
      <c r="C223" t="s">
        <v>2381</v>
      </c>
      <c r="D223" t="s">
        <v>11</v>
      </c>
      <c r="E223" t="s">
        <v>13</v>
      </c>
      <c r="F223" t="s">
        <v>1970</v>
      </c>
      <c r="G223" t="s">
        <v>12</v>
      </c>
      <c r="I223" t="s">
        <v>2380</v>
      </c>
      <c r="J223" t="s">
        <v>4412</v>
      </c>
      <c r="K223" s="10">
        <v>393.07092131049268</v>
      </c>
      <c r="L223" s="9">
        <v>0.2187560295113074</v>
      </c>
      <c r="M223" s="11">
        <v>78.351218115894</v>
      </c>
      <c r="N223" s="11">
        <v>86.186339927483402</v>
      </c>
    </row>
    <row r="224" spans="1:14">
      <c r="A224" t="s">
        <v>1967</v>
      </c>
      <c r="B224" t="s">
        <v>2382</v>
      </c>
      <c r="C224" t="s">
        <v>2383</v>
      </c>
      <c r="D224" t="s">
        <v>11</v>
      </c>
      <c r="E224" t="s">
        <v>13</v>
      </c>
      <c r="F224" t="s">
        <v>1970</v>
      </c>
      <c r="G224" t="s">
        <v>12</v>
      </c>
      <c r="I224" t="s">
        <v>2382</v>
      </c>
      <c r="J224" t="s">
        <v>4413</v>
      </c>
      <c r="K224" s="11">
        <v>26.708817946017444</v>
      </c>
      <c r="L224" s="9">
        <v>0.17060439212891529</v>
      </c>
      <c r="M224" s="10">
        <v>109.82010128520361</v>
      </c>
      <c r="N224" s="10">
        <v>120.80211141372398</v>
      </c>
    </row>
    <row r="225" spans="1:14">
      <c r="A225" t="s">
        <v>1967</v>
      </c>
      <c r="B225" t="s">
        <v>2384</v>
      </c>
      <c r="C225" t="s">
        <v>2385</v>
      </c>
      <c r="D225" t="s">
        <v>11</v>
      </c>
      <c r="E225" t="s">
        <v>13</v>
      </c>
      <c r="F225" t="s">
        <v>1970</v>
      </c>
      <c r="G225" t="s">
        <v>12</v>
      </c>
      <c r="I225" t="s">
        <v>2384</v>
      </c>
      <c r="J225" t="s">
        <v>4414</v>
      </c>
      <c r="K225" s="11">
        <v>34.58725406436767</v>
      </c>
      <c r="L225" s="9">
        <v>0.1898114540856404</v>
      </c>
      <c r="M225" s="10">
        <v>209.29326660948252</v>
      </c>
      <c r="N225" s="10">
        <v>230.22259327043079</v>
      </c>
    </row>
    <row r="226" spans="1:14">
      <c r="A226" t="s">
        <v>1967</v>
      </c>
      <c r="B226" t="s">
        <v>2386</v>
      </c>
      <c r="C226" t="s">
        <v>2387</v>
      </c>
      <c r="D226" t="s">
        <v>11</v>
      </c>
      <c r="E226" t="s">
        <v>13</v>
      </c>
      <c r="F226" t="s">
        <v>1970</v>
      </c>
      <c r="G226" t="s">
        <v>12</v>
      </c>
      <c r="I226" t="s">
        <v>2386</v>
      </c>
      <c r="J226" t="s">
        <v>4415</v>
      </c>
      <c r="K226" s="9">
        <v>9.0830504942632544</v>
      </c>
      <c r="L226" s="9">
        <v>0.19250399972490609</v>
      </c>
      <c r="M226" s="11">
        <v>60.53531603820106</v>
      </c>
      <c r="N226" s="11">
        <v>66.588847642021165</v>
      </c>
    </row>
    <row r="227" spans="1:14">
      <c r="A227" t="s">
        <v>1967</v>
      </c>
      <c r="B227" t="s">
        <v>2388</v>
      </c>
      <c r="C227" t="s">
        <v>2389</v>
      </c>
      <c r="D227" t="s">
        <v>11</v>
      </c>
      <c r="E227" t="s">
        <v>13</v>
      </c>
      <c r="F227" t="s">
        <v>1970</v>
      </c>
      <c r="G227" t="s">
        <v>12</v>
      </c>
      <c r="I227" t="s">
        <v>2388</v>
      </c>
      <c r="J227" t="s">
        <v>4416</v>
      </c>
      <c r="K227" s="11">
        <v>30.728822210325749</v>
      </c>
      <c r="L227" s="9">
        <v>0.22437476651291979</v>
      </c>
      <c r="M227" s="10">
        <v>102.94724548258333</v>
      </c>
      <c r="N227" s="10">
        <v>113.24197003084167</v>
      </c>
    </row>
    <row r="228" spans="1:14">
      <c r="A228" t="s">
        <v>1967</v>
      </c>
      <c r="B228" t="s">
        <v>2390</v>
      </c>
      <c r="C228" t="s">
        <v>2391</v>
      </c>
      <c r="D228" t="s">
        <v>11</v>
      </c>
      <c r="E228" t="s">
        <v>13</v>
      </c>
      <c r="F228" t="s">
        <v>1970</v>
      </c>
      <c r="G228" t="s">
        <v>12</v>
      </c>
      <c r="I228" t="s">
        <v>2390</v>
      </c>
      <c r="J228" t="s">
        <v>4417</v>
      </c>
      <c r="K228" s="11">
        <v>73.682165387999589</v>
      </c>
      <c r="L228" s="9">
        <v>0.17413066080034509</v>
      </c>
      <c r="M228" s="11">
        <v>58.065009871722566</v>
      </c>
      <c r="N228" s="11">
        <v>63.87151085889483</v>
      </c>
    </row>
    <row r="229" spans="1:14">
      <c r="A229" t="s">
        <v>1967</v>
      </c>
      <c r="B229" t="s">
        <v>2392</v>
      </c>
      <c r="C229" t="s">
        <v>2393</v>
      </c>
      <c r="D229" t="s">
        <v>11</v>
      </c>
      <c r="E229" t="s">
        <v>13</v>
      </c>
      <c r="F229" t="s">
        <v>1970</v>
      </c>
      <c r="G229" t="s">
        <v>12</v>
      </c>
      <c r="I229" t="s">
        <v>2392</v>
      </c>
      <c r="J229" t="s">
        <v>4418</v>
      </c>
      <c r="K229" s="11">
        <v>10.481123686028933</v>
      </c>
      <c r="L229" s="9">
        <v>0.18088332507335519</v>
      </c>
      <c r="M229" s="11">
        <v>89.249114010683684</v>
      </c>
      <c r="N229" s="11">
        <v>98.174025411752055</v>
      </c>
    </row>
    <row r="230" spans="1:14">
      <c r="A230" t="s">
        <v>1967</v>
      </c>
      <c r="B230" t="s">
        <v>2394</v>
      </c>
      <c r="C230" t="s">
        <v>2395</v>
      </c>
      <c r="D230" t="s">
        <v>11</v>
      </c>
      <c r="E230" t="s">
        <v>13</v>
      </c>
      <c r="F230" t="s">
        <v>1970</v>
      </c>
      <c r="G230" t="s">
        <v>12</v>
      </c>
      <c r="I230" t="s">
        <v>2394</v>
      </c>
      <c r="J230" t="s">
        <v>4419</v>
      </c>
      <c r="K230" s="11">
        <v>64.378726107886365</v>
      </c>
      <c r="L230" s="9">
        <v>0.17662415180837771</v>
      </c>
      <c r="M230" s="11">
        <v>52.199821535262323</v>
      </c>
      <c r="N230" s="11">
        <v>57.419803688788562</v>
      </c>
    </row>
    <row r="231" spans="1:14">
      <c r="A231" t="s">
        <v>1967</v>
      </c>
      <c r="B231" t="s">
        <v>2396</v>
      </c>
      <c r="C231" t="s">
        <v>2397</v>
      </c>
      <c r="D231" t="s">
        <v>11</v>
      </c>
      <c r="E231" t="s">
        <v>13</v>
      </c>
      <c r="F231" t="s">
        <v>1970</v>
      </c>
      <c r="G231" t="s">
        <v>12</v>
      </c>
      <c r="I231" t="s">
        <v>2396</v>
      </c>
      <c r="J231" t="s">
        <v>4420</v>
      </c>
      <c r="K231" s="11">
        <v>47.910552779315751</v>
      </c>
      <c r="L231" s="9">
        <v>0.18986184808558651</v>
      </c>
      <c r="M231" s="11">
        <v>78.419818911451515</v>
      </c>
      <c r="N231" s="11">
        <v>86.261800802596667</v>
      </c>
    </row>
    <row r="232" spans="1:14">
      <c r="A232" t="s">
        <v>1967</v>
      </c>
      <c r="B232" t="s">
        <v>2398</v>
      </c>
      <c r="C232" t="s">
        <v>2399</v>
      </c>
      <c r="D232" t="s">
        <v>11</v>
      </c>
      <c r="E232" t="s">
        <v>13</v>
      </c>
      <c r="F232" t="s">
        <v>1970</v>
      </c>
      <c r="G232" t="s">
        <v>12</v>
      </c>
      <c r="I232" t="s">
        <v>2398</v>
      </c>
      <c r="J232" t="s">
        <v>4421</v>
      </c>
      <c r="K232" s="11">
        <v>51.843432339285044</v>
      </c>
      <c r="L232" s="9">
        <v>0.15511732181419779</v>
      </c>
      <c r="M232" s="10">
        <v>164.51375857094652</v>
      </c>
      <c r="N232" s="10">
        <v>180.96513442804118</v>
      </c>
    </row>
    <row r="233" spans="1:14">
      <c r="A233" t="s">
        <v>1967</v>
      </c>
      <c r="B233" t="s">
        <v>2400</v>
      </c>
      <c r="C233" t="s">
        <v>2401</v>
      </c>
      <c r="D233" t="s">
        <v>11</v>
      </c>
      <c r="E233" t="s">
        <v>13</v>
      </c>
      <c r="F233" t="s">
        <v>1970</v>
      </c>
      <c r="G233" t="s">
        <v>12</v>
      </c>
      <c r="I233" t="s">
        <v>2400</v>
      </c>
      <c r="J233" t="s">
        <v>4422</v>
      </c>
      <c r="K233" s="11">
        <v>76.936815052823633</v>
      </c>
      <c r="L233" s="9">
        <v>0.154692246431196</v>
      </c>
      <c r="M233" s="11">
        <v>92.520404940746644</v>
      </c>
      <c r="N233" s="10">
        <v>101.77244543482132</v>
      </c>
    </row>
    <row r="234" spans="1:14">
      <c r="A234" t="s">
        <v>1967</v>
      </c>
      <c r="B234" t="s">
        <v>2402</v>
      </c>
      <c r="C234" t="s">
        <v>2403</v>
      </c>
      <c r="D234" t="s">
        <v>11</v>
      </c>
      <c r="E234" t="s">
        <v>13</v>
      </c>
      <c r="F234" t="s">
        <v>1970</v>
      </c>
      <c r="G234" t="s">
        <v>12</v>
      </c>
      <c r="I234" t="s">
        <v>2402</v>
      </c>
      <c r="J234" t="s">
        <v>4423</v>
      </c>
      <c r="K234" s="10">
        <v>121.39945663368904</v>
      </c>
      <c r="L234" s="9">
        <v>0.24429690149301411</v>
      </c>
      <c r="M234" s="10">
        <v>102.3140973572342</v>
      </c>
      <c r="N234" s="10">
        <v>112.54550709295764</v>
      </c>
    </row>
    <row r="235" spans="1:14">
      <c r="A235" t="s">
        <v>1967</v>
      </c>
      <c r="B235" t="s">
        <v>2404</v>
      </c>
      <c r="C235" t="s">
        <v>2405</v>
      </c>
      <c r="D235" t="s">
        <v>11</v>
      </c>
      <c r="E235" t="s">
        <v>13</v>
      </c>
      <c r="F235" t="s">
        <v>1970</v>
      </c>
      <c r="G235" t="s">
        <v>12</v>
      </c>
      <c r="I235" t="s">
        <v>2404</v>
      </c>
      <c r="J235" t="s">
        <v>4424</v>
      </c>
      <c r="K235" s="10">
        <v>224.8622165489478</v>
      </c>
      <c r="L235" s="9">
        <v>0.2224240209521901</v>
      </c>
      <c r="M235" s="10">
        <v>128.73607463072526</v>
      </c>
      <c r="N235" s="10">
        <v>141.6096820937978</v>
      </c>
    </row>
    <row r="236" spans="1:14">
      <c r="A236" t="s">
        <v>1967</v>
      </c>
      <c r="B236" t="s">
        <v>2406</v>
      </c>
      <c r="C236" t="s">
        <v>2407</v>
      </c>
      <c r="D236" t="s">
        <v>11</v>
      </c>
      <c r="E236" t="s">
        <v>13</v>
      </c>
      <c r="F236" t="s">
        <v>1970</v>
      </c>
      <c r="G236" t="s">
        <v>12</v>
      </c>
      <c r="I236" t="s">
        <v>2406</v>
      </c>
      <c r="J236" t="s">
        <v>4425</v>
      </c>
      <c r="K236" s="10">
        <v>144.87893973554327</v>
      </c>
      <c r="L236" s="9">
        <v>0.1771292512807352</v>
      </c>
      <c r="M236" s="10">
        <v>126.52936132041272</v>
      </c>
      <c r="N236" s="10">
        <v>139.18229745245401</v>
      </c>
    </row>
    <row r="237" spans="1:14">
      <c r="A237" t="s">
        <v>1967</v>
      </c>
      <c r="B237" t="s">
        <v>2408</v>
      </c>
      <c r="C237" t="s">
        <v>2409</v>
      </c>
      <c r="D237" t="s">
        <v>11</v>
      </c>
      <c r="E237" t="s">
        <v>13</v>
      </c>
      <c r="F237" t="s">
        <v>1970</v>
      </c>
      <c r="G237" t="s">
        <v>12</v>
      </c>
      <c r="I237" t="s">
        <v>2408</v>
      </c>
      <c r="J237" t="s">
        <v>4426</v>
      </c>
      <c r="K237" s="10">
        <v>134.4532326043016</v>
      </c>
      <c r="L237" s="9">
        <v>0.20183885346093949</v>
      </c>
      <c r="M237" s="10">
        <v>211.73683547219903</v>
      </c>
      <c r="N237" s="10">
        <v>232.91051901941896</v>
      </c>
    </row>
    <row r="238" spans="1:14">
      <c r="A238" t="s">
        <v>1967</v>
      </c>
      <c r="B238" t="s">
        <v>2410</v>
      </c>
      <c r="C238" t="s">
        <v>2411</v>
      </c>
      <c r="D238" t="s">
        <v>11</v>
      </c>
      <c r="E238" t="s">
        <v>13</v>
      </c>
      <c r="F238" t="s">
        <v>1970</v>
      </c>
      <c r="G238" t="s">
        <v>12</v>
      </c>
      <c r="I238" t="s">
        <v>2410</v>
      </c>
      <c r="J238" t="s">
        <v>4427</v>
      </c>
      <c r="K238" s="10">
        <v>203.92094913533302</v>
      </c>
      <c r="L238" s="9">
        <v>0.19521743507039471</v>
      </c>
      <c r="M238" s="10">
        <v>345.99767455998835</v>
      </c>
      <c r="N238" s="10">
        <v>380.59744201598721</v>
      </c>
    </row>
    <row r="239" spans="1:14">
      <c r="A239" t="s">
        <v>1967</v>
      </c>
      <c r="B239" t="s">
        <v>2412</v>
      </c>
      <c r="C239" t="s">
        <v>2413</v>
      </c>
      <c r="D239" t="s">
        <v>11</v>
      </c>
      <c r="E239" t="s">
        <v>13</v>
      </c>
      <c r="F239" t="s">
        <v>1970</v>
      </c>
      <c r="G239" t="s">
        <v>12</v>
      </c>
      <c r="I239" t="s">
        <v>2412</v>
      </c>
      <c r="J239" t="s">
        <v>4428</v>
      </c>
      <c r="K239" s="10">
        <v>247.91120145743707</v>
      </c>
      <c r="L239" s="9">
        <v>0.2139526275965801</v>
      </c>
      <c r="M239" s="10">
        <v>164.99115445192822</v>
      </c>
      <c r="N239" s="10">
        <v>181.49026989712107</v>
      </c>
    </row>
    <row r="240" spans="1:14">
      <c r="A240" t="s">
        <v>1967</v>
      </c>
      <c r="B240" t="s">
        <v>2414</v>
      </c>
      <c r="C240" t="s">
        <v>2415</v>
      </c>
      <c r="D240" t="s">
        <v>11</v>
      </c>
      <c r="E240" t="s">
        <v>13</v>
      </c>
      <c r="F240" t="s">
        <v>1970</v>
      </c>
      <c r="G240" t="s">
        <v>12</v>
      </c>
      <c r="I240" t="s">
        <v>2414</v>
      </c>
      <c r="J240" t="s">
        <v>4429</v>
      </c>
      <c r="K240" s="10">
        <v>392.2084528425778</v>
      </c>
      <c r="L240" s="9">
        <v>0.21811150482822159</v>
      </c>
      <c r="M240" s="10">
        <v>336.64211388230569</v>
      </c>
      <c r="N240" s="10">
        <v>370.30632527053632</v>
      </c>
    </row>
    <row r="241" spans="1:14">
      <c r="A241" t="s">
        <v>1967</v>
      </c>
      <c r="B241" t="s">
        <v>2416</v>
      </c>
      <c r="C241" t="s">
        <v>2417</v>
      </c>
      <c r="D241" t="s">
        <v>11</v>
      </c>
      <c r="E241" t="s">
        <v>13</v>
      </c>
      <c r="F241" t="s">
        <v>1970</v>
      </c>
      <c r="G241" t="s">
        <v>12</v>
      </c>
      <c r="I241" t="s">
        <v>2416</v>
      </c>
      <c r="J241" t="s">
        <v>4430</v>
      </c>
      <c r="K241" s="10">
        <v>165.21175383471996</v>
      </c>
      <c r="L241" s="9">
        <v>0.23535599283994221</v>
      </c>
      <c r="M241" s="10">
        <v>132.83624716790266</v>
      </c>
      <c r="N241" s="10">
        <v>146.11987188469294</v>
      </c>
    </row>
    <row r="242" spans="1:14">
      <c r="A242" t="s">
        <v>1967</v>
      </c>
      <c r="B242" t="s">
        <v>2418</v>
      </c>
      <c r="C242" t="s">
        <v>2419</v>
      </c>
      <c r="D242" t="s">
        <v>11</v>
      </c>
      <c r="E242" t="s">
        <v>13</v>
      </c>
      <c r="F242" t="s">
        <v>1970</v>
      </c>
      <c r="G242" t="s">
        <v>12</v>
      </c>
      <c r="I242" t="s">
        <v>2418</v>
      </c>
      <c r="J242" t="s">
        <v>4431</v>
      </c>
      <c r="K242" s="10">
        <v>427.10574026188698</v>
      </c>
      <c r="L242" s="9">
        <v>0.2224920848558514</v>
      </c>
      <c r="M242" s="10">
        <v>334.84535299807243</v>
      </c>
      <c r="N242" s="10">
        <v>368.32988829787968</v>
      </c>
    </row>
    <row r="243" spans="1:14">
      <c r="A243" t="s">
        <v>1967</v>
      </c>
      <c r="B243" t="s">
        <v>2420</v>
      </c>
      <c r="C243" t="s">
        <v>2413</v>
      </c>
      <c r="D243" t="s">
        <v>11</v>
      </c>
      <c r="E243" t="s">
        <v>13</v>
      </c>
      <c r="F243" t="s">
        <v>1970</v>
      </c>
      <c r="G243" t="s">
        <v>12</v>
      </c>
      <c r="I243" t="s">
        <v>2420</v>
      </c>
      <c r="J243" t="s">
        <v>4432</v>
      </c>
      <c r="K243" s="10">
        <v>462.63827192922656</v>
      </c>
      <c r="L243" s="9">
        <v>0.20240521084833671</v>
      </c>
      <c r="M243" s="10">
        <v>244.2622390250618</v>
      </c>
      <c r="N243" s="10">
        <v>268.68846292756803</v>
      </c>
    </row>
    <row r="244" spans="1:14">
      <c r="A244" t="s">
        <v>1967</v>
      </c>
      <c r="B244" t="s">
        <v>2421</v>
      </c>
      <c r="C244" t="s">
        <v>2422</v>
      </c>
      <c r="D244" t="s">
        <v>11</v>
      </c>
      <c r="E244" t="s">
        <v>13</v>
      </c>
      <c r="F244" t="s">
        <v>1970</v>
      </c>
      <c r="G244" t="s">
        <v>12</v>
      </c>
      <c r="I244" t="s">
        <v>2421</v>
      </c>
      <c r="J244" t="s">
        <v>4433</v>
      </c>
      <c r="K244" s="10">
        <v>427.25354277110341</v>
      </c>
      <c r="L244" s="9">
        <v>0.2054482438321302</v>
      </c>
      <c r="M244" s="10">
        <v>326.74861372752576</v>
      </c>
      <c r="N244" s="10">
        <v>359.42347510027838</v>
      </c>
    </row>
    <row r="245" spans="1:14">
      <c r="A245" t="s">
        <v>1967</v>
      </c>
      <c r="B245" t="s">
        <v>2423</v>
      </c>
      <c r="C245" t="s">
        <v>2424</v>
      </c>
      <c r="D245" t="s">
        <v>11</v>
      </c>
      <c r="E245" t="s">
        <v>13</v>
      </c>
      <c r="F245" t="s">
        <v>1970</v>
      </c>
      <c r="G245" t="s">
        <v>12</v>
      </c>
      <c r="I245" t="s">
        <v>2423</v>
      </c>
      <c r="J245" t="s">
        <v>4434</v>
      </c>
      <c r="K245" s="10">
        <v>407.51060278090426</v>
      </c>
      <c r="L245" s="9">
        <v>0.20556061606689549</v>
      </c>
      <c r="M245" s="10">
        <v>360.36660042937297</v>
      </c>
      <c r="N245" s="10">
        <v>396.40326047231031</v>
      </c>
    </row>
    <row r="246" spans="1:14">
      <c r="A246" t="s">
        <v>1967</v>
      </c>
      <c r="B246" t="s">
        <v>2425</v>
      </c>
      <c r="C246" t="s">
        <v>2426</v>
      </c>
      <c r="D246" t="s">
        <v>11</v>
      </c>
      <c r="E246" t="s">
        <v>13</v>
      </c>
      <c r="F246" t="s">
        <v>1970</v>
      </c>
      <c r="G246" t="s">
        <v>12</v>
      </c>
      <c r="I246" t="s">
        <v>2425</v>
      </c>
      <c r="J246" t="s">
        <v>4435</v>
      </c>
      <c r="K246" s="10">
        <v>531.92250000000001</v>
      </c>
      <c r="L246" s="9">
        <v>0.2041018810353098</v>
      </c>
      <c r="M246" s="10">
        <v>319.28395297130629</v>
      </c>
      <c r="N246" s="10">
        <v>351.21234826843693</v>
      </c>
    </row>
    <row r="247" spans="1:14">
      <c r="A247" t="s">
        <v>1967</v>
      </c>
      <c r="B247" t="s">
        <v>2427</v>
      </c>
      <c r="C247" t="s">
        <v>2428</v>
      </c>
      <c r="D247" t="s">
        <v>11</v>
      </c>
      <c r="E247" t="s">
        <v>13</v>
      </c>
      <c r="F247" t="s">
        <v>1970</v>
      </c>
      <c r="G247" t="s">
        <v>12</v>
      </c>
      <c r="I247" t="s">
        <v>2427</v>
      </c>
      <c r="J247" t="s">
        <v>4436</v>
      </c>
      <c r="K247" s="10">
        <v>381.29025000000001</v>
      </c>
      <c r="L247" s="9">
        <v>0.19830804950978531</v>
      </c>
      <c r="M247" s="10">
        <v>219.75253120759197</v>
      </c>
      <c r="N247" s="10">
        <v>241.72778432835119</v>
      </c>
    </row>
    <row r="248" spans="1:14">
      <c r="A248" t="s">
        <v>1967</v>
      </c>
      <c r="B248" t="s">
        <v>2429</v>
      </c>
      <c r="C248" t="s">
        <v>2430</v>
      </c>
      <c r="D248" t="s">
        <v>11</v>
      </c>
      <c r="E248" t="s">
        <v>13</v>
      </c>
      <c r="F248" t="s">
        <v>1970</v>
      </c>
      <c r="G248" t="s">
        <v>12</v>
      </c>
      <c r="I248" t="s">
        <v>2429</v>
      </c>
      <c r="J248" t="s">
        <v>4437</v>
      </c>
      <c r="K248" s="10">
        <v>281.01856762601574</v>
      </c>
      <c r="L248" s="9">
        <v>0.20476281176327529</v>
      </c>
      <c r="M248" s="10">
        <v>152.07762969456547</v>
      </c>
      <c r="N248" s="10">
        <v>167.28539266402203</v>
      </c>
    </row>
    <row r="249" spans="1:14">
      <c r="A249" t="s">
        <v>1967</v>
      </c>
      <c r="B249" t="s">
        <v>2431</v>
      </c>
      <c r="C249" t="s">
        <v>2432</v>
      </c>
      <c r="D249" t="s">
        <v>11</v>
      </c>
      <c r="E249" t="s">
        <v>13</v>
      </c>
      <c r="F249" t="s">
        <v>1970</v>
      </c>
      <c r="G249" t="s">
        <v>12</v>
      </c>
      <c r="I249" t="s">
        <v>2431</v>
      </c>
      <c r="J249" t="s">
        <v>4438</v>
      </c>
      <c r="K249" s="10">
        <v>368.23916069542321</v>
      </c>
      <c r="L249" s="9">
        <v>0.20937531210892221</v>
      </c>
      <c r="M249" s="10">
        <v>251.40634301577828</v>
      </c>
      <c r="N249" s="10">
        <v>276.54697731735615</v>
      </c>
    </row>
    <row r="250" spans="1:14">
      <c r="A250" t="s">
        <v>1967</v>
      </c>
      <c r="B250" t="s">
        <v>2433</v>
      </c>
      <c r="C250" t="s">
        <v>2434</v>
      </c>
      <c r="D250" t="s">
        <v>11</v>
      </c>
      <c r="E250" t="s">
        <v>13</v>
      </c>
      <c r="F250" t="s">
        <v>1970</v>
      </c>
      <c r="G250" t="s">
        <v>12</v>
      </c>
      <c r="I250" t="s">
        <v>2433</v>
      </c>
      <c r="J250" t="s">
        <v>4439</v>
      </c>
      <c r="K250" s="10">
        <v>115.40437491180603</v>
      </c>
      <c r="L250" s="9">
        <v>0.1704365437692118</v>
      </c>
      <c r="M250" s="10">
        <v>185.73668369044336</v>
      </c>
      <c r="N250" s="10">
        <v>204.31035205948771</v>
      </c>
    </row>
    <row r="251" spans="1:14">
      <c r="A251" t="s">
        <v>1967</v>
      </c>
      <c r="B251" t="s">
        <v>2435</v>
      </c>
      <c r="C251" t="s">
        <v>2436</v>
      </c>
      <c r="D251" t="s">
        <v>11</v>
      </c>
      <c r="E251" t="s">
        <v>13</v>
      </c>
      <c r="F251" t="s">
        <v>1970</v>
      </c>
      <c r="G251" t="s">
        <v>12</v>
      </c>
      <c r="I251" t="s">
        <v>2435</v>
      </c>
      <c r="J251" t="s">
        <v>4440</v>
      </c>
      <c r="K251" s="10">
        <v>226.72983249810491</v>
      </c>
      <c r="L251" s="9">
        <v>0.20453041774743291</v>
      </c>
      <c r="M251" s="10">
        <v>211.6625590763756</v>
      </c>
      <c r="N251" s="10">
        <v>232.82881498401318</v>
      </c>
    </row>
    <row r="252" spans="1:14">
      <c r="A252" t="s">
        <v>1967</v>
      </c>
      <c r="B252" t="s">
        <v>2437</v>
      </c>
      <c r="C252" t="s">
        <v>2422</v>
      </c>
      <c r="D252" t="s">
        <v>11</v>
      </c>
      <c r="E252" t="s">
        <v>13</v>
      </c>
      <c r="F252" t="s">
        <v>1970</v>
      </c>
      <c r="G252" t="s">
        <v>12</v>
      </c>
      <c r="I252" t="s">
        <v>2437</v>
      </c>
      <c r="J252" t="s">
        <v>4441</v>
      </c>
      <c r="K252" s="10">
        <v>183.30525</v>
      </c>
      <c r="L252" s="9">
        <v>0.1979813497889609</v>
      </c>
      <c r="M252" s="10">
        <v>223.06536298942183</v>
      </c>
      <c r="N252" s="10">
        <v>245.37189928836403</v>
      </c>
    </row>
    <row r="253" spans="1:14">
      <c r="A253" t="s">
        <v>1967</v>
      </c>
      <c r="B253" t="s">
        <v>2438</v>
      </c>
      <c r="C253" t="s">
        <v>2439</v>
      </c>
      <c r="D253" t="s">
        <v>11</v>
      </c>
      <c r="E253" t="s">
        <v>13</v>
      </c>
      <c r="F253" t="s">
        <v>1970</v>
      </c>
      <c r="G253" t="s">
        <v>12</v>
      </c>
      <c r="I253" t="s">
        <v>2438</v>
      </c>
      <c r="J253" t="s">
        <v>4442</v>
      </c>
      <c r="K253" s="10">
        <v>457.69426897350183</v>
      </c>
      <c r="L253" s="9">
        <v>0.2107971175031258</v>
      </c>
      <c r="M253" s="10">
        <v>267.31969209054733</v>
      </c>
      <c r="N253" s="10">
        <v>294.05166129960207</v>
      </c>
    </row>
    <row r="254" spans="1:14">
      <c r="A254" t="s">
        <v>1967</v>
      </c>
      <c r="B254" t="s">
        <v>2440</v>
      </c>
      <c r="C254" t="s">
        <v>2441</v>
      </c>
      <c r="D254" t="s">
        <v>11</v>
      </c>
      <c r="E254" t="s">
        <v>13</v>
      </c>
      <c r="F254" t="s">
        <v>1970</v>
      </c>
      <c r="G254" t="s">
        <v>12</v>
      </c>
      <c r="I254" t="s">
        <v>2440</v>
      </c>
      <c r="J254" t="s">
        <v>4443</v>
      </c>
      <c r="K254" s="9">
        <v>0.57550000000000001</v>
      </c>
      <c r="L254" s="9">
        <v>0.19826976475357419</v>
      </c>
      <c r="M254" s="10">
        <v>627.22453300807456</v>
      </c>
      <c r="N254" s="10">
        <v>689.94698630888206</v>
      </c>
    </row>
    <row r="255" spans="1:14">
      <c r="A255" t="s">
        <v>1967</v>
      </c>
      <c r="B255" t="s">
        <v>2442</v>
      </c>
      <c r="C255" t="s">
        <v>2443</v>
      </c>
      <c r="D255" t="s">
        <v>11</v>
      </c>
      <c r="E255" t="s">
        <v>13</v>
      </c>
      <c r="F255" t="s">
        <v>1970</v>
      </c>
      <c r="G255" t="s">
        <v>12</v>
      </c>
      <c r="I255" t="s">
        <v>2442</v>
      </c>
      <c r="J255" t="s">
        <v>4444</v>
      </c>
      <c r="K255" s="11">
        <v>10.02173587863493</v>
      </c>
      <c r="L255" s="9">
        <v>0.20084441908112469</v>
      </c>
      <c r="M255" s="10">
        <v>289.91519799946906</v>
      </c>
      <c r="N255" s="10">
        <v>318.90671779941601</v>
      </c>
    </row>
    <row r="256" spans="1:14">
      <c r="A256" t="s">
        <v>1967</v>
      </c>
      <c r="B256" t="s">
        <v>2444</v>
      </c>
      <c r="C256" t="s">
        <v>2445</v>
      </c>
      <c r="D256" t="s">
        <v>11</v>
      </c>
      <c r="E256" t="s">
        <v>13</v>
      </c>
      <c r="F256" t="s">
        <v>1970</v>
      </c>
      <c r="G256" t="s">
        <v>12</v>
      </c>
      <c r="I256" t="s">
        <v>2444</v>
      </c>
      <c r="J256" t="s">
        <v>4445</v>
      </c>
      <c r="K256" s="9">
        <v>1.6836620382341498</v>
      </c>
      <c r="L256" s="9">
        <v>0.19882742875382839</v>
      </c>
      <c r="M256" s="10">
        <v>427.96777202026459</v>
      </c>
      <c r="N256" s="10">
        <v>470.76454922229107</v>
      </c>
    </row>
    <row r="257" spans="1:14">
      <c r="A257" t="s">
        <v>1967</v>
      </c>
      <c r="B257" t="s">
        <v>2446</v>
      </c>
      <c r="C257" t="s">
        <v>2443</v>
      </c>
      <c r="D257" t="s">
        <v>11</v>
      </c>
      <c r="E257" t="s">
        <v>13</v>
      </c>
      <c r="F257" t="s">
        <v>1970</v>
      </c>
      <c r="G257" t="s">
        <v>12</v>
      </c>
      <c r="I257" t="s">
        <v>2446</v>
      </c>
      <c r="J257" t="s">
        <v>4446</v>
      </c>
      <c r="K257" s="9">
        <v>1.05975</v>
      </c>
      <c r="L257" s="9">
        <v>0.19920096745904431</v>
      </c>
      <c r="M257" s="10">
        <v>434.29102275164206</v>
      </c>
      <c r="N257" s="10">
        <v>477.72012502680633</v>
      </c>
    </row>
    <row r="258" spans="1:14">
      <c r="A258" t="s">
        <v>1967</v>
      </c>
      <c r="B258" t="s">
        <v>2447</v>
      </c>
      <c r="C258" t="s">
        <v>2448</v>
      </c>
      <c r="D258" t="s">
        <v>11</v>
      </c>
      <c r="E258" t="s">
        <v>13</v>
      </c>
      <c r="F258" t="s">
        <v>1970</v>
      </c>
      <c r="G258" t="s">
        <v>12</v>
      </c>
      <c r="I258" t="s">
        <v>2447</v>
      </c>
      <c r="J258" t="s">
        <v>4447</v>
      </c>
      <c r="K258" s="11">
        <v>13.20392718911185</v>
      </c>
      <c r="L258" s="9">
        <v>0.1496231735182478</v>
      </c>
      <c r="M258" s="10">
        <v>137.13125243451074</v>
      </c>
      <c r="N258" s="10">
        <v>150.84437767796183</v>
      </c>
    </row>
    <row r="259" spans="1:14">
      <c r="A259" t="s">
        <v>1967</v>
      </c>
      <c r="B259" t="s">
        <v>2449</v>
      </c>
      <c r="C259" t="s">
        <v>2450</v>
      </c>
      <c r="D259" t="s">
        <v>11</v>
      </c>
      <c r="E259" t="s">
        <v>13</v>
      </c>
      <c r="F259" t="s">
        <v>1970</v>
      </c>
      <c r="G259" t="s">
        <v>12</v>
      </c>
      <c r="I259" t="s">
        <v>2449</v>
      </c>
      <c r="J259" t="s">
        <v>4448</v>
      </c>
      <c r="K259" s="9">
        <v>7.6476266249952287</v>
      </c>
      <c r="L259" s="9">
        <v>0.1787718063853096</v>
      </c>
      <c r="M259" s="11">
        <v>85.280714215783505</v>
      </c>
      <c r="N259" s="11">
        <v>93.808785637361865</v>
      </c>
    </row>
    <row r="260" spans="1:14">
      <c r="A260" t="s">
        <v>1967</v>
      </c>
      <c r="B260" t="s">
        <v>2451</v>
      </c>
      <c r="C260" t="s">
        <v>2452</v>
      </c>
      <c r="D260" t="s">
        <v>11</v>
      </c>
      <c r="E260" t="s">
        <v>13</v>
      </c>
      <c r="F260" t="s">
        <v>1970</v>
      </c>
      <c r="G260" t="s">
        <v>12</v>
      </c>
      <c r="I260" t="s">
        <v>2451</v>
      </c>
      <c r="J260" t="s">
        <v>4449</v>
      </c>
      <c r="K260" s="9">
        <v>2.1940730897293581</v>
      </c>
      <c r="L260" s="9">
        <v>0.18243271371705089</v>
      </c>
      <c r="M260" s="10">
        <v>210.88848558636519</v>
      </c>
      <c r="N260" s="10">
        <v>231.97733414500172</v>
      </c>
    </row>
    <row r="261" spans="1:14">
      <c r="A261" t="s">
        <v>1967</v>
      </c>
      <c r="B261" t="s">
        <v>2453</v>
      </c>
      <c r="C261" t="s">
        <v>2454</v>
      </c>
      <c r="D261" t="s">
        <v>11</v>
      </c>
      <c r="E261" t="s">
        <v>13</v>
      </c>
      <c r="F261" t="s">
        <v>1970</v>
      </c>
      <c r="G261" t="s">
        <v>12</v>
      </c>
      <c r="I261" t="s">
        <v>2453</v>
      </c>
      <c r="J261" t="s">
        <v>4450</v>
      </c>
      <c r="K261" s="9">
        <v>7.8830792229441862</v>
      </c>
      <c r="L261" s="9">
        <v>0.18557427596120801</v>
      </c>
      <c r="M261" s="11">
        <v>21.328241058635093</v>
      </c>
      <c r="N261" s="11">
        <v>23.461065164498606</v>
      </c>
    </row>
    <row r="262" spans="1:14">
      <c r="A262" t="s">
        <v>1967</v>
      </c>
      <c r="B262" t="s">
        <v>2455</v>
      </c>
      <c r="C262" t="s">
        <v>2456</v>
      </c>
      <c r="D262" t="s">
        <v>11</v>
      </c>
      <c r="E262" t="s">
        <v>13</v>
      </c>
      <c r="F262" t="s">
        <v>1970</v>
      </c>
      <c r="G262" t="s">
        <v>12</v>
      </c>
      <c r="I262" t="s">
        <v>2455</v>
      </c>
      <c r="J262" t="s">
        <v>4451</v>
      </c>
      <c r="K262" s="11">
        <v>23.352998944681108</v>
      </c>
      <c r="L262" s="9">
        <v>0.20402349511477799</v>
      </c>
      <c r="M262" s="11">
        <v>45.604567865988543</v>
      </c>
      <c r="N262" s="11">
        <v>50.165024652587398</v>
      </c>
    </row>
    <row r="263" spans="1:14">
      <c r="A263" t="s">
        <v>1967</v>
      </c>
      <c r="B263" t="s">
        <v>2457</v>
      </c>
      <c r="C263" t="s">
        <v>2458</v>
      </c>
      <c r="D263" t="s">
        <v>11</v>
      </c>
      <c r="E263" t="s">
        <v>13</v>
      </c>
      <c r="F263" t="s">
        <v>1970</v>
      </c>
      <c r="G263" t="s">
        <v>12</v>
      </c>
      <c r="I263" t="s">
        <v>2457</v>
      </c>
      <c r="J263" t="s">
        <v>4452</v>
      </c>
      <c r="K263" s="11">
        <v>20.42219895453584</v>
      </c>
      <c r="L263" s="9">
        <v>0.20007572333166501</v>
      </c>
      <c r="M263" s="11">
        <v>37.724942908247648</v>
      </c>
      <c r="N263" s="11">
        <v>41.497437199072415</v>
      </c>
    </row>
    <row r="264" spans="1:14">
      <c r="A264" t="s">
        <v>1967</v>
      </c>
      <c r="B264" t="s">
        <v>2459</v>
      </c>
      <c r="C264" t="s">
        <v>2460</v>
      </c>
      <c r="D264" t="s">
        <v>11</v>
      </c>
      <c r="E264" t="s">
        <v>13</v>
      </c>
      <c r="F264" t="s">
        <v>1970</v>
      </c>
      <c r="G264" t="s">
        <v>12</v>
      </c>
      <c r="I264" t="s">
        <v>2459</v>
      </c>
      <c r="J264" t="s">
        <v>4453</v>
      </c>
      <c r="K264" s="9">
        <v>6.3328350296771916</v>
      </c>
      <c r="L264" s="9">
        <v>0.18704823940982279</v>
      </c>
      <c r="M264" s="11">
        <v>29.109382556138328</v>
      </c>
      <c r="N264" s="11">
        <v>32.020320811752164</v>
      </c>
    </row>
    <row r="265" spans="1:14">
      <c r="A265" t="s">
        <v>1967</v>
      </c>
      <c r="B265" t="s">
        <v>2461</v>
      </c>
      <c r="C265" t="s">
        <v>2462</v>
      </c>
      <c r="D265" t="s">
        <v>11</v>
      </c>
      <c r="E265" t="s">
        <v>13</v>
      </c>
      <c r="F265" t="s">
        <v>1970</v>
      </c>
      <c r="G265" t="s">
        <v>12</v>
      </c>
      <c r="I265" t="s">
        <v>2461</v>
      </c>
      <c r="J265" t="s">
        <v>4454</v>
      </c>
      <c r="K265" s="9">
        <v>1.0141499999999999</v>
      </c>
      <c r="L265" s="9">
        <v>0.17854557943822449</v>
      </c>
      <c r="M265" s="10">
        <v>479.83266728805489</v>
      </c>
      <c r="N265" s="10">
        <v>527.81593401686041</v>
      </c>
    </row>
    <row r="266" spans="1:14">
      <c r="A266" t="s">
        <v>1967</v>
      </c>
      <c r="B266" t="s">
        <v>2463</v>
      </c>
      <c r="C266" t="s">
        <v>2464</v>
      </c>
      <c r="D266" t="s">
        <v>11</v>
      </c>
      <c r="E266" t="s">
        <v>13</v>
      </c>
      <c r="F266" t="s">
        <v>1970</v>
      </c>
      <c r="G266" t="s">
        <v>12</v>
      </c>
      <c r="I266" t="s">
        <v>2463</v>
      </c>
      <c r="J266" t="s">
        <v>4455</v>
      </c>
      <c r="K266" s="10">
        <v>120.41989229792789</v>
      </c>
      <c r="L266" s="9">
        <v>0.19586750832919581</v>
      </c>
      <c r="M266" s="10">
        <v>214.05531082939891</v>
      </c>
      <c r="N266" s="10">
        <v>235.46084191233882</v>
      </c>
    </row>
    <row r="267" spans="1:14">
      <c r="A267" t="s">
        <v>1967</v>
      </c>
      <c r="B267" t="s">
        <v>2465</v>
      </c>
      <c r="C267" t="s">
        <v>2466</v>
      </c>
      <c r="D267" t="s">
        <v>11</v>
      </c>
      <c r="E267" t="s">
        <v>13</v>
      </c>
      <c r="F267" t="s">
        <v>1970</v>
      </c>
      <c r="G267" t="s">
        <v>12</v>
      </c>
      <c r="I267" t="s">
        <v>2465</v>
      </c>
      <c r="J267" t="s">
        <v>4456</v>
      </c>
      <c r="K267" s="11">
        <v>76.053003966426331</v>
      </c>
      <c r="L267" s="9">
        <v>0.19773827138562519</v>
      </c>
      <c r="M267" s="11">
        <v>98.333292747207366</v>
      </c>
      <c r="N267" s="10">
        <v>108.16662202192811</v>
      </c>
    </row>
    <row r="268" spans="1:14">
      <c r="A268" t="s">
        <v>1967</v>
      </c>
      <c r="B268" t="s">
        <v>2467</v>
      </c>
      <c r="C268" t="s">
        <v>2468</v>
      </c>
      <c r="D268" t="s">
        <v>11</v>
      </c>
      <c r="E268" t="s">
        <v>13</v>
      </c>
      <c r="F268" t="s">
        <v>1970</v>
      </c>
      <c r="G268" t="s">
        <v>12</v>
      </c>
      <c r="I268" t="s">
        <v>2467</v>
      </c>
      <c r="J268" t="s">
        <v>4457</v>
      </c>
      <c r="K268" s="12">
        <v>6.3250000000000001E-2</v>
      </c>
      <c r="L268" s="9">
        <v>0.16663964856202751</v>
      </c>
      <c r="M268" s="10">
        <v>581.41002501054686</v>
      </c>
      <c r="N268" s="10">
        <v>639.55102751160155</v>
      </c>
    </row>
    <row r="269" spans="1:14">
      <c r="A269" t="s">
        <v>1967</v>
      </c>
      <c r="B269" t="s">
        <v>2469</v>
      </c>
      <c r="C269" t="s">
        <v>2470</v>
      </c>
      <c r="D269" t="s">
        <v>11</v>
      </c>
      <c r="E269" t="s">
        <v>13</v>
      </c>
      <c r="F269" t="s">
        <v>1970</v>
      </c>
      <c r="G269" t="s">
        <v>12</v>
      </c>
      <c r="I269" t="s">
        <v>2469</v>
      </c>
      <c r="J269" t="s">
        <v>4458</v>
      </c>
      <c r="K269" s="9">
        <v>4.5759921050297168</v>
      </c>
      <c r="L269" s="9">
        <v>0.18460953681456041</v>
      </c>
      <c r="M269" s="10">
        <v>121.87020784439864</v>
      </c>
      <c r="N269" s="10">
        <v>134.05722862883852</v>
      </c>
    </row>
    <row r="270" spans="1:14">
      <c r="A270" t="s">
        <v>1967</v>
      </c>
      <c r="B270" t="s">
        <v>2471</v>
      </c>
      <c r="C270" t="s">
        <v>2472</v>
      </c>
      <c r="D270" t="s">
        <v>11</v>
      </c>
      <c r="E270" t="s">
        <v>13</v>
      </c>
      <c r="F270" t="s">
        <v>1970</v>
      </c>
      <c r="G270" t="s">
        <v>12</v>
      </c>
      <c r="I270" t="s">
        <v>2471</v>
      </c>
      <c r="J270" t="s">
        <v>4459</v>
      </c>
      <c r="K270" s="9">
        <v>5.1543629596030796</v>
      </c>
      <c r="L270" s="9">
        <v>0.18189083800374831</v>
      </c>
      <c r="M270" s="11">
        <v>72.243656375392817</v>
      </c>
      <c r="N270" s="11">
        <v>79.46802201293211</v>
      </c>
    </row>
    <row r="271" spans="1:14">
      <c r="A271" t="s">
        <v>1967</v>
      </c>
      <c r="B271" t="s">
        <v>2473</v>
      </c>
      <c r="C271" t="s">
        <v>2474</v>
      </c>
      <c r="D271" t="s">
        <v>11</v>
      </c>
      <c r="E271" t="s">
        <v>13</v>
      </c>
      <c r="F271" t="s">
        <v>1970</v>
      </c>
      <c r="G271" t="s">
        <v>12</v>
      </c>
      <c r="I271" t="s">
        <v>2473</v>
      </c>
      <c r="J271" t="s">
        <v>4460</v>
      </c>
      <c r="K271" s="11">
        <v>12.984530036716055</v>
      </c>
      <c r="L271" s="9">
        <v>0.18842992547423271</v>
      </c>
      <c r="M271" s="11">
        <v>27.449626634872388</v>
      </c>
      <c r="N271" s="11">
        <v>30.194589298359627</v>
      </c>
    </row>
    <row r="272" spans="1:14">
      <c r="A272" t="s">
        <v>1967</v>
      </c>
      <c r="B272" t="s">
        <v>2475</v>
      </c>
      <c r="C272" t="s">
        <v>2476</v>
      </c>
      <c r="D272" t="s">
        <v>11</v>
      </c>
      <c r="E272" t="s">
        <v>13</v>
      </c>
      <c r="F272" t="s">
        <v>1970</v>
      </c>
      <c r="G272" t="s">
        <v>12</v>
      </c>
      <c r="I272" t="s">
        <v>2475</v>
      </c>
      <c r="J272" t="s">
        <v>4461</v>
      </c>
      <c r="K272" s="11">
        <v>18.216531317101065</v>
      </c>
      <c r="L272" s="9">
        <v>0.1756633624707987</v>
      </c>
      <c r="M272" s="11">
        <v>30.373157503841345</v>
      </c>
      <c r="N272" s="11">
        <v>33.410473254225479</v>
      </c>
    </row>
    <row r="273" spans="1:14">
      <c r="A273" t="s">
        <v>1967</v>
      </c>
      <c r="B273" t="s">
        <v>2477</v>
      </c>
      <c r="C273" t="s">
        <v>2478</v>
      </c>
      <c r="D273" t="s">
        <v>11</v>
      </c>
      <c r="E273" t="s">
        <v>13</v>
      </c>
      <c r="F273" t="s">
        <v>1970</v>
      </c>
      <c r="G273" t="s">
        <v>12</v>
      </c>
      <c r="I273" t="s">
        <v>2477</v>
      </c>
      <c r="J273" t="s">
        <v>4462</v>
      </c>
      <c r="K273" s="9">
        <v>7.7644444424610954</v>
      </c>
      <c r="L273" s="9">
        <v>0.20872130580310641</v>
      </c>
      <c r="M273" s="11">
        <v>24.20617841130716</v>
      </c>
      <c r="N273" s="11">
        <v>26.626796252437877</v>
      </c>
    </row>
    <row r="274" spans="1:14">
      <c r="A274" t="s">
        <v>1967</v>
      </c>
      <c r="B274" t="s">
        <v>2479</v>
      </c>
      <c r="C274" t="s">
        <v>2480</v>
      </c>
      <c r="D274" t="s">
        <v>11</v>
      </c>
      <c r="E274" t="s">
        <v>13</v>
      </c>
      <c r="F274" t="s">
        <v>1970</v>
      </c>
      <c r="G274" t="s">
        <v>12</v>
      </c>
      <c r="I274" t="s">
        <v>2479</v>
      </c>
      <c r="J274" t="s">
        <v>4463</v>
      </c>
      <c r="K274" s="9">
        <v>9.633682486387352</v>
      </c>
      <c r="L274" s="9">
        <v>0.1871477902379578</v>
      </c>
      <c r="M274" s="11">
        <v>46.125602505669363</v>
      </c>
      <c r="N274" s="11">
        <v>50.738162756236306</v>
      </c>
    </row>
    <row r="275" spans="1:14">
      <c r="A275" t="s">
        <v>1967</v>
      </c>
      <c r="B275" t="s">
        <v>2481</v>
      </c>
      <c r="C275" t="s">
        <v>2482</v>
      </c>
      <c r="D275" t="s">
        <v>11</v>
      </c>
      <c r="E275" t="s">
        <v>13</v>
      </c>
      <c r="F275" t="s">
        <v>1970</v>
      </c>
      <c r="G275" t="s">
        <v>12</v>
      </c>
      <c r="I275" t="s">
        <v>2481</v>
      </c>
      <c r="J275" t="s">
        <v>4464</v>
      </c>
      <c r="K275" s="9">
        <v>4.3711646033111977</v>
      </c>
      <c r="L275" s="9">
        <v>0.23680055103773839</v>
      </c>
      <c r="M275" s="11">
        <v>15.987584255990797</v>
      </c>
      <c r="N275" s="11">
        <v>17.586342681589876</v>
      </c>
    </row>
    <row r="276" spans="1:14">
      <c r="A276" t="s">
        <v>1967</v>
      </c>
      <c r="B276" t="s">
        <v>2483</v>
      </c>
      <c r="C276" t="s">
        <v>2484</v>
      </c>
      <c r="D276" t="s">
        <v>11</v>
      </c>
      <c r="E276" t="s">
        <v>13</v>
      </c>
      <c r="F276" t="s">
        <v>1970</v>
      </c>
      <c r="G276" t="s">
        <v>12</v>
      </c>
      <c r="I276" t="s">
        <v>2483</v>
      </c>
      <c r="J276" t="s">
        <v>4465</v>
      </c>
      <c r="K276" s="9">
        <v>5.408518322524432</v>
      </c>
      <c r="L276" s="9">
        <v>0.2344929507072063</v>
      </c>
      <c r="M276" s="11">
        <v>27.852539361124649</v>
      </c>
      <c r="N276" s="11">
        <v>30.637793297237117</v>
      </c>
    </row>
    <row r="277" spans="1:14">
      <c r="A277" t="s">
        <v>1967</v>
      </c>
      <c r="B277" t="s">
        <v>2485</v>
      </c>
      <c r="C277" t="s">
        <v>2486</v>
      </c>
      <c r="D277" t="s">
        <v>11</v>
      </c>
      <c r="E277" t="s">
        <v>13</v>
      </c>
      <c r="F277" t="s">
        <v>1970</v>
      </c>
      <c r="G277" t="s">
        <v>12</v>
      </c>
      <c r="I277" t="s">
        <v>2485</v>
      </c>
      <c r="J277" t="s">
        <v>4466</v>
      </c>
      <c r="K277" s="9">
        <v>3.3602875531954495</v>
      </c>
      <c r="L277" s="9">
        <v>0.22406152073810659</v>
      </c>
      <c r="M277" s="11">
        <v>21.462368619048604</v>
      </c>
      <c r="N277" s="11">
        <v>23.608605480953468</v>
      </c>
    </row>
    <row r="278" spans="1:14">
      <c r="A278" t="s">
        <v>1967</v>
      </c>
      <c r="B278" t="s">
        <v>2487</v>
      </c>
      <c r="C278" t="s">
        <v>2488</v>
      </c>
      <c r="D278" t="s">
        <v>11</v>
      </c>
      <c r="E278" t="s">
        <v>13</v>
      </c>
      <c r="F278" t="s">
        <v>1970</v>
      </c>
      <c r="G278" t="s">
        <v>12</v>
      </c>
      <c r="I278" t="s">
        <v>2487</v>
      </c>
      <c r="J278" t="s">
        <v>4467</v>
      </c>
      <c r="K278" s="9">
        <v>1.6780612653317155</v>
      </c>
      <c r="L278" s="9">
        <v>0.22959589588068691</v>
      </c>
      <c r="M278" s="11">
        <v>30.924198142440218</v>
      </c>
      <c r="N278" s="11">
        <v>34.016617956684243</v>
      </c>
    </row>
    <row r="279" spans="1:14">
      <c r="A279" t="s">
        <v>1967</v>
      </c>
      <c r="B279" t="s">
        <v>2489</v>
      </c>
      <c r="C279" t="s">
        <v>2490</v>
      </c>
      <c r="D279" t="s">
        <v>11</v>
      </c>
      <c r="E279" t="s">
        <v>13</v>
      </c>
      <c r="F279" t="s">
        <v>1970</v>
      </c>
      <c r="G279" t="s">
        <v>12</v>
      </c>
      <c r="I279" t="s">
        <v>2489</v>
      </c>
      <c r="J279" t="s">
        <v>4468</v>
      </c>
      <c r="K279" s="9">
        <v>2.9290507106915333</v>
      </c>
      <c r="L279" s="9">
        <v>0.23238873026171031</v>
      </c>
      <c r="M279" s="11">
        <v>41.486848459599166</v>
      </c>
      <c r="N279" s="11">
        <v>45.635533305559086</v>
      </c>
    </row>
    <row r="280" spans="1:14">
      <c r="A280" t="s">
        <v>1967</v>
      </c>
      <c r="B280" t="s">
        <v>2491</v>
      </c>
      <c r="C280" t="s">
        <v>2492</v>
      </c>
      <c r="D280" t="s">
        <v>11</v>
      </c>
      <c r="E280" t="s">
        <v>13</v>
      </c>
      <c r="F280" t="s">
        <v>1970</v>
      </c>
      <c r="G280" t="s">
        <v>12</v>
      </c>
      <c r="I280" t="s">
        <v>2491</v>
      </c>
      <c r="J280" t="s">
        <v>4469</v>
      </c>
      <c r="K280" s="11">
        <v>46.463143516549671</v>
      </c>
      <c r="L280" s="9">
        <v>0.14346053791204769</v>
      </c>
      <c r="M280" s="11">
        <v>29.360124707688321</v>
      </c>
      <c r="N280" s="11">
        <v>32.296137178457158</v>
      </c>
    </row>
    <row r="281" spans="1:14">
      <c r="A281" t="s">
        <v>1967</v>
      </c>
      <c r="B281" t="s">
        <v>2493</v>
      </c>
      <c r="C281" t="s">
        <v>2494</v>
      </c>
      <c r="D281" t="s">
        <v>11</v>
      </c>
      <c r="E281" t="s">
        <v>13</v>
      </c>
      <c r="F281" t="s">
        <v>1970</v>
      </c>
      <c r="G281" t="s">
        <v>12</v>
      </c>
      <c r="I281" t="s">
        <v>2493</v>
      </c>
      <c r="J281" t="s">
        <v>4470</v>
      </c>
      <c r="K281" s="11">
        <v>27.85818352571987</v>
      </c>
      <c r="L281" s="9">
        <v>0.14687773781541619</v>
      </c>
      <c r="M281" s="11">
        <v>32.099170747322447</v>
      </c>
      <c r="N281" s="11">
        <v>35.309087822054693</v>
      </c>
    </row>
    <row r="282" spans="1:14">
      <c r="A282" t="s">
        <v>1967</v>
      </c>
      <c r="B282" t="s">
        <v>2495</v>
      </c>
      <c r="C282" t="s">
        <v>2496</v>
      </c>
      <c r="D282" t="s">
        <v>11</v>
      </c>
      <c r="E282" t="s">
        <v>13</v>
      </c>
      <c r="F282" t="s">
        <v>1970</v>
      </c>
      <c r="G282" t="s">
        <v>12</v>
      </c>
      <c r="I282" t="s">
        <v>2495</v>
      </c>
      <c r="J282" t="s">
        <v>4471</v>
      </c>
      <c r="K282" s="11">
        <v>16.599317870571429</v>
      </c>
      <c r="L282" s="9">
        <v>0.13917709399574299</v>
      </c>
      <c r="M282" s="11">
        <v>29.234103510456091</v>
      </c>
      <c r="N282" s="11">
        <v>32.157513861501705</v>
      </c>
    </row>
    <row r="283" spans="1:14">
      <c r="A283" t="s">
        <v>1967</v>
      </c>
      <c r="B283" t="s">
        <v>2497</v>
      </c>
      <c r="C283" t="s">
        <v>2498</v>
      </c>
      <c r="D283" t="s">
        <v>11</v>
      </c>
      <c r="E283" t="s">
        <v>13</v>
      </c>
      <c r="F283" t="s">
        <v>1970</v>
      </c>
      <c r="G283" t="s">
        <v>12</v>
      </c>
      <c r="I283" t="s">
        <v>2497</v>
      </c>
      <c r="J283" t="s">
        <v>4472</v>
      </c>
      <c r="K283" s="11">
        <v>27.125177242961364</v>
      </c>
      <c r="L283" s="9">
        <v>0.1401982139129043</v>
      </c>
      <c r="M283" s="11">
        <v>26.378075960811312</v>
      </c>
      <c r="N283" s="11">
        <v>29.015883556892447</v>
      </c>
    </row>
    <row r="284" spans="1:14">
      <c r="A284" t="s">
        <v>1967</v>
      </c>
      <c r="B284" t="s">
        <v>2499</v>
      </c>
      <c r="C284" t="s">
        <v>2500</v>
      </c>
      <c r="D284" t="s">
        <v>11</v>
      </c>
      <c r="E284" t="s">
        <v>13</v>
      </c>
      <c r="F284" t="s">
        <v>1970</v>
      </c>
      <c r="G284" t="s">
        <v>12</v>
      </c>
      <c r="I284" t="s">
        <v>2499</v>
      </c>
      <c r="J284" t="s">
        <v>4473</v>
      </c>
      <c r="K284" s="11">
        <v>58.036383701112058</v>
      </c>
      <c r="L284" s="9">
        <v>0.1481832729048157</v>
      </c>
      <c r="M284" s="11">
        <v>32.109192134608982</v>
      </c>
      <c r="N284" s="11">
        <v>35.320111348069887</v>
      </c>
    </row>
    <row r="285" spans="1:14">
      <c r="A285" t="s">
        <v>1967</v>
      </c>
      <c r="B285" t="s">
        <v>2501</v>
      </c>
      <c r="C285" t="s">
        <v>2502</v>
      </c>
      <c r="D285" t="s">
        <v>11</v>
      </c>
      <c r="E285" t="s">
        <v>13</v>
      </c>
      <c r="F285" t="s">
        <v>1970</v>
      </c>
      <c r="G285" t="s">
        <v>12</v>
      </c>
      <c r="I285" t="s">
        <v>2501</v>
      </c>
      <c r="J285" t="s">
        <v>4474</v>
      </c>
      <c r="K285" s="10">
        <v>111.4145685778732</v>
      </c>
      <c r="L285" s="9">
        <v>0.148328364360969</v>
      </c>
      <c r="M285" s="11">
        <v>20.367393400783516</v>
      </c>
      <c r="N285" s="11">
        <v>22.404132740861868</v>
      </c>
    </row>
    <row r="286" spans="1:14">
      <c r="A286" t="s">
        <v>1967</v>
      </c>
      <c r="B286" t="s">
        <v>2503</v>
      </c>
      <c r="C286" t="s">
        <v>2504</v>
      </c>
      <c r="D286" t="s">
        <v>11</v>
      </c>
      <c r="E286" t="s">
        <v>13</v>
      </c>
      <c r="F286" t="s">
        <v>1970</v>
      </c>
      <c r="G286" t="s">
        <v>12</v>
      </c>
      <c r="I286" t="s">
        <v>2503</v>
      </c>
      <c r="J286" t="s">
        <v>4475</v>
      </c>
      <c r="K286" s="11">
        <v>36.451002581853857</v>
      </c>
      <c r="L286" s="9">
        <v>0.14280020326603271</v>
      </c>
      <c r="M286" s="11">
        <v>39.600691024698662</v>
      </c>
      <c r="N286" s="11">
        <v>43.560760127168528</v>
      </c>
    </row>
    <row r="287" spans="1:14">
      <c r="A287" t="s">
        <v>1967</v>
      </c>
      <c r="B287" t="s">
        <v>2505</v>
      </c>
      <c r="C287" t="s">
        <v>2506</v>
      </c>
      <c r="D287" t="s">
        <v>11</v>
      </c>
      <c r="E287" t="s">
        <v>13</v>
      </c>
      <c r="F287" t="s">
        <v>1970</v>
      </c>
      <c r="G287" t="s">
        <v>12</v>
      </c>
      <c r="I287" t="s">
        <v>2505</v>
      </c>
      <c r="J287" t="s">
        <v>4476</v>
      </c>
      <c r="K287" s="11">
        <v>91.789441098795621</v>
      </c>
      <c r="L287" s="9">
        <v>0.1347807010473201</v>
      </c>
      <c r="M287" s="11">
        <v>23.194060003959422</v>
      </c>
      <c r="N287" s="11">
        <v>25.513466004355365</v>
      </c>
    </row>
    <row r="288" spans="1:14">
      <c r="A288" t="s">
        <v>1967</v>
      </c>
      <c r="B288" t="s">
        <v>2507</v>
      </c>
      <c r="C288" t="s">
        <v>2508</v>
      </c>
      <c r="D288" t="s">
        <v>11</v>
      </c>
      <c r="E288" t="s">
        <v>13</v>
      </c>
      <c r="F288" t="s">
        <v>1970</v>
      </c>
      <c r="G288" t="s">
        <v>12</v>
      </c>
      <c r="I288" t="s">
        <v>2507</v>
      </c>
      <c r="J288" t="s">
        <v>4477</v>
      </c>
      <c r="K288" s="11">
        <v>60.362325282667385</v>
      </c>
      <c r="L288" s="9">
        <v>0.13857953079719529</v>
      </c>
      <c r="M288" s="11">
        <v>28.334846546944618</v>
      </c>
      <c r="N288" s="11">
        <v>31.168331201639084</v>
      </c>
    </row>
    <row r="289" spans="1:14">
      <c r="A289" t="s">
        <v>1967</v>
      </c>
      <c r="B289" t="s">
        <v>2509</v>
      </c>
      <c r="C289" t="s">
        <v>2510</v>
      </c>
      <c r="D289" t="s">
        <v>11</v>
      </c>
      <c r="E289" t="s">
        <v>13</v>
      </c>
      <c r="F289" t="s">
        <v>1970</v>
      </c>
      <c r="G289" t="s">
        <v>12</v>
      </c>
      <c r="I289" t="s">
        <v>2509</v>
      </c>
      <c r="J289" t="s">
        <v>4478</v>
      </c>
      <c r="K289" s="11">
        <v>40.868890556136051</v>
      </c>
      <c r="L289" s="9">
        <v>0.13899597721424989</v>
      </c>
      <c r="M289" s="11">
        <v>16.554795524210093</v>
      </c>
      <c r="N289" s="11">
        <v>18.210275076631103</v>
      </c>
    </row>
    <row r="290" spans="1:14">
      <c r="A290" t="s">
        <v>1967</v>
      </c>
      <c r="B290" t="s">
        <v>2511</v>
      </c>
      <c r="C290" t="s">
        <v>2512</v>
      </c>
      <c r="D290" t="s">
        <v>11</v>
      </c>
      <c r="E290" t="s">
        <v>13</v>
      </c>
      <c r="F290" t="s">
        <v>1970</v>
      </c>
      <c r="G290" t="s">
        <v>12</v>
      </c>
      <c r="I290" t="s">
        <v>2511</v>
      </c>
      <c r="J290" t="s">
        <v>4479</v>
      </c>
      <c r="K290" s="11">
        <v>42.325951186000786</v>
      </c>
      <c r="L290" s="9">
        <v>0.13360775063919161</v>
      </c>
      <c r="M290" s="11">
        <v>24.544133468023311</v>
      </c>
      <c r="N290" s="11">
        <v>26.998546814825644</v>
      </c>
    </row>
    <row r="291" spans="1:14">
      <c r="A291" t="s">
        <v>1967</v>
      </c>
      <c r="B291" t="s">
        <v>2513</v>
      </c>
      <c r="C291" t="s">
        <v>2514</v>
      </c>
      <c r="D291" t="s">
        <v>11</v>
      </c>
      <c r="E291" t="s">
        <v>13</v>
      </c>
      <c r="F291" t="s">
        <v>1970</v>
      </c>
      <c r="G291" t="s">
        <v>12</v>
      </c>
      <c r="I291" t="s">
        <v>2513</v>
      </c>
      <c r="J291" t="s">
        <v>4480</v>
      </c>
      <c r="K291" s="11">
        <v>56.755823234898081</v>
      </c>
      <c r="L291" s="9">
        <v>0.13310414581711821</v>
      </c>
      <c r="M291" s="11">
        <v>16.849061452208019</v>
      </c>
      <c r="N291" s="11">
        <v>18.533967597428823</v>
      </c>
    </row>
    <row r="292" spans="1:14">
      <c r="A292" t="s">
        <v>1967</v>
      </c>
      <c r="B292" t="s">
        <v>2515</v>
      </c>
      <c r="C292" t="s">
        <v>2516</v>
      </c>
      <c r="D292" t="s">
        <v>11</v>
      </c>
      <c r="E292" t="s">
        <v>13</v>
      </c>
      <c r="F292" t="s">
        <v>1970</v>
      </c>
      <c r="G292" t="s">
        <v>12</v>
      </c>
      <c r="I292" t="s">
        <v>2515</v>
      </c>
      <c r="J292" t="s">
        <v>4481</v>
      </c>
      <c r="K292" s="9">
        <v>7.4368853113635431</v>
      </c>
      <c r="L292" s="9">
        <v>0.2419996811069097</v>
      </c>
      <c r="M292" s="11">
        <v>91.521735418526106</v>
      </c>
      <c r="N292" s="10">
        <v>100.67390896037872</v>
      </c>
    </row>
    <row r="293" spans="1:14">
      <c r="A293" t="s">
        <v>1967</v>
      </c>
      <c r="B293" t="s">
        <v>2517</v>
      </c>
      <c r="C293" t="s">
        <v>2518</v>
      </c>
      <c r="D293" t="s">
        <v>11</v>
      </c>
      <c r="E293" t="s">
        <v>13</v>
      </c>
      <c r="F293" t="s">
        <v>1970</v>
      </c>
      <c r="G293" t="s">
        <v>12</v>
      </c>
      <c r="I293" t="s">
        <v>2517</v>
      </c>
      <c r="J293" t="s">
        <v>4482</v>
      </c>
      <c r="K293" s="9">
        <v>5.9713494490047889</v>
      </c>
      <c r="L293" s="9">
        <v>0.23517482209024759</v>
      </c>
      <c r="M293" s="11">
        <v>42.4764833729119</v>
      </c>
      <c r="N293" s="11">
        <v>46.724131710203096</v>
      </c>
    </row>
    <row r="294" spans="1:14">
      <c r="A294" t="s">
        <v>1967</v>
      </c>
      <c r="B294" t="s">
        <v>2519</v>
      </c>
      <c r="C294" t="s">
        <v>2520</v>
      </c>
      <c r="D294" t="s">
        <v>11</v>
      </c>
      <c r="E294" t="s">
        <v>13</v>
      </c>
      <c r="F294" t="s">
        <v>1970</v>
      </c>
      <c r="G294" t="s">
        <v>12</v>
      </c>
      <c r="I294" t="s">
        <v>2519</v>
      </c>
      <c r="J294" t="s">
        <v>4483</v>
      </c>
      <c r="K294" s="11">
        <v>12.700150946576972</v>
      </c>
      <c r="L294" s="9">
        <v>0.15709683715194159</v>
      </c>
      <c r="M294" s="11">
        <v>45.194009180246262</v>
      </c>
      <c r="N294" s="11">
        <v>49.713410098270892</v>
      </c>
    </row>
    <row r="295" spans="1:14">
      <c r="A295" t="s">
        <v>1967</v>
      </c>
      <c r="B295" t="s">
        <v>2521</v>
      </c>
      <c r="C295" t="s">
        <v>2522</v>
      </c>
      <c r="D295" t="s">
        <v>11</v>
      </c>
      <c r="E295" t="s">
        <v>13</v>
      </c>
      <c r="F295" t="s">
        <v>1970</v>
      </c>
      <c r="G295" t="s">
        <v>12</v>
      </c>
      <c r="I295" t="s">
        <v>2521</v>
      </c>
      <c r="J295" t="s">
        <v>4484</v>
      </c>
      <c r="K295" s="11">
        <v>15.433934663533497</v>
      </c>
      <c r="L295" s="9">
        <v>0.1572415651714596</v>
      </c>
      <c r="M295" s="11">
        <v>38.800213864184563</v>
      </c>
      <c r="N295" s="11">
        <v>42.680235250603026</v>
      </c>
    </row>
    <row r="296" spans="1:14">
      <c r="A296" t="s">
        <v>1967</v>
      </c>
      <c r="B296" t="s">
        <v>2523</v>
      </c>
      <c r="C296" t="s">
        <v>2524</v>
      </c>
      <c r="D296" t="s">
        <v>11</v>
      </c>
      <c r="E296" t="s">
        <v>13</v>
      </c>
      <c r="F296" t="s">
        <v>1970</v>
      </c>
      <c r="G296" t="s">
        <v>12</v>
      </c>
      <c r="I296" t="s">
        <v>2523</v>
      </c>
      <c r="J296" t="s">
        <v>4485</v>
      </c>
      <c r="K296" s="11">
        <v>10.928066119678608</v>
      </c>
      <c r="L296" s="9">
        <v>0.15435351107350079</v>
      </c>
      <c r="M296" s="11">
        <v>43.73617120239858</v>
      </c>
      <c r="N296" s="11">
        <v>48.109788322638444</v>
      </c>
    </row>
    <row r="297" spans="1:14">
      <c r="A297" t="s">
        <v>1967</v>
      </c>
      <c r="B297" t="s">
        <v>2525</v>
      </c>
      <c r="C297" t="s">
        <v>2526</v>
      </c>
      <c r="D297" t="s">
        <v>11</v>
      </c>
      <c r="E297" t="s">
        <v>13</v>
      </c>
      <c r="F297" t="s">
        <v>1970</v>
      </c>
      <c r="G297" t="s">
        <v>12</v>
      </c>
      <c r="I297" t="s">
        <v>2525</v>
      </c>
      <c r="J297" t="s">
        <v>4486</v>
      </c>
      <c r="K297" s="11">
        <v>19.508728845816659</v>
      </c>
      <c r="L297" s="9">
        <v>0.1485856270039847</v>
      </c>
      <c r="M297" s="11">
        <v>36.835622182559547</v>
      </c>
      <c r="N297" s="11">
        <v>40.519184400815504</v>
      </c>
    </row>
    <row r="298" spans="1:14">
      <c r="A298" t="s">
        <v>1967</v>
      </c>
      <c r="B298" t="s">
        <v>2527</v>
      </c>
      <c r="C298" t="s">
        <v>2528</v>
      </c>
      <c r="D298" t="s">
        <v>11</v>
      </c>
      <c r="E298" t="s">
        <v>13</v>
      </c>
      <c r="F298" t="s">
        <v>1970</v>
      </c>
      <c r="G298" t="s">
        <v>12</v>
      </c>
      <c r="I298" t="s">
        <v>2527</v>
      </c>
      <c r="J298" t="s">
        <v>4487</v>
      </c>
      <c r="K298" s="9">
        <v>3.3602896934129807</v>
      </c>
      <c r="L298" s="9">
        <v>0.24635324085891691</v>
      </c>
      <c r="M298" s="11">
        <v>36.585165534173328</v>
      </c>
      <c r="N298" s="11">
        <v>40.243682087590663</v>
      </c>
    </row>
    <row r="299" spans="1:14">
      <c r="A299" t="s">
        <v>1967</v>
      </c>
      <c r="B299" t="s">
        <v>2529</v>
      </c>
      <c r="C299" t="s">
        <v>2530</v>
      </c>
      <c r="D299" t="s">
        <v>11</v>
      </c>
      <c r="E299" t="s">
        <v>13</v>
      </c>
      <c r="F299" t="s">
        <v>1970</v>
      </c>
      <c r="G299" t="s">
        <v>12</v>
      </c>
      <c r="I299" t="s">
        <v>2529</v>
      </c>
      <c r="J299" t="s">
        <v>4488</v>
      </c>
      <c r="K299" s="9">
        <v>1.5567909701382383</v>
      </c>
      <c r="L299" s="9">
        <v>0.2300861977148633</v>
      </c>
      <c r="M299" s="11">
        <v>14.239092057994602</v>
      </c>
      <c r="N299" s="11">
        <v>15.663001263794063</v>
      </c>
    </row>
    <row r="300" spans="1:14">
      <c r="A300" t="s">
        <v>1967</v>
      </c>
      <c r="B300" t="s">
        <v>2531</v>
      </c>
      <c r="C300" t="s">
        <v>2532</v>
      </c>
      <c r="D300" t="s">
        <v>11</v>
      </c>
      <c r="E300" t="s">
        <v>13</v>
      </c>
      <c r="F300" t="s">
        <v>1970</v>
      </c>
      <c r="G300" t="s">
        <v>12</v>
      </c>
      <c r="I300" t="s">
        <v>2531</v>
      </c>
      <c r="J300" t="s">
        <v>4489</v>
      </c>
      <c r="K300" s="9">
        <v>1.075272295413545</v>
      </c>
      <c r="L300" s="9">
        <v>0.2242485941759304</v>
      </c>
      <c r="M300" s="11">
        <v>14.278526892540931</v>
      </c>
      <c r="N300" s="11">
        <v>15.706379581795026</v>
      </c>
    </row>
    <row r="301" spans="1:14">
      <c r="A301" t="s">
        <v>1967</v>
      </c>
      <c r="B301" t="s">
        <v>2533</v>
      </c>
      <c r="C301" t="s">
        <v>2534</v>
      </c>
      <c r="D301" t="s">
        <v>11</v>
      </c>
      <c r="E301" t="s">
        <v>13</v>
      </c>
      <c r="F301" t="s">
        <v>1970</v>
      </c>
      <c r="G301" t="s">
        <v>12</v>
      </c>
      <c r="I301" t="s">
        <v>2533</v>
      </c>
      <c r="J301" t="s">
        <v>4490</v>
      </c>
      <c r="K301" s="9">
        <v>2.0288928371994959</v>
      </c>
      <c r="L301" s="9">
        <v>0.2279150685565445</v>
      </c>
      <c r="M301" s="11">
        <v>21.583586210996646</v>
      </c>
      <c r="N301" s="11">
        <v>23.741944832096312</v>
      </c>
    </row>
    <row r="302" spans="1:14">
      <c r="A302" t="s">
        <v>1967</v>
      </c>
      <c r="B302" t="s">
        <v>2535</v>
      </c>
      <c r="C302" t="s">
        <v>2536</v>
      </c>
      <c r="D302" t="s">
        <v>11</v>
      </c>
      <c r="E302" t="s">
        <v>13</v>
      </c>
      <c r="F302" t="s">
        <v>1970</v>
      </c>
      <c r="G302" t="s">
        <v>12</v>
      </c>
      <c r="I302" t="s">
        <v>2535</v>
      </c>
      <c r="J302" t="s">
        <v>4491</v>
      </c>
      <c r="K302" s="11">
        <v>45.59193384952237</v>
      </c>
      <c r="L302" s="9">
        <v>0.25824128114255301</v>
      </c>
      <c r="M302" s="11">
        <v>59.152994890104736</v>
      </c>
      <c r="N302" s="11">
        <v>65.068294379115216</v>
      </c>
    </row>
    <row r="303" spans="1:14">
      <c r="A303" t="s">
        <v>1967</v>
      </c>
      <c r="B303" t="s">
        <v>2537</v>
      </c>
      <c r="C303" t="s">
        <v>2538</v>
      </c>
      <c r="D303" t="s">
        <v>11</v>
      </c>
      <c r="E303" t="s">
        <v>13</v>
      </c>
      <c r="F303" t="s">
        <v>1970</v>
      </c>
      <c r="G303" t="s">
        <v>12</v>
      </c>
      <c r="I303" t="s">
        <v>2537</v>
      </c>
      <c r="J303" t="s">
        <v>4492</v>
      </c>
      <c r="K303" s="9">
        <v>5.5959898890122366</v>
      </c>
      <c r="L303" s="9">
        <v>0.24311470790781139</v>
      </c>
      <c r="M303" s="11">
        <v>31.839851505502299</v>
      </c>
      <c r="N303" s="11">
        <v>35.023836656052531</v>
      </c>
    </row>
    <row r="304" spans="1:14">
      <c r="A304" t="s">
        <v>1967</v>
      </c>
      <c r="B304" t="s">
        <v>2539</v>
      </c>
      <c r="C304" t="s">
        <v>2540</v>
      </c>
      <c r="D304" t="s">
        <v>11</v>
      </c>
      <c r="E304" t="s">
        <v>13</v>
      </c>
      <c r="F304" t="s">
        <v>1970</v>
      </c>
      <c r="G304" t="s">
        <v>12</v>
      </c>
      <c r="I304" t="s">
        <v>2539</v>
      </c>
      <c r="J304" t="s">
        <v>4493</v>
      </c>
      <c r="K304" s="9">
        <v>3.967168764596948</v>
      </c>
      <c r="L304" s="9">
        <v>0.2309857046274075</v>
      </c>
      <c r="M304" s="11">
        <v>20.477471001346121</v>
      </c>
      <c r="N304" s="11">
        <v>22.525218101480736</v>
      </c>
    </row>
    <row r="305" spans="1:14">
      <c r="A305" t="s">
        <v>1967</v>
      </c>
      <c r="B305" t="s">
        <v>2541</v>
      </c>
      <c r="C305" t="s">
        <v>2542</v>
      </c>
      <c r="D305" t="s">
        <v>11</v>
      </c>
      <c r="E305" t="s">
        <v>13</v>
      </c>
      <c r="F305" t="s">
        <v>1970</v>
      </c>
      <c r="G305" t="s">
        <v>12</v>
      </c>
      <c r="I305" t="s">
        <v>2541</v>
      </c>
      <c r="J305" t="s">
        <v>4494</v>
      </c>
      <c r="K305" s="10">
        <v>243.8532115583192</v>
      </c>
      <c r="L305" s="9">
        <v>0.27983111841046948</v>
      </c>
      <c r="M305" s="10">
        <v>344.98955619041345</v>
      </c>
      <c r="N305" s="10">
        <v>379.48851180945485</v>
      </c>
    </row>
    <row r="306" spans="1:14">
      <c r="A306" t="s">
        <v>1967</v>
      </c>
      <c r="B306" t="s">
        <v>2543</v>
      </c>
      <c r="C306" t="s">
        <v>2544</v>
      </c>
      <c r="D306" t="s">
        <v>11</v>
      </c>
      <c r="E306" t="s">
        <v>13</v>
      </c>
      <c r="F306" t="s">
        <v>1970</v>
      </c>
      <c r="G306" t="s">
        <v>12</v>
      </c>
      <c r="I306" t="s">
        <v>2543</v>
      </c>
      <c r="J306" t="s">
        <v>4495</v>
      </c>
      <c r="K306" s="10">
        <v>144.37291800356726</v>
      </c>
      <c r="L306" s="9">
        <v>0.27848414825038847</v>
      </c>
      <c r="M306" s="10">
        <v>112.8696099437892</v>
      </c>
      <c r="N306" s="10">
        <v>124.15657093816813</v>
      </c>
    </row>
    <row r="307" spans="1:14">
      <c r="A307" t="s">
        <v>1967</v>
      </c>
      <c r="B307" t="s">
        <v>2545</v>
      </c>
      <c r="C307" t="s">
        <v>2546</v>
      </c>
      <c r="D307" t="s">
        <v>11</v>
      </c>
      <c r="E307" t="s">
        <v>13</v>
      </c>
      <c r="F307" t="s">
        <v>1970</v>
      </c>
      <c r="G307" t="s">
        <v>12</v>
      </c>
      <c r="I307" t="s">
        <v>2545</v>
      </c>
      <c r="J307" t="s">
        <v>4496</v>
      </c>
      <c r="K307" s="10">
        <v>270.10433213037084</v>
      </c>
      <c r="L307" s="9">
        <v>0.2767588854931865</v>
      </c>
      <c r="M307" s="10">
        <v>131.55214945895685</v>
      </c>
      <c r="N307" s="10">
        <v>144.70736440485254</v>
      </c>
    </row>
    <row r="308" spans="1:14">
      <c r="A308" t="s">
        <v>1967</v>
      </c>
      <c r="B308" t="s">
        <v>2547</v>
      </c>
      <c r="C308" t="s">
        <v>2548</v>
      </c>
      <c r="D308" t="s">
        <v>11</v>
      </c>
      <c r="E308" t="s">
        <v>13</v>
      </c>
      <c r="F308" t="s">
        <v>1970</v>
      </c>
      <c r="G308" t="s">
        <v>12</v>
      </c>
      <c r="I308" t="s">
        <v>2547</v>
      </c>
      <c r="J308" t="s">
        <v>4497</v>
      </c>
      <c r="K308" s="10">
        <v>185.4906287899905</v>
      </c>
      <c r="L308" s="9">
        <v>0.28528353397428091</v>
      </c>
      <c r="M308" s="10">
        <v>236.14945279429961</v>
      </c>
      <c r="N308" s="10">
        <v>259.76439807372958</v>
      </c>
    </row>
    <row r="309" spans="1:14">
      <c r="A309" t="s">
        <v>1967</v>
      </c>
      <c r="B309" t="s">
        <v>2549</v>
      </c>
      <c r="C309" t="s">
        <v>2550</v>
      </c>
      <c r="D309" t="s">
        <v>11</v>
      </c>
      <c r="E309" t="s">
        <v>13</v>
      </c>
      <c r="F309" t="s">
        <v>1970</v>
      </c>
      <c r="G309" t="s">
        <v>12</v>
      </c>
      <c r="I309" t="s">
        <v>2549</v>
      </c>
      <c r="J309" t="s">
        <v>4498</v>
      </c>
      <c r="K309" s="10">
        <v>303.01253261769631</v>
      </c>
      <c r="L309" s="9">
        <v>0.28593331671103478</v>
      </c>
      <c r="M309" s="10">
        <v>427.05327695080064</v>
      </c>
      <c r="N309" s="10">
        <v>469.75860464588072</v>
      </c>
    </row>
    <row r="310" spans="1:14">
      <c r="A310" t="s">
        <v>1967</v>
      </c>
      <c r="B310" t="s">
        <v>2551</v>
      </c>
      <c r="C310" t="s">
        <v>2552</v>
      </c>
      <c r="D310" t="s">
        <v>11</v>
      </c>
      <c r="E310" t="s">
        <v>13</v>
      </c>
      <c r="F310" t="s">
        <v>1970</v>
      </c>
      <c r="G310" t="s">
        <v>12</v>
      </c>
      <c r="I310" t="s">
        <v>2551</v>
      </c>
      <c r="J310" t="s">
        <v>4499</v>
      </c>
      <c r="K310" s="10">
        <v>170.07498425894136</v>
      </c>
      <c r="L310" s="9">
        <v>0.27758841595714312</v>
      </c>
      <c r="M310" s="10">
        <v>287.92849761161995</v>
      </c>
      <c r="N310" s="10">
        <v>316.72134737278196</v>
      </c>
    </row>
    <row r="311" spans="1:14">
      <c r="A311" t="s">
        <v>1967</v>
      </c>
      <c r="B311" t="s">
        <v>2553</v>
      </c>
      <c r="C311" t="s">
        <v>2548</v>
      </c>
      <c r="D311" t="s">
        <v>11</v>
      </c>
      <c r="E311" t="s">
        <v>13</v>
      </c>
      <c r="F311" t="s">
        <v>1970</v>
      </c>
      <c r="G311" t="s">
        <v>12</v>
      </c>
      <c r="I311" t="s">
        <v>2553</v>
      </c>
      <c r="J311" t="s">
        <v>4500</v>
      </c>
      <c r="K311" s="10">
        <v>320.54096143434163</v>
      </c>
      <c r="L311" s="9">
        <v>0.27724215244269468</v>
      </c>
      <c r="M311" s="10">
        <v>340.50152106617372</v>
      </c>
      <c r="N311" s="10">
        <v>374.55167317279114</v>
      </c>
    </row>
    <row r="312" spans="1:14">
      <c r="A312" t="s">
        <v>1967</v>
      </c>
      <c r="B312" t="s">
        <v>2554</v>
      </c>
      <c r="C312" t="s">
        <v>2555</v>
      </c>
      <c r="D312" t="s">
        <v>11</v>
      </c>
      <c r="E312" t="s">
        <v>13</v>
      </c>
      <c r="F312" t="s">
        <v>1970</v>
      </c>
      <c r="G312" t="s">
        <v>12</v>
      </c>
      <c r="I312" t="s">
        <v>2554</v>
      </c>
      <c r="J312" t="s">
        <v>4501</v>
      </c>
      <c r="K312" s="10">
        <v>254.82604800164748</v>
      </c>
      <c r="L312" s="9">
        <v>0.2792412788476929</v>
      </c>
      <c r="M312" s="10">
        <v>287.57153343751634</v>
      </c>
      <c r="N312" s="10">
        <v>316.328686781268</v>
      </c>
    </row>
    <row r="313" spans="1:14">
      <c r="A313" t="s">
        <v>1967</v>
      </c>
      <c r="B313" t="s">
        <v>2556</v>
      </c>
      <c r="C313" t="s">
        <v>2557</v>
      </c>
      <c r="D313" t="s">
        <v>11</v>
      </c>
      <c r="E313" t="s">
        <v>13</v>
      </c>
      <c r="F313" t="s">
        <v>1970</v>
      </c>
      <c r="G313" t="s">
        <v>12</v>
      </c>
      <c r="I313" t="s">
        <v>2556</v>
      </c>
      <c r="J313" t="s">
        <v>4502</v>
      </c>
      <c r="K313" s="10">
        <v>133.25040646727993</v>
      </c>
      <c r="L313" s="9">
        <v>0.26764893418572788</v>
      </c>
      <c r="M313" s="10">
        <v>145.71095944481578</v>
      </c>
      <c r="N313" s="10">
        <v>160.28205538929737</v>
      </c>
    </row>
    <row r="314" spans="1:14">
      <c r="A314" t="s">
        <v>1967</v>
      </c>
      <c r="B314" t="s">
        <v>2558</v>
      </c>
      <c r="C314" t="s">
        <v>2557</v>
      </c>
      <c r="D314" t="s">
        <v>11</v>
      </c>
      <c r="E314" t="s">
        <v>13</v>
      </c>
      <c r="F314" t="s">
        <v>1970</v>
      </c>
      <c r="G314" t="s">
        <v>12</v>
      </c>
      <c r="I314" t="s">
        <v>2558</v>
      </c>
      <c r="J314" t="s">
        <v>4503</v>
      </c>
      <c r="K314" s="10">
        <v>131.36478501474153</v>
      </c>
      <c r="L314" s="9">
        <v>0.27290436532395662</v>
      </c>
      <c r="M314" s="10">
        <v>342.6906607662707</v>
      </c>
      <c r="N314" s="10">
        <v>376.95972684289779</v>
      </c>
    </row>
    <row r="315" spans="1:14">
      <c r="A315" t="s">
        <v>1967</v>
      </c>
      <c r="B315" t="s">
        <v>2559</v>
      </c>
      <c r="C315" t="s">
        <v>2560</v>
      </c>
      <c r="D315" t="s">
        <v>11</v>
      </c>
      <c r="E315" t="s">
        <v>13</v>
      </c>
      <c r="F315" t="s">
        <v>1970</v>
      </c>
      <c r="G315" t="s">
        <v>12</v>
      </c>
      <c r="I315" t="s">
        <v>2559</v>
      </c>
      <c r="J315" t="s">
        <v>4504</v>
      </c>
      <c r="K315" s="11">
        <v>45.159310721149375</v>
      </c>
      <c r="L315" s="9">
        <v>0.25964344033309611</v>
      </c>
      <c r="M315" s="11">
        <v>49.652639887770178</v>
      </c>
      <c r="N315" s="11">
        <v>54.617903876547203</v>
      </c>
    </row>
    <row r="316" spans="1:14">
      <c r="A316" t="s">
        <v>1967</v>
      </c>
      <c r="B316" t="s">
        <v>2561</v>
      </c>
      <c r="C316" t="s">
        <v>2562</v>
      </c>
      <c r="D316" t="s">
        <v>11</v>
      </c>
      <c r="E316" t="s">
        <v>13</v>
      </c>
      <c r="F316" t="s">
        <v>1970</v>
      </c>
      <c r="G316" t="s">
        <v>12</v>
      </c>
      <c r="I316" t="s">
        <v>2561</v>
      </c>
      <c r="J316" t="s">
        <v>4505</v>
      </c>
      <c r="K316" s="10">
        <v>105.01386584722536</v>
      </c>
      <c r="L316" s="9">
        <v>0.26791185258444378</v>
      </c>
      <c r="M316" s="11">
        <v>73.162695807187205</v>
      </c>
      <c r="N316" s="11">
        <v>80.47896538790593</v>
      </c>
    </row>
    <row r="317" spans="1:14">
      <c r="A317" t="s">
        <v>1967</v>
      </c>
      <c r="B317" t="s">
        <v>2563</v>
      </c>
      <c r="C317" t="s">
        <v>2564</v>
      </c>
      <c r="D317" t="s">
        <v>11</v>
      </c>
      <c r="E317" t="s">
        <v>13</v>
      </c>
      <c r="F317" t="s">
        <v>1970</v>
      </c>
      <c r="G317" t="s">
        <v>12</v>
      </c>
      <c r="I317" t="s">
        <v>2563</v>
      </c>
      <c r="J317" t="s">
        <v>4506</v>
      </c>
      <c r="K317" s="9">
        <v>0.24669990453380441</v>
      </c>
      <c r="L317" s="9">
        <v>0.19391890393436309</v>
      </c>
      <c r="M317" s="10">
        <v>153.40941485514344</v>
      </c>
      <c r="N317" s="10">
        <v>168.75035634065779</v>
      </c>
    </row>
    <row r="318" spans="1:14">
      <c r="A318" t="s">
        <v>1967</v>
      </c>
      <c r="B318" t="s">
        <v>2565</v>
      </c>
      <c r="C318" t="s">
        <v>2566</v>
      </c>
      <c r="D318" t="s">
        <v>11</v>
      </c>
      <c r="E318" t="s">
        <v>13</v>
      </c>
      <c r="F318" t="s">
        <v>1970</v>
      </c>
      <c r="G318" t="s">
        <v>12</v>
      </c>
      <c r="I318" t="s">
        <v>2565</v>
      </c>
      <c r="J318" t="s">
        <v>4507</v>
      </c>
      <c r="K318" s="9">
        <v>1.1733419066527064</v>
      </c>
      <c r="L318" s="9">
        <v>0.17789351441731541</v>
      </c>
      <c r="M318" s="10">
        <v>160.25082534189852</v>
      </c>
      <c r="N318" s="10">
        <v>176.27590787608838</v>
      </c>
    </row>
    <row r="319" spans="1:14">
      <c r="A319" t="s">
        <v>1967</v>
      </c>
      <c r="B319" t="s">
        <v>2567</v>
      </c>
      <c r="C319" t="s">
        <v>2568</v>
      </c>
      <c r="D319" t="s">
        <v>11</v>
      </c>
      <c r="E319" t="s">
        <v>13</v>
      </c>
      <c r="F319" t="s">
        <v>1970</v>
      </c>
      <c r="G319" t="s">
        <v>12</v>
      </c>
      <c r="I319" t="s">
        <v>2567</v>
      </c>
      <c r="J319" t="s">
        <v>4508</v>
      </c>
      <c r="K319" s="9">
        <v>2.039196210249512</v>
      </c>
      <c r="L319" s="9">
        <v>0.18475480584082871</v>
      </c>
      <c r="M319" s="11">
        <v>31.837414869895017</v>
      </c>
      <c r="N319" s="11">
        <v>35.021156356884525</v>
      </c>
    </row>
    <row r="320" spans="1:14">
      <c r="A320" t="s">
        <v>1967</v>
      </c>
      <c r="B320" t="s">
        <v>2569</v>
      </c>
      <c r="C320" t="s">
        <v>2570</v>
      </c>
      <c r="D320" t="s">
        <v>11</v>
      </c>
      <c r="E320" t="s">
        <v>13</v>
      </c>
      <c r="F320" t="s">
        <v>1970</v>
      </c>
      <c r="G320" t="s">
        <v>12</v>
      </c>
      <c r="I320" t="s">
        <v>2569</v>
      </c>
      <c r="J320" t="s">
        <v>4509</v>
      </c>
      <c r="K320" s="9">
        <v>0.9796856258882306</v>
      </c>
      <c r="L320" s="9">
        <v>0.13355164555282081</v>
      </c>
      <c r="M320" s="11">
        <v>57.133020217548683</v>
      </c>
      <c r="N320" s="11">
        <v>62.846322239303554</v>
      </c>
    </row>
    <row r="321" spans="1:14">
      <c r="A321" t="s">
        <v>1967</v>
      </c>
      <c r="B321" t="s">
        <v>2571</v>
      </c>
      <c r="C321" t="s">
        <v>2572</v>
      </c>
      <c r="D321" t="s">
        <v>11</v>
      </c>
      <c r="E321" t="s">
        <v>13</v>
      </c>
      <c r="F321" t="s">
        <v>1970</v>
      </c>
      <c r="G321" t="s">
        <v>12</v>
      </c>
      <c r="I321" t="s">
        <v>2571</v>
      </c>
      <c r="J321" t="s">
        <v>4510</v>
      </c>
      <c r="K321" s="9">
        <v>6.1305269699239018</v>
      </c>
      <c r="L321" s="9">
        <v>0.13964164943712909</v>
      </c>
      <c r="M321" s="11">
        <v>24.871182039376919</v>
      </c>
      <c r="N321" s="11">
        <v>27.358300243314613</v>
      </c>
    </row>
    <row r="322" spans="1:14">
      <c r="A322" t="s">
        <v>1967</v>
      </c>
      <c r="B322" t="s">
        <v>2573</v>
      </c>
      <c r="C322" t="s">
        <v>2574</v>
      </c>
      <c r="D322" t="s">
        <v>11</v>
      </c>
      <c r="E322" t="s">
        <v>13</v>
      </c>
      <c r="F322" t="s">
        <v>1970</v>
      </c>
      <c r="G322" t="s">
        <v>12</v>
      </c>
      <c r="I322" t="s">
        <v>2573</v>
      </c>
      <c r="J322" t="s">
        <v>4511</v>
      </c>
      <c r="K322" s="11">
        <v>55.862850899088208</v>
      </c>
      <c r="L322" s="9">
        <v>0.27694672846033119</v>
      </c>
      <c r="M322" s="10">
        <v>514.33624165255378</v>
      </c>
      <c r="N322" s="10">
        <v>565.7698658178092</v>
      </c>
    </row>
    <row r="323" spans="1:14">
      <c r="A323" t="s">
        <v>1967</v>
      </c>
      <c r="B323" t="s">
        <v>2575</v>
      </c>
      <c r="C323" t="s">
        <v>2576</v>
      </c>
      <c r="D323" t="s">
        <v>11</v>
      </c>
      <c r="E323" t="s">
        <v>13</v>
      </c>
      <c r="F323" t="s">
        <v>1970</v>
      </c>
      <c r="G323" t="s">
        <v>12</v>
      </c>
      <c r="I323" t="s">
        <v>2575</v>
      </c>
      <c r="J323" t="s">
        <v>4512</v>
      </c>
      <c r="K323" s="10">
        <v>117.91998575787316</v>
      </c>
      <c r="L323" s="9">
        <v>0.29283190333974413</v>
      </c>
      <c r="M323" s="10">
        <v>665.40707481334584</v>
      </c>
      <c r="N323" s="10">
        <v>731.94778229468045</v>
      </c>
    </row>
    <row r="324" spans="1:14">
      <c r="A324" t="s">
        <v>1967</v>
      </c>
      <c r="B324" t="s">
        <v>2577</v>
      </c>
      <c r="C324" t="s">
        <v>2578</v>
      </c>
      <c r="D324" t="s">
        <v>11</v>
      </c>
      <c r="E324" t="s">
        <v>13</v>
      </c>
      <c r="F324" t="s">
        <v>1970</v>
      </c>
      <c r="G324" t="s">
        <v>12</v>
      </c>
      <c r="I324" t="s">
        <v>2577</v>
      </c>
      <c r="J324" t="s">
        <v>4513</v>
      </c>
      <c r="K324" s="10">
        <v>106.65401225262988</v>
      </c>
      <c r="L324" s="9">
        <v>0.27987773645354391</v>
      </c>
      <c r="M324" s="10">
        <v>351.52594814894854</v>
      </c>
      <c r="N324" s="10">
        <v>386.67854296384343</v>
      </c>
    </row>
    <row r="325" spans="1:14">
      <c r="A325" t="s">
        <v>1967</v>
      </c>
      <c r="B325" t="s">
        <v>2579</v>
      </c>
      <c r="C325" t="s">
        <v>2580</v>
      </c>
      <c r="D325" t="s">
        <v>11</v>
      </c>
      <c r="E325" t="s">
        <v>13</v>
      </c>
      <c r="F325" t="s">
        <v>1970</v>
      </c>
      <c r="G325" t="s">
        <v>12</v>
      </c>
      <c r="I325" t="s">
        <v>2579</v>
      </c>
      <c r="J325" t="s">
        <v>4514</v>
      </c>
      <c r="K325" s="10">
        <v>144.80500081879987</v>
      </c>
      <c r="L325" s="9">
        <v>0.28681640820066701</v>
      </c>
      <c r="M325" s="10">
        <v>306.75012234792695</v>
      </c>
      <c r="N325" s="10">
        <v>337.42513458271969</v>
      </c>
    </row>
    <row r="326" spans="1:14">
      <c r="A326" t="s">
        <v>1967</v>
      </c>
      <c r="B326" t="s">
        <v>2581</v>
      </c>
      <c r="C326" t="s">
        <v>2582</v>
      </c>
      <c r="D326" t="s">
        <v>11</v>
      </c>
      <c r="E326" t="s">
        <v>13</v>
      </c>
      <c r="F326" t="s">
        <v>1970</v>
      </c>
      <c r="G326" t="s">
        <v>12</v>
      </c>
      <c r="I326" t="s">
        <v>2581</v>
      </c>
      <c r="J326" t="s">
        <v>4515</v>
      </c>
      <c r="K326" s="11">
        <v>80.274243388088053</v>
      </c>
      <c r="L326" s="9">
        <v>0.28559304262094748</v>
      </c>
      <c r="M326" s="10">
        <v>111.02657078794149</v>
      </c>
      <c r="N326" s="10">
        <v>122.12922786673565</v>
      </c>
    </row>
    <row r="327" spans="1:14">
      <c r="A327" t="s">
        <v>1967</v>
      </c>
      <c r="B327" t="s">
        <v>2583</v>
      </c>
      <c r="C327" t="s">
        <v>2584</v>
      </c>
      <c r="D327" t="s">
        <v>11</v>
      </c>
      <c r="E327" t="s">
        <v>13</v>
      </c>
      <c r="F327" t="s">
        <v>1970</v>
      </c>
      <c r="G327" t="s">
        <v>12</v>
      </c>
      <c r="I327" t="s">
        <v>2583</v>
      </c>
      <c r="J327" t="s">
        <v>4516</v>
      </c>
      <c r="K327" s="11">
        <v>74.165110501065215</v>
      </c>
      <c r="L327" s="9">
        <v>0.2764570669622467</v>
      </c>
      <c r="M327" s="10">
        <v>134.2090421241476</v>
      </c>
      <c r="N327" s="10">
        <v>147.62994633656237</v>
      </c>
    </row>
    <row r="328" spans="1:14">
      <c r="A328" t="s">
        <v>1967</v>
      </c>
      <c r="B328" t="s">
        <v>2585</v>
      </c>
      <c r="C328" t="s">
        <v>2586</v>
      </c>
      <c r="D328" t="s">
        <v>11</v>
      </c>
      <c r="E328" t="s">
        <v>13</v>
      </c>
      <c r="F328" t="s">
        <v>1970</v>
      </c>
      <c r="G328" t="s">
        <v>12</v>
      </c>
      <c r="I328" t="s">
        <v>2585</v>
      </c>
      <c r="J328" t="s">
        <v>4517</v>
      </c>
      <c r="K328" s="11">
        <v>37.302161878849169</v>
      </c>
      <c r="L328" s="9">
        <v>0.26089828079009469</v>
      </c>
      <c r="M328" s="11">
        <v>62.236801325476527</v>
      </c>
      <c r="N328" s="11">
        <v>68.460481458024191</v>
      </c>
    </row>
    <row r="329" spans="1:14">
      <c r="A329" t="s">
        <v>1967</v>
      </c>
      <c r="B329" t="s">
        <v>2587</v>
      </c>
      <c r="C329" t="s">
        <v>2574</v>
      </c>
      <c r="D329" t="s">
        <v>11</v>
      </c>
      <c r="E329" t="s">
        <v>13</v>
      </c>
      <c r="F329" t="s">
        <v>1970</v>
      </c>
      <c r="G329" t="s">
        <v>12</v>
      </c>
      <c r="I329" t="s">
        <v>2587</v>
      </c>
      <c r="J329" t="s">
        <v>4518</v>
      </c>
      <c r="K329" s="11">
        <v>73.620498671692658</v>
      </c>
      <c r="L329" s="9">
        <v>0.27660098920112458</v>
      </c>
      <c r="M329" s="10">
        <v>226.0615160015879</v>
      </c>
      <c r="N329" s="10">
        <v>248.66766760174673</v>
      </c>
    </row>
    <row r="330" spans="1:14">
      <c r="A330" t="s">
        <v>1967</v>
      </c>
      <c r="B330" t="s">
        <v>2588</v>
      </c>
      <c r="C330" t="s">
        <v>2589</v>
      </c>
      <c r="D330" t="s">
        <v>11</v>
      </c>
      <c r="E330" t="s">
        <v>13</v>
      </c>
      <c r="F330" t="s">
        <v>1970</v>
      </c>
      <c r="G330" t="s">
        <v>12</v>
      </c>
      <c r="I330" t="s">
        <v>2588</v>
      </c>
      <c r="J330" t="s">
        <v>4519</v>
      </c>
      <c r="K330" s="10">
        <v>172.45894126989413</v>
      </c>
      <c r="L330" s="9">
        <v>0.29322659966481679</v>
      </c>
      <c r="M330" s="10">
        <v>501.04679698031913</v>
      </c>
      <c r="N330" s="10">
        <v>551.15147667835106</v>
      </c>
    </row>
    <row r="331" spans="1:14">
      <c r="A331" t="s">
        <v>1967</v>
      </c>
      <c r="B331" t="s">
        <v>2590</v>
      </c>
      <c r="C331" t="s">
        <v>2576</v>
      </c>
      <c r="D331" t="s">
        <v>11</v>
      </c>
      <c r="E331" t="s">
        <v>13</v>
      </c>
      <c r="F331" t="s">
        <v>1970</v>
      </c>
      <c r="G331" t="s">
        <v>12</v>
      </c>
      <c r="I331" t="s">
        <v>2590</v>
      </c>
      <c r="J331" t="s">
        <v>4520</v>
      </c>
      <c r="K331" s="11">
        <v>68.895865451690796</v>
      </c>
      <c r="L331" s="9">
        <v>0.2868854529054034</v>
      </c>
      <c r="M331" s="10">
        <v>387.7271206919616</v>
      </c>
      <c r="N331" s="10">
        <v>426.49983276115779</v>
      </c>
    </row>
    <row r="332" spans="1:14">
      <c r="A332" t="s">
        <v>1967</v>
      </c>
      <c r="B332" t="s">
        <v>2591</v>
      </c>
      <c r="C332" t="s">
        <v>2576</v>
      </c>
      <c r="D332" t="s">
        <v>11</v>
      </c>
      <c r="E332" t="s">
        <v>13</v>
      </c>
      <c r="F332" t="s">
        <v>1970</v>
      </c>
      <c r="G332" t="s">
        <v>12</v>
      </c>
      <c r="I332" t="s">
        <v>2591</v>
      </c>
      <c r="J332" t="s">
        <v>4521</v>
      </c>
      <c r="K332" s="11">
        <v>80.513927654877705</v>
      </c>
      <c r="L332" s="9">
        <v>0.28708697923774601</v>
      </c>
      <c r="M332" s="10">
        <v>169.94076414600576</v>
      </c>
      <c r="N332" s="10">
        <v>186.93484056060635</v>
      </c>
    </row>
    <row r="333" spans="1:14">
      <c r="A333" t="s">
        <v>1967</v>
      </c>
      <c r="B333" t="s">
        <v>2592</v>
      </c>
      <c r="C333" t="s">
        <v>2593</v>
      </c>
      <c r="D333" t="s">
        <v>11</v>
      </c>
      <c r="E333" t="s">
        <v>13</v>
      </c>
      <c r="F333" t="s">
        <v>1970</v>
      </c>
      <c r="G333" t="s">
        <v>12</v>
      </c>
      <c r="I333" t="s">
        <v>2592</v>
      </c>
      <c r="J333" t="s">
        <v>4522</v>
      </c>
      <c r="K333" s="11">
        <v>18.530628166967865</v>
      </c>
      <c r="L333" s="9">
        <v>0.2438142476855667</v>
      </c>
      <c r="M333" s="10">
        <v>409.24759802840663</v>
      </c>
      <c r="N333" s="10">
        <v>450.17235783124733</v>
      </c>
    </row>
    <row r="334" spans="1:14">
      <c r="A334" t="s">
        <v>1967</v>
      </c>
      <c r="B334" t="s">
        <v>2594</v>
      </c>
      <c r="C334" t="s">
        <v>2595</v>
      </c>
      <c r="D334" t="s">
        <v>11</v>
      </c>
      <c r="E334" t="s">
        <v>13</v>
      </c>
      <c r="F334" t="s">
        <v>1970</v>
      </c>
      <c r="G334" t="s">
        <v>12</v>
      </c>
      <c r="I334" t="s">
        <v>2594</v>
      </c>
      <c r="J334" t="s">
        <v>4523</v>
      </c>
      <c r="K334" s="11">
        <v>18.035450891678078</v>
      </c>
      <c r="L334" s="9">
        <v>0.25301982251172728</v>
      </c>
      <c r="M334" s="10">
        <v>116.59737982367064</v>
      </c>
      <c r="N334" s="10">
        <v>128.25711780603771</v>
      </c>
    </row>
    <row r="335" spans="1:14">
      <c r="A335" t="s">
        <v>1967</v>
      </c>
      <c r="B335" t="s">
        <v>2596</v>
      </c>
      <c r="C335" t="s">
        <v>2597</v>
      </c>
      <c r="D335" t="s">
        <v>11</v>
      </c>
      <c r="E335" t="s">
        <v>13</v>
      </c>
      <c r="F335" t="s">
        <v>1970</v>
      </c>
      <c r="G335" t="s">
        <v>12</v>
      </c>
      <c r="I335" t="s">
        <v>2596</v>
      </c>
      <c r="J335" t="s">
        <v>4524</v>
      </c>
      <c r="K335" s="11">
        <v>12.963830457671303</v>
      </c>
      <c r="L335" s="9">
        <v>0.25045094696376868</v>
      </c>
      <c r="M335" s="11">
        <v>79.731421842583828</v>
      </c>
      <c r="N335" s="11">
        <v>87.70456402684222</v>
      </c>
    </row>
    <row r="336" spans="1:14">
      <c r="A336" t="s">
        <v>1967</v>
      </c>
      <c r="B336" t="s">
        <v>2598</v>
      </c>
      <c r="C336" t="s">
        <v>2599</v>
      </c>
      <c r="D336" t="s">
        <v>11</v>
      </c>
      <c r="E336" t="s">
        <v>13</v>
      </c>
      <c r="F336" t="s">
        <v>1970</v>
      </c>
      <c r="G336" t="s">
        <v>12</v>
      </c>
      <c r="I336" t="s">
        <v>2598</v>
      </c>
      <c r="J336" t="s">
        <v>4525</v>
      </c>
      <c r="K336" s="11">
        <v>10.523544006905524</v>
      </c>
      <c r="L336" s="9">
        <v>0.24063415956462919</v>
      </c>
      <c r="M336" s="10">
        <v>152.34373066333188</v>
      </c>
      <c r="N336" s="10">
        <v>167.57810372966509</v>
      </c>
    </row>
    <row r="337" spans="1:14">
      <c r="A337" t="s">
        <v>1967</v>
      </c>
      <c r="B337" t="s">
        <v>2600</v>
      </c>
      <c r="C337" t="s">
        <v>2601</v>
      </c>
      <c r="D337" t="s">
        <v>11</v>
      </c>
      <c r="E337" t="s">
        <v>13</v>
      </c>
      <c r="F337" t="s">
        <v>1970</v>
      </c>
      <c r="G337" t="s">
        <v>12</v>
      </c>
      <c r="I337" t="s">
        <v>2600</v>
      </c>
      <c r="J337" t="s">
        <v>4526</v>
      </c>
      <c r="K337" s="11">
        <v>14.82574906466666</v>
      </c>
      <c r="L337" s="9">
        <v>0.2389111732389731</v>
      </c>
      <c r="M337" s="10">
        <v>153.45509947750193</v>
      </c>
      <c r="N337" s="10">
        <v>168.80060942525213</v>
      </c>
    </row>
    <row r="338" spans="1:14">
      <c r="A338" t="s">
        <v>1967</v>
      </c>
      <c r="B338" t="s">
        <v>2602</v>
      </c>
      <c r="C338" t="s">
        <v>2603</v>
      </c>
      <c r="D338" t="s">
        <v>11</v>
      </c>
      <c r="E338" t="s">
        <v>13</v>
      </c>
      <c r="F338" t="s">
        <v>1970</v>
      </c>
      <c r="G338" t="s">
        <v>12</v>
      </c>
      <c r="I338" t="s">
        <v>2602</v>
      </c>
      <c r="J338" t="s">
        <v>4527</v>
      </c>
      <c r="K338" s="11">
        <v>12.99337918346963</v>
      </c>
      <c r="L338" s="9">
        <v>0.18324998519692101</v>
      </c>
      <c r="M338" s="11">
        <v>33.122336856538467</v>
      </c>
      <c r="N338" s="11">
        <v>36.434570542192318</v>
      </c>
    </row>
    <row r="339" spans="1:14">
      <c r="A339" t="s">
        <v>1967</v>
      </c>
      <c r="B339" t="s">
        <v>2604</v>
      </c>
      <c r="C339" t="s">
        <v>2605</v>
      </c>
      <c r="D339" t="s">
        <v>11</v>
      </c>
      <c r="E339" t="s">
        <v>13</v>
      </c>
      <c r="F339" t="s">
        <v>1970</v>
      </c>
      <c r="G339" t="s">
        <v>12</v>
      </c>
      <c r="I339" t="s">
        <v>2604</v>
      </c>
      <c r="J339" t="s">
        <v>4528</v>
      </c>
      <c r="K339" s="11">
        <v>54.54921988379872</v>
      </c>
      <c r="L339" s="9">
        <v>0.22005265089426071</v>
      </c>
      <c r="M339" s="11">
        <v>78.717731579583102</v>
      </c>
      <c r="N339" s="11">
        <v>86.589504737541418</v>
      </c>
    </row>
    <row r="340" spans="1:14">
      <c r="A340" t="s">
        <v>1967</v>
      </c>
      <c r="B340" t="s">
        <v>2606</v>
      </c>
      <c r="C340" t="s">
        <v>2607</v>
      </c>
      <c r="D340" t="s">
        <v>11</v>
      </c>
      <c r="E340" t="s">
        <v>13</v>
      </c>
      <c r="F340" t="s">
        <v>1970</v>
      </c>
      <c r="G340" t="s">
        <v>12</v>
      </c>
      <c r="I340" t="s">
        <v>2606</v>
      </c>
      <c r="J340" t="s">
        <v>4529</v>
      </c>
      <c r="K340" s="11">
        <v>64.93497283172762</v>
      </c>
      <c r="L340" s="9">
        <v>0.22622154778163331</v>
      </c>
      <c r="M340" s="11">
        <v>49.749791333778177</v>
      </c>
      <c r="N340" s="11">
        <v>54.724770467155999</v>
      </c>
    </row>
    <row r="341" spans="1:14">
      <c r="A341" t="s">
        <v>1967</v>
      </c>
      <c r="B341" t="s">
        <v>2608</v>
      </c>
      <c r="C341" t="s">
        <v>2609</v>
      </c>
      <c r="D341" t="s">
        <v>11</v>
      </c>
      <c r="E341" t="s">
        <v>13</v>
      </c>
      <c r="F341" t="s">
        <v>1970</v>
      </c>
      <c r="G341" t="s">
        <v>12</v>
      </c>
      <c r="I341" t="s">
        <v>2608</v>
      </c>
      <c r="J341" t="s">
        <v>4530</v>
      </c>
      <c r="K341" s="11">
        <v>41.517588709328692</v>
      </c>
      <c r="L341" s="9">
        <v>0.2344889781055918</v>
      </c>
      <c r="M341" s="11">
        <v>51.800206235435638</v>
      </c>
      <c r="N341" s="11">
        <v>56.980226858979208</v>
      </c>
    </row>
    <row r="342" spans="1:14">
      <c r="A342" t="s">
        <v>1967</v>
      </c>
      <c r="B342" t="s">
        <v>2610</v>
      </c>
      <c r="C342" t="s">
        <v>2611</v>
      </c>
      <c r="D342" t="s">
        <v>11</v>
      </c>
      <c r="E342" t="s">
        <v>13</v>
      </c>
      <c r="F342" t="s">
        <v>1970</v>
      </c>
      <c r="G342" t="s">
        <v>12</v>
      </c>
      <c r="I342" t="s">
        <v>2610</v>
      </c>
      <c r="J342" t="s">
        <v>4531</v>
      </c>
      <c r="K342" s="11">
        <v>34.764579689290549</v>
      </c>
      <c r="L342" s="9">
        <v>0.24111842699413219</v>
      </c>
      <c r="M342" s="11">
        <v>48.45896452856212</v>
      </c>
      <c r="N342" s="11">
        <v>53.304860981418337</v>
      </c>
    </row>
    <row r="343" spans="1:14">
      <c r="A343" t="s">
        <v>1967</v>
      </c>
      <c r="B343" t="s">
        <v>2612</v>
      </c>
      <c r="C343" t="s">
        <v>2613</v>
      </c>
      <c r="D343" t="s">
        <v>11</v>
      </c>
      <c r="E343" t="s">
        <v>13</v>
      </c>
      <c r="F343" t="s">
        <v>1970</v>
      </c>
      <c r="G343" t="s">
        <v>12</v>
      </c>
      <c r="I343" t="s">
        <v>2612</v>
      </c>
      <c r="J343" t="s">
        <v>4532</v>
      </c>
      <c r="K343" s="10">
        <v>103.53242357213314</v>
      </c>
      <c r="L343" s="9">
        <v>0.2362674680225694</v>
      </c>
      <c r="M343" s="11">
        <v>48.684716640809377</v>
      </c>
      <c r="N343" s="11">
        <v>53.55318830489032</v>
      </c>
    </row>
    <row r="344" spans="1:14">
      <c r="A344" t="s">
        <v>1967</v>
      </c>
      <c r="B344" t="s">
        <v>2614</v>
      </c>
      <c r="C344" t="s">
        <v>2615</v>
      </c>
      <c r="D344" t="s">
        <v>11</v>
      </c>
      <c r="E344" t="s">
        <v>13</v>
      </c>
      <c r="F344" t="s">
        <v>1970</v>
      </c>
      <c r="G344" t="s">
        <v>12</v>
      </c>
      <c r="I344" t="s">
        <v>2614</v>
      </c>
      <c r="J344" t="s">
        <v>4533</v>
      </c>
      <c r="K344" s="11">
        <v>17.593622711782448</v>
      </c>
      <c r="L344" s="9">
        <v>0.189562201955395</v>
      </c>
      <c r="M344" s="11">
        <v>37.977265227910493</v>
      </c>
      <c r="N344" s="11">
        <v>41.774991750701545</v>
      </c>
    </row>
    <row r="345" spans="1:14">
      <c r="A345" t="s">
        <v>1967</v>
      </c>
      <c r="B345" t="s">
        <v>2616</v>
      </c>
      <c r="C345" t="s">
        <v>2617</v>
      </c>
      <c r="D345" t="s">
        <v>11</v>
      </c>
      <c r="E345" t="s">
        <v>13</v>
      </c>
      <c r="F345" t="s">
        <v>1970</v>
      </c>
      <c r="G345" t="s">
        <v>12</v>
      </c>
      <c r="I345" t="s">
        <v>2616</v>
      </c>
      <c r="J345" t="s">
        <v>4534</v>
      </c>
      <c r="K345" s="11">
        <v>52.263108857273835</v>
      </c>
      <c r="L345" s="9">
        <v>0.21503731221085229</v>
      </c>
      <c r="M345" s="11">
        <v>49.915117482809066</v>
      </c>
      <c r="N345" s="11">
        <v>54.90662923108998</v>
      </c>
    </row>
    <row r="346" spans="1:14">
      <c r="A346" t="s">
        <v>1967</v>
      </c>
      <c r="B346" t="s">
        <v>2618</v>
      </c>
      <c r="C346" t="s">
        <v>2619</v>
      </c>
      <c r="D346" t="s">
        <v>11</v>
      </c>
      <c r="E346" t="s">
        <v>13</v>
      </c>
      <c r="F346" t="s">
        <v>1970</v>
      </c>
      <c r="G346" t="s">
        <v>12</v>
      </c>
      <c r="I346" t="s">
        <v>2618</v>
      </c>
      <c r="J346" t="s">
        <v>4535</v>
      </c>
      <c r="K346" s="9">
        <v>0.9145688706803502</v>
      </c>
      <c r="L346" s="9">
        <v>0.14669608934962211</v>
      </c>
      <c r="M346" s="11">
        <v>80.205903079711447</v>
      </c>
      <c r="N346" s="11">
        <v>88.226493387682595</v>
      </c>
    </row>
    <row r="347" spans="1:14">
      <c r="A347" t="s">
        <v>1967</v>
      </c>
      <c r="B347" t="s">
        <v>2620</v>
      </c>
      <c r="C347" t="s">
        <v>2621</v>
      </c>
      <c r="D347" t="s">
        <v>11</v>
      </c>
      <c r="E347" t="s">
        <v>13</v>
      </c>
      <c r="F347" t="s">
        <v>1970</v>
      </c>
      <c r="G347" t="s">
        <v>12</v>
      </c>
      <c r="I347" t="s">
        <v>2620</v>
      </c>
      <c r="J347" t="s">
        <v>4536</v>
      </c>
      <c r="K347" s="9">
        <v>0.52068372004555974</v>
      </c>
      <c r="L347" s="9">
        <v>0.15350661370093921</v>
      </c>
      <c r="M347" s="10">
        <v>137.81164745668653</v>
      </c>
      <c r="N347" s="10">
        <v>151.59281220235519</v>
      </c>
    </row>
    <row r="348" spans="1:14">
      <c r="A348" t="s">
        <v>1967</v>
      </c>
      <c r="B348" t="s">
        <v>2622</v>
      </c>
      <c r="C348" t="s">
        <v>2623</v>
      </c>
      <c r="D348" t="s">
        <v>11</v>
      </c>
      <c r="E348" t="s">
        <v>13</v>
      </c>
      <c r="F348" t="s">
        <v>1970</v>
      </c>
      <c r="G348" t="s">
        <v>12</v>
      </c>
      <c r="I348" t="s">
        <v>2622</v>
      </c>
      <c r="J348" t="s">
        <v>4537</v>
      </c>
      <c r="K348" s="9">
        <v>0.5980965266941729</v>
      </c>
      <c r="L348" s="9">
        <v>0.14660496965798039</v>
      </c>
      <c r="M348" s="10">
        <v>123.04801790556854</v>
      </c>
      <c r="N348" s="10">
        <v>135.35281969612541</v>
      </c>
    </row>
    <row r="349" spans="1:14">
      <c r="A349" t="s">
        <v>1967</v>
      </c>
      <c r="B349" t="s">
        <v>2624</v>
      </c>
      <c r="C349" t="s">
        <v>2625</v>
      </c>
      <c r="D349" t="s">
        <v>11</v>
      </c>
      <c r="E349" t="s">
        <v>13</v>
      </c>
      <c r="F349" t="s">
        <v>1970</v>
      </c>
      <c r="G349" t="s">
        <v>12</v>
      </c>
      <c r="I349" t="s">
        <v>2624</v>
      </c>
      <c r="J349" t="s">
        <v>4538</v>
      </c>
      <c r="K349" s="9">
        <v>0.31209921412798619</v>
      </c>
      <c r="L349" s="9">
        <v>0.14676521713189239</v>
      </c>
      <c r="M349" s="11">
        <v>80.284104869075136</v>
      </c>
      <c r="N349" s="11">
        <v>88.312515355982654</v>
      </c>
    </row>
    <row r="350" spans="1:14">
      <c r="A350" t="s">
        <v>1967</v>
      </c>
      <c r="B350" t="s">
        <v>2626</v>
      </c>
      <c r="C350" t="s">
        <v>2627</v>
      </c>
      <c r="D350" t="s">
        <v>11</v>
      </c>
      <c r="E350" t="s">
        <v>13</v>
      </c>
      <c r="F350" t="s">
        <v>1970</v>
      </c>
      <c r="G350" t="s">
        <v>12</v>
      </c>
      <c r="I350" t="s">
        <v>2626</v>
      </c>
      <c r="J350" t="s">
        <v>4539</v>
      </c>
      <c r="K350" s="11">
        <v>81.191756211543819</v>
      </c>
      <c r="L350" s="9">
        <v>0.24070116745327241</v>
      </c>
      <c r="M350" s="10">
        <v>124.4394163818972</v>
      </c>
      <c r="N350" s="10">
        <v>136.88335802008694</v>
      </c>
    </row>
    <row r="351" spans="1:14">
      <c r="A351" t="s">
        <v>1967</v>
      </c>
      <c r="B351" t="s">
        <v>2628</v>
      </c>
      <c r="C351" t="s">
        <v>2629</v>
      </c>
      <c r="D351" t="s">
        <v>11</v>
      </c>
      <c r="E351" t="s">
        <v>13</v>
      </c>
      <c r="F351" t="s">
        <v>1970</v>
      </c>
      <c r="G351" t="s">
        <v>12</v>
      </c>
      <c r="I351" t="s">
        <v>2628</v>
      </c>
      <c r="J351" t="s">
        <v>4540</v>
      </c>
      <c r="K351" s="11">
        <v>97.61884842030679</v>
      </c>
      <c r="L351" s="9">
        <v>0.23282067810918519</v>
      </c>
      <c r="M351" s="10">
        <v>130.17134723836199</v>
      </c>
      <c r="N351" s="10">
        <v>143.18848196219821</v>
      </c>
    </row>
    <row r="352" spans="1:14">
      <c r="A352" t="s">
        <v>1967</v>
      </c>
      <c r="B352" t="s">
        <v>2630</v>
      </c>
      <c r="C352" t="s">
        <v>2631</v>
      </c>
      <c r="D352" t="s">
        <v>11</v>
      </c>
      <c r="E352" t="s">
        <v>13</v>
      </c>
      <c r="F352" t="s">
        <v>1970</v>
      </c>
      <c r="G352" t="s">
        <v>12</v>
      </c>
      <c r="I352" t="s">
        <v>2630</v>
      </c>
      <c r="J352" t="s">
        <v>4541</v>
      </c>
      <c r="K352" s="11">
        <v>69.833122488862031</v>
      </c>
      <c r="L352" s="9">
        <v>0.2254242877977338</v>
      </c>
      <c r="M352" s="10">
        <v>151.52079745073931</v>
      </c>
      <c r="N352" s="10">
        <v>166.67287719581324</v>
      </c>
    </row>
    <row r="353" spans="1:14">
      <c r="A353" t="s">
        <v>1967</v>
      </c>
      <c r="B353" t="s">
        <v>2632</v>
      </c>
      <c r="C353" t="s">
        <v>2631</v>
      </c>
      <c r="D353" t="s">
        <v>11</v>
      </c>
      <c r="E353" t="s">
        <v>13</v>
      </c>
      <c r="F353" t="s">
        <v>1970</v>
      </c>
      <c r="G353" t="s">
        <v>12</v>
      </c>
      <c r="I353" t="s">
        <v>2632</v>
      </c>
      <c r="J353" t="s">
        <v>4542</v>
      </c>
      <c r="K353" s="11">
        <v>79.769352571451577</v>
      </c>
      <c r="L353" s="9">
        <v>0.235347319536584</v>
      </c>
      <c r="M353" s="10">
        <v>153.72160667258572</v>
      </c>
      <c r="N353" s="10">
        <v>169.09376733984431</v>
      </c>
    </row>
    <row r="354" spans="1:14">
      <c r="A354" t="s">
        <v>1967</v>
      </c>
      <c r="B354" t="s">
        <v>2633</v>
      </c>
      <c r="C354" t="s">
        <v>2634</v>
      </c>
      <c r="D354" t="s">
        <v>11</v>
      </c>
      <c r="E354" t="s">
        <v>13</v>
      </c>
      <c r="F354" t="s">
        <v>1970</v>
      </c>
      <c r="G354" t="s">
        <v>12</v>
      </c>
      <c r="I354" t="s">
        <v>2633</v>
      </c>
      <c r="J354" t="s">
        <v>4543</v>
      </c>
      <c r="K354" s="11">
        <v>55.264371744271145</v>
      </c>
      <c r="L354" s="9">
        <v>0.21600895996734479</v>
      </c>
      <c r="M354" s="10">
        <v>332.62287922648551</v>
      </c>
      <c r="N354" s="10">
        <v>365.88516714913408</v>
      </c>
    </row>
    <row r="355" spans="1:14">
      <c r="A355" t="s">
        <v>1967</v>
      </c>
      <c r="B355" t="s">
        <v>2635</v>
      </c>
      <c r="C355" t="s">
        <v>2636</v>
      </c>
      <c r="D355" t="s">
        <v>11</v>
      </c>
      <c r="E355" t="s">
        <v>13</v>
      </c>
      <c r="F355" t="s">
        <v>1970</v>
      </c>
      <c r="G355" t="s">
        <v>12</v>
      </c>
      <c r="I355" t="s">
        <v>2635</v>
      </c>
      <c r="J355" t="s">
        <v>4544</v>
      </c>
      <c r="K355" s="11">
        <v>28.168552445127929</v>
      </c>
      <c r="L355" s="9">
        <v>0.20942800070235651</v>
      </c>
      <c r="M355" s="10">
        <v>227.77871742375581</v>
      </c>
      <c r="N355" s="10">
        <v>250.5565891661314</v>
      </c>
    </row>
    <row r="356" spans="1:14">
      <c r="A356" t="s">
        <v>1967</v>
      </c>
      <c r="B356" t="s">
        <v>2637</v>
      </c>
      <c r="C356" t="s">
        <v>2638</v>
      </c>
      <c r="D356" t="s">
        <v>11</v>
      </c>
      <c r="E356" t="s">
        <v>13</v>
      </c>
      <c r="F356" t="s">
        <v>1970</v>
      </c>
      <c r="G356" t="s">
        <v>12</v>
      </c>
      <c r="I356" t="s">
        <v>2637</v>
      </c>
      <c r="J356" t="s">
        <v>4545</v>
      </c>
      <c r="K356" s="11">
        <v>49.957157649967691</v>
      </c>
      <c r="L356" s="9">
        <v>0.241511405185273</v>
      </c>
      <c r="M356" s="10">
        <v>228.18426654178052</v>
      </c>
      <c r="N356" s="10">
        <v>251.00269319595859</v>
      </c>
    </row>
    <row r="357" spans="1:14">
      <c r="A357" t="s">
        <v>1967</v>
      </c>
      <c r="B357" t="s">
        <v>2639</v>
      </c>
      <c r="C357" t="s">
        <v>2640</v>
      </c>
      <c r="D357" t="s">
        <v>11</v>
      </c>
      <c r="E357" t="s">
        <v>13</v>
      </c>
      <c r="F357" t="s">
        <v>1970</v>
      </c>
      <c r="G357" t="s">
        <v>12</v>
      </c>
      <c r="I357" t="s">
        <v>2639</v>
      </c>
      <c r="J357" t="s">
        <v>4546</v>
      </c>
      <c r="K357" s="11">
        <v>55.156416105373459</v>
      </c>
      <c r="L357" s="9">
        <v>0.21791523951042929</v>
      </c>
      <c r="M357" s="10">
        <v>317.5152194109732</v>
      </c>
      <c r="N357" s="10">
        <v>349.26674135207054</v>
      </c>
    </row>
    <row r="358" spans="1:14">
      <c r="A358" t="s">
        <v>1967</v>
      </c>
      <c r="B358" t="s">
        <v>2641</v>
      </c>
      <c r="C358" t="s">
        <v>2642</v>
      </c>
      <c r="D358" t="s">
        <v>11</v>
      </c>
      <c r="E358" t="s">
        <v>13</v>
      </c>
      <c r="F358" t="s">
        <v>1970</v>
      </c>
      <c r="G358" t="s">
        <v>12</v>
      </c>
      <c r="I358" t="s">
        <v>2641</v>
      </c>
      <c r="J358" t="s">
        <v>4547</v>
      </c>
      <c r="K358" s="11">
        <v>41.373198689535776</v>
      </c>
      <c r="L358" s="9">
        <v>0.244509792824158</v>
      </c>
      <c r="M358" s="10">
        <v>120.44718495181782</v>
      </c>
      <c r="N358" s="10">
        <v>132.4919034469996</v>
      </c>
    </row>
    <row r="359" spans="1:14">
      <c r="A359" t="s">
        <v>1967</v>
      </c>
      <c r="B359" t="s">
        <v>2643</v>
      </c>
      <c r="C359" t="s">
        <v>2644</v>
      </c>
      <c r="D359" t="s">
        <v>11</v>
      </c>
      <c r="E359" t="s">
        <v>13</v>
      </c>
      <c r="F359" t="s">
        <v>1970</v>
      </c>
      <c r="G359" t="s">
        <v>12</v>
      </c>
      <c r="I359" t="s">
        <v>2643</v>
      </c>
      <c r="J359" t="s">
        <v>4548</v>
      </c>
      <c r="K359" s="9">
        <v>8.8779086384122614</v>
      </c>
      <c r="L359" s="9">
        <v>0.2481613983006512</v>
      </c>
      <c r="M359" s="11">
        <v>90.520188407498637</v>
      </c>
      <c r="N359" s="11">
        <v>99.572207248248503</v>
      </c>
    </row>
    <row r="360" spans="1:14">
      <c r="A360" t="s">
        <v>1967</v>
      </c>
      <c r="B360" t="s">
        <v>2645</v>
      </c>
      <c r="C360" t="s">
        <v>2646</v>
      </c>
      <c r="D360" t="s">
        <v>11</v>
      </c>
      <c r="E360" t="s">
        <v>13</v>
      </c>
      <c r="F360" t="s">
        <v>1970</v>
      </c>
      <c r="G360" t="s">
        <v>12</v>
      </c>
      <c r="I360" t="s">
        <v>2645</v>
      </c>
      <c r="J360" t="s">
        <v>4549</v>
      </c>
      <c r="K360" s="11">
        <v>49.378214978226339</v>
      </c>
      <c r="L360" s="9">
        <v>0.21804310862914431</v>
      </c>
      <c r="M360" s="10">
        <v>252.52558385042536</v>
      </c>
      <c r="N360" s="10">
        <v>277.7781422354679</v>
      </c>
    </row>
    <row r="361" spans="1:14">
      <c r="A361" t="s">
        <v>1967</v>
      </c>
      <c r="B361" t="s">
        <v>2647</v>
      </c>
      <c r="C361" t="s">
        <v>2648</v>
      </c>
      <c r="D361" t="s">
        <v>11</v>
      </c>
      <c r="E361" t="s">
        <v>13</v>
      </c>
      <c r="F361" t="s">
        <v>1970</v>
      </c>
      <c r="G361" t="s">
        <v>12</v>
      </c>
      <c r="I361" t="s">
        <v>2647</v>
      </c>
      <c r="J361" t="s">
        <v>4550</v>
      </c>
      <c r="K361" s="11">
        <v>52.83439190894741</v>
      </c>
      <c r="L361" s="9">
        <v>0.23609231237504369</v>
      </c>
      <c r="M361" s="11">
        <v>88.06242306671308</v>
      </c>
      <c r="N361" s="11">
        <v>96.868665373384403</v>
      </c>
    </row>
    <row r="362" spans="1:14">
      <c r="A362" t="s">
        <v>1967</v>
      </c>
      <c r="B362" t="s">
        <v>2649</v>
      </c>
      <c r="C362" t="s">
        <v>2650</v>
      </c>
      <c r="D362" t="s">
        <v>11</v>
      </c>
      <c r="E362" t="s">
        <v>13</v>
      </c>
      <c r="F362" t="s">
        <v>1970</v>
      </c>
      <c r="G362" t="s">
        <v>12</v>
      </c>
      <c r="I362" t="s">
        <v>2649</v>
      </c>
      <c r="J362" t="s">
        <v>4551</v>
      </c>
      <c r="K362" s="10">
        <v>100.50297680155819</v>
      </c>
      <c r="L362" s="9">
        <v>0.14828971946889299</v>
      </c>
      <c r="M362" s="11">
        <v>29.194679489419293</v>
      </c>
      <c r="N362" s="11">
        <v>32.114147438361222</v>
      </c>
    </row>
    <row r="363" spans="1:14">
      <c r="A363" t="s">
        <v>1967</v>
      </c>
      <c r="B363" t="s">
        <v>2651</v>
      </c>
      <c r="C363" t="s">
        <v>2652</v>
      </c>
      <c r="D363" t="s">
        <v>11</v>
      </c>
      <c r="E363" t="s">
        <v>13</v>
      </c>
      <c r="F363" t="s">
        <v>1970</v>
      </c>
      <c r="G363" t="s">
        <v>12</v>
      </c>
      <c r="I363" t="s">
        <v>2651</v>
      </c>
      <c r="J363" t="s">
        <v>4552</v>
      </c>
      <c r="K363" s="11">
        <v>60.177703909368077</v>
      </c>
      <c r="L363" s="9">
        <v>0.16445013905117789</v>
      </c>
      <c r="M363" s="11">
        <v>30.90104623791477</v>
      </c>
      <c r="N363" s="11">
        <v>33.991150861706252</v>
      </c>
    </row>
    <row r="364" spans="1:14">
      <c r="A364" t="s">
        <v>1967</v>
      </c>
      <c r="B364" t="s">
        <v>2653</v>
      </c>
      <c r="C364" t="s">
        <v>2654</v>
      </c>
      <c r="D364" t="s">
        <v>11</v>
      </c>
      <c r="E364" t="s">
        <v>13</v>
      </c>
      <c r="F364" t="s">
        <v>1970</v>
      </c>
      <c r="G364" t="s">
        <v>12</v>
      </c>
      <c r="I364" t="s">
        <v>2653</v>
      </c>
      <c r="J364" t="s">
        <v>4553</v>
      </c>
      <c r="K364" s="11">
        <v>64.726295802300598</v>
      </c>
      <c r="L364" s="9">
        <v>0.1666547862403242</v>
      </c>
      <c r="M364" s="11">
        <v>39.144385649572108</v>
      </c>
      <c r="N364" s="11">
        <v>43.058824214529324</v>
      </c>
    </row>
    <row r="365" spans="1:14">
      <c r="A365" t="s">
        <v>1967</v>
      </c>
      <c r="B365" t="s">
        <v>2655</v>
      </c>
      <c r="C365" t="s">
        <v>2656</v>
      </c>
      <c r="D365" t="s">
        <v>11</v>
      </c>
      <c r="E365" t="s">
        <v>13</v>
      </c>
      <c r="F365" t="s">
        <v>1970</v>
      </c>
      <c r="G365" t="s">
        <v>12</v>
      </c>
      <c r="I365" t="s">
        <v>2655</v>
      </c>
      <c r="J365" t="s">
        <v>4554</v>
      </c>
      <c r="K365" s="11">
        <v>56.17273649488893</v>
      </c>
      <c r="L365" s="9">
        <v>0.15035392662187619</v>
      </c>
      <c r="M365" s="11">
        <v>44.313451793923662</v>
      </c>
      <c r="N365" s="11">
        <v>48.744796973316035</v>
      </c>
    </row>
    <row r="366" spans="1:14">
      <c r="A366" t="s">
        <v>1967</v>
      </c>
      <c r="B366" t="s">
        <v>2657</v>
      </c>
      <c r="C366" t="s">
        <v>2658</v>
      </c>
      <c r="D366" t="s">
        <v>11</v>
      </c>
      <c r="E366" t="s">
        <v>13</v>
      </c>
      <c r="F366" t="s">
        <v>1970</v>
      </c>
      <c r="G366" t="s">
        <v>12</v>
      </c>
      <c r="I366" t="s">
        <v>2657</v>
      </c>
      <c r="J366" t="s">
        <v>4555</v>
      </c>
      <c r="K366" s="11">
        <v>82.143656203456203</v>
      </c>
      <c r="L366" s="9">
        <v>0.14612586900915239</v>
      </c>
      <c r="M366" s="11">
        <v>47.127399543854139</v>
      </c>
      <c r="N366" s="11">
        <v>51.840139498239559</v>
      </c>
    </row>
    <row r="367" spans="1:14">
      <c r="A367" t="s">
        <v>1967</v>
      </c>
      <c r="B367" t="s">
        <v>2659</v>
      </c>
      <c r="C367" t="s">
        <v>2660</v>
      </c>
      <c r="D367" t="s">
        <v>11</v>
      </c>
      <c r="E367" t="s">
        <v>13</v>
      </c>
      <c r="F367" t="s">
        <v>1970</v>
      </c>
      <c r="G367" t="s">
        <v>12</v>
      </c>
      <c r="I367" t="s">
        <v>2659</v>
      </c>
      <c r="J367" t="s">
        <v>4556</v>
      </c>
      <c r="K367" s="11">
        <v>41.190322887311105</v>
      </c>
      <c r="L367" s="9">
        <v>0.2050299523445627</v>
      </c>
      <c r="M367" s="11">
        <v>38.978510813021877</v>
      </c>
      <c r="N367" s="11">
        <v>42.87636189432407</v>
      </c>
    </row>
    <row r="368" spans="1:14">
      <c r="A368" t="s">
        <v>1967</v>
      </c>
      <c r="B368" t="s">
        <v>2661</v>
      </c>
      <c r="C368" t="s">
        <v>2662</v>
      </c>
      <c r="D368" t="s">
        <v>11</v>
      </c>
      <c r="E368" t="s">
        <v>13</v>
      </c>
      <c r="F368" t="s">
        <v>1970</v>
      </c>
      <c r="G368" t="s">
        <v>12</v>
      </c>
      <c r="I368" t="s">
        <v>2661</v>
      </c>
      <c r="J368" t="s">
        <v>4557</v>
      </c>
      <c r="K368" s="10">
        <v>110.03845162421152</v>
      </c>
      <c r="L368" s="9">
        <v>0.1664925602439844</v>
      </c>
      <c r="M368" s="11">
        <v>34.683777717866327</v>
      </c>
      <c r="N368" s="11">
        <v>38.152155489652962</v>
      </c>
    </row>
    <row r="369" spans="1:14">
      <c r="A369" t="s">
        <v>1967</v>
      </c>
      <c r="B369" t="s">
        <v>2663</v>
      </c>
      <c r="C369" t="s">
        <v>2664</v>
      </c>
      <c r="D369" t="s">
        <v>11</v>
      </c>
      <c r="E369" t="s">
        <v>13</v>
      </c>
      <c r="F369" t="s">
        <v>1970</v>
      </c>
      <c r="G369" t="s">
        <v>12</v>
      </c>
      <c r="I369" t="s">
        <v>2663</v>
      </c>
      <c r="J369" t="s">
        <v>4558</v>
      </c>
      <c r="K369" s="11">
        <v>37.093680390059617</v>
      </c>
      <c r="L369" s="9">
        <v>0.18105612680383359</v>
      </c>
      <c r="M369" s="11">
        <v>42.177279847422881</v>
      </c>
      <c r="N369" s="11">
        <v>46.39500783216517</v>
      </c>
    </row>
    <row r="370" spans="1:14">
      <c r="A370" t="s">
        <v>1967</v>
      </c>
      <c r="B370" t="s">
        <v>2665</v>
      </c>
      <c r="C370" t="s">
        <v>2666</v>
      </c>
      <c r="D370" t="s">
        <v>11</v>
      </c>
      <c r="E370" t="s">
        <v>13</v>
      </c>
      <c r="F370" t="s">
        <v>1970</v>
      </c>
      <c r="G370" t="s">
        <v>12</v>
      </c>
      <c r="I370" t="s">
        <v>2665</v>
      </c>
      <c r="J370" t="s">
        <v>4559</v>
      </c>
      <c r="K370" s="10">
        <v>123.52224997755647</v>
      </c>
      <c r="L370" s="9">
        <v>0.17331714198576401</v>
      </c>
      <c r="M370" s="11">
        <v>34.325504743544187</v>
      </c>
      <c r="N370" s="11">
        <v>37.758055217898608</v>
      </c>
    </row>
    <row r="371" spans="1:14">
      <c r="A371" t="s">
        <v>1967</v>
      </c>
      <c r="B371" t="s">
        <v>2667</v>
      </c>
      <c r="C371" t="s">
        <v>2668</v>
      </c>
      <c r="D371" t="s">
        <v>11</v>
      </c>
      <c r="E371" t="s">
        <v>13</v>
      </c>
      <c r="F371" t="s">
        <v>1970</v>
      </c>
      <c r="G371" t="s">
        <v>12</v>
      </c>
      <c r="I371" t="s">
        <v>2667</v>
      </c>
      <c r="J371" t="s">
        <v>4560</v>
      </c>
      <c r="K371" s="9">
        <v>0.98889166283732277</v>
      </c>
      <c r="L371" s="9">
        <v>0.14711708135983731</v>
      </c>
      <c r="M371" s="10">
        <v>311.73468313812674</v>
      </c>
      <c r="N371" s="10">
        <v>342.90815145193943</v>
      </c>
    </row>
    <row r="372" spans="1:14">
      <c r="A372" t="s">
        <v>1967</v>
      </c>
      <c r="B372" t="s">
        <v>2669</v>
      </c>
      <c r="C372" t="s">
        <v>2670</v>
      </c>
      <c r="D372" t="s">
        <v>11</v>
      </c>
      <c r="E372" t="s">
        <v>13</v>
      </c>
      <c r="F372" t="s">
        <v>1970</v>
      </c>
      <c r="G372" t="s">
        <v>12</v>
      </c>
      <c r="I372" t="s">
        <v>2669</v>
      </c>
      <c r="J372" t="s">
        <v>4561</v>
      </c>
      <c r="K372" s="9">
        <v>1.6030333764207565</v>
      </c>
      <c r="L372" s="9">
        <v>0.14705690457074241</v>
      </c>
      <c r="M372" s="10">
        <v>154.44988752738007</v>
      </c>
      <c r="N372" s="10">
        <v>169.8948762801181</v>
      </c>
    </row>
    <row r="373" spans="1:14">
      <c r="A373" t="s">
        <v>1967</v>
      </c>
      <c r="B373" t="s">
        <v>2671</v>
      </c>
      <c r="C373" t="s">
        <v>2668</v>
      </c>
      <c r="D373" t="s">
        <v>11</v>
      </c>
      <c r="E373" t="s">
        <v>13</v>
      </c>
      <c r="F373" t="s">
        <v>1970</v>
      </c>
      <c r="G373" t="s">
        <v>12</v>
      </c>
      <c r="I373" t="s">
        <v>2671</v>
      </c>
      <c r="J373" t="s">
        <v>4562</v>
      </c>
      <c r="K373" s="9">
        <v>3.496294429659387</v>
      </c>
      <c r="L373" s="9">
        <v>0.14611564746956221</v>
      </c>
      <c r="M373" s="10">
        <v>264.36146431795379</v>
      </c>
      <c r="N373" s="10">
        <v>290.7976107497492</v>
      </c>
    </row>
    <row r="374" spans="1:14">
      <c r="A374" t="s">
        <v>1967</v>
      </c>
      <c r="B374" t="s">
        <v>2672</v>
      </c>
      <c r="C374" t="s">
        <v>2673</v>
      </c>
      <c r="D374" t="s">
        <v>11</v>
      </c>
      <c r="E374" t="s">
        <v>13</v>
      </c>
      <c r="F374" t="s">
        <v>1970</v>
      </c>
      <c r="G374" t="s">
        <v>12</v>
      </c>
      <c r="I374" t="s">
        <v>2672</v>
      </c>
      <c r="J374" t="s">
        <v>4563</v>
      </c>
      <c r="K374" s="9">
        <v>0.59116882336758514</v>
      </c>
      <c r="L374" s="9">
        <v>0.16544291681436191</v>
      </c>
      <c r="M374" s="10">
        <v>277.78682295216049</v>
      </c>
      <c r="N374" s="10">
        <v>305.56550524737656</v>
      </c>
    </row>
    <row r="375" spans="1:14">
      <c r="A375" t="s">
        <v>1967</v>
      </c>
      <c r="B375" t="s">
        <v>2674</v>
      </c>
      <c r="C375" t="s">
        <v>2675</v>
      </c>
      <c r="D375" t="s">
        <v>11</v>
      </c>
      <c r="E375" t="s">
        <v>13</v>
      </c>
      <c r="F375" t="s">
        <v>1970</v>
      </c>
      <c r="G375" t="s">
        <v>12</v>
      </c>
      <c r="I375" t="s">
        <v>2674</v>
      </c>
      <c r="J375" t="s">
        <v>4564</v>
      </c>
      <c r="K375" s="9">
        <v>2.7943439510053594</v>
      </c>
      <c r="L375" s="9">
        <v>0.18929667426064339</v>
      </c>
      <c r="M375" s="11">
        <v>78.026437882016509</v>
      </c>
      <c r="N375" s="11">
        <v>85.829081670218173</v>
      </c>
    </row>
    <row r="376" spans="1:14">
      <c r="A376" t="s">
        <v>1967</v>
      </c>
      <c r="B376" t="s">
        <v>2676</v>
      </c>
      <c r="C376" t="s">
        <v>2677</v>
      </c>
      <c r="D376" t="s">
        <v>11</v>
      </c>
      <c r="E376" t="s">
        <v>13</v>
      </c>
      <c r="F376" t="s">
        <v>1970</v>
      </c>
      <c r="G376" t="s">
        <v>12</v>
      </c>
      <c r="I376" t="s">
        <v>2676</v>
      </c>
      <c r="J376" t="s">
        <v>4565</v>
      </c>
      <c r="K376" s="9">
        <v>2.6393303784860618</v>
      </c>
      <c r="L376" s="9">
        <v>0.14392611548155301</v>
      </c>
      <c r="M376" s="11">
        <v>14.242941889808922</v>
      </c>
      <c r="N376" s="11">
        <v>15.667236078789815</v>
      </c>
    </row>
    <row r="377" spans="1:14">
      <c r="A377" t="s">
        <v>1967</v>
      </c>
      <c r="B377" t="s">
        <v>2678</v>
      </c>
      <c r="C377" t="s">
        <v>2679</v>
      </c>
      <c r="D377" t="s">
        <v>11</v>
      </c>
      <c r="E377" t="s">
        <v>13</v>
      </c>
      <c r="F377" t="s">
        <v>1970</v>
      </c>
      <c r="G377" t="s">
        <v>12</v>
      </c>
      <c r="I377" t="s">
        <v>2678</v>
      </c>
      <c r="J377" t="s">
        <v>4566</v>
      </c>
      <c r="K377" s="9">
        <v>5.4952184416030763</v>
      </c>
      <c r="L377" s="9">
        <v>0.15797977200992699</v>
      </c>
      <c r="M377" s="11">
        <v>78.209035357386824</v>
      </c>
      <c r="N377" s="11">
        <v>86.029938893125518</v>
      </c>
    </row>
    <row r="378" spans="1:14">
      <c r="A378" t="s">
        <v>1967</v>
      </c>
      <c r="B378" t="s">
        <v>2680</v>
      </c>
      <c r="C378" t="s">
        <v>2681</v>
      </c>
      <c r="D378" t="s">
        <v>11</v>
      </c>
      <c r="E378" t="s">
        <v>13</v>
      </c>
      <c r="F378" t="s">
        <v>1970</v>
      </c>
      <c r="G378" t="s">
        <v>12</v>
      </c>
      <c r="I378" t="s">
        <v>2680</v>
      </c>
      <c r="J378" t="s">
        <v>4567</v>
      </c>
      <c r="K378" s="9">
        <v>9.8498597102818071</v>
      </c>
      <c r="L378" s="9">
        <v>0.1431153083106628</v>
      </c>
      <c r="M378" s="11">
        <v>24.72212211147129</v>
      </c>
      <c r="N378" s="11">
        <v>27.19433432261842</v>
      </c>
    </row>
    <row r="379" spans="1:14">
      <c r="A379" t="s">
        <v>1967</v>
      </c>
      <c r="B379" t="s">
        <v>2682</v>
      </c>
      <c r="C379" t="s">
        <v>2683</v>
      </c>
      <c r="D379" t="s">
        <v>11</v>
      </c>
      <c r="E379" t="s">
        <v>13</v>
      </c>
      <c r="F379" t="s">
        <v>1970</v>
      </c>
      <c r="G379" t="s">
        <v>12</v>
      </c>
      <c r="I379" t="s">
        <v>2682</v>
      </c>
      <c r="J379" t="s">
        <v>4568</v>
      </c>
      <c r="K379" s="9">
        <v>7.5207918989900566</v>
      </c>
      <c r="L379" s="9">
        <v>0.13365112936743651</v>
      </c>
      <c r="M379" s="11">
        <v>43.842877844608381</v>
      </c>
      <c r="N379" s="11">
        <v>48.227165629069226</v>
      </c>
    </row>
    <row r="380" spans="1:14">
      <c r="A380" t="s">
        <v>1967</v>
      </c>
      <c r="B380" t="s">
        <v>2684</v>
      </c>
      <c r="C380" t="s">
        <v>2685</v>
      </c>
      <c r="D380" t="s">
        <v>11</v>
      </c>
      <c r="E380" t="s">
        <v>13</v>
      </c>
      <c r="F380" t="s">
        <v>1970</v>
      </c>
      <c r="G380" t="s">
        <v>12</v>
      </c>
      <c r="I380" t="s">
        <v>2684</v>
      </c>
      <c r="J380" t="s">
        <v>4569</v>
      </c>
      <c r="K380" s="9">
        <v>2.2039388328525713</v>
      </c>
      <c r="L380" s="9">
        <v>0.13667230811318379</v>
      </c>
      <c r="M380" s="10">
        <v>123.39850160245328</v>
      </c>
      <c r="N380" s="10">
        <v>135.73835176269861</v>
      </c>
    </row>
    <row r="381" spans="1:14">
      <c r="A381" t="s">
        <v>1967</v>
      </c>
      <c r="B381" t="s">
        <v>2686</v>
      </c>
      <c r="C381" t="s">
        <v>2687</v>
      </c>
      <c r="D381" t="s">
        <v>11</v>
      </c>
      <c r="E381" t="s">
        <v>13</v>
      </c>
      <c r="F381" t="s">
        <v>1970</v>
      </c>
      <c r="G381" t="s">
        <v>12</v>
      </c>
      <c r="I381" t="s">
        <v>2686</v>
      </c>
      <c r="J381" t="s">
        <v>4570</v>
      </c>
      <c r="K381" s="9">
        <v>2.763593257907794</v>
      </c>
      <c r="L381" s="9">
        <v>0.12821700353695009</v>
      </c>
      <c r="M381" s="10">
        <v>155.39761992864078</v>
      </c>
      <c r="N381" s="10">
        <v>170.93738192150488</v>
      </c>
    </row>
    <row r="382" spans="1:14">
      <c r="A382" t="s">
        <v>1967</v>
      </c>
      <c r="B382" t="s">
        <v>2688</v>
      </c>
      <c r="C382" t="s">
        <v>2689</v>
      </c>
      <c r="D382" t="s">
        <v>11</v>
      </c>
      <c r="E382" t="s">
        <v>13</v>
      </c>
      <c r="F382" t="s">
        <v>1970</v>
      </c>
      <c r="G382" t="s">
        <v>12</v>
      </c>
      <c r="I382" t="s">
        <v>2688</v>
      </c>
      <c r="J382" t="s">
        <v>4571</v>
      </c>
      <c r="K382" s="11">
        <v>16.106142089041015</v>
      </c>
      <c r="L382" s="9">
        <v>0.1315232616691743</v>
      </c>
      <c r="M382" s="11">
        <v>67.202624932149732</v>
      </c>
      <c r="N382" s="11">
        <v>73.922887425364706</v>
      </c>
    </row>
    <row r="383" spans="1:14">
      <c r="A383" t="s">
        <v>1967</v>
      </c>
      <c r="B383" t="s">
        <v>2690</v>
      </c>
      <c r="C383" t="s">
        <v>2691</v>
      </c>
      <c r="D383" t="s">
        <v>11</v>
      </c>
      <c r="E383" t="s">
        <v>13</v>
      </c>
      <c r="F383" t="s">
        <v>1970</v>
      </c>
      <c r="G383" t="s">
        <v>12</v>
      </c>
      <c r="I383" t="s">
        <v>2690</v>
      </c>
      <c r="J383" t="s">
        <v>4572</v>
      </c>
      <c r="K383" s="9">
        <v>0.14496164379265966</v>
      </c>
      <c r="L383" s="9">
        <v>0.2085525248256288</v>
      </c>
      <c r="M383" s="10">
        <v>109.37970192299495</v>
      </c>
      <c r="N383" s="10">
        <v>120.31767211529446</v>
      </c>
    </row>
    <row r="384" spans="1:14">
      <c r="A384" t="s">
        <v>1967</v>
      </c>
      <c r="B384" t="s">
        <v>2692</v>
      </c>
      <c r="C384" t="s">
        <v>2693</v>
      </c>
      <c r="D384" t="s">
        <v>11</v>
      </c>
      <c r="E384" t="s">
        <v>13</v>
      </c>
      <c r="F384" t="s">
        <v>1970</v>
      </c>
      <c r="G384" t="s">
        <v>12</v>
      </c>
      <c r="I384" t="s">
        <v>2692</v>
      </c>
      <c r="J384" t="s">
        <v>4573</v>
      </c>
      <c r="K384" s="9">
        <v>5.3325760527796042</v>
      </c>
      <c r="L384" s="9">
        <v>0.20207903664365151</v>
      </c>
      <c r="M384" s="10">
        <v>108.96065706593092</v>
      </c>
      <c r="N384" s="10">
        <v>119.85672277252402</v>
      </c>
    </row>
    <row r="385" spans="1:14">
      <c r="A385" t="s">
        <v>1967</v>
      </c>
      <c r="B385" t="s">
        <v>2694</v>
      </c>
      <c r="C385" t="s">
        <v>2695</v>
      </c>
      <c r="D385" t="s">
        <v>11</v>
      </c>
      <c r="E385" t="s">
        <v>13</v>
      </c>
      <c r="F385" t="s">
        <v>1970</v>
      </c>
      <c r="G385" t="s">
        <v>12</v>
      </c>
      <c r="I385" t="s">
        <v>2694</v>
      </c>
      <c r="J385" t="s">
        <v>4574</v>
      </c>
      <c r="K385" s="9">
        <v>0.10160538277746901</v>
      </c>
      <c r="L385" s="9">
        <v>0.1909849768438095</v>
      </c>
      <c r="M385" s="10">
        <v>168.81710754536957</v>
      </c>
      <c r="N385" s="10">
        <v>185.69881829990655</v>
      </c>
    </row>
    <row r="386" spans="1:14">
      <c r="A386" t="s">
        <v>1967</v>
      </c>
      <c r="B386" t="s">
        <v>2696</v>
      </c>
      <c r="C386" t="s">
        <v>2697</v>
      </c>
      <c r="D386" t="s">
        <v>11</v>
      </c>
      <c r="E386" t="s">
        <v>13</v>
      </c>
      <c r="F386" t="s">
        <v>1970</v>
      </c>
      <c r="G386" t="s">
        <v>12</v>
      </c>
      <c r="I386" t="s">
        <v>2696</v>
      </c>
      <c r="J386" t="s">
        <v>4575</v>
      </c>
      <c r="K386" s="9">
        <v>3.2815793308675008</v>
      </c>
      <c r="L386" s="9">
        <v>0.19053794969107071</v>
      </c>
      <c r="M386" s="11">
        <v>70.075413975460535</v>
      </c>
      <c r="N386" s="11">
        <v>77.082955373006598</v>
      </c>
    </row>
    <row r="387" spans="1:14">
      <c r="A387" t="s">
        <v>1967</v>
      </c>
      <c r="B387" t="s">
        <v>2698</v>
      </c>
      <c r="C387" t="s">
        <v>2699</v>
      </c>
      <c r="D387" t="s">
        <v>11</v>
      </c>
      <c r="E387" t="s">
        <v>13</v>
      </c>
      <c r="F387" t="s">
        <v>1970</v>
      </c>
      <c r="G387" t="s">
        <v>12</v>
      </c>
      <c r="I387" t="s">
        <v>2698</v>
      </c>
      <c r="J387" t="s">
        <v>4576</v>
      </c>
      <c r="K387" s="11">
        <v>19.391126016351553</v>
      </c>
      <c r="L387" s="9">
        <v>0.23134980084338699</v>
      </c>
      <c r="M387" s="10">
        <v>203.347186438862</v>
      </c>
      <c r="N387" s="10">
        <v>223.68190508274822</v>
      </c>
    </row>
    <row r="388" spans="1:14">
      <c r="A388" t="s">
        <v>1967</v>
      </c>
      <c r="B388" t="s">
        <v>2700</v>
      </c>
      <c r="C388" t="s">
        <v>2701</v>
      </c>
      <c r="D388" t="s">
        <v>11</v>
      </c>
      <c r="E388" t="s">
        <v>13</v>
      </c>
      <c r="F388" t="s">
        <v>1970</v>
      </c>
      <c r="G388" t="s">
        <v>12</v>
      </c>
      <c r="I388" t="s">
        <v>2700</v>
      </c>
      <c r="J388" t="s">
        <v>4577</v>
      </c>
      <c r="K388" s="11">
        <v>20.638491672364474</v>
      </c>
      <c r="L388" s="9">
        <v>0.22754175187647319</v>
      </c>
      <c r="M388" s="10">
        <v>122.77494621596004</v>
      </c>
      <c r="N388" s="10">
        <v>135.05244083755605</v>
      </c>
    </row>
    <row r="389" spans="1:14">
      <c r="A389" t="s">
        <v>1967</v>
      </c>
      <c r="B389" t="s">
        <v>2702</v>
      </c>
      <c r="C389" t="s">
        <v>2703</v>
      </c>
      <c r="D389" t="s">
        <v>11</v>
      </c>
      <c r="E389" t="s">
        <v>13</v>
      </c>
      <c r="F389" t="s">
        <v>1970</v>
      </c>
      <c r="G389" t="s">
        <v>12</v>
      </c>
      <c r="I389" t="s">
        <v>2702</v>
      </c>
      <c r="J389" t="s">
        <v>4578</v>
      </c>
      <c r="K389" s="9">
        <v>9.28781320380428</v>
      </c>
      <c r="L389" s="9">
        <v>0.20282322358619231</v>
      </c>
      <c r="M389" s="10">
        <v>135.31303165996121</v>
      </c>
      <c r="N389" s="10">
        <v>148.84433482595733</v>
      </c>
    </row>
    <row r="390" spans="1:14">
      <c r="A390" t="s">
        <v>1967</v>
      </c>
      <c r="B390" t="s">
        <v>2704</v>
      </c>
      <c r="C390" t="s">
        <v>2705</v>
      </c>
      <c r="D390" t="s">
        <v>11</v>
      </c>
      <c r="E390" t="s">
        <v>13</v>
      </c>
      <c r="F390" t="s">
        <v>1970</v>
      </c>
      <c r="G390" t="s">
        <v>12</v>
      </c>
      <c r="I390" t="s">
        <v>2704</v>
      </c>
      <c r="J390" t="s">
        <v>4579</v>
      </c>
      <c r="K390" s="9">
        <v>5.0534668515745595</v>
      </c>
      <c r="L390" s="9">
        <v>0.19892225480385151</v>
      </c>
      <c r="M390" s="11">
        <v>79.451102118725387</v>
      </c>
      <c r="N390" s="11">
        <v>87.396212330597933</v>
      </c>
    </row>
    <row r="391" spans="1:14">
      <c r="A391" t="s">
        <v>1967</v>
      </c>
      <c r="B391" t="s">
        <v>2706</v>
      </c>
      <c r="C391" t="s">
        <v>2707</v>
      </c>
      <c r="D391" t="s">
        <v>11</v>
      </c>
      <c r="E391" t="s">
        <v>13</v>
      </c>
      <c r="F391" t="s">
        <v>1970</v>
      </c>
      <c r="G391" t="s">
        <v>12</v>
      </c>
      <c r="I391" t="s">
        <v>2706</v>
      </c>
      <c r="J391" t="s">
        <v>4580</v>
      </c>
      <c r="K391" s="11">
        <v>66.320831643399032</v>
      </c>
      <c r="L391" s="9">
        <v>0.1770961818033352</v>
      </c>
      <c r="M391" s="11">
        <v>54.348151098118734</v>
      </c>
      <c r="N391" s="11">
        <v>59.782966207930613</v>
      </c>
    </row>
    <row r="392" spans="1:14">
      <c r="A392" t="s">
        <v>1967</v>
      </c>
      <c r="B392" t="s">
        <v>2708</v>
      </c>
      <c r="C392" t="s">
        <v>2709</v>
      </c>
      <c r="D392" t="s">
        <v>11</v>
      </c>
      <c r="E392" t="s">
        <v>13</v>
      </c>
      <c r="F392" t="s">
        <v>1970</v>
      </c>
      <c r="G392" t="s">
        <v>12</v>
      </c>
      <c r="I392" t="s">
        <v>2708</v>
      </c>
      <c r="J392" t="s">
        <v>4581</v>
      </c>
      <c r="K392" s="11">
        <v>27.443474609324358</v>
      </c>
      <c r="L392" s="9">
        <v>0.18255810689987359</v>
      </c>
      <c r="M392" s="10">
        <v>100.07919658942156</v>
      </c>
      <c r="N392" s="10">
        <v>110.08711624836373</v>
      </c>
    </row>
    <row r="393" spans="1:14">
      <c r="A393" t="s">
        <v>1967</v>
      </c>
      <c r="B393" t="s">
        <v>2710</v>
      </c>
      <c r="C393" t="s">
        <v>2711</v>
      </c>
      <c r="D393" t="s">
        <v>11</v>
      </c>
      <c r="E393" t="s">
        <v>13</v>
      </c>
      <c r="F393" t="s">
        <v>1970</v>
      </c>
      <c r="G393" t="s">
        <v>12</v>
      </c>
      <c r="I393" t="s">
        <v>2710</v>
      </c>
      <c r="J393" t="s">
        <v>4582</v>
      </c>
      <c r="K393" s="9">
        <v>3.6785797982605084</v>
      </c>
      <c r="L393" s="9">
        <v>0.19683063989570679</v>
      </c>
      <c r="M393" s="11">
        <v>87.800091270605193</v>
      </c>
      <c r="N393" s="11">
        <v>96.580100397665717</v>
      </c>
    </row>
    <row r="394" spans="1:14">
      <c r="A394" t="s">
        <v>1967</v>
      </c>
      <c r="B394" t="s">
        <v>2712</v>
      </c>
      <c r="C394" t="s">
        <v>2713</v>
      </c>
      <c r="D394" t="s">
        <v>11</v>
      </c>
      <c r="E394" t="s">
        <v>13</v>
      </c>
      <c r="F394" t="s">
        <v>1970</v>
      </c>
      <c r="G394" t="s">
        <v>12</v>
      </c>
      <c r="I394" t="s">
        <v>2712</v>
      </c>
      <c r="J394" t="s">
        <v>4583</v>
      </c>
      <c r="K394" s="9">
        <v>3.4588609196017988</v>
      </c>
      <c r="L394" s="9">
        <v>0.2121146439437501</v>
      </c>
      <c r="M394" s="10">
        <v>217.97596750633204</v>
      </c>
      <c r="N394" s="10">
        <v>239.77356425696527</v>
      </c>
    </row>
    <row r="395" spans="1:14">
      <c r="A395" t="s">
        <v>1967</v>
      </c>
      <c r="B395" t="s">
        <v>2714</v>
      </c>
      <c r="C395" t="s">
        <v>2715</v>
      </c>
      <c r="D395" t="s">
        <v>11</v>
      </c>
      <c r="E395" t="s">
        <v>13</v>
      </c>
      <c r="F395" t="s">
        <v>1970</v>
      </c>
      <c r="G395" t="s">
        <v>12</v>
      </c>
      <c r="I395" t="s">
        <v>2714</v>
      </c>
      <c r="J395" t="s">
        <v>4584</v>
      </c>
      <c r="K395" s="9">
        <v>9.4487709492467697</v>
      </c>
      <c r="L395" s="9">
        <v>0.2327453805400938</v>
      </c>
      <c r="M395" s="10">
        <v>125.16890074454859</v>
      </c>
      <c r="N395" s="10">
        <v>137.68579081900347</v>
      </c>
    </row>
    <row r="396" spans="1:14">
      <c r="A396" t="s">
        <v>1967</v>
      </c>
      <c r="B396" t="s">
        <v>2716</v>
      </c>
      <c r="C396" t="s">
        <v>2717</v>
      </c>
      <c r="D396" t="s">
        <v>11</v>
      </c>
      <c r="E396" t="s">
        <v>13</v>
      </c>
      <c r="F396" t="s">
        <v>1970</v>
      </c>
      <c r="G396" t="s">
        <v>12</v>
      </c>
      <c r="I396" t="s">
        <v>2716</v>
      </c>
      <c r="J396" t="s">
        <v>4585</v>
      </c>
      <c r="K396" s="9">
        <v>6.766858887061959</v>
      </c>
      <c r="L396" s="9">
        <v>0.22855572564549059</v>
      </c>
      <c r="M396" s="11">
        <v>58.228417246087197</v>
      </c>
      <c r="N396" s="11">
        <v>64.051258970695926</v>
      </c>
    </row>
    <row r="397" spans="1:14">
      <c r="A397" t="s">
        <v>1967</v>
      </c>
      <c r="B397" t="s">
        <v>2718</v>
      </c>
      <c r="C397" t="s">
        <v>2719</v>
      </c>
      <c r="D397" t="s">
        <v>11</v>
      </c>
      <c r="E397" t="s">
        <v>13</v>
      </c>
      <c r="F397" t="s">
        <v>1970</v>
      </c>
      <c r="G397" t="s">
        <v>12</v>
      </c>
      <c r="I397" t="s">
        <v>2718</v>
      </c>
      <c r="J397" t="s">
        <v>4586</v>
      </c>
      <c r="K397" s="9">
        <v>5.8568003608684025</v>
      </c>
      <c r="L397" s="9">
        <v>0.18405042724349049</v>
      </c>
      <c r="M397" s="11">
        <v>48.224287136139971</v>
      </c>
      <c r="N397" s="11">
        <v>53.046715849753973</v>
      </c>
    </row>
    <row r="398" spans="1:14">
      <c r="A398" t="s">
        <v>1967</v>
      </c>
      <c r="B398" t="s">
        <v>2720</v>
      </c>
      <c r="C398" t="s">
        <v>2721</v>
      </c>
      <c r="D398" t="s">
        <v>11</v>
      </c>
      <c r="E398" t="s">
        <v>13</v>
      </c>
      <c r="F398" t="s">
        <v>1970</v>
      </c>
      <c r="G398" t="s">
        <v>12</v>
      </c>
      <c r="I398" t="s">
        <v>2720</v>
      </c>
      <c r="J398" t="s">
        <v>4587</v>
      </c>
      <c r="K398" s="9">
        <v>3.5730633563802581</v>
      </c>
      <c r="L398" s="9">
        <v>0.19429745687280939</v>
      </c>
      <c r="M398" s="11">
        <v>63.421417791022591</v>
      </c>
      <c r="N398" s="11">
        <v>69.763559570124855</v>
      </c>
    </row>
    <row r="399" spans="1:14">
      <c r="A399" t="s">
        <v>1967</v>
      </c>
      <c r="B399" t="s">
        <v>2722</v>
      </c>
      <c r="C399" t="s">
        <v>2723</v>
      </c>
      <c r="D399" t="s">
        <v>11</v>
      </c>
      <c r="E399" t="s">
        <v>13</v>
      </c>
      <c r="F399" t="s">
        <v>1970</v>
      </c>
      <c r="G399" t="s">
        <v>12</v>
      </c>
      <c r="I399" t="s">
        <v>2722</v>
      </c>
      <c r="J399" t="s">
        <v>4588</v>
      </c>
      <c r="K399" s="9">
        <v>0.67328458697014215</v>
      </c>
      <c r="L399" s="9">
        <v>0.21120279233972511</v>
      </c>
      <c r="M399" s="11">
        <v>65.230362688378108</v>
      </c>
      <c r="N399" s="11">
        <v>71.753398957215921</v>
      </c>
    </row>
    <row r="400" spans="1:14">
      <c r="A400" t="s">
        <v>1967</v>
      </c>
      <c r="B400" t="s">
        <v>2724</v>
      </c>
      <c r="C400" t="s">
        <v>2725</v>
      </c>
      <c r="D400" t="s">
        <v>11</v>
      </c>
      <c r="E400" t="s">
        <v>13</v>
      </c>
      <c r="F400" t="s">
        <v>1970</v>
      </c>
      <c r="G400" t="s">
        <v>12</v>
      </c>
      <c r="I400" t="s">
        <v>2724</v>
      </c>
      <c r="J400" t="s">
        <v>4589</v>
      </c>
      <c r="K400" s="9">
        <v>0.95865192489533346</v>
      </c>
      <c r="L400" s="9">
        <v>0.21935004746449771</v>
      </c>
      <c r="M400" s="11">
        <v>54.520275090122659</v>
      </c>
      <c r="N400" s="11">
        <v>59.972302599134927</v>
      </c>
    </row>
    <row r="401" spans="1:14">
      <c r="A401" t="s">
        <v>1967</v>
      </c>
      <c r="B401" t="s">
        <v>2726</v>
      </c>
      <c r="C401" t="s">
        <v>2727</v>
      </c>
      <c r="D401" t="s">
        <v>11</v>
      </c>
      <c r="E401" t="s">
        <v>13</v>
      </c>
      <c r="F401" t="s">
        <v>1970</v>
      </c>
      <c r="G401" t="s">
        <v>12</v>
      </c>
      <c r="I401" t="s">
        <v>2726</v>
      </c>
      <c r="J401" t="s">
        <v>4590</v>
      </c>
      <c r="K401" s="9">
        <v>0.51311506004164775</v>
      </c>
      <c r="L401" s="9">
        <v>0.21632472542456779</v>
      </c>
      <c r="M401" s="11">
        <v>82.918491456980647</v>
      </c>
      <c r="N401" s="11">
        <v>91.210340602678713</v>
      </c>
    </row>
    <row r="402" spans="1:14">
      <c r="A402" t="s">
        <v>1967</v>
      </c>
      <c r="B402" t="s">
        <v>2728</v>
      </c>
      <c r="C402" t="s">
        <v>2729</v>
      </c>
      <c r="D402" t="s">
        <v>11</v>
      </c>
      <c r="E402" t="s">
        <v>13</v>
      </c>
      <c r="F402" t="s">
        <v>1970</v>
      </c>
      <c r="G402" t="s">
        <v>12</v>
      </c>
      <c r="I402" t="s">
        <v>2728</v>
      </c>
      <c r="J402" t="s">
        <v>4591</v>
      </c>
      <c r="K402" s="9">
        <v>0.29120334648128871</v>
      </c>
      <c r="L402" s="9">
        <v>0.1576940651105205</v>
      </c>
      <c r="M402" s="11">
        <v>75.642883913561931</v>
      </c>
      <c r="N402" s="11">
        <v>83.207172304918132</v>
      </c>
    </row>
    <row r="403" spans="1:14">
      <c r="A403" t="s">
        <v>1967</v>
      </c>
      <c r="B403" t="s">
        <v>2730</v>
      </c>
      <c r="C403" t="s">
        <v>2731</v>
      </c>
      <c r="D403" t="s">
        <v>11</v>
      </c>
      <c r="E403" t="s">
        <v>13</v>
      </c>
      <c r="F403" t="s">
        <v>1970</v>
      </c>
      <c r="G403" t="s">
        <v>12</v>
      </c>
      <c r="I403" t="s">
        <v>2730</v>
      </c>
      <c r="J403" t="s">
        <v>4592</v>
      </c>
      <c r="K403" s="9">
        <v>0.17283294470015972</v>
      </c>
      <c r="L403" s="9">
        <v>0.15577098552832919</v>
      </c>
      <c r="M403" s="11">
        <v>67.581462218509415</v>
      </c>
      <c r="N403" s="11">
        <v>74.339608440360365</v>
      </c>
    </row>
    <row r="404" spans="1:14">
      <c r="A404" t="s">
        <v>1967</v>
      </c>
      <c r="B404" t="s">
        <v>2732</v>
      </c>
      <c r="C404" t="s">
        <v>2733</v>
      </c>
      <c r="D404" t="s">
        <v>11</v>
      </c>
      <c r="E404" t="s">
        <v>13</v>
      </c>
      <c r="F404" t="s">
        <v>1970</v>
      </c>
      <c r="G404" t="s">
        <v>12</v>
      </c>
      <c r="I404" t="s">
        <v>2732</v>
      </c>
      <c r="J404" t="s">
        <v>4593</v>
      </c>
      <c r="K404" s="9">
        <v>2.5243848899820747</v>
      </c>
      <c r="L404" s="9">
        <v>0.21053708344696789</v>
      </c>
      <c r="M404" s="10">
        <v>171.49379903813795</v>
      </c>
      <c r="N404" s="10">
        <v>188.64317894195176</v>
      </c>
    </row>
    <row r="405" spans="1:14">
      <c r="A405" t="s">
        <v>1967</v>
      </c>
      <c r="B405" t="s">
        <v>2734</v>
      </c>
      <c r="C405" t="s">
        <v>2735</v>
      </c>
      <c r="D405" t="s">
        <v>11</v>
      </c>
      <c r="E405" t="s">
        <v>13</v>
      </c>
      <c r="F405" t="s">
        <v>1970</v>
      </c>
      <c r="G405" t="s">
        <v>12</v>
      </c>
      <c r="I405" t="s">
        <v>2734</v>
      </c>
      <c r="J405" t="s">
        <v>4594</v>
      </c>
      <c r="K405" s="9">
        <v>1.9643219976372384</v>
      </c>
      <c r="L405" s="9">
        <v>0.20748896377264331</v>
      </c>
      <c r="M405" s="11">
        <v>46.422066710106918</v>
      </c>
      <c r="N405" s="11">
        <v>51.064273381117616</v>
      </c>
    </row>
    <row r="406" spans="1:14">
      <c r="A406" t="s">
        <v>1967</v>
      </c>
      <c r="B406" t="s">
        <v>2736</v>
      </c>
      <c r="C406" t="s">
        <v>2737</v>
      </c>
      <c r="D406" t="s">
        <v>11</v>
      </c>
      <c r="E406" t="s">
        <v>13</v>
      </c>
      <c r="F406" t="s">
        <v>1970</v>
      </c>
      <c r="G406" t="s">
        <v>12</v>
      </c>
      <c r="I406" t="s">
        <v>2736</v>
      </c>
      <c r="J406" t="s">
        <v>4595</v>
      </c>
      <c r="K406" s="9">
        <v>0.24995327069997664</v>
      </c>
      <c r="L406" s="9">
        <v>0.23718936478050939</v>
      </c>
      <c r="M406" s="11">
        <v>66.31675232087467</v>
      </c>
      <c r="N406" s="11">
        <v>72.948427552962144</v>
      </c>
    </row>
    <row r="407" spans="1:14">
      <c r="A407" t="s">
        <v>1967</v>
      </c>
      <c r="B407" t="s">
        <v>2738</v>
      </c>
      <c r="C407" t="s">
        <v>2739</v>
      </c>
      <c r="D407" t="s">
        <v>11</v>
      </c>
      <c r="E407" t="s">
        <v>13</v>
      </c>
      <c r="F407" t="s">
        <v>1970</v>
      </c>
      <c r="G407" t="s">
        <v>12</v>
      </c>
      <c r="I407" t="s">
        <v>2738</v>
      </c>
      <c r="J407" t="s">
        <v>4596</v>
      </c>
      <c r="K407" s="9">
        <v>2.8429592033927849</v>
      </c>
      <c r="L407" s="9">
        <v>0.21821423490688219</v>
      </c>
      <c r="M407" s="11">
        <v>40.372725499523753</v>
      </c>
      <c r="N407" s="11">
        <v>44.40999804947613</v>
      </c>
    </row>
    <row r="408" spans="1:14">
      <c r="A408" t="s">
        <v>1967</v>
      </c>
      <c r="B408" t="s">
        <v>2740</v>
      </c>
      <c r="C408" t="s">
        <v>2741</v>
      </c>
      <c r="D408" t="s">
        <v>11</v>
      </c>
      <c r="E408" t="s">
        <v>13</v>
      </c>
      <c r="F408" t="s">
        <v>1970</v>
      </c>
      <c r="G408" t="s">
        <v>12</v>
      </c>
      <c r="I408" t="s">
        <v>2740</v>
      </c>
      <c r="J408" t="s">
        <v>4597</v>
      </c>
      <c r="K408" s="9">
        <v>0.60173500734740504</v>
      </c>
      <c r="L408" s="9">
        <v>0.21327715156418811</v>
      </c>
      <c r="M408" s="11">
        <v>60.842202219968776</v>
      </c>
      <c r="N408" s="11">
        <v>66.926422441965656</v>
      </c>
    </row>
    <row r="409" spans="1:14">
      <c r="A409" t="s">
        <v>1967</v>
      </c>
      <c r="B409" t="s">
        <v>2742</v>
      </c>
      <c r="C409" t="s">
        <v>2743</v>
      </c>
      <c r="D409" t="s">
        <v>11</v>
      </c>
      <c r="E409" t="s">
        <v>13</v>
      </c>
      <c r="F409" t="s">
        <v>1970</v>
      </c>
      <c r="G409" t="s">
        <v>12</v>
      </c>
      <c r="I409" t="s">
        <v>2742</v>
      </c>
      <c r="J409" t="s">
        <v>4598</v>
      </c>
      <c r="K409" s="11">
        <v>11.429594272102445</v>
      </c>
      <c r="L409" s="9">
        <v>0.20701103658223821</v>
      </c>
      <c r="M409" s="11">
        <v>32.852445529930513</v>
      </c>
      <c r="N409" s="11">
        <v>36.137690082923569</v>
      </c>
    </row>
    <row r="410" spans="1:14">
      <c r="A410" t="s">
        <v>1967</v>
      </c>
      <c r="B410" t="s">
        <v>2744</v>
      </c>
      <c r="C410" t="s">
        <v>2745</v>
      </c>
      <c r="D410" t="s">
        <v>11</v>
      </c>
      <c r="E410" t="s">
        <v>13</v>
      </c>
      <c r="F410" t="s">
        <v>1970</v>
      </c>
      <c r="G410" t="s">
        <v>12</v>
      </c>
      <c r="I410" t="s">
        <v>2744</v>
      </c>
      <c r="J410" t="s">
        <v>4599</v>
      </c>
      <c r="K410" s="11">
        <v>26.519705873524472</v>
      </c>
      <c r="L410" s="9">
        <v>0.223304319494875</v>
      </c>
      <c r="M410" s="11">
        <v>19.098002660702207</v>
      </c>
      <c r="N410" s="11">
        <v>21.007802926772428</v>
      </c>
    </row>
    <row r="411" spans="1:14">
      <c r="A411" t="s">
        <v>1967</v>
      </c>
      <c r="B411" t="s">
        <v>2746</v>
      </c>
      <c r="C411" t="s">
        <v>2747</v>
      </c>
      <c r="D411" t="s">
        <v>11</v>
      </c>
      <c r="E411" t="s">
        <v>13</v>
      </c>
      <c r="F411" t="s">
        <v>1970</v>
      </c>
      <c r="G411" t="s">
        <v>12</v>
      </c>
      <c r="I411" t="s">
        <v>2746</v>
      </c>
      <c r="J411" t="s">
        <v>4600</v>
      </c>
      <c r="K411" s="11">
        <v>12.928798532704894</v>
      </c>
      <c r="L411" s="9">
        <v>0.20298579922456281</v>
      </c>
      <c r="M411" s="11">
        <v>25.545300807692481</v>
      </c>
      <c r="N411" s="11">
        <v>28.099830888461732</v>
      </c>
    </row>
    <row r="412" spans="1:14">
      <c r="A412" t="s">
        <v>1967</v>
      </c>
      <c r="B412" t="s">
        <v>2748</v>
      </c>
      <c r="C412" t="s">
        <v>2749</v>
      </c>
      <c r="D412" t="s">
        <v>11</v>
      </c>
      <c r="E412" t="s">
        <v>13</v>
      </c>
      <c r="F412" t="s">
        <v>1970</v>
      </c>
      <c r="G412" t="s">
        <v>12</v>
      </c>
      <c r="I412" t="s">
        <v>2748</v>
      </c>
      <c r="J412" t="s">
        <v>4601</v>
      </c>
      <c r="K412" s="11">
        <v>13.948951278232324</v>
      </c>
      <c r="L412" s="9">
        <v>0.18573538362513439</v>
      </c>
      <c r="M412" s="11">
        <v>22.795412044901138</v>
      </c>
      <c r="N412" s="11">
        <v>25.074953249391253</v>
      </c>
    </row>
    <row r="413" spans="1:14">
      <c r="A413" t="s">
        <v>1967</v>
      </c>
      <c r="B413" t="s">
        <v>2750</v>
      </c>
      <c r="C413" t="s">
        <v>2751</v>
      </c>
      <c r="D413" t="s">
        <v>11</v>
      </c>
      <c r="E413" t="s">
        <v>13</v>
      </c>
      <c r="F413" t="s">
        <v>1970</v>
      </c>
      <c r="G413" t="s">
        <v>12</v>
      </c>
      <c r="I413" t="s">
        <v>2750</v>
      </c>
      <c r="J413" t="s">
        <v>4602</v>
      </c>
      <c r="K413" s="11">
        <v>39.637225300435986</v>
      </c>
      <c r="L413" s="9">
        <v>0.18595659720560639</v>
      </c>
      <c r="M413" s="11">
        <v>60.245734464303119</v>
      </c>
      <c r="N413" s="11">
        <v>66.270307910733436</v>
      </c>
    </row>
    <row r="414" spans="1:14">
      <c r="A414" t="s">
        <v>1967</v>
      </c>
      <c r="B414" t="s">
        <v>2752</v>
      </c>
      <c r="C414" t="s">
        <v>2753</v>
      </c>
      <c r="D414" t="s">
        <v>11</v>
      </c>
      <c r="E414" t="s">
        <v>13</v>
      </c>
      <c r="F414" t="s">
        <v>1970</v>
      </c>
      <c r="G414" t="s">
        <v>12</v>
      </c>
      <c r="I414" t="s">
        <v>2752</v>
      </c>
      <c r="J414" t="s">
        <v>4603</v>
      </c>
      <c r="K414" s="11">
        <v>49.67438321409324</v>
      </c>
      <c r="L414" s="9">
        <v>0.19354528403774951</v>
      </c>
      <c r="M414" s="11">
        <v>64.201948399165616</v>
      </c>
      <c r="N414" s="11">
        <v>70.622143239082178</v>
      </c>
    </row>
    <row r="415" spans="1:14">
      <c r="A415" t="s">
        <v>1967</v>
      </c>
      <c r="B415" t="s">
        <v>2754</v>
      </c>
      <c r="C415" t="s">
        <v>2755</v>
      </c>
      <c r="D415" t="s">
        <v>11</v>
      </c>
      <c r="E415" t="s">
        <v>13</v>
      </c>
      <c r="F415" t="s">
        <v>1970</v>
      </c>
      <c r="G415" t="s">
        <v>12</v>
      </c>
      <c r="I415" t="s">
        <v>2754</v>
      </c>
      <c r="J415" t="s">
        <v>4604</v>
      </c>
      <c r="K415" s="11">
        <v>13.234342748802247</v>
      </c>
      <c r="L415" s="9">
        <v>0.19064902353087981</v>
      </c>
      <c r="M415" s="10">
        <v>375.8767533233767</v>
      </c>
      <c r="N415" s="10">
        <v>413.46442865571441</v>
      </c>
    </row>
    <row r="416" spans="1:14">
      <c r="A416" t="s">
        <v>1967</v>
      </c>
      <c r="B416" t="s">
        <v>2756</v>
      </c>
      <c r="C416" t="s">
        <v>2757</v>
      </c>
      <c r="D416" t="s">
        <v>11</v>
      </c>
      <c r="E416" t="s">
        <v>13</v>
      </c>
      <c r="F416" t="s">
        <v>1970</v>
      </c>
      <c r="G416" t="s">
        <v>12</v>
      </c>
      <c r="I416" t="s">
        <v>2756</v>
      </c>
      <c r="J416" t="s">
        <v>4605</v>
      </c>
      <c r="K416" s="9">
        <v>1.6312055164712056</v>
      </c>
      <c r="L416" s="9">
        <v>0.19742156393607629</v>
      </c>
      <c r="M416" s="10">
        <v>290.54246412802883</v>
      </c>
      <c r="N416" s="10">
        <v>319.59671054083174</v>
      </c>
    </row>
    <row r="417" spans="1:14">
      <c r="A417" t="s">
        <v>1967</v>
      </c>
      <c r="B417" t="s">
        <v>2758</v>
      </c>
      <c r="C417" t="s">
        <v>2759</v>
      </c>
      <c r="D417" t="s">
        <v>11</v>
      </c>
      <c r="E417" t="s">
        <v>13</v>
      </c>
      <c r="F417" t="s">
        <v>1970</v>
      </c>
      <c r="G417" t="s">
        <v>12</v>
      </c>
      <c r="I417" t="s">
        <v>2758</v>
      </c>
      <c r="J417" t="s">
        <v>4606</v>
      </c>
      <c r="K417" s="9">
        <v>0.18525</v>
      </c>
      <c r="L417" s="9">
        <v>0.18208440407349849</v>
      </c>
      <c r="M417" s="11">
        <v>91.26437116844744</v>
      </c>
      <c r="N417" s="10">
        <v>100.3908082852922</v>
      </c>
    </row>
    <row r="418" spans="1:14">
      <c r="A418" t="s">
        <v>1967</v>
      </c>
      <c r="B418" t="s">
        <v>2760</v>
      </c>
      <c r="C418" t="s">
        <v>2761</v>
      </c>
      <c r="D418" t="s">
        <v>11</v>
      </c>
      <c r="E418" t="s">
        <v>13</v>
      </c>
      <c r="F418" t="s">
        <v>1970</v>
      </c>
      <c r="G418" t="s">
        <v>12</v>
      </c>
      <c r="I418" t="s">
        <v>2760</v>
      </c>
      <c r="J418" t="s">
        <v>4607</v>
      </c>
      <c r="K418" s="9">
        <v>2.7214015896269363</v>
      </c>
      <c r="L418" s="9">
        <v>0.20028523626064951</v>
      </c>
      <c r="M418" s="11">
        <v>39.622256416092434</v>
      </c>
      <c r="N418" s="11">
        <v>43.584482057701678</v>
      </c>
    </row>
    <row r="419" spans="1:14">
      <c r="A419" t="s">
        <v>1967</v>
      </c>
      <c r="B419" t="s">
        <v>2762</v>
      </c>
      <c r="C419" t="s">
        <v>2763</v>
      </c>
      <c r="D419" t="s">
        <v>11</v>
      </c>
      <c r="E419" t="s">
        <v>13</v>
      </c>
      <c r="F419" t="s">
        <v>1970</v>
      </c>
      <c r="G419" t="s">
        <v>12</v>
      </c>
      <c r="I419" t="s">
        <v>2762</v>
      </c>
      <c r="J419" t="s">
        <v>4608</v>
      </c>
      <c r="K419" s="9">
        <v>0.13792453506437416</v>
      </c>
      <c r="L419" s="9">
        <v>0.1786250702623004</v>
      </c>
      <c r="M419" s="11">
        <v>15.325379619644195</v>
      </c>
      <c r="N419" s="11">
        <v>16.857917581608618</v>
      </c>
    </row>
    <row r="420" spans="1:14">
      <c r="A420" t="s">
        <v>1967</v>
      </c>
      <c r="B420" t="s">
        <v>2764</v>
      </c>
      <c r="C420" t="s">
        <v>2765</v>
      </c>
      <c r="D420" t="s">
        <v>11</v>
      </c>
      <c r="E420" t="s">
        <v>13</v>
      </c>
      <c r="F420" t="s">
        <v>1970</v>
      </c>
      <c r="G420" t="s">
        <v>12</v>
      </c>
      <c r="I420" t="s">
        <v>2764</v>
      </c>
      <c r="J420" t="s">
        <v>4609</v>
      </c>
      <c r="K420" s="12">
        <v>6.0919144841464448E-2</v>
      </c>
      <c r="L420" s="9">
        <v>0.17640735996908311</v>
      </c>
      <c r="M420" s="11">
        <v>15.232688353187823</v>
      </c>
      <c r="N420" s="11">
        <v>16.755957188506606</v>
      </c>
    </row>
    <row r="421" spans="1:14">
      <c r="A421" t="s">
        <v>1967</v>
      </c>
      <c r="B421" t="s">
        <v>2766</v>
      </c>
      <c r="C421" t="s">
        <v>2767</v>
      </c>
      <c r="D421" t="s">
        <v>11</v>
      </c>
      <c r="E421" t="s">
        <v>13</v>
      </c>
      <c r="F421" t="s">
        <v>1970</v>
      </c>
      <c r="G421" t="s">
        <v>12</v>
      </c>
      <c r="I421" t="s">
        <v>2766</v>
      </c>
      <c r="J421" t="s">
        <v>4610</v>
      </c>
      <c r="K421" s="12">
        <v>3.4178154597976781E-2</v>
      </c>
      <c r="L421" s="9">
        <v>0.1820497439173025</v>
      </c>
      <c r="M421" s="11">
        <v>28.184059748015404</v>
      </c>
      <c r="N421" s="11">
        <v>31.002465722816947</v>
      </c>
    </row>
    <row r="422" spans="1:14">
      <c r="A422" t="s">
        <v>1967</v>
      </c>
      <c r="B422" t="s">
        <v>2768</v>
      </c>
      <c r="C422" t="s">
        <v>2769</v>
      </c>
      <c r="D422" t="s">
        <v>11</v>
      </c>
      <c r="E422" t="s">
        <v>13</v>
      </c>
      <c r="F422" t="s">
        <v>1970</v>
      </c>
      <c r="G422" t="s">
        <v>12</v>
      </c>
      <c r="I422" t="s">
        <v>2768</v>
      </c>
      <c r="J422" t="s">
        <v>4611</v>
      </c>
      <c r="K422" s="12">
        <v>4.8842284944311087E-2</v>
      </c>
      <c r="L422" s="9">
        <v>0.1811995137320285</v>
      </c>
      <c r="M422" s="9">
        <v>6.6810569386626026</v>
      </c>
      <c r="N422" s="9">
        <v>7.3491626325288637</v>
      </c>
    </row>
    <row r="423" spans="1:14">
      <c r="A423" t="s">
        <v>1967</v>
      </c>
      <c r="B423" t="s">
        <v>2770</v>
      </c>
      <c r="C423" t="s">
        <v>2771</v>
      </c>
      <c r="D423" t="s">
        <v>11</v>
      </c>
      <c r="E423" t="s">
        <v>13</v>
      </c>
      <c r="F423" t="s">
        <v>1970</v>
      </c>
      <c r="G423" t="s">
        <v>12</v>
      </c>
      <c r="I423" t="s">
        <v>2770</v>
      </c>
      <c r="J423" t="s">
        <v>4612</v>
      </c>
      <c r="K423" s="11">
        <v>30.77707519184592</v>
      </c>
      <c r="L423" s="9">
        <v>0.19567614998057439</v>
      </c>
      <c r="M423" s="10">
        <v>200.69124574449089</v>
      </c>
      <c r="N423" s="10">
        <v>220.76037031894001</v>
      </c>
    </row>
    <row r="424" spans="1:14">
      <c r="A424" t="s">
        <v>1967</v>
      </c>
      <c r="B424" t="s">
        <v>2772</v>
      </c>
      <c r="C424" t="s">
        <v>2773</v>
      </c>
      <c r="D424" t="s">
        <v>11</v>
      </c>
      <c r="E424" t="s">
        <v>13</v>
      </c>
      <c r="F424" t="s">
        <v>1970</v>
      </c>
      <c r="G424" t="s">
        <v>12</v>
      </c>
      <c r="I424" t="s">
        <v>2772</v>
      </c>
      <c r="J424" t="s">
        <v>4613</v>
      </c>
      <c r="K424" s="11">
        <v>18.829588508275346</v>
      </c>
      <c r="L424" s="9">
        <v>0.19215003303879369</v>
      </c>
      <c r="M424" s="11">
        <v>78.925446402589998</v>
      </c>
      <c r="N424" s="11">
        <v>86.817991042849002</v>
      </c>
    </row>
    <row r="425" spans="1:14">
      <c r="A425" t="s">
        <v>1967</v>
      </c>
      <c r="B425" t="s">
        <v>2774</v>
      </c>
      <c r="C425" t="s">
        <v>2775</v>
      </c>
      <c r="D425" t="s">
        <v>11</v>
      </c>
      <c r="E425" t="s">
        <v>13</v>
      </c>
      <c r="F425" t="s">
        <v>1970</v>
      </c>
      <c r="G425" t="s">
        <v>12</v>
      </c>
      <c r="I425" t="s">
        <v>2774</v>
      </c>
      <c r="J425" t="s">
        <v>4614</v>
      </c>
      <c r="K425" s="9">
        <v>9.945789708287748</v>
      </c>
      <c r="L425" s="9">
        <v>0.22575662035702049</v>
      </c>
      <c r="M425" s="11">
        <v>62.835560111057468</v>
      </c>
      <c r="N425" s="11">
        <v>69.11911612216322</v>
      </c>
    </row>
    <row r="426" spans="1:14">
      <c r="A426" t="s">
        <v>1967</v>
      </c>
      <c r="B426" t="s">
        <v>2776</v>
      </c>
      <c r="C426" t="s">
        <v>2777</v>
      </c>
      <c r="D426" t="s">
        <v>11</v>
      </c>
      <c r="E426" t="s">
        <v>13</v>
      </c>
      <c r="F426" t="s">
        <v>1970</v>
      </c>
      <c r="G426" t="s">
        <v>12</v>
      </c>
      <c r="I426" t="s">
        <v>2776</v>
      </c>
      <c r="J426" t="s">
        <v>4615</v>
      </c>
      <c r="K426" s="11">
        <v>12.72051840577085</v>
      </c>
      <c r="L426" s="9">
        <v>0.19786132047385629</v>
      </c>
      <c r="M426" s="11">
        <v>54.231843336819239</v>
      </c>
      <c r="N426" s="11">
        <v>59.65502767050117</v>
      </c>
    </row>
    <row r="427" spans="1:14">
      <c r="A427" t="s">
        <v>1967</v>
      </c>
      <c r="B427" t="s">
        <v>2778</v>
      </c>
      <c r="C427" t="s">
        <v>2779</v>
      </c>
      <c r="D427" t="s">
        <v>11</v>
      </c>
      <c r="E427" t="s">
        <v>13</v>
      </c>
      <c r="F427" t="s">
        <v>1970</v>
      </c>
      <c r="G427" t="s">
        <v>12</v>
      </c>
      <c r="I427" t="s">
        <v>2778</v>
      </c>
      <c r="J427" t="s">
        <v>4616</v>
      </c>
      <c r="K427" s="9">
        <v>9.6764823094500407</v>
      </c>
      <c r="L427" s="9">
        <v>0.21254408769420591</v>
      </c>
      <c r="M427" s="11">
        <v>55.479249399800693</v>
      </c>
      <c r="N427" s="11">
        <v>61.027174339780764</v>
      </c>
    </row>
    <row r="428" spans="1:14">
      <c r="A428" t="s">
        <v>1967</v>
      </c>
      <c r="B428" t="s">
        <v>2780</v>
      </c>
      <c r="C428" t="s">
        <v>2781</v>
      </c>
      <c r="D428" t="s">
        <v>11</v>
      </c>
      <c r="E428" t="s">
        <v>13</v>
      </c>
      <c r="F428" t="s">
        <v>1970</v>
      </c>
      <c r="G428" t="s">
        <v>12</v>
      </c>
      <c r="I428" t="s">
        <v>2780</v>
      </c>
      <c r="J428" t="s">
        <v>4617</v>
      </c>
      <c r="K428" s="9">
        <v>3.3775700835105047</v>
      </c>
      <c r="L428" s="9">
        <v>0.19685697653189291</v>
      </c>
      <c r="M428" s="11">
        <v>29.415023533308059</v>
      </c>
      <c r="N428" s="11">
        <v>32.35652588663887</v>
      </c>
    </row>
    <row r="429" spans="1:14">
      <c r="A429" t="s">
        <v>1967</v>
      </c>
      <c r="B429" t="s">
        <v>2782</v>
      </c>
      <c r="C429" t="s">
        <v>2783</v>
      </c>
      <c r="D429" t="s">
        <v>11</v>
      </c>
      <c r="E429" t="s">
        <v>13</v>
      </c>
      <c r="F429" t="s">
        <v>1970</v>
      </c>
      <c r="G429" t="s">
        <v>12</v>
      </c>
      <c r="I429" t="s">
        <v>2782</v>
      </c>
      <c r="J429" t="s">
        <v>4618</v>
      </c>
      <c r="K429" s="9">
        <v>2.6291340834799084</v>
      </c>
      <c r="L429" s="9">
        <v>0.1753673995465973</v>
      </c>
      <c r="M429" s="11">
        <v>32.137782620241722</v>
      </c>
      <c r="N429" s="11">
        <v>35.3515608822659</v>
      </c>
    </row>
    <row r="430" spans="1:14">
      <c r="A430" t="s">
        <v>1967</v>
      </c>
      <c r="B430" t="s">
        <v>2784</v>
      </c>
      <c r="C430" t="s">
        <v>2785</v>
      </c>
      <c r="D430" t="s">
        <v>11</v>
      </c>
      <c r="E430" t="s">
        <v>13</v>
      </c>
      <c r="F430" t="s">
        <v>1970</v>
      </c>
      <c r="G430" t="s">
        <v>12</v>
      </c>
      <c r="I430" t="s">
        <v>2784</v>
      </c>
      <c r="J430" t="s">
        <v>4619</v>
      </c>
      <c r="K430" s="9">
        <v>7.2277395088474998</v>
      </c>
      <c r="L430" s="9">
        <v>0.1730731870011232</v>
      </c>
      <c r="M430" s="11">
        <v>59.1929942222433</v>
      </c>
      <c r="N430" s="11">
        <v>65.112293644467641</v>
      </c>
    </row>
    <row r="431" spans="1:14">
      <c r="A431" t="s">
        <v>1967</v>
      </c>
      <c r="B431" t="s">
        <v>2786</v>
      </c>
      <c r="C431" t="s">
        <v>2787</v>
      </c>
      <c r="D431" t="s">
        <v>11</v>
      </c>
      <c r="E431" t="s">
        <v>13</v>
      </c>
      <c r="F431" t="s">
        <v>1970</v>
      </c>
      <c r="G431" t="s">
        <v>12</v>
      </c>
      <c r="I431" t="s">
        <v>2786</v>
      </c>
      <c r="J431" t="s">
        <v>4620</v>
      </c>
      <c r="K431" s="11">
        <v>13.439063290374767</v>
      </c>
      <c r="L431" s="9">
        <v>0.16315737703596461</v>
      </c>
      <c r="M431" s="11">
        <v>22.936789388194089</v>
      </c>
      <c r="N431" s="11">
        <v>25.230468327013501</v>
      </c>
    </row>
    <row r="432" spans="1:14">
      <c r="A432" t="s">
        <v>1967</v>
      </c>
      <c r="B432" t="s">
        <v>2788</v>
      </c>
      <c r="C432" t="s">
        <v>2789</v>
      </c>
      <c r="D432" t="s">
        <v>11</v>
      </c>
      <c r="E432" t="s">
        <v>13</v>
      </c>
      <c r="F432" t="s">
        <v>1970</v>
      </c>
      <c r="G432" t="s">
        <v>12</v>
      </c>
      <c r="I432" t="s">
        <v>2788</v>
      </c>
      <c r="J432" t="s">
        <v>4621</v>
      </c>
      <c r="K432" s="9">
        <v>5.5561219543010933</v>
      </c>
      <c r="L432" s="9">
        <v>0.17282411614136439</v>
      </c>
      <c r="M432" s="11">
        <v>26.155745086093361</v>
      </c>
      <c r="N432" s="11">
        <v>28.7713195947027</v>
      </c>
    </row>
    <row r="433" spans="1:14">
      <c r="A433" t="s">
        <v>1967</v>
      </c>
      <c r="B433" t="s">
        <v>2790</v>
      </c>
      <c r="C433" t="s">
        <v>2791</v>
      </c>
      <c r="D433" t="s">
        <v>11</v>
      </c>
      <c r="E433" t="s">
        <v>13</v>
      </c>
      <c r="F433" t="s">
        <v>1970</v>
      </c>
      <c r="G433" t="s">
        <v>12</v>
      </c>
      <c r="I433" t="s">
        <v>2790</v>
      </c>
      <c r="J433" t="s">
        <v>4622</v>
      </c>
      <c r="K433" s="11">
        <v>16.789940126346874</v>
      </c>
      <c r="L433" s="9">
        <v>0.16819914907070371</v>
      </c>
      <c r="M433" s="11">
        <v>51.935595195278673</v>
      </c>
      <c r="N433" s="11">
        <v>57.129154714806546</v>
      </c>
    </row>
    <row r="434" spans="1:14">
      <c r="A434" t="s">
        <v>1967</v>
      </c>
      <c r="B434" t="s">
        <v>2792</v>
      </c>
      <c r="C434" t="s">
        <v>2793</v>
      </c>
      <c r="D434" t="s">
        <v>11</v>
      </c>
      <c r="E434" t="s">
        <v>13</v>
      </c>
      <c r="F434" t="s">
        <v>1970</v>
      </c>
      <c r="G434" t="s">
        <v>12</v>
      </c>
      <c r="I434" t="s">
        <v>2792</v>
      </c>
      <c r="J434" t="s">
        <v>4623</v>
      </c>
      <c r="K434" s="9">
        <v>2.2618443761488489</v>
      </c>
      <c r="L434" s="9">
        <v>0.25818389423732169</v>
      </c>
      <c r="M434" s="11">
        <v>23.72389574833932</v>
      </c>
      <c r="N434" s="11">
        <v>26.096285323173255</v>
      </c>
    </row>
    <row r="435" spans="1:14">
      <c r="A435" t="s">
        <v>1967</v>
      </c>
      <c r="B435" t="s">
        <v>2794</v>
      </c>
      <c r="C435" t="s">
        <v>2795</v>
      </c>
      <c r="D435" t="s">
        <v>11</v>
      </c>
      <c r="E435" t="s">
        <v>13</v>
      </c>
      <c r="F435" t="s">
        <v>1970</v>
      </c>
      <c r="G435" t="s">
        <v>12</v>
      </c>
      <c r="I435" t="s">
        <v>2794</v>
      </c>
      <c r="J435" t="s">
        <v>4624</v>
      </c>
      <c r="K435" s="9">
        <v>1.4556495632629636</v>
      </c>
      <c r="L435" s="9">
        <v>0.24057737649868149</v>
      </c>
      <c r="M435" s="11">
        <v>11.448720615632096</v>
      </c>
      <c r="N435" s="11">
        <v>12.593592677195307</v>
      </c>
    </row>
    <row r="436" spans="1:14">
      <c r="A436" t="s">
        <v>1967</v>
      </c>
      <c r="B436" t="s">
        <v>2796</v>
      </c>
      <c r="C436" t="s">
        <v>2797</v>
      </c>
      <c r="D436" t="s">
        <v>11</v>
      </c>
      <c r="E436" t="s">
        <v>13</v>
      </c>
      <c r="F436" t="s">
        <v>1970</v>
      </c>
      <c r="G436" t="s">
        <v>12</v>
      </c>
      <c r="I436" t="s">
        <v>2796</v>
      </c>
      <c r="J436" t="s">
        <v>4625</v>
      </c>
      <c r="K436" s="9">
        <v>2.9041160567793787</v>
      </c>
      <c r="L436" s="9">
        <v>0.2477544491890096</v>
      </c>
      <c r="M436" s="11">
        <v>15.199658876135535</v>
      </c>
      <c r="N436" s="11">
        <v>16.719624763749088</v>
      </c>
    </row>
    <row r="437" spans="1:14">
      <c r="A437" t="s">
        <v>1967</v>
      </c>
      <c r="B437" t="s">
        <v>2798</v>
      </c>
      <c r="C437" t="s">
        <v>2799</v>
      </c>
      <c r="D437" t="s">
        <v>11</v>
      </c>
      <c r="E437" t="s">
        <v>13</v>
      </c>
      <c r="F437" t="s">
        <v>1970</v>
      </c>
      <c r="G437" t="s">
        <v>12</v>
      </c>
      <c r="I437" t="s">
        <v>2798</v>
      </c>
      <c r="J437" t="s">
        <v>4626</v>
      </c>
      <c r="K437" s="9">
        <v>0.590823402497895</v>
      </c>
      <c r="L437" s="9">
        <v>0.1612997491669331</v>
      </c>
      <c r="M437" s="11">
        <v>28.097486159083623</v>
      </c>
      <c r="N437" s="11">
        <v>30.907234774991988</v>
      </c>
    </row>
    <row r="438" spans="1:14">
      <c r="A438" t="s">
        <v>1967</v>
      </c>
      <c r="B438" t="s">
        <v>2800</v>
      </c>
      <c r="C438" t="s">
        <v>2801</v>
      </c>
      <c r="D438" t="s">
        <v>11</v>
      </c>
      <c r="E438" t="s">
        <v>13</v>
      </c>
      <c r="F438" t="s">
        <v>1970</v>
      </c>
      <c r="G438" t="s">
        <v>12</v>
      </c>
      <c r="I438" t="s">
        <v>2800</v>
      </c>
      <c r="J438" t="s">
        <v>4627</v>
      </c>
      <c r="K438" s="9">
        <v>6.4026167709604564</v>
      </c>
      <c r="L438" s="9">
        <v>0.1677518721373833</v>
      </c>
      <c r="M438" s="11">
        <v>55.749925602803536</v>
      </c>
      <c r="N438" s="11">
        <v>61.324918163083893</v>
      </c>
    </row>
    <row r="439" spans="1:14">
      <c r="A439" t="s">
        <v>1967</v>
      </c>
      <c r="B439" t="s">
        <v>2802</v>
      </c>
      <c r="C439" t="s">
        <v>2803</v>
      </c>
      <c r="D439" t="s">
        <v>11</v>
      </c>
      <c r="E439" t="s">
        <v>13</v>
      </c>
      <c r="F439" t="s">
        <v>1970</v>
      </c>
      <c r="G439" t="s">
        <v>12</v>
      </c>
      <c r="I439" t="s">
        <v>2802</v>
      </c>
      <c r="J439" t="s">
        <v>4628</v>
      </c>
      <c r="K439" s="9">
        <v>1.7057406763367979</v>
      </c>
      <c r="L439" s="9">
        <v>0.17194103118105841</v>
      </c>
      <c r="M439" s="11">
        <v>34.156635499518892</v>
      </c>
      <c r="N439" s="11">
        <v>37.572299049470786</v>
      </c>
    </row>
    <row r="440" spans="1:14">
      <c r="A440" t="s">
        <v>1967</v>
      </c>
      <c r="B440" t="s">
        <v>2804</v>
      </c>
      <c r="C440" t="s">
        <v>2805</v>
      </c>
      <c r="D440" t="s">
        <v>11</v>
      </c>
      <c r="E440" t="s">
        <v>13</v>
      </c>
      <c r="F440" t="s">
        <v>1970</v>
      </c>
      <c r="G440" t="s">
        <v>12</v>
      </c>
      <c r="I440" t="s">
        <v>2804</v>
      </c>
      <c r="J440" t="s">
        <v>4629</v>
      </c>
      <c r="K440" s="9">
        <v>2.5524402940618196</v>
      </c>
      <c r="L440" s="9">
        <v>0.16475045460984369</v>
      </c>
      <c r="M440" s="11">
        <v>25.568370168476061</v>
      </c>
      <c r="N440" s="11">
        <v>28.125207185323671</v>
      </c>
    </row>
    <row r="441" spans="1:14">
      <c r="A441" t="s">
        <v>1967</v>
      </c>
      <c r="B441" t="s">
        <v>2806</v>
      </c>
      <c r="C441" t="s">
        <v>2807</v>
      </c>
      <c r="D441" t="s">
        <v>11</v>
      </c>
      <c r="E441" t="s">
        <v>13</v>
      </c>
      <c r="F441" t="s">
        <v>1970</v>
      </c>
      <c r="G441" t="s">
        <v>12</v>
      </c>
      <c r="I441" t="s">
        <v>2806</v>
      </c>
      <c r="J441" t="s">
        <v>4630</v>
      </c>
      <c r="K441" s="10">
        <v>164.52523841916218</v>
      </c>
      <c r="L441" s="9">
        <v>0.1728044492489183</v>
      </c>
      <c r="M441" s="10">
        <v>157.57428419318396</v>
      </c>
      <c r="N441" s="10">
        <v>173.33171261250237</v>
      </c>
    </row>
    <row r="442" spans="1:14">
      <c r="A442" t="s">
        <v>1967</v>
      </c>
      <c r="B442" t="s">
        <v>2808</v>
      </c>
      <c r="C442" t="s">
        <v>2809</v>
      </c>
      <c r="D442" t="s">
        <v>11</v>
      </c>
      <c r="E442" t="s">
        <v>13</v>
      </c>
      <c r="F442" t="s">
        <v>1970</v>
      </c>
      <c r="G442" t="s">
        <v>12</v>
      </c>
      <c r="I442" t="s">
        <v>2808</v>
      </c>
      <c r="J442" t="s">
        <v>4631</v>
      </c>
      <c r="K442" s="10">
        <v>284.19084812622481</v>
      </c>
      <c r="L442" s="9">
        <v>0.17488608797779581</v>
      </c>
      <c r="M442" s="10">
        <v>217.6754011069076</v>
      </c>
      <c r="N442" s="10">
        <v>239.44294121759839</v>
      </c>
    </row>
    <row r="443" spans="1:14">
      <c r="A443" t="s">
        <v>1967</v>
      </c>
      <c r="B443" t="s">
        <v>2810</v>
      </c>
      <c r="C443" t="s">
        <v>2811</v>
      </c>
      <c r="D443" t="s">
        <v>11</v>
      </c>
      <c r="E443" t="s">
        <v>13</v>
      </c>
      <c r="F443" t="s">
        <v>1970</v>
      </c>
      <c r="G443" t="s">
        <v>12</v>
      </c>
      <c r="I443" t="s">
        <v>2810</v>
      </c>
      <c r="J443" t="s">
        <v>4632</v>
      </c>
      <c r="K443" s="10">
        <v>202.84879892991088</v>
      </c>
      <c r="L443" s="9">
        <v>0.1663161691712009</v>
      </c>
      <c r="M443" s="10">
        <v>243.80649064424924</v>
      </c>
      <c r="N443" s="10">
        <v>268.18713970867418</v>
      </c>
    </row>
    <row r="444" spans="1:14">
      <c r="A444" t="s">
        <v>1967</v>
      </c>
      <c r="B444" t="s">
        <v>2812</v>
      </c>
      <c r="C444" t="s">
        <v>2813</v>
      </c>
      <c r="D444" t="s">
        <v>11</v>
      </c>
      <c r="E444" t="s">
        <v>13</v>
      </c>
      <c r="F444" t="s">
        <v>1970</v>
      </c>
      <c r="G444" t="s">
        <v>12</v>
      </c>
      <c r="I444" t="s">
        <v>2812</v>
      </c>
      <c r="J444" t="s">
        <v>4633</v>
      </c>
      <c r="K444" s="11">
        <v>93.902259040280398</v>
      </c>
      <c r="L444" s="9">
        <v>0.18042099309407569</v>
      </c>
      <c r="M444" s="10">
        <v>155.66964447044987</v>
      </c>
      <c r="N444" s="10">
        <v>171.23660891749486</v>
      </c>
    </row>
    <row r="445" spans="1:14">
      <c r="A445" t="s">
        <v>1967</v>
      </c>
      <c r="B445" t="s">
        <v>2814</v>
      </c>
      <c r="C445" t="s">
        <v>2815</v>
      </c>
      <c r="D445" t="s">
        <v>11</v>
      </c>
      <c r="E445" t="s">
        <v>13</v>
      </c>
      <c r="F445" t="s">
        <v>1970</v>
      </c>
      <c r="G445" t="s">
        <v>12</v>
      </c>
      <c r="I445" t="s">
        <v>2814</v>
      </c>
      <c r="J445" t="s">
        <v>4634</v>
      </c>
      <c r="K445" s="10">
        <v>119.2713086635946</v>
      </c>
      <c r="L445" s="9">
        <v>0.17373732958563021</v>
      </c>
      <c r="M445" s="10">
        <v>198.99305818047836</v>
      </c>
      <c r="N445" s="10">
        <v>218.89236399852621</v>
      </c>
    </row>
    <row r="446" spans="1:14">
      <c r="A446" t="s">
        <v>1967</v>
      </c>
      <c r="B446" t="s">
        <v>2816</v>
      </c>
      <c r="C446" t="s">
        <v>2817</v>
      </c>
      <c r="D446" t="s">
        <v>11</v>
      </c>
      <c r="E446" t="s">
        <v>13</v>
      </c>
      <c r="F446" t="s">
        <v>1970</v>
      </c>
      <c r="G446" t="s">
        <v>12</v>
      </c>
      <c r="I446" t="s">
        <v>2816</v>
      </c>
      <c r="J446" t="s">
        <v>4635</v>
      </c>
      <c r="K446" s="10">
        <v>162.61611200934527</v>
      </c>
      <c r="L446" s="9">
        <v>0.1702230741160948</v>
      </c>
      <c r="M446" s="10">
        <v>111.04487297816762</v>
      </c>
      <c r="N446" s="10">
        <v>122.14936027598439</v>
      </c>
    </row>
    <row r="447" spans="1:14">
      <c r="A447" t="s">
        <v>1967</v>
      </c>
      <c r="B447" t="s">
        <v>2818</v>
      </c>
      <c r="C447" t="s">
        <v>2819</v>
      </c>
      <c r="D447" t="s">
        <v>11</v>
      </c>
      <c r="E447" t="s">
        <v>13</v>
      </c>
      <c r="F447" t="s">
        <v>1970</v>
      </c>
      <c r="G447" t="s">
        <v>12</v>
      </c>
      <c r="I447" t="s">
        <v>2818</v>
      </c>
      <c r="J447" t="s">
        <v>4636</v>
      </c>
      <c r="K447" s="10">
        <v>367.5254100023717</v>
      </c>
      <c r="L447" s="9">
        <v>0.1778115981125073</v>
      </c>
      <c r="M447" s="10">
        <v>124.34713344769089</v>
      </c>
      <c r="N447" s="10">
        <v>136.78184679245999</v>
      </c>
    </row>
    <row r="448" spans="1:14">
      <c r="A448" t="s">
        <v>1967</v>
      </c>
      <c r="B448" t="s">
        <v>2820</v>
      </c>
      <c r="C448" t="s">
        <v>2821</v>
      </c>
      <c r="D448" t="s">
        <v>11</v>
      </c>
      <c r="E448" t="s">
        <v>13</v>
      </c>
      <c r="F448" t="s">
        <v>1970</v>
      </c>
      <c r="G448" t="s">
        <v>12</v>
      </c>
      <c r="I448" t="s">
        <v>2820</v>
      </c>
      <c r="J448" t="s">
        <v>4637</v>
      </c>
      <c r="K448" s="11">
        <v>42.754091532782624</v>
      </c>
      <c r="L448" s="9">
        <v>0.1846218881855064</v>
      </c>
      <c r="M448" s="10">
        <v>314.42740599404527</v>
      </c>
      <c r="N448" s="10">
        <v>345.87014659344982</v>
      </c>
    </row>
    <row r="449" spans="1:14">
      <c r="A449" t="s">
        <v>1967</v>
      </c>
      <c r="B449" t="s">
        <v>2822</v>
      </c>
      <c r="C449" t="s">
        <v>2823</v>
      </c>
      <c r="D449" t="s">
        <v>11</v>
      </c>
      <c r="E449" t="s">
        <v>13</v>
      </c>
      <c r="F449" t="s">
        <v>1970</v>
      </c>
      <c r="G449" t="s">
        <v>12</v>
      </c>
      <c r="I449" t="s">
        <v>2822</v>
      </c>
      <c r="J449" t="s">
        <v>4638</v>
      </c>
      <c r="K449" s="10">
        <v>200.78397048417443</v>
      </c>
      <c r="L449" s="9">
        <v>0.14140661306147201</v>
      </c>
      <c r="M449" s="10">
        <v>420.25384187966921</v>
      </c>
      <c r="N449" s="10">
        <v>462.27922606763616</v>
      </c>
    </row>
    <row r="450" spans="1:14">
      <c r="A450" t="s">
        <v>1967</v>
      </c>
      <c r="B450" t="s">
        <v>2824</v>
      </c>
      <c r="C450" t="s">
        <v>2825</v>
      </c>
      <c r="D450" t="s">
        <v>11</v>
      </c>
      <c r="E450" t="s">
        <v>13</v>
      </c>
      <c r="F450" t="s">
        <v>1970</v>
      </c>
      <c r="G450" t="s">
        <v>12</v>
      </c>
      <c r="I450" t="s">
        <v>2824</v>
      </c>
      <c r="J450" t="s">
        <v>4639</v>
      </c>
      <c r="K450" s="10">
        <v>111.50249840809022</v>
      </c>
      <c r="L450" s="9">
        <v>0.1667854311850431</v>
      </c>
      <c r="M450" s="10">
        <v>571.52870393836918</v>
      </c>
      <c r="N450" s="10">
        <v>628.6815743322062</v>
      </c>
    </row>
    <row r="451" spans="1:14">
      <c r="A451" t="s">
        <v>1967</v>
      </c>
      <c r="B451" t="s">
        <v>2826</v>
      </c>
      <c r="C451" t="s">
        <v>2823</v>
      </c>
      <c r="D451" t="s">
        <v>11</v>
      </c>
      <c r="E451" t="s">
        <v>13</v>
      </c>
      <c r="F451" t="s">
        <v>1970</v>
      </c>
      <c r="G451" t="s">
        <v>12</v>
      </c>
      <c r="I451" t="s">
        <v>2826</v>
      </c>
      <c r="J451" t="s">
        <v>4640</v>
      </c>
      <c r="K451" s="10">
        <v>127.24291461096176</v>
      </c>
      <c r="L451" s="9">
        <v>0.1593890251938398</v>
      </c>
      <c r="M451" s="10">
        <v>267.40989185483352</v>
      </c>
      <c r="N451" s="10">
        <v>294.1508810403169</v>
      </c>
    </row>
    <row r="452" spans="1:14">
      <c r="A452" t="s">
        <v>1967</v>
      </c>
      <c r="B452" t="s">
        <v>2827</v>
      </c>
      <c r="C452" t="s">
        <v>2828</v>
      </c>
      <c r="D452" t="s">
        <v>11</v>
      </c>
      <c r="E452" t="s">
        <v>13</v>
      </c>
      <c r="F452" t="s">
        <v>1970</v>
      </c>
      <c r="G452" t="s">
        <v>12</v>
      </c>
      <c r="I452" t="s">
        <v>2827</v>
      </c>
      <c r="J452" t="s">
        <v>4641</v>
      </c>
      <c r="K452" s="10">
        <v>188.23568512284768</v>
      </c>
      <c r="L452" s="9">
        <v>0.17519717897571729</v>
      </c>
      <c r="M452" s="10">
        <v>222.36971558594536</v>
      </c>
      <c r="N452" s="10">
        <v>244.6066871445399</v>
      </c>
    </row>
    <row r="453" spans="1:14">
      <c r="A453" t="s">
        <v>1967</v>
      </c>
      <c r="B453" t="s">
        <v>2829</v>
      </c>
      <c r="C453" t="s">
        <v>2830</v>
      </c>
      <c r="D453" t="s">
        <v>11</v>
      </c>
      <c r="E453" t="s">
        <v>13</v>
      </c>
      <c r="F453" t="s">
        <v>1970</v>
      </c>
      <c r="G453" t="s">
        <v>12</v>
      </c>
      <c r="I453" t="s">
        <v>2829</v>
      </c>
      <c r="J453" t="s">
        <v>4642</v>
      </c>
      <c r="K453" s="11">
        <v>71.735144966379906</v>
      </c>
      <c r="L453" s="9">
        <v>0.18535772887786689</v>
      </c>
      <c r="M453" s="10">
        <v>292.78713195443567</v>
      </c>
      <c r="N453" s="10">
        <v>322.06584514987924</v>
      </c>
    </row>
    <row r="454" spans="1:14">
      <c r="A454" t="s">
        <v>1967</v>
      </c>
      <c r="B454" t="s">
        <v>2831</v>
      </c>
      <c r="C454" t="s">
        <v>2832</v>
      </c>
      <c r="D454" t="s">
        <v>11</v>
      </c>
      <c r="E454" t="s">
        <v>13</v>
      </c>
      <c r="F454" t="s">
        <v>1970</v>
      </c>
      <c r="G454" t="s">
        <v>12</v>
      </c>
      <c r="I454" t="s">
        <v>2831</v>
      </c>
      <c r="J454" t="s">
        <v>4643</v>
      </c>
      <c r="K454" s="10">
        <v>102.02714697188701</v>
      </c>
      <c r="L454" s="9">
        <v>0.197348450592611</v>
      </c>
      <c r="M454" s="11">
        <v>65.375659849325558</v>
      </c>
      <c r="N454" s="11">
        <v>71.913225834258114</v>
      </c>
    </row>
    <row r="455" spans="1:14">
      <c r="A455" t="s">
        <v>1967</v>
      </c>
      <c r="B455" t="s">
        <v>2833</v>
      </c>
      <c r="C455" t="s">
        <v>2834</v>
      </c>
      <c r="D455" t="s">
        <v>11</v>
      </c>
      <c r="E455" t="s">
        <v>13</v>
      </c>
      <c r="F455" t="s">
        <v>1970</v>
      </c>
      <c r="G455" t="s">
        <v>12</v>
      </c>
      <c r="I455" t="s">
        <v>2833</v>
      </c>
      <c r="J455" t="s">
        <v>4644</v>
      </c>
      <c r="K455" s="11">
        <v>78.011997168303012</v>
      </c>
      <c r="L455" s="9">
        <v>0.18870739983571139</v>
      </c>
      <c r="M455" s="11">
        <v>46.949922353709233</v>
      </c>
      <c r="N455" s="11">
        <v>51.644914589080159</v>
      </c>
    </row>
    <row r="456" spans="1:14">
      <c r="A456" t="s">
        <v>1967</v>
      </c>
      <c r="B456" t="s">
        <v>2835</v>
      </c>
      <c r="C456" t="s">
        <v>2836</v>
      </c>
      <c r="D456" t="s">
        <v>11</v>
      </c>
      <c r="E456" t="s">
        <v>13</v>
      </c>
      <c r="F456" t="s">
        <v>1970</v>
      </c>
      <c r="G456" t="s">
        <v>12</v>
      </c>
      <c r="I456" t="s">
        <v>2835</v>
      </c>
      <c r="J456" t="s">
        <v>4645</v>
      </c>
      <c r="K456" s="11">
        <v>61.945953132659852</v>
      </c>
      <c r="L456" s="9">
        <v>0.2100218423280121</v>
      </c>
      <c r="M456" s="10">
        <v>251.33803624172683</v>
      </c>
      <c r="N456" s="10">
        <v>276.47183986589954</v>
      </c>
    </row>
    <row r="457" spans="1:14">
      <c r="A457" t="s">
        <v>1967</v>
      </c>
      <c r="B457" t="s">
        <v>2837</v>
      </c>
      <c r="C457" t="s">
        <v>2838</v>
      </c>
      <c r="D457" t="s">
        <v>11</v>
      </c>
      <c r="E457" t="s">
        <v>13</v>
      </c>
      <c r="F457" t="s">
        <v>1970</v>
      </c>
      <c r="G457" t="s">
        <v>12</v>
      </c>
      <c r="I457" t="s">
        <v>2837</v>
      </c>
      <c r="J457" t="s">
        <v>4646</v>
      </c>
      <c r="K457" s="10">
        <v>105.95218477700884</v>
      </c>
      <c r="L457" s="9">
        <v>0.18099565148891861</v>
      </c>
      <c r="M457" s="10">
        <v>577.56859347194279</v>
      </c>
      <c r="N457" s="10">
        <v>635.32545281913713</v>
      </c>
    </row>
    <row r="458" spans="1:14">
      <c r="A458" t="s">
        <v>1967</v>
      </c>
      <c r="B458" t="s">
        <v>2839</v>
      </c>
      <c r="C458" t="s">
        <v>2840</v>
      </c>
      <c r="D458" t="s">
        <v>11</v>
      </c>
      <c r="E458" t="s">
        <v>13</v>
      </c>
      <c r="F458" t="s">
        <v>1970</v>
      </c>
      <c r="G458" t="s">
        <v>12</v>
      </c>
      <c r="I458" t="s">
        <v>2839</v>
      </c>
      <c r="J458" t="s">
        <v>4647</v>
      </c>
      <c r="K458" s="10">
        <v>267.65057784164208</v>
      </c>
      <c r="L458" s="9">
        <v>0.19980947159456919</v>
      </c>
      <c r="M458" s="11">
        <v>32.55838782947626</v>
      </c>
      <c r="N458" s="11">
        <v>35.814226612423887</v>
      </c>
    </row>
    <row r="459" spans="1:14">
      <c r="A459" t="s">
        <v>1967</v>
      </c>
      <c r="B459" t="s">
        <v>2841</v>
      </c>
      <c r="C459" t="s">
        <v>2842</v>
      </c>
      <c r="D459" t="s">
        <v>11</v>
      </c>
      <c r="E459" t="s">
        <v>13</v>
      </c>
      <c r="F459" t="s">
        <v>1970</v>
      </c>
      <c r="G459" t="s">
        <v>12</v>
      </c>
      <c r="I459" t="s">
        <v>2841</v>
      </c>
      <c r="J459" t="s">
        <v>4648</v>
      </c>
      <c r="K459" s="11">
        <v>74.335374315858104</v>
      </c>
      <c r="L459" s="9">
        <v>0.18623394569489141</v>
      </c>
      <c r="M459" s="11">
        <v>43.65146190461288</v>
      </c>
      <c r="N459" s="11">
        <v>48.016608095074169</v>
      </c>
    </row>
    <row r="460" spans="1:14">
      <c r="A460" t="s">
        <v>1967</v>
      </c>
      <c r="B460" t="s">
        <v>2843</v>
      </c>
      <c r="C460" t="s">
        <v>2844</v>
      </c>
      <c r="D460" t="s">
        <v>11</v>
      </c>
      <c r="E460" t="s">
        <v>13</v>
      </c>
      <c r="F460" t="s">
        <v>1970</v>
      </c>
      <c r="G460" t="s">
        <v>12</v>
      </c>
      <c r="I460" t="s">
        <v>2843</v>
      </c>
      <c r="J460" t="s">
        <v>4649</v>
      </c>
      <c r="K460" s="10">
        <v>113.6383897715754</v>
      </c>
      <c r="L460" s="9">
        <v>0.18586596776882949</v>
      </c>
      <c r="M460" s="11">
        <v>93.245735699280857</v>
      </c>
      <c r="N460" s="10">
        <v>102.57030926920895</v>
      </c>
    </row>
    <row r="461" spans="1:14">
      <c r="A461" t="s">
        <v>1967</v>
      </c>
      <c r="B461" t="s">
        <v>2845</v>
      </c>
      <c r="C461" t="s">
        <v>2846</v>
      </c>
      <c r="D461" t="s">
        <v>11</v>
      </c>
      <c r="E461" t="s">
        <v>13</v>
      </c>
      <c r="F461" t="s">
        <v>1970</v>
      </c>
      <c r="G461" t="s">
        <v>12</v>
      </c>
      <c r="I461" t="s">
        <v>2845</v>
      </c>
      <c r="J461" t="s">
        <v>4650</v>
      </c>
      <c r="K461" s="10">
        <v>138.47014253167529</v>
      </c>
      <c r="L461" s="9">
        <v>0.1905482283591162</v>
      </c>
      <c r="M461" s="11">
        <v>53.58801355690111</v>
      </c>
      <c r="N461" s="11">
        <v>58.946814912591229</v>
      </c>
    </row>
    <row r="462" spans="1:14">
      <c r="A462" t="s">
        <v>1967</v>
      </c>
      <c r="B462" t="s">
        <v>2847</v>
      </c>
      <c r="C462" t="s">
        <v>2848</v>
      </c>
      <c r="D462" t="s">
        <v>11</v>
      </c>
      <c r="E462" t="s">
        <v>13</v>
      </c>
      <c r="F462" t="s">
        <v>1970</v>
      </c>
      <c r="G462" t="s">
        <v>12</v>
      </c>
      <c r="I462" t="s">
        <v>2847</v>
      </c>
      <c r="J462" t="s">
        <v>4651</v>
      </c>
      <c r="K462" s="10">
        <v>203.61185943324662</v>
      </c>
      <c r="L462" s="9">
        <v>0.2038123898032618</v>
      </c>
      <c r="M462" s="11">
        <v>29.864857690773544</v>
      </c>
      <c r="N462" s="11">
        <v>32.851343459850902</v>
      </c>
    </row>
    <row r="463" spans="1:14">
      <c r="A463" t="s">
        <v>1967</v>
      </c>
      <c r="B463" t="s">
        <v>2849</v>
      </c>
      <c r="C463" t="s">
        <v>2850</v>
      </c>
      <c r="D463" t="s">
        <v>11</v>
      </c>
      <c r="E463" t="s">
        <v>13</v>
      </c>
      <c r="F463" t="s">
        <v>1970</v>
      </c>
      <c r="G463" t="s">
        <v>12</v>
      </c>
      <c r="I463" t="s">
        <v>2849</v>
      </c>
      <c r="J463" t="s">
        <v>4652</v>
      </c>
      <c r="K463" s="9">
        <v>8.3415598972426643</v>
      </c>
      <c r="L463" s="9">
        <v>0.19956641367328101</v>
      </c>
      <c r="M463" s="10">
        <v>160.10185918793013</v>
      </c>
      <c r="N463" s="10">
        <v>176.11204510672317</v>
      </c>
    </row>
    <row r="464" spans="1:14">
      <c r="A464" t="s">
        <v>1967</v>
      </c>
      <c r="B464" t="s">
        <v>2851</v>
      </c>
      <c r="C464" t="s">
        <v>2852</v>
      </c>
      <c r="D464" t="s">
        <v>11</v>
      </c>
      <c r="E464" t="s">
        <v>13</v>
      </c>
      <c r="F464" t="s">
        <v>1970</v>
      </c>
      <c r="G464" t="s">
        <v>12</v>
      </c>
      <c r="I464" t="s">
        <v>2851</v>
      </c>
      <c r="J464" t="s">
        <v>4653</v>
      </c>
      <c r="K464" s="10">
        <v>153.3947107999966</v>
      </c>
      <c r="L464" s="9">
        <v>0.21066961658118799</v>
      </c>
      <c r="M464" s="11">
        <v>35.385884041502187</v>
      </c>
      <c r="N464" s="11">
        <v>38.924472445652412</v>
      </c>
    </row>
    <row r="465" spans="1:14">
      <c r="A465" t="s">
        <v>1967</v>
      </c>
      <c r="B465" t="s">
        <v>2853</v>
      </c>
      <c r="C465" t="s">
        <v>2854</v>
      </c>
      <c r="D465" t="s">
        <v>11</v>
      </c>
      <c r="E465" t="s">
        <v>13</v>
      </c>
      <c r="F465" t="s">
        <v>1970</v>
      </c>
      <c r="G465" t="s">
        <v>12</v>
      </c>
      <c r="I465" t="s">
        <v>2853</v>
      </c>
      <c r="J465" t="s">
        <v>4654</v>
      </c>
      <c r="K465" s="10">
        <v>138.63083437034558</v>
      </c>
      <c r="L465" s="9">
        <v>0.2072505097030157</v>
      </c>
      <c r="M465" s="11">
        <v>22.610233067419252</v>
      </c>
      <c r="N465" s="11">
        <v>24.871256374161177</v>
      </c>
    </row>
    <row r="466" spans="1:14">
      <c r="A466" t="s">
        <v>1967</v>
      </c>
      <c r="B466" t="s">
        <v>2855</v>
      </c>
      <c r="C466" t="s">
        <v>2856</v>
      </c>
      <c r="D466" t="s">
        <v>11</v>
      </c>
      <c r="E466" t="s">
        <v>13</v>
      </c>
      <c r="F466" t="s">
        <v>1970</v>
      </c>
      <c r="G466" t="s">
        <v>12</v>
      </c>
      <c r="I466" t="s">
        <v>2855</v>
      </c>
      <c r="J466" t="s">
        <v>4655</v>
      </c>
      <c r="K466" s="10">
        <v>367.25645541987058</v>
      </c>
      <c r="L466" s="9">
        <v>0.21581744942782979</v>
      </c>
      <c r="M466" s="11">
        <v>37.803065889868577</v>
      </c>
      <c r="N466" s="11">
        <v>41.583372478855438</v>
      </c>
    </row>
    <row r="467" spans="1:14">
      <c r="A467" t="s">
        <v>1967</v>
      </c>
      <c r="B467" t="s">
        <v>2857</v>
      </c>
      <c r="C467" t="s">
        <v>2858</v>
      </c>
      <c r="D467" t="s">
        <v>11</v>
      </c>
      <c r="E467" t="s">
        <v>13</v>
      </c>
      <c r="F467" t="s">
        <v>1970</v>
      </c>
      <c r="G467" t="s">
        <v>12</v>
      </c>
      <c r="I467" t="s">
        <v>2857</v>
      </c>
      <c r="J467" t="s">
        <v>4656</v>
      </c>
      <c r="K467" s="10">
        <v>258.85938156570745</v>
      </c>
      <c r="L467" s="9">
        <v>0.20432604559014411</v>
      </c>
      <c r="M467" s="11">
        <v>45.465442309934808</v>
      </c>
      <c r="N467" s="11">
        <v>50.011986540928291</v>
      </c>
    </row>
    <row r="468" spans="1:14">
      <c r="A468" t="s">
        <v>1967</v>
      </c>
      <c r="B468" t="s">
        <v>2859</v>
      </c>
      <c r="C468" t="s">
        <v>2860</v>
      </c>
      <c r="D468" t="s">
        <v>11</v>
      </c>
      <c r="E468" t="s">
        <v>13</v>
      </c>
      <c r="F468" t="s">
        <v>1970</v>
      </c>
      <c r="G468" t="s">
        <v>12</v>
      </c>
      <c r="I468" t="s">
        <v>2859</v>
      </c>
      <c r="J468" t="s">
        <v>4657</v>
      </c>
      <c r="K468" s="10">
        <v>463.6379706572435</v>
      </c>
      <c r="L468" s="9">
        <v>0.20957846718564871</v>
      </c>
      <c r="M468" s="11">
        <v>34.216455692645241</v>
      </c>
      <c r="N468" s="11">
        <v>37.638101261909767</v>
      </c>
    </row>
    <row r="469" spans="1:14">
      <c r="A469" t="s">
        <v>1967</v>
      </c>
      <c r="B469" t="s">
        <v>2861</v>
      </c>
      <c r="C469" t="s">
        <v>2862</v>
      </c>
      <c r="D469" t="s">
        <v>11</v>
      </c>
      <c r="E469" t="s">
        <v>13</v>
      </c>
      <c r="F469" t="s">
        <v>1970</v>
      </c>
      <c r="G469" t="s">
        <v>12</v>
      </c>
      <c r="I469" t="s">
        <v>2861</v>
      </c>
      <c r="J469" t="s">
        <v>4658</v>
      </c>
      <c r="K469" s="10">
        <v>371.29297303107847</v>
      </c>
      <c r="L469" s="9">
        <v>0.22781457587416479</v>
      </c>
      <c r="M469" s="11">
        <v>33.08278938627415</v>
      </c>
      <c r="N469" s="11">
        <v>36.391068324901568</v>
      </c>
    </row>
    <row r="470" spans="1:14">
      <c r="A470" t="s">
        <v>1967</v>
      </c>
      <c r="B470" t="s">
        <v>2863</v>
      </c>
      <c r="C470" t="s">
        <v>2864</v>
      </c>
      <c r="D470" t="s">
        <v>11</v>
      </c>
      <c r="E470" t="s">
        <v>13</v>
      </c>
      <c r="F470" t="s">
        <v>1970</v>
      </c>
      <c r="G470" t="s">
        <v>12</v>
      </c>
      <c r="I470" t="s">
        <v>2863</v>
      </c>
      <c r="J470" t="s">
        <v>4659</v>
      </c>
      <c r="K470" s="10">
        <v>357.67539403068599</v>
      </c>
      <c r="L470" s="9">
        <v>0.23402699130968099</v>
      </c>
      <c r="M470" s="11">
        <v>64.186186537642286</v>
      </c>
      <c r="N470" s="11">
        <v>70.604805191406527</v>
      </c>
    </row>
    <row r="471" spans="1:14">
      <c r="A471" t="s">
        <v>1967</v>
      </c>
      <c r="B471" t="s">
        <v>2865</v>
      </c>
      <c r="C471" t="s">
        <v>2866</v>
      </c>
      <c r="D471" t="s">
        <v>11</v>
      </c>
      <c r="E471" t="s">
        <v>13</v>
      </c>
      <c r="F471" t="s">
        <v>1970</v>
      </c>
      <c r="G471" t="s">
        <v>12</v>
      </c>
      <c r="I471" t="s">
        <v>2865</v>
      </c>
      <c r="J471" t="s">
        <v>4660</v>
      </c>
      <c r="K471" s="10">
        <v>255.6650718859604</v>
      </c>
      <c r="L471" s="9">
        <v>0.2067334080246436</v>
      </c>
      <c r="M471" s="11">
        <v>43.469859448107897</v>
      </c>
      <c r="N471" s="11">
        <v>47.816845392918694</v>
      </c>
    </row>
    <row r="472" spans="1:14">
      <c r="A472" t="s">
        <v>1967</v>
      </c>
      <c r="B472" t="s">
        <v>2867</v>
      </c>
      <c r="C472" t="s">
        <v>2868</v>
      </c>
      <c r="D472" t="s">
        <v>11</v>
      </c>
      <c r="E472" t="s">
        <v>13</v>
      </c>
      <c r="F472" t="s">
        <v>1970</v>
      </c>
      <c r="G472" t="s">
        <v>12</v>
      </c>
      <c r="I472" t="s">
        <v>2867</v>
      </c>
      <c r="J472" t="s">
        <v>4661</v>
      </c>
      <c r="K472" s="10">
        <v>261.49357266382407</v>
      </c>
      <c r="L472" s="9">
        <v>0.1989497095042892</v>
      </c>
      <c r="M472" s="11">
        <v>61.889138735028205</v>
      </c>
      <c r="N472" s="11">
        <v>68.078052608531024</v>
      </c>
    </row>
    <row r="473" spans="1:14">
      <c r="A473" t="s">
        <v>1967</v>
      </c>
      <c r="B473" t="s">
        <v>2869</v>
      </c>
      <c r="C473" t="s">
        <v>2870</v>
      </c>
      <c r="D473" t="s">
        <v>11</v>
      </c>
      <c r="E473" t="s">
        <v>13</v>
      </c>
      <c r="F473" t="s">
        <v>1970</v>
      </c>
      <c r="G473" t="s">
        <v>12</v>
      </c>
      <c r="I473" t="s">
        <v>2869</v>
      </c>
      <c r="J473" t="s">
        <v>4662</v>
      </c>
      <c r="K473" s="10">
        <v>662.45689684746264</v>
      </c>
      <c r="L473" s="9">
        <v>0.21618451999659061</v>
      </c>
      <c r="M473" s="11">
        <v>37.537422839038086</v>
      </c>
      <c r="N473" s="11">
        <v>41.291165122941898</v>
      </c>
    </row>
    <row r="474" spans="1:14">
      <c r="A474" t="s">
        <v>1967</v>
      </c>
      <c r="B474" t="s">
        <v>2871</v>
      </c>
      <c r="C474" t="s">
        <v>2872</v>
      </c>
      <c r="D474" t="s">
        <v>11</v>
      </c>
      <c r="E474" t="s">
        <v>13</v>
      </c>
      <c r="F474" t="s">
        <v>1970</v>
      </c>
      <c r="G474" t="s">
        <v>12</v>
      </c>
      <c r="I474" t="s">
        <v>2871</v>
      </c>
      <c r="J474" t="s">
        <v>4663</v>
      </c>
      <c r="K474" s="10">
        <v>177.21328079703963</v>
      </c>
      <c r="L474" s="9">
        <v>0.23795919947804911</v>
      </c>
      <c r="M474" s="10">
        <v>147.38516748571334</v>
      </c>
      <c r="N474" s="10">
        <v>162.1236842342847</v>
      </c>
    </row>
    <row r="475" spans="1:14">
      <c r="A475" t="s">
        <v>1967</v>
      </c>
      <c r="B475" t="s">
        <v>2873</v>
      </c>
      <c r="C475" t="s">
        <v>2874</v>
      </c>
      <c r="D475" t="s">
        <v>11</v>
      </c>
      <c r="E475" t="s">
        <v>13</v>
      </c>
      <c r="F475" t="s">
        <v>1970</v>
      </c>
      <c r="G475" t="s">
        <v>12</v>
      </c>
      <c r="I475" t="s">
        <v>2873</v>
      </c>
      <c r="J475" t="s">
        <v>4664</v>
      </c>
      <c r="K475" s="10">
        <v>385.09650479615686</v>
      </c>
      <c r="L475" s="9">
        <v>0.21467310414680421</v>
      </c>
      <c r="M475" s="11">
        <v>34.002648873786079</v>
      </c>
      <c r="N475" s="11">
        <v>37.40291376116469</v>
      </c>
    </row>
    <row r="476" spans="1:14">
      <c r="A476" t="s">
        <v>1967</v>
      </c>
      <c r="B476" t="s">
        <v>2875</v>
      </c>
      <c r="C476" t="s">
        <v>2876</v>
      </c>
      <c r="D476" t="s">
        <v>11</v>
      </c>
      <c r="E476" t="s">
        <v>13</v>
      </c>
      <c r="F476" t="s">
        <v>1970</v>
      </c>
      <c r="G476" t="s">
        <v>12</v>
      </c>
      <c r="I476" t="s">
        <v>2875</v>
      </c>
      <c r="J476" t="s">
        <v>4665</v>
      </c>
      <c r="K476" s="9">
        <v>8.4754629802654389</v>
      </c>
      <c r="L476" s="9">
        <v>0.14176759157437929</v>
      </c>
      <c r="M476" s="11">
        <v>39.596733348779047</v>
      </c>
      <c r="N476" s="11">
        <v>43.556406683656952</v>
      </c>
    </row>
    <row r="477" spans="1:14">
      <c r="A477" t="s">
        <v>1967</v>
      </c>
      <c r="B477" t="s">
        <v>2877</v>
      </c>
      <c r="C477" t="s">
        <v>2878</v>
      </c>
      <c r="D477" t="s">
        <v>11</v>
      </c>
      <c r="E477" t="s">
        <v>13</v>
      </c>
      <c r="F477" t="s">
        <v>1970</v>
      </c>
      <c r="G477" t="s">
        <v>12</v>
      </c>
      <c r="I477" t="s">
        <v>2877</v>
      </c>
      <c r="J477" t="s">
        <v>4666</v>
      </c>
      <c r="K477" s="11">
        <v>18.605801084496058</v>
      </c>
      <c r="L477" s="9">
        <v>0.13190875951418379</v>
      </c>
      <c r="M477" s="11">
        <v>44.98378466426891</v>
      </c>
      <c r="N477" s="11">
        <v>49.482163130695803</v>
      </c>
    </row>
    <row r="478" spans="1:14">
      <c r="A478" t="s">
        <v>1967</v>
      </c>
      <c r="B478" t="s">
        <v>2879</v>
      </c>
      <c r="C478" t="s">
        <v>2880</v>
      </c>
      <c r="D478" t="s">
        <v>11</v>
      </c>
      <c r="E478" t="s">
        <v>13</v>
      </c>
      <c r="F478" t="s">
        <v>1970</v>
      </c>
      <c r="G478" t="s">
        <v>12</v>
      </c>
      <c r="I478" t="s">
        <v>2879</v>
      </c>
      <c r="J478" t="s">
        <v>4667</v>
      </c>
      <c r="K478" s="9">
        <v>1.703139235787527</v>
      </c>
      <c r="L478" s="9">
        <v>0.12806308174104319</v>
      </c>
      <c r="M478" s="10">
        <v>150.50563501660395</v>
      </c>
      <c r="N478" s="10">
        <v>165.55619851826435</v>
      </c>
    </row>
    <row r="479" spans="1:14">
      <c r="A479" t="s">
        <v>1967</v>
      </c>
      <c r="B479" t="s">
        <v>2881</v>
      </c>
      <c r="C479" t="s">
        <v>2882</v>
      </c>
      <c r="D479" t="s">
        <v>11</v>
      </c>
      <c r="E479" t="s">
        <v>13</v>
      </c>
      <c r="F479" t="s">
        <v>1970</v>
      </c>
      <c r="G479" t="s">
        <v>12</v>
      </c>
      <c r="I479" t="s">
        <v>2881</v>
      </c>
      <c r="J479" t="s">
        <v>4668</v>
      </c>
      <c r="K479" s="9">
        <v>9.9545488788693657</v>
      </c>
      <c r="L479" s="9">
        <v>0.13307268675529749</v>
      </c>
      <c r="M479" s="11">
        <v>60.206766245965241</v>
      </c>
      <c r="N479" s="11">
        <v>66.227442870561774</v>
      </c>
    </row>
    <row r="480" spans="1:14">
      <c r="A480" t="s">
        <v>1967</v>
      </c>
      <c r="B480" t="s">
        <v>2883</v>
      </c>
      <c r="C480" t="s">
        <v>2884</v>
      </c>
      <c r="D480" t="s">
        <v>11</v>
      </c>
      <c r="E480" t="s">
        <v>13</v>
      </c>
      <c r="F480" t="s">
        <v>1970</v>
      </c>
      <c r="G480" t="s">
        <v>12</v>
      </c>
      <c r="I480" t="s">
        <v>2883</v>
      </c>
      <c r="J480" t="s">
        <v>4669</v>
      </c>
      <c r="K480" s="11">
        <v>26.368442604313493</v>
      </c>
      <c r="L480" s="9">
        <v>0.2447009660186564</v>
      </c>
      <c r="M480" s="10">
        <v>138.38575340127943</v>
      </c>
      <c r="N480" s="10">
        <v>152.22432874140739</v>
      </c>
    </row>
    <row r="481" spans="1:14">
      <c r="A481" t="s">
        <v>1967</v>
      </c>
      <c r="B481" t="s">
        <v>2885</v>
      </c>
      <c r="C481" t="s">
        <v>2886</v>
      </c>
      <c r="D481" t="s">
        <v>11</v>
      </c>
      <c r="E481" t="s">
        <v>13</v>
      </c>
      <c r="F481" t="s">
        <v>1970</v>
      </c>
      <c r="G481" t="s">
        <v>12</v>
      </c>
      <c r="I481" t="s">
        <v>2885</v>
      </c>
      <c r="J481" t="s">
        <v>4670</v>
      </c>
      <c r="K481" s="11">
        <v>90.819684453855771</v>
      </c>
      <c r="L481" s="9">
        <v>0.25752564994687699</v>
      </c>
      <c r="M481" s="10">
        <v>127.45945709874611</v>
      </c>
      <c r="N481" s="10">
        <v>140.20540280862073</v>
      </c>
    </row>
    <row r="482" spans="1:14">
      <c r="A482" t="s">
        <v>1967</v>
      </c>
      <c r="B482" t="s">
        <v>2887</v>
      </c>
      <c r="C482" t="s">
        <v>2888</v>
      </c>
      <c r="D482" t="s">
        <v>11</v>
      </c>
      <c r="E482" t="s">
        <v>13</v>
      </c>
      <c r="F482" t="s">
        <v>1970</v>
      </c>
      <c r="G482" t="s">
        <v>12</v>
      </c>
      <c r="I482" t="s">
        <v>2887</v>
      </c>
      <c r="J482" t="s">
        <v>4671</v>
      </c>
      <c r="K482" s="10">
        <v>269.27185607440651</v>
      </c>
      <c r="L482" s="9">
        <v>0.2702554363337431</v>
      </c>
      <c r="M482" s="10">
        <v>154.67591898654322</v>
      </c>
      <c r="N482" s="10">
        <v>170.14351088519757</v>
      </c>
    </row>
    <row r="483" spans="1:14">
      <c r="A483" t="s">
        <v>1967</v>
      </c>
      <c r="B483" t="s">
        <v>2889</v>
      </c>
      <c r="C483" t="s">
        <v>2890</v>
      </c>
      <c r="D483" t="s">
        <v>11</v>
      </c>
      <c r="E483" t="s">
        <v>13</v>
      </c>
      <c r="F483" t="s">
        <v>1970</v>
      </c>
      <c r="G483" t="s">
        <v>12</v>
      </c>
      <c r="I483" t="s">
        <v>2889</v>
      </c>
      <c r="J483" t="s">
        <v>4672</v>
      </c>
      <c r="K483" s="10">
        <v>152.65571878727985</v>
      </c>
      <c r="L483" s="9">
        <v>0.26671584781417229</v>
      </c>
      <c r="M483" s="10">
        <v>286.55506837377715</v>
      </c>
      <c r="N483" s="10">
        <v>315.21057521115489</v>
      </c>
    </row>
    <row r="484" spans="1:14">
      <c r="A484" t="s">
        <v>1967</v>
      </c>
      <c r="B484" t="s">
        <v>2891</v>
      </c>
      <c r="C484" t="s">
        <v>2892</v>
      </c>
      <c r="D484" t="s">
        <v>11</v>
      </c>
      <c r="E484" t="s">
        <v>13</v>
      </c>
      <c r="F484" t="s">
        <v>1970</v>
      </c>
      <c r="G484" t="s">
        <v>12</v>
      </c>
      <c r="I484" t="s">
        <v>2891</v>
      </c>
      <c r="J484" t="s">
        <v>4673</v>
      </c>
      <c r="K484" s="10">
        <v>165.10830850772282</v>
      </c>
      <c r="L484" s="9">
        <v>0.26507275737583108</v>
      </c>
      <c r="M484" s="10">
        <v>179.09611618398503</v>
      </c>
      <c r="N484" s="10">
        <v>197.00572780238355</v>
      </c>
    </row>
    <row r="485" spans="1:14">
      <c r="A485" t="s">
        <v>1967</v>
      </c>
      <c r="B485" t="s">
        <v>2893</v>
      </c>
      <c r="C485" t="s">
        <v>2894</v>
      </c>
      <c r="D485" t="s">
        <v>11</v>
      </c>
      <c r="E485" t="s">
        <v>13</v>
      </c>
      <c r="F485" t="s">
        <v>1970</v>
      </c>
      <c r="G485" t="s">
        <v>12</v>
      </c>
      <c r="I485" t="s">
        <v>2893</v>
      </c>
      <c r="J485" t="s">
        <v>4674</v>
      </c>
      <c r="K485" s="11">
        <v>22.687387388299239</v>
      </c>
      <c r="L485" s="9">
        <v>0.25608457658993999</v>
      </c>
      <c r="M485" s="11">
        <v>63.118651304575131</v>
      </c>
      <c r="N485" s="11">
        <v>69.430516435032644</v>
      </c>
    </row>
    <row r="486" spans="1:14">
      <c r="A486" t="s">
        <v>1967</v>
      </c>
      <c r="B486" t="s">
        <v>2895</v>
      </c>
      <c r="C486" t="s">
        <v>2896</v>
      </c>
      <c r="D486" t="s">
        <v>11</v>
      </c>
      <c r="E486" t="s">
        <v>13</v>
      </c>
      <c r="F486" t="s">
        <v>1970</v>
      </c>
      <c r="G486" t="s">
        <v>12</v>
      </c>
      <c r="I486" t="s">
        <v>2895</v>
      </c>
      <c r="J486" t="s">
        <v>4675</v>
      </c>
      <c r="K486" s="11">
        <v>60.023789532362628</v>
      </c>
      <c r="L486" s="9">
        <v>0.2503889188700264</v>
      </c>
      <c r="M486" s="11">
        <v>63.0813150646689</v>
      </c>
      <c r="N486" s="11">
        <v>69.389446571135792</v>
      </c>
    </row>
    <row r="487" spans="1:14">
      <c r="A487" t="s">
        <v>1967</v>
      </c>
      <c r="B487" t="s">
        <v>2897</v>
      </c>
      <c r="C487" t="s">
        <v>2898</v>
      </c>
      <c r="D487" t="s">
        <v>11</v>
      </c>
      <c r="E487" t="s">
        <v>13</v>
      </c>
      <c r="F487" t="s">
        <v>1970</v>
      </c>
      <c r="G487" t="s">
        <v>12</v>
      </c>
      <c r="I487" t="s">
        <v>2897</v>
      </c>
      <c r="J487" t="s">
        <v>4676</v>
      </c>
      <c r="K487" s="11">
        <v>27.680972860140376</v>
      </c>
      <c r="L487" s="9">
        <v>0.25135733331096838</v>
      </c>
      <c r="M487" s="10">
        <v>146.47338548248592</v>
      </c>
      <c r="N487" s="10">
        <v>161.12072403073452</v>
      </c>
    </row>
    <row r="488" spans="1:14">
      <c r="A488" t="s">
        <v>1967</v>
      </c>
      <c r="B488" t="s">
        <v>2899</v>
      </c>
      <c r="C488" t="s">
        <v>2900</v>
      </c>
      <c r="D488" t="s">
        <v>11</v>
      </c>
      <c r="E488" t="s">
        <v>13</v>
      </c>
      <c r="F488" t="s">
        <v>1970</v>
      </c>
      <c r="G488" t="s">
        <v>12</v>
      </c>
      <c r="I488" t="s">
        <v>2899</v>
      </c>
      <c r="J488" t="s">
        <v>4677</v>
      </c>
      <c r="K488" s="11">
        <v>49.523694151612183</v>
      </c>
      <c r="L488" s="9">
        <v>0.25775258381645511</v>
      </c>
      <c r="M488" s="11">
        <v>43.941754064569658</v>
      </c>
      <c r="N488" s="11">
        <v>48.335929471026624</v>
      </c>
    </row>
    <row r="489" spans="1:14">
      <c r="A489" t="s">
        <v>1967</v>
      </c>
      <c r="B489" t="s">
        <v>2901</v>
      </c>
      <c r="C489" t="s">
        <v>2902</v>
      </c>
      <c r="D489" t="s">
        <v>11</v>
      </c>
      <c r="E489" t="s">
        <v>13</v>
      </c>
      <c r="F489" t="s">
        <v>1970</v>
      </c>
      <c r="G489" t="s">
        <v>12</v>
      </c>
      <c r="I489" t="s">
        <v>2901</v>
      </c>
      <c r="J489" t="s">
        <v>4678</v>
      </c>
      <c r="K489" s="10">
        <v>323.30352935558722</v>
      </c>
      <c r="L489" s="9">
        <v>0.26991398822982288</v>
      </c>
      <c r="M489" s="10">
        <v>128.65690104700244</v>
      </c>
      <c r="N489" s="10">
        <v>141.5225911517027</v>
      </c>
    </row>
    <row r="490" spans="1:14">
      <c r="A490" t="s">
        <v>1967</v>
      </c>
      <c r="B490" t="s">
        <v>2903</v>
      </c>
      <c r="C490" t="s">
        <v>2904</v>
      </c>
      <c r="D490" t="s">
        <v>11</v>
      </c>
      <c r="E490" t="s">
        <v>13</v>
      </c>
      <c r="F490" t="s">
        <v>1970</v>
      </c>
      <c r="G490" t="s">
        <v>12</v>
      </c>
      <c r="I490" t="s">
        <v>2903</v>
      </c>
      <c r="J490" t="s">
        <v>4679</v>
      </c>
      <c r="K490" s="11">
        <v>65.465614504504643</v>
      </c>
      <c r="L490" s="9">
        <v>0.26776648126615882</v>
      </c>
      <c r="M490" s="10">
        <v>142.06985093363281</v>
      </c>
      <c r="N490" s="10">
        <v>156.27683602699611</v>
      </c>
    </row>
    <row r="491" spans="1:14">
      <c r="A491" t="s">
        <v>1967</v>
      </c>
      <c r="B491" t="s">
        <v>2905</v>
      </c>
      <c r="C491" t="s">
        <v>2906</v>
      </c>
      <c r="D491" t="s">
        <v>11</v>
      </c>
      <c r="E491" t="s">
        <v>13</v>
      </c>
      <c r="F491" t="s">
        <v>1970</v>
      </c>
      <c r="G491" t="s">
        <v>12</v>
      </c>
      <c r="I491" t="s">
        <v>2905</v>
      </c>
      <c r="J491" t="s">
        <v>4680</v>
      </c>
      <c r="K491" s="11">
        <v>40.918927806185906</v>
      </c>
      <c r="L491" s="9">
        <v>0.2656772712679758</v>
      </c>
      <c r="M491" s="10">
        <v>126.50301456115918</v>
      </c>
      <c r="N491" s="10">
        <v>139.1533160172751</v>
      </c>
    </row>
    <row r="492" spans="1:14">
      <c r="A492" t="s">
        <v>1967</v>
      </c>
      <c r="B492" t="s">
        <v>2907</v>
      </c>
      <c r="C492" t="s">
        <v>2908</v>
      </c>
      <c r="D492" t="s">
        <v>11</v>
      </c>
      <c r="E492" t="s">
        <v>13</v>
      </c>
      <c r="F492" t="s">
        <v>1970</v>
      </c>
      <c r="G492" t="s">
        <v>12</v>
      </c>
      <c r="I492" t="s">
        <v>2907</v>
      </c>
      <c r="J492" t="s">
        <v>4681</v>
      </c>
      <c r="K492" s="9">
        <v>4.6911160424472707</v>
      </c>
      <c r="L492" s="9">
        <v>0.20258162921517589</v>
      </c>
      <c r="M492" s="10">
        <v>113.38290868972966</v>
      </c>
      <c r="N492" s="10">
        <v>124.72119955870264</v>
      </c>
    </row>
    <row r="493" spans="1:14">
      <c r="A493" t="s">
        <v>1967</v>
      </c>
      <c r="B493" t="s">
        <v>2909</v>
      </c>
      <c r="C493" t="s">
        <v>2910</v>
      </c>
      <c r="D493" t="s">
        <v>11</v>
      </c>
      <c r="E493" t="s">
        <v>13</v>
      </c>
      <c r="F493" t="s">
        <v>1970</v>
      </c>
      <c r="G493" t="s">
        <v>12</v>
      </c>
      <c r="I493" t="s">
        <v>2909</v>
      </c>
      <c r="J493" t="s">
        <v>4682</v>
      </c>
      <c r="K493" s="11">
        <v>67.11457685205221</v>
      </c>
      <c r="L493" s="9">
        <v>0.24746749135296159</v>
      </c>
      <c r="M493" s="10">
        <v>109.64666126853058</v>
      </c>
      <c r="N493" s="10">
        <v>120.61132739538364</v>
      </c>
    </row>
    <row r="494" spans="1:14">
      <c r="A494" t="s">
        <v>1967</v>
      </c>
      <c r="B494" t="s">
        <v>2911</v>
      </c>
      <c r="C494" t="s">
        <v>2912</v>
      </c>
      <c r="D494" t="s">
        <v>11</v>
      </c>
      <c r="E494" t="s">
        <v>13</v>
      </c>
      <c r="F494" t="s">
        <v>1970</v>
      </c>
      <c r="G494" t="s">
        <v>12</v>
      </c>
      <c r="I494" t="s">
        <v>2911</v>
      </c>
      <c r="J494" t="s">
        <v>4683</v>
      </c>
      <c r="K494" s="10">
        <v>128.30665055609265</v>
      </c>
      <c r="L494" s="9">
        <v>0.26571599006976843</v>
      </c>
      <c r="M494" s="10">
        <v>344.67936489871619</v>
      </c>
      <c r="N494" s="10">
        <v>379.14730138858783</v>
      </c>
    </row>
    <row r="495" spans="1:14">
      <c r="A495" t="s">
        <v>1967</v>
      </c>
      <c r="B495" t="s">
        <v>2913</v>
      </c>
      <c r="C495" t="s">
        <v>2914</v>
      </c>
      <c r="D495" t="s">
        <v>11</v>
      </c>
      <c r="E495" t="s">
        <v>13</v>
      </c>
      <c r="F495" t="s">
        <v>1970</v>
      </c>
      <c r="G495" t="s">
        <v>12</v>
      </c>
      <c r="I495" t="s">
        <v>2913</v>
      </c>
      <c r="J495" t="s">
        <v>4684</v>
      </c>
      <c r="K495" s="11">
        <v>11.568907563687064</v>
      </c>
      <c r="L495" s="9">
        <v>0.24941292090215539</v>
      </c>
      <c r="M495" s="11">
        <v>65.688735870756275</v>
      </c>
      <c r="N495" s="11">
        <v>72.257609457831904</v>
      </c>
    </row>
    <row r="496" spans="1:14">
      <c r="A496" t="s">
        <v>1967</v>
      </c>
      <c r="B496" t="s">
        <v>2915</v>
      </c>
      <c r="C496" t="s">
        <v>2916</v>
      </c>
      <c r="D496" t="s">
        <v>11</v>
      </c>
      <c r="E496" t="s">
        <v>13</v>
      </c>
      <c r="F496" t="s">
        <v>1970</v>
      </c>
      <c r="G496" t="s">
        <v>12</v>
      </c>
      <c r="I496" t="s">
        <v>2915</v>
      </c>
      <c r="J496" t="s">
        <v>4685</v>
      </c>
      <c r="K496" s="11">
        <v>21.707192188866721</v>
      </c>
      <c r="L496" s="9">
        <v>0.2491892468482072</v>
      </c>
      <c r="M496" s="11">
        <v>60.836227404229525</v>
      </c>
      <c r="N496" s="11">
        <v>66.919850144652486</v>
      </c>
    </row>
    <row r="497" spans="1:14">
      <c r="A497" t="s">
        <v>1967</v>
      </c>
      <c r="B497" t="s">
        <v>2917</v>
      </c>
      <c r="C497" t="s">
        <v>2918</v>
      </c>
      <c r="D497" t="s">
        <v>11</v>
      </c>
      <c r="E497" t="s">
        <v>13</v>
      </c>
      <c r="F497" t="s">
        <v>1970</v>
      </c>
      <c r="G497" t="s">
        <v>12</v>
      </c>
      <c r="I497" t="s">
        <v>2917</v>
      </c>
      <c r="J497" t="s">
        <v>4686</v>
      </c>
      <c r="K497" s="11">
        <v>52.434066663424417</v>
      </c>
      <c r="L497" s="9">
        <v>0.25010526384303261</v>
      </c>
      <c r="M497" s="11">
        <v>73.852557244088331</v>
      </c>
      <c r="N497" s="11">
        <v>81.237812968497167</v>
      </c>
    </row>
    <row r="498" spans="1:14">
      <c r="A498" t="s">
        <v>1967</v>
      </c>
      <c r="B498" t="s">
        <v>2919</v>
      </c>
      <c r="C498" t="s">
        <v>2920</v>
      </c>
      <c r="D498" t="s">
        <v>11</v>
      </c>
      <c r="E498" t="s">
        <v>13</v>
      </c>
      <c r="F498" t="s">
        <v>1970</v>
      </c>
      <c r="G498" t="s">
        <v>12</v>
      </c>
      <c r="I498" t="s">
        <v>2919</v>
      </c>
      <c r="J498" t="s">
        <v>4687</v>
      </c>
      <c r="K498" s="10">
        <v>104.57057998698443</v>
      </c>
      <c r="L498" s="9">
        <v>0.25994138994603511</v>
      </c>
      <c r="M498" s="10">
        <v>132.54928054464131</v>
      </c>
      <c r="N498" s="10">
        <v>145.80420859910544</v>
      </c>
    </row>
    <row r="499" spans="1:14">
      <c r="A499" t="s">
        <v>1967</v>
      </c>
      <c r="B499" t="s">
        <v>2921</v>
      </c>
      <c r="C499" t="s">
        <v>2922</v>
      </c>
      <c r="D499" t="s">
        <v>11</v>
      </c>
      <c r="E499" t="s">
        <v>13</v>
      </c>
      <c r="F499" t="s">
        <v>1970</v>
      </c>
      <c r="G499" t="s">
        <v>12</v>
      </c>
      <c r="I499" t="s">
        <v>2921</v>
      </c>
      <c r="J499" t="s">
        <v>4688</v>
      </c>
      <c r="K499" s="10">
        <v>120.12464311719556</v>
      </c>
      <c r="L499" s="9">
        <v>0.2644535846398236</v>
      </c>
      <c r="M499" s="10">
        <v>190.68430709717995</v>
      </c>
      <c r="N499" s="10">
        <v>209.75273780689795</v>
      </c>
    </row>
    <row r="500" spans="1:14">
      <c r="A500" t="s">
        <v>1967</v>
      </c>
      <c r="B500" t="s">
        <v>2923</v>
      </c>
      <c r="C500" t="s">
        <v>2924</v>
      </c>
      <c r="D500" t="s">
        <v>11</v>
      </c>
      <c r="E500" t="s">
        <v>13</v>
      </c>
      <c r="F500" t="s">
        <v>1970</v>
      </c>
      <c r="G500" t="s">
        <v>12</v>
      </c>
      <c r="I500" t="s">
        <v>2923</v>
      </c>
      <c r="J500" t="s">
        <v>4689</v>
      </c>
      <c r="K500" s="11">
        <v>62.099489056504368</v>
      </c>
      <c r="L500" s="9">
        <v>0.25093359518804093</v>
      </c>
      <c r="M500" s="11">
        <v>70.823958152031778</v>
      </c>
      <c r="N500" s="11">
        <v>77.906353967234963</v>
      </c>
    </row>
    <row r="501" spans="1:14">
      <c r="A501" t="s">
        <v>1967</v>
      </c>
      <c r="B501" t="s">
        <v>2925</v>
      </c>
      <c r="C501" t="s">
        <v>2912</v>
      </c>
      <c r="D501" t="s">
        <v>11</v>
      </c>
      <c r="E501" t="s">
        <v>13</v>
      </c>
      <c r="F501" t="s">
        <v>1970</v>
      </c>
      <c r="G501" t="s">
        <v>12</v>
      </c>
      <c r="I501" t="s">
        <v>2925</v>
      </c>
      <c r="J501" t="s">
        <v>4690</v>
      </c>
      <c r="K501" s="11">
        <v>96.719347842396701</v>
      </c>
      <c r="L501" s="9">
        <v>0.25794419980538591</v>
      </c>
      <c r="M501" s="10">
        <v>144.93931987984209</v>
      </c>
      <c r="N501" s="10">
        <v>159.4332518678263</v>
      </c>
    </row>
    <row r="502" spans="1:14">
      <c r="A502" t="s">
        <v>1967</v>
      </c>
      <c r="B502" t="s">
        <v>2926</v>
      </c>
      <c r="C502" t="s">
        <v>2927</v>
      </c>
      <c r="D502" t="s">
        <v>11</v>
      </c>
      <c r="E502" t="s">
        <v>13</v>
      </c>
      <c r="F502" t="s">
        <v>1970</v>
      </c>
      <c r="G502" t="s">
        <v>12</v>
      </c>
      <c r="I502" t="s">
        <v>2926</v>
      </c>
      <c r="J502" t="s">
        <v>4691</v>
      </c>
      <c r="K502" s="11">
        <v>17.456375295932212</v>
      </c>
      <c r="L502" s="9">
        <v>0.27558996924907148</v>
      </c>
      <c r="M502" s="10">
        <v>107.24983214223261</v>
      </c>
      <c r="N502" s="10">
        <v>117.97481535645588</v>
      </c>
    </row>
    <row r="503" spans="1:14">
      <c r="A503" t="s">
        <v>1967</v>
      </c>
      <c r="B503" t="s">
        <v>2928</v>
      </c>
      <c r="C503" t="s">
        <v>2929</v>
      </c>
      <c r="D503" t="s">
        <v>11</v>
      </c>
      <c r="E503" t="s">
        <v>13</v>
      </c>
      <c r="F503" t="s">
        <v>1970</v>
      </c>
      <c r="G503" t="s">
        <v>12</v>
      </c>
      <c r="I503" t="s">
        <v>2928</v>
      </c>
      <c r="J503" t="s">
        <v>4692</v>
      </c>
      <c r="K503" s="9">
        <v>8.6502658375163701</v>
      </c>
      <c r="L503" s="9">
        <v>0.24347232171180419</v>
      </c>
      <c r="M503" s="11">
        <v>25.490745426448672</v>
      </c>
      <c r="N503" s="11">
        <v>28.039819969093543</v>
      </c>
    </row>
    <row r="504" spans="1:14">
      <c r="A504" t="s">
        <v>1967</v>
      </c>
      <c r="B504" t="s">
        <v>2930</v>
      </c>
      <c r="C504" t="s">
        <v>2931</v>
      </c>
      <c r="D504" t="s">
        <v>11</v>
      </c>
      <c r="E504" t="s">
        <v>13</v>
      </c>
      <c r="F504" t="s">
        <v>1970</v>
      </c>
      <c r="G504" t="s">
        <v>12</v>
      </c>
      <c r="I504" t="s">
        <v>2930</v>
      </c>
      <c r="J504" t="s">
        <v>4693</v>
      </c>
      <c r="K504" s="11">
        <v>15.458772364620431</v>
      </c>
      <c r="L504" s="9">
        <v>0.2544753364649428</v>
      </c>
      <c r="M504" s="11">
        <v>24.509227229083169</v>
      </c>
      <c r="N504" s="11">
        <v>26.96014995199149</v>
      </c>
    </row>
    <row r="505" spans="1:14">
      <c r="A505" t="s">
        <v>1967</v>
      </c>
      <c r="B505" t="s">
        <v>2932</v>
      </c>
      <c r="C505" t="s">
        <v>2933</v>
      </c>
      <c r="D505" t="s">
        <v>11</v>
      </c>
      <c r="E505" t="s">
        <v>13</v>
      </c>
      <c r="F505" t="s">
        <v>1970</v>
      </c>
      <c r="G505" t="s">
        <v>12</v>
      </c>
      <c r="I505" t="s">
        <v>2932</v>
      </c>
      <c r="J505" t="s">
        <v>4694</v>
      </c>
      <c r="K505" s="11">
        <v>41.391526179796713</v>
      </c>
      <c r="L505" s="9">
        <v>0.17658427387296641</v>
      </c>
      <c r="M505" s="11">
        <v>14.604351805932859</v>
      </c>
      <c r="N505" s="11">
        <v>16.064786986526148</v>
      </c>
    </row>
    <row r="506" spans="1:14">
      <c r="A506" t="s">
        <v>1967</v>
      </c>
      <c r="B506" t="s">
        <v>2934</v>
      </c>
      <c r="C506" t="s">
        <v>2935</v>
      </c>
      <c r="D506" t="s">
        <v>11</v>
      </c>
      <c r="E506" t="s">
        <v>13</v>
      </c>
      <c r="F506" t="s">
        <v>1970</v>
      </c>
      <c r="G506" t="s">
        <v>12</v>
      </c>
      <c r="I506" t="s">
        <v>2934</v>
      </c>
      <c r="J506" t="s">
        <v>4695</v>
      </c>
      <c r="K506" s="9">
        <v>5.8358017635949357</v>
      </c>
      <c r="L506" s="9">
        <v>0.17188896300734011</v>
      </c>
      <c r="M506" s="11">
        <v>15.410889739274731</v>
      </c>
      <c r="N506" s="11">
        <v>16.951978713202205</v>
      </c>
    </row>
    <row r="507" spans="1:14">
      <c r="A507" t="s">
        <v>1967</v>
      </c>
      <c r="B507" t="s">
        <v>2936</v>
      </c>
      <c r="C507" t="s">
        <v>2937</v>
      </c>
      <c r="D507" t="s">
        <v>11</v>
      </c>
      <c r="E507" t="s">
        <v>13</v>
      </c>
      <c r="F507" t="s">
        <v>1970</v>
      </c>
      <c r="G507" t="s">
        <v>12</v>
      </c>
      <c r="I507" t="s">
        <v>2936</v>
      </c>
      <c r="J507" t="s">
        <v>4696</v>
      </c>
      <c r="K507" s="11">
        <v>54.113644363607733</v>
      </c>
      <c r="L507" s="9">
        <v>0.1781671069444053</v>
      </c>
      <c r="M507" s="11">
        <v>12.707604035242349</v>
      </c>
      <c r="N507" s="11">
        <v>13.978364438766585</v>
      </c>
    </row>
    <row r="508" spans="1:14">
      <c r="A508" t="s">
        <v>1967</v>
      </c>
      <c r="B508" t="s">
        <v>2938</v>
      </c>
      <c r="C508" t="s">
        <v>2939</v>
      </c>
      <c r="D508" t="s">
        <v>11</v>
      </c>
      <c r="E508" t="s">
        <v>13</v>
      </c>
      <c r="F508" t="s">
        <v>1970</v>
      </c>
      <c r="G508" t="s">
        <v>12</v>
      </c>
      <c r="I508" t="s">
        <v>2938</v>
      </c>
      <c r="J508" t="s">
        <v>4697</v>
      </c>
      <c r="K508" s="11">
        <v>18.091464814442439</v>
      </c>
      <c r="L508" s="9">
        <v>0.21845351494550319</v>
      </c>
      <c r="M508" s="11">
        <v>46.341641446032433</v>
      </c>
      <c r="N508" s="11">
        <v>50.97580559063568</v>
      </c>
    </row>
    <row r="509" spans="1:14">
      <c r="A509" t="s">
        <v>1967</v>
      </c>
      <c r="B509" t="s">
        <v>2940</v>
      </c>
      <c r="C509" t="s">
        <v>2941</v>
      </c>
      <c r="D509" t="s">
        <v>11</v>
      </c>
      <c r="E509" t="s">
        <v>13</v>
      </c>
      <c r="F509" t="s">
        <v>1970</v>
      </c>
      <c r="G509" t="s">
        <v>12</v>
      </c>
      <c r="I509" t="s">
        <v>2940</v>
      </c>
      <c r="J509" t="s">
        <v>4698</v>
      </c>
      <c r="K509" s="11">
        <v>47.362926543501445</v>
      </c>
      <c r="L509" s="9">
        <v>0.21926406243675159</v>
      </c>
      <c r="M509" s="11">
        <v>14.856193329095747</v>
      </c>
      <c r="N509" s="11">
        <v>16.341812662005324</v>
      </c>
    </row>
    <row r="510" spans="1:14">
      <c r="A510" t="s">
        <v>1967</v>
      </c>
      <c r="B510" t="s">
        <v>2942</v>
      </c>
      <c r="C510" t="s">
        <v>2943</v>
      </c>
      <c r="D510" t="s">
        <v>11</v>
      </c>
      <c r="E510" t="s">
        <v>13</v>
      </c>
      <c r="F510" t="s">
        <v>1970</v>
      </c>
      <c r="G510" t="s">
        <v>12</v>
      </c>
      <c r="I510" t="s">
        <v>2942</v>
      </c>
      <c r="J510" t="s">
        <v>4699</v>
      </c>
      <c r="K510" s="11">
        <v>18.73014159628914</v>
      </c>
      <c r="L510" s="9">
        <v>0.16988393174655461</v>
      </c>
      <c r="M510" s="11">
        <v>17.214645326755889</v>
      </c>
      <c r="N510" s="11">
        <v>18.936109859431479</v>
      </c>
    </row>
    <row r="511" spans="1:14">
      <c r="A511" t="s">
        <v>1967</v>
      </c>
      <c r="B511" t="s">
        <v>2944</v>
      </c>
      <c r="C511" t="s">
        <v>2945</v>
      </c>
      <c r="D511" t="s">
        <v>11</v>
      </c>
      <c r="E511" t="s">
        <v>13</v>
      </c>
      <c r="F511" t="s">
        <v>1970</v>
      </c>
      <c r="G511" t="s">
        <v>12</v>
      </c>
      <c r="I511" t="s">
        <v>2944</v>
      </c>
      <c r="J511" t="s">
        <v>4700</v>
      </c>
      <c r="K511" s="11">
        <v>35.566900485280442</v>
      </c>
      <c r="L511" s="9">
        <v>0.2026840189492147</v>
      </c>
      <c r="M511" s="11">
        <v>16.558466977817819</v>
      </c>
      <c r="N511" s="11">
        <v>18.214313675599602</v>
      </c>
    </row>
    <row r="512" spans="1:14">
      <c r="A512" t="s">
        <v>1967</v>
      </c>
      <c r="B512" t="s">
        <v>2946</v>
      </c>
      <c r="C512" t="s">
        <v>2947</v>
      </c>
      <c r="D512" t="s">
        <v>11</v>
      </c>
      <c r="E512" t="s">
        <v>13</v>
      </c>
      <c r="F512" t="s">
        <v>1970</v>
      </c>
      <c r="G512" t="s">
        <v>12</v>
      </c>
      <c r="I512" t="s">
        <v>2946</v>
      </c>
      <c r="J512" t="s">
        <v>4701</v>
      </c>
      <c r="K512" s="11">
        <v>34.490373330144322</v>
      </c>
      <c r="L512" s="9">
        <v>0.18435921191159199</v>
      </c>
      <c r="M512" s="11">
        <v>15.546082516843081</v>
      </c>
      <c r="N512" s="11">
        <v>17.100690768527389</v>
      </c>
    </row>
    <row r="513" spans="1:14">
      <c r="A513" t="s">
        <v>1967</v>
      </c>
      <c r="B513" t="s">
        <v>2948</v>
      </c>
      <c r="C513" t="s">
        <v>2949</v>
      </c>
      <c r="D513" t="s">
        <v>11</v>
      </c>
      <c r="E513" t="s">
        <v>13</v>
      </c>
      <c r="F513" t="s">
        <v>1970</v>
      </c>
      <c r="G513" t="s">
        <v>12</v>
      </c>
      <c r="I513" t="s">
        <v>2948</v>
      </c>
      <c r="J513" t="s">
        <v>4702</v>
      </c>
      <c r="K513" s="12">
        <v>3.2754868267072031E-2</v>
      </c>
      <c r="L513" s="9">
        <v>0.24722373948716</v>
      </c>
      <c r="M513" s="11">
        <v>39.604923467060843</v>
      </c>
      <c r="N513" s="11">
        <v>43.565415813766933</v>
      </c>
    </row>
    <row r="514" spans="1:14">
      <c r="A514" t="s">
        <v>1967</v>
      </c>
      <c r="B514" t="s">
        <v>2950</v>
      </c>
      <c r="C514" t="s">
        <v>2951</v>
      </c>
      <c r="D514" t="s">
        <v>11</v>
      </c>
      <c r="E514" t="s">
        <v>13</v>
      </c>
      <c r="F514" t="s">
        <v>1970</v>
      </c>
      <c r="G514" t="s">
        <v>12</v>
      </c>
      <c r="I514" t="s">
        <v>2950</v>
      </c>
      <c r="J514" t="s">
        <v>4703</v>
      </c>
      <c r="K514" s="9">
        <v>0.80152485771258941</v>
      </c>
      <c r="L514" s="9">
        <v>0.24457768900236049</v>
      </c>
      <c r="M514" s="11">
        <v>46.050875345920119</v>
      </c>
      <c r="N514" s="11">
        <v>50.655962880512135</v>
      </c>
    </row>
    <row r="515" spans="1:14">
      <c r="A515" t="s">
        <v>1967</v>
      </c>
      <c r="B515" t="s">
        <v>2952</v>
      </c>
      <c r="C515" t="s">
        <v>2953</v>
      </c>
      <c r="D515" t="s">
        <v>11</v>
      </c>
      <c r="E515" t="s">
        <v>13</v>
      </c>
      <c r="F515" t="s">
        <v>1970</v>
      </c>
      <c r="G515" t="s">
        <v>12</v>
      </c>
      <c r="I515" t="s">
        <v>2952</v>
      </c>
      <c r="J515" t="s">
        <v>4704</v>
      </c>
      <c r="K515" s="11">
        <v>42.864443794027835</v>
      </c>
      <c r="L515" s="9">
        <v>0.27914135449160787</v>
      </c>
      <c r="M515" s="10">
        <v>211.38124841904795</v>
      </c>
      <c r="N515" s="10">
        <v>232.51937326095276</v>
      </c>
    </row>
    <row r="516" spans="1:14">
      <c r="A516" t="s">
        <v>1967</v>
      </c>
      <c r="B516" t="s">
        <v>2954</v>
      </c>
      <c r="C516" t="s">
        <v>2953</v>
      </c>
      <c r="D516" t="s">
        <v>11</v>
      </c>
      <c r="E516" t="s">
        <v>13</v>
      </c>
      <c r="F516" t="s">
        <v>1970</v>
      </c>
      <c r="G516" t="s">
        <v>12</v>
      </c>
      <c r="I516" t="s">
        <v>2954</v>
      </c>
      <c r="J516" t="s">
        <v>4705</v>
      </c>
      <c r="K516" s="11">
        <v>25.386084471761073</v>
      </c>
      <c r="L516" s="9">
        <v>0.28325652253612588</v>
      </c>
      <c r="M516" s="10">
        <v>220.43668464767319</v>
      </c>
      <c r="N516" s="10">
        <v>242.48035311244053</v>
      </c>
    </row>
    <row r="517" spans="1:14">
      <c r="A517" t="s">
        <v>1967</v>
      </c>
      <c r="B517" t="s">
        <v>2955</v>
      </c>
      <c r="C517" t="s">
        <v>2956</v>
      </c>
      <c r="D517" t="s">
        <v>11</v>
      </c>
      <c r="E517" t="s">
        <v>13</v>
      </c>
      <c r="F517" t="s">
        <v>1970</v>
      </c>
      <c r="G517" t="s">
        <v>12</v>
      </c>
      <c r="I517" t="s">
        <v>2955</v>
      </c>
      <c r="J517" t="s">
        <v>4706</v>
      </c>
      <c r="K517" s="11">
        <v>16.160457796861913</v>
      </c>
      <c r="L517" s="9">
        <v>0.26630931189296642</v>
      </c>
      <c r="M517" s="11">
        <v>59.298025493120932</v>
      </c>
      <c r="N517" s="11">
        <v>65.227828042433032</v>
      </c>
    </row>
    <row r="518" spans="1:14">
      <c r="A518" t="s">
        <v>1967</v>
      </c>
      <c r="B518" t="s">
        <v>2957</v>
      </c>
      <c r="C518" t="s">
        <v>2958</v>
      </c>
      <c r="D518" t="s">
        <v>11</v>
      </c>
      <c r="E518" t="s">
        <v>13</v>
      </c>
      <c r="F518" t="s">
        <v>1970</v>
      </c>
      <c r="G518" t="s">
        <v>12</v>
      </c>
      <c r="I518" t="s">
        <v>2957</v>
      </c>
      <c r="J518" t="s">
        <v>4707</v>
      </c>
      <c r="K518" s="11">
        <v>59.327963252076479</v>
      </c>
      <c r="L518" s="9">
        <v>0.2694647783034631</v>
      </c>
      <c r="M518" s="10">
        <v>213.79453322825407</v>
      </c>
      <c r="N518" s="10">
        <v>235.17398655107948</v>
      </c>
    </row>
    <row r="519" spans="1:14">
      <c r="A519" t="s">
        <v>1967</v>
      </c>
      <c r="B519" t="s">
        <v>2959</v>
      </c>
      <c r="C519" t="s">
        <v>2960</v>
      </c>
      <c r="D519" t="s">
        <v>11</v>
      </c>
      <c r="E519" t="s">
        <v>13</v>
      </c>
      <c r="F519" t="s">
        <v>1970</v>
      </c>
      <c r="G519" t="s">
        <v>12</v>
      </c>
      <c r="I519" t="s">
        <v>2959</v>
      </c>
      <c r="J519" t="s">
        <v>4708</v>
      </c>
      <c r="K519" s="11">
        <v>19.090488182910832</v>
      </c>
      <c r="L519" s="9">
        <v>0.17163206392393471</v>
      </c>
      <c r="M519" s="11">
        <v>48.9660714039562</v>
      </c>
      <c r="N519" s="11">
        <v>53.862678544351823</v>
      </c>
    </row>
    <row r="520" spans="1:14">
      <c r="A520" t="s">
        <v>1967</v>
      </c>
      <c r="B520" t="s">
        <v>2961</v>
      </c>
      <c r="C520" t="s">
        <v>2962</v>
      </c>
      <c r="D520" t="s">
        <v>11</v>
      </c>
      <c r="E520" t="s">
        <v>13</v>
      </c>
      <c r="F520" t="s">
        <v>1970</v>
      </c>
      <c r="G520" t="s">
        <v>12</v>
      </c>
      <c r="I520" t="s">
        <v>2961</v>
      </c>
      <c r="J520" t="s">
        <v>4709</v>
      </c>
      <c r="K520" s="11">
        <v>29.962142716866943</v>
      </c>
      <c r="L520" s="9">
        <v>0.1737873459918271</v>
      </c>
      <c r="M520" s="11">
        <v>74.891620536849999</v>
      </c>
      <c r="N520" s="11">
        <v>82.380782590535006</v>
      </c>
    </row>
    <row r="521" spans="1:14">
      <c r="A521" t="s">
        <v>1967</v>
      </c>
      <c r="B521" t="s">
        <v>2963</v>
      </c>
      <c r="C521" t="s">
        <v>2964</v>
      </c>
      <c r="D521" t="s">
        <v>11</v>
      </c>
      <c r="E521" t="s">
        <v>13</v>
      </c>
      <c r="F521" t="s">
        <v>1970</v>
      </c>
      <c r="G521" t="s">
        <v>12</v>
      </c>
      <c r="I521" t="s">
        <v>2963</v>
      </c>
      <c r="J521" t="s">
        <v>4710</v>
      </c>
      <c r="K521" s="11">
        <v>11.368071249420133</v>
      </c>
      <c r="L521" s="9">
        <v>0.18076952379618641</v>
      </c>
      <c r="M521" s="11">
        <v>36.112549182246482</v>
      </c>
      <c r="N521" s="11">
        <v>39.723804100471135</v>
      </c>
    </row>
    <row r="522" spans="1:14">
      <c r="A522" t="s">
        <v>1967</v>
      </c>
      <c r="B522" t="s">
        <v>2965</v>
      </c>
      <c r="C522" t="s">
        <v>2966</v>
      </c>
      <c r="D522" t="s">
        <v>11</v>
      </c>
      <c r="E522" t="s">
        <v>13</v>
      </c>
      <c r="F522" t="s">
        <v>1970</v>
      </c>
      <c r="G522" t="s">
        <v>12</v>
      </c>
      <c r="I522" t="s">
        <v>2965</v>
      </c>
      <c r="J522" t="s">
        <v>4711</v>
      </c>
      <c r="K522" s="11">
        <v>18.322937993736609</v>
      </c>
      <c r="L522" s="9">
        <v>0.1966915703533281</v>
      </c>
      <c r="M522" s="11">
        <v>22.069647768797321</v>
      </c>
      <c r="N522" s="11">
        <v>24.276612545677054</v>
      </c>
    </row>
    <row r="523" spans="1:14">
      <c r="A523" t="s">
        <v>1967</v>
      </c>
      <c r="B523" t="s">
        <v>2967</v>
      </c>
      <c r="C523" t="s">
        <v>2968</v>
      </c>
      <c r="D523" t="s">
        <v>11</v>
      </c>
      <c r="E523" t="s">
        <v>13</v>
      </c>
      <c r="F523" t="s">
        <v>1970</v>
      </c>
      <c r="G523" t="s">
        <v>12</v>
      </c>
      <c r="I523" t="s">
        <v>2967</v>
      </c>
      <c r="J523" t="s">
        <v>4712</v>
      </c>
      <c r="K523" s="11">
        <v>12.779947349729637</v>
      </c>
      <c r="L523" s="9">
        <v>0.18865893169905479</v>
      </c>
      <c r="M523" s="11">
        <v>33.177613886857458</v>
      </c>
      <c r="N523" s="11">
        <v>36.495375275543203</v>
      </c>
    </row>
    <row r="524" spans="1:14">
      <c r="A524" t="s">
        <v>1967</v>
      </c>
      <c r="B524" t="s">
        <v>2969</v>
      </c>
      <c r="C524" t="s">
        <v>2970</v>
      </c>
      <c r="D524" t="s">
        <v>11</v>
      </c>
      <c r="E524" t="s">
        <v>13</v>
      </c>
      <c r="F524" t="s">
        <v>1970</v>
      </c>
      <c r="G524" t="s">
        <v>12</v>
      </c>
      <c r="I524" t="s">
        <v>2969</v>
      </c>
      <c r="J524" t="s">
        <v>4713</v>
      </c>
      <c r="K524" s="9">
        <v>1.5638968356964043</v>
      </c>
      <c r="L524" s="9">
        <v>0.18446455948537141</v>
      </c>
      <c r="M524" s="10">
        <v>177.97638181158723</v>
      </c>
      <c r="N524" s="10">
        <v>195.77401999274596</v>
      </c>
    </row>
    <row r="525" spans="1:14">
      <c r="A525" t="s">
        <v>1967</v>
      </c>
      <c r="B525" t="s">
        <v>2971</v>
      </c>
      <c r="C525" t="s">
        <v>2972</v>
      </c>
      <c r="D525" t="s">
        <v>11</v>
      </c>
      <c r="E525" t="s">
        <v>13</v>
      </c>
      <c r="F525" t="s">
        <v>1970</v>
      </c>
      <c r="G525" t="s">
        <v>12</v>
      </c>
      <c r="I525" t="s">
        <v>2971</v>
      </c>
      <c r="J525" t="s">
        <v>4714</v>
      </c>
      <c r="K525" s="11">
        <v>24.911444125858051</v>
      </c>
      <c r="L525" s="9">
        <v>0.18705163947436451</v>
      </c>
      <c r="M525" s="11">
        <v>15.894680359872904</v>
      </c>
      <c r="N525" s="11">
        <v>17.484148395860196</v>
      </c>
    </row>
    <row r="526" spans="1:14">
      <c r="A526" t="s">
        <v>1967</v>
      </c>
      <c r="B526" t="s">
        <v>2973</v>
      </c>
      <c r="C526" t="s">
        <v>2974</v>
      </c>
      <c r="D526" t="s">
        <v>11</v>
      </c>
      <c r="E526" t="s">
        <v>13</v>
      </c>
      <c r="F526" t="s">
        <v>1970</v>
      </c>
      <c r="G526" t="s">
        <v>12</v>
      </c>
      <c r="I526" t="s">
        <v>2973</v>
      </c>
      <c r="J526" t="s">
        <v>4715</v>
      </c>
      <c r="K526" s="11">
        <v>13.429715495433426</v>
      </c>
      <c r="L526" s="9">
        <v>0.17471092506329469</v>
      </c>
      <c r="M526" s="11">
        <v>38.77542235036519</v>
      </c>
      <c r="N526" s="11">
        <v>42.652964585401712</v>
      </c>
    </row>
    <row r="527" spans="1:14">
      <c r="A527" t="s">
        <v>1967</v>
      </c>
      <c r="B527" t="s">
        <v>2975</v>
      </c>
      <c r="C527" t="s">
        <v>2976</v>
      </c>
      <c r="D527" t="s">
        <v>11</v>
      </c>
      <c r="E527" t="s">
        <v>13</v>
      </c>
      <c r="F527" t="s">
        <v>1970</v>
      </c>
      <c r="G527" t="s">
        <v>12</v>
      </c>
      <c r="I527" t="s">
        <v>2975</v>
      </c>
      <c r="J527" t="s">
        <v>4716</v>
      </c>
      <c r="K527" s="11">
        <v>12.698552884478257</v>
      </c>
      <c r="L527" s="9">
        <v>0.17944327880413469</v>
      </c>
      <c r="M527" s="11">
        <v>35.139704338191926</v>
      </c>
      <c r="N527" s="11">
        <v>38.653674772011122</v>
      </c>
    </row>
    <row r="528" spans="1:14">
      <c r="A528" t="s">
        <v>1967</v>
      </c>
      <c r="B528" t="s">
        <v>2977</v>
      </c>
      <c r="C528" t="s">
        <v>2978</v>
      </c>
      <c r="D528" t="s">
        <v>11</v>
      </c>
      <c r="E528" t="s">
        <v>13</v>
      </c>
      <c r="F528" t="s">
        <v>1970</v>
      </c>
      <c r="G528" t="s">
        <v>12</v>
      </c>
      <c r="I528" t="s">
        <v>2977</v>
      </c>
      <c r="J528" t="s">
        <v>4717</v>
      </c>
      <c r="K528" s="11">
        <v>79.796006855789742</v>
      </c>
      <c r="L528" s="9">
        <v>0.17438419063732191</v>
      </c>
      <c r="M528" s="10">
        <v>106.94614710227653</v>
      </c>
      <c r="N528" s="10">
        <v>117.64076181250419</v>
      </c>
    </row>
    <row r="529" spans="1:14">
      <c r="A529" t="s">
        <v>1967</v>
      </c>
      <c r="B529" t="s">
        <v>2979</v>
      </c>
      <c r="C529" t="s">
        <v>2978</v>
      </c>
      <c r="D529" t="s">
        <v>11</v>
      </c>
      <c r="E529" t="s">
        <v>13</v>
      </c>
      <c r="F529" t="s">
        <v>1970</v>
      </c>
      <c r="G529" t="s">
        <v>12</v>
      </c>
      <c r="I529" t="s">
        <v>2979</v>
      </c>
      <c r="J529" t="s">
        <v>4718</v>
      </c>
      <c r="K529" s="11">
        <v>88.916344452940507</v>
      </c>
      <c r="L529" s="9">
        <v>0.16481185658406289</v>
      </c>
      <c r="M529" s="10">
        <v>219.68185823216876</v>
      </c>
      <c r="N529" s="10">
        <v>241.65004405538565</v>
      </c>
    </row>
    <row r="530" spans="1:14">
      <c r="A530" t="s">
        <v>1967</v>
      </c>
      <c r="B530" t="s">
        <v>2980</v>
      </c>
      <c r="C530" t="s">
        <v>2981</v>
      </c>
      <c r="D530" t="s">
        <v>11</v>
      </c>
      <c r="E530" t="s">
        <v>13</v>
      </c>
      <c r="F530" t="s">
        <v>1970</v>
      </c>
      <c r="G530" t="s">
        <v>12</v>
      </c>
      <c r="I530" t="s">
        <v>2980</v>
      </c>
      <c r="J530" t="s">
        <v>4719</v>
      </c>
      <c r="K530" s="10">
        <v>119.89016423680557</v>
      </c>
      <c r="L530" s="9">
        <v>0.16865171080099661</v>
      </c>
      <c r="M530" s="10">
        <v>283.18741590874322</v>
      </c>
      <c r="N530" s="10">
        <v>311.50615749961759</v>
      </c>
    </row>
    <row r="531" spans="1:14">
      <c r="A531" t="s">
        <v>1967</v>
      </c>
      <c r="B531" t="s">
        <v>2982</v>
      </c>
      <c r="C531" t="s">
        <v>2983</v>
      </c>
      <c r="D531" t="s">
        <v>11</v>
      </c>
      <c r="E531" t="s">
        <v>13</v>
      </c>
      <c r="F531" t="s">
        <v>1970</v>
      </c>
      <c r="G531" t="s">
        <v>12</v>
      </c>
      <c r="I531" t="s">
        <v>2982</v>
      </c>
      <c r="J531" t="s">
        <v>4720</v>
      </c>
      <c r="K531" s="10">
        <v>116.48791382885911</v>
      </c>
      <c r="L531" s="9">
        <v>0.1552940331065063</v>
      </c>
      <c r="M531" s="10">
        <v>162.48176048165763</v>
      </c>
      <c r="N531" s="10">
        <v>178.72993652982342</v>
      </c>
    </row>
    <row r="532" spans="1:14">
      <c r="A532" t="s">
        <v>1967</v>
      </c>
      <c r="B532" t="s">
        <v>2984</v>
      </c>
      <c r="C532" t="s">
        <v>2985</v>
      </c>
      <c r="D532" t="s">
        <v>11</v>
      </c>
      <c r="E532" t="s">
        <v>13</v>
      </c>
      <c r="F532" t="s">
        <v>1970</v>
      </c>
      <c r="G532" t="s">
        <v>12</v>
      </c>
      <c r="I532" t="s">
        <v>2984</v>
      </c>
      <c r="J532" t="s">
        <v>4721</v>
      </c>
      <c r="K532" s="11">
        <v>95.917699462770798</v>
      </c>
      <c r="L532" s="9">
        <v>0.1619504518316226</v>
      </c>
      <c r="M532" s="10">
        <v>185.04370075113991</v>
      </c>
      <c r="N532" s="10">
        <v>203.54807082625391</v>
      </c>
    </row>
    <row r="533" spans="1:14">
      <c r="A533" t="s">
        <v>1967</v>
      </c>
      <c r="B533" t="s">
        <v>2986</v>
      </c>
      <c r="C533" t="s">
        <v>2987</v>
      </c>
      <c r="D533" t="s">
        <v>11</v>
      </c>
      <c r="E533" t="s">
        <v>13</v>
      </c>
      <c r="F533" t="s">
        <v>1970</v>
      </c>
      <c r="G533" t="s">
        <v>12</v>
      </c>
      <c r="I533" t="s">
        <v>2986</v>
      </c>
      <c r="J533" t="s">
        <v>4722</v>
      </c>
      <c r="K533" s="11">
        <v>86.655834721695911</v>
      </c>
      <c r="L533" s="9">
        <v>0.1776220604080859</v>
      </c>
      <c r="M533" s="10">
        <v>188.93557422478528</v>
      </c>
      <c r="N533" s="10">
        <v>207.82913164726384</v>
      </c>
    </row>
    <row r="534" spans="1:14">
      <c r="A534" t="s">
        <v>1967</v>
      </c>
      <c r="B534" t="s">
        <v>2988</v>
      </c>
      <c r="C534" t="s">
        <v>2989</v>
      </c>
      <c r="D534" t="s">
        <v>11</v>
      </c>
      <c r="E534" t="s">
        <v>13</v>
      </c>
      <c r="F534" t="s">
        <v>1970</v>
      </c>
      <c r="G534" t="s">
        <v>12</v>
      </c>
      <c r="I534" t="s">
        <v>2988</v>
      </c>
      <c r="J534" t="s">
        <v>4723</v>
      </c>
      <c r="K534" s="10">
        <v>136.78119764801809</v>
      </c>
      <c r="L534" s="9">
        <v>0.1806970404933626</v>
      </c>
      <c r="M534" s="10">
        <v>367.93582472095312</v>
      </c>
      <c r="N534" s="10">
        <v>404.72940719304847</v>
      </c>
    </row>
    <row r="535" spans="1:14">
      <c r="A535" t="s">
        <v>1967</v>
      </c>
      <c r="B535" t="s">
        <v>2990</v>
      </c>
      <c r="C535" t="s">
        <v>2991</v>
      </c>
      <c r="D535" t="s">
        <v>11</v>
      </c>
      <c r="E535" t="s">
        <v>13</v>
      </c>
      <c r="F535" t="s">
        <v>1970</v>
      </c>
      <c r="G535" t="s">
        <v>12</v>
      </c>
      <c r="I535" t="s">
        <v>2990</v>
      </c>
      <c r="J535" t="s">
        <v>4724</v>
      </c>
      <c r="K535" s="10">
        <v>139.11973607544761</v>
      </c>
      <c r="L535" s="9">
        <v>0.19083736234030391</v>
      </c>
      <c r="M535" s="10">
        <v>191.29429692056465</v>
      </c>
      <c r="N535" s="10">
        <v>210.42372661262112</v>
      </c>
    </row>
    <row r="536" spans="1:14">
      <c r="A536" t="s">
        <v>1967</v>
      </c>
      <c r="B536" t="s">
        <v>2992</v>
      </c>
      <c r="C536" t="s">
        <v>2993</v>
      </c>
      <c r="D536" t="s">
        <v>11</v>
      </c>
      <c r="E536" t="s">
        <v>13</v>
      </c>
      <c r="F536" t="s">
        <v>1970</v>
      </c>
      <c r="G536" t="s">
        <v>12</v>
      </c>
      <c r="I536" t="s">
        <v>2992</v>
      </c>
      <c r="J536" t="s">
        <v>4725</v>
      </c>
      <c r="K536" s="10">
        <v>100.51856515789596</v>
      </c>
      <c r="L536" s="9">
        <v>0.21164329185064629</v>
      </c>
      <c r="M536" s="10">
        <v>261.45294143973427</v>
      </c>
      <c r="N536" s="10">
        <v>287.59823558370772</v>
      </c>
    </row>
    <row r="537" spans="1:14">
      <c r="A537" t="s">
        <v>1967</v>
      </c>
      <c r="B537" t="s">
        <v>2994</v>
      </c>
      <c r="C537" t="s">
        <v>2995</v>
      </c>
      <c r="D537" t="s">
        <v>11</v>
      </c>
      <c r="E537" t="s">
        <v>13</v>
      </c>
      <c r="F537" t="s">
        <v>1970</v>
      </c>
      <c r="G537" t="s">
        <v>12</v>
      </c>
      <c r="I537" t="s">
        <v>2994</v>
      </c>
      <c r="J537" t="s">
        <v>4726</v>
      </c>
      <c r="K537" s="10">
        <v>318.64412099496667</v>
      </c>
      <c r="L537" s="9">
        <v>0.21015663224341541</v>
      </c>
      <c r="M537" s="10">
        <v>317.63905984804865</v>
      </c>
      <c r="N537" s="10">
        <v>349.40296583285351</v>
      </c>
    </row>
    <row r="538" spans="1:14">
      <c r="A538" t="s">
        <v>1967</v>
      </c>
      <c r="B538" t="s">
        <v>2996</v>
      </c>
      <c r="C538" t="s">
        <v>2997</v>
      </c>
      <c r="D538" t="s">
        <v>11</v>
      </c>
      <c r="E538" t="s">
        <v>13</v>
      </c>
      <c r="F538" t="s">
        <v>1970</v>
      </c>
      <c r="G538" t="s">
        <v>12</v>
      </c>
      <c r="I538" t="s">
        <v>2996</v>
      </c>
      <c r="J538" t="s">
        <v>4727</v>
      </c>
      <c r="K538" s="10">
        <v>223.13309027138732</v>
      </c>
      <c r="L538" s="9">
        <v>0.2244247492686216</v>
      </c>
      <c r="M538" s="10">
        <v>240.79028135455152</v>
      </c>
      <c r="N538" s="10">
        <v>264.86930949000669</v>
      </c>
    </row>
    <row r="539" spans="1:14">
      <c r="A539" t="s">
        <v>1967</v>
      </c>
      <c r="B539" t="s">
        <v>2998</v>
      </c>
      <c r="C539" t="s">
        <v>2987</v>
      </c>
      <c r="D539" t="s">
        <v>11</v>
      </c>
      <c r="E539" t="s">
        <v>13</v>
      </c>
      <c r="F539" t="s">
        <v>1970</v>
      </c>
      <c r="G539" t="s">
        <v>12</v>
      </c>
      <c r="I539" t="s">
        <v>2998</v>
      </c>
      <c r="J539" t="s">
        <v>4728</v>
      </c>
      <c r="K539" s="11">
        <v>81.172063509782234</v>
      </c>
      <c r="L539" s="9">
        <v>0.17040819073403859</v>
      </c>
      <c r="M539" s="10">
        <v>256.52659036014961</v>
      </c>
      <c r="N539" s="10">
        <v>282.17924939616461</v>
      </c>
    </row>
    <row r="540" spans="1:14">
      <c r="A540" t="s">
        <v>1967</v>
      </c>
      <c r="B540" t="s">
        <v>2999</v>
      </c>
      <c r="C540" t="s">
        <v>3000</v>
      </c>
      <c r="D540" t="s">
        <v>11</v>
      </c>
      <c r="E540" t="s">
        <v>13</v>
      </c>
      <c r="F540" t="s">
        <v>1970</v>
      </c>
      <c r="G540" t="s">
        <v>12</v>
      </c>
      <c r="I540" t="s">
        <v>2999</v>
      </c>
      <c r="J540" t="s">
        <v>4729</v>
      </c>
      <c r="K540" s="10">
        <v>101.96920253622808</v>
      </c>
      <c r="L540" s="9">
        <v>0.16763919034267499</v>
      </c>
      <c r="M540" s="10">
        <v>279.94684370597247</v>
      </c>
      <c r="N540" s="10">
        <v>307.94152807656974</v>
      </c>
    </row>
    <row r="541" spans="1:14">
      <c r="A541" t="s">
        <v>1967</v>
      </c>
      <c r="B541" t="s">
        <v>3001</v>
      </c>
      <c r="C541" t="s">
        <v>3002</v>
      </c>
      <c r="D541" t="s">
        <v>11</v>
      </c>
      <c r="E541" t="s">
        <v>13</v>
      </c>
      <c r="F541" t="s">
        <v>1970</v>
      </c>
      <c r="G541" t="s">
        <v>12</v>
      </c>
      <c r="I541" t="s">
        <v>3001</v>
      </c>
      <c r="J541" t="s">
        <v>4730</v>
      </c>
      <c r="K541" s="10">
        <v>210.48005746970745</v>
      </c>
      <c r="L541" s="9">
        <v>0.2227492411451249</v>
      </c>
      <c r="M541" s="10">
        <v>178.86630312070056</v>
      </c>
      <c r="N541" s="10">
        <v>196.75293343277065</v>
      </c>
    </row>
    <row r="542" spans="1:14">
      <c r="A542" t="s">
        <v>1967</v>
      </c>
      <c r="B542" t="s">
        <v>3003</v>
      </c>
      <c r="C542" t="s">
        <v>3004</v>
      </c>
      <c r="D542" t="s">
        <v>11</v>
      </c>
      <c r="E542" t="s">
        <v>13</v>
      </c>
      <c r="F542" t="s">
        <v>1970</v>
      </c>
      <c r="G542" t="s">
        <v>12</v>
      </c>
      <c r="I542" t="s">
        <v>3003</v>
      </c>
      <c r="J542" t="s">
        <v>4731</v>
      </c>
      <c r="K542" s="10">
        <v>289.8396578050116</v>
      </c>
      <c r="L542" s="9">
        <v>0.1960334402439716</v>
      </c>
      <c r="M542" s="10">
        <v>363.80156328338632</v>
      </c>
      <c r="N542" s="10">
        <v>400.18171961172499</v>
      </c>
    </row>
    <row r="543" spans="1:14">
      <c r="A543" t="s">
        <v>1967</v>
      </c>
      <c r="B543" t="s">
        <v>3005</v>
      </c>
      <c r="C543" t="s">
        <v>3006</v>
      </c>
      <c r="D543" t="s">
        <v>11</v>
      </c>
      <c r="E543" t="s">
        <v>13</v>
      </c>
      <c r="F543" t="s">
        <v>1970</v>
      </c>
      <c r="G543" t="s">
        <v>12</v>
      </c>
      <c r="I543" t="s">
        <v>3005</v>
      </c>
      <c r="J543" t="s">
        <v>4732</v>
      </c>
      <c r="K543" s="10">
        <v>206.8590659568724</v>
      </c>
      <c r="L543" s="9">
        <v>0.1976723938219716</v>
      </c>
      <c r="M543" s="10">
        <v>248.98377487487281</v>
      </c>
      <c r="N543" s="10">
        <v>273.8821523623601</v>
      </c>
    </row>
    <row r="544" spans="1:14">
      <c r="A544" t="s">
        <v>1967</v>
      </c>
      <c r="B544" t="s">
        <v>3007</v>
      </c>
      <c r="C544" t="s">
        <v>3008</v>
      </c>
      <c r="D544" t="s">
        <v>11</v>
      </c>
      <c r="E544" t="s">
        <v>13</v>
      </c>
      <c r="F544" t="s">
        <v>1970</v>
      </c>
      <c r="G544" t="s">
        <v>12</v>
      </c>
      <c r="I544" t="s">
        <v>3007</v>
      </c>
      <c r="J544" t="s">
        <v>4733</v>
      </c>
      <c r="K544" s="10">
        <v>465.57684176222352</v>
      </c>
      <c r="L544" s="9">
        <v>0.20551540179765351</v>
      </c>
      <c r="M544" s="10">
        <v>339.80077254047819</v>
      </c>
      <c r="N544" s="10">
        <v>373.78084979452603</v>
      </c>
    </row>
    <row r="545" spans="1:14">
      <c r="A545" t="s">
        <v>1967</v>
      </c>
      <c r="B545" t="s">
        <v>3009</v>
      </c>
      <c r="C545" t="s">
        <v>3010</v>
      </c>
      <c r="D545" t="s">
        <v>11</v>
      </c>
      <c r="E545" t="s">
        <v>13</v>
      </c>
      <c r="F545" t="s">
        <v>1970</v>
      </c>
      <c r="G545" t="s">
        <v>12</v>
      </c>
      <c r="I545" t="s">
        <v>3009</v>
      </c>
      <c r="J545" t="s">
        <v>4734</v>
      </c>
      <c r="K545" s="9">
        <v>3.3002742904993783</v>
      </c>
      <c r="L545" s="9">
        <v>0.23564485290490619</v>
      </c>
      <c r="M545" s="10">
        <v>364.38131508515642</v>
      </c>
      <c r="N545" s="10">
        <v>400.81944659367207</v>
      </c>
    </row>
    <row r="546" spans="1:14">
      <c r="A546" t="s">
        <v>1967</v>
      </c>
      <c r="B546" t="s">
        <v>3011</v>
      </c>
      <c r="C546" t="s">
        <v>3012</v>
      </c>
      <c r="D546" t="s">
        <v>11</v>
      </c>
      <c r="E546" t="s">
        <v>13</v>
      </c>
      <c r="F546" t="s">
        <v>1970</v>
      </c>
      <c r="G546" t="s">
        <v>12</v>
      </c>
      <c r="I546" t="s">
        <v>3011</v>
      </c>
      <c r="J546" t="s">
        <v>4735</v>
      </c>
      <c r="K546" s="11">
        <v>47.857703752481079</v>
      </c>
      <c r="L546" s="9">
        <v>0.2509127305538339</v>
      </c>
      <c r="M546" s="10">
        <v>142.81205785314165</v>
      </c>
      <c r="N546" s="10">
        <v>157.09326363845582</v>
      </c>
    </row>
    <row r="547" spans="1:14">
      <c r="A547" t="s">
        <v>1967</v>
      </c>
      <c r="B547" t="s">
        <v>3013</v>
      </c>
      <c r="C547" t="s">
        <v>3014</v>
      </c>
      <c r="D547" t="s">
        <v>11</v>
      </c>
      <c r="E547" t="s">
        <v>13</v>
      </c>
      <c r="F547" t="s">
        <v>1970</v>
      </c>
      <c r="G547" t="s">
        <v>12</v>
      </c>
      <c r="I547" t="s">
        <v>3013</v>
      </c>
      <c r="J547" t="s">
        <v>4736</v>
      </c>
      <c r="K547" s="11">
        <v>23.36631149048532</v>
      </c>
      <c r="L547" s="9">
        <v>0.23219602805861869</v>
      </c>
      <c r="M547" s="11">
        <v>79.192416419135427</v>
      </c>
      <c r="N547" s="11">
        <v>87.111658061048971</v>
      </c>
    </row>
    <row r="548" spans="1:14">
      <c r="A548" t="s">
        <v>1967</v>
      </c>
      <c r="B548" t="s">
        <v>3015</v>
      </c>
      <c r="C548" t="s">
        <v>3016</v>
      </c>
      <c r="D548" t="s">
        <v>11</v>
      </c>
      <c r="E548" t="s">
        <v>13</v>
      </c>
      <c r="F548" t="s">
        <v>1970</v>
      </c>
      <c r="G548" t="s">
        <v>12</v>
      </c>
      <c r="I548" t="s">
        <v>3015</v>
      </c>
      <c r="J548" t="s">
        <v>4737</v>
      </c>
      <c r="K548" s="11">
        <v>62.152053179205403</v>
      </c>
      <c r="L548" s="9">
        <v>0.24286293041783399</v>
      </c>
      <c r="M548" s="10">
        <v>112.51991606437394</v>
      </c>
      <c r="N548" s="10">
        <v>123.77190767081134</v>
      </c>
    </row>
    <row r="549" spans="1:14">
      <c r="A549" t="s">
        <v>1967</v>
      </c>
      <c r="B549" t="s">
        <v>3017</v>
      </c>
      <c r="C549" t="s">
        <v>3018</v>
      </c>
      <c r="D549" t="s">
        <v>11</v>
      </c>
      <c r="E549" t="s">
        <v>13</v>
      </c>
      <c r="F549" t="s">
        <v>1970</v>
      </c>
      <c r="G549" t="s">
        <v>12</v>
      </c>
      <c r="I549" t="s">
        <v>3017</v>
      </c>
      <c r="J549" t="s">
        <v>4738</v>
      </c>
      <c r="K549" s="11">
        <v>76.505092605157159</v>
      </c>
      <c r="L549" s="9">
        <v>0.22327130460763919</v>
      </c>
      <c r="M549" s="10">
        <v>253.00689642846507</v>
      </c>
      <c r="N549" s="10">
        <v>278.30758607131162</v>
      </c>
    </row>
    <row r="550" spans="1:14">
      <c r="A550" t="s">
        <v>1967</v>
      </c>
      <c r="B550" t="s">
        <v>3019</v>
      </c>
      <c r="C550" t="s">
        <v>3020</v>
      </c>
      <c r="D550" t="s">
        <v>11</v>
      </c>
      <c r="E550" t="s">
        <v>13</v>
      </c>
      <c r="F550" t="s">
        <v>1970</v>
      </c>
      <c r="G550" t="s">
        <v>12</v>
      </c>
      <c r="I550" t="s">
        <v>3019</v>
      </c>
      <c r="J550" t="s">
        <v>4739</v>
      </c>
      <c r="K550" s="11">
        <v>26.034858838461929</v>
      </c>
      <c r="L550" s="9">
        <v>0.2252996742645641</v>
      </c>
      <c r="M550" s="10">
        <v>116.210200893954</v>
      </c>
      <c r="N550" s="10">
        <v>127.83122098334941</v>
      </c>
    </row>
    <row r="551" spans="1:14">
      <c r="A551" t="s">
        <v>1967</v>
      </c>
      <c r="B551" t="s">
        <v>3021</v>
      </c>
      <c r="C551" t="s">
        <v>3022</v>
      </c>
      <c r="D551" t="s">
        <v>11</v>
      </c>
      <c r="E551" t="s">
        <v>13</v>
      </c>
      <c r="F551" t="s">
        <v>1970</v>
      </c>
      <c r="G551" t="s">
        <v>12</v>
      </c>
      <c r="I551" t="s">
        <v>3021</v>
      </c>
      <c r="J551" t="s">
        <v>4740</v>
      </c>
      <c r="K551" s="11">
        <v>41.327086897542721</v>
      </c>
      <c r="L551" s="9">
        <v>0.22521118025117401</v>
      </c>
      <c r="M551" s="10">
        <v>175.92519715228565</v>
      </c>
      <c r="N551" s="10">
        <v>193.51771686751422</v>
      </c>
    </row>
    <row r="552" spans="1:14">
      <c r="A552" t="s">
        <v>1967</v>
      </c>
      <c r="B552" t="s">
        <v>3023</v>
      </c>
      <c r="C552" t="s">
        <v>3024</v>
      </c>
      <c r="D552" t="s">
        <v>11</v>
      </c>
      <c r="E552" t="s">
        <v>13</v>
      </c>
      <c r="F552" t="s">
        <v>1970</v>
      </c>
      <c r="G552" t="s">
        <v>12</v>
      </c>
      <c r="I552" t="s">
        <v>3023</v>
      </c>
      <c r="J552" t="s">
        <v>4741</v>
      </c>
      <c r="K552" s="11">
        <v>54.995163286998142</v>
      </c>
      <c r="L552" s="9">
        <v>0.24358944393833909</v>
      </c>
      <c r="M552" s="10">
        <v>168.43259301204228</v>
      </c>
      <c r="N552" s="10">
        <v>185.27585231324653</v>
      </c>
    </row>
    <row r="553" spans="1:14">
      <c r="A553" t="s">
        <v>1967</v>
      </c>
      <c r="B553" t="s">
        <v>3025</v>
      </c>
      <c r="C553" t="s">
        <v>3018</v>
      </c>
      <c r="D553" t="s">
        <v>11</v>
      </c>
      <c r="E553" t="s">
        <v>13</v>
      </c>
      <c r="F553" t="s">
        <v>1970</v>
      </c>
      <c r="G553" t="s">
        <v>12</v>
      </c>
      <c r="I553" t="s">
        <v>3025</v>
      </c>
      <c r="J553" t="s">
        <v>4742</v>
      </c>
      <c r="K553" s="11">
        <v>44.935940745510948</v>
      </c>
      <c r="L553" s="9">
        <v>0.22636458450104921</v>
      </c>
      <c r="M553" s="10">
        <v>199.2764681287245</v>
      </c>
      <c r="N553" s="10">
        <v>219.20411494159697</v>
      </c>
    </row>
    <row r="554" spans="1:14">
      <c r="A554" t="s">
        <v>1967</v>
      </c>
      <c r="B554" t="s">
        <v>3026</v>
      </c>
      <c r="C554" t="s">
        <v>3027</v>
      </c>
      <c r="D554" t="s">
        <v>11</v>
      </c>
      <c r="E554" t="s">
        <v>13</v>
      </c>
      <c r="F554" t="s">
        <v>1970</v>
      </c>
      <c r="G554" t="s">
        <v>12</v>
      </c>
      <c r="I554" t="s">
        <v>3026</v>
      </c>
      <c r="J554" t="s">
        <v>4743</v>
      </c>
      <c r="K554" s="9">
        <v>7.8907449922075754</v>
      </c>
      <c r="L554" s="9">
        <v>0.2335806422535161</v>
      </c>
      <c r="M554" s="11">
        <v>72.328336627825124</v>
      </c>
      <c r="N554" s="11">
        <v>79.561170290607649</v>
      </c>
    </row>
    <row r="555" spans="1:14">
      <c r="A555" t="s">
        <v>1967</v>
      </c>
      <c r="B555" t="s">
        <v>3028</v>
      </c>
      <c r="C555" t="s">
        <v>3029</v>
      </c>
      <c r="D555" t="s">
        <v>11</v>
      </c>
      <c r="E555" t="s">
        <v>13</v>
      </c>
      <c r="F555" t="s">
        <v>1970</v>
      </c>
      <c r="G555" t="s">
        <v>12</v>
      </c>
      <c r="I555" t="s">
        <v>3028</v>
      </c>
      <c r="J555" t="s">
        <v>4744</v>
      </c>
      <c r="K555" s="11">
        <v>16.486274217559274</v>
      </c>
      <c r="L555" s="9">
        <v>0.22712445659502151</v>
      </c>
      <c r="M555" s="11">
        <v>30.873696293590957</v>
      </c>
      <c r="N555" s="11">
        <v>33.961065922950056</v>
      </c>
    </row>
    <row r="556" spans="1:14">
      <c r="A556" t="s">
        <v>1967</v>
      </c>
      <c r="B556" t="s">
        <v>3030</v>
      </c>
      <c r="C556" t="s">
        <v>3031</v>
      </c>
      <c r="D556" t="s">
        <v>11</v>
      </c>
      <c r="E556" t="s">
        <v>13</v>
      </c>
      <c r="F556" t="s">
        <v>1970</v>
      </c>
      <c r="G556" t="s">
        <v>12</v>
      </c>
      <c r="I556" t="s">
        <v>3030</v>
      </c>
      <c r="J556" t="s">
        <v>4745</v>
      </c>
      <c r="K556" s="11">
        <v>33.786538115871572</v>
      </c>
      <c r="L556" s="9">
        <v>0.22631930152097299</v>
      </c>
      <c r="M556" s="11">
        <v>56.020390658609799</v>
      </c>
      <c r="N556" s="11">
        <v>61.622429724470784</v>
      </c>
    </row>
    <row r="557" spans="1:14">
      <c r="A557" t="s">
        <v>1967</v>
      </c>
      <c r="B557" t="s">
        <v>3032</v>
      </c>
      <c r="C557" t="s">
        <v>3033</v>
      </c>
      <c r="D557" t="s">
        <v>11</v>
      </c>
      <c r="E557" t="s">
        <v>13</v>
      </c>
      <c r="F557" t="s">
        <v>1970</v>
      </c>
      <c r="G557" t="s">
        <v>12</v>
      </c>
      <c r="I557" t="s">
        <v>3032</v>
      </c>
      <c r="J557" t="s">
        <v>4746</v>
      </c>
      <c r="K557" s="9">
        <v>8.5450359739726345</v>
      </c>
      <c r="L557" s="9">
        <v>0.25067495572736009</v>
      </c>
      <c r="M557" s="11">
        <v>87.692101186961253</v>
      </c>
      <c r="N557" s="11">
        <v>96.461311305657389</v>
      </c>
    </row>
    <row r="558" spans="1:14">
      <c r="A558" t="s">
        <v>1967</v>
      </c>
      <c r="B558" t="s">
        <v>3034</v>
      </c>
      <c r="C558" t="s">
        <v>3035</v>
      </c>
      <c r="D558" t="s">
        <v>11</v>
      </c>
      <c r="E558" t="s">
        <v>13</v>
      </c>
      <c r="F558" t="s">
        <v>1970</v>
      </c>
      <c r="G558" t="s">
        <v>12</v>
      </c>
      <c r="I558" t="s">
        <v>3034</v>
      </c>
      <c r="J558" t="s">
        <v>4747</v>
      </c>
      <c r="K558" s="11">
        <v>12.536417857567709</v>
      </c>
      <c r="L558" s="9">
        <v>0.24772656026229009</v>
      </c>
      <c r="M558" s="11">
        <v>58.688732271528913</v>
      </c>
      <c r="N558" s="11">
        <v>64.557605498681809</v>
      </c>
    </row>
    <row r="559" spans="1:14">
      <c r="A559" t="s">
        <v>1967</v>
      </c>
      <c r="B559" t="s">
        <v>3036</v>
      </c>
      <c r="C559" t="s">
        <v>3037</v>
      </c>
      <c r="D559" t="s">
        <v>11</v>
      </c>
      <c r="E559" t="s">
        <v>13</v>
      </c>
      <c r="F559" t="s">
        <v>1970</v>
      </c>
      <c r="G559" t="s">
        <v>12</v>
      </c>
      <c r="I559" t="s">
        <v>3036</v>
      </c>
      <c r="J559" t="s">
        <v>4748</v>
      </c>
      <c r="K559" s="11">
        <v>15.687577998699497</v>
      </c>
      <c r="L559" s="9">
        <v>0.2022562383934893</v>
      </c>
      <c r="M559" s="10">
        <v>106.4459180607266</v>
      </c>
      <c r="N559" s="10">
        <v>117.09050986679927</v>
      </c>
    </row>
    <row r="560" spans="1:14">
      <c r="A560" t="s">
        <v>1967</v>
      </c>
      <c r="B560" t="s">
        <v>3038</v>
      </c>
      <c r="C560" t="s">
        <v>3039</v>
      </c>
      <c r="D560" t="s">
        <v>11</v>
      </c>
      <c r="E560" t="s">
        <v>13</v>
      </c>
      <c r="F560" t="s">
        <v>1970</v>
      </c>
      <c r="G560" t="s">
        <v>12</v>
      </c>
      <c r="I560" t="s">
        <v>3038</v>
      </c>
      <c r="J560" t="s">
        <v>4749</v>
      </c>
      <c r="K560" s="11">
        <v>43.465217999715726</v>
      </c>
      <c r="L560" s="9">
        <v>0.20032027588825821</v>
      </c>
      <c r="M560" s="11">
        <v>52.249560061341271</v>
      </c>
      <c r="N560" s="11">
        <v>57.474516067475399</v>
      </c>
    </row>
    <row r="561" spans="1:14">
      <c r="A561" t="s">
        <v>1967</v>
      </c>
      <c r="B561" t="s">
        <v>3040</v>
      </c>
      <c r="C561" t="s">
        <v>3041</v>
      </c>
      <c r="D561" t="s">
        <v>11</v>
      </c>
      <c r="E561" t="s">
        <v>13</v>
      </c>
      <c r="F561" t="s">
        <v>1970</v>
      </c>
      <c r="G561" t="s">
        <v>12</v>
      </c>
      <c r="I561" t="s">
        <v>3040</v>
      </c>
      <c r="J561" t="s">
        <v>4750</v>
      </c>
      <c r="K561" s="9">
        <v>8.7973158315636724</v>
      </c>
      <c r="L561" s="9">
        <v>0.19427612765655081</v>
      </c>
      <c r="M561" s="10">
        <v>236.56118562745499</v>
      </c>
      <c r="N561" s="10">
        <v>260.21730419020054</v>
      </c>
    </row>
    <row r="562" spans="1:14">
      <c r="A562" t="s">
        <v>1967</v>
      </c>
      <c r="B562" t="s">
        <v>3042</v>
      </c>
      <c r="C562" t="s">
        <v>3043</v>
      </c>
      <c r="D562" t="s">
        <v>11</v>
      </c>
      <c r="E562" t="s">
        <v>13</v>
      </c>
      <c r="F562" t="s">
        <v>1970</v>
      </c>
      <c r="G562" t="s">
        <v>12</v>
      </c>
      <c r="I562" t="s">
        <v>3042</v>
      </c>
      <c r="J562" t="s">
        <v>4751</v>
      </c>
      <c r="K562" s="9">
        <v>2.3441042721550769</v>
      </c>
      <c r="L562" s="9">
        <v>0.187889836407511</v>
      </c>
      <c r="M562" s="10">
        <v>133.42173518937852</v>
      </c>
      <c r="N562" s="10">
        <v>146.76390870831639</v>
      </c>
    </row>
    <row r="563" spans="1:14">
      <c r="A563" t="s">
        <v>1967</v>
      </c>
      <c r="B563" t="s">
        <v>3044</v>
      </c>
      <c r="C563" t="s">
        <v>3045</v>
      </c>
      <c r="D563" t="s">
        <v>11</v>
      </c>
      <c r="E563" t="s">
        <v>13</v>
      </c>
      <c r="F563" t="s">
        <v>1970</v>
      </c>
      <c r="G563" t="s">
        <v>12</v>
      </c>
      <c r="I563" t="s">
        <v>3044</v>
      </c>
      <c r="J563" t="s">
        <v>4752</v>
      </c>
      <c r="K563" s="11">
        <v>20.137095854497701</v>
      </c>
      <c r="L563" s="9">
        <v>0.20441528520689869</v>
      </c>
      <c r="M563" s="11">
        <v>97.875516781866565</v>
      </c>
      <c r="N563" s="10">
        <v>107.66306846005322</v>
      </c>
    </row>
    <row r="564" spans="1:14">
      <c r="A564" t="s">
        <v>1967</v>
      </c>
      <c r="B564" t="s">
        <v>3046</v>
      </c>
      <c r="C564" t="s">
        <v>3047</v>
      </c>
      <c r="D564" t="s">
        <v>11</v>
      </c>
      <c r="E564" t="s">
        <v>13</v>
      </c>
      <c r="F564" t="s">
        <v>1970</v>
      </c>
      <c r="G564" t="s">
        <v>12</v>
      </c>
      <c r="I564" t="s">
        <v>3046</v>
      </c>
      <c r="J564" t="s">
        <v>4753</v>
      </c>
      <c r="K564" s="11">
        <v>42.849994774542978</v>
      </c>
      <c r="L564" s="9">
        <v>0.20131162329955499</v>
      </c>
      <c r="M564" s="11">
        <v>87.018609161656627</v>
      </c>
      <c r="N564" s="11">
        <v>95.720470077822299</v>
      </c>
    </row>
    <row r="565" spans="1:14">
      <c r="A565" t="s">
        <v>1967</v>
      </c>
      <c r="B565" t="s">
        <v>3048</v>
      </c>
      <c r="C565" t="s">
        <v>3049</v>
      </c>
      <c r="D565" t="s">
        <v>11</v>
      </c>
      <c r="E565" t="s">
        <v>13</v>
      </c>
      <c r="F565" t="s">
        <v>1970</v>
      </c>
      <c r="G565" t="s">
        <v>12</v>
      </c>
      <c r="I565" t="s">
        <v>3048</v>
      </c>
      <c r="J565" t="s">
        <v>4754</v>
      </c>
      <c r="K565" s="11">
        <v>12.453900965010117</v>
      </c>
      <c r="L565" s="9">
        <v>0.1939972532903097</v>
      </c>
      <c r="M565" s="11">
        <v>44.31888521629282</v>
      </c>
      <c r="N565" s="11">
        <v>48.750773737922103</v>
      </c>
    </row>
    <row r="566" spans="1:14">
      <c r="A566" t="s">
        <v>1967</v>
      </c>
      <c r="B566" t="s">
        <v>3050</v>
      </c>
      <c r="C566" t="s">
        <v>3051</v>
      </c>
      <c r="D566" t="s">
        <v>11</v>
      </c>
      <c r="E566" t="s">
        <v>13</v>
      </c>
      <c r="F566" t="s">
        <v>1970</v>
      </c>
      <c r="G566" t="s">
        <v>12</v>
      </c>
      <c r="I566" t="s">
        <v>3050</v>
      </c>
      <c r="J566" t="s">
        <v>4755</v>
      </c>
      <c r="K566" s="11">
        <v>19.20779067965832</v>
      </c>
      <c r="L566" s="9">
        <v>0.19278783243055209</v>
      </c>
      <c r="M566" s="11">
        <v>48.298830849915696</v>
      </c>
      <c r="N566" s="11">
        <v>53.128713934907267</v>
      </c>
    </row>
    <row r="567" spans="1:14">
      <c r="A567" t="s">
        <v>1967</v>
      </c>
      <c r="B567" t="s">
        <v>3052</v>
      </c>
      <c r="C567" t="s">
        <v>3053</v>
      </c>
      <c r="D567" t="s">
        <v>11</v>
      </c>
      <c r="E567" t="s">
        <v>13</v>
      </c>
      <c r="F567" t="s">
        <v>1970</v>
      </c>
      <c r="G567" t="s">
        <v>12</v>
      </c>
      <c r="I567" t="s">
        <v>3052</v>
      </c>
      <c r="J567" t="s">
        <v>4756</v>
      </c>
      <c r="K567" s="9">
        <v>5.6792658745987561</v>
      </c>
      <c r="L567" s="9">
        <v>0.1952012121949572</v>
      </c>
      <c r="M567" s="11">
        <v>83.599963975188857</v>
      </c>
      <c r="N567" s="11">
        <v>91.959960372707755</v>
      </c>
    </row>
    <row r="568" spans="1:14">
      <c r="A568" t="s">
        <v>1967</v>
      </c>
      <c r="B568" t="s">
        <v>3054</v>
      </c>
      <c r="C568" t="s">
        <v>3055</v>
      </c>
      <c r="D568" t="s">
        <v>11</v>
      </c>
      <c r="E568" t="s">
        <v>13</v>
      </c>
      <c r="F568" t="s">
        <v>1970</v>
      </c>
      <c r="G568" t="s">
        <v>12</v>
      </c>
      <c r="I568" t="s">
        <v>3054</v>
      </c>
      <c r="J568" t="s">
        <v>4757</v>
      </c>
      <c r="K568" s="9">
        <v>8.0338676160406663</v>
      </c>
      <c r="L568" s="9">
        <v>0.20471588511243011</v>
      </c>
      <c r="M568" s="11">
        <v>42.692617400860279</v>
      </c>
      <c r="N568" s="11">
        <v>46.961879140946309</v>
      </c>
    </row>
    <row r="569" spans="1:14">
      <c r="A569" t="s">
        <v>1967</v>
      </c>
      <c r="B569" t="s">
        <v>3056</v>
      </c>
      <c r="C569" t="s">
        <v>3057</v>
      </c>
      <c r="D569" t="s">
        <v>11</v>
      </c>
      <c r="E569" t="s">
        <v>13</v>
      </c>
      <c r="F569" t="s">
        <v>1970</v>
      </c>
      <c r="G569" t="s">
        <v>12</v>
      </c>
      <c r="I569" t="s">
        <v>3056</v>
      </c>
      <c r="J569" t="s">
        <v>4758</v>
      </c>
      <c r="K569" s="11">
        <v>12.141382641406715</v>
      </c>
      <c r="L569" s="9">
        <v>0.1972192588061589</v>
      </c>
      <c r="M569" s="11">
        <v>67.602740081223004</v>
      </c>
      <c r="N569" s="11">
        <v>74.363014089345313</v>
      </c>
    </row>
    <row r="570" spans="1:14">
      <c r="A570" t="s">
        <v>1967</v>
      </c>
      <c r="B570" t="s">
        <v>3058</v>
      </c>
      <c r="C570" t="s">
        <v>3059</v>
      </c>
      <c r="D570" t="s">
        <v>11</v>
      </c>
      <c r="E570" t="s">
        <v>13</v>
      </c>
      <c r="F570" t="s">
        <v>1970</v>
      </c>
      <c r="G570" t="s">
        <v>12</v>
      </c>
      <c r="I570" t="s">
        <v>3058</v>
      </c>
      <c r="J570" t="s">
        <v>4759</v>
      </c>
      <c r="K570" s="9">
        <v>9.5352182945746016</v>
      </c>
      <c r="L570" s="9">
        <v>0.25660870001321018</v>
      </c>
      <c r="M570" s="11">
        <v>40.91504894487219</v>
      </c>
      <c r="N570" s="11">
        <v>45.006553839359412</v>
      </c>
    </row>
    <row r="571" spans="1:14">
      <c r="A571" t="s">
        <v>1967</v>
      </c>
      <c r="B571" t="s">
        <v>3060</v>
      </c>
      <c r="C571" t="s">
        <v>3061</v>
      </c>
      <c r="D571" t="s">
        <v>11</v>
      </c>
      <c r="E571" t="s">
        <v>13</v>
      </c>
      <c r="F571" t="s">
        <v>1970</v>
      </c>
      <c r="G571" t="s">
        <v>12</v>
      </c>
      <c r="I571" t="s">
        <v>3060</v>
      </c>
      <c r="J571" t="s">
        <v>4760</v>
      </c>
      <c r="K571" s="11">
        <v>17.953981190994231</v>
      </c>
      <c r="L571" s="9">
        <v>0.2610364394476552</v>
      </c>
      <c r="M571" s="11">
        <v>76.170523832654368</v>
      </c>
      <c r="N571" s="11">
        <v>83.787576215919813</v>
      </c>
    </row>
    <row r="572" spans="1:14">
      <c r="A572" t="s">
        <v>1967</v>
      </c>
      <c r="B572" t="s">
        <v>3062</v>
      </c>
      <c r="C572" t="s">
        <v>3063</v>
      </c>
      <c r="D572" t="s">
        <v>11</v>
      </c>
      <c r="E572" t="s">
        <v>13</v>
      </c>
      <c r="F572" t="s">
        <v>1970</v>
      </c>
      <c r="G572" t="s">
        <v>12</v>
      </c>
      <c r="I572" t="s">
        <v>3062</v>
      </c>
      <c r="J572" t="s">
        <v>4761</v>
      </c>
      <c r="K572" s="9">
        <v>0.2674697098404466</v>
      </c>
      <c r="L572" s="9">
        <v>0.16782130527034139</v>
      </c>
      <c r="M572" s="10">
        <v>129.10711394094133</v>
      </c>
      <c r="N572" s="10">
        <v>142.01782533503547</v>
      </c>
    </row>
    <row r="573" spans="1:14">
      <c r="A573" t="s">
        <v>1967</v>
      </c>
      <c r="B573" t="s">
        <v>3064</v>
      </c>
      <c r="C573" t="s">
        <v>3065</v>
      </c>
      <c r="D573" t="s">
        <v>11</v>
      </c>
      <c r="E573" t="s">
        <v>13</v>
      </c>
      <c r="F573" t="s">
        <v>1970</v>
      </c>
      <c r="G573" t="s">
        <v>12</v>
      </c>
      <c r="I573" t="s">
        <v>3064</v>
      </c>
      <c r="J573" t="s">
        <v>4762</v>
      </c>
      <c r="K573" s="11">
        <v>17.245166958628385</v>
      </c>
      <c r="L573" s="9">
        <v>0.1994790355380946</v>
      </c>
      <c r="M573" s="11">
        <v>66.996844790156899</v>
      </c>
      <c r="N573" s="11">
        <v>73.696529269172601</v>
      </c>
    </row>
    <row r="574" spans="1:14">
      <c r="A574" t="s">
        <v>1967</v>
      </c>
      <c r="B574" t="s">
        <v>3066</v>
      </c>
      <c r="C574" t="s">
        <v>3067</v>
      </c>
      <c r="D574" t="s">
        <v>11</v>
      </c>
      <c r="E574" t="s">
        <v>13</v>
      </c>
      <c r="F574" t="s">
        <v>1970</v>
      </c>
      <c r="G574" t="s">
        <v>12</v>
      </c>
      <c r="I574" t="s">
        <v>3066</v>
      </c>
      <c r="J574" t="s">
        <v>4763</v>
      </c>
      <c r="K574" s="11">
        <v>18.368053566443209</v>
      </c>
      <c r="L574" s="9">
        <v>0.1948228759407267</v>
      </c>
      <c r="M574" s="11">
        <v>72.349979565918801</v>
      </c>
      <c r="N574" s="11">
        <v>79.584977522510684</v>
      </c>
    </row>
    <row r="575" spans="1:14">
      <c r="A575" t="s">
        <v>1967</v>
      </c>
      <c r="B575" t="s">
        <v>3068</v>
      </c>
      <c r="C575" t="s">
        <v>3069</v>
      </c>
      <c r="D575" t="s">
        <v>11</v>
      </c>
      <c r="E575" t="s">
        <v>13</v>
      </c>
      <c r="F575" t="s">
        <v>1970</v>
      </c>
      <c r="G575" t="s">
        <v>12</v>
      </c>
      <c r="I575" t="s">
        <v>3068</v>
      </c>
      <c r="J575" t="s">
        <v>4764</v>
      </c>
      <c r="K575" s="9">
        <v>0.34265698920544302</v>
      </c>
      <c r="L575" s="9">
        <v>0.1678582995992271</v>
      </c>
      <c r="M575" s="10">
        <v>149.93677842345261</v>
      </c>
      <c r="N575" s="10">
        <v>164.93045626579789</v>
      </c>
    </row>
    <row r="576" spans="1:14">
      <c r="A576" t="s">
        <v>1967</v>
      </c>
      <c r="B576" t="s">
        <v>3070</v>
      </c>
      <c r="C576" t="s">
        <v>3071</v>
      </c>
      <c r="D576" t="s">
        <v>11</v>
      </c>
      <c r="E576" t="s">
        <v>13</v>
      </c>
      <c r="F576" t="s">
        <v>1970</v>
      </c>
      <c r="G576" t="s">
        <v>12</v>
      </c>
      <c r="I576" t="s">
        <v>3070</v>
      </c>
      <c r="J576" t="s">
        <v>4765</v>
      </c>
      <c r="K576" s="11">
        <v>31.469515972791342</v>
      </c>
      <c r="L576" s="9">
        <v>0.1975808576587495</v>
      </c>
      <c r="M576" s="11">
        <v>86.284026731871734</v>
      </c>
      <c r="N576" s="11">
        <v>94.912429405058916</v>
      </c>
    </row>
    <row r="577" spans="1:14">
      <c r="A577" t="s">
        <v>1967</v>
      </c>
      <c r="B577" t="s">
        <v>3072</v>
      </c>
      <c r="C577" t="s">
        <v>3073</v>
      </c>
      <c r="D577" t="s">
        <v>11</v>
      </c>
      <c r="E577" t="s">
        <v>13</v>
      </c>
      <c r="F577" t="s">
        <v>1970</v>
      </c>
      <c r="G577" t="s">
        <v>12</v>
      </c>
      <c r="I577" t="s">
        <v>3072</v>
      </c>
      <c r="J577" t="s">
        <v>4766</v>
      </c>
      <c r="K577" s="9">
        <v>5.7112993131198158</v>
      </c>
      <c r="L577" s="9">
        <v>0.19960561322070061</v>
      </c>
      <c r="M577" s="10">
        <v>205.04707763043419</v>
      </c>
      <c r="N577" s="10">
        <v>225.55178539347762</v>
      </c>
    </row>
    <row r="578" spans="1:14">
      <c r="A578" t="s">
        <v>1967</v>
      </c>
      <c r="B578" t="s">
        <v>3074</v>
      </c>
      <c r="C578" t="s">
        <v>3075</v>
      </c>
      <c r="D578" t="s">
        <v>11</v>
      </c>
      <c r="E578" t="s">
        <v>13</v>
      </c>
      <c r="F578" t="s">
        <v>1970</v>
      </c>
      <c r="G578" t="s">
        <v>12</v>
      </c>
      <c r="I578" t="s">
        <v>3074</v>
      </c>
      <c r="J578" t="s">
        <v>4767</v>
      </c>
      <c r="K578" s="9">
        <v>1.5217977101713001</v>
      </c>
      <c r="L578" s="9">
        <v>0.19174392203620569</v>
      </c>
      <c r="M578" s="11">
        <v>90.473128466045097</v>
      </c>
      <c r="N578" s="11">
        <v>99.520441312649609</v>
      </c>
    </row>
    <row r="579" spans="1:14">
      <c r="A579" t="s">
        <v>1967</v>
      </c>
      <c r="B579" t="s">
        <v>3076</v>
      </c>
      <c r="C579" t="s">
        <v>3077</v>
      </c>
      <c r="D579" t="s">
        <v>11</v>
      </c>
      <c r="E579" t="s">
        <v>13</v>
      </c>
      <c r="F579" t="s">
        <v>1970</v>
      </c>
      <c r="G579" t="s">
        <v>12</v>
      </c>
      <c r="I579" t="s">
        <v>3076</v>
      </c>
      <c r="J579" t="s">
        <v>4768</v>
      </c>
      <c r="K579" s="9">
        <v>1.4952017520937835</v>
      </c>
      <c r="L579" s="9">
        <v>0.25035699928623739</v>
      </c>
      <c r="M579" s="11">
        <v>22.774749999109844</v>
      </c>
      <c r="N579" s="11">
        <v>25.052224999020829</v>
      </c>
    </row>
    <row r="580" spans="1:14">
      <c r="A580" t="s">
        <v>1967</v>
      </c>
      <c r="B580" t="s">
        <v>3078</v>
      </c>
      <c r="C580" t="s">
        <v>3079</v>
      </c>
      <c r="D580" t="s">
        <v>11</v>
      </c>
      <c r="E580" t="s">
        <v>13</v>
      </c>
      <c r="F580" t="s">
        <v>1970</v>
      </c>
      <c r="G580" t="s">
        <v>12</v>
      </c>
      <c r="I580" t="s">
        <v>3078</v>
      </c>
      <c r="J580" t="s">
        <v>4769</v>
      </c>
      <c r="K580" s="9">
        <v>5.0572198589415303</v>
      </c>
      <c r="L580" s="9">
        <v>0.26224152102355991</v>
      </c>
      <c r="M580" s="11">
        <v>40.639865165106031</v>
      </c>
      <c r="N580" s="11">
        <v>44.703851681616641</v>
      </c>
    </row>
    <row r="581" spans="1:14">
      <c r="A581" t="s">
        <v>1967</v>
      </c>
      <c r="B581" t="s">
        <v>3080</v>
      </c>
      <c r="C581" t="s">
        <v>3081</v>
      </c>
      <c r="D581" t="s">
        <v>11</v>
      </c>
      <c r="E581" t="s">
        <v>13</v>
      </c>
      <c r="F581" t="s">
        <v>1970</v>
      </c>
      <c r="G581" t="s">
        <v>12</v>
      </c>
      <c r="I581" t="s">
        <v>3080</v>
      </c>
      <c r="J581" t="s">
        <v>4770</v>
      </c>
      <c r="K581" s="9">
        <v>6.1714442035957173</v>
      </c>
      <c r="L581" s="9">
        <v>0.17106447984221279</v>
      </c>
      <c r="M581" s="10">
        <v>147.53489522439733</v>
      </c>
      <c r="N581" s="10">
        <v>162.28838474683707</v>
      </c>
    </row>
    <row r="582" spans="1:14">
      <c r="A582" t="s">
        <v>1967</v>
      </c>
      <c r="B582" t="s">
        <v>3082</v>
      </c>
      <c r="C582" t="s">
        <v>3083</v>
      </c>
      <c r="D582" t="s">
        <v>11</v>
      </c>
      <c r="E582" t="s">
        <v>13</v>
      </c>
      <c r="F582" t="s">
        <v>1970</v>
      </c>
      <c r="G582" t="s">
        <v>12</v>
      </c>
      <c r="I582" t="s">
        <v>3082</v>
      </c>
      <c r="J582" t="s">
        <v>4771</v>
      </c>
      <c r="K582" s="9">
        <v>8.090169741226882</v>
      </c>
      <c r="L582" s="9">
        <v>0.1747242295351886</v>
      </c>
      <c r="M582" s="10">
        <v>216.72043597157665</v>
      </c>
      <c r="N582" s="10">
        <v>238.39247956873433</v>
      </c>
    </row>
    <row r="583" spans="1:14">
      <c r="A583" t="s">
        <v>1967</v>
      </c>
      <c r="B583" t="s">
        <v>3084</v>
      </c>
      <c r="C583" t="s">
        <v>3085</v>
      </c>
      <c r="D583" t="s">
        <v>11</v>
      </c>
      <c r="E583" t="s">
        <v>13</v>
      </c>
      <c r="F583" t="s">
        <v>1970</v>
      </c>
      <c r="G583" t="s">
        <v>12</v>
      </c>
      <c r="I583" t="s">
        <v>3084</v>
      </c>
      <c r="J583" t="s">
        <v>4772</v>
      </c>
      <c r="K583" s="9">
        <v>2.2812943951463067</v>
      </c>
      <c r="L583" s="9">
        <v>0.16919386665102271</v>
      </c>
      <c r="M583" s="11">
        <v>60.615663068500538</v>
      </c>
      <c r="N583" s="11">
        <v>66.677229375350592</v>
      </c>
    </row>
    <row r="584" spans="1:14">
      <c r="A584" t="s">
        <v>1967</v>
      </c>
      <c r="B584" t="s">
        <v>3086</v>
      </c>
      <c r="C584" t="s">
        <v>3087</v>
      </c>
      <c r="D584" t="s">
        <v>11</v>
      </c>
      <c r="E584" t="s">
        <v>13</v>
      </c>
      <c r="F584" t="s">
        <v>1970</v>
      </c>
      <c r="G584" t="s">
        <v>12</v>
      </c>
      <c r="I584" t="s">
        <v>3086</v>
      </c>
      <c r="J584" t="s">
        <v>4773</v>
      </c>
      <c r="K584" s="9">
        <v>8.7173698798474764</v>
      </c>
      <c r="L584" s="9">
        <v>0.16551991691535831</v>
      </c>
      <c r="M584" s="11">
        <v>93.113751053367963</v>
      </c>
      <c r="N584" s="10">
        <v>102.42512615870477</v>
      </c>
    </row>
    <row r="585" spans="1:14">
      <c r="A585" t="s">
        <v>1967</v>
      </c>
      <c r="B585" t="s">
        <v>3088</v>
      </c>
      <c r="C585" t="s">
        <v>3089</v>
      </c>
      <c r="D585" t="s">
        <v>11</v>
      </c>
      <c r="E585" t="s">
        <v>13</v>
      </c>
      <c r="F585" t="s">
        <v>1970</v>
      </c>
      <c r="G585" t="s">
        <v>12</v>
      </c>
      <c r="I585" t="s">
        <v>3088</v>
      </c>
      <c r="J585" t="s">
        <v>4774</v>
      </c>
      <c r="K585" s="10">
        <v>325.65203411683711</v>
      </c>
      <c r="L585" s="9">
        <v>0.28425324351042441</v>
      </c>
      <c r="M585" s="10">
        <v>277.20146923883613</v>
      </c>
      <c r="N585" s="10">
        <v>304.92161616271977</v>
      </c>
    </row>
    <row r="586" spans="1:14">
      <c r="A586" t="s">
        <v>1967</v>
      </c>
      <c r="B586" t="s">
        <v>3090</v>
      </c>
      <c r="C586" t="s">
        <v>3091</v>
      </c>
      <c r="D586" t="s">
        <v>11</v>
      </c>
      <c r="E586" t="s">
        <v>13</v>
      </c>
      <c r="F586" t="s">
        <v>1970</v>
      </c>
      <c r="G586" t="s">
        <v>12</v>
      </c>
      <c r="I586" t="s">
        <v>3090</v>
      </c>
      <c r="J586" t="s">
        <v>4775</v>
      </c>
      <c r="K586" s="11">
        <v>69.441951252886469</v>
      </c>
      <c r="L586" s="9">
        <v>0.2596448644911637</v>
      </c>
      <c r="M586" s="10">
        <v>268.66523603519681</v>
      </c>
      <c r="N586" s="10">
        <v>295.53175963871649</v>
      </c>
    </row>
    <row r="587" spans="1:14">
      <c r="A587" t="s">
        <v>1967</v>
      </c>
      <c r="B587" t="s">
        <v>3092</v>
      </c>
      <c r="C587" t="s">
        <v>3093</v>
      </c>
      <c r="D587" t="s">
        <v>11</v>
      </c>
      <c r="E587" t="s">
        <v>13</v>
      </c>
      <c r="F587" t="s">
        <v>1970</v>
      </c>
      <c r="G587" t="s">
        <v>12</v>
      </c>
      <c r="I587" t="s">
        <v>3092</v>
      </c>
      <c r="J587" t="s">
        <v>4776</v>
      </c>
      <c r="K587" s="10">
        <v>149.25244024920462</v>
      </c>
      <c r="L587" s="9">
        <v>0.27051910533278162</v>
      </c>
      <c r="M587" s="10">
        <v>284.37573647149253</v>
      </c>
      <c r="N587" s="10">
        <v>312.81331011864182</v>
      </c>
    </row>
    <row r="588" spans="1:14">
      <c r="A588" t="s">
        <v>1967</v>
      </c>
      <c r="B588" t="s">
        <v>3094</v>
      </c>
      <c r="C588" t="s">
        <v>3095</v>
      </c>
      <c r="D588" t="s">
        <v>11</v>
      </c>
      <c r="E588" t="s">
        <v>13</v>
      </c>
      <c r="F588" t="s">
        <v>1970</v>
      </c>
      <c r="G588" t="s">
        <v>12</v>
      </c>
      <c r="I588" t="s">
        <v>3094</v>
      </c>
      <c r="J588" t="s">
        <v>4777</v>
      </c>
      <c r="K588" s="10">
        <v>122.40665193516296</v>
      </c>
      <c r="L588" s="9">
        <v>0.26950984997585881</v>
      </c>
      <c r="M588" s="10">
        <v>252.24636829276901</v>
      </c>
      <c r="N588" s="10">
        <v>277.47100512204594</v>
      </c>
    </row>
    <row r="589" spans="1:14">
      <c r="A589" t="s">
        <v>1967</v>
      </c>
      <c r="B589" t="s">
        <v>3096</v>
      </c>
      <c r="C589" t="s">
        <v>3097</v>
      </c>
      <c r="D589" t="s">
        <v>11</v>
      </c>
      <c r="E589" t="s">
        <v>13</v>
      </c>
      <c r="F589" t="s">
        <v>1970</v>
      </c>
      <c r="G589" t="s">
        <v>12</v>
      </c>
      <c r="I589" t="s">
        <v>3096</v>
      </c>
      <c r="J589" t="s">
        <v>4778</v>
      </c>
      <c r="K589" s="11">
        <v>79.312967138823126</v>
      </c>
      <c r="L589" s="9">
        <v>0.25816605933813641</v>
      </c>
      <c r="M589" s="10">
        <v>123.40206352601308</v>
      </c>
      <c r="N589" s="10">
        <v>135.74226987861439</v>
      </c>
    </row>
    <row r="590" spans="1:14">
      <c r="A590" t="s">
        <v>1967</v>
      </c>
      <c r="B590" t="s">
        <v>3098</v>
      </c>
      <c r="C590" t="s">
        <v>3099</v>
      </c>
      <c r="D590" t="s">
        <v>11</v>
      </c>
      <c r="E590" t="s">
        <v>13</v>
      </c>
      <c r="F590" t="s">
        <v>1970</v>
      </c>
      <c r="G590" t="s">
        <v>12</v>
      </c>
      <c r="I590" t="s">
        <v>3098</v>
      </c>
      <c r="J590" t="s">
        <v>4779</v>
      </c>
      <c r="K590" s="10">
        <v>313.69423288056191</v>
      </c>
      <c r="L590" s="9">
        <v>0.29491922629509582</v>
      </c>
      <c r="M590" s="10">
        <v>961.59448403677675</v>
      </c>
      <c r="N590" s="10">
        <v>1057.7539324404545</v>
      </c>
    </row>
    <row r="591" spans="1:14">
      <c r="A591" t="s">
        <v>1967</v>
      </c>
      <c r="B591" t="s">
        <v>3100</v>
      </c>
      <c r="C591" t="s">
        <v>3089</v>
      </c>
      <c r="D591" t="s">
        <v>11</v>
      </c>
      <c r="E591" t="s">
        <v>13</v>
      </c>
      <c r="F591" t="s">
        <v>1970</v>
      </c>
      <c r="G591" t="s">
        <v>12</v>
      </c>
      <c r="I591" t="s">
        <v>3100</v>
      </c>
      <c r="J591" t="s">
        <v>4780</v>
      </c>
      <c r="K591" s="10">
        <v>283.45522533286731</v>
      </c>
      <c r="L591" s="9">
        <v>0.2846040742462001</v>
      </c>
      <c r="M591" s="10">
        <v>543.62107224061378</v>
      </c>
      <c r="N591" s="10">
        <v>597.98317946467523</v>
      </c>
    </row>
    <row r="592" spans="1:14">
      <c r="A592" t="s">
        <v>1967</v>
      </c>
      <c r="B592" t="s">
        <v>3101</v>
      </c>
      <c r="C592" t="s">
        <v>3102</v>
      </c>
      <c r="D592" t="s">
        <v>11</v>
      </c>
      <c r="E592" t="s">
        <v>13</v>
      </c>
      <c r="F592" t="s">
        <v>1970</v>
      </c>
      <c r="G592" t="s">
        <v>12</v>
      </c>
      <c r="I592" t="s">
        <v>3101</v>
      </c>
      <c r="J592" t="s">
        <v>4781</v>
      </c>
      <c r="K592" s="11">
        <v>56.326733413332263</v>
      </c>
      <c r="L592" s="9">
        <v>0.2651656250549429</v>
      </c>
      <c r="M592" s="10">
        <v>342.492255677522</v>
      </c>
      <c r="N592" s="10">
        <v>376.7414812452742</v>
      </c>
    </row>
    <row r="593" spans="1:14">
      <c r="A593" t="s">
        <v>1967</v>
      </c>
      <c r="B593" t="s">
        <v>3103</v>
      </c>
      <c r="C593" t="s">
        <v>3104</v>
      </c>
      <c r="D593" t="s">
        <v>11</v>
      </c>
      <c r="E593" t="s">
        <v>13</v>
      </c>
      <c r="F593" t="s">
        <v>1970</v>
      </c>
      <c r="G593" t="s">
        <v>12</v>
      </c>
      <c r="I593" t="s">
        <v>3103</v>
      </c>
      <c r="J593" t="s">
        <v>4782</v>
      </c>
      <c r="K593" s="10">
        <v>103.63464445137936</v>
      </c>
      <c r="L593" s="9">
        <v>0.27861529906476018</v>
      </c>
      <c r="M593" s="10">
        <v>468.64360252470442</v>
      </c>
      <c r="N593" s="10">
        <v>515.50796277717495</v>
      </c>
    </row>
    <row r="594" spans="1:14">
      <c r="A594" t="s">
        <v>1967</v>
      </c>
      <c r="B594" t="s">
        <v>3105</v>
      </c>
      <c r="C594" t="s">
        <v>3106</v>
      </c>
      <c r="D594" t="s">
        <v>11</v>
      </c>
      <c r="E594" t="s">
        <v>13</v>
      </c>
      <c r="F594" t="s">
        <v>1970</v>
      </c>
      <c r="G594" t="s">
        <v>12</v>
      </c>
      <c r="I594" t="s">
        <v>3105</v>
      </c>
      <c r="J594" t="s">
        <v>4783</v>
      </c>
      <c r="K594" s="11">
        <v>35.681658201775953</v>
      </c>
      <c r="L594" s="9">
        <v>0.26376440797485712</v>
      </c>
      <c r="M594" s="10">
        <v>103.58247599621544</v>
      </c>
      <c r="N594" s="10">
        <v>113.94072359583699</v>
      </c>
    </row>
    <row r="595" spans="1:14">
      <c r="A595" t="s">
        <v>1967</v>
      </c>
      <c r="B595" t="s">
        <v>3107</v>
      </c>
      <c r="C595" t="s">
        <v>3108</v>
      </c>
      <c r="D595" t="s">
        <v>11</v>
      </c>
      <c r="E595" t="s">
        <v>13</v>
      </c>
      <c r="F595" t="s">
        <v>1970</v>
      </c>
      <c r="G595" t="s">
        <v>12</v>
      </c>
      <c r="I595" t="s">
        <v>3107</v>
      </c>
      <c r="J595" t="s">
        <v>4784</v>
      </c>
      <c r="K595" s="11">
        <v>34.111546403817819</v>
      </c>
      <c r="L595" s="9">
        <v>0.26142753573734262</v>
      </c>
      <c r="M595" s="11">
        <v>80.072694597350463</v>
      </c>
      <c r="N595" s="11">
        <v>88.079964057085519</v>
      </c>
    </row>
    <row r="596" spans="1:14">
      <c r="A596" t="s">
        <v>1967</v>
      </c>
      <c r="B596" t="s">
        <v>3109</v>
      </c>
      <c r="C596" t="s">
        <v>3110</v>
      </c>
      <c r="D596" t="s">
        <v>11</v>
      </c>
      <c r="E596" t="s">
        <v>13</v>
      </c>
      <c r="F596" t="s">
        <v>1970</v>
      </c>
      <c r="G596" t="s">
        <v>12</v>
      </c>
      <c r="I596" t="s">
        <v>3109</v>
      </c>
      <c r="J596" t="s">
        <v>4785</v>
      </c>
      <c r="K596" s="10">
        <v>121.62828347474036</v>
      </c>
      <c r="L596" s="9">
        <v>0.27427560155990932</v>
      </c>
      <c r="M596" s="10">
        <v>272.7781142052371</v>
      </c>
      <c r="N596" s="10">
        <v>300.05592562576084</v>
      </c>
    </row>
    <row r="597" spans="1:14">
      <c r="A597" t="s">
        <v>1967</v>
      </c>
      <c r="B597" t="s">
        <v>3111</v>
      </c>
      <c r="C597" t="s">
        <v>3099</v>
      </c>
      <c r="D597" t="s">
        <v>11</v>
      </c>
      <c r="E597" t="s">
        <v>13</v>
      </c>
      <c r="F597" t="s">
        <v>1970</v>
      </c>
      <c r="G597" t="s">
        <v>12</v>
      </c>
      <c r="I597" t="s">
        <v>3111</v>
      </c>
      <c r="J597" t="s">
        <v>4786</v>
      </c>
      <c r="K597" s="11">
        <v>88.061124368710992</v>
      </c>
      <c r="L597" s="9">
        <v>0.28524072296936898</v>
      </c>
      <c r="M597" s="10">
        <v>616.93840106772177</v>
      </c>
      <c r="N597" s="10">
        <v>678.63224117449397</v>
      </c>
    </row>
    <row r="598" spans="1:14">
      <c r="A598" t="s">
        <v>1967</v>
      </c>
      <c r="B598" t="s">
        <v>3112</v>
      </c>
      <c r="C598" t="s">
        <v>3106</v>
      </c>
      <c r="D598" t="s">
        <v>11</v>
      </c>
      <c r="E598" t="s">
        <v>13</v>
      </c>
      <c r="F598" t="s">
        <v>1970</v>
      </c>
      <c r="G598" t="s">
        <v>12</v>
      </c>
      <c r="I598" t="s">
        <v>3112</v>
      </c>
      <c r="J598" t="s">
        <v>4787</v>
      </c>
      <c r="K598" s="10">
        <v>100.32439826048871</v>
      </c>
      <c r="L598" s="9">
        <v>0.27895956645350972</v>
      </c>
      <c r="M598" s="10">
        <v>343.51524872081944</v>
      </c>
      <c r="N598" s="10">
        <v>377.86677359290144</v>
      </c>
    </row>
    <row r="599" spans="1:14">
      <c r="A599" t="s">
        <v>1967</v>
      </c>
      <c r="B599" t="s">
        <v>3113</v>
      </c>
      <c r="C599" t="s">
        <v>3114</v>
      </c>
      <c r="D599" t="s">
        <v>11</v>
      </c>
      <c r="E599" t="s">
        <v>13</v>
      </c>
      <c r="F599" t="s">
        <v>1970</v>
      </c>
      <c r="G599" t="s">
        <v>12</v>
      </c>
      <c r="I599" t="s">
        <v>3113</v>
      </c>
      <c r="J599" t="s">
        <v>4788</v>
      </c>
      <c r="K599" s="9">
        <v>4.0043453924092285</v>
      </c>
      <c r="L599" s="9">
        <v>0.20868390531949249</v>
      </c>
      <c r="M599" s="11">
        <v>42.982404931971118</v>
      </c>
      <c r="N599" s="11">
        <v>47.280645425168231</v>
      </c>
    </row>
    <row r="600" spans="1:14">
      <c r="A600" t="s">
        <v>1967</v>
      </c>
      <c r="B600" t="s">
        <v>3115</v>
      </c>
      <c r="C600" t="s">
        <v>3116</v>
      </c>
      <c r="D600" t="s">
        <v>11</v>
      </c>
      <c r="E600" t="s">
        <v>13</v>
      </c>
      <c r="F600" t="s">
        <v>1970</v>
      </c>
      <c r="G600" t="s">
        <v>12</v>
      </c>
      <c r="I600" t="s">
        <v>3115</v>
      </c>
      <c r="J600" t="s">
        <v>4789</v>
      </c>
      <c r="K600" s="9">
        <v>2.4575316317461238</v>
      </c>
      <c r="L600" s="9">
        <v>0.2111963030455842</v>
      </c>
      <c r="M600" s="11">
        <v>41.271234143824472</v>
      </c>
      <c r="N600" s="11">
        <v>45.398357558206925</v>
      </c>
    </row>
    <row r="601" spans="1:14">
      <c r="A601" t="s">
        <v>1967</v>
      </c>
      <c r="B601" t="s">
        <v>3117</v>
      </c>
      <c r="C601" t="s">
        <v>3118</v>
      </c>
      <c r="D601" t="s">
        <v>11</v>
      </c>
      <c r="E601" t="s">
        <v>13</v>
      </c>
      <c r="F601" t="s">
        <v>1970</v>
      </c>
      <c r="G601" t="s">
        <v>12</v>
      </c>
      <c r="I601" t="s">
        <v>3117</v>
      </c>
      <c r="J601" t="s">
        <v>4790</v>
      </c>
      <c r="K601" s="9">
        <v>2.0393467811713286</v>
      </c>
      <c r="L601" s="9">
        <v>0.19628386841629</v>
      </c>
      <c r="M601" s="11">
        <v>23.970327444023699</v>
      </c>
      <c r="N601" s="11">
        <v>26.367360188426069</v>
      </c>
    </row>
    <row r="602" spans="1:14">
      <c r="A602" t="s">
        <v>1967</v>
      </c>
      <c r="B602" t="s">
        <v>3119</v>
      </c>
      <c r="C602" t="s">
        <v>3120</v>
      </c>
      <c r="D602" t="s">
        <v>11</v>
      </c>
      <c r="E602" t="s">
        <v>13</v>
      </c>
      <c r="F602" t="s">
        <v>1970</v>
      </c>
      <c r="G602" t="s">
        <v>12</v>
      </c>
      <c r="I602" t="s">
        <v>3119</v>
      </c>
      <c r="J602" t="s">
        <v>4791</v>
      </c>
      <c r="K602" s="9">
        <v>6.6384233092012028</v>
      </c>
      <c r="L602" s="9">
        <v>0.20802807236788071</v>
      </c>
      <c r="M602" s="11">
        <v>36.85119840717325</v>
      </c>
      <c r="N602" s="11">
        <v>40.536318247890577</v>
      </c>
    </row>
    <row r="603" spans="1:14">
      <c r="A603" t="s">
        <v>1967</v>
      </c>
      <c r="B603" t="s">
        <v>3121</v>
      </c>
      <c r="C603" t="s">
        <v>3122</v>
      </c>
      <c r="D603" t="s">
        <v>11</v>
      </c>
      <c r="E603" t="s">
        <v>13</v>
      </c>
      <c r="F603" t="s">
        <v>1970</v>
      </c>
      <c r="G603" t="s">
        <v>12</v>
      </c>
      <c r="I603" t="s">
        <v>3121</v>
      </c>
      <c r="J603" t="s">
        <v>4792</v>
      </c>
      <c r="K603" s="9">
        <v>2.0834632808758098</v>
      </c>
      <c r="L603" s="9">
        <v>0.24629569571691159</v>
      </c>
      <c r="M603" s="11">
        <v>20.767485567137555</v>
      </c>
      <c r="N603" s="11">
        <v>22.844234123851312</v>
      </c>
    </row>
    <row r="604" spans="1:14">
      <c r="A604" t="s">
        <v>1967</v>
      </c>
      <c r="B604" t="s">
        <v>3123</v>
      </c>
      <c r="C604" t="s">
        <v>3124</v>
      </c>
      <c r="D604" t="s">
        <v>11</v>
      </c>
      <c r="E604" t="s">
        <v>13</v>
      </c>
      <c r="F604" t="s">
        <v>1970</v>
      </c>
      <c r="G604" t="s">
        <v>12</v>
      </c>
      <c r="I604" t="s">
        <v>3123</v>
      </c>
      <c r="J604" t="s">
        <v>4793</v>
      </c>
      <c r="K604" s="9">
        <v>1.2514995569030214</v>
      </c>
      <c r="L604" s="9">
        <v>0.21927937225819721</v>
      </c>
      <c r="M604" s="10">
        <v>157.19031398883351</v>
      </c>
      <c r="N604" s="10">
        <v>172.90934538771688</v>
      </c>
    </row>
    <row r="605" spans="1:14">
      <c r="A605" t="s">
        <v>1967</v>
      </c>
      <c r="B605" t="s">
        <v>3125</v>
      </c>
      <c r="C605" t="s">
        <v>3126</v>
      </c>
      <c r="D605" t="s">
        <v>11</v>
      </c>
      <c r="E605" t="s">
        <v>13</v>
      </c>
      <c r="F605" t="s">
        <v>1970</v>
      </c>
      <c r="G605" t="s">
        <v>12</v>
      </c>
      <c r="I605" t="s">
        <v>3125</v>
      </c>
      <c r="J605" t="s">
        <v>4794</v>
      </c>
      <c r="K605" s="12">
        <v>7.1348021871320416E-2</v>
      </c>
      <c r="L605" s="9">
        <v>0.24684322798933139</v>
      </c>
      <c r="M605" s="11">
        <v>74.903084682895283</v>
      </c>
      <c r="N605" s="11">
        <v>82.393393151184824</v>
      </c>
    </row>
    <row r="606" spans="1:14">
      <c r="A606" t="s">
        <v>1967</v>
      </c>
      <c r="B606" t="s">
        <v>3127</v>
      </c>
      <c r="C606" t="s">
        <v>3128</v>
      </c>
      <c r="D606" t="s">
        <v>11</v>
      </c>
      <c r="E606" t="s">
        <v>13</v>
      </c>
      <c r="F606" t="s">
        <v>1970</v>
      </c>
      <c r="G606" t="s">
        <v>12</v>
      </c>
      <c r="I606" t="s">
        <v>3127</v>
      </c>
      <c r="J606" t="s">
        <v>4795</v>
      </c>
      <c r="K606" s="9">
        <v>1.3089317202044182</v>
      </c>
      <c r="L606" s="9">
        <v>0.13697987236287329</v>
      </c>
      <c r="M606" s="11">
        <v>55.608526824472101</v>
      </c>
      <c r="N606" s="11">
        <v>61.169379506919313</v>
      </c>
    </row>
    <row r="607" spans="1:14">
      <c r="A607" t="s">
        <v>1967</v>
      </c>
      <c r="B607" t="s">
        <v>3129</v>
      </c>
      <c r="C607" t="s">
        <v>3130</v>
      </c>
      <c r="D607" t="s">
        <v>11</v>
      </c>
      <c r="E607" t="s">
        <v>13</v>
      </c>
      <c r="F607" t="s">
        <v>1970</v>
      </c>
      <c r="G607" t="s">
        <v>12</v>
      </c>
      <c r="I607" t="s">
        <v>3129</v>
      </c>
      <c r="J607" t="s">
        <v>4796</v>
      </c>
      <c r="K607" s="9">
        <v>2.3487157035349764</v>
      </c>
      <c r="L607" s="9">
        <v>0.13721433560732579</v>
      </c>
      <c r="M607" s="11">
        <v>57.999235243585858</v>
      </c>
      <c r="N607" s="11">
        <v>63.799158767944448</v>
      </c>
    </row>
    <row r="608" spans="1:14">
      <c r="A608" t="s">
        <v>1967</v>
      </c>
      <c r="B608" t="s">
        <v>3131</v>
      </c>
      <c r="C608" t="s">
        <v>3132</v>
      </c>
      <c r="D608" t="s">
        <v>11</v>
      </c>
      <c r="E608" t="s">
        <v>13</v>
      </c>
      <c r="F608" t="s">
        <v>1970</v>
      </c>
      <c r="G608" t="s">
        <v>12</v>
      </c>
      <c r="I608" t="s">
        <v>3131</v>
      </c>
      <c r="J608" t="s">
        <v>4797</v>
      </c>
      <c r="K608" s="9">
        <v>3.0623059723049701</v>
      </c>
      <c r="L608" s="9">
        <v>0.1370862078885029</v>
      </c>
      <c r="M608" s="11">
        <v>79.458671386554656</v>
      </c>
      <c r="N608" s="11">
        <v>87.404538525210128</v>
      </c>
    </row>
    <row r="609" spans="1:14">
      <c r="A609" t="s">
        <v>1967</v>
      </c>
      <c r="B609" t="s">
        <v>3133</v>
      </c>
      <c r="C609" t="s">
        <v>3134</v>
      </c>
      <c r="D609" t="s">
        <v>11</v>
      </c>
      <c r="E609" t="s">
        <v>13</v>
      </c>
      <c r="F609" t="s">
        <v>1970</v>
      </c>
      <c r="G609" t="s">
        <v>12</v>
      </c>
      <c r="I609" t="s">
        <v>3133</v>
      </c>
      <c r="J609" t="s">
        <v>4798</v>
      </c>
      <c r="K609" s="9">
        <v>2.1038208680831292</v>
      </c>
      <c r="L609" s="9">
        <v>0.14009106403139801</v>
      </c>
      <c r="M609" s="11">
        <v>69.796634187221457</v>
      </c>
      <c r="N609" s="11">
        <v>76.776297605943611</v>
      </c>
    </row>
    <row r="610" spans="1:14">
      <c r="A610" t="s">
        <v>1967</v>
      </c>
      <c r="B610" t="s">
        <v>3135</v>
      </c>
      <c r="C610" t="s">
        <v>3136</v>
      </c>
      <c r="D610" t="s">
        <v>11</v>
      </c>
      <c r="E610" t="s">
        <v>13</v>
      </c>
      <c r="F610" t="s">
        <v>1970</v>
      </c>
      <c r="G610" t="s">
        <v>12</v>
      </c>
      <c r="I610" t="s">
        <v>3135</v>
      </c>
      <c r="J610" t="s">
        <v>4799</v>
      </c>
      <c r="K610" s="9">
        <v>0.24461212931450679</v>
      </c>
      <c r="L610" s="9">
        <v>0.13639086577606849</v>
      </c>
      <c r="M610" s="11">
        <v>40.639775652825229</v>
      </c>
      <c r="N610" s="11">
        <v>44.703753218107757</v>
      </c>
    </row>
    <row r="611" spans="1:14">
      <c r="A611" t="s">
        <v>1967</v>
      </c>
      <c r="B611" t="s">
        <v>3137</v>
      </c>
      <c r="C611" t="s">
        <v>3138</v>
      </c>
      <c r="D611" t="s">
        <v>11</v>
      </c>
      <c r="E611" t="s">
        <v>13</v>
      </c>
      <c r="F611" t="s">
        <v>1970</v>
      </c>
      <c r="G611" t="s">
        <v>12</v>
      </c>
      <c r="I611" t="s">
        <v>3137</v>
      </c>
      <c r="J611" t="s">
        <v>4800</v>
      </c>
      <c r="K611" s="12">
        <v>4.5789007661232742E-2</v>
      </c>
      <c r="L611" s="9">
        <v>0.13620008518757051</v>
      </c>
      <c r="M611" s="11">
        <v>30.640297115049517</v>
      </c>
      <c r="N611" s="11">
        <v>33.704326826554471</v>
      </c>
    </row>
    <row r="612" spans="1:14">
      <c r="A612" t="s">
        <v>1967</v>
      </c>
      <c r="B612" t="s">
        <v>3139</v>
      </c>
      <c r="C612" t="s">
        <v>3138</v>
      </c>
      <c r="D612" t="s">
        <v>11</v>
      </c>
      <c r="E612" t="s">
        <v>13</v>
      </c>
      <c r="F612" t="s">
        <v>1970</v>
      </c>
      <c r="G612" t="s">
        <v>12</v>
      </c>
      <c r="I612" t="s">
        <v>3139</v>
      </c>
      <c r="J612" t="s">
        <v>4801</v>
      </c>
      <c r="K612" s="12">
        <v>2.4683800232523163E-2</v>
      </c>
      <c r="L612" s="9">
        <v>0.1396419235069534</v>
      </c>
      <c r="M612" s="11">
        <v>27.7699112065735</v>
      </c>
      <c r="N612" s="11">
        <v>30.546902327230853</v>
      </c>
    </row>
    <row r="613" spans="1:14">
      <c r="A613" t="s">
        <v>1967</v>
      </c>
      <c r="B613" t="s">
        <v>3140</v>
      </c>
      <c r="C613" t="s">
        <v>3138</v>
      </c>
      <c r="D613" t="s">
        <v>11</v>
      </c>
      <c r="E613" t="s">
        <v>13</v>
      </c>
      <c r="F613" t="s">
        <v>1970</v>
      </c>
      <c r="G613" t="s">
        <v>12</v>
      </c>
      <c r="I613" t="s">
        <v>3140</v>
      </c>
      <c r="J613" t="s">
        <v>4802</v>
      </c>
      <c r="K613" s="12">
        <v>8.5716812091384362E-2</v>
      </c>
      <c r="L613" s="9">
        <v>0.14106508723040179</v>
      </c>
      <c r="M613" s="11">
        <v>22.059309693841627</v>
      </c>
      <c r="N613" s="11">
        <v>24.265240663225793</v>
      </c>
    </row>
    <row r="614" spans="1:14">
      <c r="A614" t="s">
        <v>1967</v>
      </c>
      <c r="B614" t="s">
        <v>3141</v>
      </c>
      <c r="C614" t="s">
        <v>3136</v>
      </c>
      <c r="D614" t="s">
        <v>11</v>
      </c>
      <c r="E614" t="s">
        <v>13</v>
      </c>
      <c r="F614" t="s">
        <v>1970</v>
      </c>
      <c r="G614" t="s">
        <v>12</v>
      </c>
      <c r="I614" t="s">
        <v>3141</v>
      </c>
      <c r="J614" t="s">
        <v>4803</v>
      </c>
      <c r="K614" s="12">
        <v>7.3739316413407807E-2</v>
      </c>
      <c r="L614" s="9">
        <v>0.14050529096517289</v>
      </c>
      <c r="M614" s="11">
        <v>24.306154525418119</v>
      </c>
      <c r="N614" s="11">
        <v>26.736769977959934</v>
      </c>
    </row>
    <row r="615" spans="1:14">
      <c r="A615" t="s">
        <v>1967</v>
      </c>
      <c r="B615" t="s">
        <v>3142</v>
      </c>
      <c r="C615" t="s">
        <v>3143</v>
      </c>
      <c r="D615" t="s">
        <v>11</v>
      </c>
      <c r="E615" t="s">
        <v>13</v>
      </c>
      <c r="F615" t="s">
        <v>1970</v>
      </c>
      <c r="G615" t="s">
        <v>12</v>
      </c>
      <c r="I615" t="s">
        <v>3142</v>
      </c>
      <c r="J615" t="s">
        <v>4804</v>
      </c>
      <c r="K615" s="9">
        <v>0.27122784703707342</v>
      </c>
      <c r="L615" s="9">
        <v>0.14213580257744349</v>
      </c>
      <c r="M615" s="9">
        <v>7.9401673778571338</v>
      </c>
      <c r="N615" s="9">
        <v>8.7341841156428472</v>
      </c>
    </row>
    <row r="616" spans="1:14">
      <c r="A616" t="s">
        <v>1967</v>
      </c>
      <c r="B616" t="s">
        <v>3144</v>
      </c>
      <c r="C616" t="s">
        <v>3145</v>
      </c>
      <c r="D616" t="s">
        <v>11</v>
      </c>
      <c r="E616" t="s">
        <v>13</v>
      </c>
      <c r="F616" t="s">
        <v>1970</v>
      </c>
      <c r="G616" t="s">
        <v>12</v>
      </c>
      <c r="I616" t="s">
        <v>3144</v>
      </c>
      <c r="J616" t="s">
        <v>4805</v>
      </c>
      <c r="K616" s="9">
        <v>0.89116536434651239</v>
      </c>
      <c r="L616" s="9">
        <v>0.1445784230923543</v>
      </c>
      <c r="M616" s="11">
        <v>67.579131635558156</v>
      </c>
      <c r="N616" s="11">
        <v>74.337044799113983</v>
      </c>
    </row>
    <row r="617" spans="1:14">
      <c r="A617" t="s">
        <v>1967</v>
      </c>
      <c r="B617" t="s">
        <v>3146</v>
      </c>
      <c r="C617" t="s">
        <v>3147</v>
      </c>
      <c r="D617" t="s">
        <v>11</v>
      </c>
      <c r="E617" t="s">
        <v>13</v>
      </c>
      <c r="F617" t="s">
        <v>1970</v>
      </c>
      <c r="G617" t="s">
        <v>12</v>
      </c>
      <c r="I617" t="s">
        <v>3146</v>
      </c>
      <c r="J617" t="s">
        <v>4806</v>
      </c>
      <c r="K617" s="9">
        <v>1.983047710513042</v>
      </c>
      <c r="L617" s="9">
        <v>0.1396834163996156</v>
      </c>
      <c r="M617" s="10">
        <v>158.66716835731037</v>
      </c>
      <c r="N617" s="10">
        <v>174.53388519304141</v>
      </c>
    </row>
    <row r="618" spans="1:14">
      <c r="A618" t="s">
        <v>1967</v>
      </c>
      <c r="B618" t="s">
        <v>3148</v>
      </c>
      <c r="C618" t="s">
        <v>3149</v>
      </c>
      <c r="D618" t="s">
        <v>11</v>
      </c>
      <c r="E618" t="s">
        <v>13</v>
      </c>
      <c r="F618" t="s">
        <v>1970</v>
      </c>
      <c r="G618" t="s">
        <v>12</v>
      </c>
      <c r="I618" t="s">
        <v>3148</v>
      </c>
      <c r="J618" t="s">
        <v>4807</v>
      </c>
      <c r="K618" s="9">
        <v>1.008961888911206</v>
      </c>
      <c r="L618" s="9">
        <v>0.13830577931019469</v>
      </c>
      <c r="M618" s="11">
        <v>83.853471044818974</v>
      </c>
      <c r="N618" s="11">
        <v>92.238818149300883</v>
      </c>
    </row>
    <row r="619" spans="1:14">
      <c r="A619" t="s">
        <v>1967</v>
      </c>
      <c r="B619" t="s">
        <v>3150</v>
      </c>
      <c r="C619" t="s">
        <v>3151</v>
      </c>
      <c r="D619" t="s">
        <v>11</v>
      </c>
      <c r="E619" t="s">
        <v>13</v>
      </c>
      <c r="F619" t="s">
        <v>1970</v>
      </c>
      <c r="G619" t="s">
        <v>12</v>
      </c>
      <c r="I619" t="s">
        <v>3150</v>
      </c>
      <c r="J619" t="s">
        <v>4808</v>
      </c>
      <c r="K619" s="9">
        <v>0.69342137774426527</v>
      </c>
      <c r="L619" s="9">
        <v>0.1445033080440942</v>
      </c>
      <c r="M619" s="10">
        <v>138.11958071106395</v>
      </c>
      <c r="N619" s="10">
        <v>151.93153878217035</v>
      </c>
    </row>
    <row r="620" spans="1:14">
      <c r="A620" t="s">
        <v>1967</v>
      </c>
      <c r="B620" t="s">
        <v>3152</v>
      </c>
      <c r="C620" t="s">
        <v>3153</v>
      </c>
      <c r="D620" t="s">
        <v>11</v>
      </c>
      <c r="E620" t="s">
        <v>13</v>
      </c>
      <c r="F620" t="s">
        <v>1970</v>
      </c>
      <c r="G620" t="s">
        <v>12</v>
      </c>
      <c r="I620" t="s">
        <v>3152</v>
      </c>
      <c r="J620" t="s">
        <v>4809</v>
      </c>
      <c r="K620" s="11">
        <v>32.416421546439075</v>
      </c>
      <c r="L620" s="9">
        <v>0.281362176589598</v>
      </c>
      <c r="M620" s="10">
        <v>121.31513797061017</v>
      </c>
      <c r="N620" s="10">
        <v>133.4466517676712</v>
      </c>
    </row>
    <row r="621" spans="1:14">
      <c r="A621" t="s">
        <v>1967</v>
      </c>
      <c r="B621" t="s">
        <v>3154</v>
      </c>
      <c r="C621" t="s">
        <v>3155</v>
      </c>
      <c r="D621" t="s">
        <v>11</v>
      </c>
      <c r="E621" t="s">
        <v>13</v>
      </c>
      <c r="F621" t="s">
        <v>1970</v>
      </c>
      <c r="G621" t="s">
        <v>12</v>
      </c>
      <c r="I621" t="s">
        <v>3154</v>
      </c>
      <c r="J621" t="s">
        <v>4810</v>
      </c>
      <c r="K621" s="11">
        <v>28.997647702183759</v>
      </c>
      <c r="L621" s="9">
        <v>0.2656258617274162</v>
      </c>
      <c r="M621" s="11">
        <v>67.496409932245783</v>
      </c>
      <c r="N621" s="11">
        <v>74.246050925470371</v>
      </c>
    </row>
    <row r="622" spans="1:14">
      <c r="A622" t="s">
        <v>1967</v>
      </c>
      <c r="B622" t="s">
        <v>3156</v>
      </c>
      <c r="C622" t="s">
        <v>3157</v>
      </c>
      <c r="D622" t="s">
        <v>11</v>
      </c>
      <c r="E622" t="s">
        <v>13</v>
      </c>
      <c r="F622" t="s">
        <v>1970</v>
      </c>
      <c r="G622" t="s">
        <v>12</v>
      </c>
      <c r="I622" t="s">
        <v>3156</v>
      </c>
      <c r="J622" t="s">
        <v>4811</v>
      </c>
      <c r="K622" s="11">
        <v>14.072367548448206</v>
      </c>
      <c r="L622" s="9">
        <v>0.26240576899030399</v>
      </c>
      <c r="M622" s="11">
        <v>40.747958255816371</v>
      </c>
      <c r="N622" s="11">
        <v>44.82275408139801</v>
      </c>
    </row>
    <row r="623" spans="1:14">
      <c r="A623" t="s">
        <v>1967</v>
      </c>
      <c r="B623" t="s">
        <v>3158</v>
      </c>
      <c r="C623" t="s">
        <v>3159</v>
      </c>
      <c r="D623" t="s">
        <v>11</v>
      </c>
      <c r="E623" t="s">
        <v>13</v>
      </c>
      <c r="F623" t="s">
        <v>1970</v>
      </c>
      <c r="G623" t="s">
        <v>12</v>
      </c>
      <c r="I623" t="s">
        <v>3158</v>
      </c>
      <c r="J623" t="s">
        <v>4812</v>
      </c>
      <c r="K623" s="9">
        <v>3.9014610120872</v>
      </c>
      <c r="L623" s="9">
        <v>0.24733816243535489</v>
      </c>
      <c r="M623" s="11">
        <v>20.16868263855137</v>
      </c>
      <c r="N623" s="11">
        <v>22.185550902406508</v>
      </c>
    </row>
    <row r="624" spans="1:14">
      <c r="A624" t="s">
        <v>1967</v>
      </c>
      <c r="B624" t="s">
        <v>3160</v>
      </c>
      <c r="C624" t="s">
        <v>3161</v>
      </c>
      <c r="D624" t="s">
        <v>11</v>
      </c>
      <c r="E624" t="s">
        <v>13</v>
      </c>
      <c r="F624" t="s">
        <v>1970</v>
      </c>
      <c r="G624" t="s">
        <v>12</v>
      </c>
      <c r="I624" t="s">
        <v>3160</v>
      </c>
      <c r="J624" t="s">
        <v>4813</v>
      </c>
      <c r="K624" s="9">
        <v>5.6085930168192997</v>
      </c>
      <c r="L624" s="9">
        <v>0.24126966491396101</v>
      </c>
      <c r="M624" s="11">
        <v>17.641668951536357</v>
      </c>
      <c r="N624" s="11">
        <v>19.405835846689993</v>
      </c>
    </row>
    <row r="625" spans="1:14">
      <c r="A625" t="s">
        <v>1967</v>
      </c>
      <c r="B625" t="s">
        <v>3162</v>
      </c>
      <c r="C625" t="s">
        <v>3163</v>
      </c>
      <c r="D625" t="s">
        <v>11</v>
      </c>
      <c r="E625" t="s">
        <v>13</v>
      </c>
      <c r="F625" t="s">
        <v>1970</v>
      </c>
      <c r="G625" t="s">
        <v>12</v>
      </c>
      <c r="I625" t="s">
        <v>3162</v>
      </c>
      <c r="J625" t="s">
        <v>4814</v>
      </c>
      <c r="K625" s="11">
        <v>78.283105513467646</v>
      </c>
      <c r="L625" s="9">
        <v>0.2820167341530318</v>
      </c>
      <c r="M625" s="10">
        <v>106.03192075525808</v>
      </c>
      <c r="N625" s="10">
        <v>116.6351128307839</v>
      </c>
    </row>
    <row r="626" spans="1:14">
      <c r="A626" t="s">
        <v>1967</v>
      </c>
      <c r="B626" t="s">
        <v>3164</v>
      </c>
      <c r="C626" t="s">
        <v>3165</v>
      </c>
      <c r="D626" t="s">
        <v>11</v>
      </c>
      <c r="E626" t="s">
        <v>13</v>
      </c>
      <c r="F626" t="s">
        <v>1970</v>
      </c>
      <c r="G626" t="s">
        <v>12</v>
      </c>
      <c r="I626" t="s">
        <v>3164</v>
      </c>
      <c r="J626" t="s">
        <v>4815</v>
      </c>
      <c r="K626" s="11">
        <v>13.494406127344098</v>
      </c>
      <c r="L626" s="9">
        <v>0.2556972588801309</v>
      </c>
      <c r="M626" s="11">
        <v>66.303380388589886</v>
      </c>
      <c r="N626" s="11">
        <v>72.933718427448881</v>
      </c>
    </row>
    <row r="627" spans="1:14">
      <c r="A627" t="s">
        <v>1967</v>
      </c>
      <c r="B627" t="s">
        <v>3166</v>
      </c>
      <c r="C627" t="s">
        <v>3167</v>
      </c>
      <c r="D627" t="s">
        <v>11</v>
      </c>
      <c r="E627" t="s">
        <v>13</v>
      </c>
      <c r="F627" t="s">
        <v>1970</v>
      </c>
      <c r="G627" t="s">
        <v>12</v>
      </c>
      <c r="I627" t="s">
        <v>3166</v>
      </c>
      <c r="J627" t="s">
        <v>4816</v>
      </c>
      <c r="K627" s="11">
        <v>51.219449950905478</v>
      </c>
      <c r="L627" s="9">
        <v>0.2775871035584706</v>
      </c>
      <c r="M627" s="11">
        <v>99.342895990365847</v>
      </c>
      <c r="N627" s="10">
        <v>109.27718558940244</v>
      </c>
    </row>
    <row r="628" spans="1:14">
      <c r="A628" t="s">
        <v>1967</v>
      </c>
      <c r="B628" t="s">
        <v>3168</v>
      </c>
      <c r="C628" t="s">
        <v>3169</v>
      </c>
      <c r="D628" t="s">
        <v>11</v>
      </c>
      <c r="E628" t="s">
        <v>13</v>
      </c>
      <c r="F628" t="s">
        <v>1970</v>
      </c>
      <c r="G628" t="s">
        <v>12</v>
      </c>
      <c r="I628" t="s">
        <v>3168</v>
      </c>
      <c r="J628" t="s">
        <v>4817</v>
      </c>
      <c r="K628" s="11">
        <v>17.703437364856015</v>
      </c>
      <c r="L628" s="9">
        <v>0.1689155221854805</v>
      </c>
      <c r="M628" s="11">
        <v>32.454936520976631</v>
      </c>
      <c r="N628" s="11">
        <v>35.700430173074295</v>
      </c>
    </row>
    <row r="629" spans="1:14">
      <c r="A629" t="s">
        <v>1967</v>
      </c>
      <c r="B629" t="s">
        <v>3170</v>
      </c>
      <c r="C629" t="s">
        <v>3171</v>
      </c>
      <c r="D629" t="s">
        <v>11</v>
      </c>
      <c r="E629" t="s">
        <v>13</v>
      </c>
      <c r="F629" t="s">
        <v>1970</v>
      </c>
      <c r="G629" t="s">
        <v>12</v>
      </c>
      <c r="I629" t="s">
        <v>3170</v>
      </c>
      <c r="J629" t="s">
        <v>4818</v>
      </c>
      <c r="K629" s="9">
        <v>6.1344667906754866</v>
      </c>
      <c r="L629" s="9">
        <v>0.1597829051787881</v>
      </c>
      <c r="M629" s="11">
        <v>26.284593676835364</v>
      </c>
      <c r="N629" s="11">
        <v>28.913053044518904</v>
      </c>
    </row>
    <row r="630" spans="1:14">
      <c r="A630" t="s">
        <v>1967</v>
      </c>
      <c r="B630" t="s">
        <v>3172</v>
      </c>
      <c r="C630" t="s">
        <v>3173</v>
      </c>
      <c r="D630" t="s">
        <v>11</v>
      </c>
      <c r="E630" t="s">
        <v>13</v>
      </c>
      <c r="F630" t="s">
        <v>1970</v>
      </c>
      <c r="G630" t="s">
        <v>12</v>
      </c>
      <c r="I630" t="s">
        <v>3172</v>
      </c>
      <c r="J630" t="s">
        <v>4819</v>
      </c>
      <c r="K630" s="11">
        <v>12.528797214120626</v>
      </c>
      <c r="L630" s="9">
        <v>0.15871814822664909</v>
      </c>
      <c r="M630" s="11">
        <v>45.315247397862265</v>
      </c>
      <c r="N630" s="11">
        <v>49.846772137648493</v>
      </c>
    </row>
    <row r="631" spans="1:14">
      <c r="A631" t="s">
        <v>1967</v>
      </c>
      <c r="B631" t="s">
        <v>3174</v>
      </c>
      <c r="C631" t="s">
        <v>3175</v>
      </c>
      <c r="D631" t="s">
        <v>11</v>
      </c>
      <c r="E631" t="s">
        <v>13</v>
      </c>
      <c r="F631" t="s">
        <v>1970</v>
      </c>
      <c r="G631" t="s">
        <v>12</v>
      </c>
      <c r="I631" t="s">
        <v>3174</v>
      </c>
      <c r="J631" t="s">
        <v>4820</v>
      </c>
      <c r="K631" s="11">
        <v>12.043427103538404</v>
      </c>
      <c r="L631" s="9">
        <v>0.18570717635126949</v>
      </c>
      <c r="M631" s="11">
        <v>25.127037780009982</v>
      </c>
      <c r="N631" s="11">
        <v>27.639741558010982</v>
      </c>
    </row>
    <row r="632" spans="1:14">
      <c r="A632" t="s">
        <v>1967</v>
      </c>
      <c r="B632" t="s">
        <v>3176</v>
      </c>
      <c r="C632" t="s">
        <v>3177</v>
      </c>
      <c r="D632" t="s">
        <v>11</v>
      </c>
      <c r="E632" t="s">
        <v>13</v>
      </c>
      <c r="F632" t="s">
        <v>1970</v>
      </c>
      <c r="G632" t="s">
        <v>12</v>
      </c>
      <c r="I632" t="s">
        <v>3176</v>
      </c>
      <c r="J632" t="s">
        <v>4821</v>
      </c>
      <c r="K632" s="9">
        <v>7.8276592089447261</v>
      </c>
      <c r="L632" s="9">
        <v>0.20554442275821549</v>
      </c>
      <c r="M632" s="11">
        <v>24.307699338268016</v>
      </c>
      <c r="N632" s="11">
        <v>26.738469272094818</v>
      </c>
    </row>
    <row r="633" spans="1:14">
      <c r="A633" t="s">
        <v>1967</v>
      </c>
      <c r="B633" t="s">
        <v>3178</v>
      </c>
      <c r="C633" t="s">
        <v>3179</v>
      </c>
      <c r="D633" t="s">
        <v>11</v>
      </c>
      <c r="E633" t="s">
        <v>13</v>
      </c>
      <c r="F633" t="s">
        <v>1970</v>
      </c>
      <c r="G633" t="s">
        <v>12</v>
      </c>
      <c r="I633" t="s">
        <v>3178</v>
      </c>
      <c r="J633" t="s">
        <v>4822</v>
      </c>
      <c r="K633" s="11">
        <v>13.792451149165096</v>
      </c>
      <c r="L633" s="9">
        <v>0.22137187556083021</v>
      </c>
      <c r="M633" s="11">
        <v>15.522507735935759</v>
      </c>
      <c r="N633" s="11">
        <v>17.074758509529335</v>
      </c>
    </row>
    <row r="634" spans="1:14">
      <c r="A634" t="s">
        <v>1967</v>
      </c>
      <c r="B634" t="s">
        <v>3180</v>
      </c>
      <c r="C634" t="s">
        <v>3181</v>
      </c>
      <c r="D634" t="s">
        <v>11</v>
      </c>
      <c r="E634" t="s">
        <v>13</v>
      </c>
      <c r="F634" t="s">
        <v>1970</v>
      </c>
      <c r="G634" t="s">
        <v>12</v>
      </c>
      <c r="I634" t="s">
        <v>3180</v>
      </c>
      <c r="J634" t="s">
        <v>4823</v>
      </c>
      <c r="K634" s="11">
        <v>23.230939511768803</v>
      </c>
      <c r="L634" s="9">
        <v>0.1915635395662425</v>
      </c>
      <c r="M634" s="11">
        <v>15.198902464505078</v>
      </c>
      <c r="N634" s="11">
        <v>16.718792710955587</v>
      </c>
    </row>
    <row r="635" spans="1:14">
      <c r="A635" t="s">
        <v>1967</v>
      </c>
      <c r="B635" t="s">
        <v>3182</v>
      </c>
      <c r="C635" t="s">
        <v>3183</v>
      </c>
      <c r="D635" t="s">
        <v>11</v>
      </c>
      <c r="E635" t="s">
        <v>13</v>
      </c>
      <c r="F635" t="s">
        <v>1970</v>
      </c>
      <c r="G635" t="s">
        <v>12</v>
      </c>
      <c r="I635" t="s">
        <v>3182</v>
      </c>
      <c r="J635" t="s">
        <v>4824</v>
      </c>
      <c r="K635" s="11">
        <v>28.182008698687106</v>
      </c>
      <c r="L635" s="9">
        <v>0.23141405493314859</v>
      </c>
      <c r="M635" s="11">
        <v>19.838974512067846</v>
      </c>
      <c r="N635" s="11">
        <v>21.822871963274633</v>
      </c>
    </row>
    <row r="636" spans="1:14">
      <c r="A636" t="s">
        <v>1967</v>
      </c>
      <c r="B636" t="s">
        <v>3184</v>
      </c>
      <c r="C636" t="s">
        <v>3185</v>
      </c>
      <c r="D636" t="s">
        <v>11</v>
      </c>
      <c r="E636" t="s">
        <v>13</v>
      </c>
      <c r="F636" t="s">
        <v>1970</v>
      </c>
      <c r="G636" t="s">
        <v>12</v>
      </c>
      <c r="I636" t="s">
        <v>3184</v>
      </c>
      <c r="J636" t="s">
        <v>4825</v>
      </c>
      <c r="K636" s="11">
        <v>89.707411973104271</v>
      </c>
      <c r="L636" s="9">
        <v>0.23855061602163971</v>
      </c>
      <c r="M636" s="11">
        <v>34.494559961047244</v>
      </c>
      <c r="N636" s="11">
        <v>37.944015957151969</v>
      </c>
    </row>
    <row r="637" spans="1:14">
      <c r="A637" t="s">
        <v>1967</v>
      </c>
      <c r="B637" t="s">
        <v>3186</v>
      </c>
      <c r="C637" t="s">
        <v>3187</v>
      </c>
      <c r="D637" t="s">
        <v>11</v>
      </c>
      <c r="E637" t="s">
        <v>13</v>
      </c>
      <c r="F637" t="s">
        <v>1970</v>
      </c>
      <c r="G637" t="s">
        <v>12</v>
      </c>
      <c r="I637" t="s">
        <v>3186</v>
      </c>
      <c r="J637" t="s">
        <v>4826</v>
      </c>
      <c r="K637" s="9">
        <v>9.243938156420576</v>
      </c>
      <c r="L637" s="9">
        <v>0.19577608514583991</v>
      </c>
      <c r="M637" s="11">
        <v>19.920246403008026</v>
      </c>
      <c r="N637" s="11">
        <v>21.912271043308831</v>
      </c>
    </row>
    <row r="638" spans="1:14">
      <c r="A638" t="s">
        <v>1967</v>
      </c>
      <c r="B638" t="s">
        <v>3188</v>
      </c>
      <c r="C638" t="s">
        <v>3189</v>
      </c>
      <c r="D638" t="s">
        <v>11</v>
      </c>
      <c r="E638" t="s">
        <v>13</v>
      </c>
      <c r="F638" t="s">
        <v>1970</v>
      </c>
      <c r="G638" t="s">
        <v>12</v>
      </c>
      <c r="I638" t="s">
        <v>3188</v>
      </c>
      <c r="J638" t="s">
        <v>4827</v>
      </c>
      <c r="K638" s="11">
        <v>92.008564227758001</v>
      </c>
      <c r="L638" s="9">
        <v>0.2333359249813306</v>
      </c>
      <c r="M638" s="11">
        <v>47.44548656588222</v>
      </c>
      <c r="N638" s="11">
        <v>52.190035222470449</v>
      </c>
    </row>
    <row r="639" spans="1:14">
      <c r="A639" t="s">
        <v>1967</v>
      </c>
      <c r="B639" t="s">
        <v>3190</v>
      </c>
      <c r="C639" t="s">
        <v>3191</v>
      </c>
      <c r="D639" t="s">
        <v>11</v>
      </c>
      <c r="E639" t="s">
        <v>13</v>
      </c>
      <c r="F639" t="s">
        <v>1970</v>
      </c>
      <c r="G639" t="s">
        <v>12</v>
      </c>
      <c r="I639" t="s">
        <v>3190</v>
      </c>
      <c r="J639" t="s">
        <v>4828</v>
      </c>
      <c r="K639" s="11">
        <v>28.353975200477151</v>
      </c>
      <c r="L639" s="9">
        <v>0.23437134180855379</v>
      </c>
      <c r="M639" s="11">
        <v>25.501392219457102</v>
      </c>
      <c r="N639" s="11">
        <v>28.051531441402815</v>
      </c>
    </row>
    <row r="640" spans="1:14">
      <c r="A640" t="s">
        <v>1967</v>
      </c>
      <c r="B640" t="s">
        <v>3192</v>
      </c>
      <c r="C640" t="s">
        <v>3193</v>
      </c>
      <c r="D640" t="s">
        <v>11</v>
      </c>
      <c r="E640" t="s">
        <v>13</v>
      </c>
      <c r="F640" t="s">
        <v>1970</v>
      </c>
      <c r="G640" t="s">
        <v>12</v>
      </c>
      <c r="I640" t="s">
        <v>3192</v>
      </c>
      <c r="J640" t="s">
        <v>4829</v>
      </c>
      <c r="K640" s="9">
        <v>2.933729206606337</v>
      </c>
      <c r="L640" s="9">
        <v>0.20429408824121989</v>
      </c>
      <c r="M640" s="11">
        <v>88.218269541144451</v>
      </c>
      <c r="N640" s="11">
        <v>97.040096495258908</v>
      </c>
    </row>
    <row r="641" spans="1:14">
      <c r="A641" t="s">
        <v>1967</v>
      </c>
      <c r="B641" t="s">
        <v>3194</v>
      </c>
      <c r="C641" t="s">
        <v>3195</v>
      </c>
      <c r="D641" t="s">
        <v>11</v>
      </c>
      <c r="E641" t="s">
        <v>13</v>
      </c>
      <c r="F641" t="s">
        <v>1970</v>
      </c>
      <c r="G641" t="s">
        <v>12</v>
      </c>
      <c r="I641" t="s">
        <v>3194</v>
      </c>
      <c r="J641" t="s">
        <v>4830</v>
      </c>
      <c r="K641" s="11">
        <v>13.449134377308569</v>
      </c>
      <c r="L641" s="9">
        <v>0.20809615200914769</v>
      </c>
      <c r="M641" s="11">
        <v>89.603740893054962</v>
      </c>
      <c r="N641" s="11">
        <v>98.564114982360465</v>
      </c>
    </row>
    <row r="642" spans="1:14">
      <c r="A642" t="s">
        <v>1967</v>
      </c>
      <c r="B642" t="s">
        <v>3196</v>
      </c>
      <c r="C642" t="s">
        <v>3197</v>
      </c>
      <c r="D642" t="s">
        <v>11</v>
      </c>
      <c r="E642" t="s">
        <v>13</v>
      </c>
      <c r="F642" t="s">
        <v>1970</v>
      </c>
      <c r="G642" t="s">
        <v>12</v>
      </c>
      <c r="I642" t="s">
        <v>3196</v>
      </c>
      <c r="J642" t="s">
        <v>4831</v>
      </c>
      <c r="K642" s="11">
        <v>14.642903047767856</v>
      </c>
      <c r="L642" s="9">
        <v>0.18771454137036139</v>
      </c>
      <c r="M642" s="11">
        <v>49.119112418294641</v>
      </c>
      <c r="N642" s="11">
        <v>54.031023660124113</v>
      </c>
    </row>
    <row r="643" spans="1:14">
      <c r="A643" t="s">
        <v>1967</v>
      </c>
      <c r="B643" t="s">
        <v>3198</v>
      </c>
      <c r="C643" t="s">
        <v>3199</v>
      </c>
      <c r="D643" t="s">
        <v>11</v>
      </c>
      <c r="E643" t="s">
        <v>13</v>
      </c>
      <c r="F643" t="s">
        <v>1970</v>
      </c>
      <c r="G643" t="s">
        <v>12</v>
      </c>
      <c r="I643" t="s">
        <v>3198</v>
      </c>
      <c r="J643" t="s">
        <v>4832</v>
      </c>
      <c r="K643" s="11">
        <v>27.098544778892588</v>
      </c>
      <c r="L643" s="9">
        <v>0.23506321153133031</v>
      </c>
      <c r="M643" s="11">
        <v>93.46909173242544</v>
      </c>
      <c r="N643" s="10">
        <v>102.81600090566799</v>
      </c>
    </row>
    <row r="644" spans="1:14">
      <c r="A644" t="s">
        <v>1967</v>
      </c>
      <c r="B644" t="s">
        <v>3200</v>
      </c>
      <c r="C644" t="s">
        <v>3201</v>
      </c>
      <c r="D644" t="s">
        <v>11</v>
      </c>
      <c r="E644" t="s">
        <v>13</v>
      </c>
      <c r="F644" t="s">
        <v>1970</v>
      </c>
      <c r="G644" t="s">
        <v>12</v>
      </c>
      <c r="I644" t="s">
        <v>3200</v>
      </c>
      <c r="J644" t="s">
        <v>4833</v>
      </c>
      <c r="K644" s="11">
        <v>11.98325482952179</v>
      </c>
      <c r="L644" s="9">
        <v>0.1921245861971882</v>
      </c>
      <c r="M644" s="11">
        <v>52.763129284314623</v>
      </c>
      <c r="N644" s="11">
        <v>58.039442212746089</v>
      </c>
    </row>
    <row r="645" spans="1:14">
      <c r="A645" t="s">
        <v>1967</v>
      </c>
      <c r="B645" t="s">
        <v>3202</v>
      </c>
      <c r="C645" t="s">
        <v>3203</v>
      </c>
      <c r="D645" t="s">
        <v>11</v>
      </c>
      <c r="E645" t="s">
        <v>13</v>
      </c>
      <c r="F645" t="s">
        <v>1970</v>
      </c>
      <c r="G645" t="s">
        <v>12</v>
      </c>
      <c r="I645" t="s">
        <v>3202</v>
      </c>
      <c r="J645" t="s">
        <v>4834</v>
      </c>
      <c r="K645" s="9">
        <v>9.0493286904744128</v>
      </c>
      <c r="L645" s="9">
        <v>0.23788852527240231</v>
      </c>
      <c r="M645" s="11">
        <v>90.176749352750605</v>
      </c>
      <c r="N645" s="11">
        <v>99.194424288025672</v>
      </c>
    </row>
    <row r="646" spans="1:14">
      <c r="A646" t="s">
        <v>1967</v>
      </c>
      <c r="B646" t="s">
        <v>3204</v>
      </c>
      <c r="C646" t="s">
        <v>3205</v>
      </c>
      <c r="D646" t="s">
        <v>11</v>
      </c>
      <c r="E646" t="s">
        <v>13</v>
      </c>
      <c r="F646" t="s">
        <v>1970</v>
      </c>
      <c r="G646" t="s">
        <v>12</v>
      </c>
      <c r="I646" t="s">
        <v>3204</v>
      </c>
      <c r="J646" t="s">
        <v>4835</v>
      </c>
      <c r="K646" s="10">
        <v>125.18746345533977</v>
      </c>
      <c r="L646" s="9">
        <v>0.26817322140578781</v>
      </c>
      <c r="M646" s="10">
        <v>115.85360421047405</v>
      </c>
      <c r="N646" s="10">
        <v>127.43896463152146</v>
      </c>
    </row>
    <row r="647" spans="1:14">
      <c r="A647" t="s">
        <v>1967</v>
      </c>
      <c r="B647" t="s">
        <v>3206</v>
      </c>
      <c r="C647" t="s">
        <v>3207</v>
      </c>
      <c r="D647" t="s">
        <v>11</v>
      </c>
      <c r="E647" t="s">
        <v>13</v>
      </c>
      <c r="F647" t="s">
        <v>1970</v>
      </c>
      <c r="G647" t="s">
        <v>12</v>
      </c>
      <c r="I647" t="s">
        <v>3206</v>
      </c>
      <c r="J647" t="s">
        <v>4836</v>
      </c>
      <c r="K647" s="11">
        <v>27.415398394740127</v>
      </c>
      <c r="L647" s="9">
        <v>0.25795463478366659</v>
      </c>
      <c r="M647" s="11">
        <v>59.157717804164577</v>
      </c>
      <c r="N647" s="11">
        <v>65.07348958458104</v>
      </c>
    </row>
    <row r="648" spans="1:14">
      <c r="A648" t="s">
        <v>1967</v>
      </c>
      <c r="B648" t="s">
        <v>3208</v>
      </c>
      <c r="C648" t="s">
        <v>3209</v>
      </c>
      <c r="D648" t="s">
        <v>11</v>
      </c>
      <c r="E648" t="s">
        <v>13</v>
      </c>
      <c r="F648" t="s">
        <v>1970</v>
      </c>
      <c r="G648" t="s">
        <v>12</v>
      </c>
      <c r="I648" t="s">
        <v>3208</v>
      </c>
      <c r="J648" t="s">
        <v>4837</v>
      </c>
      <c r="K648" s="10">
        <v>129.96506935756676</v>
      </c>
      <c r="L648" s="9">
        <v>0.27880573918168461</v>
      </c>
      <c r="M648" s="10">
        <v>113.18715676095984</v>
      </c>
      <c r="N648" s="10">
        <v>124.50587243705583</v>
      </c>
    </row>
    <row r="649" spans="1:14">
      <c r="A649" t="s">
        <v>1967</v>
      </c>
      <c r="B649" t="s">
        <v>3210</v>
      </c>
      <c r="C649" t="s">
        <v>3211</v>
      </c>
      <c r="D649" t="s">
        <v>11</v>
      </c>
      <c r="E649" t="s">
        <v>13</v>
      </c>
      <c r="F649" t="s">
        <v>1970</v>
      </c>
      <c r="G649" t="s">
        <v>12</v>
      </c>
      <c r="I649" t="s">
        <v>3210</v>
      </c>
      <c r="J649" t="s">
        <v>4838</v>
      </c>
      <c r="K649" s="10">
        <v>187.41973037947216</v>
      </c>
      <c r="L649" s="9">
        <v>0.28395998991780369</v>
      </c>
      <c r="M649" s="10">
        <v>174.41916948135764</v>
      </c>
      <c r="N649" s="10">
        <v>191.86108642949341</v>
      </c>
    </row>
    <row r="650" spans="1:14">
      <c r="A650" t="s">
        <v>1967</v>
      </c>
      <c r="B650" t="s">
        <v>3212</v>
      </c>
      <c r="C650" t="s">
        <v>3213</v>
      </c>
      <c r="D650" t="s">
        <v>11</v>
      </c>
      <c r="E650" t="s">
        <v>13</v>
      </c>
      <c r="F650" t="s">
        <v>1970</v>
      </c>
      <c r="G650" t="s">
        <v>12</v>
      </c>
      <c r="I650" t="s">
        <v>3212</v>
      </c>
      <c r="J650" t="s">
        <v>4839</v>
      </c>
      <c r="K650" s="9">
        <v>0.76174865951742632</v>
      </c>
      <c r="L650" s="9">
        <v>0.25063889675750411</v>
      </c>
      <c r="M650" s="11">
        <v>60.868098459206152</v>
      </c>
      <c r="N650" s="11">
        <v>66.954908305126779</v>
      </c>
    </row>
    <row r="651" spans="1:14">
      <c r="A651" t="s">
        <v>1967</v>
      </c>
      <c r="B651" t="s">
        <v>3214</v>
      </c>
      <c r="C651" t="s">
        <v>3215</v>
      </c>
      <c r="D651" t="s">
        <v>11</v>
      </c>
      <c r="E651" t="s">
        <v>13</v>
      </c>
      <c r="F651" t="s">
        <v>1970</v>
      </c>
      <c r="G651" t="s">
        <v>12</v>
      </c>
      <c r="I651" t="s">
        <v>3214</v>
      </c>
      <c r="J651" t="s">
        <v>4840</v>
      </c>
      <c r="K651" s="10">
        <v>164.50774388247038</v>
      </c>
      <c r="L651" s="9">
        <v>0.28066791274754321</v>
      </c>
      <c r="M651" s="10">
        <v>126.91763507574872</v>
      </c>
      <c r="N651" s="10">
        <v>139.60939858332361</v>
      </c>
    </row>
    <row r="652" spans="1:14">
      <c r="A652" t="s">
        <v>1967</v>
      </c>
      <c r="B652" t="s">
        <v>3216</v>
      </c>
      <c r="C652" t="s">
        <v>3217</v>
      </c>
      <c r="D652" t="s">
        <v>11</v>
      </c>
      <c r="E652" t="s">
        <v>13</v>
      </c>
      <c r="F652" t="s">
        <v>1970</v>
      </c>
      <c r="G652" t="s">
        <v>12</v>
      </c>
      <c r="I652" t="s">
        <v>3216</v>
      </c>
      <c r="J652" t="s">
        <v>4841</v>
      </c>
      <c r="K652" s="11">
        <v>34.028974772298774</v>
      </c>
      <c r="L652" s="9">
        <v>0.22000942181551</v>
      </c>
      <c r="M652" s="11">
        <v>88.241709120768675</v>
      </c>
      <c r="N652" s="11">
        <v>97.065880032845556</v>
      </c>
    </row>
    <row r="653" spans="1:14">
      <c r="A653" t="s">
        <v>1967</v>
      </c>
      <c r="B653" t="s">
        <v>3218</v>
      </c>
      <c r="C653" t="s">
        <v>3219</v>
      </c>
      <c r="D653" t="s">
        <v>11</v>
      </c>
      <c r="E653" t="s">
        <v>13</v>
      </c>
      <c r="F653" t="s">
        <v>1970</v>
      </c>
      <c r="G653" t="s">
        <v>12</v>
      </c>
      <c r="I653" t="s">
        <v>3218</v>
      </c>
      <c r="J653" t="s">
        <v>4842</v>
      </c>
      <c r="K653" s="10">
        <v>139.09099797552705</v>
      </c>
      <c r="L653" s="9">
        <v>0.26661507723937461</v>
      </c>
      <c r="M653" s="10">
        <v>155.55062589378821</v>
      </c>
      <c r="N653" s="10">
        <v>171.10568848316703</v>
      </c>
    </row>
    <row r="654" spans="1:14">
      <c r="A654" t="s">
        <v>1967</v>
      </c>
      <c r="B654" t="s">
        <v>3220</v>
      </c>
      <c r="C654" t="s">
        <v>3221</v>
      </c>
      <c r="D654" t="s">
        <v>11</v>
      </c>
      <c r="E654" t="s">
        <v>13</v>
      </c>
      <c r="F654" t="s">
        <v>1970</v>
      </c>
      <c r="G654" t="s">
        <v>12</v>
      </c>
      <c r="I654" t="s">
        <v>3220</v>
      </c>
      <c r="J654" t="s">
        <v>4843</v>
      </c>
      <c r="K654" s="11">
        <v>89.337168689352126</v>
      </c>
      <c r="L654" s="9">
        <v>0.23541044307951439</v>
      </c>
      <c r="M654" s="11">
        <v>63.13567458330045</v>
      </c>
      <c r="N654" s="11">
        <v>69.449242041630498</v>
      </c>
    </row>
    <row r="655" spans="1:14">
      <c r="A655" t="s">
        <v>1967</v>
      </c>
      <c r="B655" t="s">
        <v>3222</v>
      </c>
      <c r="C655" t="s">
        <v>3223</v>
      </c>
      <c r="D655" t="s">
        <v>11</v>
      </c>
      <c r="E655" t="s">
        <v>13</v>
      </c>
      <c r="F655" t="s">
        <v>1970</v>
      </c>
      <c r="G655" t="s">
        <v>12</v>
      </c>
      <c r="I655" t="s">
        <v>3222</v>
      </c>
      <c r="J655" t="s">
        <v>4844</v>
      </c>
      <c r="K655" s="9">
        <v>3.2477728161411612</v>
      </c>
      <c r="L655" s="9">
        <v>0.20115203511506319</v>
      </c>
      <c r="M655" s="11">
        <v>25.47305740233994</v>
      </c>
      <c r="N655" s="11">
        <v>28.020363142573935</v>
      </c>
    </row>
    <row r="656" spans="1:14">
      <c r="A656" t="s">
        <v>1967</v>
      </c>
      <c r="B656" t="s">
        <v>3224</v>
      </c>
      <c r="C656" t="s">
        <v>3225</v>
      </c>
      <c r="D656" t="s">
        <v>11</v>
      </c>
      <c r="E656" t="s">
        <v>13</v>
      </c>
      <c r="F656" t="s">
        <v>1970</v>
      </c>
      <c r="G656" t="s">
        <v>12</v>
      </c>
      <c r="I656" t="s">
        <v>3224</v>
      </c>
      <c r="J656" t="s">
        <v>4845</v>
      </c>
      <c r="K656" s="9">
        <v>2.8508187309890469</v>
      </c>
      <c r="L656" s="9">
        <v>0.20360101041645409</v>
      </c>
      <c r="M656" s="11">
        <v>27.383301110968389</v>
      </c>
      <c r="N656" s="11">
        <v>30.121631222065229</v>
      </c>
    </row>
    <row r="657" spans="1:14">
      <c r="A657" t="s">
        <v>1967</v>
      </c>
      <c r="B657" t="s">
        <v>3226</v>
      </c>
      <c r="C657" t="s">
        <v>3227</v>
      </c>
      <c r="D657" t="s">
        <v>11</v>
      </c>
      <c r="E657" t="s">
        <v>13</v>
      </c>
      <c r="F657" t="s">
        <v>1970</v>
      </c>
      <c r="G657" t="s">
        <v>12</v>
      </c>
      <c r="I657" t="s">
        <v>3226</v>
      </c>
      <c r="J657" t="s">
        <v>4846</v>
      </c>
      <c r="K657" s="9">
        <v>2.4465254922863848</v>
      </c>
      <c r="L657" s="9">
        <v>0.19887751077647961</v>
      </c>
      <c r="M657" s="11">
        <v>17.793348563470886</v>
      </c>
      <c r="N657" s="11">
        <v>19.572683419817977</v>
      </c>
    </row>
    <row r="658" spans="1:14">
      <c r="A658" t="s">
        <v>1967</v>
      </c>
      <c r="B658" t="s">
        <v>3228</v>
      </c>
      <c r="C658" t="s">
        <v>3229</v>
      </c>
      <c r="D658" t="s">
        <v>11</v>
      </c>
      <c r="E658" t="s">
        <v>13</v>
      </c>
      <c r="F658" t="s">
        <v>1970</v>
      </c>
      <c r="G658" t="s">
        <v>12</v>
      </c>
      <c r="I658" t="s">
        <v>3228</v>
      </c>
      <c r="J658" t="s">
        <v>4847</v>
      </c>
      <c r="K658" s="9">
        <v>2.8790767588654922</v>
      </c>
      <c r="L658" s="9">
        <v>0.20319360291271291</v>
      </c>
      <c r="M658" s="11">
        <v>21.770303464503648</v>
      </c>
      <c r="N658" s="11">
        <v>23.947333810954014</v>
      </c>
    </row>
    <row r="659" spans="1:14">
      <c r="A659" t="s">
        <v>1967</v>
      </c>
      <c r="B659" t="s">
        <v>3230</v>
      </c>
      <c r="C659" t="s">
        <v>3231</v>
      </c>
      <c r="D659" t="s">
        <v>11</v>
      </c>
      <c r="E659" t="s">
        <v>13</v>
      </c>
      <c r="F659" t="s">
        <v>1970</v>
      </c>
      <c r="G659" t="s">
        <v>12</v>
      </c>
      <c r="I659" t="s">
        <v>3230</v>
      </c>
      <c r="J659" t="s">
        <v>4848</v>
      </c>
      <c r="K659" s="10">
        <v>232.9084681142165</v>
      </c>
      <c r="L659" s="9">
        <v>0.27134859907000991</v>
      </c>
      <c r="M659" s="10">
        <v>252.65818301565864</v>
      </c>
      <c r="N659" s="10">
        <v>277.92400131722451</v>
      </c>
    </row>
    <row r="660" spans="1:14">
      <c r="A660" t="s">
        <v>1967</v>
      </c>
      <c r="B660" t="s">
        <v>3232</v>
      </c>
      <c r="C660" t="s">
        <v>3233</v>
      </c>
      <c r="D660" t="s">
        <v>11</v>
      </c>
      <c r="E660" t="s">
        <v>13</v>
      </c>
      <c r="F660" t="s">
        <v>1970</v>
      </c>
      <c r="G660" t="s">
        <v>12</v>
      </c>
      <c r="I660" t="s">
        <v>3232</v>
      </c>
      <c r="J660" t="s">
        <v>4849</v>
      </c>
      <c r="K660" s="11">
        <v>53.975514033698637</v>
      </c>
      <c r="L660" s="9">
        <v>0.25911243770025572</v>
      </c>
      <c r="M660" s="11">
        <v>57.925532949930123</v>
      </c>
      <c r="N660" s="11">
        <v>63.718086244923143</v>
      </c>
    </row>
    <row r="661" spans="1:14">
      <c r="A661" t="s">
        <v>1967</v>
      </c>
      <c r="B661" t="s">
        <v>3234</v>
      </c>
      <c r="C661" t="s">
        <v>3235</v>
      </c>
      <c r="D661" t="s">
        <v>11</v>
      </c>
      <c r="E661" t="s">
        <v>13</v>
      </c>
      <c r="F661" t="s">
        <v>1970</v>
      </c>
      <c r="G661" t="s">
        <v>12</v>
      </c>
      <c r="I661" t="s">
        <v>3234</v>
      </c>
      <c r="J661" t="s">
        <v>4850</v>
      </c>
      <c r="K661" s="11">
        <v>98.912845281304286</v>
      </c>
      <c r="L661" s="9">
        <v>0.27772902740798072</v>
      </c>
      <c r="M661" s="10">
        <v>587.60937529714022</v>
      </c>
      <c r="N661" s="10">
        <v>646.37031282685427</v>
      </c>
    </row>
    <row r="662" spans="1:14">
      <c r="A662" t="s">
        <v>1967</v>
      </c>
      <c r="B662" t="s">
        <v>3236</v>
      </c>
      <c r="C662" t="s">
        <v>3237</v>
      </c>
      <c r="D662" t="s">
        <v>11</v>
      </c>
      <c r="E662" t="s">
        <v>13</v>
      </c>
      <c r="F662" t="s">
        <v>1970</v>
      </c>
      <c r="G662" t="s">
        <v>12</v>
      </c>
      <c r="I662" t="s">
        <v>3236</v>
      </c>
      <c r="J662" t="s">
        <v>4851</v>
      </c>
      <c r="K662" s="10">
        <v>185.60413498304789</v>
      </c>
      <c r="L662" s="9">
        <v>0.27511085233099081</v>
      </c>
      <c r="M662" s="10">
        <v>301.40777687773118</v>
      </c>
      <c r="N662" s="10">
        <v>331.54855456550433</v>
      </c>
    </row>
    <row r="663" spans="1:14">
      <c r="A663" t="s">
        <v>1967</v>
      </c>
      <c r="B663" t="s">
        <v>3238</v>
      </c>
      <c r="C663" t="s">
        <v>3239</v>
      </c>
      <c r="D663" t="s">
        <v>11</v>
      </c>
      <c r="E663" t="s">
        <v>13</v>
      </c>
      <c r="F663" t="s">
        <v>1970</v>
      </c>
      <c r="G663" t="s">
        <v>12</v>
      </c>
      <c r="I663" t="s">
        <v>3238</v>
      </c>
      <c r="J663" t="s">
        <v>4852</v>
      </c>
      <c r="K663" s="10">
        <v>108.42865195793728</v>
      </c>
      <c r="L663" s="9">
        <v>0.27861170956561471</v>
      </c>
      <c r="M663" s="10">
        <v>417.69180035463683</v>
      </c>
      <c r="N663" s="10">
        <v>459.46098039010053</v>
      </c>
    </row>
    <row r="664" spans="1:14">
      <c r="A664" t="s">
        <v>1967</v>
      </c>
      <c r="B664" t="s">
        <v>3240</v>
      </c>
      <c r="C664" t="s">
        <v>3239</v>
      </c>
      <c r="D664" t="s">
        <v>11</v>
      </c>
      <c r="E664" t="s">
        <v>13</v>
      </c>
      <c r="F664" t="s">
        <v>1970</v>
      </c>
      <c r="G664" t="s">
        <v>12</v>
      </c>
      <c r="I664" t="s">
        <v>3240</v>
      </c>
      <c r="J664" t="s">
        <v>4853</v>
      </c>
      <c r="K664" s="10">
        <v>120.49048140285159</v>
      </c>
      <c r="L664" s="9">
        <v>0.27601660380079313</v>
      </c>
      <c r="M664" s="10">
        <v>772.73581636507708</v>
      </c>
      <c r="N664" s="10">
        <v>850.00939800158483</v>
      </c>
    </row>
    <row r="665" spans="1:14">
      <c r="A665" t="s">
        <v>1967</v>
      </c>
      <c r="B665" t="s">
        <v>3241</v>
      </c>
      <c r="C665" t="s">
        <v>3242</v>
      </c>
      <c r="D665" t="s">
        <v>11</v>
      </c>
      <c r="E665" t="s">
        <v>13</v>
      </c>
      <c r="F665" t="s">
        <v>1970</v>
      </c>
      <c r="G665" t="s">
        <v>12</v>
      </c>
      <c r="I665" t="s">
        <v>3241</v>
      </c>
      <c r="J665" t="s">
        <v>4854</v>
      </c>
      <c r="K665" s="11">
        <v>47.335341510961797</v>
      </c>
      <c r="L665" s="9">
        <v>0.24757807710300181</v>
      </c>
      <c r="M665" s="11">
        <v>56.201916288534839</v>
      </c>
      <c r="N665" s="11">
        <v>61.82210791738833</v>
      </c>
    </row>
    <row r="666" spans="1:14">
      <c r="A666" t="s">
        <v>1967</v>
      </c>
      <c r="B666" t="s">
        <v>3243</v>
      </c>
      <c r="C666" t="s">
        <v>3244</v>
      </c>
      <c r="D666" t="s">
        <v>11</v>
      </c>
      <c r="E666" t="s">
        <v>13</v>
      </c>
      <c r="F666" t="s">
        <v>1970</v>
      </c>
      <c r="G666" t="s">
        <v>12</v>
      </c>
      <c r="I666" t="s">
        <v>3243</v>
      </c>
      <c r="J666" t="s">
        <v>4855</v>
      </c>
      <c r="K666" s="11">
        <v>24.631333243654158</v>
      </c>
      <c r="L666" s="9">
        <v>0.23736548834263699</v>
      </c>
      <c r="M666" s="11">
        <v>47.349577167715971</v>
      </c>
      <c r="N666" s="11">
        <v>52.084534884487574</v>
      </c>
    </row>
    <row r="667" spans="1:14">
      <c r="A667" t="s">
        <v>1967</v>
      </c>
      <c r="B667" t="s">
        <v>3245</v>
      </c>
      <c r="C667" t="s">
        <v>3246</v>
      </c>
      <c r="D667" t="s">
        <v>11</v>
      </c>
      <c r="E667" t="s">
        <v>13</v>
      </c>
      <c r="F667" t="s">
        <v>1970</v>
      </c>
      <c r="G667" t="s">
        <v>12</v>
      </c>
      <c r="I667" t="s">
        <v>3245</v>
      </c>
      <c r="J667" t="s">
        <v>4856</v>
      </c>
      <c r="K667" s="11">
        <v>43.523458037311784</v>
      </c>
      <c r="L667" s="9">
        <v>0.2359404564347157</v>
      </c>
      <c r="M667" s="11">
        <v>35.412452475457819</v>
      </c>
      <c r="N667" s="11">
        <v>38.953697723003607</v>
      </c>
    </row>
    <row r="668" spans="1:14">
      <c r="A668" t="s">
        <v>1967</v>
      </c>
      <c r="B668" t="s">
        <v>3247</v>
      </c>
      <c r="C668" t="s">
        <v>3248</v>
      </c>
      <c r="D668" t="s">
        <v>11</v>
      </c>
      <c r="E668" t="s">
        <v>13</v>
      </c>
      <c r="F668" t="s">
        <v>1970</v>
      </c>
      <c r="G668" t="s">
        <v>12</v>
      </c>
      <c r="I668" t="s">
        <v>3247</v>
      </c>
      <c r="J668" t="s">
        <v>4857</v>
      </c>
      <c r="K668" s="11">
        <v>83.257829734724297</v>
      </c>
      <c r="L668" s="9">
        <v>0.2648353936255961</v>
      </c>
      <c r="M668" s="10">
        <v>113.05991266220759</v>
      </c>
      <c r="N668" s="10">
        <v>124.36590392842837</v>
      </c>
    </row>
    <row r="669" spans="1:14">
      <c r="A669" t="s">
        <v>1967</v>
      </c>
      <c r="B669" t="s">
        <v>3249</v>
      </c>
      <c r="C669" t="s">
        <v>3250</v>
      </c>
      <c r="D669" t="s">
        <v>11</v>
      </c>
      <c r="E669" t="s">
        <v>13</v>
      </c>
      <c r="F669" t="s">
        <v>1970</v>
      </c>
      <c r="G669" t="s">
        <v>12</v>
      </c>
      <c r="I669" t="s">
        <v>3249</v>
      </c>
      <c r="J669" t="s">
        <v>4858</v>
      </c>
      <c r="K669" s="11">
        <v>38.404457954486787</v>
      </c>
      <c r="L669" s="9">
        <v>0.2465775857823358</v>
      </c>
      <c r="M669" s="11">
        <v>31.120799966543597</v>
      </c>
      <c r="N669" s="11">
        <v>34.232879963197959</v>
      </c>
    </row>
    <row r="670" spans="1:14">
      <c r="A670" t="s">
        <v>1967</v>
      </c>
      <c r="B670" t="s">
        <v>3251</v>
      </c>
      <c r="C670" t="s">
        <v>3252</v>
      </c>
      <c r="D670" t="s">
        <v>11</v>
      </c>
      <c r="E670" t="s">
        <v>13</v>
      </c>
      <c r="F670" t="s">
        <v>1970</v>
      </c>
      <c r="G670" t="s">
        <v>12</v>
      </c>
      <c r="I670" t="s">
        <v>3251</v>
      </c>
      <c r="J670" t="s">
        <v>4859</v>
      </c>
      <c r="K670" s="11">
        <v>50.818984509337682</v>
      </c>
      <c r="L670" s="9">
        <v>0.25207589906292183</v>
      </c>
      <c r="M670" s="11">
        <v>46.54082905939282</v>
      </c>
      <c r="N670" s="11">
        <v>51.194911965332103</v>
      </c>
    </row>
    <row r="671" spans="1:14">
      <c r="A671" t="s">
        <v>1967</v>
      </c>
      <c r="B671" t="s">
        <v>3253</v>
      </c>
      <c r="C671" t="s">
        <v>3254</v>
      </c>
      <c r="D671" t="s">
        <v>11</v>
      </c>
      <c r="E671" t="s">
        <v>13</v>
      </c>
      <c r="F671" t="s">
        <v>1970</v>
      </c>
      <c r="G671" t="s">
        <v>12</v>
      </c>
      <c r="I671" t="s">
        <v>3253</v>
      </c>
      <c r="J671" t="s">
        <v>4860</v>
      </c>
      <c r="K671" s="11">
        <v>55.658840304844276</v>
      </c>
      <c r="L671" s="9">
        <v>0.1855994857200248</v>
      </c>
      <c r="M671" s="10">
        <v>131.09876470316649</v>
      </c>
      <c r="N671" s="10">
        <v>144.20864117348316</v>
      </c>
    </row>
    <row r="672" spans="1:14">
      <c r="A672" t="s">
        <v>1967</v>
      </c>
      <c r="B672" t="s">
        <v>3255</v>
      </c>
      <c r="C672" t="s">
        <v>3256</v>
      </c>
      <c r="D672" t="s">
        <v>11</v>
      </c>
      <c r="E672" t="s">
        <v>13</v>
      </c>
      <c r="F672" t="s">
        <v>1970</v>
      </c>
      <c r="G672" t="s">
        <v>12</v>
      </c>
      <c r="I672" t="s">
        <v>3255</v>
      </c>
      <c r="J672" t="s">
        <v>4861</v>
      </c>
      <c r="K672" s="11">
        <v>40.209690876679872</v>
      </c>
      <c r="L672" s="9">
        <v>0.20409903419809</v>
      </c>
      <c r="M672" s="10">
        <v>172.14835867688168</v>
      </c>
      <c r="N672" s="10">
        <v>189.36319454456986</v>
      </c>
    </row>
    <row r="673" spans="1:14">
      <c r="A673" t="s">
        <v>1967</v>
      </c>
      <c r="B673" t="s">
        <v>3257</v>
      </c>
      <c r="C673" t="s">
        <v>3258</v>
      </c>
      <c r="D673" t="s">
        <v>11</v>
      </c>
      <c r="E673" t="s">
        <v>13</v>
      </c>
      <c r="F673" t="s">
        <v>1970</v>
      </c>
      <c r="G673" t="s">
        <v>12</v>
      </c>
      <c r="I673" t="s">
        <v>3257</v>
      </c>
      <c r="J673" t="s">
        <v>4862</v>
      </c>
      <c r="K673" s="11">
        <v>74.006832541637124</v>
      </c>
      <c r="L673" s="9">
        <v>0.19164759565717909</v>
      </c>
      <c r="M673" s="10">
        <v>148.57959601052499</v>
      </c>
      <c r="N673" s="10">
        <v>163.43755561157749</v>
      </c>
    </row>
    <row r="674" spans="1:14">
      <c r="A674" t="s">
        <v>1967</v>
      </c>
      <c r="B674" t="s">
        <v>3259</v>
      </c>
      <c r="C674" t="s">
        <v>3260</v>
      </c>
      <c r="D674" t="s">
        <v>11</v>
      </c>
      <c r="E674" t="s">
        <v>13</v>
      </c>
      <c r="F674" t="s">
        <v>1970</v>
      </c>
      <c r="G674" t="s">
        <v>12</v>
      </c>
      <c r="I674" t="s">
        <v>3259</v>
      </c>
      <c r="J674" t="s">
        <v>4863</v>
      </c>
      <c r="K674" s="10">
        <v>106.30696518703181</v>
      </c>
      <c r="L674" s="9">
        <v>0.20364021595301779</v>
      </c>
      <c r="M674" s="11">
        <v>74.284892645013173</v>
      </c>
      <c r="N674" s="11">
        <v>81.713381909514496</v>
      </c>
    </row>
    <row r="675" spans="1:14">
      <c r="A675" t="s">
        <v>1967</v>
      </c>
      <c r="B675" t="s">
        <v>3261</v>
      </c>
      <c r="C675" t="s">
        <v>3262</v>
      </c>
      <c r="D675" t="s">
        <v>11</v>
      </c>
      <c r="E675" t="s">
        <v>13</v>
      </c>
      <c r="F675" t="s">
        <v>1970</v>
      </c>
      <c r="G675" t="s">
        <v>12</v>
      </c>
      <c r="I675" t="s">
        <v>3261</v>
      </c>
      <c r="J675" t="s">
        <v>4864</v>
      </c>
      <c r="K675" s="11">
        <v>52.991277825869254</v>
      </c>
      <c r="L675" s="9">
        <v>0.19819808225870189</v>
      </c>
      <c r="M675" s="11">
        <v>58.643880079615457</v>
      </c>
      <c r="N675" s="11">
        <v>64.508268087577008</v>
      </c>
    </row>
    <row r="676" spans="1:14">
      <c r="A676" t="s">
        <v>1967</v>
      </c>
      <c r="B676" t="s">
        <v>3263</v>
      </c>
      <c r="C676" t="s">
        <v>3264</v>
      </c>
      <c r="D676" t="s">
        <v>11</v>
      </c>
      <c r="E676" t="s">
        <v>13</v>
      </c>
      <c r="F676" t="s">
        <v>1970</v>
      </c>
      <c r="G676" t="s">
        <v>12</v>
      </c>
      <c r="I676" t="s">
        <v>3263</v>
      </c>
      <c r="J676" t="s">
        <v>4865</v>
      </c>
      <c r="K676" s="11">
        <v>35.383668869281706</v>
      </c>
      <c r="L676" s="9">
        <v>0.1918405909358176</v>
      </c>
      <c r="M676" s="10">
        <v>129.25223888719071</v>
      </c>
      <c r="N676" s="10">
        <v>142.17746277590979</v>
      </c>
    </row>
    <row r="677" spans="1:14">
      <c r="A677" t="s">
        <v>1967</v>
      </c>
      <c r="B677" t="s">
        <v>3265</v>
      </c>
      <c r="C677" t="s">
        <v>3266</v>
      </c>
      <c r="D677" t="s">
        <v>11</v>
      </c>
      <c r="E677" t="s">
        <v>13</v>
      </c>
      <c r="F677" t="s">
        <v>1970</v>
      </c>
      <c r="G677" t="s">
        <v>12</v>
      </c>
      <c r="I677" t="s">
        <v>3265</v>
      </c>
      <c r="J677" t="s">
        <v>4866</v>
      </c>
      <c r="K677" s="11">
        <v>30.410447509107581</v>
      </c>
      <c r="L677" s="9">
        <v>0.1960385898463331</v>
      </c>
      <c r="M677" s="11">
        <v>69.385745099194381</v>
      </c>
      <c r="N677" s="11">
        <v>76.324319609113829</v>
      </c>
    </row>
    <row r="678" spans="1:14">
      <c r="A678" t="s">
        <v>1967</v>
      </c>
      <c r="B678" t="s">
        <v>3267</v>
      </c>
      <c r="C678" t="s">
        <v>3268</v>
      </c>
      <c r="D678" t="s">
        <v>11</v>
      </c>
      <c r="E678" t="s">
        <v>13</v>
      </c>
      <c r="F678" t="s">
        <v>1970</v>
      </c>
      <c r="G678" t="s">
        <v>12</v>
      </c>
      <c r="I678" t="s">
        <v>3267</v>
      </c>
      <c r="J678" t="s">
        <v>4867</v>
      </c>
      <c r="K678" s="10">
        <v>167.33382855571008</v>
      </c>
      <c r="L678" s="9">
        <v>0.20159311003859001</v>
      </c>
      <c r="M678" s="11">
        <v>62.842905486928615</v>
      </c>
      <c r="N678" s="11">
        <v>69.127196035621481</v>
      </c>
    </row>
    <row r="679" spans="1:14">
      <c r="A679" t="s">
        <v>1967</v>
      </c>
      <c r="B679" t="s">
        <v>3269</v>
      </c>
      <c r="C679" t="s">
        <v>3270</v>
      </c>
      <c r="D679" t="s">
        <v>11</v>
      </c>
      <c r="E679" t="s">
        <v>13</v>
      </c>
      <c r="F679" t="s">
        <v>1970</v>
      </c>
      <c r="G679" t="s">
        <v>12</v>
      </c>
      <c r="I679" t="s">
        <v>3269</v>
      </c>
      <c r="J679" t="s">
        <v>4868</v>
      </c>
      <c r="K679" s="11">
        <v>65.894583816337288</v>
      </c>
      <c r="L679" s="9">
        <v>0.1923205065854279</v>
      </c>
      <c r="M679" s="11">
        <v>54.520022113485474</v>
      </c>
      <c r="N679" s="11">
        <v>59.972024324834024</v>
      </c>
    </row>
    <row r="680" spans="1:14">
      <c r="A680" t="s">
        <v>1967</v>
      </c>
      <c r="B680" t="s">
        <v>3271</v>
      </c>
      <c r="C680" t="s">
        <v>3272</v>
      </c>
      <c r="D680" t="s">
        <v>11</v>
      </c>
      <c r="E680" t="s">
        <v>13</v>
      </c>
      <c r="F680" t="s">
        <v>1970</v>
      </c>
      <c r="G680" t="s">
        <v>12</v>
      </c>
      <c r="I680" t="s">
        <v>3271</v>
      </c>
      <c r="J680" t="s">
        <v>4869</v>
      </c>
      <c r="K680" s="11">
        <v>50.407099083357593</v>
      </c>
      <c r="L680" s="9">
        <v>0.1869851628500914</v>
      </c>
      <c r="M680" s="11">
        <v>68.437449258171057</v>
      </c>
      <c r="N680" s="11">
        <v>75.281194183988163</v>
      </c>
    </row>
    <row r="681" spans="1:14">
      <c r="A681" t="s">
        <v>1967</v>
      </c>
      <c r="B681" t="s">
        <v>3273</v>
      </c>
      <c r="C681" t="s">
        <v>3274</v>
      </c>
      <c r="D681" t="s">
        <v>11</v>
      </c>
      <c r="E681" t="s">
        <v>13</v>
      </c>
      <c r="F681" t="s">
        <v>1970</v>
      </c>
      <c r="G681" t="s">
        <v>12</v>
      </c>
      <c r="I681" t="s">
        <v>3273</v>
      </c>
      <c r="J681" t="s">
        <v>4870</v>
      </c>
      <c r="K681" s="9">
        <v>3.1371582017044601</v>
      </c>
      <c r="L681" s="9">
        <v>0.19331657940939381</v>
      </c>
      <c r="M681" s="11">
        <v>18.861978892804785</v>
      </c>
      <c r="N681" s="11">
        <v>20.748176782085267</v>
      </c>
    </row>
    <row r="682" spans="1:14">
      <c r="A682" t="s">
        <v>1967</v>
      </c>
      <c r="B682" t="s">
        <v>3275</v>
      </c>
      <c r="C682" t="s">
        <v>3276</v>
      </c>
      <c r="D682" t="s">
        <v>11</v>
      </c>
      <c r="E682" t="s">
        <v>13</v>
      </c>
      <c r="F682" t="s">
        <v>1970</v>
      </c>
      <c r="G682" t="s">
        <v>12</v>
      </c>
      <c r="I682" t="s">
        <v>3275</v>
      </c>
      <c r="J682" t="s">
        <v>4871</v>
      </c>
      <c r="K682" s="9">
        <v>0.61275465450374211</v>
      </c>
      <c r="L682" s="9">
        <v>0.1896958774260378</v>
      </c>
      <c r="M682" s="11">
        <v>44.815191102100883</v>
      </c>
      <c r="N682" s="11">
        <v>49.296710212310977</v>
      </c>
    </row>
    <row r="683" spans="1:14">
      <c r="A683" t="s">
        <v>1967</v>
      </c>
      <c r="B683" t="s">
        <v>3277</v>
      </c>
      <c r="C683" t="s">
        <v>3278</v>
      </c>
      <c r="D683" t="s">
        <v>11</v>
      </c>
      <c r="E683" t="s">
        <v>13</v>
      </c>
      <c r="F683" t="s">
        <v>1970</v>
      </c>
      <c r="G683" t="s">
        <v>12</v>
      </c>
      <c r="I683" t="s">
        <v>3277</v>
      </c>
      <c r="J683" t="s">
        <v>4872</v>
      </c>
      <c r="K683" s="9">
        <v>0.98789041580667591</v>
      </c>
      <c r="L683" s="9">
        <v>0.1883730832846901</v>
      </c>
      <c r="M683" s="11">
        <v>27.323608403469571</v>
      </c>
      <c r="N683" s="11">
        <v>30.055969243816531</v>
      </c>
    </row>
    <row r="684" spans="1:14">
      <c r="A684" t="s">
        <v>1967</v>
      </c>
      <c r="B684" t="s">
        <v>3279</v>
      </c>
      <c r="C684" t="s">
        <v>3280</v>
      </c>
      <c r="D684" t="s">
        <v>11</v>
      </c>
      <c r="E684" t="s">
        <v>13</v>
      </c>
      <c r="F684" t="s">
        <v>1970</v>
      </c>
      <c r="G684" t="s">
        <v>12</v>
      </c>
      <c r="I684" t="s">
        <v>3279</v>
      </c>
      <c r="J684" t="s">
        <v>4873</v>
      </c>
      <c r="K684" s="11">
        <v>71.73010898277191</v>
      </c>
      <c r="L684" s="9">
        <v>0.25101571132811218</v>
      </c>
      <c r="M684" s="10">
        <v>909.85802365518418</v>
      </c>
      <c r="N684" s="10">
        <v>1000.8438260207026</v>
      </c>
    </row>
    <row r="685" spans="1:14">
      <c r="A685" t="s">
        <v>1967</v>
      </c>
      <c r="B685" t="s">
        <v>3281</v>
      </c>
      <c r="C685" t="s">
        <v>3282</v>
      </c>
      <c r="D685" t="s">
        <v>11</v>
      </c>
      <c r="E685" t="s">
        <v>13</v>
      </c>
      <c r="F685" t="s">
        <v>1970</v>
      </c>
      <c r="G685" t="s">
        <v>12</v>
      </c>
      <c r="I685" t="s">
        <v>3281</v>
      </c>
      <c r="J685" t="s">
        <v>4874</v>
      </c>
      <c r="K685" s="11">
        <v>91.209544970733035</v>
      </c>
      <c r="L685" s="9">
        <v>0.23844027418652081</v>
      </c>
      <c r="M685" s="10">
        <v>878.03088142304466</v>
      </c>
      <c r="N685" s="10">
        <v>965.83396956534921</v>
      </c>
    </row>
    <row r="686" spans="1:14">
      <c r="A686" t="s">
        <v>1967</v>
      </c>
      <c r="B686" t="s">
        <v>3283</v>
      </c>
      <c r="C686" t="s">
        <v>3284</v>
      </c>
      <c r="D686" t="s">
        <v>11</v>
      </c>
      <c r="E686" t="s">
        <v>13</v>
      </c>
      <c r="F686" t="s">
        <v>1970</v>
      </c>
      <c r="G686" t="s">
        <v>12</v>
      </c>
      <c r="I686" t="s">
        <v>3283</v>
      </c>
      <c r="J686" t="s">
        <v>4875</v>
      </c>
      <c r="K686" s="11">
        <v>27.558108561118797</v>
      </c>
      <c r="L686" s="9">
        <v>0.25414000859441699</v>
      </c>
      <c r="M686" s="10">
        <v>398.96063913237498</v>
      </c>
      <c r="N686" s="10">
        <v>438.85670304561251</v>
      </c>
    </row>
    <row r="687" spans="1:14">
      <c r="A687" t="s">
        <v>1967</v>
      </c>
      <c r="B687" t="s">
        <v>3285</v>
      </c>
      <c r="C687" t="s">
        <v>3286</v>
      </c>
      <c r="D687" t="s">
        <v>11</v>
      </c>
      <c r="E687" t="s">
        <v>13</v>
      </c>
      <c r="F687" t="s">
        <v>1970</v>
      </c>
      <c r="G687" t="s">
        <v>12</v>
      </c>
      <c r="I687" t="s">
        <v>3285</v>
      </c>
      <c r="J687" t="s">
        <v>4876</v>
      </c>
      <c r="K687" s="10">
        <v>236.17017809689369</v>
      </c>
      <c r="L687" s="9">
        <v>0.25292588529770599</v>
      </c>
      <c r="M687" s="10">
        <v>689.70811577112659</v>
      </c>
      <c r="N687" s="10">
        <v>758.67892734823931</v>
      </c>
    </row>
    <row r="688" spans="1:14">
      <c r="A688" t="s">
        <v>1967</v>
      </c>
      <c r="B688" t="s">
        <v>3287</v>
      </c>
      <c r="C688" t="s">
        <v>3288</v>
      </c>
      <c r="D688" t="s">
        <v>11</v>
      </c>
      <c r="E688" t="s">
        <v>13</v>
      </c>
      <c r="F688" t="s">
        <v>1970</v>
      </c>
      <c r="G688" t="s">
        <v>12</v>
      </c>
      <c r="I688" t="s">
        <v>3287</v>
      </c>
      <c r="J688" t="s">
        <v>4877</v>
      </c>
      <c r="K688" s="10">
        <v>107.27426091697235</v>
      </c>
      <c r="L688" s="9">
        <v>0.24755707694215601</v>
      </c>
      <c r="M688" s="10">
        <v>609.08735982148971</v>
      </c>
      <c r="N688" s="10">
        <v>669.9960958036387</v>
      </c>
    </row>
    <row r="689" spans="1:14">
      <c r="A689" t="s">
        <v>1967</v>
      </c>
      <c r="B689" t="s">
        <v>3289</v>
      </c>
      <c r="C689" t="s">
        <v>3290</v>
      </c>
      <c r="D689" t="s">
        <v>11</v>
      </c>
      <c r="E689" t="s">
        <v>13</v>
      </c>
      <c r="F689" t="s">
        <v>1970</v>
      </c>
      <c r="G689" t="s">
        <v>12</v>
      </c>
      <c r="I689" t="s">
        <v>3289</v>
      </c>
      <c r="J689" t="s">
        <v>4878</v>
      </c>
      <c r="K689" s="11">
        <v>10.050345656069673</v>
      </c>
      <c r="L689" s="9">
        <v>0.23689966060714851</v>
      </c>
      <c r="M689" s="10">
        <v>158.11347051588692</v>
      </c>
      <c r="N689" s="10">
        <v>173.92481756747563</v>
      </c>
    </row>
    <row r="690" spans="1:14">
      <c r="A690" t="s">
        <v>1967</v>
      </c>
      <c r="B690" t="s">
        <v>3291</v>
      </c>
      <c r="C690" t="s">
        <v>3292</v>
      </c>
      <c r="D690" t="s">
        <v>11</v>
      </c>
      <c r="E690" t="s">
        <v>13</v>
      </c>
      <c r="F690" t="s">
        <v>1970</v>
      </c>
      <c r="G690" t="s">
        <v>12</v>
      </c>
      <c r="I690" t="s">
        <v>3291</v>
      </c>
      <c r="J690" t="s">
        <v>4879</v>
      </c>
      <c r="K690" s="11">
        <v>50.107778798183205</v>
      </c>
      <c r="L690" s="9">
        <v>0.21501137095847619</v>
      </c>
      <c r="M690" s="10">
        <v>1181.4393558469108</v>
      </c>
      <c r="N690" s="10">
        <v>1299.583291431602</v>
      </c>
    </row>
    <row r="691" spans="1:14">
      <c r="A691" t="s">
        <v>1967</v>
      </c>
      <c r="B691" t="s">
        <v>3293</v>
      </c>
      <c r="C691" t="s">
        <v>3292</v>
      </c>
      <c r="D691" t="s">
        <v>11</v>
      </c>
      <c r="E691" t="s">
        <v>13</v>
      </c>
      <c r="F691" t="s">
        <v>1970</v>
      </c>
      <c r="G691" t="s">
        <v>12</v>
      </c>
      <c r="I691" t="s">
        <v>3293</v>
      </c>
      <c r="J691" t="s">
        <v>4880</v>
      </c>
      <c r="K691" s="11">
        <v>67.517956573998831</v>
      </c>
      <c r="L691" s="9">
        <v>0.2135861614110936</v>
      </c>
      <c r="M691" s="10">
        <v>810.54128081697479</v>
      </c>
      <c r="N691" s="10">
        <v>891.5954088986723</v>
      </c>
    </row>
    <row r="692" spans="1:14">
      <c r="A692" t="s">
        <v>1967</v>
      </c>
      <c r="B692" t="s">
        <v>3294</v>
      </c>
      <c r="C692" t="s">
        <v>3295</v>
      </c>
      <c r="D692" t="s">
        <v>11</v>
      </c>
      <c r="E692" t="s">
        <v>13</v>
      </c>
      <c r="F692" t="s">
        <v>1970</v>
      </c>
      <c r="G692" t="s">
        <v>12</v>
      </c>
      <c r="I692" t="s">
        <v>3294</v>
      </c>
      <c r="J692" t="s">
        <v>4881</v>
      </c>
      <c r="K692" s="10">
        <v>105.53767020857414</v>
      </c>
      <c r="L692" s="9">
        <v>0.22306421305576141</v>
      </c>
      <c r="M692" s="10">
        <v>772.40333816239252</v>
      </c>
      <c r="N692" s="10">
        <v>849.6436719786318</v>
      </c>
    </row>
    <row r="693" spans="1:14">
      <c r="A693" t="s">
        <v>1967</v>
      </c>
      <c r="B693" t="s">
        <v>3296</v>
      </c>
      <c r="C693" t="s">
        <v>3297</v>
      </c>
      <c r="D693" t="s">
        <v>11</v>
      </c>
      <c r="E693" t="s">
        <v>13</v>
      </c>
      <c r="F693" t="s">
        <v>1970</v>
      </c>
      <c r="G693" t="s">
        <v>12</v>
      </c>
      <c r="I693" t="s">
        <v>3296</v>
      </c>
      <c r="J693" t="s">
        <v>4882</v>
      </c>
      <c r="K693" s="11">
        <v>31.676438661324148</v>
      </c>
      <c r="L693" s="9">
        <v>0.22245407797390759</v>
      </c>
      <c r="M693" s="10">
        <v>144.42312783200501</v>
      </c>
      <c r="N693" s="10">
        <v>158.86544061520553</v>
      </c>
    </row>
    <row r="694" spans="1:14">
      <c r="A694" t="s">
        <v>1967</v>
      </c>
      <c r="B694" t="s">
        <v>3298</v>
      </c>
      <c r="C694" t="s">
        <v>3299</v>
      </c>
      <c r="D694" t="s">
        <v>11</v>
      </c>
      <c r="E694" t="s">
        <v>13</v>
      </c>
      <c r="F694" t="s">
        <v>1970</v>
      </c>
      <c r="G694" t="s">
        <v>12</v>
      </c>
      <c r="I694" t="s">
        <v>3298</v>
      </c>
      <c r="J694" t="s">
        <v>4883</v>
      </c>
      <c r="K694" s="11">
        <v>36.313105199981003</v>
      </c>
      <c r="L694" s="9">
        <v>0.2309436572289893</v>
      </c>
      <c r="M694" s="10">
        <v>228.04443047251581</v>
      </c>
      <c r="N694" s="10">
        <v>250.84887351976741</v>
      </c>
    </row>
    <row r="695" spans="1:14">
      <c r="A695" t="s">
        <v>1967</v>
      </c>
      <c r="B695" t="s">
        <v>3300</v>
      </c>
      <c r="C695" t="s">
        <v>3301</v>
      </c>
      <c r="D695" t="s">
        <v>11</v>
      </c>
      <c r="E695" t="s">
        <v>13</v>
      </c>
      <c r="F695" t="s">
        <v>1970</v>
      </c>
      <c r="G695" t="s">
        <v>12</v>
      </c>
      <c r="I695" t="s">
        <v>3300</v>
      </c>
      <c r="J695" t="s">
        <v>4884</v>
      </c>
      <c r="K695" s="10">
        <v>267.9159629796215</v>
      </c>
      <c r="L695" s="9">
        <v>0.2433578499718112</v>
      </c>
      <c r="M695" s="10">
        <v>559.92311329678989</v>
      </c>
      <c r="N695" s="10">
        <v>615.91542462646896</v>
      </c>
    </row>
    <row r="696" spans="1:14">
      <c r="A696" t="s">
        <v>1967</v>
      </c>
      <c r="B696" t="s">
        <v>3302</v>
      </c>
      <c r="C696" t="s">
        <v>3303</v>
      </c>
      <c r="D696" t="s">
        <v>11</v>
      </c>
      <c r="E696" t="s">
        <v>13</v>
      </c>
      <c r="F696" t="s">
        <v>1970</v>
      </c>
      <c r="G696" t="s">
        <v>12</v>
      </c>
      <c r="I696" t="s">
        <v>3302</v>
      </c>
      <c r="J696" t="s">
        <v>4885</v>
      </c>
      <c r="K696" s="10">
        <v>138.64069881372737</v>
      </c>
      <c r="L696" s="9">
        <v>0.23724742084650979</v>
      </c>
      <c r="M696" s="10">
        <v>629.84624174188298</v>
      </c>
      <c r="N696" s="10">
        <v>692.83086591607128</v>
      </c>
    </row>
    <row r="697" spans="1:14">
      <c r="A697" t="s">
        <v>1967</v>
      </c>
      <c r="B697" t="s">
        <v>3304</v>
      </c>
      <c r="C697" t="s">
        <v>3305</v>
      </c>
      <c r="D697" t="s">
        <v>11</v>
      </c>
      <c r="E697" t="s">
        <v>13</v>
      </c>
      <c r="F697" t="s">
        <v>1970</v>
      </c>
      <c r="G697" t="s">
        <v>12</v>
      </c>
      <c r="I697" t="s">
        <v>3304</v>
      </c>
      <c r="J697" t="s">
        <v>4886</v>
      </c>
      <c r="K697" s="10">
        <v>142.26922568904425</v>
      </c>
      <c r="L697" s="9">
        <v>0.23290673711587159</v>
      </c>
      <c r="M697" s="10">
        <v>304.42349903362089</v>
      </c>
      <c r="N697" s="10">
        <v>334.86584893698301</v>
      </c>
    </row>
    <row r="698" spans="1:14">
      <c r="A698" t="s">
        <v>1967</v>
      </c>
      <c r="B698" t="s">
        <v>3306</v>
      </c>
      <c r="C698" t="s">
        <v>3307</v>
      </c>
      <c r="D698" t="s">
        <v>11</v>
      </c>
      <c r="E698" t="s">
        <v>13</v>
      </c>
      <c r="F698" t="s">
        <v>1970</v>
      </c>
      <c r="G698" t="s">
        <v>12</v>
      </c>
      <c r="I698" t="s">
        <v>3306</v>
      </c>
      <c r="J698" t="s">
        <v>4887</v>
      </c>
      <c r="K698" s="11">
        <v>29.195314134188081</v>
      </c>
      <c r="L698" s="9">
        <v>0.20802886670729309</v>
      </c>
      <c r="M698" s="10">
        <v>320.10872709102711</v>
      </c>
      <c r="N698" s="10">
        <v>352.11959980012983</v>
      </c>
    </row>
    <row r="699" spans="1:14">
      <c r="A699" t="s">
        <v>1967</v>
      </c>
      <c r="B699" t="s">
        <v>3308</v>
      </c>
      <c r="C699" t="s">
        <v>3309</v>
      </c>
      <c r="D699" t="s">
        <v>11</v>
      </c>
      <c r="E699" t="s">
        <v>13</v>
      </c>
      <c r="F699" t="s">
        <v>1970</v>
      </c>
      <c r="G699" t="s">
        <v>12</v>
      </c>
      <c r="I699" t="s">
        <v>3308</v>
      </c>
      <c r="J699" t="s">
        <v>4888</v>
      </c>
      <c r="K699" s="9">
        <v>6.9105795764965352</v>
      </c>
      <c r="L699" s="9">
        <v>0.1848642612420765</v>
      </c>
      <c r="M699" s="11">
        <v>98.442656974575939</v>
      </c>
      <c r="N699" s="10">
        <v>108.28692267203354</v>
      </c>
    </row>
    <row r="700" spans="1:14">
      <c r="A700" t="s">
        <v>1967</v>
      </c>
      <c r="B700" t="s">
        <v>3310</v>
      </c>
      <c r="C700" t="s">
        <v>3311</v>
      </c>
      <c r="D700" t="s">
        <v>11</v>
      </c>
      <c r="E700" t="s">
        <v>13</v>
      </c>
      <c r="F700" t="s">
        <v>1970</v>
      </c>
      <c r="G700" t="s">
        <v>12</v>
      </c>
      <c r="I700" t="s">
        <v>3310</v>
      </c>
      <c r="J700" t="s">
        <v>4889</v>
      </c>
      <c r="K700" s="11">
        <v>20.578852544365869</v>
      </c>
      <c r="L700" s="9">
        <v>0.1932402564392369</v>
      </c>
      <c r="M700" s="10">
        <v>288.27864299006399</v>
      </c>
      <c r="N700" s="10">
        <v>317.10650728907041</v>
      </c>
    </row>
    <row r="701" spans="1:14">
      <c r="A701" t="s">
        <v>1967</v>
      </c>
      <c r="B701" t="s">
        <v>3312</v>
      </c>
      <c r="C701" t="s">
        <v>3313</v>
      </c>
      <c r="D701" t="s">
        <v>11</v>
      </c>
      <c r="E701" t="s">
        <v>13</v>
      </c>
      <c r="F701" t="s">
        <v>1970</v>
      </c>
      <c r="G701" t="s">
        <v>12</v>
      </c>
      <c r="I701" t="s">
        <v>3312</v>
      </c>
      <c r="J701" t="s">
        <v>4890</v>
      </c>
      <c r="K701" s="11">
        <v>36.359999801437702</v>
      </c>
      <c r="L701" s="9">
        <v>0.22129405591433721</v>
      </c>
      <c r="M701" s="10">
        <v>228.34063620681627</v>
      </c>
      <c r="N701" s="10">
        <v>251.17469982749793</v>
      </c>
    </row>
    <row r="702" spans="1:14">
      <c r="A702" t="s">
        <v>1967</v>
      </c>
      <c r="B702" t="s">
        <v>3314</v>
      </c>
      <c r="C702" t="s">
        <v>3315</v>
      </c>
      <c r="D702" t="s">
        <v>11</v>
      </c>
      <c r="E702" t="s">
        <v>13</v>
      </c>
      <c r="F702" t="s">
        <v>1970</v>
      </c>
      <c r="G702" t="s">
        <v>12</v>
      </c>
      <c r="I702" t="s">
        <v>3314</v>
      </c>
      <c r="J702" t="s">
        <v>4891</v>
      </c>
      <c r="K702" s="9">
        <v>1.9239062508117641</v>
      </c>
      <c r="L702" s="9">
        <v>0.2183449914193521</v>
      </c>
      <c r="M702" s="11">
        <v>83.980207478464663</v>
      </c>
      <c r="N702" s="11">
        <v>92.378228226311137</v>
      </c>
    </row>
    <row r="703" spans="1:14">
      <c r="A703" t="s">
        <v>1967</v>
      </c>
      <c r="B703" t="s">
        <v>3316</v>
      </c>
      <c r="C703" t="s">
        <v>3317</v>
      </c>
      <c r="D703" t="s">
        <v>11</v>
      </c>
      <c r="E703" t="s">
        <v>13</v>
      </c>
      <c r="F703" t="s">
        <v>1970</v>
      </c>
      <c r="G703" t="s">
        <v>12</v>
      </c>
      <c r="I703" t="s">
        <v>3316</v>
      </c>
      <c r="J703" t="s">
        <v>4892</v>
      </c>
      <c r="K703" s="11">
        <v>27.168126864028359</v>
      </c>
      <c r="L703" s="9">
        <v>0.21674244424691719</v>
      </c>
      <c r="M703" s="10">
        <v>228.20975038833188</v>
      </c>
      <c r="N703" s="10">
        <v>251.03072542716509</v>
      </c>
    </row>
    <row r="704" spans="1:14">
      <c r="A704" t="s">
        <v>1967</v>
      </c>
      <c r="B704" t="s">
        <v>3318</v>
      </c>
      <c r="C704" t="s">
        <v>3319</v>
      </c>
      <c r="D704" t="s">
        <v>11</v>
      </c>
      <c r="E704" t="s">
        <v>13</v>
      </c>
      <c r="F704" t="s">
        <v>1970</v>
      </c>
      <c r="G704" t="s">
        <v>12</v>
      </c>
      <c r="I704" t="s">
        <v>3318</v>
      </c>
      <c r="J704" t="s">
        <v>4893</v>
      </c>
      <c r="K704" s="11">
        <v>15.977148259936252</v>
      </c>
      <c r="L704" s="9">
        <v>0.21554125497766491</v>
      </c>
      <c r="M704" s="10">
        <v>137.49668272953508</v>
      </c>
      <c r="N704" s="10">
        <v>151.24635100248861</v>
      </c>
    </row>
    <row r="705" spans="1:14">
      <c r="A705" t="s">
        <v>1967</v>
      </c>
      <c r="B705" t="s">
        <v>3320</v>
      </c>
      <c r="C705" t="s">
        <v>3321</v>
      </c>
      <c r="D705" t="s">
        <v>11</v>
      </c>
      <c r="E705" t="s">
        <v>13</v>
      </c>
      <c r="F705" t="s">
        <v>1970</v>
      </c>
      <c r="G705" t="s">
        <v>12</v>
      </c>
      <c r="I705" t="s">
        <v>3320</v>
      </c>
      <c r="J705" t="s">
        <v>4894</v>
      </c>
      <c r="K705" s="11">
        <v>13.395309793740223</v>
      </c>
      <c r="L705" s="9">
        <v>0.2065291695290728</v>
      </c>
      <c r="M705" s="10">
        <v>136.47252517197117</v>
      </c>
      <c r="N705" s="10">
        <v>150.1197776891683</v>
      </c>
    </row>
    <row r="706" spans="1:14">
      <c r="A706" t="s">
        <v>1967</v>
      </c>
      <c r="B706" t="s">
        <v>3322</v>
      </c>
      <c r="C706" t="s">
        <v>3323</v>
      </c>
      <c r="D706" t="s">
        <v>11</v>
      </c>
      <c r="E706" t="s">
        <v>13</v>
      </c>
      <c r="F706" t="s">
        <v>1970</v>
      </c>
      <c r="G706" t="s">
        <v>12</v>
      </c>
      <c r="I706" t="s">
        <v>3322</v>
      </c>
      <c r="J706" t="s">
        <v>4895</v>
      </c>
      <c r="K706" s="11">
        <v>27.238872712025881</v>
      </c>
      <c r="L706" s="9">
        <v>0.2158124060106347</v>
      </c>
      <c r="M706" s="11">
        <v>98.365392545937283</v>
      </c>
      <c r="N706" s="10">
        <v>108.20193180053101</v>
      </c>
    </row>
    <row r="707" spans="1:14">
      <c r="A707" t="s">
        <v>1967</v>
      </c>
      <c r="B707" t="s">
        <v>3324</v>
      </c>
      <c r="C707" t="s">
        <v>3325</v>
      </c>
      <c r="D707" t="s">
        <v>11</v>
      </c>
      <c r="E707" t="s">
        <v>13</v>
      </c>
      <c r="F707" t="s">
        <v>1970</v>
      </c>
      <c r="G707" t="s">
        <v>12</v>
      </c>
      <c r="I707" t="s">
        <v>3324</v>
      </c>
      <c r="J707" t="s">
        <v>4896</v>
      </c>
      <c r="K707" s="11">
        <v>45.552041903232585</v>
      </c>
      <c r="L707" s="9">
        <v>0.22888040235450821</v>
      </c>
      <c r="M707" s="10">
        <v>157.81064154078095</v>
      </c>
      <c r="N707" s="10">
        <v>173.59170569485906</v>
      </c>
    </row>
    <row r="708" spans="1:14">
      <c r="A708" t="s">
        <v>1967</v>
      </c>
      <c r="B708" t="s">
        <v>3326</v>
      </c>
      <c r="C708" t="s">
        <v>3327</v>
      </c>
      <c r="D708" t="s">
        <v>11</v>
      </c>
      <c r="E708" t="s">
        <v>13</v>
      </c>
      <c r="F708" t="s">
        <v>1970</v>
      </c>
      <c r="G708" t="s">
        <v>12</v>
      </c>
      <c r="I708" t="s">
        <v>3326</v>
      </c>
      <c r="J708" t="s">
        <v>4897</v>
      </c>
      <c r="K708" s="11">
        <v>86.698368348881573</v>
      </c>
      <c r="L708" s="9">
        <v>0.2735415638141413</v>
      </c>
      <c r="M708" s="10">
        <v>216.82519957356388</v>
      </c>
      <c r="N708" s="10">
        <v>238.5077195309203</v>
      </c>
    </row>
    <row r="709" spans="1:14">
      <c r="A709" t="s">
        <v>1967</v>
      </c>
      <c r="B709" t="s">
        <v>3328</v>
      </c>
      <c r="C709" t="s">
        <v>3329</v>
      </c>
      <c r="D709" t="s">
        <v>11</v>
      </c>
      <c r="E709" t="s">
        <v>13</v>
      </c>
      <c r="F709" t="s">
        <v>1970</v>
      </c>
      <c r="G709" t="s">
        <v>12</v>
      </c>
      <c r="I709" t="s">
        <v>3328</v>
      </c>
      <c r="J709" t="s">
        <v>4898</v>
      </c>
      <c r="K709" s="11">
        <v>29.597183363237868</v>
      </c>
      <c r="L709" s="9">
        <v>0.2637053548899142</v>
      </c>
      <c r="M709" s="10">
        <v>144.41943300401672</v>
      </c>
      <c r="N709" s="10">
        <v>158.8613763044184</v>
      </c>
    </row>
    <row r="710" spans="1:14">
      <c r="A710" t="s">
        <v>1967</v>
      </c>
      <c r="B710" t="s">
        <v>3330</v>
      </c>
      <c r="C710" t="s">
        <v>3331</v>
      </c>
      <c r="D710" t="s">
        <v>11</v>
      </c>
      <c r="E710" t="s">
        <v>13</v>
      </c>
      <c r="F710" t="s">
        <v>1970</v>
      </c>
      <c r="G710" t="s">
        <v>12</v>
      </c>
      <c r="I710" t="s">
        <v>3330</v>
      </c>
      <c r="J710" t="s">
        <v>4899</v>
      </c>
      <c r="K710" s="11">
        <v>86.777720418454066</v>
      </c>
      <c r="L710" s="9">
        <v>0.2724583419960922</v>
      </c>
      <c r="M710" s="10">
        <v>384.79115580431727</v>
      </c>
      <c r="N710" s="10">
        <v>423.27027138474904</v>
      </c>
    </row>
    <row r="711" spans="1:14">
      <c r="A711" t="s">
        <v>1967</v>
      </c>
      <c r="B711" t="s">
        <v>3332</v>
      </c>
      <c r="C711" t="s">
        <v>3333</v>
      </c>
      <c r="D711" t="s">
        <v>11</v>
      </c>
      <c r="E711" t="s">
        <v>13</v>
      </c>
      <c r="F711" t="s">
        <v>1970</v>
      </c>
      <c r="G711" t="s">
        <v>12</v>
      </c>
      <c r="I711" t="s">
        <v>3332</v>
      </c>
      <c r="J711" t="s">
        <v>4900</v>
      </c>
      <c r="K711" s="11">
        <v>39.507454790625438</v>
      </c>
      <c r="L711" s="9">
        <v>0.26024626796417438</v>
      </c>
      <c r="M711" s="10">
        <v>390.71713317707531</v>
      </c>
      <c r="N711" s="10">
        <v>429.78884649478289</v>
      </c>
    </row>
    <row r="712" spans="1:14">
      <c r="A712" t="s">
        <v>1967</v>
      </c>
      <c r="B712" t="s">
        <v>3334</v>
      </c>
      <c r="C712" t="s">
        <v>3335</v>
      </c>
      <c r="D712" t="s">
        <v>11</v>
      </c>
      <c r="E712" t="s">
        <v>13</v>
      </c>
      <c r="F712" t="s">
        <v>1970</v>
      </c>
      <c r="G712" t="s">
        <v>12</v>
      </c>
      <c r="I712" t="s">
        <v>3334</v>
      </c>
      <c r="J712" t="s">
        <v>4901</v>
      </c>
      <c r="K712" s="10">
        <v>110.59941627157995</v>
      </c>
      <c r="L712" s="9">
        <v>0.26443862182767491</v>
      </c>
      <c r="M712" s="10">
        <v>660.89497111531318</v>
      </c>
      <c r="N712" s="10">
        <v>726.98446822684457</v>
      </c>
    </row>
    <row r="713" spans="1:14">
      <c r="A713" t="s">
        <v>1967</v>
      </c>
      <c r="B713" t="s">
        <v>3336</v>
      </c>
      <c r="C713" t="s">
        <v>3337</v>
      </c>
      <c r="D713" t="s">
        <v>11</v>
      </c>
      <c r="E713" t="s">
        <v>13</v>
      </c>
      <c r="F713" t="s">
        <v>1970</v>
      </c>
      <c r="G713" t="s">
        <v>12</v>
      </c>
      <c r="I713" t="s">
        <v>3336</v>
      </c>
      <c r="J713" t="s">
        <v>4902</v>
      </c>
      <c r="K713" s="10">
        <v>192.1394359503299</v>
      </c>
      <c r="L713" s="9">
        <v>0.2800561096826843</v>
      </c>
      <c r="M713" s="10">
        <v>964.48254842687766</v>
      </c>
      <c r="N713" s="10">
        <v>1060.9308032695656</v>
      </c>
    </row>
    <row r="714" spans="1:14">
      <c r="A714" t="s">
        <v>1967</v>
      </c>
      <c r="B714" t="s">
        <v>3338</v>
      </c>
      <c r="C714" t="s">
        <v>3337</v>
      </c>
      <c r="D714" t="s">
        <v>11</v>
      </c>
      <c r="E714" t="s">
        <v>13</v>
      </c>
      <c r="F714" t="s">
        <v>1970</v>
      </c>
      <c r="G714" t="s">
        <v>12</v>
      </c>
      <c r="I714" t="s">
        <v>3338</v>
      </c>
      <c r="J714" t="s">
        <v>4903</v>
      </c>
      <c r="K714" s="10">
        <v>136.3598875574817</v>
      </c>
      <c r="L714" s="9">
        <v>0.27293185606764042</v>
      </c>
      <c r="M714" s="10">
        <v>1030.8791009841009</v>
      </c>
      <c r="N714" s="10">
        <v>1133.9670110825111</v>
      </c>
    </row>
    <row r="715" spans="1:14">
      <c r="A715" t="s">
        <v>1967</v>
      </c>
      <c r="B715" t="s">
        <v>3339</v>
      </c>
      <c r="C715" t="s">
        <v>3340</v>
      </c>
      <c r="D715" t="s">
        <v>11</v>
      </c>
      <c r="E715" t="s">
        <v>13</v>
      </c>
      <c r="F715" t="s">
        <v>1970</v>
      </c>
      <c r="G715" t="s">
        <v>12</v>
      </c>
      <c r="I715" t="s">
        <v>3339</v>
      </c>
      <c r="J715" t="s">
        <v>4904</v>
      </c>
      <c r="K715" s="11">
        <v>59.671960181181902</v>
      </c>
      <c r="L715" s="9">
        <v>0.27822757024484501</v>
      </c>
      <c r="M715" s="10">
        <v>786.15527289796137</v>
      </c>
      <c r="N715" s="10">
        <v>864.77080018775757</v>
      </c>
    </row>
    <row r="716" spans="1:14">
      <c r="A716" t="s">
        <v>1967</v>
      </c>
      <c r="B716" t="s">
        <v>3341</v>
      </c>
      <c r="C716" t="s">
        <v>3340</v>
      </c>
      <c r="D716" t="s">
        <v>11</v>
      </c>
      <c r="E716" t="s">
        <v>13</v>
      </c>
      <c r="F716" t="s">
        <v>1970</v>
      </c>
      <c r="G716" t="s">
        <v>12</v>
      </c>
      <c r="I716" t="s">
        <v>3341</v>
      </c>
      <c r="J716" t="s">
        <v>4905</v>
      </c>
      <c r="K716" s="10">
        <v>108.06654438834673</v>
      </c>
      <c r="L716" s="9">
        <v>0.27782454266456152</v>
      </c>
      <c r="M716" s="10">
        <v>648.07278462815179</v>
      </c>
      <c r="N716" s="10">
        <v>712.88006309096704</v>
      </c>
    </row>
    <row r="717" spans="1:14">
      <c r="A717" t="s">
        <v>1967</v>
      </c>
      <c r="B717" t="s">
        <v>3342</v>
      </c>
      <c r="C717" t="s">
        <v>3331</v>
      </c>
      <c r="D717" t="s">
        <v>11</v>
      </c>
      <c r="E717" t="s">
        <v>13</v>
      </c>
      <c r="F717" t="s">
        <v>1970</v>
      </c>
      <c r="G717" t="s">
        <v>12</v>
      </c>
      <c r="I717" t="s">
        <v>3342</v>
      </c>
      <c r="J717" t="s">
        <v>4906</v>
      </c>
      <c r="K717" s="10">
        <v>261.97470424587249</v>
      </c>
      <c r="L717" s="9">
        <v>0.2816408050898101</v>
      </c>
      <c r="M717" s="10">
        <v>854.64068772544942</v>
      </c>
      <c r="N717" s="10">
        <v>940.10475649799446</v>
      </c>
    </row>
    <row r="718" spans="1:14">
      <c r="A718" t="s">
        <v>1967</v>
      </c>
      <c r="B718" t="s">
        <v>3343</v>
      </c>
      <c r="C718" t="s">
        <v>3340</v>
      </c>
      <c r="D718" t="s">
        <v>11</v>
      </c>
      <c r="E718" t="s">
        <v>13</v>
      </c>
      <c r="F718" t="s">
        <v>1970</v>
      </c>
      <c r="G718" t="s">
        <v>12</v>
      </c>
      <c r="I718" t="s">
        <v>3343</v>
      </c>
      <c r="J718" t="s">
        <v>4907</v>
      </c>
      <c r="K718" s="10">
        <v>289.74365316742131</v>
      </c>
      <c r="L718" s="9">
        <v>0.27992058962222688</v>
      </c>
      <c r="M718" s="10">
        <v>1103.4735875558597</v>
      </c>
      <c r="N718" s="10">
        <v>1213.8209463114458</v>
      </c>
    </row>
    <row r="719" spans="1:14">
      <c r="A719" t="s">
        <v>1967</v>
      </c>
      <c r="B719" t="s">
        <v>3344</v>
      </c>
      <c r="C719" t="s">
        <v>3345</v>
      </c>
      <c r="D719" t="s">
        <v>11</v>
      </c>
      <c r="E719" t="s">
        <v>13</v>
      </c>
      <c r="F719" t="s">
        <v>1970</v>
      </c>
      <c r="G719" t="s">
        <v>12</v>
      </c>
      <c r="I719" t="s">
        <v>3344</v>
      </c>
      <c r="J719" t="s">
        <v>4908</v>
      </c>
      <c r="K719" s="9">
        <v>1.6888956129686805</v>
      </c>
      <c r="L719" s="9">
        <v>0.2283027490898395</v>
      </c>
      <c r="M719" s="10">
        <v>179.30555562568151</v>
      </c>
      <c r="N719" s="10">
        <v>197.23611118824968</v>
      </c>
    </row>
    <row r="720" spans="1:14">
      <c r="A720" t="s">
        <v>1967</v>
      </c>
      <c r="B720" t="s">
        <v>3346</v>
      </c>
      <c r="C720" t="s">
        <v>3347</v>
      </c>
      <c r="D720" t="s">
        <v>11</v>
      </c>
      <c r="E720" t="s">
        <v>13</v>
      </c>
      <c r="F720" t="s">
        <v>1970</v>
      </c>
      <c r="G720" t="s">
        <v>12</v>
      </c>
      <c r="I720" t="s">
        <v>3346</v>
      </c>
      <c r="J720" t="s">
        <v>4909</v>
      </c>
      <c r="K720" s="9">
        <v>2.1540569024205189</v>
      </c>
      <c r="L720" s="9">
        <v>0.23482046911680901</v>
      </c>
      <c r="M720" s="10">
        <v>105.30662715605746</v>
      </c>
      <c r="N720" s="10">
        <v>115.83728987166322</v>
      </c>
    </row>
    <row r="721" spans="1:14">
      <c r="A721" t="s">
        <v>1967</v>
      </c>
      <c r="B721" t="s">
        <v>3348</v>
      </c>
      <c r="C721" t="s">
        <v>3349</v>
      </c>
      <c r="D721" t="s">
        <v>11</v>
      </c>
      <c r="E721" t="s">
        <v>13</v>
      </c>
      <c r="F721" t="s">
        <v>1970</v>
      </c>
      <c r="G721" t="s">
        <v>12</v>
      </c>
      <c r="I721" t="s">
        <v>3348</v>
      </c>
      <c r="J721" t="s">
        <v>4910</v>
      </c>
      <c r="K721" s="9">
        <v>5.7130671732627576</v>
      </c>
      <c r="L721" s="9">
        <v>0.21795536479130881</v>
      </c>
      <c r="M721" s="11">
        <v>97.763727497260078</v>
      </c>
      <c r="N721" s="10">
        <v>107.5401002469861</v>
      </c>
    </row>
    <row r="722" spans="1:14">
      <c r="A722" t="s">
        <v>1967</v>
      </c>
      <c r="B722" t="s">
        <v>3350</v>
      </c>
      <c r="C722" t="s">
        <v>3351</v>
      </c>
      <c r="D722" t="s">
        <v>11</v>
      </c>
      <c r="E722" t="s">
        <v>13</v>
      </c>
      <c r="F722" t="s">
        <v>1970</v>
      </c>
      <c r="G722" t="s">
        <v>12</v>
      </c>
      <c r="I722" t="s">
        <v>3350</v>
      </c>
      <c r="J722" t="s">
        <v>4911</v>
      </c>
      <c r="K722" s="9">
        <v>0.83084291962317025</v>
      </c>
      <c r="L722" s="9">
        <v>0.2277034252891654</v>
      </c>
      <c r="M722" s="10">
        <v>121.49506903697916</v>
      </c>
      <c r="N722" s="10">
        <v>133.6445759406771</v>
      </c>
    </row>
    <row r="723" spans="1:14">
      <c r="A723" t="s">
        <v>1967</v>
      </c>
      <c r="B723" t="s">
        <v>3352</v>
      </c>
      <c r="C723" t="s">
        <v>3353</v>
      </c>
      <c r="D723" t="s">
        <v>11</v>
      </c>
      <c r="E723" t="s">
        <v>13</v>
      </c>
      <c r="F723" t="s">
        <v>1970</v>
      </c>
      <c r="G723" t="s">
        <v>12</v>
      </c>
      <c r="I723" t="s">
        <v>3352</v>
      </c>
      <c r="J723" t="s">
        <v>4912</v>
      </c>
      <c r="K723" s="9">
        <v>1.6988622221679308</v>
      </c>
      <c r="L723" s="9">
        <v>0.23478047955943351</v>
      </c>
      <c r="M723" s="11">
        <v>65.449786688974086</v>
      </c>
      <c r="N723" s="11">
        <v>71.994765357871501</v>
      </c>
    </row>
    <row r="724" spans="1:14">
      <c r="A724" t="s">
        <v>1967</v>
      </c>
      <c r="B724" t="s">
        <v>3354</v>
      </c>
      <c r="C724" t="s">
        <v>3355</v>
      </c>
      <c r="D724" t="s">
        <v>11</v>
      </c>
      <c r="E724" t="s">
        <v>13</v>
      </c>
      <c r="F724" t="s">
        <v>1970</v>
      </c>
      <c r="G724" t="s">
        <v>12</v>
      </c>
      <c r="I724" t="s">
        <v>3354</v>
      </c>
      <c r="J724" t="s">
        <v>4913</v>
      </c>
      <c r="K724" s="11">
        <v>35.895216117110955</v>
      </c>
      <c r="L724" s="9">
        <v>0.18530976482330699</v>
      </c>
      <c r="M724" s="11">
        <v>55.872733466397662</v>
      </c>
      <c r="N724" s="11">
        <v>61.460006813037431</v>
      </c>
    </row>
    <row r="725" spans="1:14">
      <c r="A725" t="s">
        <v>1967</v>
      </c>
      <c r="B725" t="s">
        <v>3356</v>
      </c>
      <c r="C725" t="s">
        <v>3357</v>
      </c>
      <c r="D725" t="s">
        <v>11</v>
      </c>
      <c r="E725" t="s">
        <v>13</v>
      </c>
      <c r="F725" t="s">
        <v>1970</v>
      </c>
      <c r="G725" t="s">
        <v>12</v>
      </c>
      <c r="I725" t="s">
        <v>3356</v>
      </c>
      <c r="J725" t="s">
        <v>4914</v>
      </c>
      <c r="K725" s="11">
        <v>84.36867914259966</v>
      </c>
      <c r="L725" s="9">
        <v>0.17121697058508301</v>
      </c>
      <c r="M725" s="10">
        <v>153.02732394567488</v>
      </c>
      <c r="N725" s="10">
        <v>168.33005634024238</v>
      </c>
    </row>
    <row r="726" spans="1:14">
      <c r="A726" t="s">
        <v>1967</v>
      </c>
      <c r="B726" t="s">
        <v>3358</v>
      </c>
      <c r="C726" t="s">
        <v>3359</v>
      </c>
      <c r="D726" t="s">
        <v>11</v>
      </c>
      <c r="E726" t="s">
        <v>13</v>
      </c>
      <c r="F726" t="s">
        <v>1970</v>
      </c>
      <c r="G726" t="s">
        <v>12</v>
      </c>
      <c r="I726" t="s">
        <v>3358</v>
      </c>
      <c r="J726" t="s">
        <v>4915</v>
      </c>
      <c r="K726" s="11">
        <v>34.371985035110001</v>
      </c>
      <c r="L726" s="9">
        <v>0.1878442213344905</v>
      </c>
      <c r="M726" s="10">
        <v>196.90548061235103</v>
      </c>
      <c r="N726" s="10">
        <v>216.59602867358615</v>
      </c>
    </row>
    <row r="727" spans="1:14">
      <c r="A727" t="s">
        <v>1967</v>
      </c>
      <c r="B727" t="s">
        <v>3360</v>
      </c>
      <c r="C727" t="s">
        <v>3357</v>
      </c>
      <c r="D727" t="s">
        <v>11</v>
      </c>
      <c r="E727" t="s">
        <v>13</v>
      </c>
      <c r="F727" t="s">
        <v>1970</v>
      </c>
      <c r="G727" t="s">
        <v>12</v>
      </c>
      <c r="I727" t="s">
        <v>3360</v>
      </c>
      <c r="J727" t="s">
        <v>4916</v>
      </c>
      <c r="K727" s="11">
        <v>10.433941872254914</v>
      </c>
      <c r="L727" s="9">
        <v>0.16868023603376631</v>
      </c>
      <c r="M727" s="10">
        <v>367.05002425846681</v>
      </c>
      <c r="N727" s="10">
        <v>403.75502668431352</v>
      </c>
    </row>
    <row r="728" spans="1:14">
      <c r="A728" t="s">
        <v>1967</v>
      </c>
      <c r="B728" t="s">
        <v>3361</v>
      </c>
      <c r="C728" t="s">
        <v>3359</v>
      </c>
      <c r="D728" t="s">
        <v>11</v>
      </c>
      <c r="E728" t="s">
        <v>13</v>
      </c>
      <c r="F728" t="s">
        <v>1970</v>
      </c>
      <c r="G728" t="s">
        <v>12</v>
      </c>
      <c r="I728" t="s">
        <v>3361</v>
      </c>
      <c r="J728" t="s">
        <v>4917</v>
      </c>
      <c r="K728" s="11">
        <v>43.168140370667963</v>
      </c>
      <c r="L728" s="9">
        <v>0.1771896414463949</v>
      </c>
      <c r="M728" s="10">
        <v>361.9881767539913</v>
      </c>
      <c r="N728" s="10">
        <v>398.18699442939044</v>
      </c>
    </row>
    <row r="729" spans="1:14">
      <c r="A729" t="s">
        <v>1967</v>
      </c>
      <c r="B729" t="s">
        <v>3362</v>
      </c>
      <c r="C729" t="s">
        <v>3363</v>
      </c>
      <c r="D729" t="s">
        <v>11</v>
      </c>
      <c r="E729" t="s">
        <v>13</v>
      </c>
      <c r="F729" t="s">
        <v>1970</v>
      </c>
      <c r="G729" t="s">
        <v>12</v>
      </c>
      <c r="I729" t="s">
        <v>3362</v>
      </c>
      <c r="J729" t="s">
        <v>4918</v>
      </c>
      <c r="K729" s="11">
        <v>64.920513865009994</v>
      </c>
      <c r="L729" s="9">
        <v>0.18580942949736101</v>
      </c>
      <c r="M729" s="10">
        <v>101.2949737935008</v>
      </c>
      <c r="N729" s="10">
        <v>111.42447117285089</v>
      </c>
    </row>
    <row r="730" spans="1:14">
      <c r="A730" t="s">
        <v>1967</v>
      </c>
      <c r="B730" t="s">
        <v>3364</v>
      </c>
      <c r="C730" t="s">
        <v>3365</v>
      </c>
      <c r="D730" t="s">
        <v>11</v>
      </c>
      <c r="E730" t="s">
        <v>13</v>
      </c>
      <c r="F730" t="s">
        <v>1970</v>
      </c>
      <c r="G730" t="s">
        <v>12</v>
      </c>
      <c r="I730" t="s">
        <v>3364</v>
      </c>
      <c r="J730" t="s">
        <v>4919</v>
      </c>
      <c r="K730" s="11">
        <v>90.027727271977</v>
      </c>
      <c r="L730" s="9">
        <v>0.18013621524458701</v>
      </c>
      <c r="M730" s="11">
        <v>61.149344253191209</v>
      </c>
      <c r="N730" s="11">
        <v>67.264278678510337</v>
      </c>
    </row>
    <row r="731" spans="1:14">
      <c r="A731" t="s">
        <v>1967</v>
      </c>
      <c r="B731" t="s">
        <v>3366</v>
      </c>
      <c r="C731" t="s">
        <v>3367</v>
      </c>
      <c r="D731" t="s">
        <v>11</v>
      </c>
      <c r="E731" t="s">
        <v>13</v>
      </c>
      <c r="F731" t="s">
        <v>1970</v>
      </c>
      <c r="G731" t="s">
        <v>12</v>
      </c>
      <c r="I731" t="s">
        <v>3366</v>
      </c>
      <c r="J731" t="s">
        <v>4920</v>
      </c>
      <c r="K731" s="11">
        <v>62.644586657622831</v>
      </c>
      <c r="L731" s="9">
        <v>0.1806717154643197</v>
      </c>
      <c r="M731" s="11">
        <v>80.773806102864739</v>
      </c>
      <c r="N731" s="11">
        <v>88.851186713151222</v>
      </c>
    </row>
    <row r="732" spans="1:14">
      <c r="A732" t="s">
        <v>1967</v>
      </c>
      <c r="B732" t="s">
        <v>3368</v>
      </c>
      <c r="C732" t="s">
        <v>3369</v>
      </c>
      <c r="D732" t="s">
        <v>11</v>
      </c>
      <c r="E732" t="s">
        <v>13</v>
      </c>
      <c r="F732" t="s">
        <v>1970</v>
      </c>
      <c r="G732" t="s">
        <v>12</v>
      </c>
      <c r="I732" t="s">
        <v>3368</v>
      </c>
      <c r="J732" t="s">
        <v>4921</v>
      </c>
      <c r="K732" s="11">
        <v>24.715045556553186</v>
      </c>
      <c r="L732" s="9">
        <v>0.24156402962108031</v>
      </c>
      <c r="M732" s="10">
        <v>361.11782926627762</v>
      </c>
      <c r="N732" s="10">
        <v>397.22961219290539</v>
      </c>
    </row>
    <row r="733" spans="1:14">
      <c r="A733" t="s">
        <v>1967</v>
      </c>
      <c r="B733" t="s">
        <v>3370</v>
      </c>
      <c r="C733" t="s">
        <v>3371</v>
      </c>
      <c r="D733" t="s">
        <v>11</v>
      </c>
      <c r="E733" t="s">
        <v>13</v>
      </c>
      <c r="F733" t="s">
        <v>1970</v>
      </c>
      <c r="G733" t="s">
        <v>12</v>
      </c>
      <c r="I733" t="s">
        <v>3370</v>
      </c>
      <c r="J733" t="s">
        <v>4922</v>
      </c>
      <c r="K733" s="11">
        <v>39.433681486789268</v>
      </c>
      <c r="L733" s="9">
        <v>0.2527995273632786</v>
      </c>
      <c r="M733" s="10">
        <v>103.68316618506576</v>
      </c>
      <c r="N733" s="10">
        <v>114.05148280357234</v>
      </c>
    </row>
    <row r="734" spans="1:14">
      <c r="A734" t="s">
        <v>1967</v>
      </c>
      <c r="B734" t="s">
        <v>3372</v>
      </c>
      <c r="C734" t="s">
        <v>3373</v>
      </c>
      <c r="D734" t="s">
        <v>11</v>
      </c>
      <c r="E734" t="s">
        <v>13</v>
      </c>
      <c r="F734" t="s">
        <v>1970</v>
      </c>
      <c r="G734" t="s">
        <v>12</v>
      </c>
      <c r="I734" t="s">
        <v>3372</v>
      </c>
      <c r="J734" t="s">
        <v>4923</v>
      </c>
      <c r="K734" s="10">
        <v>117.36436731714373</v>
      </c>
      <c r="L734" s="9">
        <v>0.2525179498131685</v>
      </c>
      <c r="M734" s="10">
        <v>224.74197428118529</v>
      </c>
      <c r="N734" s="10">
        <v>247.21617170930384</v>
      </c>
    </row>
    <row r="735" spans="1:14">
      <c r="A735" t="s">
        <v>1967</v>
      </c>
      <c r="B735" t="s">
        <v>3374</v>
      </c>
      <c r="C735" t="s">
        <v>3375</v>
      </c>
      <c r="D735" t="s">
        <v>11</v>
      </c>
      <c r="E735" t="s">
        <v>13</v>
      </c>
      <c r="F735" t="s">
        <v>1970</v>
      </c>
      <c r="G735" t="s">
        <v>12</v>
      </c>
      <c r="I735" t="s">
        <v>3374</v>
      </c>
      <c r="J735" t="s">
        <v>4924</v>
      </c>
      <c r="K735" s="10">
        <v>182.04292955769031</v>
      </c>
      <c r="L735" s="9">
        <v>0.27003164629553777</v>
      </c>
      <c r="M735" s="10">
        <v>230.52392711379679</v>
      </c>
      <c r="N735" s="10">
        <v>253.57631982517648</v>
      </c>
    </row>
    <row r="736" spans="1:14">
      <c r="A736" t="s">
        <v>1967</v>
      </c>
      <c r="B736" t="s">
        <v>3376</v>
      </c>
      <c r="C736" t="s">
        <v>3377</v>
      </c>
      <c r="D736" t="s">
        <v>11</v>
      </c>
      <c r="E736" t="s">
        <v>13</v>
      </c>
      <c r="F736" t="s">
        <v>1970</v>
      </c>
      <c r="G736" t="s">
        <v>12</v>
      </c>
      <c r="I736" t="s">
        <v>3376</v>
      </c>
      <c r="J736" t="s">
        <v>4925</v>
      </c>
      <c r="K736" s="11">
        <v>85.597732004279237</v>
      </c>
      <c r="L736" s="9">
        <v>0.27107635552985038</v>
      </c>
      <c r="M736" s="10">
        <v>492.9793747237631</v>
      </c>
      <c r="N736" s="10">
        <v>542.27731219613941</v>
      </c>
    </row>
    <row r="737" spans="1:14">
      <c r="A737" t="s">
        <v>1967</v>
      </c>
      <c r="B737" t="s">
        <v>3378</v>
      </c>
      <c r="C737" t="s">
        <v>3379</v>
      </c>
      <c r="D737" t="s">
        <v>11</v>
      </c>
      <c r="E737" t="s">
        <v>13</v>
      </c>
      <c r="F737" t="s">
        <v>1970</v>
      </c>
      <c r="G737" t="s">
        <v>12</v>
      </c>
      <c r="I737" t="s">
        <v>3378</v>
      </c>
      <c r="J737" t="s">
        <v>4926</v>
      </c>
      <c r="K737" s="11">
        <v>46.040852585016985</v>
      </c>
      <c r="L737" s="9">
        <v>0.2731519978655938</v>
      </c>
      <c r="M737" s="10">
        <v>292.17244463804218</v>
      </c>
      <c r="N737" s="10">
        <v>321.38968910184644</v>
      </c>
    </row>
    <row r="738" spans="1:14">
      <c r="A738" t="s">
        <v>1967</v>
      </c>
      <c r="B738" t="s">
        <v>3380</v>
      </c>
      <c r="C738" t="s">
        <v>3375</v>
      </c>
      <c r="D738" t="s">
        <v>11</v>
      </c>
      <c r="E738" t="s">
        <v>13</v>
      </c>
      <c r="F738" t="s">
        <v>1970</v>
      </c>
      <c r="G738" t="s">
        <v>12</v>
      </c>
      <c r="I738" t="s">
        <v>3380</v>
      </c>
      <c r="J738" t="s">
        <v>4927</v>
      </c>
      <c r="K738" s="11">
        <v>93.487673079152785</v>
      </c>
      <c r="L738" s="9">
        <v>0.27917730496377879</v>
      </c>
      <c r="M738" s="10">
        <v>238.68181879066583</v>
      </c>
      <c r="N738" s="10">
        <v>262.55000066973241</v>
      </c>
    </row>
    <row r="739" spans="1:14">
      <c r="A739" t="s">
        <v>1967</v>
      </c>
      <c r="B739" t="s">
        <v>3381</v>
      </c>
      <c r="C739" t="s">
        <v>3382</v>
      </c>
      <c r="D739" t="s">
        <v>11</v>
      </c>
      <c r="E739" t="s">
        <v>13</v>
      </c>
      <c r="F739" t="s">
        <v>1970</v>
      </c>
      <c r="G739" t="s">
        <v>12</v>
      </c>
      <c r="I739" t="s">
        <v>3381</v>
      </c>
      <c r="J739" t="s">
        <v>4928</v>
      </c>
      <c r="K739" s="11">
        <v>74.591160763508356</v>
      </c>
      <c r="L739" s="9">
        <v>0.27245971567190391</v>
      </c>
      <c r="M739" s="10">
        <v>245.41897845582545</v>
      </c>
      <c r="N739" s="10">
        <v>269.96087630140801</v>
      </c>
    </row>
    <row r="740" spans="1:14">
      <c r="A740" t="s">
        <v>1967</v>
      </c>
      <c r="B740" t="s">
        <v>3383</v>
      </c>
      <c r="C740" t="s">
        <v>3384</v>
      </c>
      <c r="D740" t="s">
        <v>11</v>
      </c>
      <c r="E740" t="s">
        <v>13</v>
      </c>
      <c r="F740" t="s">
        <v>1970</v>
      </c>
      <c r="G740" t="s">
        <v>12</v>
      </c>
      <c r="I740" t="s">
        <v>3383</v>
      </c>
      <c r="J740" t="s">
        <v>4929</v>
      </c>
      <c r="K740" s="10">
        <v>119.25509228676245</v>
      </c>
      <c r="L740" s="9">
        <v>0.26177668668446608</v>
      </c>
      <c r="M740" s="10">
        <v>142.13082940573975</v>
      </c>
      <c r="N740" s="10">
        <v>156.34391234631374</v>
      </c>
    </row>
    <row r="741" spans="1:14">
      <c r="A741" t="s">
        <v>1967</v>
      </c>
      <c r="B741" t="s">
        <v>3385</v>
      </c>
      <c r="C741" t="s">
        <v>3386</v>
      </c>
      <c r="D741" t="s">
        <v>11</v>
      </c>
      <c r="E741" t="s">
        <v>13</v>
      </c>
      <c r="F741" t="s">
        <v>1970</v>
      </c>
      <c r="G741" t="s">
        <v>12</v>
      </c>
      <c r="I741" t="s">
        <v>3385</v>
      </c>
      <c r="J741" t="s">
        <v>4930</v>
      </c>
      <c r="K741" s="11">
        <v>65.051914804157633</v>
      </c>
      <c r="L741" s="9">
        <v>0.26744326471598973</v>
      </c>
      <c r="M741" s="10">
        <v>151.85666778291193</v>
      </c>
      <c r="N741" s="10">
        <v>167.04233456120312</v>
      </c>
    </row>
    <row r="742" spans="1:14">
      <c r="A742" t="s">
        <v>1967</v>
      </c>
      <c r="B742" t="s">
        <v>3387</v>
      </c>
      <c r="C742" t="s">
        <v>3388</v>
      </c>
      <c r="D742" t="s">
        <v>11</v>
      </c>
      <c r="E742" t="s">
        <v>13</v>
      </c>
      <c r="F742" t="s">
        <v>1970</v>
      </c>
      <c r="G742" t="s">
        <v>12</v>
      </c>
      <c r="I742" t="s">
        <v>3387</v>
      </c>
      <c r="J742" t="s">
        <v>4931</v>
      </c>
      <c r="K742" s="9">
        <v>0.48677264883923521</v>
      </c>
      <c r="L742" s="9">
        <v>0.2041071448154442</v>
      </c>
      <c r="M742" s="10">
        <v>199.41082381750644</v>
      </c>
      <c r="N742" s="10">
        <v>219.35190619925712</v>
      </c>
    </row>
    <row r="743" spans="1:14">
      <c r="A743" t="s">
        <v>1967</v>
      </c>
      <c r="B743" t="s">
        <v>3389</v>
      </c>
      <c r="C743" t="s">
        <v>3390</v>
      </c>
      <c r="D743" t="s">
        <v>11</v>
      </c>
      <c r="E743" t="s">
        <v>13</v>
      </c>
      <c r="F743" t="s">
        <v>1970</v>
      </c>
      <c r="G743" t="s">
        <v>12</v>
      </c>
      <c r="I743" t="s">
        <v>3389</v>
      </c>
      <c r="J743" t="s">
        <v>4932</v>
      </c>
      <c r="K743" s="12">
        <v>2.9802886853306593E-2</v>
      </c>
      <c r="L743" s="9">
        <v>0.20193308708749269</v>
      </c>
      <c r="M743" s="10">
        <v>171.4652943769681</v>
      </c>
      <c r="N743" s="10">
        <v>188.61182381466492</v>
      </c>
    </row>
    <row r="744" spans="1:14">
      <c r="A744" t="s">
        <v>1967</v>
      </c>
      <c r="B744" t="s">
        <v>3391</v>
      </c>
      <c r="C744" t="s">
        <v>3392</v>
      </c>
      <c r="D744" t="s">
        <v>11</v>
      </c>
      <c r="E744" t="s">
        <v>13</v>
      </c>
      <c r="F744" t="s">
        <v>1970</v>
      </c>
      <c r="G744" t="s">
        <v>12</v>
      </c>
      <c r="I744" t="s">
        <v>3391</v>
      </c>
      <c r="J744" t="s">
        <v>4933</v>
      </c>
      <c r="K744" s="9">
        <v>0.22920066797702043</v>
      </c>
      <c r="L744" s="9">
        <v>0.1993637041236701</v>
      </c>
      <c r="M744" s="11">
        <v>28.80452260365341</v>
      </c>
      <c r="N744" s="11">
        <v>31.684974864018756</v>
      </c>
    </row>
    <row r="745" spans="1:14">
      <c r="A745" t="s">
        <v>1967</v>
      </c>
      <c r="B745" t="s">
        <v>3393</v>
      </c>
      <c r="C745" t="s">
        <v>3394</v>
      </c>
      <c r="D745" t="s">
        <v>11</v>
      </c>
      <c r="E745" t="s">
        <v>13</v>
      </c>
      <c r="F745" t="s">
        <v>1970</v>
      </c>
      <c r="G745" t="s">
        <v>12</v>
      </c>
      <c r="I745" t="s">
        <v>3393</v>
      </c>
      <c r="J745" t="s">
        <v>4934</v>
      </c>
      <c r="K745" s="10">
        <v>101.98067809118989</v>
      </c>
      <c r="L745" s="9">
        <v>0.28916807064228162</v>
      </c>
      <c r="M745" s="10">
        <v>818.60335555654592</v>
      </c>
      <c r="N745" s="10">
        <v>900.46369111220054</v>
      </c>
    </row>
    <row r="746" spans="1:14">
      <c r="A746" t="s">
        <v>1967</v>
      </c>
      <c r="B746" t="s">
        <v>3395</v>
      </c>
      <c r="C746" t="s">
        <v>3394</v>
      </c>
      <c r="D746" t="s">
        <v>11</v>
      </c>
      <c r="E746" t="s">
        <v>13</v>
      </c>
      <c r="F746" t="s">
        <v>1970</v>
      </c>
      <c r="G746" t="s">
        <v>12</v>
      </c>
      <c r="I746" t="s">
        <v>3395</v>
      </c>
      <c r="J746" t="s">
        <v>4935</v>
      </c>
      <c r="K746" s="10">
        <v>156.70906197115917</v>
      </c>
      <c r="L746" s="9">
        <v>0.2870019021197377</v>
      </c>
      <c r="M746" s="10">
        <v>690.53212058757777</v>
      </c>
      <c r="N746" s="10">
        <v>759.58533264633559</v>
      </c>
    </row>
    <row r="747" spans="1:14">
      <c r="A747" t="s">
        <v>1967</v>
      </c>
      <c r="B747" t="s">
        <v>3396</v>
      </c>
      <c r="C747" t="s">
        <v>3397</v>
      </c>
      <c r="D747" t="s">
        <v>11</v>
      </c>
      <c r="E747" t="s">
        <v>13</v>
      </c>
      <c r="F747" t="s">
        <v>1970</v>
      </c>
      <c r="G747" t="s">
        <v>12</v>
      </c>
      <c r="I747" t="s">
        <v>3396</v>
      </c>
      <c r="J747" t="s">
        <v>4936</v>
      </c>
      <c r="K747" s="11">
        <v>22.218099812151756</v>
      </c>
      <c r="L747" s="9">
        <v>0.26470443305353908</v>
      </c>
      <c r="M747" s="10">
        <v>420.65004931870283</v>
      </c>
      <c r="N747" s="10">
        <v>462.71505425057313</v>
      </c>
    </row>
    <row r="748" spans="1:14">
      <c r="A748" t="s">
        <v>1967</v>
      </c>
      <c r="B748" t="s">
        <v>3398</v>
      </c>
      <c r="C748" t="s">
        <v>3399</v>
      </c>
      <c r="D748" t="s">
        <v>11</v>
      </c>
      <c r="E748" t="s">
        <v>13</v>
      </c>
      <c r="F748" t="s">
        <v>1970</v>
      </c>
      <c r="G748" t="s">
        <v>12</v>
      </c>
      <c r="I748" t="s">
        <v>3398</v>
      </c>
      <c r="J748" t="s">
        <v>4937</v>
      </c>
      <c r="K748" s="10">
        <v>194.17759174109628</v>
      </c>
      <c r="L748" s="9">
        <v>0.2847116995381847</v>
      </c>
      <c r="M748" s="10">
        <v>599.52299260506493</v>
      </c>
      <c r="N748" s="10">
        <v>659.47529186557142</v>
      </c>
    </row>
    <row r="749" spans="1:14">
      <c r="A749" t="s">
        <v>1967</v>
      </c>
      <c r="B749" t="s">
        <v>3400</v>
      </c>
      <c r="C749" t="s">
        <v>3401</v>
      </c>
      <c r="D749" t="s">
        <v>11</v>
      </c>
      <c r="E749" t="s">
        <v>13</v>
      </c>
      <c r="F749" t="s">
        <v>1970</v>
      </c>
      <c r="G749" t="s">
        <v>12</v>
      </c>
      <c r="I749" t="s">
        <v>3400</v>
      </c>
      <c r="J749" t="s">
        <v>4938</v>
      </c>
      <c r="K749" s="11">
        <v>27.321041490623827</v>
      </c>
      <c r="L749" s="9">
        <v>0.2438948521781267</v>
      </c>
      <c r="M749" s="10">
        <v>159.1679191177125</v>
      </c>
      <c r="N749" s="10">
        <v>175.08471102948377</v>
      </c>
    </row>
    <row r="750" spans="1:14">
      <c r="A750" t="s">
        <v>1967</v>
      </c>
      <c r="B750" t="s">
        <v>3402</v>
      </c>
      <c r="C750" t="s">
        <v>3403</v>
      </c>
      <c r="D750" t="s">
        <v>11</v>
      </c>
      <c r="E750" t="s">
        <v>13</v>
      </c>
      <c r="F750" t="s">
        <v>1970</v>
      </c>
      <c r="G750" t="s">
        <v>12</v>
      </c>
      <c r="I750" t="s">
        <v>3402</v>
      </c>
      <c r="J750" t="s">
        <v>4939</v>
      </c>
      <c r="K750" s="11">
        <v>42.368419034950051</v>
      </c>
      <c r="L750" s="9">
        <v>0.25688386919122558</v>
      </c>
      <c r="M750" s="10">
        <v>154.82569388115724</v>
      </c>
      <c r="N750" s="10">
        <v>170.30826326927297</v>
      </c>
    </row>
    <row r="751" spans="1:14">
      <c r="A751" t="s">
        <v>1967</v>
      </c>
      <c r="B751" t="s">
        <v>3404</v>
      </c>
      <c r="C751" t="s">
        <v>3394</v>
      </c>
      <c r="D751" t="s">
        <v>11</v>
      </c>
      <c r="E751" t="s">
        <v>13</v>
      </c>
      <c r="F751" t="s">
        <v>1970</v>
      </c>
      <c r="G751" t="s">
        <v>12</v>
      </c>
      <c r="I751" t="s">
        <v>3404</v>
      </c>
      <c r="J751" t="s">
        <v>4940</v>
      </c>
      <c r="K751" s="10">
        <v>106.01348414394889</v>
      </c>
      <c r="L751" s="9">
        <v>0.27925439021058179</v>
      </c>
      <c r="M751" s="10">
        <v>293.28752326401104</v>
      </c>
      <c r="N751" s="10">
        <v>322.61627559041216</v>
      </c>
    </row>
    <row r="752" spans="1:14">
      <c r="A752" t="s">
        <v>1967</v>
      </c>
      <c r="B752" t="s">
        <v>3405</v>
      </c>
      <c r="C752" t="s">
        <v>3406</v>
      </c>
      <c r="D752" t="s">
        <v>11</v>
      </c>
      <c r="E752" t="s">
        <v>13</v>
      </c>
      <c r="F752" t="s">
        <v>1970</v>
      </c>
      <c r="G752" t="s">
        <v>12</v>
      </c>
      <c r="I752" t="s">
        <v>3405</v>
      </c>
      <c r="J752" t="s">
        <v>4941</v>
      </c>
      <c r="K752" s="11">
        <v>41.268071913789079</v>
      </c>
      <c r="L752" s="9">
        <v>0.2623710778716713</v>
      </c>
      <c r="M752" s="10">
        <v>120.72301262120359</v>
      </c>
      <c r="N752" s="10">
        <v>132.79531388332396</v>
      </c>
    </row>
    <row r="753" spans="1:14">
      <c r="A753" t="s">
        <v>1967</v>
      </c>
      <c r="B753" t="s">
        <v>3407</v>
      </c>
      <c r="C753" t="s">
        <v>3394</v>
      </c>
      <c r="D753" t="s">
        <v>11</v>
      </c>
      <c r="E753" t="s">
        <v>13</v>
      </c>
      <c r="F753" t="s">
        <v>1970</v>
      </c>
      <c r="G753" t="s">
        <v>12</v>
      </c>
      <c r="I753" t="s">
        <v>3407</v>
      </c>
      <c r="J753" t="s">
        <v>4942</v>
      </c>
      <c r="K753" s="10">
        <v>262.32928706503026</v>
      </c>
      <c r="L753" s="9">
        <v>0.28876809232523848</v>
      </c>
      <c r="M753" s="10">
        <v>386.60428503769361</v>
      </c>
      <c r="N753" s="10">
        <v>425.26471354146304</v>
      </c>
    </row>
    <row r="754" spans="1:14">
      <c r="A754" t="s">
        <v>1967</v>
      </c>
      <c r="B754" t="s">
        <v>3408</v>
      </c>
      <c r="C754" t="s">
        <v>3409</v>
      </c>
      <c r="D754" t="s">
        <v>11</v>
      </c>
      <c r="E754" t="s">
        <v>13</v>
      </c>
      <c r="F754" t="s">
        <v>1970</v>
      </c>
      <c r="G754" t="s">
        <v>12</v>
      </c>
      <c r="I754" t="s">
        <v>3408</v>
      </c>
      <c r="J754" t="s">
        <v>4943</v>
      </c>
      <c r="K754" s="11">
        <v>25.772988298810642</v>
      </c>
      <c r="L754" s="9">
        <v>0.2664051459470404</v>
      </c>
      <c r="M754" s="10">
        <v>147.23834081118366</v>
      </c>
      <c r="N754" s="10">
        <v>161.96217489230204</v>
      </c>
    </row>
    <row r="755" spans="1:14">
      <c r="A755" t="s">
        <v>1967</v>
      </c>
      <c r="B755" t="s">
        <v>3410</v>
      </c>
      <c r="C755" t="s">
        <v>3394</v>
      </c>
      <c r="D755" t="s">
        <v>11</v>
      </c>
      <c r="E755" t="s">
        <v>13</v>
      </c>
      <c r="F755" t="s">
        <v>1970</v>
      </c>
      <c r="G755" t="s">
        <v>12</v>
      </c>
      <c r="I755" t="s">
        <v>3410</v>
      </c>
      <c r="J755" t="s">
        <v>4944</v>
      </c>
      <c r="K755" s="11">
        <v>78.815651070987528</v>
      </c>
      <c r="L755" s="9">
        <v>0.2869921006662392</v>
      </c>
      <c r="M755" s="10">
        <v>240.48277270258237</v>
      </c>
      <c r="N755" s="10">
        <v>264.53104997284061</v>
      </c>
    </row>
    <row r="756" spans="1:14">
      <c r="A756" t="s">
        <v>1967</v>
      </c>
      <c r="B756" t="s">
        <v>3411</v>
      </c>
      <c r="C756" t="s">
        <v>3412</v>
      </c>
      <c r="D756" t="s">
        <v>11</v>
      </c>
      <c r="E756" t="s">
        <v>13</v>
      </c>
      <c r="F756" t="s">
        <v>1970</v>
      </c>
      <c r="G756" t="s">
        <v>12</v>
      </c>
      <c r="I756" t="s">
        <v>3411</v>
      </c>
      <c r="J756" t="s">
        <v>4945</v>
      </c>
      <c r="K756" s="11">
        <v>47.553625010769686</v>
      </c>
      <c r="L756" s="9">
        <v>0.27250748063152108</v>
      </c>
      <c r="M756" s="10">
        <v>116.03301221239148</v>
      </c>
      <c r="N756" s="10">
        <v>127.63631343363065</v>
      </c>
    </row>
    <row r="757" spans="1:14">
      <c r="A757" t="s">
        <v>1967</v>
      </c>
      <c r="B757" t="s">
        <v>3413</v>
      </c>
      <c r="C757" t="s">
        <v>3414</v>
      </c>
      <c r="D757" t="s">
        <v>11</v>
      </c>
      <c r="E757" t="s">
        <v>13</v>
      </c>
      <c r="F757" t="s">
        <v>1970</v>
      </c>
      <c r="G757" t="s">
        <v>12</v>
      </c>
      <c r="I757" t="s">
        <v>3413</v>
      </c>
      <c r="J757" t="s">
        <v>4946</v>
      </c>
      <c r="K757" s="11">
        <v>40.847175579695865</v>
      </c>
      <c r="L757" s="9">
        <v>0.17785884229963769</v>
      </c>
      <c r="M757" s="11">
        <v>42.682454237767686</v>
      </c>
      <c r="N757" s="11">
        <v>46.950699661544462</v>
      </c>
    </row>
    <row r="758" spans="1:14">
      <c r="A758" t="s">
        <v>1967</v>
      </c>
      <c r="B758" t="s">
        <v>3415</v>
      </c>
      <c r="C758" t="s">
        <v>3416</v>
      </c>
      <c r="D758" t="s">
        <v>11</v>
      </c>
      <c r="E758" t="s">
        <v>13</v>
      </c>
      <c r="F758" t="s">
        <v>1970</v>
      </c>
      <c r="G758" t="s">
        <v>12</v>
      </c>
      <c r="I758" t="s">
        <v>3415</v>
      </c>
      <c r="J758" t="s">
        <v>4947</v>
      </c>
      <c r="K758" s="11">
        <v>15.84</v>
      </c>
      <c r="L758" s="9">
        <v>0.1570295361515989</v>
      </c>
      <c r="M758" s="11">
        <v>52.877682553538932</v>
      </c>
      <c r="N758" s="11">
        <v>58.165450808892828</v>
      </c>
    </row>
    <row r="759" spans="1:14">
      <c r="A759" t="s">
        <v>1967</v>
      </c>
      <c r="B759" t="s">
        <v>3417</v>
      </c>
      <c r="C759" t="s">
        <v>3418</v>
      </c>
      <c r="D759" t="s">
        <v>11</v>
      </c>
      <c r="E759" t="s">
        <v>13</v>
      </c>
      <c r="F759" t="s">
        <v>1970</v>
      </c>
      <c r="G759" t="s">
        <v>12</v>
      </c>
      <c r="I759" t="s">
        <v>3417</v>
      </c>
      <c r="J759" t="s">
        <v>4948</v>
      </c>
      <c r="K759" s="11">
        <v>13.528468915549594</v>
      </c>
      <c r="L759" s="9">
        <v>0.1636984759218047</v>
      </c>
      <c r="M759" s="11">
        <v>69.61368987132046</v>
      </c>
      <c r="N759" s="11">
        <v>76.575058858452508</v>
      </c>
    </row>
    <row r="760" spans="1:14">
      <c r="A760" t="s">
        <v>1967</v>
      </c>
      <c r="B760" t="s">
        <v>3419</v>
      </c>
      <c r="C760" t="s">
        <v>3420</v>
      </c>
      <c r="D760" t="s">
        <v>11</v>
      </c>
      <c r="E760" t="s">
        <v>13</v>
      </c>
      <c r="F760" t="s">
        <v>1970</v>
      </c>
      <c r="G760" t="s">
        <v>12</v>
      </c>
      <c r="I760" t="s">
        <v>3419</v>
      </c>
      <c r="J760" t="s">
        <v>4949</v>
      </c>
      <c r="K760" s="11">
        <v>23.434477098334987</v>
      </c>
      <c r="L760" s="9">
        <v>0.232068400553296</v>
      </c>
      <c r="M760" s="10">
        <v>128.2438526779751</v>
      </c>
      <c r="N760" s="10">
        <v>141.06823794577261</v>
      </c>
    </row>
    <row r="761" spans="1:14">
      <c r="A761" t="s">
        <v>1967</v>
      </c>
      <c r="B761" t="s">
        <v>3421</v>
      </c>
      <c r="C761" t="s">
        <v>3422</v>
      </c>
      <c r="D761" t="s">
        <v>11</v>
      </c>
      <c r="E761" t="s">
        <v>13</v>
      </c>
      <c r="F761" t="s">
        <v>1970</v>
      </c>
      <c r="G761" t="s">
        <v>12</v>
      </c>
      <c r="I761" t="s">
        <v>3421</v>
      </c>
      <c r="J761" t="s">
        <v>4950</v>
      </c>
      <c r="K761" s="11">
        <v>82.420910298659265</v>
      </c>
      <c r="L761" s="9">
        <v>0.25073843053956318</v>
      </c>
      <c r="M761" s="10">
        <v>135.01076317531101</v>
      </c>
      <c r="N761" s="10">
        <v>148.51183949284211</v>
      </c>
    </row>
    <row r="762" spans="1:14">
      <c r="A762" t="s">
        <v>1967</v>
      </c>
      <c r="B762" t="s">
        <v>3423</v>
      </c>
      <c r="C762" t="s">
        <v>3424</v>
      </c>
      <c r="D762" t="s">
        <v>11</v>
      </c>
      <c r="E762" t="s">
        <v>13</v>
      </c>
      <c r="F762" t="s">
        <v>1970</v>
      </c>
      <c r="G762" t="s">
        <v>12</v>
      </c>
      <c r="I762" t="s">
        <v>3423</v>
      </c>
      <c r="J762" t="s">
        <v>4951</v>
      </c>
      <c r="K762" s="9">
        <v>3.1028951076717157</v>
      </c>
      <c r="L762" s="9">
        <v>0.20364618204759211</v>
      </c>
      <c r="M762" s="10">
        <v>186.66368810249497</v>
      </c>
      <c r="N762" s="10">
        <v>205.33005691274448</v>
      </c>
    </row>
    <row r="763" spans="1:14">
      <c r="A763" t="s">
        <v>1967</v>
      </c>
      <c r="B763" t="s">
        <v>3425</v>
      </c>
      <c r="C763" t="s">
        <v>3426</v>
      </c>
      <c r="D763" t="s">
        <v>11</v>
      </c>
      <c r="E763" t="s">
        <v>13</v>
      </c>
      <c r="F763" t="s">
        <v>1970</v>
      </c>
      <c r="G763" t="s">
        <v>12</v>
      </c>
      <c r="I763" t="s">
        <v>3425</v>
      </c>
      <c r="J763" t="s">
        <v>4952</v>
      </c>
      <c r="K763" s="9">
        <v>7.3245489741651983</v>
      </c>
      <c r="L763" s="9">
        <v>0.19415342067526459</v>
      </c>
      <c r="M763" s="10">
        <v>151.63304133097557</v>
      </c>
      <c r="N763" s="10">
        <v>166.79634546407314</v>
      </c>
    </row>
    <row r="764" spans="1:14">
      <c r="A764" t="s">
        <v>1967</v>
      </c>
      <c r="B764" t="s">
        <v>3427</v>
      </c>
      <c r="C764" t="s">
        <v>3428</v>
      </c>
      <c r="D764" t="s">
        <v>11</v>
      </c>
      <c r="E764" t="s">
        <v>13</v>
      </c>
      <c r="F764" t="s">
        <v>1970</v>
      </c>
      <c r="G764" t="s">
        <v>12</v>
      </c>
      <c r="I764" t="s">
        <v>3427</v>
      </c>
      <c r="J764" t="s">
        <v>4953</v>
      </c>
      <c r="K764" s="11">
        <v>40.391546680949801</v>
      </c>
      <c r="L764" s="9">
        <v>0.2119479278792353</v>
      </c>
      <c r="M764" s="11">
        <v>91.093671415260033</v>
      </c>
      <c r="N764" s="10">
        <v>100.20303855678604</v>
      </c>
    </row>
    <row r="765" spans="1:14">
      <c r="A765" t="s">
        <v>1967</v>
      </c>
      <c r="B765" t="s">
        <v>3429</v>
      </c>
      <c r="C765" t="s">
        <v>3430</v>
      </c>
      <c r="D765" t="s">
        <v>11</v>
      </c>
      <c r="E765" t="s">
        <v>13</v>
      </c>
      <c r="F765" t="s">
        <v>1970</v>
      </c>
      <c r="G765" t="s">
        <v>12</v>
      </c>
      <c r="I765" t="s">
        <v>3429</v>
      </c>
      <c r="J765" t="s">
        <v>4954</v>
      </c>
      <c r="K765" s="11">
        <v>90.40356072809216</v>
      </c>
      <c r="L765" s="9">
        <v>0.25227647201254111</v>
      </c>
      <c r="M765" s="10">
        <v>120.2680985260058</v>
      </c>
      <c r="N765" s="10">
        <v>132.29490837860638</v>
      </c>
    </row>
    <row r="766" spans="1:14">
      <c r="A766" t="s">
        <v>1967</v>
      </c>
      <c r="B766" t="s">
        <v>3431</v>
      </c>
      <c r="C766" t="s">
        <v>3432</v>
      </c>
      <c r="D766" t="s">
        <v>11</v>
      </c>
      <c r="E766" t="s">
        <v>13</v>
      </c>
      <c r="F766" t="s">
        <v>1970</v>
      </c>
      <c r="G766" t="s">
        <v>12</v>
      </c>
      <c r="I766" t="s">
        <v>3431</v>
      </c>
      <c r="J766" t="s">
        <v>4955</v>
      </c>
      <c r="K766" s="11">
        <v>57.908688282532935</v>
      </c>
      <c r="L766" s="9">
        <v>0.24086328018428771</v>
      </c>
      <c r="M766" s="10">
        <v>337.27176389577232</v>
      </c>
      <c r="N766" s="10">
        <v>370.99894028534959</v>
      </c>
    </row>
    <row r="767" spans="1:14">
      <c r="A767" t="s">
        <v>1967</v>
      </c>
      <c r="B767" t="s">
        <v>3433</v>
      </c>
      <c r="C767" t="s">
        <v>3434</v>
      </c>
      <c r="D767" t="s">
        <v>11</v>
      </c>
      <c r="E767" t="s">
        <v>13</v>
      </c>
      <c r="F767" t="s">
        <v>1970</v>
      </c>
      <c r="G767" t="s">
        <v>12</v>
      </c>
      <c r="I767" t="s">
        <v>3433</v>
      </c>
      <c r="J767" t="s">
        <v>4956</v>
      </c>
      <c r="K767" s="11">
        <v>91.171152038487037</v>
      </c>
      <c r="L767" s="9">
        <v>0.2239892538012449</v>
      </c>
      <c r="M767" s="10">
        <v>153.19597174613682</v>
      </c>
      <c r="N767" s="10">
        <v>168.51556892075052</v>
      </c>
    </row>
    <row r="768" spans="1:14">
      <c r="A768" t="s">
        <v>1967</v>
      </c>
      <c r="B768" t="s">
        <v>3435</v>
      </c>
      <c r="C768" t="s">
        <v>3436</v>
      </c>
      <c r="D768" t="s">
        <v>11</v>
      </c>
      <c r="E768" t="s">
        <v>13</v>
      </c>
      <c r="F768" t="s">
        <v>1970</v>
      </c>
      <c r="G768" t="s">
        <v>12</v>
      </c>
      <c r="I768" t="s">
        <v>3435</v>
      </c>
      <c r="J768" t="s">
        <v>4957</v>
      </c>
      <c r="K768" s="9">
        <v>4.2248302612455797</v>
      </c>
      <c r="L768" s="9">
        <v>0.2124940426216248</v>
      </c>
      <c r="M768" s="11">
        <v>25.022143495683761</v>
      </c>
      <c r="N768" s="11">
        <v>27.52435784525214</v>
      </c>
    </row>
    <row r="769" spans="1:14">
      <c r="A769" t="s">
        <v>1967</v>
      </c>
      <c r="B769" t="s">
        <v>3437</v>
      </c>
      <c r="C769" t="s">
        <v>3438</v>
      </c>
      <c r="D769" t="s">
        <v>11</v>
      </c>
      <c r="E769" t="s">
        <v>13</v>
      </c>
      <c r="F769" t="s">
        <v>1970</v>
      </c>
      <c r="G769" t="s">
        <v>12</v>
      </c>
      <c r="I769" t="s">
        <v>3437</v>
      </c>
      <c r="J769" t="s">
        <v>4958</v>
      </c>
      <c r="K769" s="11">
        <v>10.026964304770031</v>
      </c>
      <c r="L769" s="9">
        <v>0.16779075749455949</v>
      </c>
      <c r="M769" s="11">
        <v>32.744922202277323</v>
      </c>
      <c r="N769" s="11">
        <v>36.019414422505058</v>
      </c>
    </row>
    <row r="770" spans="1:14">
      <c r="A770" t="s">
        <v>1967</v>
      </c>
      <c r="B770" t="s">
        <v>3439</v>
      </c>
      <c r="C770" t="s">
        <v>3440</v>
      </c>
      <c r="D770" t="s">
        <v>11</v>
      </c>
      <c r="E770" t="s">
        <v>13</v>
      </c>
      <c r="F770" t="s">
        <v>1970</v>
      </c>
      <c r="G770" t="s">
        <v>12</v>
      </c>
      <c r="I770" t="s">
        <v>3439</v>
      </c>
      <c r="J770" t="s">
        <v>4959</v>
      </c>
      <c r="K770" s="9">
        <v>1.0275663341495265</v>
      </c>
      <c r="L770" s="9">
        <v>0.18856835363389879</v>
      </c>
      <c r="M770" s="11">
        <v>32.394924127485631</v>
      </c>
      <c r="N770" s="11">
        <v>35.634416540234199</v>
      </c>
    </row>
    <row r="771" spans="1:14">
      <c r="A771" t="s">
        <v>1967</v>
      </c>
      <c r="B771" t="s">
        <v>3441</v>
      </c>
      <c r="C771" t="s">
        <v>3442</v>
      </c>
      <c r="D771" t="s">
        <v>11</v>
      </c>
      <c r="E771" t="s">
        <v>13</v>
      </c>
      <c r="F771" t="s">
        <v>1970</v>
      </c>
      <c r="G771" t="s">
        <v>12</v>
      </c>
      <c r="I771" t="s">
        <v>3441</v>
      </c>
      <c r="J771" t="s">
        <v>4960</v>
      </c>
      <c r="K771" s="9">
        <v>3.4821276434319297</v>
      </c>
      <c r="L771" s="9">
        <v>0.1916720504758572</v>
      </c>
      <c r="M771" s="11">
        <v>40.788910440533023</v>
      </c>
      <c r="N771" s="11">
        <v>44.86780148458633</v>
      </c>
    </row>
    <row r="772" spans="1:14">
      <c r="A772" t="s">
        <v>1967</v>
      </c>
      <c r="B772" t="s">
        <v>3443</v>
      </c>
      <c r="C772" t="s">
        <v>3444</v>
      </c>
      <c r="D772" t="s">
        <v>11</v>
      </c>
      <c r="E772" t="s">
        <v>13</v>
      </c>
      <c r="F772" t="s">
        <v>1970</v>
      </c>
      <c r="G772" t="s">
        <v>12</v>
      </c>
      <c r="I772" t="s">
        <v>3443</v>
      </c>
      <c r="J772" t="s">
        <v>4961</v>
      </c>
      <c r="K772" s="9">
        <v>8.4844431500138402</v>
      </c>
      <c r="L772" s="9">
        <v>0.176297936995816</v>
      </c>
      <c r="M772" s="11">
        <v>45.726401464897393</v>
      </c>
      <c r="N772" s="11">
        <v>50.299041611387139</v>
      </c>
    </row>
    <row r="773" spans="1:14">
      <c r="A773" t="s">
        <v>1967</v>
      </c>
      <c r="B773" t="s">
        <v>3445</v>
      </c>
      <c r="C773" t="s">
        <v>3446</v>
      </c>
      <c r="D773" t="s">
        <v>11</v>
      </c>
      <c r="E773" t="s">
        <v>13</v>
      </c>
      <c r="F773" t="s">
        <v>1970</v>
      </c>
      <c r="G773" t="s">
        <v>12</v>
      </c>
      <c r="I773" t="s">
        <v>3445</v>
      </c>
      <c r="J773" t="s">
        <v>4962</v>
      </c>
      <c r="K773" s="9">
        <v>4.6355356467943167</v>
      </c>
      <c r="L773" s="9">
        <v>0.14277665924801511</v>
      </c>
      <c r="M773" s="11">
        <v>22.62176342960181</v>
      </c>
      <c r="N773" s="11">
        <v>24.883939772561991</v>
      </c>
    </row>
    <row r="774" spans="1:14">
      <c r="A774" t="s">
        <v>1967</v>
      </c>
      <c r="B774" t="s">
        <v>3447</v>
      </c>
      <c r="C774" t="s">
        <v>3448</v>
      </c>
      <c r="D774" t="s">
        <v>11</v>
      </c>
      <c r="E774" t="s">
        <v>13</v>
      </c>
      <c r="F774" t="s">
        <v>1970</v>
      </c>
      <c r="G774" t="s">
        <v>12</v>
      </c>
      <c r="I774" t="s">
        <v>3447</v>
      </c>
      <c r="J774" t="s">
        <v>4963</v>
      </c>
      <c r="K774" s="11">
        <v>14.781746089050012</v>
      </c>
      <c r="L774" s="9">
        <v>0.1385643078297582</v>
      </c>
      <c r="M774" s="11">
        <v>17.121889053825317</v>
      </c>
      <c r="N774" s="11">
        <v>18.83407795920785</v>
      </c>
    </row>
    <row r="775" spans="1:14">
      <c r="A775" t="s">
        <v>1967</v>
      </c>
      <c r="B775" t="s">
        <v>3449</v>
      </c>
      <c r="C775" t="s">
        <v>3450</v>
      </c>
      <c r="D775" t="s">
        <v>11</v>
      </c>
      <c r="E775" t="s">
        <v>13</v>
      </c>
      <c r="F775" t="s">
        <v>1970</v>
      </c>
      <c r="G775" t="s">
        <v>12</v>
      </c>
      <c r="I775" t="s">
        <v>3449</v>
      </c>
      <c r="J775" t="s">
        <v>4964</v>
      </c>
      <c r="K775" s="11">
        <v>20.734786929564869</v>
      </c>
      <c r="L775" s="9">
        <v>0.13473864645152719</v>
      </c>
      <c r="M775" s="11">
        <v>19.956711059592173</v>
      </c>
      <c r="N775" s="11">
        <v>21.952382165551391</v>
      </c>
    </row>
    <row r="776" spans="1:14">
      <c r="A776" t="s">
        <v>1967</v>
      </c>
      <c r="B776" t="s">
        <v>3451</v>
      </c>
      <c r="C776" t="s">
        <v>3452</v>
      </c>
      <c r="D776" t="s">
        <v>11</v>
      </c>
      <c r="E776" t="s">
        <v>13</v>
      </c>
      <c r="F776" t="s">
        <v>1970</v>
      </c>
      <c r="G776" t="s">
        <v>12</v>
      </c>
      <c r="I776" t="s">
        <v>3451</v>
      </c>
      <c r="J776" t="s">
        <v>4965</v>
      </c>
      <c r="K776" s="9">
        <v>4.2381737770362964</v>
      </c>
      <c r="L776" s="9">
        <v>0.14333415321499179</v>
      </c>
      <c r="M776" s="11">
        <v>50.016539280394611</v>
      </c>
      <c r="N776" s="11">
        <v>55.018193208434077</v>
      </c>
    </row>
    <row r="777" spans="1:14">
      <c r="A777" t="s">
        <v>1967</v>
      </c>
      <c r="B777" t="s">
        <v>3453</v>
      </c>
      <c r="C777" t="s">
        <v>3454</v>
      </c>
      <c r="D777" t="s">
        <v>11</v>
      </c>
      <c r="E777" t="s">
        <v>13</v>
      </c>
      <c r="F777" t="s">
        <v>1970</v>
      </c>
      <c r="G777" t="s">
        <v>12</v>
      </c>
      <c r="I777" t="s">
        <v>3453</v>
      </c>
      <c r="J777" t="s">
        <v>4966</v>
      </c>
      <c r="K777" s="11">
        <v>13.535888157167696</v>
      </c>
      <c r="L777" s="9">
        <v>0.1510486741264416</v>
      </c>
      <c r="M777" s="11">
        <v>50.384575772350637</v>
      </c>
      <c r="N777" s="11">
        <v>55.423033349585708</v>
      </c>
    </row>
    <row r="778" spans="1:14">
      <c r="A778" t="s">
        <v>1967</v>
      </c>
      <c r="B778" t="s">
        <v>3455</v>
      </c>
      <c r="C778" t="s">
        <v>3456</v>
      </c>
      <c r="D778" t="s">
        <v>11</v>
      </c>
      <c r="E778" t="s">
        <v>13</v>
      </c>
      <c r="F778" t="s">
        <v>1970</v>
      </c>
      <c r="G778" t="s">
        <v>12</v>
      </c>
      <c r="I778" t="s">
        <v>3455</v>
      </c>
      <c r="J778" t="s">
        <v>4967</v>
      </c>
      <c r="K778" s="11">
        <v>13.831358637429696</v>
      </c>
      <c r="L778" s="9">
        <v>0.15265699817043499</v>
      </c>
      <c r="M778" s="11">
        <v>30.16950231935753</v>
      </c>
      <c r="N778" s="11">
        <v>33.186452551293286</v>
      </c>
    </row>
    <row r="779" spans="1:14">
      <c r="A779" t="s">
        <v>1967</v>
      </c>
      <c r="B779" t="s">
        <v>3457</v>
      </c>
      <c r="C779" t="s">
        <v>3458</v>
      </c>
      <c r="D779" t="s">
        <v>11</v>
      </c>
      <c r="E779" t="s">
        <v>13</v>
      </c>
      <c r="F779" t="s">
        <v>1970</v>
      </c>
      <c r="G779" t="s">
        <v>12</v>
      </c>
      <c r="I779" t="s">
        <v>3457</v>
      </c>
      <c r="J779" t="s">
        <v>4968</v>
      </c>
      <c r="K779" s="9">
        <v>9.3421463446175022</v>
      </c>
      <c r="L779" s="9">
        <v>0.15208044279520211</v>
      </c>
      <c r="M779" s="11">
        <v>91.731301284704983</v>
      </c>
      <c r="N779" s="10">
        <v>100.90443141317549</v>
      </c>
    </row>
    <row r="780" spans="1:14">
      <c r="A780" t="s">
        <v>1967</v>
      </c>
      <c r="B780" t="s">
        <v>3459</v>
      </c>
      <c r="C780" t="s">
        <v>3460</v>
      </c>
      <c r="D780" t="s">
        <v>11</v>
      </c>
      <c r="E780" t="s">
        <v>13</v>
      </c>
      <c r="F780" t="s">
        <v>1970</v>
      </c>
      <c r="G780" t="s">
        <v>12</v>
      </c>
      <c r="I780" t="s">
        <v>3459</v>
      </c>
      <c r="J780" t="s">
        <v>4969</v>
      </c>
      <c r="K780" s="9">
        <v>7.1454931385230775</v>
      </c>
      <c r="L780" s="9">
        <v>0.19627568636336451</v>
      </c>
      <c r="M780" s="11">
        <v>35.762846832966233</v>
      </c>
      <c r="N780" s="11">
        <v>39.33913151626286</v>
      </c>
    </row>
    <row r="781" spans="1:14">
      <c r="A781" t="s">
        <v>1967</v>
      </c>
      <c r="B781" t="s">
        <v>3461</v>
      </c>
      <c r="C781" t="s">
        <v>3462</v>
      </c>
      <c r="D781" t="s">
        <v>11</v>
      </c>
      <c r="E781" t="s">
        <v>13</v>
      </c>
      <c r="F781" t="s">
        <v>1970</v>
      </c>
      <c r="G781" t="s">
        <v>12</v>
      </c>
      <c r="I781" t="s">
        <v>3461</v>
      </c>
      <c r="J781" t="s">
        <v>4970</v>
      </c>
      <c r="K781" s="11">
        <v>18.145260117127197</v>
      </c>
      <c r="L781" s="9">
        <v>0.2127796220867112</v>
      </c>
      <c r="M781" s="11">
        <v>36.152370180335481</v>
      </c>
      <c r="N781" s="11">
        <v>39.767607198369035</v>
      </c>
    </row>
    <row r="782" spans="1:14">
      <c r="A782" t="s">
        <v>1967</v>
      </c>
      <c r="B782" t="s">
        <v>3463</v>
      </c>
      <c r="C782" t="s">
        <v>3464</v>
      </c>
      <c r="D782" t="s">
        <v>11</v>
      </c>
      <c r="E782" t="s">
        <v>13</v>
      </c>
      <c r="F782" t="s">
        <v>1970</v>
      </c>
      <c r="G782" t="s">
        <v>12</v>
      </c>
      <c r="I782" t="s">
        <v>3463</v>
      </c>
      <c r="J782" t="s">
        <v>4971</v>
      </c>
      <c r="K782" s="11">
        <v>11.544106962641388</v>
      </c>
      <c r="L782" s="9">
        <v>0.20955139181394339</v>
      </c>
      <c r="M782" s="11">
        <v>33.418656733451648</v>
      </c>
      <c r="N782" s="11">
        <v>36.760522406796817</v>
      </c>
    </row>
    <row r="783" spans="1:14">
      <c r="A783" t="s">
        <v>1967</v>
      </c>
      <c r="B783" t="s">
        <v>3465</v>
      </c>
      <c r="C783" t="s">
        <v>3466</v>
      </c>
      <c r="D783" t="s">
        <v>11</v>
      </c>
      <c r="E783" t="s">
        <v>13</v>
      </c>
      <c r="F783" t="s">
        <v>1970</v>
      </c>
      <c r="G783" t="s">
        <v>12</v>
      </c>
      <c r="I783" t="s">
        <v>3465</v>
      </c>
      <c r="J783" t="s">
        <v>4972</v>
      </c>
      <c r="K783" s="9">
        <v>9.5714362427867066</v>
      </c>
      <c r="L783" s="9">
        <v>0.2043773075333406</v>
      </c>
      <c r="M783" s="11">
        <v>30.094795748326359</v>
      </c>
      <c r="N783" s="11">
        <v>33.104275323158994</v>
      </c>
    </row>
    <row r="784" spans="1:14">
      <c r="A784" t="s">
        <v>1967</v>
      </c>
      <c r="B784" t="s">
        <v>3467</v>
      </c>
      <c r="C784" t="s">
        <v>3468</v>
      </c>
      <c r="D784" t="s">
        <v>11</v>
      </c>
      <c r="E784" t="s">
        <v>13</v>
      </c>
      <c r="F784" t="s">
        <v>1970</v>
      </c>
      <c r="G784" t="s">
        <v>12</v>
      </c>
      <c r="I784" t="s">
        <v>3467</v>
      </c>
      <c r="J784" t="s">
        <v>4973</v>
      </c>
      <c r="K784" s="11">
        <v>14.665415544593536</v>
      </c>
      <c r="L784" s="9">
        <v>0.18393917078250571</v>
      </c>
      <c r="M784" s="10">
        <v>140.30835580743465</v>
      </c>
      <c r="N784" s="10">
        <v>154.33919138817814</v>
      </c>
    </row>
    <row r="785" spans="1:14">
      <c r="A785" t="s">
        <v>1967</v>
      </c>
      <c r="B785" t="s">
        <v>3469</v>
      </c>
      <c r="C785" t="s">
        <v>3470</v>
      </c>
      <c r="D785" t="s">
        <v>11</v>
      </c>
      <c r="E785" t="s">
        <v>13</v>
      </c>
      <c r="F785" t="s">
        <v>1970</v>
      </c>
      <c r="G785" t="s">
        <v>12</v>
      </c>
      <c r="I785" t="s">
        <v>3469</v>
      </c>
      <c r="J785" t="s">
        <v>4974</v>
      </c>
      <c r="K785" s="11">
        <v>19.07711402998433</v>
      </c>
      <c r="L785" s="9">
        <v>0.18677071702573839</v>
      </c>
      <c r="M785" s="11">
        <v>83.622873503418617</v>
      </c>
      <c r="N785" s="11">
        <v>91.98516085376049</v>
      </c>
    </row>
    <row r="786" spans="1:14">
      <c r="A786" t="s">
        <v>1967</v>
      </c>
      <c r="B786" t="s">
        <v>3471</v>
      </c>
      <c r="C786" t="s">
        <v>3472</v>
      </c>
      <c r="D786" t="s">
        <v>11</v>
      </c>
      <c r="E786" t="s">
        <v>13</v>
      </c>
      <c r="F786" t="s">
        <v>1970</v>
      </c>
      <c r="G786" t="s">
        <v>12</v>
      </c>
      <c r="I786" t="s">
        <v>3471</v>
      </c>
      <c r="J786" t="s">
        <v>4975</v>
      </c>
      <c r="K786" s="11">
        <v>33.550562491178937</v>
      </c>
      <c r="L786" s="9">
        <v>0.18087197249225959</v>
      </c>
      <c r="M786" s="11">
        <v>88.848788620683479</v>
      </c>
      <c r="N786" s="11">
        <v>97.733667482751841</v>
      </c>
    </row>
    <row r="787" spans="1:14">
      <c r="A787" t="s">
        <v>1967</v>
      </c>
      <c r="B787" t="s">
        <v>3473</v>
      </c>
      <c r="C787" t="s">
        <v>3474</v>
      </c>
      <c r="D787" t="s">
        <v>11</v>
      </c>
      <c r="E787" t="s">
        <v>13</v>
      </c>
      <c r="F787" t="s">
        <v>1970</v>
      </c>
      <c r="G787" t="s">
        <v>12</v>
      </c>
      <c r="I787" t="s">
        <v>3473</v>
      </c>
      <c r="J787" t="s">
        <v>4976</v>
      </c>
      <c r="K787" s="11">
        <v>28.859563036397763</v>
      </c>
      <c r="L787" s="9">
        <v>0.15628275428679411</v>
      </c>
      <c r="M787" s="10">
        <v>461.19181481824427</v>
      </c>
      <c r="N787" s="10">
        <v>507.31099630006872</v>
      </c>
    </row>
    <row r="788" spans="1:14">
      <c r="A788" t="s">
        <v>1967</v>
      </c>
      <c r="B788" t="s">
        <v>3475</v>
      </c>
      <c r="C788" t="s">
        <v>3476</v>
      </c>
      <c r="D788" t="s">
        <v>11</v>
      </c>
      <c r="E788" t="s">
        <v>13</v>
      </c>
      <c r="F788" t="s">
        <v>1970</v>
      </c>
      <c r="G788" t="s">
        <v>12</v>
      </c>
      <c r="I788" t="s">
        <v>3475</v>
      </c>
      <c r="J788" t="s">
        <v>4977</v>
      </c>
      <c r="K788" s="11">
        <v>21.05205748305255</v>
      </c>
      <c r="L788" s="9">
        <v>0.17251662517422159</v>
      </c>
      <c r="M788" s="10">
        <v>163.44370168186489</v>
      </c>
      <c r="N788" s="10">
        <v>179.78807185005141</v>
      </c>
    </row>
    <row r="789" spans="1:14">
      <c r="A789" t="s">
        <v>1967</v>
      </c>
      <c r="B789" t="s">
        <v>3477</v>
      </c>
      <c r="C789" t="s">
        <v>3478</v>
      </c>
      <c r="D789" t="s">
        <v>11</v>
      </c>
      <c r="E789" t="s">
        <v>13</v>
      </c>
      <c r="F789" t="s">
        <v>1970</v>
      </c>
      <c r="G789" t="s">
        <v>12</v>
      </c>
      <c r="I789" t="s">
        <v>3477</v>
      </c>
      <c r="J789" t="s">
        <v>4978</v>
      </c>
      <c r="K789" s="9">
        <v>4.1363519219127394</v>
      </c>
      <c r="L789" s="9">
        <v>0.16510258199036429</v>
      </c>
      <c r="M789" s="10">
        <v>222.1228711250555</v>
      </c>
      <c r="N789" s="10">
        <v>244.33515823756107</v>
      </c>
    </row>
    <row r="790" spans="1:14">
      <c r="A790" t="s">
        <v>1967</v>
      </c>
      <c r="B790" t="s">
        <v>3479</v>
      </c>
      <c r="C790" t="s">
        <v>3480</v>
      </c>
      <c r="D790" t="s">
        <v>11</v>
      </c>
      <c r="E790" t="s">
        <v>13</v>
      </c>
      <c r="F790" t="s">
        <v>1970</v>
      </c>
      <c r="G790" t="s">
        <v>12</v>
      </c>
      <c r="I790" t="s">
        <v>3479</v>
      </c>
      <c r="J790" t="s">
        <v>4979</v>
      </c>
      <c r="K790" s="11">
        <v>57.831311260357481</v>
      </c>
      <c r="L790" s="9">
        <v>0.255944729751306</v>
      </c>
      <c r="M790" s="10">
        <v>147.70510862053629</v>
      </c>
      <c r="N790" s="10">
        <v>162.47561948258993</v>
      </c>
    </row>
    <row r="791" spans="1:14">
      <c r="A791" t="s">
        <v>1967</v>
      </c>
      <c r="B791" t="s">
        <v>3481</v>
      </c>
      <c r="C791" t="s">
        <v>3482</v>
      </c>
      <c r="D791" t="s">
        <v>11</v>
      </c>
      <c r="E791" t="s">
        <v>13</v>
      </c>
      <c r="F791" t="s">
        <v>1970</v>
      </c>
      <c r="G791" t="s">
        <v>12</v>
      </c>
      <c r="I791" t="s">
        <v>3481</v>
      </c>
      <c r="J791" t="s">
        <v>4980</v>
      </c>
      <c r="K791" s="11">
        <v>24.35592896228842</v>
      </c>
      <c r="L791" s="9">
        <v>0.25646737314390577</v>
      </c>
      <c r="M791" s="10">
        <v>408.02907042712877</v>
      </c>
      <c r="N791" s="10">
        <v>448.83197746984166</v>
      </c>
    </row>
    <row r="792" spans="1:14">
      <c r="A792" t="s">
        <v>1967</v>
      </c>
      <c r="B792" t="s">
        <v>3483</v>
      </c>
      <c r="C792" t="s">
        <v>3480</v>
      </c>
      <c r="D792" t="s">
        <v>11</v>
      </c>
      <c r="E792" t="s">
        <v>13</v>
      </c>
      <c r="F792" t="s">
        <v>1970</v>
      </c>
      <c r="G792" t="s">
        <v>12</v>
      </c>
      <c r="I792" t="s">
        <v>3483</v>
      </c>
      <c r="J792" t="s">
        <v>4981</v>
      </c>
      <c r="K792" s="10">
        <v>100.21993495564828</v>
      </c>
      <c r="L792" s="9">
        <v>0.25651471137131499</v>
      </c>
      <c r="M792" s="10">
        <v>274.5451201214882</v>
      </c>
      <c r="N792" s="10">
        <v>301.99963213363702</v>
      </c>
    </row>
    <row r="793" spans="1:14">
      <c r="A793" t="s">
        <v>1967</v>
      </c>
      <c r="B793" t="s">
        <v>3484</v>
      </c>
      <c r="C793" t="s">
        <v>3485</v>
      </c>
      <c r="D793" t="s">
        <v>11</v>
      </c>
      <c r="E793" t="s">
        <v>13</v>
      </c>
      <c r="F793" t="s">
        <v>1970</v>
      </c>
      <c r="G793" t="s">
        <v>12</v>
      </c>
      <c r="I793" t="s">
        <v>3484</v>
      </c>
      <c r="J793" t="s">
        <v>4982</v>
      </c>
      <c r="K793" s="11">
        <v>52.063816072917206</v>
      </c>
      <c r="L793" s="9">
        <v>0.25753425595995488</v>
      </c>
      <c r="M793" s="10">
        <v>312.08934010908945</v>
      </c>
      <c r="N793" s="10">
        <v>343.29827411999844</v>
      </c>
    </row>
    <row r="794" spans="1:14">
      <c r="A794" t="s">
        <v>1967</v>
      </c>
      <c r="B794" t="s">
        <v>3486</v>
      </c>
      <c r="C794" t="s">
        <v>3487</v>
      </c>
      <c r="D794" t="s">
        <v>11</v>
      </c>
      <c r="E794" t="s">
        <v>13</v>
      </c>
      <c r="F794" t="s">
        <v>1970</v>
      </c>
      <c r="G794" t="s">
        <v>12</v>
      </c>
      <c r="I794" t="s">
        <v>3486</v>
      </c>
      <c r="J794" t="s">
        <v>4983</v>
      </c>
      <c r="K794" s="11">
        <v>96.28653486401808</v>
      </c>
      <c r="L794" s="9">
        <v>0.26555370531327249</v>
      </c>
      <c r="M794" s="10">
        <v>345.37660545519674</v>
      </c>
      <c r="N794" s="10">
        <v>379.91426600071645</v>
      </c>
    </row>
    <row r="795" spans="1:14">
      <c r="A795" t="s">
        <v>1967</v>
      </c>
      <c r="B795" t="s">
        <v>3488</v>
      </c>
      <c r="C795" t="s">
        <v>3487</v>
      </c>
      <c r="D795" t="s">
        <v>11</v>
      </c>
      <c r="E795" t="s">
        <v>13</v>
      </c>
      <c r="F795" t="s">
        <v>1970</v>
      </c>
      <c r="G795" t="s">
        <v>12</v>
      </c>
      <c r="I795" t="s">
        <v>3488</v>
      </c>
      <c r="J795" t="s">
        <v>4984</v>
      </c>
      <c r="K795" s="11">
        <v>15.762010608837166</v>
      </c>
      <c r="L795" s="9">
        <v>0.26134854346951558</v>
      </c>
      <c r="M795" s="10">
        <v>109.54084901450776</v>
      </c>
      <c r="N795" s="10">
        <v>120.49493391595854</v>
      </c>
    </row>
    <row r="796" spans="1:14">
      <c r="A796" t="s">
        <v>1967</v>
      </c>
      <c r="B796" t="s">
        <v>3489</v>
      </c>
      <c r="C796" t="s">
        <v>3487</v>
      </c>
      <c r="D796" t="s">
        <v>11</v>
      </c>
      <c r="E796" t="s">
        <v>13</v>
      </c>
      <c r="F796" t="s">
        <v>1970</v>
      </c>
      <c r="G796" t="s">
        <v>12</v>
      </c>
      <c r="I796" t="s">
        <v>3489</v>
      </c>
      <c r="J796" t="s">
        <v>4985</v>
      </c>
      <c r="K796" s="10">
        <v>101.88326740228912</v>
      </c>
      <c r="L796" s="9">
        <v>0.27001136281316201</v>
      </c>
      <c r="M796" s="10">
        <v>200.99477517132129</v>
      </c>
      <c r="N796" s="10">
        <v>221.09425268845345</v>
      </c>
    </row>
    <row r="797" spans="1:14">
      <c r="A797" t="s">
        <v>1967</v>
      </c>
      <c r="B797" t="s">
        <v>3490</v>
      </c>
      <c r="C797" t="s">
        <v>3491</v>
      </c>
      <c r="D797" t="s">
        <v>11</v>
      </c>
      <c r="E797" t="s">
        <v>13</v>
      </c>
      <c r="F797" t="s">
        <v>1970</v>
      </c>
      <c r="G797" t="s">
        <v>12</v>
      </c>
      <c r="I797" t="s">
        <v>3490</v>
      </c>
      <c r="J797" t="s">
        <v>4986</v>
      </c>
      <c r="K797" s="11">
        <v>48.716377945716182</v>
      </c>
      <c r="L797" s="9">
        <v>0.2290577365987885</v>
      </c>
      <c r="M797" s="11">
        <v>60.528710061855278</v>
      </c>
      <c r="N797" s="11">
        <v>66.581581068040805</v>
      </c>
    </row>
    <row r="798" spans="1:14">
      <c r="A798" t="s">
        <v>1967</v>
      </c>
      <c r="B798" t="s">
        <v>3492</v>
      </c>
      <c r="C798" t="s">
        <v>3493</v>
      </c>
      <c r="D798" t="s">
        <v>11</v>
      </c>
      <c r="E798" t="s">
        <v>13</v>
      </c>
      <c r="F798" t="s">
        <v>1970</v>
      </c>
      <c r="G798" t="s">
        <v>12</v>
      </c>
      <c r="I798" t="s">
        <v>3492</v>
      </c>
      <c r="J798" t="s">
        <v>4987</v>
      </c>
      <c r="K798" s="11">
        <v>62.009138098517539</v>
      </c>
      <c r="L798" s="9">
        <v>0.24037268915081009</v>
      </c>
      <c r="M798" s="11">
        <v>88.368952051904728</v>
      </c>
      <c r="N798" s="11">
        <v>97.205847257095215</v>
      </c>
    </row>
    <row r="799" spans="1:14">
      <c r="A799" t="s">
        <v>1967</v>
      </c>
      <c r="B799" t="s">
        <v>3494</v>
      </c>
      <c r="C799" t="s">
        <v>3495</v>
      </c>
      <c r="D799" t="s">
        <v>11</v>
      </c>
      <c r="E799" t="s">
        <v>13</v>
      </c>
      <c r="F799" t="s">
        <v>1970</v>
      </c>
      <c r="G799" t="s">
        <v>12</v>
      </c>
      <c r="I799" t="s">
        <v>3494</v>
      </c>
      <c r="J799" t="s">
        <v>4988</v>
      </c>
      <c r="K799" s="10">
        <v>139.03518443609104</v>
      </c>
      <c r="L799" s="9">
        <v>0.22809779389179899</v>
      </c>
      <c r="M799" s="11">
        <v>62.300955391366131</v>
      </c>
      <c r="N799" s="11">
        <v>68.531050930502744</v>
      </c>
    </row>
    <row r="800" spans="1:14">
      <c r="A800" t="s">
        <v>1967</v>
      </c>
      <c r="B800" t="s">
        <v>3496</v>
      </c>
      <c r="C800" t="s">
        <v>3497</v>
      </c>
      <c r="D800" t="s">
        <v>11</v>
      </c>
      <c r="E800" t="s">
        <v>13</v>
      </c>
      <c r="F800" t="s">
        <v>1970</v>
      </c>
      <c r="G800" t="s">
        <v>12</v>
      </c>
      <c r="I800" t="s">
        <v>3496</v>
      </c>
      <c r="J800" t="s">
        <v>4989</v>
      </c>
      <c r="K800" s="11">
        <v>68.861737189332558</v>
      </c>
      <c r="L800" s="9">
        <v>0.26049745624036241</v>
      </c>
      <c r="M800" s="10">
        <v>449.62815372991821</v>
      </c>
      <c r="N800" s="10">
        <v>494.59096910291009</v>
      </c>
    </row>
    <row r="801" spans="1:14">
      <c r="A801" t="s">
        <v>1967</v>
      </c>
      <c r="B801" t="s">
        <v>3498</v>
      </c>
      <c r="C801" t="s">
        <v>3499</v>
      </c>
      <c r="D801" t="s">
        <v>11</v>
      </c>
      <c r="E801" t="s">
        <v>13</v>
      </c>
      <c r="F801" t="s">
        <v>1970</v>
      </c>
      <c r="G801" t="s">
        <v>12</v>
      </c>
      <c r="I801" t="s">
        <v>3498</v>
      </c>
      <c r="J801" t="s">
        <v>4990</v>
      </c>
      <c r="K801" s="11">
        <v>97.062637527366903</v>
      </c>
      <c r="L801" s="9">
        <v>0.27256214327915718</v>
      </c>
      <c r="M801" s="10">
        <v>429.38389033642159</v>
      </c>
      <c r="N801" s="10">
        <v>472.32227937006377</v>
      </c>
    </row>
    <row r="802" spans="1:14">
      <c r="A802" t="s">
        <v>1967</v>
      </c>
      <c r="B802" t="s">
        <v>3500</v>
      </c>
      <c r="C802" t="s">
        <v>3501</v>
      </c>
      <c r="D802" t="s">
        <v>11</v>
      </c>
      <c r="E802" t="s">
        <v>13</v>
      </c>
      <c r="F802" t="s">
        <v>1970</v>
      </c>
      <c r="G802" t="s">
        <v>12</v>
      </c>
      <c r="I802" t="s">
        <v>3500</v>
      </c>
      <c r="J802" t="s">
        <v>4991</v>
      </c>
      <c r="K802" s="11">
        <v>47.461064045513986</v>
      </c>
      <c r="L802" s="9">
        <v>0.23430908246427309</v>
      </c>
      <c r="M802" s="10">
        <v>122.10978511683626</v>
      </c>
      <c r="N802" s="10">
        <v>134.3207636285199</v>
      </c>
    </row>
    <row r="803" spans="1:14">
      <c r="A803" t="s">
        <v>1967</v>
      </c>
      <c r="B803" t="s">
        <v>3502</v>
      </c>
      <c r="C803" t="s">
        <v>3503</v>
      </c>
      <c r="D803" t="s">
        <v>11</v>
      </c>
      <c r="E803" t="s">
        <v>13</v>
      </c>
      <c r="F803" t="s">
        <v>1970</v>
      </c>
      <c r="G803" t="s">
        <v>12</v>
      </c>
      <c r="I803" t="s">
        <v>3502</v>
      </c>
      <c r="J803" t="s">
        <v>4992</v>
      </c>
      <c r="K803" s="11">
        <v>60.68590930396185</v>
      </c>
      <c r="L803" s="9">
        <v>0.23977740948948351</v>
      </c>
      <c r="M803" s="10">
        <v>137.0052136574981</v>
      </c>
      <c r="N803" s="10">
        <v>150.70573502324794</v>
      </c>
    </row>
    <row r="804" spans="1:14">
      <c r="A804" t="s">
        <v>1967</v>
      </c>
      <c r="B804" t="s">
        <v>3504</v>
      </c>
      <c r="C804" t="s">
        <v>3499</v>
      </c>
      <c r="D804" t="s">
        <v>11</v>
      </c>
      <c r="E804" t="s">
        <v>13</v>
      </c>
      <c r="F804" t="s">
        <v>1970</v>
      </c>
      <c r="G804" t="s">
        <v>12</v>
      </c>
      <c r="I804" t="s">
        <v>3504</v>
      </c>
      <c r="J804" t="s">
        <v>4993</v>
      </c>
      <c r="K804" s="11">
        <v>68.723140151020445</v>
      </c>
      <c r="L804" s="9">
        <v>0.27132589219877012</v>
      </c>
      <c r="M804" s="10">
        <v>151.7809307994676</v>
      </c>
      <c r="N804" s="10">
        <v>166.95902387941436</v>
      </c>
    </row>
    <row r="805" spans="1:14">
      <c r="A805" t="s">
        <v>1967</v>
      </c>
      <c r="B805" t="s">
        <v>3505</v>
      </c>
      <c r="C805" t="s">
        <v>3497</v>
      </c>
      <c r="D805" t="s">
        <v>11</v>
      </c>
      <c r="E805" t="s">
        <v>13</v>
      </c>
      <c r="F805" t="s">
        <v>1970</v>
      </c>
      <c r="G805" t="s">
        <v>12</v>
      </c>
      <c r="I805" t="s">
        <v>3505</v>
      </c>
      <c r="J805" t="s">
        <v>4994</v>
      </c>
      <c r="K805" s="11">
        <v>40.749651661057833</v>
      </c>
      <c r="L805" s="9">
        <v>0.2585895096533482</v>
      </c>
      <c r="M805" s="10">
        <v>210.31006751946089</v>
      </c>
      <c r="N805" s="10">
        <v>231.341074271407</v>
      </c>
    </row>
    <row r="806" spans="1:14">
      <c r="A806" t="s">
        <v>1967</v>
      </c>
      <c r="B806" t="s">
        <v>3506</v>
      </c>
      <c r="C806" t="s">
        <v>3507</v>
      </c>
      <c r="D806" t="s">
        <v>11</v>
      </c>
      <c r="E806" t="s">
        <v>13</v>
      </c>
      <c r="F806" t="s">
        <v>1970</v>
      </c>
      <c r="G806" t="s">
        <v>12</v>
      </c>
      <c r="I806" t="s">
        <v>3506</v>
      </c>
      <c r="J806" t="s">
        <v>4995</v>
      </c>
      <c r="K806" s="10">
        <v>140.2480782177004</v>
      </c>
      <c r="L806" s="9">
        <v>0.2486182828400067</v>
      </c>
      <c r="M806" s="11">
        <v>72.787987975282093</v>
      </c>
      <c r="N806" s="11">
        <v>80.066786772810303</v>
      </c>
    </row>
    <row r="807" spans="1:14">
      <c r="A807" t="s">
        <v>1967</v>
      </c>
      <c r="B807" t="s">
        <v>3508</v>
      </c>
      <c r="C807" t="s">
        <v>3509</v>
      </c>
      <c r="D807" t="s">
        <v>11</v>
      </c>
      <c r="E807" t="s">
        <v>13</v>
      </c>
      <c r="F807" t="s">
        <v>1970</v>
      </c>
      <c r="G807" t="s">
        <v>12</v>
      </c>
      <c r="I807" t="s">
        <v>3508</v>
      </c>
      <c r="J807" t="s">
        <v>4996</v>
      </c>
      <c r="K807" s="11">
        <v>20.898330738820295</v>
      </c>
      <c r="L807" s="9">
        <v>0.1677625914191547</v>
      </c>
      <c r="M807" s="10">
        <v>181.05763836941287</v>
      </c>
      <c r="N807" s="10">
        <v>199.16340220635416</v>
      </c>
    </row>
    <row r="808" spans="1:14">
      <c r="A808" t="s">
        <v>1967</v>
      </c>
      <c r="B808" t="s">
        <v>3510</v>
      </c>
      <c r="C808" t="s">
        <v>3511</v>
      </c>
      <c r="D808" t="s">
        <v>11</v>
      </c>
      <c r="E808" t="s">
        <v>13</v>
      </c>
      <c r="F808" t="s">
        <v>1970</v>
      </c>
      <c r="G808" t="s">
        <v>12</v>
      </c>
      <c r="I808" t="s">
        <v>3510</v>
      </c>
      <c r="J808" t="s">
        <v>4997</v>
      </c>
      <c r="K808" s="11">
        <v>14.45577573621282</v>
      </c>
      <c r="L808" s="9">
        <v>0.19100081074820449</v>
      </c>
      <c r="M808" s="10">
        <v>105.15016734439666</v>
      </c>
      <c r="N808" s="10">
        <v>115.66518407883633</v>
      </c>
    </row>
    <row r="809" spans="1:14">
      <c r="A809" t="s">
        <v>1967</v>
      </c>
      <c r="B809" t="s">
        <v>3512</v>
      </c>
      <c r="C809" t="s">
        <v>3513</v>
      </c>
      <c r="D809" t="s">
        <v>11</v>
      </c>
      <c r="E809" t="s">
        <v>13</v>
      </c>
      <c r="F809" t="s">
        <v>1970</v>
      </c>
      <c r="G809" t="s">
        <v>12</v>
      </c>
      <c r="I809" t="s">
        <v>3512</v>
      </c>
      <c r="J809" t="s">
        <v>4998</v>
      </c>
      <c r="K809" s="11">
        <v>10.730942718323188</v>
      </c>
      <c r="L809" s="9">
        <v>0.1804049036024091</v>
      </c>
      <c r="M809" s="11">
        <v>40.315954279651976</v>
      </c>
      <c r="N809" s="11">
        <v>44.347549707617176</v>
      </c>
    </row>
    <row r="810" spans="1:14">
      <c r="A810" t="s">
        <v>1967</v>
      </c>
      <c r="B810" t="s">
        <v>3514</v>
      </c>
      <c r="C810" t="s">
        <v>3515</v>
      </c>
      <c r="D810" t="s">
        <v>11</v>
      </c>
      <c r="E810" t="s">
        <v>13</v>
      </c>
      <c r="F810" t="s">
        <v>1970</v>
      </c>
      <c r="G810" t="s">
        <v>12</v>
      </c>
      <c r="I810" t="s">
        <v>3514</v>
      </c>
      <c r="J810" t="s">
        <v>4999</v>
      </c>
      <c r="K810" s="9">
        <v>7.907086620697009</v>
      </c>
      <c r="L810" s="9">
        <v>0.1742459465723496</v>
      </c>
      <c r="M810" s="10">
        <v>104.5621419652194</v>
      </c>
      <c r="N810" s="10">
        <v>115.01835616174135</v>
      </c>
    </row>
    <row r="811" spans="1:14">
      <c r="A811" t="s">
        <v>1967</v>
      </c>
      <c r="B811" t="s">
        <v>3516</v>
      </c>
      <c r="C811" t="s">
        <v>3517</v>
      </c>
      <c r="D811" t="s">
        <v>11</v>
      </c>
      <c r="E811" t="s">
        <v>13</v>
      </c>
      <c r="F811" t="s">
        <v>1970</v>
      </c>
      <c r="G811" t="s">
        <v>12</v>
      </c>
      <c r="I811" t="s">
        <v>3516</v>
      </c>
      <c r="J811" t="s">
        <v>5000</v>
      </c>
      <c r="K811" s="10">
        <v>196.86787710978612</v>
      </c>
      <c r="L811" s="9">
        <v>0.1812119742106012</v>
      </c>
      <c r="M811" s="10">
        <v>172.45706972607886</v>
      </c>
      <c r="N811" s="10">
        <v>189.70277669868676</v>
      </c>
    </row>
    <row r="812" spans="1:14">
      <c r="A812" t="s">
        <v>1967</v>
      </c>
      <c r="B812" t="s">
        <v>3518</v>
      </c>
      <c r="C812" t="s">
        <v>3519</v>
      </c>
      <c r="D812" t="s">
        <v>11</v>
      </c>
      <c r="E812" t="s">
        <v>13</v>
      </c>
      <c r="F812" t="s">
        <v>1970</v>
      </c>
      <c r="G812" t="s">
        <v>12</v>
      </c>
      <c r="I812" t="s">
        <v>3518</v>
      </c>
      <c r="J812" t="s">
        <v>5001</v>
      </c>
      <c r="K812" s="11">
        <v>92.392604458550124</v>
      </c>
      <c r="L812" s="9">
        <v>0.1714331322415388</v>
      </c>
      <c r="M812" s="10">
        <v>399.23379595629962</v>
      </c>
      <c r="N812" s="10">
        <v>439.15717555192964</v>
      </c>
    </row>
    <row r="813" spans="1:14">
      <c r="A813" t="s">
        <v>1967</v>
      </c>
      <c r="B813" t="s">
        <v>3520</v>
      </c>
      <c r="C813" t="s">
        <v>3517</v>
      </c>
      <c r="D813" t="s">
        <v>11</v>
      </c>
      <c r="E813" t="s">
        <v>13</v>
      </c>
      <c r="F813" t="s">
        <v>1970</v>
      </c>
      <c r="G813" t="s">
        <v>12</v>
      </c>
      <c r="I813" t="s">
        <v>3520</v>
      </c>
      <c r="J813" t="s">
        <v>5002</v>
      </c>
      <c r="K813" s="11">
        <v>65.908192133192429</v>
      </c>
      <c r="L813" s="9">
        <v>0.18807733760391859</v>
      </c>
      <c r="M813" s="10">
        <v>313.05472924578078</v>
      </c>
      <c r="N813" s="10">
        <v>344.36020217035889</v>
      </c>
    </row>
    <row r="814" spans="1:14">
      <c r="A814" t="s">
        <v>1967</v>
      </c>
      <c r="B814" t="s">
        <v>3521</v>
      </c>
      <c r="C814" t="s">
        <v>3519</v>
      </c>
      <c r="D814" t="s">
        <v>11</v>
      </c>
      <c r="E814" t="s">
        <v>13</v>
      </c>
      <c r="F814" t="s">
        <v>1970</v>
      </c>
      <c r="G814" t="s">
        <v>12</v>
      </c>
      <c r="I814" t="s">
        <v>3521</v>
      </c>
      <c r="J814" t="s">
        <v>5003</v>
      </c>
      <c r="K814" s="10">
        <v>291.67515000000003</v>
      </c>
      <c r="L814" s="9">
        <v>0.16839126604946561</v>
      </c>
      <c r="M814" s="10">
        <v>197.71463642698831</v>
      </c>
      <c r="N814" s="10">
        <v>217.48610006968715</v>
      </c>
    </row>
    <row r="815" spans="1:14">
      <c r="A815" t="s">
        <v>1967</v>
      </c>
      <c r="B815" t="s">
        <v>3522</v>
      </c>
      <c r="C815" t="s">
        <v>3519</v>
      </c>
      <c r="D815" t="s">
        <v>11</v>
      </c>
      <c r="E815" t="s">
        <v>13</v>
      </c>
      <c r="F815" t="s">
        <v>1970</v>
      </c>
      <c r="G815" t="s">
        <v>12</v>
      </c>
      <c r="I815" t="s">
        <v>3522</v>
      </c>
      <c r="J815" t="s">
        <v>5004</v>
      </c>
      <c r="K815" s="10">
        <v>178.4205</v>
      </c>
      <c r="L815" s="9">
        <v>0.17090781241725531</v>
      </c>
      <c r="M815" s="10">
        <v>305.06817363883749</v>
      </c>
      <c r="N815" s="10">
        <v>335.57499100272128</v>
      </c>
    </row>
    <row r="816" spans="1:14">
      <c r="A816" t="s">
        <v>1967</v>
      </c>
      <c r="B816" t="s">
        <v>3523</v>
      </c>
      <c r="C816" t="s">
        <v>3519</v>
      </c>
      <c r="D816" t="s">
        <v>11</v>
      </c>
      <c r="E816" t="s">
        <v>13</v>
      </c>
      <c r="F816" t="s">
        <v>1970</v>
      </c>
      <c r="G816" t="s">
        <v>12</v>
      </c>
      <c r="I816" t="s">
        <v>3523</v>
      </c>
      <c r="J816" t="s">
        <v>5005</v>
      </c>
      <c r="K816" s="10">
        <v>249.49875</v>
      </c>
      <c r="L816" s="9">
        <v>0.170478609532209</v>
      </c>
      <c r="M816" s="10">
        <v>220.75720053851481</v>
      </c>
      <c r="N816" s="10">
        <v>242.83292059236632</v>
      </c>
    </row>
    <row r="817" spans="1:14">
      <c r="A817" t="s">
        <v>1967</v>
      </c>
      <c r="B817" t="s">
        <v>3524</v>
      </c>
      <c r="C817" t="s">
        <v>3525</v>
      </c>
      <c r="D817" t="s">
        <v>11</v>
      </c>
      <c r="E817" t="s">
        <v>13</v>
      </c>
      <c r="F817" t="s">
        <v>1970</v>
      </c>
      <c r="G817" t="s">
        <v>12</v>
      </c>
      <c r="I817" t="s">
        <v>3524</v>
      </c>
      <c r="J817" t="s">
        <v>5006</v>
      </c>
      <c r="K817" s="11">
        <v>62.00112288252263</v>
      </c>
      <c r="L817" s="9">
        <v>0.23321700409999291</v>
      </c>
      <c r="M817" s="11">
        <v>77.696256502154299</v>
      </c>
      <c r="N817" s="11">
        <v>85.46588215236973</v>
      </c>
    </row>
    <row r="818" spans="1:14">
      <c r="A818" t="s">
        <v>1967</v>
      </c>
      <c r="B818" t="s">
        <v>3526</v>
      </c>
      <c r="C818" t="s">
        <v>3527</v>
      </c>
      <c r="D818" t="s">
        <v>11</v>
      </c>
      <c r="E818" t="s">
        <v>13</v>
      </c>
      <c r="F818" t="s">
        <v>1970</v>
      </c>
      <c r="G818" t="s">
        <v>12</v>
      </c>
      <c r="I818" t="s">
        <v>3526</v>
      </c>
      <c r="J818" t="s">
        <v>5007</v>
      </c>
      <c r="K818" s="11">
        <v>50.586289355061304</v>
      </c>
      <c r="L818" s="9">
        <v>0.25280688356159892</v>
      </c>
      <c r="M818" s="11">
        <v>84.499239979891399</v>
      </c>
      <c r="N818" s="11">
        <v>92.949163977880545</v>
      </c>
    </row>
    <row r="819" spans="1:14">
      <c r="A819" t="s">
        <v>1967</v>
      </c>
      <c r="B819" t="s">
        <v>3528</v>
      </c>
      <c r="C819" t="s">
        <v>3529</v>
      </c>
      <c r="D819" t="s">
        <v>11</v>
      </c>
      <c r="E819" t="s">
        <v>13</v>
      </c>
      <c r="F819" t="s">
        <v>1970</v>
      </c>
      <c r="G819" t="s">
        <v>12</v>
      </c>
      <c r="I819" t="s">
        <v>3528</v>
      </c>
      <c r="J819" t="s">
        <v>5008</v>
      </c>
      <c r="K819" s="10">
        <v>127.1031784098771</v>
      </c>
      <c r="L819" s="9">
        <v>0.18631422783037571</v>
      </c>
      <c r="M819" s="10">
        <v>165.85766712031332</v>
      </c>
      <c r="N819" s="10">
        <v>182.44343383234468</v>
      </c>
    </row>
    <row r="820" spans="1:14">
      <c r="A820" t="s">
        <v>1967</v>
      </c>
      <c r="B820" t="s">
        <v>3530</v>
      </c>
      <c r="C820" t="s">
        <v>3531</v>
      </c>
      <c r="D820" t="s">
        <v>11</v>
      </c>
      <c r="E820" t="s">
        <v>13</v>
      </c>
      <c r="F820" t="s">
        <v>1970</v>
      </c>
      <c r="G820" t="s">
        <v>12</v>
      </c>
      <c r="I820" t="s">
        <v>3530</v>
      </c>
      <c r="J820" t="s">
        <v>5009</v>
      </c>
      <c r="K820" s="10">
        <v>117.86452498526585</v>
      </c>
      <c r="L820" s="9">
        <v>0.18162033677421191</v>
      </c>
      <c r="M820" s="10">
        <v>247.13563775590967</v>
      </c>
      <c r="N820" s="10">
        <v>271.84920153150068</v>
      </c>
    </row>
    <row r="821" spans="1:14">
      <c r="A821" t="s">
        <v>1967</v>
      </c>
      <c r="B821" t="s">
        <v>3532</v>
      </c>
      <c r="C821" t="s">
        <v>3533</v>
      </c>
      <c r="D821" t="s">
        <v>11</v>
      </c>
      <c r="E821" t="s">
        <v>13</v>
      </c>
      <c r="F821" t="s">
        <v>1970</v>
      </c>
      <c r="G821" t="s">
        <v>12</v>
      </c>
      <c r="I821" t="s">
        <v>3532</v>
      </c>
      <c r="J821" t="s">
        <v>5010</v>
      </c>
      <c r="K821" s="10">
        <v>249.50821743970761</v>
      </c>
      <c r="L821" s="9">
        <v>0.1892192324603304</v>
      </c>
      <c r="M821" s="10">
        <v>314.3652757474548</v>
      </c>
      <c r="N821" s="10">
        <v>345.80180332220033</v>
      </c>
    </row>
    <row r="822" spans="1:14">
      <c r="A822" t="s">
        <v>1967</v>
      </c>
      <c r="B822" t="s">
        <v>3534</v>
      </c>
      <c r="C822" t="s">
        <v>3535</v>
      </c>
      <c r="D822" t="s">
        <v>11</v>
      </c>
      <c r="E822" t="s">
        <v>13</v>
      </c>
      <c r="F822" t="s">
        <v>1970</v>
      </c>
      <c r="G822" t="s">
        <v>12</v>
      </c>
      <c r="I822" t="s">
        <v>3534</v>
      </c>
      <c r="J822" t="s">
        <v>5011</v>
      </c>
      <c r="K822" s="11">
        <v>43.131822626873046</v>
      </c>
      <c r="L822" s="9">
        <v>0.1981079586285498</v>
      </c>
      <c r="M822" s="11">
        <v>22.550408639477102</v>
      </c>
      <c r="N822" s="11">
        <v>24.805449503424814</v>
      </c>
    </row>
    <row r="823" spans="1:14">
      <c r="A823" t="s">
        <v>1967</v>
      </c>
      <c r="B823" t="s">
        <v>3536</v>
      </c>
      <c r="C823" t="s">
        <v>3537</v>
      </c>
      <c r="D823" t="s">
        <v>11</v>
      </c>
      <c r="E823" t="s">
        <v>13</v>
      </c>
      <c r="F823" t="s">
        <v>1970</v>
      </c>
      <c r="G823" t="s">
        <v>12</v>
      </c>
      <c r="I823" t="s">
        <v>3536</v>
      </c>
      <c r="J823" t="s">
        <v>5012</v>
      </c>
      <c r="K823" s="9">
        <v>8.8768576086451763</v>
      </c>
      <c r="L823" s="9">
        <v>0.206999435891042</v>
      </c>
      <c r="M823" s="11">
        <v>82.4014358235667</v>
      </c>
      <c r="N823" s="11">
        <v>90.64157940592338</v>
      </c>
    </row>
    <row r="824" spans="1:14">
      <c r="A824" t="s">
        <v>1967</v>
      </c>
      <c r="B824" t="s">
        <v>3538</v>
      </c>
      <c r="C824" t="s">
        <v>3539</v>
      </c>
      <c r="D824" t="s">
        <v>11</v>
      </c>
      <c r="E824" t="s">
        <v>13</v>
      </c>
      <c r="F824" t="s">
        <v>1970</v>
      </c>
      <c r="G824" t="s">
        <v>12</v>
      </c>
      <c r="I824" t="s">
        <v>3538</v>
      </c>
      <c r="J824" t="s">
        <v>5013</v>
      </c>
      <c r="K824" s="11">
        <v>11.143681983466397</v>
      </c>
      <c r="L824" s="9">
        <v>0.1903998998990738</v>
      </c>
      <c r="M824" s="11">
        <v>32.251944379997909</v>
      </c>
      <c r="N824" s="11">
        <v>35.477138817997705</v>
      </c>
    </row>
    <row r="825" spans="1:14">
      <c r="A825" t="s">
        <v>1967</v>
      </c>
      <c r="B825" t="s">
        <v>3540</v>
      </c>
      <c r="C825" t="s">
        <v>3541</v>
      </c>
      <c r="D825" t="s">
        <v>11</v>
      </c>
      <c r="E825" t="s">
        <v>13</v>
      </c>
      <c r="F825" t="s">
        <v>1970</v>
      </c>
      <c r="G825" t="s">
        <v>12</v>
      </c>
      <c r="I825" t="s">
        <v>3540</v>
      </c>
      <c r="J825" t="s">
        <v>5014</v>
      </c>
      <c r="K825" s="11">
        <v>54.463090910310243</v>
      </c>
      <c r="L825" s="9">
        <v>0.18770881894194011</v>
      </c>
      <c r="M825" s="11">
        <v>16.95337546771502</v>
      </c>
      <c r="N825" s="11">
        <v>18.648713014486525</v>
      </c>
    </row>
    <row r="826" spans="1:14">
      <c r="A826" t="s">
        <v>1967</v>
      </c>
      <c r="B826" t="s">
        <v>3542</v>
      </c>
      <c r="C826" t="s">
        <v>3543</v>
      </c>
      <c r="D826" t="s">
        <v>11</v>
      </c>
      <c r="E826" t="s">
        <v>13</v>
      </c>
      <c r="F826" t="s">
        <v>1970</v>
      </c>
      <c r="G826" t="s">
        <v>12</v>
      </c>
      <c r="I826" t="s">
        <v>3542</v>
      </c>
      <c r="J826" t="s">
        <v>5015</v>
      </c>
      <c r="K826" s="11">
        <v>27.480367660183791</v>
      </c>
      <c r="L826" s="9">
        <v>0.18072062056272259</v>
      </c>
      <c r="M826" s="11">
        <v>22.160461521250738</v>
      </c>
      <c r="N826" s="11">
        <v>24.376507673375816</v>
      </c>
    </row>
    <row r="827" spans="1:14">
      <c r="A827" t="s">
        <v>1967</v>
      </c>
      <c r="B827" t="s">
        <v>3544</v>
      </c>
      <c r="C827" t="s">
        <v>3545</v>
      </c>
      <c r="D827" t="s">
        <v>11</v>
      </c>
      <c r="E827" t="s">
        <v>13</v>
      </c>
      <c r="F827" t="s">
        <v>1970</v>
      </c>
      <c r="G827" t="s">
        <v>12</v>
      </c>
      <c r="I827" t="s">
        <v>3544</v>
      </c>
      <c r="J827" t="s">
        <v>5016</v>
      </c>
      <c r="K827" s="9">
        <v>6.2801259032276233</v>
      </c>
      <c r="L827" s="9">
        <v>0.20406164717670849</v>
      </c>
      <c r="M827" s="11">
        <v>33.918474931805065</v>
      </c>
      <c r="N827" s="11">
        <v>37.310322424985571</v>
      </c>
    </row>
    <row r="828" spans="1:14">
      <c r="A828" t="s">
        <v>1967</v>
      </c>
      <c r="B828" t="s">
        <v>3546</v>
      </c>
      <c r="C828" t="s">
        <v>3547</v>
      </c>
      <c r="D828" t="s">
        <v>11</v>
      </c>
      <c r="E828" t="s">
        <v>13</v>
      </c>
      <c r="F828" t="s">
        <v>1970</v>
      </c>
      <c r="G828" t="s">
        <v>12</v>
      </c>
      <c r="I828" t="s">
        <v>3546</v>
      </c>
      <c r="J828" t="s">
        <v>5017</v>
      </c>
      <c r="K828" s="9">
        <v>5.6349812302751436</v>
      </c>
      <c r="L828" s="9">
        <v>0.20350476543815499</v>
      </c>
      <c r="M828" s="11">
        <v>30.657833711234691</v>
      </c>
      <c r="N828" s="11">
        <v>33.72361708235816</v>
      </c>
    </row>
    <row r="829" spans="1:14">
      <c r="A829" t="s">
        <v>1967</v>
      </c>
      <c r="B829" t="s">
        <v>3548</v>
      </c>
      <c r="C829" t="s">
        <v>3549</v>
      </c>
      <c r="D829" t="s">
        <v>11</v>
      </c>
      <c r="E829" t="s">
        <v>13</v>
      </c>
      <c r="F829" t="s">
        <v>1970</v>
      </c>
      <c r="G829" t="s">
        <v>12</v>
      </c>
      <c r="I829" t="s">
        <v>3548</v>
      </c>
      <c r="J829" t="s">
        <v>5018</v>
      </c>
      <c r="K829" s="11">
        <v>28.457640912276027</v>
      </c>
      <c r="L829" s="9">
        <v>0.19683978173529301</v>
      </c>
      <c r="M829" s="9">
        <v>8.8240752675072542</v>
      </c>
      <c r="N829" s="9">
        <v>9.7064827942579797</v>
      </c>
    </row>
    <row r="830" spans="1:14">
      <c r="A830" t="s">
        <v>1967</v>
      </c>
      <c r="B830" t="s">
        <v>3550</v>
      </c>
      <c r="C830" t="s">
        <v>3551</v>
      </c>
      <c r="D830" t="s">
        <v>11</v>
      </c>
      <c r="E830" t="s">
        <v>13</v>
      </c>
      <c r="F830" t="s">
        <v>1970</v>
      </c>
      <c r="G830" t="s">
        <v>12</v>
      </c>
      <c r="I830" t="s">
        <v>3550</v>
      </c>
      <c r="J830" t="s">
        <v>5019</v>
      </c>
      <c r="K830" s="11">
        <v>30.438133511446466</v>
      </c>
      <c r="L830" s="9">
        <v>0.19732185092188309</v>
      </c>
      <c r="M830" s="11">
        <v>19.031876416084827</v>
      </c>
      <c r="N830" s="11">
        <v>20.93506405769331</v>
      </c>
    </row>
    <row r="831" spans="1:14">
      <c r="A831" t="s">
        <v>1967</v>
      </c>
      <c r="B831" t="s">
        <v>3552</v>
      </c>
      <c r="C831" t="s">
        <v>3553</v>
      </c>
      <c r="D831" t="s">
        <v>11</v>
      </c>
      <c r="E831" t="s">
        <v>13</v>
      </c>
      <c r="F831" t="s">
        <v>1970</v>
      </c>
      <c r="G831" t="s">
        <v>12</v>
      </c>
      <c r="I831" t="s">
        <v>3552</v>
      </c>
      <c r="J831" t="s">
        <v>5020</v>
      </c>
      <c r="K831" s="9">
        <v>2.562756578970605</v>
      </c>
      <c r="L831" s="9">
        <v>0.15198708430527469</v>
      </c>
      <c r="M831" s="11">
        <v>78.982283953155701</v>
      </c>
      <c r="N831" s="11">
        <v>86.880512348471271</v>
      </c>
    </row>
    <row r="832" spans="1:14">
      <c r="A832" t="s">
        <v>1967</v>
      </c>
      <c r="B832" t="s">
        <v>3554</v>
      </c>
      <c r="C832" t="s">
        <v>3555</v>
      </c>
      <c r="D832" t="s">
        <v>11</v>
      </c>
      <c r="E832" t="s">
        <v>13</v>
      </c>
      <c r="F832" t="s">
        <v>1970</v>
      </c>
      <c r="G832" t="s">
        <v>12</v>
      </c>
      <c r="I832" t="s">
        <v>3554</v>
      </c>
      <c r="J832" t="s">
        <v>5021</v>
      </c>
      <c r="K832" s="9">
        <v>2.4307500000000002</v>
      </c>
      <c r="L832" s="9">
        <v>0.15620254397227881</v>
      </c>
      <c r="M832" s="10">
        <v>174.67088828990526</v>
      </c>
      <c r="N832" s="10">
        <v>192.1379771188958</v>
      </c>
    </row>
    <row r="833" spans="1:14">
      <c r="A833" t="s">
        <v>1967</v>
      </c>
      <c r="B833" t="s">
        <v>3556</v>
      </c>
      <c r="C833" t="s">
        <v>3555</v>
      </c>
      <c r="D833" t="s">
        <v>11</v>
      </c>
      <c r="E833" t="s">
        <v>13</v>
      </c>
      <c r="F833" t="s">
        <v>1970</v>
      </c>
      <c r="G833" t="s">
        <v>12</v>
      </c>
      <c r="I833" t="s">
        <v>3556</v>
      </c>
      <c r="J833" t="s">
        <v>5022</v>
      </c>
      <c r="K833" s="9">
        <v>3.069</v>
      </c>
      <c r="L833" s="9">
        <v>0.15651373605142579</v>
      </c>
      <c r="M833" s="10">
        <v>258.61892675789147</v>
      </c>
      <c r="N833" s="10">
        <v>284.48081943368067</v>
      </c>
    </row>
    <row r="834" spans="1:14">
      <c r="A834" t="s">
        <v>1967</v>
      </c>
      <c r="B834" t="s">
        <v>3557</v>
      </c>
      <c r="C834" t="s">
        <v>3558</v>
      </c>
      <c r="D834" t="s">
        <v>11</v>
      </c>
      <c r="E834" t="s">
        <v>13</v>
      </c>
      <c r="F834" t="s">
        <v>1970</v>
      </c>
      <c r="G834" t="s">
        <v>12</v>
      </c>
      <c r="I834" t="s">
        <v>3557</v>
      </c>
      <c r="J834" t="s">
        <v>5023</v>
      </c>
      <c r="K834" s="9">
        <v>4.7179120632940412</v>
      </c>
      <c r="L834" s="9">
        <v>0.16274244085485151</v>
      </c>
      <c r="M834" s="10">
        <v>301.72764368133591</v>
      </c>
      <c r="N834" s="10">
        <v>331.90040804946955</v>
      </c>
    </row>
    <row r="835" spans="1:14">
      <c r="A835" t="s">
        <v>1967</v>
      </c>
      <c r="B835" t="s">
        <v>3559</v>
      </c>
      <c r="C835" t="s">
        <v>3560</v>
      </c>
      <c r="D835" t="s">
        <v>11</v>
      </c>
      <c r="E835" t="s">
        <v>13</v>
      </c>
      <c r="F835" t="s">
        <v>1970</v>
      </c>
      <c r="G835" t="s">
        <v>12</v>
      </c>
      <c r="I835" t="s">
        <v>3559</v>
      </c>
      <c r="J835" t="s">
        <v>5024</v>
      </c>
      <c r="K835" s="9">
        <v>0.15705066118656186</v>
      </c>
      <c r="L835" s="9">
        <v>0.16728127610056939</v>
      </c>
      <c r="M835" s="10">
        <v>137.20587157602003</v>
      </c>
      <c r="N835" s="10">
        <v>150.92645873362204</v>
      </c>
    </row>
    <row r="836" spans="1:14">
      <c r="A836" t="s">
        <v>1967</v>
      </c>
      <c r="B836" t="s">
        <v>3561</v>
      </c>
      <c r="C836" t="s">
        <v>3562</v>
      </c>
      <c r="D836" t="s">
        <v>11</v>
      </c>
      <c r="E836" t="s">
        <v>13</v>
      </c>
      <c r="F836" t="s">
        <v>1970</v>
      </c>
      <c r="G836" t="s">
        <v>12</v>
      </c>
      <c r="I836" t="s">
        <v>3561</v>
      </c>
      <c r="J836" t="s">
        <v>5025</v>
      </c>
      <c r="K836" s="9">
        <v>0.33686718436612173</v>
      </c>
      <c r="L836" s="9">
        <v>0.13719203388942161</v>
      </c>
      <c r="M836" s="11">
        <v>47.59045747597844</v>
      </c>
      <c r="N836" s="11">
        <v>52.349503223576285</v>
      </c>
    </row>
    <row r="837" spans="1:14">
      <c r="A837" t="s">
        <v>1967</v>
      </c>
      <c r="B837" t="s">
        <v>3563</v>
      </c>
      <c r="C837" t="s">
        <v>3564</v>
      </c>
      <c r="D837" t="s">
        <v>11</v>
      </c>
      <c r="E837" t="s">
        <v>13</v>
      </c>
      <c r="F837" t="s">
        <v>1970</v>
      </c>
      <c r="G837" t="s">
        <v>12</v>
      </c>
      <c r="I837" t="s">
        <v>3563</v>
      </c>
      <c r="J837" t="s">
        <v>5026</v>
      </c>
      <c r="K837" s="9">
        <v>2.647881320269367</v>
      </c>
      <c r="L837" s="9">
        <v>0.17977474650096659</v>
      </c>
      <c r="M837" s="10">
        <v>103.53025328408472</v>
      </c>
      <c r="N837" s="10">
        <v>113.8832786124932</v>
      </c>
    </row>
    <row r="838" spans="1:14">
      <c r="A838" t="s">
        <v>1967</v>
      </c>
      <c r="B838" t="s">
        <v>3565</v>
      </c>
      <c r="C838" t="s">
        <v>3566</v>
      </c>
      <c r="D838" t="s">
        <v>11</v>
      </c>
      <c r="E838" t="s">
        <v>13</v>
      </c>
      <c r="F838" t="s">
        <v>1970</v>
      </c>
      <c r="G838" t="s">
        <v>12</v>
      </c>
      <c r="I838" t="s">
        <v>3565</v>
      </c>
      <c r="J838" t="s">
        <v>5027</v>
      </c>
      <c r="K838" s="9">
        <v>1.2537689686186695</v>
      </c>
      <c r="L838" s="9">
        <v>0.13649429273056521</v>
      </c>
      <c r="M838" s="11">
        <v>49.656091843495197</v>
      </c>
      <c r="N838" s="11">
        <v>54.621701027844722</v>
      </c>
    </row>
    <row r="839" spans="1:14">
      <c r="A839" t="s">
        <v>1967</v>
      </c>
      <c r="B839" t="s">
        <v>3567</v>
      </c>
      <c r="C839" t="s">
        <v>3568</v>
      </c>
      <c r="D839" t="s">
        <v>11</v>
      </c>
      <c r="E839" t="s">
        <v>13</v>
      </c>
      <c r="F839" t="s">
        <v>1970</v>
      </c>
      <c r="G839" t="s">
        <v>12</v>
      </c>
      <c r="I839" t="s">
        <v>3567</v>
      </c>
      <c r="J839" t="s">
        <v>5028</v>
      </c>
      <c r="K839" s="9">
        <v>0.93052742802347677</v>
      </c>
      <c r="L839" s="9">
        <v>0.13697927671232371</v>
      </c>
      <c r="M839" s="11">
        <v>43.805422453262445</v>
      </c>
      <c r="N839" s="11">
        <v>48.185964698588691</v>
      </c>
    </row>
    <row r="840" spans="1:14">
      <c r="A840" t="s">
        <v>1967</v>
      </c>
      <c r="B840" t="s">
        <v>3569</v>
      </c>
      <c r="C840" t="s">
        <v>3570</v>
      </c>
      <c r="D840" t="s">
        <v>11</v>
      </c>
      <c r="E840" t="s">
        <v>13</v>
      </c>
      <c r="F840" t="s">
        <v>1970</v>
      </c>
      <c r="G840" t="s">
        <v>12</v>
      </c>
      <c r="I840" t="s">
        <v>3569</v>
      </c>
      <c r="J840" t="s">
        <v>5029</v>
      </c>
      <c r="K840" s="9">
        <v>2.135737174068947</v>
      </c>
      <c r="L840" s="9">
        <v>0.14100711138045349</v>
      </c>
      <c r="M840" s="11">
        <v>52.863834391065552</v>
      </c>
      <c r="N840" s="11">
        <v>58.15021783017211</v>
      </c>
    </row>
    <row r="841" spans="1:14">
      <c r="A841" t="s">
        <v>1967</v>
      </c>
      <c r="B841" t="s">
        <v>3571</v>
      </c>
      <c r="C841" t="s">
        <v>3572</v>
      </c>
      <c r="D841" t="s">
        <v>11</v>
      </c>
      <c r="E841" t="s">
        <v>13</v>
      </c>
      <c r="F841" t="s">
        <v>1970</v>
      </c>
      <c r="G841" t="s">
        <v>12</v>
      </c>
      <c r="I841" t="s">
        <v>3571</v>
      </c>
      <c r="J841" t="s">
        <v>5030</v>
      </c>
      <c r="K841" s="9">
        <v>6.5369607058262593</v>
      </c>
      <c r="L841" s="9">
        <v>0.13807980641626971</v>
      </c>
      <c r="M841" s="11">
        <v>53.301359717259082</v>
      </c>
      <c r="N841" s="11">
        <v>58.631495688984998</v>
      </c>
    </row>
    <row r="842" spans="1:14">
      <c r="A842" t="s">
        <v>1967</v>
      </c>
      <c r="B842" t="s">
        <v>3573</v>
      </c>
      <c r="C842" t="s">
        <v>3574</v>
      </c>
      <c r="D842" t="s">
        <v>11</v>
      </c>
      <c r="E842" t="s">
        <v>13</v>
      </c>
      <c r="F842" t="s">
        <v>1970</v>
      </c>
      <c r="G842" t="s">
        <v>12</v>
      </c>
      <c r="I842" t="s">
        <v>3573</v>
      </c>
      <c r="J842" t="s">
        <v>5031</v>
      </c>
      <c r="K842" s="9">
        <v>2.753909757114005</v>
      </c>
      <c r="L842" s="9">
        <v>0.14319370914139751</v>
      </c>
      <c r="M842" s="11">
        <v>47.845678138585029</v>
      </c>
      <c r="N842" s="11">
        <v>52.630245952443538</v>
      </c>
    </row>
    <row r="843" spans="1:14">
      <c r="A843" t="s">
        <v>1967</v>
      </c>
      <c r="B843" t="s">
        <v>3575</v>
      </c>
      <c r="C843" t="s">
        <v>3576</v>
      </c>
      <c r="D843" t="s">
        <v>11</v>
      </c>
      <c r="E843" t="s">
        <v>13</v>
      </c>
      <c r="F843" t="s">
        <v>1970</v>
      </c>
      <c r="G843" t="s">
        <v>12</v>
      </c>
      <c r="I843" t="s">
        <v>3575</v>
      </c>
      <c r="J843" t="s">
        <v>5032</v>
      </c>
      <c r="K843" s="9">
        <v>1.4009087985238131</v>
      </c>
      <c r="L843" s="9">
        <v>0.1410002188169325</v>
      </c>
      <c r="M843" s="11">
        <v>30.589426592564308</v>
      </c>
      <c r="N843" s="11">
        <v>33.648369251820739</v>
      </c>
    </row>
    <row r="844" spans="1:14">
      <c r="A844" t="s">
        <v>1967</v>
      </c>
      <c r="B844" t="s">
        <v>3577</v>
      </c>
      <c r="C844" t="s">
        <v>3578</v>
      </c>
      <c r="D844" t="s">
        <v>11</v>
      </c>
      <c r="E844" t="s">
        <v>13</v>
      </c>
      <c r="F844" t="s">
        <v>1970</v>
      </c>
      <c r="G844" t="s">
        <v>12</v>
      </c>
      <c r="I844" t="s">
        <v>3577</v>
      </c>
      <c r="J844" t="s">
        <v>5033</v>
      </c>
      <c r="K844" s="9">
        <v>1.5236924260398048</v>
      </c>
      <c r="L844" s="9">
        <v>0.1382978111625931</v>
      </c>
      <c r="M844" s="11">
        <v>23.286298040827177</v>
      </c>
      <c r="N844" s="11">
        <v>25.614927844909896</v>
      </c>
    </row>
    <row r="845" spans="1:14">
      <c r="A845" t="s">
        <v>1967</v>
      </c>
      <c r="B845" t="s">
        <v>3579</v>
      </c>
      <c r="C845" t="s">
        <v>3580</v>
      </c>
      <c r="D845" t="s">
        <v>11</v>
      </c>
      <c r="E845" t="s">
        <v>13</v>
      </c>
      <c r="F845" t="s">
        <v>1970</v>
      </c>
      <c r="G845" t="s">
        <v>12</v>
      </c>
      <c r="I845" t="s">
        <v>3579</v>
      </c>
      <c r="J845" t="s">
        <v>5034</v>
      </c>
      <c r="K845" s="9">
        <v>0.47995299589835044</v>
      </c>
      <c r="L845" s="9">
        <v>0.24112408773292779</v>
      </c>
      <c r="M845" s="11">
        <v>28.299955351374734</v>
      </c>
      <c r="N845" s="11">
        <v>31.129950886512212</v>
      </c>
    </row>
    <row r="846" spans="1:14">
      <c r="A846" t="s">
        <v>1967</v>
      </c>
      <c r="B846" t="s">
        <v>3581</v>
      </c>
      <c r="C846" t="s">
        <v>3582</v>
      </c>
      <c r="D846" t="s">
        <v>11</v>
      </c>
      <c r="E846" t="s">
        <v>13</v>
      </c>
      <c r="F846" t="s">
        <v>1970</v>
      </c>
      <c r="G846" t="s">
        <v>12</v>
      </c>
      <c r="I846" t="s">
        <v>3581</v>
      </c>
      <c r="J846" t="s">
        <v>5035</v>
      </c>
      <c r="K846" s="9">
        <v>1.185358303768127</v>
      </c>
      <c r="L846" s="9">
        <v>0.2485728745900507</v>
      </c>
      <c r="M846" s="11">
        <v>40.009559129098918</v>
      </c>
      <c r="N846" s="11">
        <v>44.010515042008812</v>
      </c>
    </row>
    <row r="847" spans="1:14">
      <c r="A847" t="s">
        <v>1967</v>
      </c>
      <c r="B847" t="s">
        <v>3583</v>
      </c>
      <c r="C847" t="s">
        <v>3584</v>
      </c>
      <c r="D847" t="s">
        <v>11</v>
      </c>
      <c r="E847" t="s">
        <v>13</v>
      </c>
      <c r="F847" t="s">
        <v>1970</v>
      </c>
      <c r="G847" t="s">
        <v>12</v>
      </c>
      <c r="I847" t="s">
        <v>3583</v>
      </c>
      <c r="J847" t="s">
        <v>5036</v>
      </c>
      <c r="K847" s="9">
        <v>1.4058216733149871</v>
      </c>
      <c r="L847" s="9">
        <v>0.2387918653509844</v>
      </c>
      <c r="M847" s="11">
        <v>10.246468264160784</v>
      </c>
      <c r="N847" s="11">
        <v>11.271115090576863</v>
      </c>
    </row>
    <row r="848" spans="1:14">
      <c r="A848" t="s">
        <v>1967</v>
      </c>
      <c r="B848" t="s">
        <v>3585</v>
      </c>
      <c r="C848" t="s">
        <v>3586</v>
      </c>
      <c r="D848" t="s">
        <v>11</v>
      </c>
      <c r="E848" t="s">
        <v>13</v>
      </c>
      <c r="F848" t="s">
        <v>1970</v>
      </c>
      <c r="G848" t="s">
        <v>12</v>
      </c>
      <c r="I848" t="s">
        <v>3585</v>
      </c>
      <c r="J848" t="s">
        <v>5037</v>
      </c>
      <c r="K848" s="9">
        <v>4.6733039185300651</v>
      </c>
      <c r="L848" s="9">
        <v>0.2017739744450868</v>
      </c>
      <c r="M848" s="11">
        <v>59.281908772713976</v>
      </c>
      <c r="N848" s="11">
        <v>65.210099649985381</v>
      </c>
    </row>
    <row r="849" spans="1:14">
      <c r="A849" t="s">
        <v>1967</v>
      </c>
      <c r="B849" t="s">
        <v>3587</v>
      </c>
      <c r="C849" t="s">
        <v>3588</v>
      </c>
      <c r="D849" t="s">
        <v>11</v>
      </c>
      <c r="E849" t="s">
        <v>13</v>
      </c>
      <c r="F849" t="s">
        <v>1970</v>
      </c>
      <c r="G849" t="s">
        <v>12</v>
      </c>
      <c r="I849" t="s">
        <v>3587</v>
      </c>
      <c r="J849" t="s">
        <v>5038</v>
      </c>
      <c r="K849" s="11">
        <v>23.459218299961556</v>
      </c>
      <c r="L849" s="9">
        <v>0.1952161733732044</v>
      </c>
      <c r="M849" s="11">
        <v>67.603223825063196</v>
      </c>
      <c r="N849" s="11">
        <v>74.363546207569527</v>
      </c>
    </row>
    <row r="850" spans="1:14">
      <c r="A850" t="s">
        <v>1967</v>
      </c>
      <c r="B850" t="s">
        <v>3589</v>
      </c>
      <c r="C850" t="s">
        <v>3590</v>
      </c>
      <c r="D850" t="s">
        <v>11</v>
      </c>
      <c r="E850" t="s">
        <v>13</v>
      </c>
      <c r="F850" t="s">
        <v>1970</v>
      </c>
      <c r="G850" t="s">
        <v>12</v>
      </c>
      <c r="I850" t="s">
        <v>3589</v>
      </c>
      <c r="J850" t="s">
        <v>5039</v>
      </c>
      <c r="K850" s="11">
        <v>11.481579765678404</v>
      </c>
      <c r="L850" s="9">
        <v>0.19683824163611149</v>
      </c>
      <c r="M850" s="11">
        <v>52.295470853530269</v>
      </c>
      <c r="N850" s="11">
        <v>57.525017938883302</v>
      </c>
    </row>
    <row r="851" spans="1:14">
      <c r="A851" t="s">
        <v>1967</v>
      </c>
      <c r="B851" t="s">
        <v>3591</v>
      </c>
      <c r="C851" t="s">
        <v>3592</v>
      </c>
      <c r="D851" t="s">
        <v>11</v>
      </c>
      <c r="E851" t="s">
        <v>13</v>
      </c>
      <c r="F851" t="s">
        <v>1970</v>
      </c>
      <c r="G851" t="s">
        <v>12</v>
      </c>
      <c r="I851" t="s">
        <v>3591</v>
      </c>
      <c r="J851" t="s">
        <v>5040</v>
      </c>
      <c r="K851" s="9">
        <v>3.827080132854543</v>
      </c>
      <c r="L851" s="9">
        <v>0.20148659202316679</v>
      </c>
      <c r="M851" s="11">
        <v>42.175866028084513</v>
      </c>
      <c r="N851" s="11">
        <v>46.393452630892966</v>
      </c>
    </row>
    <row r="852" spans="1:14">
      <c r="A852" t="s">
        <v>1967</v>
      </c>
      <c r="B852" t="s">
        <v>3593</v>
      </c>
      <c r="C852" t="s">
        <v>3594</v>
      </c>
      <c r="D852" t="s">
        <v>11</v>
      </c>
      <c r="E852" t="s">
        <v>13</v>
      </c>
      <c r="F852" t="s">
        <v>1970</v>
      </c>
      <c r="G852" t="s">
        <v>12</v>
      </c>
      <c r="I852" t="s">
        <v>3593</v>
      </c>
      <c r="J852" t="s">
        <v>5041</v>
      </c>
      <c r="K852" s="9">
        <v>9.3268922555309981</v>
      </c>
      <c r="L852" s="9">
        <v>0.20452325644602229</v>
      </c>
      <c r="M852" s="10">
        <v>119.13271188459696</v>
      </c>
      <c r="N852" s="10">
        <v>131.04598307305668</v>
      </c>
    </row>
    <row r="853" spans="1:14">
      <c r="A853" t="s">
        <v>1967</v>
      </c>
      <c r="B853" t="s">
        <v>3595</v>
      </c>
      <c r="C853" t="s">
        <v>3596</v>
      </c>
      <c r="D853" t="s">
        <v>11</v>
      </c>
      <c r="E853" t="s">
        <v>13</v>
      </c>
      <c r="F853" t="s">
        <v>1970</v>
      </c>
      <c r="G853" t="s">
        <v>12</v>
      </c>
      <c r="I853" t="s">
        <v>3595</v>
      </c>
      <c r="J853" t="s">
        <v>5042</v>
      </c>
      <c r="K853" s="9">
        <v>3.751974616079488</v>
      </c>
      <c r="L853" s="9">
        <v>0.21806889100512949</v>
      </c>
      <c r="M853" s="11">
        <v>23.367130668984395</v>
      </c>
      <c r="N853" s="11">
        <v>25.703843735882835</v>
      </c>
    </row>
    <row r="854" spans="1:14">
      <c r="A854" t="s">
        <v>1967</v>
      </c>
      <c r="B854" t="s">
        <v>3597</v>
      </c>
      <c r="C854" t="s">
        <v>3598</v>
      </c>
      <c r="D854" t="s">
        <v>11</v>
      </c>
      <c r="E854" t="s">
        <v>13</v>
      </c>
      <c r="F854" t="s">
        <v>1970</v>
      </c>
      <c r="G854" t="s">
        <v>12</v>
      </c>
      <c r="I854" t="s">
        <v>3597</v>
      </c>
      <c r="J854" t="s">
        <v>5043</v>
      </c>
      <c r="K854" s="12">
        <v>1.5126685918494236E-2</v>
      </c>
      <c r="L854" s="9">
        <v>0.1986376303695247</v>
      </c>
      <c r="M854" s="10">
        <v>109.6963274549998</v>
      </c>
      <c r="N854" s="10">
        <v>120.6659602004998</v>
      </c>
    </row>
    <row r="855" spans="1:14">
      <c r="A855" t="s">
        <v>1967</v>
      </c>
      <c r="B855" t="s">
        <v>3599</v>
      </c>
      <c r="C855" t="s">
        <v>3600</v>
      </c>
      <c r="D855" t="s">
        <v>11</v>
      </c>
      <c r="E855" t="s">
        <v>13</v>
      </c>
      <c r="F855" t="s">
        <v>1970</v>
      </c>
      <c r="G855" t="s">
        <v>12</v>
      </c>
      <c r="I855" t="s">
        <v>3599</v>
      </c>
      <c r="J855" t="s">
        <v>5044</v>
      </c>
      <c r="K855" s="9">
        <v>3.186743652778357</v>
      </c>
      <c r="L855" s="9">
        <v>0.23991645735013231</v>
      </c>
      <c r="M855" s="11">
        <v>58.326913113234163</v>
      </c>
      <c r="N855" s="11">
        <v>64.159604424557585</v>
      </c>
    </row>
    <row r="856" spans="1:14">
      <c r="A856" t="s">
        <v>1967</v>
      </c>
      <c r="B856" t="s">
        <v>3601</v>
      </c>
      <c r="C856" t="s">
        <v>3602</v>
      </c>
      <c r="D856" t="s">
        <v>11</v>
      </c>
      <c r="E856" t="s">
        <v>13</v>
      </c>
      <c r="F856" t="s">
        <v>1970</v>
      </c>
      <c r="G856" t="s">
        <v>12</v>
      </c>
      <c r="I856" t="s">
        <v>3601</v>
      </c>
      <c r="J856" t="s">
        <v>5045</v>
      </c>
      <c r="K856" s="9">
        <v>3.8239601183818959</v>
      </c>
      <c r="L856" s="9">
        <v>0.228796082720192</v>
      </c>
      <c r="M856" s="11">
        <v>58.119772836424779</v>
      </c>
      <c r="N856" s="11">
        <v>63.931750120067264</v>
      </c>
    </row>
    <row r="857" spans="1:14">
      <c r="A857" t="s">
        <v>1967</v>
      </c>
      <c r="B857" t="s">
        <v>3603</v>
      </c>
      <c r="C857" t="s">
        <v>3604</v>
      </c>
      <c r="D857" t="s">
        <v>11</v>
      </c>
      <c r="E857" t="s">
        <v>13</v>
      </c>
      <c r="F857" t="s">
        <v>1970</v>
      </c>
      <c r="G857" t="s">
        <v>12</v>
      </c>
      <c r="I857" t="s">
        <v>3603</v>
      </c>
      <c r="J857" t="s">
        <v>5046</v>
      </c>
      <c r="K857" s="9">
        <v>2.6077593242323491</v>
      </c>
      <c r="L857" s="9">
        <v>0.22795191620323199</v>
      </c>
      <c r="M857" s="11">
        <v>21.340757703942089</v>
      </c>
      <c r="N857" s="11">
        <v>23.4748334743363</v>
      </c>
    </row>
    <row r="858" spans="1:14">
      <c r="A858" t="s">
        <v>1967</v>
      </c>
      <c r="B858" t="s">
        <v>3605</v>
      </c>
      <c r="C858" t="s">
        <v>3606</v>
      </c>
      <c r="D858" t="s">
        <v>11</v>
      </c>
      <c r="E858" t="s">
        <v>13</v>
      </c>
      <c r="F858" t="s">
        <v>1970</v>
      </c>
      <c r="G858" t="s">
        <v>12</v>
      </c>
      <c r="I858" t="s">
        <v>3605</v>
      </c>
      <c r="J858" t="s">
        <v>5047</v>
      </c>
      <c r="K858" s="11">
        <v>18.242641295798176</v>
      </c>
      <c r="L858" s="9">
        <v>0.1908466508606371</v>
      </c>
      <c r="M858" s="10">
        <v>567.84334121326697</v>
      </c>
      <c r="N858" s="10">
        <v>624.62767533459373</v>
      </c>
    </row>
    <row r="859" spans="1:14">
      <c r="A859" t="s">
        <v>1967</v>
      </c>
      <c r="B859" t="s">
        <v>3607</v>
      </c>
      <c r="C859" t="s">
        <v>3606</v>
      </c>
      <c r="D859" t="s">
        <v>11</v>
      </c>
      <c r="E859" t="s">
        <v>13</v>
      </c>
      <c r="F859" t="s">
        <v>1970</v>
      </c>
      <c r="G859" t="s">
        <v>12</v>
      </c>
      <c r="I859" t="s">
        <v>3607</v>
      </c>
      <c r="J859" t="s">
        <v>5048</v>
      </c>
      <c r="K859" s="11">
        <v>19.473068877063263</v>
      </c>
      <c r="L859" s="9">
        <v>0.19738840189096271</v>
      </c>
      <c r="M859" s="10">
        <v>431.05780564671272</v>
      </c>
      <c r="N859" s="10">
        <v>474.16358621138403</v>
      </c>
    </row>
    <row r="860" spans="1:14">
      <c r="A860" t="s">
        <v>1967</v>
      </c>
      <c r="B860" t="s">
        <v>3608</v>
      </c>
      <c r="C860" t="s">
        <v>3609</v>
      </c>
      <c r="D860" t="s">
        <v>11</v>
      </c>
      <c r="E860" t="s">
        <v>13</v>
      </c>
      <c r="F860" t="s">
        <v>1970</v>
      </c>
      <c r="G860" t="s">
        <v>12</v>
      </c>
      <c r="I860" t="s">
        <v>3608</v>
      </c>
      <c r="J860" t="s">
        <v>5049</v>
      </c>
      <c r="K860" s="11">
        <v>15.893932029284377</v>
      </c>
      <c r="L860" s="9">
        <v>0.20130841368730851</v>
      </c>
      <c r="M860" s="11">
        <v>89.987117298591897</v>
      </c>
      <c r="N860" s="11">
        <v>98.985829028451093</v>
      </c>
    </row>
    <row r="861" spans="1:14">
      <c r="A861" t="s">
        <v>1967</v>
      </c>
      <c r="B861" t="s">
        <v>3610</v>
      </c>
      <c r="C861" t="s">
        <v>3611</v>
      </c>
      <c r="D861" t="s">
        <v>11</v>
      </c>
      <c r="E861" t="s">
        <v>13</v>
      </c>
      <c r="F861" t="s">
        <v>1970</v>
      </c>
      <c r="G861" t="s">
        <v>12</v>
      </c>
      <c r="I861" t="s">
        <v>3610</v>
      </c>
      <c r="J861" t="s">
        <v>5050</v>
      </c>
      <c r="K861" s="11">
        <v>19.368961853035319</v>
      </c>
      <c r="L861" s="9">
        <v>0.2016872320595422</v>
      </c>
      <c r="M861" s="11">
        <v>83.847470241141139</v>
      </c>
      <c r="N861" s="11">
        <v>92.232217265255258</v>
      </c>
    </row>
    <row r="862" spans="1:14">
      <c r="A862" t="s">
        <v>1967</v>
      </c>
      <c r="B862" t="s">
        <v>3612</v>
      </c>
      <c r="C862" t="s">
        <v>3613</v>
      </c>
      <c r="D862" t="s">
        <v>11</v>
      </c>
      <c r="E862" t="s">
        <v>13</v>
      </c>
      <c r="F862" t="s">
        <v>1970</v>
      </c>
      <c r="G862" t="s">
        <v>12</v>
      </c>
      <c r="I862" t="s">
        <v>3612</v>
      </c>
      <c r="J862" t="s">
        <v>5051</v>
      </c>
      <c r="K862" s="9">
        <v>8.2071163081890717</v>
      </c>
      <c r="L862" s="9">
        <v>0.20371143886620571</v>
      </c>
      <c r="M862" s="10">
        <v>398.71897256889912</v>
      </c>
      <c r="N862" s="10">
        <v>438.59086982578907</v>
      </c>
    </row>
    <row r="863" spans="1:14">
      <c r="A863" t="s">
        <v>1967</v>
      </c>
      <c r="B863" t="s">
        <v>3614</v>
      </c>
      <c r="C863" t="s">
        <v>3613</v>
      </c>
      <c r="D863" t="s">
        <v>11</v>
      </c>
      <c r="E863" t="s">
        <v>13</v>
      </c>
      <c r="F863" t="s">
        <v>1970</v>
      </c>
      <c r="G863" t="s">
        <v>12</v>
      </c>
      <c r="I863" t="s">
        <v>3614</v>
      </c>
      <c r="J863" t="s">
        <v>5052</v>
      </c>
      <c r="K863" s="11">
        <v>14.34711255634952</v>
      </c>
      <c r="L863" s="9">
        <v>0.20196819360162169</v>
      </c>
      <c r="M863" s="10">
        <v>232.75954065428857</v>
      </c>
      <c r="N863" s="10">
        <v>256.03549471971746</v>
      </c>
    </row>
    <row r="864" spans="1:14">
      <c r="A864" t="s">
        <v>1967</v>
      </c>
      <c r="B864" t="s">
        <v>3615</v>
      </c>
      <c r="C864" t="s">
        <v>3616</v>
      </c>
      <c r="D864" t="s">
        <v>11</v>
      </c>
      <c r="E864" t="s">
        <v>13</v>
      </c>
      <c r="F864" t="s">
        <v>1970</v>
      </c>
      <c r="G864" t="s">
        <v>12</v>
      </c>
      <c r="I864" t="s">
        <v>3615</v>
      </c>
      <c r="J864" t="s">
        <v>5053</v>
      </c>
      <c r="K864" s="9">
        <v>2.7273626882436925</v>
      </c>
      <c r="L864" s="9">
        <v>0.19255362636304579</v>
      </c>
      <c r="M864" s="11">
        <v>81.109971208155542</v>
      </c>
      <c r="N864" s="11">
        <v>89.220968328971111</v>
      </c>
    </row>
    <row r="865" spans="1:14">
      <c r="A865" t="s">
        <v>1967</v>
      </c>
      <c r="B865" t="s">
        <v>3617</v>
      </c>
      <c r="C865" t="s">
        <v>3618</v>
      </c>
      <c r="D865" t="s">
        <v>11</v>
      </c>
      <c r="E865" t="s">
        <v>13</v>
      </c>
      <c r="F865" t="s">
        <v>1970</v>
      </c>
      <c r="G865" t="s">
        <v>12</v>
      </c>
      <c r="I865" t="s">
        <v>3617</v>
      </c>
      <c r="J865" t="s">
        <v>5054</v>
      </c>
      <c r="K865" s="9">
        <v>4.6300156974533531</v>
      </c>
      <c r="L865" s="9">
        <v>0.2016789515676457</v>
      </c>
      <c r="M865" s="11">
        <v>80.519517405623688</v>
      </c>
      <c r="N865" s="11">
        <v>88.571469146186061</v>
      </c>
    </row>
    <row r="866" spans="1:14">
      <c r="A866" t="s">
        <v>1967</v>
      </c>
      <c r="B866" t="s">
        <v>3619</v>
      </c>
      <c r="C866" t="s">
        <v>3620</v>
      </c>
      <c r="D866" t="s">
        <v>11</v>
      </c>
      <c r="E866" t="s">
        <v>13</v>
      </c>
      <c r="F866" t="s">
        <v>1970</v>
      </c>
      <c r="G866" t="s">
        <v>12</v>
      </c>
      <c r="I866" t="s">
        <v>3619</v>
      </c>
      <c r="J866" t="s">
        <v>5055</v>
      </c>
      <c r="K866" s="9">
        <v>2.7263998141502168</v>
      </c>
      <c r="L866" s="9">
        <v>0.2621766471450504</v>
      </c>
      <c r="M866" s="10">
        <v>0</v>
      </c>
      <c r="N866" s="10">
        <v>0</v>
      </c>
    </row>
    <row r="867" spans="1:14">
      <c r="A867" t="s">
        <v>1967</v>
      </c>
      <c r="B867" t="s">
        <v>3621</v>
      </c>
      <c r="C867" t="s">
        <v>3620</v>
      </c>
      <c r="D867" t="s">
        <v>11</v>
      </c>
      <c r="E867" t="s">
        <v>13</v>
      </c>
      <c r="F867" t="s">
        <v>1970</v>
      </c>
      <c r="G867" t="s">
        <v>12</v>
      </c>
      <c r="I867" t="s">
        <v>3621</v>
      </c>
      <c r="J867" t="s">
        <v>5056</v>
      </c>
      <c r="K867" s="9">
        <v>2.5867666419521886</v>
      </c>
      <c r="L867" s="9">
        <v>0.2600390860354026</v>
      </c>
      <c r="M867" s="10">
        <v>0</v>
      </c>
      <c r="N867" s="10">
        <v>0</v>
      </c>
    </row>
    <row r="868" spans="1:14">
      <c r="A868" t="s">
        <v>1967</v>
      </c>
      <c r="B868" t="s">
        <v>3622</v>
      </c>
      <c r="C868" t="s">
        <v>3623</v>
      </c>
      <c r="D868" t="s">
        <v>11</v>
      </c>
      <c r="E868" t="s">
        <v>13</v>
      </c>
      <c r="F868" t="s">
        <v>1970</v>
      </c>
      <c r="G868" t="s">
        <v>12</v>
      </c>
      <c r="I868" t="s">
        <v>3622</v>
      </c>
      <c r="J868" t="s">
        <v>5057</v>
      </c>
      <c r="K868" s="9">
        <v>4.6517499999999998</v>
      </c>
      <c r="L868" s="9">
        <v>0.25683581676983208</v>
      </c>
      <c r="M868" s="10">
        <v>0</v>
      </c>
      <c r="N868" s="10">
        <v>0</v>
      </c>
    </row>
    <row r="869" spans="1:14">
      <c r="A869" t="s">
        <v>1967</v>
      </c>
      <c r="B869" t="s">
        <v>3624</v>
      </c>
      <c r="C869" t="s">
        <v>3625</v>
      </c>
      <c r="D869" t="s">
        <v>11</v>
      </c>
      <c r="E869" t="s">
        <v>13</v>
      </c>
      <c r="F869" t="s">
        <v>1970</v>
      </c>
      <c r="G869" t="s">
        <v>12</v>
      </c>
      <c r="I869" t="s">
        <v>3624</v>
      </c>
      <c r="J869" t="s">
        <v>5058</v>
      </c>
      <c r="K869" s="11">
        <v>19.033176031606665</v>
      </c>
      <c r="L869" s="9">
        <v>0.18539101713502329</v>
      </c>
      <c r="M869" s="11">
        <v>37.315440406437602</v>
      </c>
      <c r="N869" s="11">
        <v>41.046984447081364</v>
      </c>
    </row>
    <row r="870" spans="1:14">
      <c r="A870" t="s">
        <v>1967</v>
      </c>
      <c r="B870" t="s">
        <v>3626</v>
      </c>
      <c r="C870" t="s">
        <v>3627</v>
      </c>
      <c r="D870" t="s">
        <v>11</v>
      </c>
      <c r="E870" t="s">
        <v>13</v>
      </c>
      <c r="F870" t="s">
        <v>1970</v>
      </c>
      <c r="G870" t="s">
        <v>12</v>
      </c>
      <c r="I870" t="s">
        <v>3626</v>
      </c>
      <c r="J870" t="s">
        <v>5059</v>
      </c>
      <c r="K870" s="11">
        <v>21.177279140820549</v>
      </c>
      <c r="L870" s="9">
        <v>0.16904284458060459</v>
      </c>
      <c r="M870" s="11">
        <v>39.431057887817722</v>
      </c>
      <c r="N870" s="11">
        <v>43.374163676599501</v>
      </c>
    </row>
    <row r="871" spans="1:14">
      <c r="A871" t="s">
        <v>1967</v>
      </c>
      <c r="B871" t="s">
        <v>3628</v>
      </c>
      <c r="C871" t="s">
        <v>3629</v>
      </c>
      <c r="D871" t="s">
        <v>11</v>
      </c>
      <c r="E871" t="s">
        <v>13</v>
      </c>
      <c r="F871" t="s">
        <v>1970</v>
      </c>
      <c r="G871" t="s">
        <v>12</v>
      </c>
      <c r="I871" t="s">
        <v>3628</v>
      </c>
      <c r="J871" t="s">
        <v>5060</v>
      </c>
      <c r="K871" s="11">
        <v>17.905540766500256</v>
      </c>
      <c r="L871" s="9">
        <v>0.18712793966033839</v>
      </c>
      <c r="M871" s="11">
        <v>37.515836178039073</v>
      </c>
      <c r="N871" s="11">
        <v>41.267419795842983</v>
      </c>
    </row>
    <row r="872" spans="1:14">
      <c r="A872" t="s">
        <v>1967</v>
      </c>
      <c r="B872" t="s">
        <v>3630</v>
      </c>
      <c r="C872" t="s">
        <v>3631</v>
      </c>
      <c r="D872" t="s">
        <v>11</v>
      </c>
      <c r="E872" t="s">
        <v>13</v>
      </c>
      <c r="F872" t="s">
        <v>1970</v>
      </c>
      <c r="G872" t="s">
        <v>12</v>
      </c>
      <c r="I872" t="s">
        <v>3630</v>
      </c>
      <c r="J872" t="s">
        <v>5061</v>
      </c>
      <c r="K872" s="9">
        <v>8.6170212133318405</v>
      </c>
      <c r="L872" s="9">
        <v>0.17247339251434729</v>
      </c>
      <c r="M872" s="11">
        <v>38.8076748508145</v>
      </c>
      <c r="N872" s="11">
        <v>42.688442335895957</v>
      </c>
    </row>
    <row r="873" spans="1:14">
      <c r="A873" t="s">
        <v>1967</v>
      </c>
      <c r="B873" t="s">
        <v>3632</v>
      </c>
      <c r="C873" t="s">
        <v>3633</v>
      </c>
      <c r="D873" t="s">
        <v>11</v>
      </c>
      <c r="E873" t="s">
        <v>13</v>
      </c>
      <c r="F873" t="s">
        <v>1970</v>
      </c>
      <c r="G873" t="s">
        <v>12</v>
      </c>
      <c r="I873" t="s">
        <v>3632</v>
      </c>
      <c r="J873" t="s">
        <v>5062</v>
      </c>
      <c r="K873" s="11">
        <v>10.392371831005415</v>
      </c>
      <c r="L873" s="9">
        <v>0.17308491196560441</v>
      </c>
      <c r="M873" s="11">
        <v>52.950067277721367</v>
      </c>
      <c r="N873" s="11">
        <v>58.245074005493507</v>
      </c>
    </row>
    <row r="874" spans="1:14">
      <c r="A874" t="s">
        <v>1967</v>
      </c>
      <c r="B874" t="s">
        <v>3634</v>
      </c>
      <c r="C874" t="s">
        <v>3635</v>
      </c>
      <c r="D874" t="s">
        <v>11</v>
      </c>
      <c r="E874" t="s">
        <v>13</v>
      </c>
      <c r="F874" t="s">
        <v>1970</v>
      </c>
      <c r="G874" t="s">
        <v>12</v>
      </c>
      <c r="I874" t="s">
        <v>3634</v>
      </c>
      <c r="J874" t="s">
        <v>5063</v>
      </c>
      <c r="K874" s="11">
        <v>12.380828585326602</v>
      </c>
      <c r="L874" s="9">
        <v>0.1724935639940233</v>
      </c>
      <c r="M874" s="11">
        <v>26.388985696042703</v>
      </c>
      <c r="N874" s="11">
        <v>29.027884265646975</v>
      </c>
    </row>
    <row r="875" spans="1:14">
      <c r="A875" t="s">
        <v>1967</v>
      </c>
      <c r="B875" t="s">
        <v>3636</v>
      </c>
      <c r="C875" t="s">
        <v>3637</v>
      </c>
      <c r="D875" t="s">
        <v>11</v>
      </c>
      <c r="E875" t="s">
        <v>13</v>
      </c>
      <c r="F875" t="s">
        <v>1970</v>
      </c>
      <c r="G875" t="s">
        <v>12</v>
      </c>
      <c r="I875" t="s">
        <v>3636</v>
      </c>
      <c r="J875" t="s">
        <v>5064</v>
      </c>
      <c r="K875" s="10">
        <v>314.23394189267157</v>
      </c>
      <c r="L875" s="9">
        <v>0.18804242172768729</v>
      </c>
      <c r="M875" s="10">
        <v>235.52147996088121</v>
      </c>
      <c r="N875" s="10">
        <v>259.07362795696935</v>
      </c>
    </row>
    <row r="876" spans="1:14">
      <c r="A876" t="s">
        <v>1967</v>
      </c>
      <c r="B876" t="s">
        <v>3638</v>
      </c>
      <c r="C876" t="s">
        <v>3639</v>
      </c>
      <c r="D876" t="s">
        <v>11</v>
      </c>
      <c r="E876" t="s">
        <v>13</v>
      </c>
      <c r="F876" t="s">
        <v>1970</v>
      </c>
      <c r="G876" t="s">
        <v>12</v>
      </c>
      <c r="I876" t="s">
        <v>3638</v>
      </c>
      <c r="J876" t="s">
        <v>5065</v>
      </c>
      <c r="K876" s="10">
        <v>262.2908204892687</v>
      </c>
      <c r="L876" s="9">
        <v>0.17233444666153419</v>
      </c>
      <c r="M876" s="10">
        <v>291.97358141881438</v>
      </c>
      <c r="N876" s="10">
        <v>321.17093956069584</v>
      </c>
    </row>
    <row r="877" spans="1:14">
      <c r="A877" t="s">
        <v>1967</v>
      </c>
      <c r="B877" t="s">
        <v>3640</v>
      </c>
      <c r="C877" t="s">
        <v>3641</v>
      </c>
      <c r="D877" t="s">
        <v>11</v>
      </c>
      <c r="E877" t="s">
        <v>13</v>
      </c>
      <c r="F877" t="s">
        <v>1970</v>
      </c>
      <c r="G877" t="s">
        <v>12</v>
      </c>
      <c r="I877" t="s">
        <v>3640</v>
      </c>
      <c r="J877" t="s">
        <v>5066</v>
      </c>
      <c r="K877" s="11">
        <v>84.166696675916342</v>
      </c>
      <c r="L877" s="9">
        <v>0.15433088662285269</v>
      </c>
      <c r="M877" s="10">
        <v>1176.9054440520567</v>
      </c>
      <c r="N877" s="10">
        <v>1294.5959884572626</v>
      </c>
    </row>
    <row r="878" spans="1:14">
      <c r="A878" t="s">
        <v>1967</v>
      </c>
      <c r="B878" t="s">
        <v>3642</v>
      </c>
      <c r="C878" t="s">
        <v>3641</v>
      </c>
      <c r="D878" t="s">
        <v>11</v>
      </c>
      <c r="E878" t="s">
        <v>13</v>
      </c>
      <c r="F878" t="s">
        <v>1970</v>
      </c>
      <c r="G878" t="s">
        <v>12</v>
      </c>
      <c r="I878" t="s">
        <v>3642</v>
      </c>
      <c r="J878" t="s">
        <v>5067</v>
      </c>
      <c r="K878" s="10">
        <v>358.81545885548439</v>
      </c>
      <c r="L878" s="9">
        <v>0.1681176108180179</v>
      </c>
      <c r="M878" s="10">
        <v>711.53903556400644</v>
      </c>
      <c r="N878" s="10">
        <v>782.69293912040712</v>
      </c>
    </row>
    <row r="879" spans="1:14">
      <c r="A879" t="s">
        <v>1967</v>
      </c>
      <c r="B879" t="s">
        <v>3643</v>
      </c>
      <c r="C879" t="s">
        <v>3644</v>
      </c>
      <c r="D879" t="s">
        <v>11</v>
      </c>
      <c r="E879" t="s">
        <v>13</v>
      </c>
      <c r="F879" t="s">
        <v>1970</v>
      </c>
      <c r="G879" t="s">
        <v>12</v>
      </c>
      <c r="I879" t="s">
        <v>3643</v>
      </c>
      <c r="J879" t="s">
        <v>5068</v>
      </c>
      <c r="K879" s="10">
        <v>822.72738311109367</v>
      </c>
      <c r="L879" s="9">
        <v>0.19933751859586449</v>
      </c>
      <c r="M879" s="10">
        <v>341.07782863575301</v>
      </c>
      <c r="N879" s="10">
        <v>375.18561149932833</v>
      </c>
    </row>
    <row r="880" spans="1:14">
      <c r="A880" t="s">
        <v>1967</v>
      </c>
      <c r="B880" t="s">
        <v>3645</v>
      </c>
      <c r="C880" t="s">
        <v>3646</v>
      </c>
      <c r="D880" t="s">
        <v>11</v>
      </c>
      <c r="E880" t="s">
        <v>13</v>
      </c>
      <c r="F880" t="s">
        <v>1970</v>
      </c>
      <c r="G880" t="s">
        <v>12</v>
      </c>
      <c r="I880" t="s">
        <v>3645</v>
      </c>
      <c r="J880" t="s">
        <v>5069</v>
      </c>
      <c r="K880" s="10">
        <v>502.50555755294897</v>
      </c>
      <c r="L880" s="9">
        <v>0.18122082713941601</v>
      </c>
      <c r="M880" s="10">
        <v>505.38372255681372</v>
      </c>
      <c r="N880" s="10">
        <v>555.92209481249517</v>
      </c>
    </row>
    <row r="881" spans="1:14">
      <c r="A881" t="s">
        <v>1967</v>
      </c>
      <c r="B881" t="s">
        <v>3647</v>
      </c>
      <c r="C881" t="s">
        <v>3648</v>
      </c>
      <c r="D881" t="s">
        <v>11</v>
      </c>
      <c r="E881" t="s">
        <v>13</v>
      </c>
      <c r="F881" t="s">
        <v>1970</v>
      </c>
      <c r="G881" t="s">
        <v>12</v>
      </c>
      <c r="I881" t="s">
        <v>3647</v>
      </c>
      <c r="J881" t="s">
        <v>5070</v>
      </c>
      <c r="K881" s="10">
        <v>429.98189987628984</v>
      </c>
      <c r="L881" s="9">
        <v>0.1647596701974948</v>
      </c>
      <c r="M881" s="10">
        <v>772.61800748162977</v>
      </c>
      <c r="N881" s="10">
        <v>849.87980822979284</v>
      </c>
    </row>
    <row r="882" spans="1:14">
      <c r="A882" t="s">
        <v>1967</v>
      </c>
      <c r="B882" t="s">
        <v>3649</v>
      </c>
      <c r="C882" t="s">
        <v>3650</v>
      </c>
      <c r="D882" t="s">
        <v>11</v>
      </c>
      <c r="E882" t="s">
        <v>13</v>
      </c>
      <c r="F882" t="s">
        <v>1970</v>
      </c>
      <c r="G882" t="s">
        <v>12</v>
      </c>
      <c r="I882" t="s">
        <v>3649</v>
      </c>
      <c r="J882" t="s">
        <v>5071</v>
      </c>
      <c r="K882" s="10">
        <v>807.05691991330264</v>
      </c>
      <c r="L882" s="9">
        <v>0.14042514279076401</v>
      </c>
      <c r="M882" s="10">
        <v>163.47208087730488</v>
      </c>
      <c r="N882" s="10">
        <v>179.81928896503538</v>
      </c>
    </row>
    <row r="883" spans="1:14">
      <c r="A883" t="s">
        <v>1967</v>
      </c>
      <c r="B883" t="s">
        <v>3651</v>
      </c>
      <c r="C883" t="s">
        <v>3652</v>
      </c>
      <c r="D883" t="s">
        <v>11</v>
      </c>
      <c r="E883" t="s">
        <v>13</v>
      </c>
      <c r="F883" t="s">
        <v>1970</v>
      </c>
      <c r="G883" t="s">
        <v>12</v>
      </c>
      <c r="I883" t="s">
        <v>3651</v>
      </c>
      <c r="J883" t="s">
        <v>5072</v>
      </c>
      <c r="K883" s="10">
        <v>328.79139018618895</v>
      </c>
      <c r="L883" s="9">
        <v>0.13505408958697279</v>
      </c>
      <c r="M883" s="10">
        <v>135.8423571649125</v>
      </c>
      <c r="N883" s="10">
        <v>149.42659288140376</v>
      </c>
    </row>
    <row r="884" spans="1:14">
      <c r="A884" t="s">
        <v>1967</v>
      </c>
      <c r="B884" t="s">
        <v>3653</v>
      </c>
      <c r="C884" t="s">
        <v>3654</v>
      </c>
      <c r="D884" t="s">
        <v>11</v>
      </c>
      <c r="E884" t="s">
        <v>13</v>
      </c>
      <c r="F884" t="s">
        <v>1970</v>
      </c>
      <c r="G884" t="s">
        <v>12</v>
      </c>
      <c r="I884" t="s">
        <v>3653</v>
      </c>
      <c r="J884" t="s">
        <v>5073</v>
      </c>
      <c r="K884" s="10">
        <v>194.0399834132856</v>
      </c>
      <c r="L884" s="9">
        <v>0.1467709309815339</v>
      </c>
      <c r="M884" s="10">
        <v>129.07895680408893</v>
      </c>
      <c r="N884" s="10">
        <v>141.98685248449783</v>
      </c>
    </row>
    <row r="885" spans="1:14">
      <c r="A885" t="s">
        <v>1967</v>
      </c>
      <c r="B885" t="s">
        <v>3655</v>
      </c>
      <c r="C885" t="s">
        <v>3656</v>
      </c>
      <c r="D885" t="s">
        <v>11</v>
      </c>
      <c r="E885" t="s">
        <v>13</v>
      </c>
      <c r="F885" t="s">
        <v>1970</v>
      </c>
      <c r="G885" t="s">
        <v>12</v>
      </c>
      <c r="I885" t="s">
        <v>3655</v>
      </c>
      <c r="J885" t="s">
        <v>5074</v>
      </c>
      <c r="K885" s="10">
        <v>320.54709821340924</v>
      </c>
      <c r="L885" s="9">
        <v>0.13526970191390281</v>
      </c>
      <c r="M885" s="10">
        <v>108.91223239121602</v>
      </c>
      <c r="N885" s="10">
        <v>119.80345563033764</v>
      </c>
    </row>
    <row r="886" spans="1:14">
      <c r="A886" t="s">
        <v>1967</v>
      </c>
      <c r="B886" t="s">
        <v>3657</v>
      </c>
      <c r="C886" t="s">
        <v>3658</v>
      </c>
      <c r="D886" t="s">
        <v>11</v>
      </c>
      <c r="E886" t="s">
        <v>13</v>
      </c>
      <c r="F886" t="s">
        <v>1970</v>
      </c>
      <c r="G886" t="s">
        <v>12</v>
      </c>
      <c r="I886" t="s">
        <v>3657</v>
      </c>
      <c r="J886" t="s">
        <v>5075</v>
      </c>
      <c r="K886" s="10">
        <v>295.20496222611598</v>
      </c>
      <c r="L886" s="9">
        <v>0.1565745451498971</v>
      </c>
      <c r="M886" s="10">
        <v>350.38324021111714</v>
      </c>
      <c r="N886" s="10">
        <v>385.42156423222889</v>
      </c>
    </row>
    <row r="887" spans="1:14">
      <c r="A887" t="s">
        <v>1967</v>
      </c>
      <c r="B887" t="s">
        <v>3659</v>
      </c>
      <c r="C887" t="s">
        <v>3660</v>
      </c>
      <c r="D887" t="s">
        <v>11</v>
      </c>
      <c r="E887" t="s">
        <v>13</v>
      </c>
      <c r="F887" t="s">
        <v>1970</v>
      </c>
      <c r="G887" t="s">
        <v>12</v>
      </c>
      <c r="I887" t="s">
        <v>3659</v>
      </c>
      <c r="J887" t="s">
        <v>5076</v>
      </c>
      <c r="K887" s="10">
        <v>344.44457007402582</v>
      </c>
      <c r="L887" s="9">
        <v>0.14707373921415129</v>
      </c>
      <c r="M887" s="10">
        <v>246.42082182256587</v>
      </c>
      <c r="N887" s="10">
        <v>271.06290400482249</v>
      </c>
    </row>
    <row r="888" spans="1:14">
      <c r="A888" t="s">
        <v>1967</v>
      </c>
      <c r="B888" t="s">
        <v>3661</v>
      </c>
      <c r="C888" t="s">
        <v>3662</v>
      </c>
      <c r="D888" t="s">
        <v>11</v>
      </c>
      <c r="E888" t="s">
        <v>13</v>
      </c>
      <c r="F888" t="s">
        <v>1970</v>
      </c>
      <c r="G888" t="s">
        <v>12</v>
      </c>
      <c r="I888" t="s">
        <v>3661</v>
      </c>
      <c r="J888" t="s">
        <v>5077</v>
      </c>
      <c r="K888" s="10">
        <v>194.31255736232319</v>
      </c>
      <c r="L888" s="9">
        <v>0.18404292905568961</v>
      </c>
      <c r="M888" s="10">
        <v>301.72009926528744</v>
      </c>
      <c r="N888" s="10">
        <v>331.89210919181619</v>
      </c>
    </row>
    <row r="889" spans="1:14">
      <c r="A889" t="s">
        <v>1967</v>
      </c>
      <c r="B889" t="s">
        <v>3663</v>
      </c>
      <c r="C889" t="s">
        <v>3664</v>
      </c>
      <c r="D889" t="s">
        <v>11</v>
      </c>
      <c r="E889" t="s">
        <v>13</v>
      </c>
      <c r="F889" t="s">
        <v>1970</v>
      </c>
      <c r="G889" t="s">
        <v>12</v>
      </c>
      <c r="I889" t="s">
        <v>3663</v>
      </c>
      <c r="J889" t="s">
        <v>5078</v>
      </c>
      <c r="K889" s="10">
        <v>285.25021185790325</v>
      </c>
      <c r="L889" s="9">
        <v>0.15661291824251</v>
      </c>
      <c r="M889" s="10">
        <v>159.03676908696156</v>
      </c>
      <c r="N889" s="10">
        <v>174.94044599565771</v>
      </c>
    </row>
    <row r="890" spans="1:14">
      <c r="A890" t="s">
        <v>1967</v>
      </c>
      <c r="B890" t="s">
        <v>3665</v>
      </c>
      <c r="C890" t="s">
        <v>3666</v>
      </c>
      <c r="D890" t="s">
        <v>11</v>
      </c>
      <c r="E890" t="s">
        <v>13</v>
      </c>
      <c r="F890" t="s">
        <v>1970</v>
      </c>
      <c r="G890" t="s">
        <v>12</v>
      </c>
      <c r="I890" t="s">
        <v>3665</v>
      </c>
      <c r="J890" t="s">
        <v>5079</v>
      </c>
      <c r="K890" s="10">
        <v>244.95487139498695</v>
      </c>
      <c r="L890" s="9">
        <v>0.16997437799396051</v>
      </c>
      <c r="M890" s="10">
        <v>633.73732486506105</v>
      </c>
      <c r="N890" s="10">
        <v>697.11105735156718</v>
      </c>
    </row>
    <row r="891" spans="1:14">
      <c r="A891" t="s">
        <v>1967</v>
      </c>
      <c r="B891" t="s">
        <v>3667</v>
      </c>
      <c r="C891" t="s">
        <v>3666</v>
      </c>
      <c r="D891" t="s">
        <v>11</v>
      </c>
      <c r="E891" t="s">
        <v>13</v>
      </c>
      <c r="F891" t="s">
        <v>1970</v>
      </c>
      <c r="G891" t="s">
        <v>12</v>
      </c>
      <c r="I891" t="s">
        <v>3667</v>
      </c>
      <c r="J891" t="s">
        <v>5080</v>
      </c>
      <c r="K891" s="10">
        <v>267.99262529527601</v>
      </c>
      <c r="L891" s="9">
        <v>0.16847524605138831</v>
      </c>
      <c r="M891" s="10">
        <v>330.7741917077476</v>
      </c>
      <c r="N891" s="10">
        <v>363.85161087852242</v>
      </c>
    </row>
    <row r="892" spans="1:14">
      <c r="A892" t="s">
        <v>1967</v>
      </c>
      <c r="B892" t="s">
        <v>3668</v>
      </c>
      <c r="C892" t="s">
        <v>3669</v>
      </c>
      <c r="D892" t="s">
        <v>11</v>
      </c>
      <c r="E892" t="s">
        <v>13</v>
      </c>
      <c r="F892" t="s">
        <v>1970</v>
      </c>
      <c r="G892" t="s">
        <v>12</v>
      </c>
      <c r="I892" t="s">
        <v>3668</v>
      </c>
      <c r="J892" t="s">
        <v>5081</v>
      </c>
      <c r="K892" s="10">
        <v>228.86919424273998</v>
      </c>
      <c r="L892" s="9">
        <v>0.1555684632138053</v>
      </c>
      <c r="M892" s="10">
        <v>377.56129901595739</v>
      </c>
      <c r="N892" s="10">
        <v>415.31742891755317</v>
      </c>
    </row>
    <row r="893" spans="1:14">
      <c r="A893" t="s">
        <v>1967</v>
      </c>
      <c r="B893" t="s">
        <v>3670</v>
      </c>
      <c r="C893" t="s">
        <v>3671</v>
      </c>
      <c r="D893" t="s">
        <v>11</v>
      </c>
      <c r="E893" t="s">
        <v>13</v>
      </c>
      <c r="F893" t="s">
        <v>1970</v>
      </c>
      <c r="G893" t="s">
        <v>12</v>
      </c>
      <c r="I893" t="s">
        <v>3670</v>
      </c>
      <c r="J893" t="s">
        <v>5082</v>
      </c>
      <c r="K893" s="10">
        <v>288.39553936384527</v>
      </c>
      <c r="L893" s="9">
        <v>0.1710365689084751</v>
      </c>
      <c r="M893" s="11">
        <v>97.94894294270668</v>
      </c>
      <c r="N893" s="10">
        <v>107.74383723697736</v>
      </c>
    </row>
    <row r="894" spans="1:14">
      <c r="A894" t="s">
        <v>1967</v>
      </c>
      <c r="B894" t="s">
        <v>3672</v>
      </c>
      <c r="C894" t="s">
        <v>3673</v>
      </c>
      <c r="D894" t="s">
        <v>11</v>
      </c>
      <c r="E894" t="s">
        <v>13</v>
      </c>
      <c r="F894" t="s">
        <v>1970</v>
      </c>
      <c r="G894" t="s">
        <v>12</v>
      </c>
      <c r="I894" t="s">
        <v>3672</v>
      </c>
      <c r="J894" t="s">
        <v>5083</v>
      </c>
      <c r="K894" s="10">
        <v>129.06896674060997</v>
      </c>
      <c r="L894" s="9">
        <v>0.13614634667248551</v>
      </c>
      <c r="M894" s="10">
        <v>282.90794524630007</v>
      </c>
      <c r="N894" s="10">
        <v>311.1987397709301</v>
      </c>
    </row>
    <row r="895" spans="1:14">
      <c r="A895" t="s">
        <v>1967</v>
      </c>
      <c r="B895" t="s">
        <v>3674</v>
      </c>
      <c r="C895" t="s">
        <v>3675</v>
      </c>
      <c r="D895" t="s">
        <v>11</v>
      </c>
      <c r="E895" t="s">
        <v>13</v>
      </c>
      <c r="F895" t="s">
        <v>1970</v>
      </c>
      <c r="G895" t="s">
        <v>12</v>
      </c>
      <c r="I895" t="s">
        <v>3674</v>
      </c>
      <c r="J895" t="s">
        <v>5084</v>
      </c>
      <c r="K895" s="10">
        <v>318.20789499922751</v>
      </c>
      <c r="L895" s="9">
        <v>0.14331818161557369</v>
      </c>
      <c r="M895" s="10">
        <v>307.04908904511154</v>
      </c>
      <c r="N895" s="10">
        <v>337.75399794962271</v>
      </c>
    </row>
    <row r="896" spans="1:14">
      <c r="A896" t="s">
        <v>1967</v>
      </c>
      <c r="B896" t="s">
        <v>3676</v>
      </c>
      <c r="C896" t="s">
        <v>3677</v>
      </c>
      <c r="D896" t="s">
        <v>11</v>
      </c>
      <c r="E896" t="s">
        <v>13</v>
      </c>
      <c r="F896" t="s">
        <v>1970</v>
      </c>
      <c r="G896" t="s">
        <v>12</v>
      </c>
      <c r="I896" t="s">
        <v>3676</v>
      </c>
      <c r="J896" t="s">
        <v>5085</v>
      </c>
      <c r="K896" s="10">
        <v>478.16924356320368</v>
      </c>
      <c r="L896" s="9">
        <v>0.1508572125714488</v>
      </c>
      <c r="M896" s="10">
        <v>115.055952099549</v>
      </c>
      <c r="N896" s="10">
        <v>126.56154730950391</v>
      </c>
    </row>
    <row r="897" spans="1:14">
      <c r="A897" t="s">
        <v>1967</v>
      </c>
      <c r="B897" t="s">
        <v>3678</v>
      </c>
      <c r="C897" t="s">
        <v>3679</v>
      </c>
      <c r="D897" t="s">
        <v>11</v>
      </c>
      <c r="E897" t="s">
        <v>13</v>
      </c>
      <c r="F897" t="s">
        <v>1970</v>
      </c>
      <c r="G897" t="s">
        <v>12</v>
      </c>
      <c r="I897" t="s">
        <v>3678</v>
      </c>
      <c r="J897" t="s">
        <v>5086</v>
      </c>
      <c r="K897" s="10">
        <v>356.03870254301052</v>
      </c>
      <c r="L897" s="9">
        <v>0.14159575445881739</v>
      </c>
      <c r="M897" s="10">
        <v>149.65320640190194</v>
      </c>
      <c r="N897" s="10">
        <v>164.61852704209215</v>
      </c>
    </row>
    <row r="898" spans="1:14">
      <c r="A898" t="s">
        <v>1967</v>
      </c>
      <c r="B898" t="s">
        <v>3680</v>
      </c>
      <c r="C898" t="s">
        <v>3681</v>
      </c>
      <c r="D898" t="s">
        <v>11</v>
      </c>
      <c r="E898" t="s">
        <v>13</v>
      </c>
      <c r="F898" t="s">
        <v>1970</v>
      </c>
      <c r="G898" t="s">
        <v>12</v>
      </c>
      <c r="I898" t="s">
        <v>3680</v>
      </c>
      <c r="J898" t="s">
        <v>5087</v>
      </c>
      <c r="K898" s="10">
        <v>207.61310151839157</v>
      </c>
      <c r="L898" s="9">
        <v>0.14659740023590179</v>
      </c>
      <c r="M898" s="10">
        <v>278.98786607206114</v>
      </c>
      <c r="N898" s="10">
        <v>306.88665267926729</v>
      </c>
    </row>
    <row r="899" spans="1:14">
      <c r="A899" t="s">
        <v>1967</v>
      </c>
      <c r="B899" t="s">
        <v>3682</v>
      </c>
      <c r="C899" t="s">
        <v>3683</v>
      </c>
      <c r="D899" t="s">
        <v>11</v>
      </c>
      <c r="E899" t="s">
        <v>13</v>
      </c>
      <c r="F899" t="s">
        <v>1970</v>
      </c>
      <c r="G899" t="s">
        <v>12</v>
      </c>
      <c r="I899" t="s">
        <v>3682</v>
      </c>
      <c r="J899" t="s">
        <v>5088</v>
      </c>
      <c r="K899" s="9">
        <v>5.9854223876559622</v>
      </c>
      <c r="L899" s="9">
        <v>0.2220154605778302</v>
      </c>
      <c r="M899" s="11">
        <v>27.11004916074679</v>
      </c>
      <c r="N899" s="11">
        <v>29.821054076821472</v>
      </c>
    </row>
    <row r="900" spans="1:14">
      <c r="A900" t="s">
        <v>1967</v>
      </c>
      <c r="B900" t="s">
        <v>3684</v>
      </c>
      <c r="C900" t="s">
        <v>3685</v>
      </c>
      <c r="D900" t="s">
        <v>11</v>
      </c>
      <c r="E900" t="s">
        <v>13</v>
      </c>
      <c r="F900" t="s">
        <v>1970</v>
      </c>
      <c r="G900" t="s">
        <v>12</v>
      </c>
      <c r="I900" t="s">
        <v>3684</v>
      </c>
      <c r="J900" t="s">
        <v>5089</v>
      </c>
      <c r="K900" s="9">
        <v>2.510159781054035</v>
      </c>
      <c r="L900" s="9">
        <v>0.21020761206246841</v>
      </c>
      <c r="M900" s="11">
        <v>27.996002221622032</v>
      </c>
      <c r="N900" s="11">
        <v>30.795602443784237</v>
      </c>
    </row>
    <row r="901" spans="1:14">
      <c r="A901" t="s">
        <v>1967</v>
      </c>
      <c r="B901" t="s">
        <v>3686</v>
      </c>
      <c r="C901" t="s">
        <v>3687</v>
      </c>
      <c r="D901" t="s">
        <v>11</v>
      </c>
      <c r="E901" t="s">
        <v>13</v>
      </c>
      <c r="F901" t="s">
        <v>1970</v>
      </c>
      <c r="G901" t="s">
        <v>12</v>
      </c>
      <c r="I901" t="s">
        <v>3686</v>
      </c>
      <c r="J901" t="s">
        <v>5090</v>
      </c>
      <c r="K901" s="11">
        <v>64.457483435686342</v>
      </c>
      <c r="L901" s="9">
        <v>0.2589327136265781</v>
      </c>
      <c r="M901" s="11">
        <v>99.791627585181601</v>
      </c>
      <c r="N901" s="10">
        <v>109.77079034369977</v>
      </c>
    </row>
    <row r="902" spans="1:14">
      <c r="A902" t="s">
        <v>1967</v>
      </c>
      <c r="B902" t="s">
        <v>3688</v>
      </c>
      <c r="C902" t="s">
        <v>3689</v>
      </c>
      <c r="D902" t="s">
        <v>11</v>
      </c>
      <c r="E902" t="s">
        <v>13</v>
      </c>
      <c r="F902" t="s">
        <v>1970</v>
      </c>
      <c r="G902" t="s">
        <v>12</v>
      </c>
      <c r="I902" t="s">
        <v>3688</v>
      </c>
      <c r="J902" t="s">
        <v>5091</v>
      </c>
      <c r="K902" s="10">
        <v>155.98923828412245</v>
      </c>
      <c r="L902" s="9">
        <v>0.27125585274862268</v>
      </c>
      <c r="M902" s="10">
        <v>176.75108946549278</v>
      </c>
      <c r="N902" s="10">
        <v>194.42619841204208</v>
      </c>
    </row>
    <row r="903" spans="1:14">
      <c r="A903" t="s">
        <v>1967</v>
      </c>
      <c r="B903" t="s">
        <v>3690</v>
      </c>
      <c r="C903" t="s">
        <v>3691</v>
      </c>
      <c r="D903" t="s">
        <v>11</v>
      </c>
      <c r="E903" t="s">
        <v>13</v>
      </c>
      <c r="F903" t="s">
        <v>1970</v>
      </c>
      <c r="G903" t="s">
        <v>12</v>
      </c>
      <c r="I903" t="s">
        <v>3690</v>
      </c>
      <c r="J903" t="s">
        <v>5092</v>
      </c>
      <c r="K903" s="10">
        <v>113.04357207520916</v>
      </c>
      <c r="L903" s="9">
        <v>0.28230086650034769</v>
      </c>
      <c r="M903" s="10">
        <v>143.73555404403859</v>
      </c>
      <c r="N903" s="10">
        <v>158.10910944844247</v>
      </c>
    </row>
    <row r="904" spans="1:14">
      <c r="A904" t="s">
        <v>1967</v>
      </c>
      <c r="B904" t="s">
        <v>3692</v>
      </c>
      <c r="C904" t="s">
        <v>3693</v>
      </c>
      <c r="D904" t="s">
        <v>11</v>
      </c>
      <c r="E904" t="s">
        <v>13</v>
      </c>
      <c r="F904" t="s">
        <v>1970</v>
      </c>
      <c r="G904" t="s">
        <v>12</v>
      </c>
      <c r="I904" t="s">
        <v>3692</v>
      </c>
      <c r="J904" t="s">
        <v>5093</v>
      </c>
      <c r="K904" s="10">
        <v>163.5467597606781</v>
      </c>
      <c r="L904" s="9">
        <v>0.28072407150676959</v>
      </c>
      <c r="M904" s="10">
        <v>313.23989127207324</v>
      </c>
      <c r="N904" s="10">
        <v>344.56388039928061</v>
      </c>
    </row>
    <row r="905" spans="1:14">
      <c r="A905" t="s">
        <v>1967</v>
      </c>
      <c r="B905" t="s">
        <v>3694</v>
      </c>
      <c r="C905" t="s">
        <v>3695</v>
      </c>
      <c r="D905" t="s">
        <v>11</v>
      </c>
      <c r="E905" t="s">
        <v>13</v>
      </c>
      <c r="F905" t="s">
        <v>1970</v>
      </c>
      <c r="G905" t="s">
        <v>12</v>
      </c>
      <c r="I905" t="s">
        <v>3694</v>
      </c>
      <c r="J905" t="s">
        <v>5094</v>
      </c>
      <c r="K905" s="10">
        <v>122.10329455608048</v>
      </c>
      <c r="L905" s="9">
        <v>0.27370254503637959</v>
      </c>
      <c r="M905" s="10">
        <v>414.5331845169656</v>
      </c>
      <c r="N905" s="10">
        <v>455.98650296866219</v>
      </c>
    </row>
    <row r="906" spans="1:14">
      <c r="A906" t="s">
        <v>1967</v>
      </c>
      <c r="B906" t="s">
        <v>3696</v>
      </c>
      <c r="C906" t="s">
        <v>3695</v>
      </c>
      <c r="D906" t="s">
        <v>11</v>
      </c>
      <c r="E906" t="s">
        <v>13</v>
      </c>
      <c r="F906" t="s">
        <v>1970</v>
      </c>
      <c r="G906" t="s">
        <v>12</v>
      </c>
      <c r="I906" t="s">
        <v>3696</v>
      </c>
      <c r="J906" t="s">
        <v>5095</v>
      </c>
      <c r="K906" s="10">
        <v>117.64737632648281</v>
      </c>
      <c r="L906" s="9">
        <v>0.27112318857175088</v>
      </c>
      <c r="M906" s="10">
        <v>604.26161508146822</v>
      </c>
      <c r="N906" s="10">
        <v>664.68777658961505</v>
      </c>
    </row>
    <row r="907" spans="1:14">
      <c r="A907" t="s">
        <v>1967</v>
      </c>
      <c r="B907" t="s">
        <v>3697</v>
      </c>
      <c r="C907" t="s">
        <v>3698</v>
      </c>
      <c r="D907" t="s">
        <v>11</v>
      </c>
      <c r="E907" t="s">
        <v>13</v>
      </c>
      <c r="F907" t="s">
        <v>1970</v>
      </c>
      <c r="G907" t="s">
        <v>12</v>
      </c>
      <c r="I907" t="s">
        <v>3697</v>
      </c>
      <c r="J907" t="s">
        <v>5096</v>
      </c>
      <c r="K907" s="10">
        <v>184.0684155518021</v>
      </c>
      <c r="L907" s="9">
        <v>0.27032256241217889</v>
      </c>
      <c r="M907" s="10">
        <v>337.54273877569273</v>
      </c>
      <c r="N907" s="10">
        <v>371.29701265326202</v>
      </c>
    </row>
    <row r="908" spans="1:14">
      <c r="A908" t="s">
        <v>1967</v>
      </c>
      <c r="B908" t="s">
        <v>3699</v>
      </c>
      <c r="C908" t="s">
        <v>3700</v>
      </c>
      <c r="D908" t="s">
        <v>11</v>
      </c>
      <c r="E908" t="s">
        <v>13</v>
      </c>
      <c r="F908" t="s">
        <v>1970</v>
      </c>
      <c r="G908" t="s">
        <v>12</v>
      </c>
      <c r="I908" t="s">
        <v>3699</v>
      </c>
      <c r="J908" t="s">
        <v>5097</v>
      </c>
      <c r="K908" s="10">
        <v>190.06934450809044</v>
      </c>
      <c r="L908" s="9">
        <v>0.26540198495343048</v>
      </c>
      <c r="M908" s="10">
        <v>382.18912696997626</v>
      </c>
      <c r="N908" s="10">
        <v>420.40803966697393</v>
      </c>
    </row>
    <row r="909" spans="1:14">
      <c r="A909" t="s">
        <v>1967</v>
      </c>
      <c r="B909" t="s">
        <v>3701</v>
      </c>
      <c r="C909" t="s">
        <v>3702</v>
      </c>
      <c r="D909" t="s">
        <v>11</v>
      </c>
      <c r="E909" t="s">
        <v>13</v>
      </c>
      <c r="F909" t="s">
        <v>1970</v>
      </c>
      <c r="G909" t="s">
        <v>12</v>
      </c>
      <c r="I909" t="s">
        <v>3701</v>
      </c>
      <c r="J909" t="s">
        <v>5098</v>
      </c>
      <c r="K909" s="10">
        <v>193.49908596649487</v>
      </c>
      <c r="L909" s="9">
        <v>0.2680994020335068</v>
      </c>
      <c r="M909" s="10">
        <v>291.07732970850924</v>
      </c>
      <c r="N909" s="10">
        <v>320.18506267936021</v>
      </c>
    </row>
    <row r="910" spans="1:14">
      <c r="A910" t="s">
        <v>1967</v>
      </c>
      <c r="B910" t="s">
        <v>3703</v>
      </c>
      <c r="C910" t="s">
        <v>3704</v>
      </c>
      <c r="D910" t="s">
        <v>11</v>
      </c>
      <c r="E910" t="s">
        <v>13</v>
      </c>
      <c r="F910" t="s">
        <v>1970</v>
      </c>
      <c r="G910" t="s">
        <v>12</v>
      </c>
      <c r="I910" t="s">
        <v>3703</v>
      </c>
      <c r="J910" t="s">
        <v>5099</v>
      </c>
      <c r="K910" s="10">
        <v>324.8682092143402</v>
      </c>
      <c r="L910" s="9">
        <v>0.27084897091193932</v>
      </c>
      <c r="M910" s="10">
        <v>552.04167022257866</v>
      </c>
      <c r="N910" s="10">
        <v>607.24583724483659</v>
      </c>
    </row>
    <row r="911" spans="1:14">
      <c r="A911" t="s">
        <v>1967</v>
      </c>
      <c r="B911" t="s">
        <v>3705</v>
      </c>
      <c r="C911" t="s">
        <v>3706</v>
      </c>
      <c r="D911" t="s">
        <v>11</v>
      </c>
      <c r="E911" t="s">
        <v>13</v>
      </c>
      <c r="F911" t="s">
        <v>1970</v>
      </c>
      <c r="G911" t="s">
        <v>12</v>
      </c>
      <c r="I911" t="s">
        <v>3705</v>
      </c>
      <c r="J911" t="s">
        <v>5100</v>
      </c>
      <c r="K911" s="11">
        <v>49.845085336993236</v>
      </c>
      <c r="L911" s="9">
        <v>0.24972328181393569</v>
      </c>
      <c r="M911" s="10">
        <v>398.43013269399268</v>
      </c>
      <c r="N911" s="10">
        <v>438.27314596339198</v>
      </c>
    </row>
    <row r="912" spans="1:14">
      <c r="A912" t="s">
        <v>1967</v>
      </c>
      <c r="B912" t="s">
        <v>3707</v>
      </c>
      <c r="C912" t="s">
        <v>3704</v>
      </c>
      <c r="D912" t="s">
        <v>11</v>
      </c>
      <c r="E912" t="s">
        <v>13</v>
      </c>
      <c r="F912" t="s">
        <v>1970</v>
      </c>
      <c r="G912" t="s">
        <v>12</v>
      </c>
      <c r="I912" t="s">
        <v>3707</v>
      </c>
      <c r="J912" t="s">
        <v>5101</v>
      </c>
      <c r="K912" s="10">
        <v>179.70898614823804</v>
      </c>
      <c r="L912" s="9">
        <v>0.2676910079982488</v>
      </c>
      <c r="M912" s="10">
        <v>262.68792051219259</v>
      </c>
      <c r="N912" s="10">
        <v>288.95671256341188</v>
      </c>
    </row>
    <row r="913" spans="1:14">
      <c r="A913" t="s">
        <v>1967</v>
      </c>
      <c r="B913" t="s">
        <v>3708</v>
      </c>
      <c r="C913" t="s">
        <v>3709</v>
      </c>
      <c r="D913" t="s">
        <v>11</v>
      </c>
      <c r="E913" t="s">
        <v>13</v>
      </c>
      <c r="F913" t="s">
        <v>1970</v>
      </c>
      <c r="G913" t="s">
        <v>12</v>
      </c>
      <c r="I913" t="s">
        <v>3708</v>
      </c>
      <c r="J913" t="s">
        <v>5102</v>
      </c>
      <c r="K913" s="10">
        <v>359.14655008696428</v>
      </c>
      <c r="L913" s="9">
        <v>0.26783716912349359</v>
      </c>
      <c r="M913" s="10">
        <v>649.47466231935118</v>
      </c>
      <c r="N913" s="10">
        <v>714.42212855128639</v>
      </c>
    </row>
    <row r="914" spans="1:14">
      <c r="A914" t="s">
        <v>1967</v>
      </c>
      <c r="B914" t="s">
        <v>3710</v>
      </c>
      <c r="C914" t="s">
        <v>3709</v>
      </c>
      <c r="D914" t="s">
        <v>11</v>
      </c>
      <c r="E914" t="s">
        <v>13</v>
      </c>
      <c r="F914" t="s">
        <v>1970</v>
      </c>
      <c r="G914" t="s">
        <v>12</v>
      </c>
      <c r="I914" t="s">
        <v>3710</v>
      </c>
      <c r="J914" t="s">
        <v>5103</v>
      </c>
      <c r="K914" s="10">
        <v>223.31689234651131</v>
      </c>
      <c r="L914" s="9">
        <v>0.26849436974865609</v>
      </c>
      <c r="M914" s="10">
        <v>319.51243908643232</v>
      </c>
      <c r="N914" s="10">
        <v>351.4636829950756</v>
      </c>
    </row>
    <row r="915" spans="1:14">
      <c r="A915" t="s">
        <v>1967</v>
      </c>
      <c r="B915" t="s">
        <v>3711</v>
      </c>
      <c r="C915" t="s">
        <v>3700</v>
      </c>
      <c r="D915" t="s">
        <v>11</v>
      </c>
      <c r="E915" t="s">
        <v>13</v>
      </c>
      <c r="F915" t="s">
        <v>1970</v>
      </c>
      <c r="G915" t="s">
        <v>12</v>
      </c>
      <c r="I915" t="s">
        <v>3711</v>
      </c>
      <c r="J915" t="s">
        <v>5104</v>
      </c>
      <c r="K915" s="10">
        <v>156.16580944945613</v>
      </c>
      <c r="L915" s="9">
        <v>0.2672353281267949</v>
      </c>
      <c r="M915" s="10">
        <v>114.69041670729951</v>
      </c>
      <c r="N915" s="10">
        <v>126.15945837802947</v>
      </c>
    </row>
    <row r="916" spans="1:14">
      <c r="A916" t="s">
        <v>1967</v>
      </c>
      <c r="B916" t="s">
        <v>3712</v>
      </c>
      <c r="C916" t="s">
        <v>3713</v>
      </c>
      <c r="D916" t="s">
        <v>11</v>
      </c>
      <c r="E916" t="s">
        <v>13</v>
      </c>
      <c r="F916" t="s">
        <v>1970</v>
      </c>
      <c r="G916" t="s">
        <v>12</v>
      </c>
      <c r="I916" t="s">
        <v>3712</v>
      </c>
      <c r="J916" t="s">
        <v>5105</v>
      </c>
      <c r="K916" s="11">
        <v>65.111329142523445</v>
      </c>
      <c r="L916" s="9">
        <v>0.25318741626819907</v>
      </c>
      <c r="M916" s="10">
        <v>435.08855766776043</v>
      </c>
      <c r="N916" s="10">
        <v>478.59741343453652</v>
      </c>
    </row>
    <row r="917" spans="1:14">
      <c r="A917" t="s">
        <v>1967</v>
      </c>
      <c r="B917" t="s">
        <v>3714</v>
      </c>
      <c r="C917" t="s">
        <v>3715</v>
      </c>
      <c r="D917" t="s">
        <v>11</v>
      </c>
      <c r="E917" t="s">
        <v>13</v>
      </c>
      <c r="F917" t="s">
        <v>1970</v>
      </c>
      <c r="G917" t="s">
        <v>12</v>
      </c>
      <c r="I917" t="s">
        <v>3714</v>
      </c>
      <c r="J917" t="s">
        <v>5106</v>
      </c>
      <c r="K917" s="11">
        <v>45.358388145810693</v>
      </c>
      <c r="L917" s="9">
        <v>0.25371781105660951</v>
      </c>
      <c r="M917" s="10">
        <v>246.71005545456401</v>
      </c>
      <c r="N917" s="10">
        <v>271.38106100002045</v>
      </c>
    </row>
    <row r="918" spans="1:14">
      <c r="A918" t="s">
        <v>1967</v>
      </c>
      <c r="B918" t="s">
        <v>3716</v>
      </c>
      <c r="C918" t="s">
        <v>3717</v>
      </c>
      <c r="D918" t="s">
        <v>11</v>
      </c>
      <c r="E918" t="s">
        <v>13</v>
      </c>
      <c r="F918" t="s">
        <v>1970</v>
      </c>
      <c r="G918" t="s">
        <v>12</v>
      </c>
      <c r="I918" t="s">
        <v>3716</v>
      </c>
      <c r="J918" t="s">
        <v>5107</v>
      </c>
      <c r="K918" s="10">
        <v>198.39056738593709</v>
      </c>
      <c r="L918" s="9">
        <v>0.29778872299844228</v>
      </c>
      <c r="M918" s="10">
        <v>659.60653113632645</v>
      </c>
      <c r="N918" s="10">
        <v>725.56718424995915</v>
      </c>
    </row>
    <row r="919" spans="1:14">
      <c r="A919" t="s">
        <v>1967</v>
      </c>
      <c r="B919" t="s">
        <v>3718</v>
      </c>
      <c r="C919" t="s">
        <v>3717</v>
      </c>
      <c r="D919" t="s">
        <v>11</v>
      </c>
      <c r="E919" t="s">
        <v>13</v>
      </c>
      <c r="F919" t="s">
        <v>1970</v>
      </c>
      <c r="G919" t="s">
        <v>12</v>
      </c>
      <c r="I919" t="s">
        <v>3718</v>
      </c>
      <c r="J919" t="s">
        <v>5108</v>
      </c>
      <c r="K919" s="11">
        <v>76.704929725972733</v>
      </c>
      <c r="L919" s="9">
        <v>0.28192564799085351</v>
      </c>
      <c r="M919" s="10">
        <v>304.8000929419216</v>
      </c>
      <c r="N919" s="10">
        <v>335.28010223611381</v>
      </c>
    </row>
    <row r="920" spans="1:14">
      <c r="A920" t="s">
        <v>1967</v>
      </c>
      <c r="B920" t="s">
        <v>3719</v>
      </c>
      <c r="C920" t="s">
        <v>3720</v>
      </c>
      <c r="D920" t="s">
        <v>11</v>
      </c>
      <c r="E920" t="s">
        <v>13</v>
      </c>
      <c r="F920" t="s">
        <v>1970</v>
      </c>
      <c r="G920" t="s">
        <v>12</v>
      </c>
      <c r="I920" t="s">
        <v>3719</v>
      </c>
      <c r="J920" t="s">
        <v>5109</v>
      </c>
      <c r="K920" s="11">
        <v>51.688143074780015</v>
      </c>
      <c r="L920" s="9">
        <v>0.24520164112268181</v>
      </c>
      <c r="M920" s="10">
        <v>495.61458955802237</v>
      </c>
      <c r="N920" s="10">
        <v>545.17604851382464</v>
      </c>
    </row>
    <row r="921" spans="1:14">
      <c r="A921" t="s">
        <v>1967</v>
      </c>
      <c r="B921" t="s">
        <v>3721</v>
      </c>
      <c r="C921" t="s">
        <v>3722</v>
      </c>
      <c r="D921" t="s">
        <v>11</v>
      </c>
      <c r="E921" t="s">
        <v>13</v>
      </c>
      <c r="F921" t="s">
        <v>1970</v>
      </c>
      <c r="G921" t="s">
        <v>12</v>
      </c>
      <c r="I921" t="s">
        <v>3721</v>
      </c>
      <c r="J921" t="s">
        <v>5110</v>
      </c>
      <c r="K921" s="11">
        <v>97.314363350950643</v>
      </c>
      <c r="L921" s="9">
        <v>0.24557334853726689</v>
      </c>
      <c r="M921" s="10">
        <v>307.5722710495827</v>
      </c>
      <c r="N921" s="10">
        <v>338.329498154541</v>
      </c>
    </row>
    <row r="922" spans="1:14">
      <c r="A922" t="s">
        <v>1967</v>
      </c>
      <c r="B922" t="s">
        <v>3723</v>
      </c>
      <c r="C922" t="s">
        <v>3724</v>
      </c>
      <c r="D922" t="s">
        <v>11</v>
      </c>
      <c r="E922" t="s">
        <v>13</v>
      </c>
      <c r="F922" t="s">
        <v>1970</v>
      </c>
      <c r="G922" t="s">
        <v>12</v>
      </c>
      <c r="I922" t="s">
        <v>3723</v>
      </c>
      <c r="J922" t="s">
        <v>5111</v>
      </c>
      <c r="K922" s="11">
        <v>85.933750433968029</v>
      </c>
      <c r="L922" s="9">
        <v>0.24775436839761319</v>
      </c>
      <c r="M922" s="10">
        <v>634.79091714648951</v>
      </c>
      <c r="N922" s="10">
        <v>698.27000886113854</v>
      </c>
    </row>
    <row r="923" spans="1:14">
      <c r="A923" t="s">
        <v>1967</v>
      </c>
      <c r="B923" t="s">
        <v>3725</v>
      </c>
      <c r="C923" t="s">
        <v>3726</v>
      </c>
      <c r="D923" t="s">
        <v>11</v>
      </c>
      <c r="E923" t="s">
        <v>13</v>
      </c>
      <c r="F923" t="s">
        <v>1970</v>
      </c>
      <c r="G923" t="s">
        <v>12</v>
      </c>
      <c r="I923" t="s">
        <v>3725</v>
      </c>
      <c r="J923" t="s">
        <v>5112</v>
      </c>
      <c r="K923" s="11">
        <v>46.879250549782348</v>
      </c>
      <c r="L923" s="9">
        <v>0.28185408536432421</v>
      </c>
      <c r="M923" s="10">
        <v>525.87731167478978</v>
      </c>
      <c r="N923" s="10">
        <v>578.46504284226876</v>
      </c>
    </row>
    <row r="924" spans="1:14">
      <c r="A924" t="s">
        <v>1967</v>
      </c>
      <c r="B924" t="s">
        <v>3727</v>
      </c>
      <c r="C924" t="s">
        <v>3726</v>
      </c>
      <c r="D924" t="s">
        <v>11</v>
      </c>
      <c r="E924" t="s">
        <v>13</v>
      </c>
      <c r="F924" t="s">
        <v>1970</v>
      </c>
      <c r="G924" t="s">
        <v>12</v>
      </c>
      <c r="I924" t="s">
        <v>3727</v>
      </c>
      <c r="J924" t="s">
        <v>5113</v>
      </c>
      <c r="K924" s="10">
        <v>125.8430931768545</v>
      </c>
      <c r="L924" s="9">
        <v>0.27451721438112958</v>
      </c>
      <c r="M924" s="10">
        <v>275.48807490428828</v>
      </c>
      <c r="N924" s="10">
        <v>303.03688239471711</v>
      </c>
    </row>
    <row r="925" spans="1:14">
      <c r="A925" t="s">
        <v>1967</v>
      </c>
      <c r="B925" t="s">
        <v>3728</v>
      </c>
      <c r="C925" t="s">
        <v>3729</v>
      </c>
      <c r="D925" t="s">
        <v>11</v>
      </c>
      <c r="E925" t="s">
        <v>13</v>
      </c>
      <c r="F925" t="s">
        <v>1970</v>
      </c>
      <c r="G925" t="s">
        <v>12</v>
      </c>
      <c r="I925" t="s">
        <v>3728</v>
      </c>
      <c r="J925" t="s">
        <v>5114</v>
      </c>
      <c r="K925" s="10">
        <v>179.95550816060575</v>
      </c>
      <c r="L925" s="9">
        <v>0.28076577996691371</v>
      </c>
      <c r="M925" s="10">
        <v>455.571710879183</v>
      </c>
      <c r="N925" s="10">
        <v>501.12888196710134</v>
      </c>
    </row>
    <row r="926" spans="1:14">
      <c r="A926" t="s">
        <v>1967</v>
      </c>
      <c r="B926" t="s">
        <v>3730</v>
      </c>
      <c r="C926" t="s">
        <v>3729</v>
      </c>
      <c r="D926" t="s">
        <v>11</v>
      </c>
      <c r="E926" t="s">
        <v>13</v>
      </c>
      <c r="F926" t="s">
        <v>1970</v>
      </c>
      <c r="G926" t="s">
        <v>12</v>
      </c>
      <c r="I926" t="s">
        <v>3730</v>
      </c>
      <c r="J926" t="s">
        <v>5115</v>
      </c>
      <c r="K926" s="10">
        <v>252.05004586020397</v>
      </c>
      <c r="L926" s="9">
        <v>0.29088730003113739</v>
      </c>
      <c r="M926" s="10">
        <v>639.45758874060846</v>
      </c>
      <c r="N926" s="10">
        <v>703.40334761466931</v>
      </c>
    </row>
    <row r="927" spans="1:14">
      <c r="A927" t="s">
        <v>1967</v>
      </c>
      <c r="B927" t="s">
        <v>3731</v>
      </c>
      <c r="C927" t="s">
        <v>3732</v>
      </c>
      <c r="D927" t="s">
        <v>11</v>
      </c>
      <c r="E927" t="s">
        <v>13</v>
      </c>
      <c r="F927" t="s">
        <v>1970</v>
      </c>
      <c r="G927" t="s">
        <v>12</v>
      </c>
      <c r="I927" t="s">
        <v>3731</v>
      </c>
      <c r="J927" t="s">
        <v>5116</v>
      </c>
      <c r="K927" s="10">
        <v>214.67830109760169</v>
      </c>
      <c r="L927" s="9">
        <v>0.26938794045081699</v>
      </c>
      <c r="M927" s="10">
        <v>214.55401913798417</v>
      </c>
      <c r="N927" s="10">
        <v>236.0094210517826</v>
      </c>
    </row>
    <row r="928" spans="1:14">
      <c r="A928" t="s">
        <v>1967</v>
      </c>
      <c r="B928" t="s">
        <v>3733</v>
      </c>
      <c r="C928" t="s">
        <v>3734</v>
      </c>
      <c r="D928" t="s">
        <v>11</v>
      </c>
      <c r="E928" t="s">
        <v>13</v>
      </c>
      <c r="F928" t="s">
        <v>1970</v>
      </c>
      <c r="G928" t="s">
        <v>12</v>
      </c>
      <c r="I928" t="s">
        <v>3733</v>
      </c>
      <c r="J928" t="s">
        <v>5117</v>
      </c>
      <c r="K928" s="9">
        <v>9.1524652693481041</v>
      </c>
      <c r="L928" s="9">
        <v>0.23844363576766631</v>
      </c>
      <c r="M928" s="10">
        <v>197.04677221644587</v>
      </c>
      <c r="N928" s="10">
        <v>216.75144943809048</v>
      </c>
    </row>
    <row r="929" spans="1:14">
      <c r="A929" t="s">
        <v>1967</v>
      </c>
      <c r="B929" t="s">
        <v>3735</v>
      </c>
      <c r="C929" t="s">
        <v>3734</v>
      </c>
      <c r="D929" t="s">
        <v>11</v>
      </c>
      <c r="E929" t="s">
        <v>13</v>
      </c>
      <c r="F929" t="s">
        <v>1970</v>
      </c>
      <c r="G929" t="s">
        <v>12</v>
      </c>
      <c r="I929" t="s">
        <v>3735</v>
      </c>
      <c r="J929" t="s">
        <v>5118</v>
      </c>
      <c r="K929" s="11">
        <v>65.116591752945439</v>
      </c>
      <c r="L929" s="9">
        <v>0.26729496030455879</v>
      </c>
      <c r="M929" s="10">
        <v>228.11474372947765</v>
      </c>
      <c r="N929" s="10">
        <v>250.92621810242545</v>
      </c>
    </row>
    <row r="930" spans="1:14">
      <c r="A930" t="s">
        <v>1967</v>
      </c>
      <c r="B930" t="s">
        <v>3736</v>
      </c>
      <c r="C930" t="s">
        <v>3737</v>
      </c>
      <c r="D930" t="s">
        <v>11</v>
      </c>
      <c r="E930" t="s">
        <v>13</v>
      </c>
      <c r="F930" t="s">
        <v>1970</v>
      </c>
      <c r="G930" t="s">
        <v>12</v>
      </c>
      <c r="I930" t="s">
        <v>3736</v>
      </c>
      <c r="J930" t="s">
        <v>5119</v>
      </c>
      <c r="K930" s="11">
        <v>14.708989242274496</v>
      </c>
      <c r="L930" s="9">
        <v>0.25089267059060538</v>
      </c>
      <c r="M930" s="11">
        <v>49.978193791766849</v>
      </c>
      <c r="N930" s="11">
        <v>54.976013170943538</v>
      </c>
    </row>
    <row r="931" spans="1:14">
      <c r="A931" t="s">
        <v>1967</v>
      </c>
      <c r="B931" t="s">
        <v>3738</v>
      </c>
      <c r="C931" t="s">
        <v>3739</v>
      </c>
      <c r="D931" t="s">
        <v>11</v>
      </c>
      <c r="E931" t="s">
        <v>13</v>
      </c>
      <c r="F931" t="s">
        <v>1970</v>
      </c>
      <c r="G931" t="s">
        <v>12</v>
      </c>
      <c r="I931" t="s">
        <v>3738</v>
      </c>
      <c r="J931" t="s">
        <v>5120</v>
      </c>
      <c r="K931" s="11">
        <v>17.520269192320892</v>
      </c>
      <c r="L931" s="9">
        <v>0.24534828672043571</v>
      </c>
      <c r="M931" s="10">
        <v>339.80192155676031</v>
      </c>
      <c r="N931" s="10">
        <v>373.78211371243634</v>
      </c>
    </row>
    <row r="932" spans="1:14">
      <c r="A932" t="s">
        <v>1967</v>
      </c>
      <c r="B932" t="s">
        <v>3740</v>
      </c>
      <c r="C932" t="s">
        <v>3739</v>
      </c>
      <c r="D932" t="s">
        <v>11</v>
      </c>
      <c r="E932" t="s">
        <v>13</v>
      </c>
      <c r="F932" t="s">
        <v>1970</v>
      </c>
      <c r="G932" t="s">
        <v>12</v>
      </c>
      <c r="I932" t="s">
        <v>3740</v>
      </c>
      <c r="J932" t="s">
        <v>5121</v>
      </c>
      <c r="K932" s="11">
        <v>36.734025253384004</v>
      </c>
      <c r="L932" s="9">
        <v>0.25055367266348461</v>
      </c>
      <c r="M932" s="10">
        <v>190.53238220520257</v>
      </c>
      <c r="N932" s="10">
        <v>209.58562042572285</v>
      </c>
    </row>
    <row r="933" spans="1:14">
      <c r="A933" t="s">
        <v>1967</v>
      </c>
      <c r="B933" t="s">
        <v>3741</v>
      </c>
      <c r="C933" t="s">
        <v>3742</v>
      </c>
      <c r="D933" t="s">
        <v>11</v>
      </c>
      <c r="E933" t="s">
        <v>13</v>
      </c>
      <c r="F933" t="s">
        <v>1970</v>
      </c>
      <c r="G933" t="s">
        <v>12</v>
      </c>
      <c r="I933" t="s">
        <v>3741</v>
      </c>
      <c r="J933" t="s">
        <v>5122</v>
      </c>
      <c r="K933" s="11">
        <v>11.538373717896809</v>
      </c>
      <c r="L933" s="9">
        <v>0.23077939379098189</v>
      </c>
      <c r="M933" s="10">
        <v>388.06950151736186</v>
      </c>
      <c r="N933" s="10">
        <v>426.87645166909806</v>
      </c>
    </row>
    <row r="934" spans="1:14">
      <c r="A934" t="s">
        <v>1967</v>
      </c>
      <c r="B934" t="s">
        <v>3743</v>
      </c>
      <c r="C934" t="s">
        <v>3744</v>
      </c>
      <c r="D934" t="s">
        <v>11</v>
      </c>
      <c r="E934" t="s">
        <v>13</v>
      </c>
      <c r="F934" t="s">
        <v>1970</v>
      </c>
      <c r="G934" t="s">
        <v>12</v>
      </c>
      <c r="I934" t="s">
        <v>3743</v>
      </c>
      <c r="J934" t="s">
        <v>5123</v>
      </c>
      <c r="K934" s="11">
        <v>16.463182522171849</v>
      </c>
      <c r="L934" s="9">
        <v>0.23597950838275361</v>
      </c>
      <c r="M934" s="11">
        <v>62.50716154698933</v>
      </c>
      <c r="N934" s="11">
        <v>68.757877701688273</v>
      </c>
    </row>
    <row r="935" spans="1:14">
      <c r="A935" t="s">
        <v>1967</v>
      </c>
      <c r="B935" t="s">
        <v>3745</v>
      </c>
      <c r="C935" t="s">
        <v>3746</v>
      </c>
      <c r="D935" t="s">
        <v>11</v>
      </c>
      <c r="E935" t="s">
        <v>13</v>
      </c>
      <c r="F935" t="s">
        <v>1970</v>
      </c>
      <c r="G935" t="s">
        <v>12</v>
      </c>
      <c r="I935" t="s">
        <v>3745</v>
      </c>
      <c r="J935" t="s">
        <v>5124</v>
      </c>
      <c r="K935" s="11">
        <v>23.530415631871509</v>
      </c>
      <c r="L935" s="9">
        <v>0.2323735009050529</v>
      </c>
      <c r="M935" s="10">
        <v>206.03716928874115</v>
      </c>
      <c r="N935" s="10">
        <v>226.64088621761528</v>
      </c>
    </row>
    <row r="936" spans="1:14">
      <c r="A936" t="s">
        <v>1967</v>
      </c>
      <c r="B936" t="s">
        <v>3747</v>
      </c>
      <c r="C936" t="s">
        <v>3748</v>
      </c>
      <c r="D936" t="s">
        <v>11</v>
      </c>
      <c r="E936" t="s">
        <v>13</v>
      </c>
      <c r="F936" t="s">
        <v>1970</v>
      </c>
      <c r="G936" t="s">
        <v>12</v>
      </c>
      <c r="I936" t="s">
        <v>3747</v>
      </c>
      <c r="J936" t="s">
        <v>5125</v>
      </c>
      <c r="K936" s="9">
        <v>0.20838563084535341</v>
      </c>
      <c r="L936" s="9">
        <v>0.18054141668315959</v>
      </c>
      <c r="M936" s="11">
        <v>21.62401963836346</v>
      </c>
      <c r="N936" s="11">
        <v>23.786421602199809</v>
      </c>
    </row>
    <row r="937" spans="1:14">
      <c r="A937" t="s">
        <v>1967</v>
      </c>
      <c r="B937" t="s">
        <v>3749</v>
      </c>
      <c r="C937" t="s">
        <v>3748</v>
      </c>
      <c r="D937" t="s">
        <v>11</v>
      </c>
      <c r="E937" t="s">
        <v>13</v>
      </c>
      <c r="F937" t="s">
        <v>1970</v>
      </c>
      <c r="G937" t="s">
        <v>12</v>
      </c>
      <c r="I937" t="s">
        <v>3749</v>
      </c>
      <c r="J937" t="s">
        <v>5126</v>
      </c>
      <c r="K937" s="9">
        <v>0.53878169292694233</v>
      </c>
      <c r="L937" s="9">
        <v>0.18167338607510999</v>
      </c>
      <c r="M937" s="11">
        <v>11.960182440521685</v>
      </c>
      <c r="N937" s="11">
        <v>13.156200684573854</v>
      </c>
    </row>
    <row r="938" spans="1:14">
      <c r="A938" t="s">
        <v>1967</v>
      </c>
      <c r="B938" t="s">
        <v>3750</v>
      </c>
      <c r="C938" t="s">
        <v>3751</v>
      </c>
      <c r="D938" t="s">
        <v>11</v>
      </c>
      <c r="E938" t="s">
        <v>13</v>
      </c>
      <c r="F938" t="s">
        <v>1970</v>
      </c>
      <c r="G938" t="s">
        <v>12</v>
      </c>
      <c r="I938" t="s">
        <v>3750</v>
      </c>
      <c r="J938" t="s">
        <v>5127</v>
      </c>
      <c r="K938" s="9">
        <v>0.59301003407727515</v>
      </c>
      <c r="L938" s="9">
        <v>0.18053000536401981</v>
      </c>
      <c r="M938" s="11">
        <v>13.542508917143952</v>
      </c>
      <c r="N938" s="11">
        <v>14.896759808858349</v>
      </c>
    </row>
    <row r="939" spans="1:14">
      <c r="A939" t="s">
        <v>1967</v>
      </c>
      <c r="B939" t="s">
        <v>3752</v>
      </c>
      <c r="C939" t="s">
        <v>3753</v>
      </c>
      <c r="D939" t="s">
        <v>11</v>
      </c>
      <c r="E939" t="s">
        <v>13</v>
      </c>
      <c r="F939" t="s">
        <v>1970</v>
      </c>
      <c r="G939" t="s">
        <v>12</v>
      </c>
      <c r="I939" t="s">
        <v>3752</v>
      </c>
      <c r="J939" t="s">
        <v>5128</v>
      </c>
      <c r="K939" s="9">
        <v>0.61700312474804553</v>
      </c>
      <c r="L939" s="9">
        <v>0.18325467372729359</v>
      </c>
      <c r="M939" s="9">
        <v>8.0931639312353791</v>
      </c>
      <c r="N939" s="9">
        <v>8.9024803243589172</v>
      </c>
    </row>
    <row r="940" spans="1:14">
      <c r="A940" t="s">
        <v>1967</v>
      </c>
      <c r="B940" t="s">
        <v>3754</v>
      </c>
      <c r="C940" t="s">
        <v>3755</v>
      </c>
      <c r="D940" t="s">
        <v>11</v>
      </c>
      <c r="E940" t="s">
        <v>13</v>
      </c>
      <c r="F940" t="s">
        <v>1970</v>
      </c>
      <c r="G940" t="s">
        <v>12</v>
      </c>
      <c r="I940" t="s">
        <v>3754</v>
      </c>
      <c r="J940" t="s">
        <v>5129</v>
      </c>
      <c r="K940" s="9">
        <v>6.3739375768856039</v>
      </c>
      <c r="L940" s="9">
        <v>0.1868652577846649</v>
      </c>
      <c r="M940" s="11">
        <v>92.335825783539875</v>
      </c>
      <c r="N940" s="10">
        <v>101.56940836189386</v>
      </c>
    </row>
    <row r="941" spans="1:14">
      <c r="A941" t="s">
        <v>1967</v>
      </c>
      <c r="B941" t="s">
        <v>3756</v>
      </c>
      <c r="C941" t="s">
        <v>3757</v>
      </c>
      <c r="D941" t="s">
        <v>11</v>
      </c>
      <c r="E941" t="s">
        <v>13</v>
      </c>
      <c r="F941" t="s">
        <v>1970</v>
      </c>
      <c r="G941" t="s">
        <v>12</v>
      </c>
      <c r="I941" t="s">
        <v>3756</v>
      </c>
      <c r="J941" t="s">
        <v>5130</v>
      </c>
      <c r="K941" s="9">
        <v>2.1498188134652296</v>
      </c>
      <c r="L941" s="9">
        <v>0.19135989105960399</v>
      </c>
      <c r="M941" s="11">
        <v>66.561094083534854</v>
      </c>
      <c r="N941" s="11">
        <v>73.217203491888341</v>
      </c>
    </row>
    <row r="942" spans="1:14">
      <c r="A942" t="s">
        <v>1967</v>
      </c>
      <c r="B942" t="s">
        <v>3758</v>
      </c>
      <c r="C942" t="s">
        <v>3759</v>
      </c>
      <c r="D942" t="s">
        <v>11</v>
      </c>
      <c r="E942" t="s">
        <v>13</v>
      </c>
      <c r="F942" t="s">
        <v>1970</v>
      </c>
      <c r="G942" t="s">
        <v>12</v>
      </c>
      <c r="I942" t="s">
        <v>3758</v>
      </c>
      <c r="J942" t="s">
        <v>5131</v>
      </c>
      <c r="K942" s="9">
        <v>8.9735423519942454</v>
      </c>
      <c r="L942" s="9">
        <v>0.1761035011006192</v>
      </c>
      <c r="M942" s="11">
        <v>60.898950729979298</v>
      </c>
      <c r="N942" s="11">
        <v>66.988845802977238</v>
      </c>
    </row>
    <row r="943" spans="1:14">
      <c r="A943" t="s">
        <v>1967</v>
      </c>
      <c r="B943" t="s">
        <v>3760</v>
      </c>
      <c r="C943" t="s">
        <v>3761</v>
      </c>
      <c r="D943" t="s">
        <v>11</v>
      </c>
      <c r="E943" t="s">
        <v>13</v>
      </c>
      <c r="F943" t="s">
        <v>1970</v>
      </c>
      <c r="G943" t="s">
        <v>12</v>
      </c>
      <c r="I943" t="s">
        <v>3760</v>
      </c>
      <c r="J943" t="s">
        <v>5132</v>
      </c>
      <c r="K943" s="9">
        <v>4.4955241296104793</v>
      </c>
      <c r="L943" s="9">
        <v>0.17325097532422129</v>
      </c>
      <c r="M943" s="11">
        <v>40.490362766963003</v>
      </c>
      <c r="N943" s="11">
        <v>44.539399043659309</v>
      </c>
    </row>
    <row r="944" spans="1:14">
      <c r="A944" t="s">
        <v>1967</v>
      </c>
      <c r="B944" t="s">
        <v>3762</v>
      </c>
      <c r="C944" t="s">
        <v>3763</v>
      </c>
      <c r="D944" t="s">
        <v>11</v>
      </c>
      <c r="E944" t="s">
        <v>13</v>
      </c>
      <c r="F944" t="s">
        <v>1970</v>
      </c>
      <c r="G944" t="s">
        <v>12</v>
      </c>
      <c r="I944" t="s">
        <v>3762</v>
      </c>
      <c r="J944" t="s">
        <v>5133</v>
      </c>
      <c r="K944" s="9">
        <v>5.115049439710643</v>
      </c>
      <c r="L944" s="9">
        <v>0.24089309418707491</v>
      </c>
      <c r="M944" s="11">
        <v>25.651062915017373</v>
      </c>
      <c r="N944" s="11">
        <v>28.216169206519112</v>
      </c>
    </row>
    <row r="945" spans="1:14">
      <c r="A945" t="s">
        <v>1967</v>
      </c>
      <c r="B945" t="s">
        <v>3764</v>
      </c>
      <c r="C945" t="s">
        <v>3765</v>
      </c>
      <c r="D945" t="s">
        <v>11</v>
      </c>
      <c r="E945" t="s">
        <v>13</v>
      </c>
      <c r="F945" t="s">
        <v>1970</v>
      </c>
      <c r="G945" t="s">
        <v>12</v>
      </c>
      <c r="I945" t="s">
        <v>3764</v>
      </c>
      <c r="J945" t="s">
        <v>5134</v>
      </c>
      <c r="K945" s="9">
        <v>8.7501551695313964</v>
      </c>
      <c r="L945" s="9">
        <v>0.23038525319600711</v>
      </c>
      <c r="M945" s="11">
        <v>15.065055455791912</v>
      </c>
      <c r="N945" s="11">
        <v>16.571561001371105</v>
      </c>
    </row>
    <row r="946" spans="1:14">
      <c r="A946" t="s">
        <v>1967</v>
      </c>
      <c r="B946" t="s">
        <v>3766</v>
      </c>
      <c r="C946" t="s">
        <v>3767</v>
      </c>
      <c r="D946" t="s">
        <v>11</v>
      </c>
      <c r="E946" t="s">
        <v>13</v>
      </c>
      <c r="F946" t="s">
        <v>1970</v>
      </c>
      <c r="G946" t="s">
        <v>12</v>
      </c>
      <c r="I946" t="s">
        <v>3766</v>
      </c>
      <c r="J946" t="s">
        <v>5135</v>
      </c>
      <c r="K946" s="11">
        <v>31.125507782565961</v>
      </c>
      <c r="L946" s="9">
        <v>0.2346800660889527</v>
      </c>
      <c r="M946" s="11">
        <v>96.398296296230825</v>
      </c>
      <c r="N946" s="10">
        <v>106.03812592585392</v>
      </c>
    </row>
    <row r="947" spans="1:14">
      <c r="A947" t="s">
        <v>1967</v>
      </c>
      <c r="B947" t="s">
        <v>3768</v>
      </c>
      <c r="C947" t="s">
        <v>3769</v>
      </c>
      <c r="D947" t="s">
        <v>11</v>
      </c>
      <c r="E947" t="s">
        <v>13</v>
      </c>
      <c r="F947" t="s">
        <v>1970</v>
      </c>
      <c r="G947" t="s">
        <v>12</v>
      </c>
      <c r="I947" t="s">
        <v>3768</v>
      </c>
      <c r="J947" t="s">
        <v>5136</v>
      </c>
      <c r="K947" s="11">
        <v>59.13925324529162</v>
      </c>
      <c r="L947" s="9">
        <v>0.2367859430080132</v>
      </c>
      <c r="M947" s="11">
        <v>99.434217045344965</v>
      </c>
      <c r="N947" s="10">
        <v>109.37763874987947</v>
      </c>
    </row>
    <row r="948" spans="1:14">
      <c r="A948" t="s">
        <v>1967</v>
      </c>
      <c r="B948" t="s">
        <v>3770</v>
      </c>
      <c r="C948" t="s">
        <v>3771</v>
      </c>
      <c r="D948" t="s">
        <v>11</v>
      </c>
      <c r="E948" t="s">
        <v>13</v>
      </c>
      <c r="F948" t="s">
        <v>1970</v>
      </c>
      <c r="G948" t="s">
        <v>12</v>
      </c>
      <c r="I948" t="s">
        <v>3770</v>
      </c>
      <c r="J948" t="s">
        <v>5137</v>
      </c>
      <c r="K948" s="11">
        <v>44.265708084788322</v>
      </c>
      <c r="L948" s="9">
        <v>0.23929782617240319</v>
      </c>
      <c r="M948" s="10">
        <v>110.13832786606341</v>
      </c>
      <c r="N948" s="10">
        <v>121.15216065266975</v>
      </c>
    </row>
    <row r="949" spans="1:14">
      <c r="A949" t="s">
        <v>1967</v>
      </c>
      <c r="B949" t="s">
        <v>3772</v>
      </c>
      <c r="C949" t="s">
        <v>3773</v>
      </c>
      <c r="D949" t="s">
        <v>11</v>
      </c>
      <c r="E949" t="s">
        <v>13</v>
      </c>
      <c r="F949" t="s">
        <v>1970</v>
      </c>
      <c r="G949" t="s">
        <v>12</v>
      </c>
      <c r="I949" t="s">
        <v>3772</v>
      </c>
      <c r="J949" t="s">
        <v>5138</v>
      </c>
      <c r="K949" s="11">
        <v>52.117421843282635</v>
      </c>
      <c r="L949" s="9">
        <v>0.2407061550615413</v>
      </c>
      <c r="M949" s="10">
        <v>112.41109582258601</v>
      </c>
      <c r="N949" s="10">
        <v>123.65220540484462</v>
      </c>
    </row>
    <row r="950" spans="1:14">
      <c r="A950" t="s">
        <v>1967</v>
      </c>
      <c r="B950" t="s">
        <v>3774</v>
      </c>
      <c r="C950" t="s">
        <v>3775</v>
      </c>
      <c r="D950" t="s">
        <v>11</v>
      </c>
      <c r="E950" t="s">
        <v>13</v>
      </c>
      <c r="F950" t="s">
        <v>1970</v>
      </c>
      <c r="G950" t="s">
        <v>12</v>
      </c>
      <c r="I950" t="s">
        <v>3774</v>
      </c>
      <c r="J950" t="s">
        <v>5139</v>
      </c>
      <c r="K950" s="11">
        <v>42.889800462781118</v>
      </c>
      <c r="L950" s="9">
        <v>0.24024600367323901</v>
      </c>
      <c r="M950" s="10">
        <v>121.3195918964809</v>
      </c>
      <c r="N950" s="10">
        <v>133.451551086129</v>
      </c>
    </row>
    <row r="951" spans="1:14">
      <c r="A951" t="s">
        <v>1967</v>
      </c>
      <c r="B951" t="s">
        <v>3776</v>
      </c>
      <c r="C951" t="s">
        <v>3777</v>
      </c>
      <c r="D951" t="s">
        <v>11</v>
      </c>
      <c r="E951" t="s">
        <v>13</v>
      </c>
      <c r="F951" t="s">
        <v>1970</v>
      </c>
      <c r="G951" t="s">
        <v>12</v>
      </c>
      <c r="I951" t="s">
        <v>3776</v>
      </c>
      <c r="J951" t="s">
        <v>5140</v>
      </c>
      <c r="K951" s="11">
        <v>19.272357198064022</v>
      </c>
      <c r="L951" s="9">
        <v>0.22818060419836361</v>
      </c>
      <c r="M951" s="10">
        <v>201.05078397355655</v>
      </c>
      <c r="N951" s="10">
        <v>221.15586237091222</v>
      </c>
    </row>
    <row r="952" spans="1:14">
      <c r="A952" t="s">
        <v>1967</v>
      </c>
      <c r="B952" t="s">
        <v>3778</v>
      </c>
      <c r="C952" t="s">
        <v>3779</v>
      </c>
      <c r="D952" t="s">
        <v>11</v>
      </c>
      <c r="E952" t="s">
        <v>13</v>
      </c>
      <c r="F952" t="s">
        <v>1970</v>
      </c>
      <c r="G952" t="s">
        <v>12</v>
      </c>
      <c r="I952" t="s">
        <v>3778</v>
      </c>
      <c r="J952" t="s">
        <v>5141</v>
      </c>
      <c r="K952" s="11">
        <v>32.79194269684065</v>
      </c>
      <c r="L952" s="9">
        <v>0.23807138898308861</v>
      </c>
      <c r="M952" s="10">
        <v>208.67989019970807</v>
      </c>
      <c r="N952" s="10">
        <v>229.54787921967889</v>
      </c>
    </row>
    <row r="953" spans="1:14">
      <c r="A953" t="s">
        <v>1967</v>
      </c>
      <c r="B953" t="s">
        <v>3780</v>
      </c>
      <c r="C953" t="s">
        <v>3779</v>
      </c>
      <c r="D953" t="s">
        <v>11</v>
      </c>
      <c r="E953" t="s">
        <v>13</v>
      </c>
      <c r="F953" t="s">
        <v>1970</v>
      </c>
      <c r="G953" t="s">
        <v>12</v>
      </c>
      <c r="I953" t="s">
        <v>3780</v>
      </c>
      <c r="J953" t="s">
        <v>5142</v>
      </c>
      <c r="K953" s="11">
        <v>39.563901364137742</v>
      </c>
      <c r="L953" s="9">
        <v>0.2308188955044467</v>
      </c>
      <c r="M953" s="11">
        <v>89.35086732065966</v>
      </c>
      <c r="N953" s="11">
        <v>98.285954052725629</v>
      </c>
    </row>
    <row r="954" spans="1:14">
      <c r="A954" t="s">
        <v>1967</v>
      </c>
      <c r="B954" t="s">
        <v>3781</v>
      </c>
      <c r="C954" t="s">
        <v>3782</v>
      </c>
      <c r="D954" t="s">
        <v>11</v>
      </c>
      <c r="E954" t="s">
        <v>13</v>
      </c>
      <c r="F954" t="s">
        <v>1970</v>
      </c>
      <c r="G954" t="s">
        <v>12</v>
      </c>
      <c r="I954" t="s">
        <v>3781</v>
      </c>
      <c r="J954" t="s">
        <v>5143</v>
      </c>
      <c r="K954" s="10">
        <v>118.72575750225896</v>
      </c>
      <c r="L954" s="9">
        <v>0.2371929709062911</v>
      </c>
      <c r="M954" s="10">
        <v>120.5004821443102</v>
      </c>
      <c r="N954" s="10">
        <v>132.55053035874124</v>
      </c>
    </row>
    <row r="955" spans="1:14">
      <c r="A955" t="s">
        <v>1967</v>
      </c>
      <c r="B955" t="s">
        <v>3783</v>
      </c>
      <c r="C955" t="s">
        <v>3784</v>
      </c>
      <c r="D955" t="s">
        <v>11</v>
      </c>
      <c r="E955" t="s">
        <v>13</v>
      </c>
      <c r="F955" t="s">
        <v>1970</v>
      </c>
      <c r="G955" t="s">
        <v>12</v>
      </c>
      <c r="I955" t="s">
        <v>3783</v>
      </c>
      <c r="J955" t="s">
        <v>5144</v>
      </c>
      <c r="K955" s="11">
        <v>17.96516178292012</v>
      </c>
      <c r="L955" s="9">
        <v>0.17389301281221739</v>
      </c>
      <c r="M955" s="11">
        <v>33.795075776644332</v>
      </c>
      <c r="N955" s="11">
        <v>37.174583354308766</v>
      </c>
    </row>
    <row r="956" spans="1:14">
      <c r="A956" t="s">
        <v>1967</v>
      </c>
      <c r="B956" t="s">
        <v>3785</v>
      </c>
      <c r="C956" t="s">
        <v>3786</v>
      </c>
      <c r="D956" t="s">
        <v>11</v>
      </c>
      <c r="E956" t="s">
        <v>13</v>
      </c>
      <c r="F956" t="s">
        <v>1970</v>
      </c>
      <c r="G956" t="s">
        <v>12</v>
      </c>
      <c r="I956" t="s">
        <v>3785</v>
      </c>
      <c r="J956" t="s">
        <v>5145</v>
      </c>
      <c r="K956" s="11">
        <v>11.225842113838626</v>
      </c>
      <c r="L956" s="9">
        <v>0.17603101146987879</v>
      </c>
      <c r="M956" s="11">
        <v>16.548020280317086</v>
      </c>
      <c r="N956" s="11">
        <v>18.202822308348797</v>
      </c>
    </row>
    <row r="957" spans="1:14">
      <c r="A957" t="s">
        <v>1967</v>
      </c>
      <c r="B957" t="s">
        <v>3787</v>
      </c>
      <c r="C957" t="s">
        <v>3788</v>
      </c>
      <c r="D957" t="s">
        <v>11</v>
      </c>
      <c r="E957" t="s">
        <v>13</v>
      </c>
      <c r="F957" t="s">
        <v>1970</v>
      </c>
      <c r="G957" t="s">
        <v>12</v>
      </c>
      <c r="I957" t="s">
        <v>3787</v>
      </c>
      <c r="J957" t="s">
        <v>5146</v>
      </c>
      <c r="K957" s="11">
        <v>11.134396882657187</v>
      </c>
      <c r="L957" s="9">
        <v>0.1763555816721091</v>
      </c>
      <c r="M957" s="11">
        <v>19.40022555230987</v>
      </c>
      <c r="N957" s="11">
        <v>21.340248107540859</v>
      </c>
    </row>
    <row r="958" spans="1:14">
      <c r="A958" t="s">
        <v>1967</v>
      </c>
      <c r="B958" t="s">
        <v>3789</v>
      </c>
      <c r="C958" t="s">
        <v>3790</v>
      </c>
      <c r="D958" t="s">
        <v>11</v>
      </c>
      <c r="E958" t="s">
        <v>13</v>
      </c>
      <c r="F958" t="s">
        <v>1970</v>
      </c>
      <c r="G958" t="s">
        <v>12</v>
      </c>
      <c r="I958" t="s">
        <v>3789</v>
      </c>
      <c r="J958" t="s">
        <v>5147</v>
      </c>
      <c r="K958" s="11">
        <v>11.360539579011965</v>
      </c>
      <c r="L958" s="9">
        <v>0.1825503565161086</v>
      </c>
      <c r="M958" s="11">
        <v>22.887007236924649</v>
      </c>
      <c r="N958" s="11">
        <v>25.175707960617117</v>
      </c>
    </row>
    <row r="959" spans="1:14">
      <c r="A959" t="s">
        <v>1967</v>
      </c>
      <c r="B959" t="s">
        <v>3791</v>
      </c>
      <c r="C959" t="s">
        <v>3792</v>
      </c>
      <c r="D959" t="s">
        <v>11</v>
      </c>
      <c r="E959" t="s">
        <v>13</v>
      </c>
      <c r="F959" t="s">
        <v>1970</v>
      </c>
      <c r="G959" t="s">
        <v>12</v>
      </c>
      <c r="I959" t="s">
        <v>3791</v>
      </c>
      <c r="J959" t="s">
        <v>5148</v>
      </c>
      <c r="K959" s="9">
        <v>7.708919291058252</v>
      </c>
      <c r="L959" s="9">
        <v>0.1921916985020615</v>
      </c>
      <c r="M959" s="11">
        <v>25.338496682585721</v>
      </c>
      <c r="N959" s="11">
        <v>27.872346350844296</v>
      </c>
    </row>
    <row r="960" spans="1:14">
      <c r="A960" t="s">
        <v>1967</v>
      </c>
      <c r="B960" t="s">
        <v>3793</v>
      </c>
      <c r="C960" t="s">
        <v>3794</v>
      </c>
      <c r="D960" t="s">
        <v>11</v>
      </c>
      <c r="E960" t="s">
        <v>13</v>
      </c>
      <c r="F960" t="s">
        <v>1970</v>
      </c>
      <c r="G960" t="s">
        <v>12</v>
      </c>
      <c r="I960" t="s">
        <v>3793</v>
      </c>
      <c r="J960" t="s">
        <v>5149</v>
      </c>
      <c r="K960" s="11">
        <v>10.729965788282094</v>
      </c>
      <c r="L960" s="9">
        <v>0.18375357313550089</v>
      </c>
      <c r="M960" s="11">
        <v>23.158490297621402</v>
      </c>
      <c r="N960" s="11">
        <v>25.474339327383543</v>
      </c>
    </row>
    <row r="961" spans="1:14">
      <c r="A961" t="s">
        <v>1967</v>
      </c>
      <c r="B961" t="s">
        <v>3795</v>
      </c>
      <c r="C961" t="s">
        <v>3796</v>
      </c>
      <c r="D961" t="s">
        <v>11</v>
      </c>
      <c r="E961" t="s">
        <v>13</v>
      </c>
      <c r="F961" t="s">
        <v>1970</v>
      </c>
      <c r="G961" t="s">
        <v>12</v>
      </c>
      <c r="I961" t="s">
        <v>3795</v>
      </c>
      <c r="J961" t="s">
        <v>5150</v>
      </c>
      <c r="K961" s="11">
        <v>27.902029934215872</v>
      </c>
      <c r="L961" s="9">
        <v>0.24496437479880959</v>
      </c>
      <c r="M961" s="10">
        <v>372.26659146390665</v>
      </c>
      <c r="N961" s="10">
        <v>409.49325061029737</v>
      </c>
    </row>
    <row r="962" spans="1:14">
      <c r="A962" t="s">
        <v>1967</v>
      </c>
      <c r="B962" t="s">
        <v>3797</v>
      </c>
      <c r="C962" t="s">
        <v>3798</v>
      </c>
      <c r="D962" t="s">
        <v>11</v>
      </c>
      <c r="E962" t="s">
        <v>13</v>
      </c>
      <c r="F962" t="s">
        <v>1970</v>
      </c>
      <c r="G962" t="s">
        <v>12</v>
      </c>
      <c r="I962" t="s">
        <v>3797</v>
      </c>
      <c r="J962" t="s">
        <v>5151</v>
      </c>
      <c r="K962" s="10">
        <v>138.44171084840781</v>
      </c>
      <c r="L962" s="9">
        <v>0.21945569508519669</v>
      </c>
      <c r="M962" s="10">
        <v>212.62050597345447</v>
      </c>
      <c r="N962" s="10">
        <v>233.88255657079995</v>
      </c>
    </row>
    <row r="963" spans="1:14">
      <c r="A963" t="s">
        <v>1967</v>
      </c>
      <c r="B963" t="s">
        <v>3799</v>
      </c>
      <c r="C963" t="s">
        <v>3800</v>
      </c>
      <c r="D963" t="s">
        <v>11</v>
      </c>
      <c r="E963" t="s">
        <v>13</v>
      </c>
      <c r="F963" t="s">
        <v>1970</v>
      </c>
      <c r="G963" t="s">
        <v>12</v>
      </c>
      <c r="I963" t="s">
        <v>3799</v>
      </c>
      <c r="J963" t="s">
        <v>5152</v>
      </c>
      <c r="K963" s="11">
        <v>58.230224784109268</v>
      </c>
      <c r="L963" s="9">
        <v>0.2281179994250884</v>
      </c>
      <c r="M963" s="10">
        <v>250.27175636866244</v>
      </c>
      <c r="N963" s="10">
        <v>275.29893200552868</v>
      </c>
    </row>
    <row r="964" spans="1:14">
      <c r="A964" t="s">
        <v>1967</v>
      </c>
      <c r="B964" t="s">
        <v>3801</v>
      </c>
      <c r="C964" t="s">
        <v>3802</v>
      </c>
      <c r="D964" t="s">
        <v>11</v>
      </c>
      <c r="E964" t="s">
        <v>13</v>
      </c>
      <c r="F964" t="s">
        <v>1970</v>
      </c>
      <c r="G964" t="s">
        <v>12</v>
      </c>
      <c r="I964" t="s">
        <v>3801</v>
      </c>
      <c r="J964" t="s">
        <v>5153</v>
      </c>
      <c r="K964" s="11">
        <v>82.763335697614593</v>
      </c>
      <c r="L964" s="9">
        <v>0.2246757412671998</v>
      </c>
      <c r="M964" s="11">
        <v>80.185084388071459</v>
      </c>
      <c r="N964" s="11">
        <v>88.203592826878619</v>
      </c>
    </row>
    <row r="965" spans="1:14">
      <c r="A965" t="s">
        <v>1967</v>
      </c>
      <c r="B965" t="s">
        <v>3803</v>
      </c>
      <c r="C965" t="s">
        <v>3804</v>
      </c>
      <c r="D965" t="s">
        <v>11</v>
      </c>
      <c r="E965" t="s">
        <v>13</v>
      </c>
      <c r="F965" t="s">
        <v>1970</v>
      </c>
      <c r="G965" t="s">
        <v>12</v>
      </c>
      <c r="I965" t="s">
        <v>3803</v>
      </c>
      <c r="J965" t="s">
        <v>5154</v>
      </c>
      <c r="K965" s="11">
        <v>64.556681503779302</v>
      </c>
      <c r="L965" s="9">
        <v>0.23117232814365651</v>
      </c>
      <c r="M965" s="10">
        <v>149.50471897324081</v>
      </c>
      <c r="N965" s="10">
        <v>164.45519087056491</v>
      </c>
    </row>
    <row r="966" spans="1:14">
      <c r="A966" t="s">
        <v>1967</v>
      </c>
      <c r="B966" t="s">
        <v>3805</v>
      </c>
      <c r="C966" t="s">
        <v>3806</v>
      </c>
      <c r="D966" t="s">
        <v>11</v>
      </c>
      <c r="E966" t="s">
        <v>13</v>
      </c>
      <c r="F966" t="s">
        <v>1970</v>
      </c>
      <c r="G966" t="s">
        <v>12</v>
      </c>
      <c r="I966" t="s">
        <v>3805</v>
      </c>
      <c r="J966" t="s">
        <v>5155</v>
      </c>
      <c r="K966" s="11">
        <v>73.780132180851908</v>
      </c>
      <c r="L966" s="9">
        <v>0.23413925087296611</v>
      </c>
      <c r="M966" s="10">
        <v>185.27185058490559</v>
      </c>
      <c r="N966" s="10">
        <v>203.79903564339617</v>
      </c>
    </row>
    <row r="967" spans="1:14">
      <c r="A967" t="s">
        <v>1967</v>
      </c>
      <c r="B967" t="s">
        <v>3807</v>
      </c>
      <c r="C967" t="s">
        <v>3808</v>
      </c>
      <c r="D967" t="s">
        <v>11</v>
      </c>
      <c r="E967" t="s">
        <v>13</v>
      </c>
      <c r="F967" t="s">
        <v>1970</v>
      </c>
      <c r="G967" t="s">
        <v>12</v>
      </c>
      <c r="I967" t="s">
        <v>3807</v>
      </c>
      <c r="J967" t="s">
        <v>5156</v>
      </c>
      <c r="K967" s="11">
        <v>37.730596668807365</v>
      </c>
      <c r="L967" s="9">
        <v>0.23883605673410019</v>
      </c>
      <c r="M967" s="10">
        <v>179.59602220368689</v>
      </c>
      <c r="N967" s="10">
        <v>197.55562442405559</v>
      </c>
    </row>
    <row r="968" spans="1:14">
      <c r="A968" t="s">
        <v>1967</v>
      </c>
      <c r="B968" t="s">
        <v>3809</v>
      </c>
      <c r="C968" t="s">
        <v>3810</v>
      </c>
      <c r="D968" t="s">
        <v>11</v>
      </c>
      <c r="E968" t="s">
        <v>13</v>
      </c>
      <c r="F968" t="s">
        <v>1970</v>
      </c>
      <c r="G968" t="s">
        <v>12</v>
      </c>
      <c r="I968" t="s">
        <v>3809</v>
      </c>
      <c r="J968" t="s">
        <v>5157</v>
      </c>
      <c r="K968" s="9">
        <v>0.86324999999999996</v>
      </c>
      <c r="L968" s="9">
        <v>0.22020345969190691</v>
      </c>
      <c r="M968" s="10">
        <v>113.17736389933184</v>
      </c>
      <c r="N968" s="10">
        <v>124.49510028926503</v>
      </c>
    </row>
    <row r="969" spans="1:14">
      <c r="A969" t="s">
        <v>1967</v>
      </c>
      <c r="B969" t="s">
        <v>3811</v>
      </c>
      <c r="C969" t="s">
        <v>3812</v>
      </c>
      <c r="D969" t="s">
        <v>11</v>
      </c>
      <c r="E969" t="s">
        <v>13</v>
      </c>
      <c r="F969" t="s">
        <v>1970</v>
      </c>
      <c r="G969" t="s">
        <v>12</v>
      </c>
      <c r="I969" t="s">
        <v>3811</v>
      </c>
      <c r="J969" t="s">
        <v>5158</v>
      </c>
      <c r="K969" s="11">
        <v>78.132000000000005</v>
      </c>
      <c r="L969" s="9">
        <v>0.22726342253201759</v>
      </c>
      <c r="M969" s="10">
        <v>148.53131655164066</v>
      </c>
      <c r="N969" s="10">
        <v>163.38444820680473</v>
      </c>
    </row>
    <row r="970" spans="1:14">
      <c r="A970" t="s">
        <v>1967</v>
      </c>
      <c r="B970" t="s">
        <v>3813</v>
      </c>
      <c r="C970" t="s">
        <v>3814</v>
      </c>
      <c r="D970" t="s">
        <v>11</v>
      </c>
      <c r="E970" t="s">
        <v>13</v>
      </c>
      <c r="F970" t="s">
        <v>1970</v>
      </c>
      <c r="G970" t="s">
        <v>12</v>
      </c>
      <c r="I970" t="s">
        <v>3813</v>
      </c>
      <c r="J970" t="s">
        <v>5159</v>
      </c>
      <c r="K970" s="9">
        <v>2.2576661476736906</v>
      </c>
      <c r="L970" s="9">
        <v>0.18869588226980061</v>
      </c>
      <c r="M970" s="10">
        <v>272.15002791919159</v>
      </c>
      <c r="N970" s="10">
        <v>299.36503071111076</v>
      </c>
    </row>
    <row r="971" spans="1:14">
      <c r="A971" t="s">
        <v>1967</v>
      </c>
      <c r="B971" t="s">
        <v>3815</v>
      </c>
      <c r="C971" t="s">
        <v>3816</v>
      </c>
      <c r="D971" t="s">
        <v>11</v>
      </c>
      <c r="E971" t="s">
        <v>13</v>
      </c>
      <c r="F971" t="s">
        <v>1970</v>
      </c>
      <c r="G971" t="s">
        <v>12</v>
      </c>
      <c r="I971" t="s">
        <v>3815</v>
      </c>
      <c r="J971" t="s">
        <v>5160</v>
      </c>
      <c r="K971" s="9">
        <v>0.2063020531212641</v>
      </c>
      <c r="L971" s="9">
        <v>0.1903500627568834</v>
      </c>
      <c r="M971" s="10">
        <v>231.94261679399335</v>
      </c>
      <c r="N971" s="10">
        <v>255.1368784733927</v>
      </c>
    </row>
    <row r="972" spans="1:14">
      <c r="A972" t="s">
        <v>1967</v>
      </c>
      <c r="B972" t="s">
        <v>3817</v>
      </c>
      <c r="C972" t="s">
        <v>3818</v>
      </c>
      <c r="D972" t="s">
        <v>11</v>
      </c>
      <c r="E972" t="s">
        <v>13</v>
      </c>
      <c r="F972" t="s">
        <v>1970</v>
      </c>
      <c r="G972" t="s">
        <v>12</v>
      </c>
      <c r="I972" t="s">
        <v>3817</v>
      </c>
      <c r="J972" t="s">
        <v>5161</v>
      </c>
      <c r="K972" s="9">
        <v>1.6874365299070588</v>
      </c>
      <c r="L972" s="9">
        <v>0.203247675368495</v>
      </c>
      <c r="M972" s="11">
        <v>91.990081436241354</v>
      </c>
      <c r="N972" s="10">
        <v>101.1890895798655</v>
      </c>
    </row>
    <row r="973" spans="1:14">
      <c r="A973" t="s">
        <v>1967</v>
      </c>
      <c r="B973" t="s">
        <v>3819</v>
      </c>
      <c r="C973" t="s">
        <v>3820</v>
      </c>
      <c r="D973" t="s">
        <v>11</v>
      </c>
      <c r="E973" t="s">
        <v>13</v>
      </c>
      <c r="F973" t="s">
        <v>1970</v>
      </c>
      <c r="G973" t="s">
        <v>12</v>
      </c>
      <c r="I973" t="s">
        <v>3819</v>
      </c>
      <c r="J973" t="s">
        <v>5162</v>
      </c>
      <c r="K973" s="11">
        <v>22.784886830850411</v>
      </c>
      <c r="L973" s="9">
        <v>0.1545937988504964</v>
      </c>
      <c r="M973" s="11">
        <v>31.40966168395056</v>
      </c>
      <c r="N973" s="11">
        <v>34.55062785234562</v>
      </c>
    </row>
    <row r="974" spans="1:14">
      <c r="A974" t="s">
        <v>1967</v>
      </c>
      <c r="B974" t="s">
        <v>3821</v>
      </c>
      <c r="C974" t="s">
        <v>3822</v>
      </c>
      <c r="D974" t="s">
        <v>11</v>
      </c>
      <c r="E974" t="s">
        <v>13</v>
      </c>
      <c r="F974" t="s">
        <v>1970</v>
      </c>
      <c r="G974" t="s">
        <v>12</v>
      </c>
      <c r="I974" t="s">
        <v>3821</v>
      </c>
      <c r="J974" t="s">
        <v>5163</v>
      </c>
      <c r="K974" s="11">
        <v>19.226011570523593</v>
      </c>
      <c r="L974" s="9">
        <v>0.1553684494872023</v>
      </c>
      <c r="M974" s="11">
        <v>25.05500116982472</v>
      </c>
      <c r="N974" s="11">
        <v>27.560501286807195</v>
      </c>
    </row>
    <row r="975" spans="1:14">
      <c r="A975" t="s">
        <v>1967</v>
      </c>
      <c r="B975" t="s">
        <v>3823</v>
      </c>
      <c r="C975" t="s">
        <v>3824</v>
      </c>
      <c r="D975" t="s">
        <v>11</v>
      </c>
      <c r="E975" t="s">
        <v>13</v>
      </c>
      <c r="F975" t="s">
        <v>1970</v>
      </c>
      <c r="G975" t="s">
        <v>12</v>
      </c>
      <c r="I975" t="s">
        <v>3823</v>
      </c>
      <c r="J975" t="s">
        <v>5164</v>
      </c>
      <c r="K975" s="11">
        <v>17.837936734888999</v>
      </c>
      <c r="L975" s="9">
        <v>0.15663285234326449</v>
      </c>
      <c r="M975" s="11">
        <v>34.331321225144883</v>
      </c>
      <c r="N975" s="11">
        <v>37.764453347659376</v>
      </c>
    </row>
    <row r="976" spans="1:14">
      <c r="A976" t="s">
        <v>1967</v>
      </c>
      <c r="B976" t="s">
        <v>3825</v>
      </c>
      <c r="C976" t="s">
        <v>3826</v>
      </c>
      <c r="D976" t="s">
        <v>11</v>
      </c>
      <c r="E976" t="s">
        <v>13</v>
      </c>
      <c r="F976" t="s">
        <v>1970</v>
      </c>
      <c r="G976" t="s">
        <v>12</v>
      </c>
      <c r="I976" t="s">
        <v>3825</v>
      </c>
      <c r="J976" t="s">
        <v>5165</v>
      </c>
      <c r="K976" s="11">
        <v>18.138728081983871</v>
      </c>
      <c r="L976" s="9">
        <v>0.15980808048922129</v>
      </c>
      <c r="M976" s="11">
        <v>28.704285309114056</v>
      </c>
      <c r="N976" s="11">
        <v>31.574713840025463</v>
      </c>
    </row>
    <row r="977" spans="1:14">
      <c r="A977" t="s">
        <v>1967</v>
      </c>
      <c r="B977" t="s">
        <v>3827</v>
      </c>
      <c r="C977" t="s">
        <v>3828</v>
      </c>
      <c r="D977" t="s">
        <v>11</v>
      </c>
      <c r="E977" t="s">
        <v>13</v>
      </c>
      <c r="F977" t="s">
        <v>1970</v>
      </c>
      <c r="G977" t="s">
        <v>12</v>
      </c>
      <c r="I977" t="s">
        <v>3827</v>
      </c>
      <c r="J977" t="s">
        <v>5166</v>
      </c>
      <c r="K977" s="9">
        <v>6.622170645968275</v>
      </c>
      <c r="L977" s="9">
        <v>0.1597946247034723</v>
      </c>
      <c r="M977" s="11">
        <v>18.505718612902417</v>
      </c>
      <c r="N977" s="11">
        <v>20.356290474192662</v>
      </c>
    </row>
    <row r="978" spans="1:14">
      <c r="A978" t="s">
        <v>1967</v>
      </c>
      <c r="B978" t="s">
        <v>3829</v>
      </c>
      <c r="C978" t="s">
        <v>3830</v>
      </c>
      <c r="D978" t="s">
        <v>11</v>
      </c>
      <c r="E978" t="s">
        <v>13</v>
      </c>
      <c r="F978" t="s">
        <v>1970</v>
      </c>
      <c r="G978" t="s">
        <v>12</v>
      </c>
      <c r="I978" t="s">
        <v>3829</v>
      </c>
      <c r="J978" t="s">
        <v>5167</v>
      </c>
      <c r="K978" s="9">
        <v>8.2958286924185369</v>
      </c>
      <c r="L978" s="9">
        <v>0.1488230359732742</v>
      </c>
      <c r="M978" s="11">
        <v>35.032046767114991</v>
      </c>
      <c r="N978" s="11">
        <v>38.535251443826496</v>
      </c>
    </row>
    <row r="979" spans="1:14">
      <c r="A979" t="s">
        <v>1967</v>
      </c>
      <c r="B979" t="s">
        <v>3831</v>
      </c>
      <c r="C979" t="s">
        <v>3832</v>
      </c>
      <c r="D979" t="s">
        <v>11</v>
      </c>
      <c r="E979" t="s">
        <v>13</v>
      </c>
      <c r="F979" t="s">
        <v>1970</v>
      </c>
      <c r="G979" t="s">
        <v>12</v>
      </c>
      <c r="I979" t="s">
        <v>3831</v>
      </c>
      <c r="J979" t="s">
        <v>5168</v>
      </c>
      <c r="K979" s="9">
        <v>0.7211437144528825</v>
      </c>
      <c r="L979" s="9">
        <v>0.15325442644912771</v>
      </c>
      <c r="M979" s="11">
        <v>60.119737749280873</v>
      </c>
      <c r="N979" s="11">
        <v>66.131711524208967</v>
      </c>
    </row>
    <row r="980" spans="1:14">
      <c r="A980" t="s">
        <v>1967</v>
      </c>
      <c r="B980" t="s">
        <v>3833</v>
      </c>
      <c r="C980" t="s">
        <v>3834</v>
      </c>
      <c r="D980" t="s">
        <v>11</v>
      </c>
      <c r="E980" t="s">
        <v>13</v>
      </c>
      <c r="F980" t="s">
        <v>1970</v>
      </c>
      <c r="G980" t="s">
        <v>12</v>
      </c>
      <c r="I980" t="s">
        <v>3833</v>
      </c>
      <c r="J980" t="s">
        <v>5169</v>
      </c>
      <c r="K980" s="9">
        <v>6.2732817766128202</v>
      </c>
      <c r="L980" s="9">
        <v>0.1516048482736149</v>
      </c>
      <c r="M980" s="11">
        <v>38.3946710644557</v>
      </c>
      <c r="N980" s="11">
        <v>42.234138170901275</v>
      </c>
    </row>
    <row r="981" spans="1:14">
      <c r="A981" t="s">
        <v>1967</v>
      </c>
      <c r="B981" t="s">
        <v>3835</v>
      </c>
      <c r="C981" t="s">
        <v>3836</v>
      </c>
      <c r="D981" t="s">
        <v>11</v>
      </c>
      <c r="E981" t="s">
        <v>13</v>
      </c>
      <c r="F981" t="s">
        <v>1970</v>
      </c>
      <c r="G981" t="s">
        <v>12</v>
      </c>
      <c r="I981" t="s">
        <v>3835</v>
      </c>
      <c r="J981" t="s">
        <v>5170</v>
      </c>
      <c r="K981" s="9">
        <v>0.51583049850696938</v>
      </c>
      <c r="L981" s="9">
        <v>0.15355690506231379</v>
      </c>
      <c r="M981" s="11">
        <v>51.89989527624769</v>
      </c>
      <c r="N981" s="11">
        <v>57.089884803872465</v>
      </c>
    </row>
    <row r="982" spans="1:14">
      <c r="A982" t="s">
        <v>1967</v>
      </c>
      <c r="B982" t="s">
        <v>3837</v>
      </c>
      <c r="C982" t="s">
        <v>3838</v>
      </c>
      <c r="D982" t="s">
        <v>11</v>
      </c>
      <c r="E982" t="s">
        <v>13</v>
      </c>
      <c r="F982" t="s">
        <v>1970</v>
      </c>
      <c r="G982" t="s">
        <v>12</v>
      </c>
      <c r="I982" t="s">
        <v>3837</v>
      </c>
      <c r="J982" t="s">
        <v>5171</v>
      </c>
      <c r="K982" s="9">
        <v>1.2365248311039378</v>
      </c>
      <c r="L982" s="9">
        <v>0.14163199635885149</v>
      </c>
      <c r="M982" s="11">
        <v>44.948924083391347</v>
      </c>
      <c r="N982" s="11">
        <v>49.443816491730487</v>
      </c>
    </row>
    <row r="983" spans="1:14">
      <c r="A983" t="s">
        <v>1967</v>
      </c>
      <c r="B983" t="s">
        <v>3839</v>
      </c>
      <c r="C983" t="s">
        <v>3840</v>
      </c>
      <c r="D983" t="s">
        <v>11</v>
      </c>
      <c r="E983" t="s">
        <v>13</v>
      </c>
      <c r="F983" t="s">
        <v>1970</v>
      </c>
      <c r="G983" t="s">
        <v>12</v>
      </c>
      <c r="I983" t="s">
        <v>3839</v>
      </c>
      <c r="J983" t="s">
        <v>5172</v>
      </c>
      <c r="K983" s="11">
        <v>19.385457587733701</v>
      </c>
      <c r="L983" s="9">
        <v>0.25496472163262718</v>
      </c>
      <c r="M983" s="11">
        <v>93.1547089372024</v>
      </c>
      <c r="N983" s="10">
        <v>102.47017983092265</v>
      </c>
    </row>
    <row r="984" spans="1:14">
      <c r="A984" t="s">
        <v>1967</v>
      </c>
      <c r="B984" t="s">
        <v>3841</v>
      </c>
      <c r="C984" t="s">
        <v>3842</v>
      </c>
      <c r="D984" t="s">
        <v>11</v>
      </c>
      <c r="E984" t="s">
        <v>13</v>
      </c>
      <c r="F984" t="s">
        <v>1970</v>
      </c>
      <c r="G984" t="s">
        <v>12</v>
      </c>
      <c r="I984" t="s">
        <v>3841</v>
      </c>
      <c r="J984" t="s">
        <v>5173</v>
      </c>
      <c r="K984" s="11">
        <v>10.044433182427941</v>
      </c>
      <c r="L984" s="9">
        <v>0.24145788450554659</v>
      </c>
      <c r="M984" s="11">
        <v>38.049360282903059</v>
      </c>
      <c r="N984" s="11">
        <v>41.854296311193366</v>
      </c>
    </row>
    <row r="985" spans="1:14">
      <c r="A985" t="s">
        <v>1967</v>
      </c>
      <c r="B985" t="s">
        <v>3843</v>
      </c>
      <c r="C985" t="s">
        <v>3844</v>
      </c>
      <c r="D985" t="s">
        <v>11</v>
      </c>
      <c r="E985" t="s">
        <v>13</v>
      </c>
      <c r="F985" t="s">
        <v>1970</v>
      </c>
      <c r="G985" t="s">
        <v>12</v>
      </c>
      <c r="I985" t="s">
        <v>3843</v>
      </c>
      <c r="J985" t="s">
        <v>5174</v>
      </c>
      <c r="K985" s="11">
        <v>39.021192292462366</v>
      </c>
      <c r="L985" s="9">
        <v>0.26379063269697139</v>
      </c>
      <c r="M985" s="11">
        <v>69.894037409049545</v>
      </c>
      <c r="N985" s="11">
        <v>76.883441149954507</v>
      </c>
    </row>
    <row r="986" spans="1:14">
      <c r="A986" t="s">
        <v>1967</v>
      </c>
      <c r="B986" t="s">
        <v>3845</v>
      </c>
      <c r="C986" t="s">
        <v>3846</v>
      </c>
      <c r="D986" t="s">
        <v>11</v>
      </c>
      <c r="E986" t="s">
        <v>13</v>
      </c>
      <c r="F986" t="s">
        <v>1970</v>
      </c>
      <c r="G986" t="s">
        <v>12</v>
      </c>
      <c r="I986" t="s">
        <v>3845</v>
      </c>
      <c r="J986" t="s">
        <v>5175</v>
      </c>
      <c r="K986" s="11">
        <v>38.32504286129425</v>
      </c>
      <c r="L986" s="9">
        <v>0.2498102587588775</v>
      </c>
      <c r="M986" s="11">
        <v>67.594383259472409</v>
      </c>
      <c r="N986" s="11">
        <v>74.353821585419652</v>
      </c>
    </row>
    <row r="987" spans="1:14">
      <c r="A987" t="s">
        <v>1967</v>
      </c>
      <c r="B987" t="s">
        <v>3847</v>
      </c>
      <c r="C987" t="s">
        <v>3848</v>
      </c>
      <c r="D987" t="s">
        <v>11</v>
      </c>
      <c r="E987" t="s">
        <v>13</v>
      </c>
      <c r="F987" t="s">
        <v>1970</v>
      </c>
      <c r="G987" t="s">
        <v>12</v>
      </c>
      <c r="I987" t="s">
        <v>3847</v>
      </c>
      <c r="J987" t="s">
        <v>5176</v>
      </c>
      <c r="K987" s="11">
        <v>46.957361596414678</v>
      </c>
      <c r="L987" s="9">
        <v>0.25962414609885948</v>
      </c>
      <c r="M987" s="11">
        <v>69.921660572773831</v>
      </c>
      <c r="N987" s="11">
        <v>76.913826630051219</v>
      </c>
    </row>
    <row r="988" spans="1:14">
      <c r="A988" t="s">
        <v>1967</v>
      </c>
      <c r="B988" t="s">
        <v>3849</v>
      </c>
      <c r="C988" t="s">
        <v>3850</v>
      </c>
      <c r="D988" t="s">
        <v>11</v>
      </c>
      <c r="E988" t="s">
        <v>13</v>
      </c>
      <c r="F988" t="s">
        <v>1970</v>
      </c>
      <c r="G988" t="s">
        <v>12</v>
      </c>
      <c r="I988" t="s">
        <v>3849</v>
      </c>
      <c r="J988" t="s">
        <v>5177</v>
      </c>
      <c r="K988" s="11">
        <v>94.257466523490436</v>
      </c>
      <c r="L988" s="9">
        <v>0.26543752558980321</v>
      </c>
      <c r="M988" s="10">
        <v>141.2179527305305</v>
      </c>
      <c r="N988" s="10">
        <v>155.33974800358357</v>
      </c>
    </row>
    <row r="989" spans="1:14">
      <c r="A989" t="s">
        <v>1967</v>
      </c>
      <c r="B989" t="s">
        <v>3851</v>
      </c>
      <c r="C989" t="s">
        <v>3852</v>
      </c>
      <c r="D989" t="s">
        <v>11</v>
      </c>
      <c r="E989" t="s">
        <v>13</v>
      </c>
      <c r="F989" t="s">
        <v>1970</v>
      </c>
      <c r="G989" t="s">
        <v>12</v>
      </c>
      <c r="I989" t="s">
        <v>3851</v>
      </c>
      <c r="J989" t="s">
        <v>5178</v>
      </c>
      <c r="K989" s="10">
        <v>158.98947161575941</v>
      </c>
      <c r="L989" s="9">
        <v>0.28800948066141968</v>
      </c>
      <c r="M989" s="10">
        <v>199.22735186281969</v>
      </c>
      <c r="N989" s="10">
        <v>219.15008704910167</v>
      </c>
    </row>
    <row r="990" spans="1:14">
      <c r="A990" t="s">
        <v>1967</v>
      </c>
      <c r="B990" t="s">
        <v>3853</v>
      </c>
      <c r="C990" t="s">
        <v>3854</v>
      </c>
      <c r="D990" t="s">
        <v>11</v>
      </c>
      <c r="E990" t="s">
        <v>13</v>
      </c>
      <c r="F990" t="s">
        <v>1970</v>
      </c>
      <c r="G990" t="s">
        <v>12</v>
      </c>
      <c r="I990" t="s">
        <v>3853</v>
      </c>
      <c r="J990" t="s">
        <v>5179</v>
      </c>
      <c r="K990" s="10">
        <v>184.63012110601989</v>
      </c>
      <c r="L990" s="9">
        <v>0.29128434681683502</v>
      </c>
      <c r="M990" s="10">
        <v>365.8865279678925</v>
      </c>
      <c r="N990" s="10">
        <v>402.4751807646818</v>
      </c>
    </row>
    <row r="991" spans="1:14">
      <c r="A991" t="s">
        <v>1967</v>
      </c>
      <c r="B991" t="s">
        <v>3855</v>
      </c>
      <c r="C991" t="s">
        <v>3856</v>
      </c>
      <c r="D991" t="s">
        <v>11</v>
      </c>
      <c r="E991" t="s">
        <v>13</v>
      </c>
      <c r="F991" t="s">
        <v>1970</v>
      </c>
      <c r="G991" t="s">
        <v>12</v>
      </c>
      <c r="I991" t="s">
        <v>3855</v>
      </c>
      <c r="J991" t="s">
        <v>5180</v>
      </c>
      <c r="K991" s="10">
        <v>172.74820859578699</v>
      </c>
      <c r="L991" s="9">
        <v>0.28701847254140062</v>
      </c>
      <c r="M991" s="10">
        <v>472.31966197281611</v>
      </c>
      <c r="N991" s="10">
        <v>519.55162817009773</v>
      </c>
    </row>
    <row r="992" spans="1:14">
      <c r="A992" t="s">
        <v>1967</v>
      </c>
      <c r="B992" t="s">
        <v>3857</v>
      </c>
      <c r="C992" t="s">
        <v>3858</v>
      </c>
      <c r="D992" t="s">
        <v>11</v>
      </c>
      <c r="E992" t="s">
        <v>13</v>
      </c>
      <c r="F992" t="s">
        <v>1970</v>
      </c>
      <c r="G992" t="s">
        <v>12</v>
      </c>
      <c r="I992" t="s">
        <v>3857</v>
      </c>
      <c r="J992" t="s">
        <v>5181</v>
      </c>
      <c r="K992" s="11">
        <v>51.639343807450558</v>
      </c>
      <c r="L992" s="9">
        <v>0.26627165619264448</v>
      </c>
      <c r="M992" s="10">
        <v>107.91949988685349</v>
      </c>
      <c r="N992" s="10">
        <v>118.71144987553885</v>
      </c>
    </row>
    <row r="993" spans="1:14">
      <c r="A993" t="s">
        <v>1967</v>
      </c>
      <c r="B993" t="s">
        <v>3859</v>
      </c>
      <c r="C993" t="s">
        <v>3852</v>
      </c>
      <c r="D993" t="s">
        <v>11</v>
      </c>
      <c r="E993" t="s">
        <v>13</v>
      </c>
      <c r="F993" t="s">
        <v>1970</v>
      </c>
      <c r="G993" t="s">
        <v>12</v>
      </c>
      <c r="I993" t="s">
        <v>3859</v>
      </c>
      <c r="J993" t="s">
        <v>5182</v>
      </c>
      <c r="K993" s="10">
        <v>147.039226922805</v>
      </c>
      <c r="L993" s="9">
        <v>0.28211004822839258</v>
      </c>
      <c r="M993" s="10">
        <v>280.31828402862385</v>
      </c>
      <c r="N993" s="10">
        <v>308.35011243148625</v>
      </c>
    </row>
    <row r="994" spans="1:14">
      <c r="A994" t="s">
        <v>1967</v>
      </c>
      <c r="B994" t="s">
        <v>3860</v>
      </c>
      <c r="C994" t="s">
        <v>3861</v>
      </c>
      <c r="D994" t="s">
        <v>11</v>
      </c>
      <c r="E994" t="s">
        <v>13</v>
      </c>
      <c r="F994" t="s">
        <v>1970</v>
      </c>
      <c r="G994" t="s">
        <v>12</v>
      </c>
      <c r="I994" t="s">
        <v>3860</v>
      </c>
      <c r="J994" t="s">
        <v>5183</v>
      </c>
      <c r="K994" s="11">
        <v>46.796062531449245</v>
      </c>
      <c r="L994" s="9">
        <v>0.2345033378097591</v>
      </c>
      <c r="M994" s="11">
        <v>66.53365671967974</v>
      </c>
      <c r="N994" s="11">
        <v>73.187022391647716</v>
      </c>
    </row>
    <row r="995" spans="1:14">
      <c r="A995" t="s">
        <v>1967</v>
      </c>
      <c r="B995" t="s">
        <v>3862</v>
      </c>
      <c r="C995" t="s">
        <v>3863</v>
      </c>
      <c r="D995" t="s">
        <v>11</v>
      </c>
      <c r="E995" t="s">
        <v>13</v>
      </c>
      <c r="F995" t="s">
        <v>1970</v>
      </c>
      <c r="G995" t="s">
        <v>12</v>
      </c>
      <c r="I995" t="s">
        <v>3862</v>
      </c>
      <c r="J995" t="s">
        <v>5184</v>
      </c>
      <c r="K995" s="11">
        <v>36.114932908774691</v>
      </c>
      <c r="L995" s="9">
        <v>0.2394344200600132</v>
      </c>
      <c r="M995" s="11">
        <v>65.977768920623788</v>
      </c>
      <c r="N995" s="11">
        <v>72.575545812686173</v>
      </c>
    </row>
    <row r="996" spans="1:14">
      <c r="A996" t="s">
        <v>1967</v>
      </c>
      <c r="B996" t="s">
        <v>3864</v>
      </c>
      <c r="C996" t="s">
        <v>3865</v>
      </c>
      <c r="D996" t="s">
        <v>11</v>
      </c>
      <c r="E996" t="s">
        <v>13</v>
      </c>
      <c r="F996" t="s">
        <v>1970</v>
      </c>
      <c r="G996" t="s">
        <v>12</v>
      </c>
      <c r="I996" t="s">
        <v>3864</v>
      </c>
      <c r="J996" t="s">
        <v>5185</v>
      </c>
      <c r="K996" s="11">
        <v>86.156131996198155</v>
      </c>
      <c r="L996" s="9">
        <v>0.24130243740514051</v>
      </c>
      <c r="M996" s="10">
        <v>127.00951413392556</v>
      </c>
      <c r="N996" s="10">
        <v>139.71046554731814</v>
      </c>
    </row>
    <row r="997" spans="1:14">
      <c r="A997" t="s">
        <v>1967</v>
      </c>
      <c r="B997" t="s">
        <v>3866</v>
      </c>
      <c r="C997" t="s">
        <v>3867</v>
      </c>
      <c r="D997" t="s">
        <v>11</v>
      </c>
      <c r="E997" t="s">
        <v>13</v>
      </c>
      <c r="F997" t="s">
        <v>1970</v>
      </c>
      <c r="G997" t="s">
        <v>12</v>
      </c>
      <c r="I997" t="s">
        <v>3866</v>
      </c>
      <c r="J997" t="s">
        <v>5186</v>
      </c>
      <c r="K997" s="10">
        <v>110.09913565988604</v>
      </c>
      <c r="L997" s="9">
        <v>0.265299517363844</v>
      </c>
      <c r="M997" s="10">
        <v>159.71831755256929</v>
      </c>
      <c r="N997" s="10">
        <v>175.69014930782623</v>
      </c>
    </row>
    <row r="998" spans="1:14">
      <c r="A998" t="s">
        <v>1967</v>
      </c>
      <c r="B998" t="s">
        <v>3868</v>
      </c>
      <c r="C998" t="s">
        <v>3869</v>
      </c>
      <c r="D998" t="s">
        <v>11</v>
      </c>
      <c r="E998" t="s">
        <v>13</v>
      </c>
      <c r="F998" t="s">
        <v>1970</v>
      </c>
      <c r="G998" t="s">
        <v>12</v>
      </c>
      <c r="I998" t="s">
        <v>3868</v>
      </c>
      <c r="J998" t="s">
        <v>5187</v>
      </c>
      <c r="K998" s="10">
        <v>105.07862691502045</v>
      </c>
      <c r="L998" s="9">
        <v>0.23788747672251381</v>
      </c>
      <c r="M998" s="10">
        <v>198.16667077025519</v>
      </c>
      <c r="N998" s="10">
        <v>217.98333784728072</v>
      </c>
    </row>
    <row r="999" spans="1:14">
      <c r="A999" t="s">
        <v>1967</v>
      </c>
      <c r="B999" t="s">
        <v>3870</v>
      </c>
      <c r="C999" t="s">
        <v>3871</v>
      </c>
      <c r="D999" t="s">
        <v>11</v>
      </c>
      <c r="E999" t="s">
        <v>13</v>
      </c>
      <c r="F999" t="s">
        <v>1970</v>
      </c>
      <c r="G999" t="s">
        <v>12</v>
      </c>
      <c r="I999" t="s">
        <v>3870</v>
      </c>
      <c r="J999" t="s">
        <v>5188</v>
      </c>
      <c r="K999" s="11">
        <v>28.748541672034104</v>
      </c>
      <c r="L999" s="9">
        <v>0.24524772018932681</v>
      </c>
      <c r="M999" s="10">
        <v>137.40115158551734</v>
      </c>
      <c r="N999" s="10">
        <v>151.1412667440691</v>
      </c>
    </row>
    <row r="1000" spans="1:14">
      <c r="A1000" t="s">
        <v>1967</v>
      </c>
      <c r="B1000" t="s">
        <v>3872</v>
      </c>
      <c r="C1000" t="s">
        <v>3873</v>
      </c>
      <c r="D1000" t="s">
        <v>11</v>
      </c>
      <c r="E1000" t="s">
        <v>13</v>
      </c>
      <c r="F1000" t="s">
        <v>1970</v>
      </c>
      <c r="G1000" t="s">
        <v>12</v>
      </c>
      <c r="I1000" t="s">
        <v>3872</v>
      </c>
      <c r="J1000" t="s">
        <v>5189</v>
      </c>
      <c r="K1000" s="11">
        <v>55.67454447622692</v>
      </c>
      <c r="L1000" s="9">
        <v>0.262333571670405</v>
      </c>
      <c r="M1000" s="11">
        <v>88.739301388014141</v>
      </c>
      <c r="N1000" s="11">
        <v>97.613231526815568</v>
      </c>
    </row>
    <row r="1001" spans="1:14">
      <c r="A1001" t="s">
        <v>1967</v>
      </c>
      <c r="B1001" t="s">
        <v>3874</v>
      </c>
      <c r="C1001" t="s">
        <v>3875</v>
      </c>
      <c r="D1001" t="s">
        <v>11</v>
      </c>
      <c r="E1001" t="s">
        <v>13</v>
      </c>
      <c r="F1001" t="s">
        <v>1970</v>
      </c>
      <c r="G1001" t="s">
        <v>12</v>
      </c>
      <c r="I1001" t="s">
        <v>3874</v>
      </c>
      <c r="J1001" t="s">
        <v>5190</v>
      </c>
      <c r="K1001" s="11">
        <v>50.970690395974977</v>
      </c>
      <c r="L1001" s="9">
        <v>0.22361994208984751</v>
      </c>
      <c r="M1001" s="10">
        <v>143.38751132582797</v>
      </c>
      <c r="N1001" s="10">
        <v>157.72626245841079</v>
      </c>
    </row>
    <row r="1002" spans="1:14">
      <c r="A1002" t="s">
        <v>1967</v>
      </c>
      <c r="B1002" t="s">
        <v>3876</v>
      </c>
      <c r="C1002" t="s">
        <v>3877</v>
      </c>
      <c r="D1002" t="s">
        <v>11</v>
      </c>
      <c r="E1002" t="s">
        <v>13</v>
      </c>
      <c r="F1002" t="s">
        <v>1970</v>
      </c>
      <c r="G1002" t="s">
        <v>12</v>
      </c>
      <c r="I1002" t="s">
        <v>3876</v>
      </c>
      <c r="J1002" t="s">
        <v>5191</v>
      </c>
      <c r="K1002" s="11">
        <v>21.890088880007639</v>
      </c>
      <c r="L1002" s="9">
        <v>0.19376607669870749</v>
      </c>
      <c r="M1002" s="11">
        <v>68.509923211630849</v>
      </c>
      <c r="N1002" s="11">
        <v>75.360915532793939</v>
      </c>
    </row>
    <row r="1003" spans="1:14">
      <c r="A1003" t="s">
        <v>1967</v>
      </c>
      <c r="B1003" t="s">
        <v>3878</v>
      </c>
      <c r="C1003" t="s">
        <v>3879</v>
      </c>
      <c r="D1003" t="s">
        <v>11</v>
      </c>
      <c r="E1003" t="s">
        <v>13</v>
      </c>
      <c r="F1003" t="s">
        <v>1970</v>
      </c>
      <c r="G1003" t="s">
        <v>12</v>
      </c>
      <c r="I1003" t="s">
        <v>3878</v>
      </c>
      <c r="J1003" t="s">
        <v>5192</v>
      </c>
      <c r="K1003" s="11">
        <v>27.63431118436441</v>
      </c>
      <c r="L1003" s="9">
        <v>0.21066612494734199</v>
      </c>
      <c r="M1003" s="11">
        <v>46.658315146417337</v>
      </c>
      <c r="N1003" s="11">
        <v>51.324146661059075</v>
      </c>
    </row>
    <row r="1004" spans="1:14">
      <c r="A1004" t="s">
        <v>1967</v>
      </c>
      <c r="B1004" t="s">
        <v>3880</v>
      </c>
      <c r="C1004" t="s">
        <v>3881</v>
      </c>
      <c r="D1004" t="s">
        <v>11</v>
      </c>
      <c r="E1004" t="s">
        <v>13</v>
      </c>
      <c r="F1004" t="s">
        <v>1970</v>
      </c>
      <c r="G1004" t="s">
        <v>12</v>
      </c>
      <c r="I1004" t="s">
        <v>3880</v>
      </c>
      <c r="J1004" t="s">
        <v>5193</v>
      </c>
      <c r="K1004" s="11">
        <v>34.11288523975395</v>
      </c>
      <c r="L1004" s="9">
        <v>0.20279768587840269</v>
      </c>
      <c r="M1004" s="11">
        <v>58.855675888444544</v>
      </c>
      <c r="N1004" s="11">
        <v>64.741243477289004</v>
      </c>
    </row>
    <row r="1005" spans="1:14">
      <c r="A1005" t="s">
        <v>1967</v>
      </c>
      <c r="B1005" t="s">
        <v>3882</v>
      </c>
      <c r="C1005" t="s">
        <v>3883</v>
      </c>
      <c r="D1005" t="s">
        <v>11</v>
      </c>
      <c r="E1005" t="s">
        <v>13</v>
      </c>
      <c r="F1005" t="s">
        <v>1970</v>
      </c>
      <c r="G1005" t="s">
        <v>12</v>
      </c>
      <c r="I1005" t="s">
        <v>3882</v>
      </c>
      <c r="J1005" t="s">
        <v>5194</v>
      </c>
      <c r="K1005" s="10">
        <v>128.43092498890852</v>
      </c>
      <c r="L1005" s="9">
        <v>0.20334843218656379</v>
      </c>
      <c r="M1005" s="11">
        <v>79.197935230649662</v>
      </c>
      <c r="N1005" s="11">
        <v>87.11772875371463</v>
      </c>
    </row>
    <row r="1006" spans="1:14">
      <c r="A1006" t="s">
        <v>1967</v>
      </c>
      <c r="B1006" t="s">
        <v>3884</v>
      </c>
      <c r="C1006" t="s">
        <v>3885</v>
      </c>
      <c r="D1006" t="s">
        <v>11</v>
      </c>
      <c r="E1006" t="s">
        <v>13</v>
      </c>
      <c r="F1006" t="s">
        <v>1970</v>
      </c>
      <c r="G1006" t="s">
        <v>12</v>
      </c>
      <c r="I1006" t="s">
        <v>3884</v>
      </c>
      <c r="J1006" t="s">
        <v>5195</v>
      </c>
      <c r="K1006" s="11">
        <v>42.42316355985858</v>
      </c>
      <c r="L1006" s="9">
        <v>0.20388985122284331</v>
      </c>
      <c r="M1006" s="10">
        <v>163.01726950624291</v>
      </c>
      <c r="N1006" s="10">
        <v>179.31899645686721</v>
      </c>
    </row>
    <row r="1007" spans="1:14">
      <c r="A1007" t="s">
        <v>1967</v>
      </c>
      <c r="B1007" t="s">
        <v>3886</v>
      </c>
      <c r="C1007" t="s">
        <v>3887</v>
      </c>
      <c r="D1007" t="s">
        <v>11</v>
      </c>
      <c r="E1007" t="s">
        <v>13</v>
      </c>
      <c r="F1007" t="s">
        <v>1970</v>
      </c>
      <c r="G1007" t="s">
        <v>12</v>
      </c>
      <c r="I1007" t="s">
        <v>3886</v>
      </c>
      <c r="J1007" t="s">
        <v>5196</v>
      </c>
      <c r="K1007" s="11">
        <v>44.83988578462008</v>
      </c>
      <c r="L1007" s="9">
        <v>0.1991268669444316</v>
      </c>
      <c r="M1007" s="10">
        <v>106.42113922682174</v>
      </c>
      <c r="N1007" s="10">
        <v>117.06325314950392</v>
      </c>
    </row>
    <row r="1008" spans="1:14">
      <c r="A1008" t="s">
        <v>1967</v>
      </c>
      <c r="B1008" t="s">
        <v>3888</v>
      </c>
      <c r="C1008" t="s">
        <v>3889</v>
      </c>
      <c r="D1008" t="s">
        <v>11</v>
      </c>
      <c r="E1008" t="s">
        <v>13</v>
      </c>
      <c r="F1008" t="s">
        <v>1970</v>
      </c>
      <c r="G1008" t="s">
        <v>12</v>
      </c>
      <c r="I1008" t="s">
        <v>3888</v>
      </c>
      <c r="J1008" t="s">
        <v>5197</v>
      </c>
      <c r="K1008" s="9">
        <v>4.8424006972025975</v>
      </c>
      <c r="L1008" s="9">
        <v>0.19485909278487229</v>
      </c>
      <c r="M1008" s="10">
        <v>169.80561101441515</v>
      </c>
      <c r="N1008" s="10">
        <v>186.78617211585669</v>
      </c>
    </row>
    <row r="1009" spans="1:14">
      <c r="A1009" t="s">
        <v>1967</v>
      </c>
      <c r="B1009" t="s">
        <v>3890</v>
      </c>
      <c r="C1009" t="s">
        <v>3891</v>
      </c>
      <c r="D1009" t="s">
        <v>11</v>
      </c>
      <c r="E1009" t="s">
        <v>13</v>
      </c>
      <c r="F1009" t="s">
        <v>1970</v>
      </c>
      <c r="G1009" t="s">
        <v>12</v>
      </c>
      <c r="I1009" t="s">
        <v>3890</v>
      </c>
      <c r="J1009" t="s">
        <v>5198</v>
      </c>
      <c r="K1009" s="11">
        <v>18.899980289771065</v>
      </c>
      <c r="L1009" s="9">
        <v>0.1916814947893811</v>
      </c>
      <c r="M1009" s="11">
        <v>68.476705768348339</v>
      </c>
      <c r="N1009" s="11">
        <v>75.324376345183182</v>
      </c>
    </row>
    <row r="1010" spans="1:14">
      <c r="A1010" t="s">
        <v>1967</v>
      </c>
      <c r="B1010" t="s">
        <v>3892</v>
      </c>
      <c r="C1010" t="s">
        <v>3893</v>
      </c>
      <c r="D1010" t="s">
        <v>11</v>
      </c>
      <c r="E1010" t="s">
        <v>13</v>
      </c>
      <c r="F1010" t="s">
        <v>1970</v>
      </c>
      <c r="G1010" t="s">
        <v>12</v>
      </c>
      <c r="I1010" t="s">
        <v>3892</v>
      </c>
      <c r="J1010" t="s">
        <v>5199</v>
      </c>
      <c r="K1010" s="11">
        <v>28.247781468798827</v>
      </c>
      <c r="L1010" s="9">
        <v>0.1991553723711747</v>
      </c>
      <c r="M1010" s="10">
        <v>125.684267549965</v>
      </c>
      <c r="N1010" s="10">
        <v>138.25269430496152</v>
      </c>
    </row>
    <row r="1011" spans="1:14">
      <c r="A1011" t="s">
        <v>1967</v>
      </c>
      <c r="B1011" t="s">
        <v>3894</v>
      </c>
      <c r="C1011" t="s">
        <v>3895</v>
      </c>
      <c r="D1011" t="s">
        <v>11</v>
      </c>
      <c r="E1011" t="s">
        <v>13</v>
      </c>
      <c r="F1011" t="s">
        <v>1970</v>
      </c>
      <c r="G1011" t="s">
        <v>12</v>
      </c>
      <c r="I1011" t="s">
        <v>3894</v>
      </c>
      <c r="J1011" t="s">
        <v>5200</v>
      </c>
      <c r="K1011" s="9">
        <v>8.8589358951598847</v>
      </c>
      <c r="L1011" s="9">
        <v>0.19880461166500971</v>
      </c>
      <c r="M1011" s="10">
        <v>119.55361512727644</v>
      </c>
      <c r="N1011" s="10">
        <v>131.50897664000411</v>
      </c>
    </row>
    <row r="1012" spans="1:14">
      <c r="A1012" t="s">
        <v>1967</v>
      </c>
      <c r="B1012" t="s">
        <v>3896</v>
      </c>
      <c r="C1012" t="s">
        <v>3897</v>
      </c>
      <c r="D1012" t="s">
        <v>11</v>
      </c>
      <c r="E1012" t="s">
        <v>13</v>
      </c>
      <c r="F1012" t="s">
        <v>1970</v>
      </c>
      <c r="G1012" t="s">
        <v>12</v>
      </c>
      <c r="I1012" t="s">
        <v>3896</v>
      </c>
      <c r="J1012" t="s">
        <v>5201</v>
      </c>
      <c r="K1012" s="9">
        <v>6.9090305721077341</v>
      </c>
      <c r="L1012" s="9">
        <v>0.18792299347614949</v>
      </c>
      <c r="M1012" s="10">
        <v>187.52304994488529</v>
      </c>
      <c r="N1012" s="10">
        <v>206.27535493937384</v>
      </c>
    </row>
    <row r="1013" spans="1:14">
      <c r="A1013" t="s">
        <v>1967</v>
      </c>
      <c r="B1013" t="s">
        <v>3898</v>
      </c>
      <c r="C1013" t="s">
        <v>3899</v>
      </c>
      <c r="D1013" t="s">
        <v>11</v>
      </c>
      <c r="E1013" t="s">
        <v>13</v>
      </c>
      <c r="F1013" t="s">
        <v>1970</v>
      </c>
      <c r="G1013" t="s">
        <v>12</v>
      </c>
      <c r="I1013" t="s">
        <v>3898</v>
      </c>
      <c r="J1013" t="s">
        <v>5202</v>
      </c>
      <c r="K1013" s="11">
        <v>73.508631778246738</v>
      </c>
      <c r="L1013" s="9">
        <v>0.20153172317276311</v>
      </c>
      <c r="M1013" s="11">
        <v>65.365579444476396</v>
      </c>
      <c r="N1013" s="11">
        <v>71.902137388924046</v>
      </c>
    </row>
    <row r="1014" spans="1:14">
      <c r="A1014" t="s">
        <v>1967</v>
      </c>
      <c r="B1014" t="s">
        <v>3900</v>
      </c>
      <c r="C1014" t="s">
        <v>3901</v>
      </c>
      <c r="D1014" t="s">
        <v>11</v>
      </c>
      <c r="E1014" t="s">
        <v>13</v>
      </c>
      <c r="F1014" t="s">
        <v>1970</v>
      </c>
      <c r="G1014" t="s">
        <v>12</v>
      </c>
      <c r="I1014" t="s">
        <v>3900</v>
      </c>
      <c r="J1014" t="s">
        <v>5203</v>
      </c>
      <c r="K1014" s="9">
        <v>2.4150167199028125</v>
      </c>
      <c r="L1014" s="9">
        <v>0.23793904942372479</v>
      </c>
      <c r="M1014" s="11">
        <v>73.297888679377436</v>
      </c>
      <c r="N1014" s="11">
        <v>80.627677547315187</v>
      </c>
    </row>
    <row r="1015" spans="1:14">
      <c r="A1015" t="s">
        <v>1967</v>
      </c>
      <c r="B1015" t="s">
        <v>3902</v>
      </c>
      <c r="C1015" t="s">
        <v>3903</v>
      </c>
      <c r="D1015" t="s">
        <v>11</v>
      </c>
      <c r="E1015" t="s">
        <v>13</v>
      </c>
      <c r="F1015" t="s">
        <v>1970</v>
      </c>
      <c r="G1015" t="s">
        <v>12</v>
      </c>
      <c r="I1015" t="s">
        <v>3902</v>
      </c>
      <c r="J1015" t="s">
        <v>5204</v>
      </c>
      <c r="K1015" s="11">
        <v>34.194698140060098</v>
      </c>
      <c r="L1015" s="9">
        <v>0.2359677695209228</v>
      </c>
      <c r="M1015" s="11">
        <v>61.387445843353802</v>
      </c>
      <c r="N1015" s="11">
        <v>67.526190427689187</v>
      </c>
    </row>
    <row r="1016" spans="1:14">
      <c r="A1016" t="s">
        <v>1967</v>
      </c>
      <c r="B1016" t="s">
        <v>3904</v>
      </c>
      <c r="C1016" t="s">
        <v>3901</v>
      </c>
      <c r="D1016" t="s">
        <v>11</v>
      </c>
      <c r="E1016" t="s">
        <v>13</v>
      </c>
      <c r="F1016" t="s">
        <v>1970</v>
      </c>
      <c r="G1016" t="s">
        <v>12</v>
      </c>
      <c r="I1016" t="s">
        <v>3904</v>
      </c>
      <c r="J1016" t="s">
        <v>5205</v>
      </c>
      <c r="K1016" s="9">
        <v>0.26718941185227185</v>
      </c>
      <c r="L1016" s="9">
        <v>0.2545761088260749</v>
      </c>
      <c r="M1016" s="11">
        <v>60.207719830958766</v>
      </c>
      <c r="N1016" s="11">
        <v>66.228491814054649</v>
      </c>
    </row>
    <row r="1017" spans="1:14">
      <c r="A1017" t="s">
        <v>1967</v>
      </c>
      <c r="B1017" t="s">
        <v>3905</v>
      </c>
      <c r="C1017" t="s">
        <v>3906</v>
      </c>
      <c r="D1017" t="s">
        <v>11</v>
      </c>
      <c r="E1017" t="s">
        <v>13</v>
      </c>
      <c r="F1017" t="s">
        <v>1970</v>
      </c>
      <c r="G1017" t="s">
        <v>12</v>
      </c>
      <c r="I1017" t="s">
        <v>3905</v>
      </c>
      <c r="J1017" t="s">
        <v>5206</v>
      </c>
      <c r="K1017" s="11">
        <v>21.918700163407358</v>
      </c>
      <c r="L1017" s="9">
        <v>0.22975405275286689</v>
      </c>
      <c r="M1017" s="11">
        <v>45.345340573610088</v>
      </c>
      <c r="N1017" s="11">
        <v>49.879874630971102</v>
      </c>
    </row>
    <row r="1018" spans="1:14">
      <c r="A1018" t="s">
        <v>1967</v>
      </c>
      <c r="B1018" t="s">
        <v>3907</v>
      </c>
      <c r="C1018" t="s">
        <v>3908</v>
      </c>
      <c r="D1018" t="s">
        <v>11</v>
      </c>
      <c r="E1018" t="s">
        <v>13</v>
      </c>
      <c r="F1018" t="s">
        <v>1970</v>
      </c>
      <c r="G1018" t="s">
        <v>12</v>
      </c>
      <c r="I1018" t="s">
        <v>3907</v>
      </c>
      <c r="J1018" t="s">
        <v>5207</v>
      </c>
      <c r="K1018" s="11">
        <v>48.86651840336058</v>
      </c>
      <c r="L1018" s="9">
        <v>0.22038272865033279</v>
      </c>
      <c r="M1018" s="10">
        <v>140.88440611179342</v>
      </c>
      <c r="N1018" s="10">
        <v>154.97284672297278</v>
      </c>
    </row>
    <row r="1019" spans="1:14">
      <c r="A1019" t="s">
        <v>1967</v>
      </c>
      <c r="B1019" t="s">
        <v>3909</v>
      </c>
      <c r="C1019" t="s">
        <v>3910</v>
      </c>
      <c r="D1019" t="s">
        <v>11</v>
      </c>
      <c r="E1019" t="s">
        <v>13</v>
      </c>
      <c r="F1019" t="s">
        <v>1970</v>
      </c>
      <c r="G1019" t="s">
        <v>12</v>
      </c>
      <c r="I1019" t="s">
        <v>3909</v>
      </c>
      <c r="J1019" t="s">
        <v>5208</v>
      </c>
      <c r="K1019" s="11">
        <v>65.601837789151702</v>
      </c>
      <c r="L1019" s="9">
        <v>0.21338984343453779</v>
      </c>
      <c r="M1019" s="10">
        <v>173.1670933000494</v>
      </c>
      <c r="N1019" s="10">
        <v>190.48380263005436</v>
      </c>
    </row>
    <row r="1020" spans="1:14">
      <c r="A1020" t="s">
        <v>1967</v>
      </c>
      <c r="B1020" t="s">
        <v>3911</v>
      </c>
      <c r="C1020" t="s">
        <v>3912</v>
      </c>
      <c r="D1020" t="s">
        <v>11</v>
      </c>
      <c r="E1020" t="s">
        <v>13</v>
      </c>
      <c r="F1020" t="s">
        <v>1970</v>
      </c>
      <c r="G1020" t="s">
        <v>12</v>
      </c>
      <c r="I1020" t="s">
        <v>3911</v>
      </c>
      <c r="J1020" t="s">
        <v>5209</v>
      </c>
      <c r="K1020" s="11">
        <v>87.101990219950139</v>
      </c>
      <c r="L1020" s="9">
        <v>0.24046628329329839</v>
      </c>
      <c r="M1020" s="10">
        <v>126.45916402729092</v>
      </c>
      <c r="N1020" s="10">
        <v>139.10508043002002</v>
      </c>
    </row>
    <row r="1021" spans="1:14">
      <c r="A1021" t="s">
        <v>1967</v>
      </c>
      <c r="B1021" t="s">
        <v>3913</v>
      </c>
      <c r="C1021" t="s">
        <v>3914</v>
      </c>
      <c r="D1021" t="s">
        <v>11</v>
      </c>
      <c r="E1021" t="s">
        <v>13</v>
      </c>
      <c r="F1021" t="s">
        <v>1970</v>
      </c>
      <c r="G1021" t="s">
        <v>12</v>
      </c>
      <c r="I1021" t="s">
        <v>3913</v>
      </c>
      <c r="J1021" t="s">
        <v>5210</v>
      </c>
      <c r="K1021" s="11">
        <v>94.421061631779082</v>
      </c>
      <c r="L1021" s="9">
        <v>0.2380400653766209</v>
      </c>
      <c r="M1021" s="11">
        <v>96.371383001811623</v>
      </c>
      <c r="N1021" s="10">
        <v>106.0085213019928</v>
      </c>
    </row>
    <row r="1022" spans="1:14">
      <c r="A1022" t="s">
        <v>1967</v>
      </c>
      <c r="B1022" t="s">
        <v>3915</v>
      </c>
      <c r="C1022" t="s">
        <v>3916</v>
      </c>
      <c r="D1022" t="s">
        <v>11</v>
      </c>
      <c r="E1022" t="s">
        <v>13</v>
      </c>
      <c r="F1022" t="s">
        <v>1970</v>
      </c>
      <c r="G1022" t="s">
        <v>12</v>
      </c>
      <c r="I1022" t="s">
        <v>3915</v>
      </c>
      <c r="J1022" t="s">
        <v>5211</v>
      </c>
      <c r="K1022" s="11">
        <v>78.755688494399919</v>
      </c>
      <c r="L1022" s="9">
        <v>0.2386914673410386</v>
      </c>
      <c r="M1022" s="10">
        <v>156.48411755193891</v>
      </c>
      <c r="N1022" s="10">
        <v>172.13252930713281</v>
      </c>
    </row>
    <row r="1023" spans="1:14">
      <c r="A1023" t="s">
        <v>1967</v>
      </c>
      <c r="B1023" t="s">
        <v>3917</v>
      </c>
      <c r="C1023" t="s">
        <v>3918</v>
      </c>
      <c r="D1023" t="s">
        <v>11</v>
      </c>
      <c r="E1023" t="s">
        <v>13</v>
      </c>
      <c r="F1023" t="s">
        <v>1970</v>
      </c>
      <c r="G1023" t="s">
        <v>12</v>
      </c>
      <c r="I1023" t="s">
        <v>3917</v>
      </c>
      <c r="J1023" t="s">
        <v>5212</v>
      </c>
      <c r="K1023" s="10">
        <v>118.13748692265128</v>
      </c>
      <c r="L1023" s="9">
        <v>0.22109112690813329</v>
      </c>
      <c r="M1023" s="10">
        <v>206.36595159787177</v>
      </c>
      <c r="N1023" s="10">
        <v>227.00254675765896</v>
      </c>
    </row>
    <row r="1024" spans="1:14">
      <c r="A1024" t="s">
        <v>1967</v>
      </c>
      <c r="B1024" t="s">
        <v>3919</v>
      </c>
      <c r="C1024" t="s">
        <v>3920</v>
      </c>
      <c r="D1024" t="s">
        <v>11</v>
      </c>
      <c r="E1024" t="s">
        <v>13</v>
      </c>
      <c r="F1024" t="s">
        <v>1970</v>
      </c>
      <c r="G1024" t="s">
        <v>12</v>
      </c>
      <c r="I1024" t="s">
        <v>3919</v>
      </c>
      <c r="J1024" t="s">
        <v>5213</v>
      </c>
      <c r="K1024" s="11">
        <v>51.909312696370399</v>
      </c>
      <c r="L1024" s="9">
        <v>0.22754706802106389</v>
      </c>
      <c r="M1024" s="10">
        <v>167.98498899343247</v>
      </c>
      <c r="N1024" s="10">
        <v>184.78348789277572</v>
      </c>
    </row>
    <row r="1025" spans="1:14">
      <c r="A1025" t="s">
        <v>1967</v>
      </c>
      <c r="B1025" t="s">
        <v>3921</v>
      </c>
      <c r="C1025" t="s">
        <v>3920</v>
      </c>
      <c r="D1025" t="s">
        <v>11</v>
      </c>
      <c r="E1025" t="s">
        <v>13</v>
      </c>
      <c r="F1025" t="s">
        <v>1970</v>
      </c>
      <c r="G1025" t="s">
        <v>12</v>
      </c>
      <c r="I1025" t="s">
        <v>3921</v>
      </c>
      <c r="J1025" t="s">
        <v>5214</v>
      </c>
      <c r="K1025" s="11">
        <v>64.884305800533198</v>
      </c>
      <c r="L1025" s="9">
        <v>0.2349256001968334</v>
      </c>
      <c r="M1025" s="10">
        <v>187.33383321350189</v>
      </c>
      <c r="N1025" s="10">
        <v>206.06721653485209</v>
      </c>
    </row>
    <row r="1026" spans="1:14">
      <c r="A1026" t="s">
        <v>1967</v>
      </c>
      <c r="B1026" t="s">
        <v>3922</v>
      </c>
      <c r="C1026" t="s">
        <v>3923</v>
      </c>
      <c r="D1026" t="s">
        <v>11</v>
      </c>
      <c r="E1026" t="s">
        <v>13</v>
      </c>
      <c r="F1026" t="s">
        <v>1970</v>
      </c>
      <c r="G1026" t="s">
        <v>12</v>
      </c>
      <c r="I1026" t="s">
        <v>3922</v>
      </c>
      <c r="J1026" t="s">
        <v>5215</v>
      </c>
      <c r="K1026" s="11">
        <v>76.602794825761919</v>
      </c>
      <c r="L1026" s="9">
        <v>0.2304249464994754</v>
      </c>
      <c r="M1026" s="10">
        <v>184.63077708296532</v>
      </c>
      <c r="N1026" s="10">
        <v>203.09385479126186</v>
      </c>
    </row>
    <row r="1027" spans="1:14">
      <c r="A1027" t="s">
        <v>1967</v>
      </c>
      <c r="B1027" t="s">
        <v>3924</v>
      </c>
      <c r="C1027" t="s">
        <v>3925</v>
      </c>
      <c r="D1027" t="s">
        <v>11</v>
      </c>
      <c r="E1027" t="s">
        <v>13</v>
      </c>
      <c r="F1027" t="s">
        <v>1970</v>
      </c>
      <c r="G1027" t="s">
        <v>12</v>
      </c>
      <c r="I1027" t="s">
        <v>3924</v>
      </c>
      <c r="J1027" t="s">
        <v>5216</v>
      </c>
      <c r="K1027" s="11">
        <v>88.130981849634907</v>
      </c>
      <c r="L1027" s="9">
        <v>0.2611997958666506</v>
      </c>
      <c r="M1027" s="10">
        <v>134.94446055444817</v>
      </c>
      <c r="N1027" s="10">
        <v>148.438906609893</v>
      </c>
    </row>
    <row r="1028" spans="1:14">
      <c r="A1028" t="s">
        <v>1967</v>
      </c>
      <c r="B1028" t="s">
        <v>3926</v>
      </c>
      <c r="C1028" t="s">
        <v>3927</v>
      </c>
      <c r="D1028" t="s">
        <v>11</v>
      </c>
      <c r="E1028" t="s">
        <v>13</v>
      </c>
      <c r="F1028" t="s">
        <v>1970</v>
      </c>
      <c r="G1028" t="s">
        <v>12</v>
      </c>
      <c r="I1028" t="s">
        <v>3926</v>
      </c>
      <c r="J1028" t="s">
        <v>5217</v>
      </c>
      <c r="K1028" s="11">
        <v>12.264014901322986</v>
      </c>
      <c r="L1028" s="9">
        <v>0.25154225550314407</v>
      </c>
      <c r="M1028" s="11">
        <v>39.169896647272282</v>
      </c>
      <c r="N1028" s="11">
        <v>43.086886311999514</v>
      </c>
    </row>
    <row r="1029" spans="1:14">
      <c r="A1029" t="s">
        <v>1967</v>
      </c>
      <c r="B1029" t="s">
        <v>3928</v>
      </c>
      <c r="C1029" t="s">
        <v>3929</v>
      </c>
      <c r="D1029" t="s">
        <v>11</v>
      </c>
      <c r="E1029" t="s">
        <v>13</v>
      </c>
      <c r="F1029" t="s">
        <v>1970</v>
      </c>
      <c r="G1029" t="s">
        <v>12</v>
      </c>
      <c r="I1029" t="s">
        <v>3928</v>
      </c>
      <c r="J1029" t="s">
        <v>5218</v>
      </c>
      <c r="K1029" s="11">
        <v>10.131922326491416</v>
      </c>
      <c r="L1029" s="9">
        <v>0.23729298779343841</v>
      </c>
      <c r="M1029" s="11">
        <v>24.347020611107386</v>
      </c>
      <c r="N1029" s="11">
        <v>26.781722672218127</v>
      </c>
    </row>
    <row r="1030" spans="1:14">
      <c r="A1030" t="s">
        <v>1967</v>
      </c>
      <c r="B1030" t="s">
        <v>3930</v>
      </c>
      <c r="C1030" t="s">
        <v>3931</v>
      </c>
      <c r="D1030" t="s">
        <v>11</v>
      </c>
      <c r="E1030" t="s">
        <v>13</v>
      </c>
      <c r="F1030" t="s">
        <v>1970</v>
      </c>
      <c r="G1030" t="s">
        <v>12</v>
      </c>
      <c r="I1030" t="s">
        <v>3930</v>
      </c>
      <c r="J1030" t="s">
        <v>5219</v>
      </c>
      <c r="K1030" s="9">
        <v>0.52638545444602525</v>
      </c>
      <c r="L1030" s="9">
        <v>0.22520661173178361</v>
      </c>
      <c r="M1030" s="11">
        <v>16.473503529901521</v>
      </c>
      <c r="N1030" s="11">
        <v>18.120853882891673</v>
      </c>
    </row>
    <row r="1031" spans="1:14">
      <c r="A1031" t="s">
        <v>1967</v>
      </c>
      <c r="B1031" t="s">
        <v>3932</v>
      </c>
      <c r="C1031" t="s">
        <v>3933</v>
      </c>
      <c r="D1031" t="s">
        <v>11</v>
      </c>
      <c r="E1031" t="s">
        <v>13</v>
      </c>
      <c r="F1031" t="s">
        <v>1970</v>
      </c>
      <c r="G1031" t="s">
        <v>12</v>
      </c>
      <c r="I1031" t="s">
        <v>3932</v>
      </c>
      <c r="J1031" t="s">
        <v>5220</v>
      </c>
      <c r="K1031" s="9">
        <v>2.3929161257969978</v>
      </c>
      <c r="L1031" s="9">
        <v>0.2328242302664531</v>
      </c>
      <c r="M1031" s="11">
        <v>50.890108218986285</v>
      </c>
      <c r="N1031" s="11">
        <v>55.979119040884918</v>
      </c>
    </row>
    <row r="1032" spans="1:14">
      <c r="A1032" t="s">
        <v>1967</v>
      </c>
      <c r="B1032" t="s">
        <v>3934</v>
      </c>
      <c r="C1032" t="s">
        <v>3935</v>
      </c>
      <c r="D1032" t="s">
        <v>11</v>
      </c>
      <c r="E1032" t="s">
        <v>13</v>
      </c>
      <c r="F1032" t="s">
        <v>1970</v>
      </c>
      <c r="G1032" t="s">
        <v>12</v>
      </c>
      <c r="I1032" t="s">
        <v>3934</v>
      </c>
      <c r="J1032" t="s">
        <v>5221</v>
      </c>
      <c r="K1032" s="11">
        <v>12.880349075594092</v>
      </c>
      <c r="L1032" s="9">
        <v>0.2368273589723075</v>
      </c>
      <c r="M1032" s="11">
        <v>43.141773449502296</v>
      </c>
      <c r="N1032" s="11">
        <v>47.455950794452527</v>
      </c>
    </row>
    <row r="1033" spans="1:14">
      <c r="A1033" t="s">
        <v>1967</v>
      </c>
      <c r="B1033" t="s">
        <v>3936</v>
      </c>
      <c r="C1033" t="s">
        <v>3937</v>
      </c>
      <c r="D1033" t="s">
        <v>11</v>
      </c>
      <c r="E1033" t="s">
        <v>13</v>
      </c>
      <c r="F1033" t="s">
        <v>1970</v>
      </c>
      <c r="G1033" t="s">
        <v>12</v>
      </c>
      <c r="I1033" t="s">
        <v>3936</v>
      </c>
      <c r="J1033" t="s">
        <v>5222</v>
      </c>
      <c r="K1033" s="9">
        <v>2.6137234512089385</v>
      </c>
      <c r="L1033" s="9">
        <v>0.2101184692317187</v>
      </c>
      <c r="M1033" s="11">
        <v>38.941065107443272</v>
      </c>
      <c r="N1033" s="11">
        <v>42.835171618187601</v>
      </c>
    </row>
    <row r="1034" spans="1:14">
      <c r="A1034" t="s">
        <v>1967</v>
      </c>
      <c r="B1034" t="s">
        <v>3938</v>
      </c>
      <c r="C1034" t="s">
        <v>3939</v>
      </c>
      <c r="D1034" t="s">
        <v>11</v>
      </c>
      <c r="E1034" t="s">
        <v>13</v>
      </c>
      <c r="F1034" t="s">
        <v>1970</v>
      </c>
      <c r="G1034" t="s">
        <v>12</v>
      </c>
      <c r="I1034" t="s">
        <v>3938</v>
      </c>
      <c r="J1034" t="s">
        <v>5223</v>
      </c>
      <c r="K1034" s="9">
        <v>1.2777817557634572</v>
      </c>
      <c r="L1034" s="9">
        <v>0.20935099279259339</v>
      </c>
      <c r="M1034" s="11">
        <v>88.645909151566542</v>
      </c>
      <c r="N1034" s="11">
        <v>97.51050006672321</v>
      </c>
    </row>
    <row r="1035" spans="1:14">
      <c r="A1035" t="s">
        <v>1967</v>
      </c>
      <c r="B1035" t="s">
        <v>3940</v>
      </c>
      <c r="C1035" t="s">
        <v>3941</v>
      </c>
      <c r="D1035" t="s">
        <v>11</v>
      </c>
      <c r="E1035" t="s">
        <v>13</v>
      </c>
      <c r="F1035" t="s">
        <v>1970</v>
      </c>
      <c r="G1035" t="s">
        <v>12</v>
      </c>
      <c r="I1035" t="s">
        <v>3940</v>
      </c>
      <c r="J1035" t="s">
        <v>5224</v>
      </c>
      <c r="K1035" s="9">
        <v>4.1025318594776206</v>
      </c>
      <c r="L1035" s="9">
        <v>0.2055605352335613</v>
      </c>
      <c r="M1035" s="11">
        <v>53.514522468074489</v>
      </c>
      <c r="N1035" s="11">
        <v>58.865974714881943</v>
      </c>
    </row>
    <row r="1036" spans="1:14">
      <c r="A1036" t="s">
        <v>1967</v>
      </c>
      <c r="B1036" t="s">
        <v>3942</v>
      </c>
      <c r="C1036" t="s">
        <v>3943</v>
      </c>
      <c r="D1036" t="s">
        <v>11</v>
      </c>
      <c r="E1036" t="s">
        <v>13</v>
      </c>
      <c r="F1036" t="s">
        <v>1970</v>
      </c>
      <c r="G1036" t="s">
        <v>12</v>
      </c>
      <c r="I1036" t="s">
        <v>3942</v>
      </c>
      <c r="J1036" t="s">
        <v>5225</v>
      </c>
      <c r="K1036" s="9">
        <v>6.9267461261095011</v>
      </c>
      <c r="L1036" s="9">
        <v>0.25004829726259808</v>
      </c>
      <c r="M1036" s="10">
        <v>126.27550410103515</v>
      </c>
      <c r="N1036" s="10">
        <v>138.90305451113869</v>
      </c>
    </row>
    <row r="1037" spans="1:14">
      <c r="A1037" t="s">
        <v>1967</v>
      </c>
      <c r="B1037" t="s">
        <v>3944</v>
      </c>
      <c r="C1037" t="s">
        <v>3945</v>
      </c>
      <c r="D1037" t="s">
        <v>11</v>
      </c>
      <c r="E1037" t="s">
        <v>13</v>
      </c>
      <c r="F1037" t="s">
        <v>1970</v>
      </c>
      <c r="G1037" t="s">
        <v>12</v>
      </c>
      <c r="I1037" t="s">
        <v>3944</v>
      </c>
      <c r="J1037" t="s">
        <v>5226</v>
      </c>
      <c r="K1037" s="9">
        <v>6.5966171316963473</v>
      </c>
      <c r="L1037" s="9">
        <v>0.23728002755595781</v>
      </c>
      <c r="M1037" s="10">
        <v>173.26170957738421</v>
      </c>
      <c r="N1037" s="10">
        <v>190.58788053512265</v>
      </c>
    </row>
    <row r="1038" spans="1:14">
      <c r="A1038" t="s">
        <v>1967</v>
      </c>
      <c r="B1038" t="s">
        <v>3946</v>
      </c>
      <c r="C1038" t="s">
        <v>3947</v>
      </c>
      <c r="D1038" t="s">
        <v>11</v>
      </c>
      <c r="E1038" t="s">
        <v>13</v>
      </c>
      <c r="F1038" t="s">
        <v>1970</v>
      </c>
      <c r="G1038" t="s">
        <v>12</v>
      </c>
      <c r="I1038" t="s">
        <v>3946</v>
      </c>
      <c r="J1038" t="s">
        <v>5227</v>
      </c>
      <c r="K1038" s="9">
        <v>2.3084436912341881</v>
      </c>
      <c r="L1038" s="9">
        <v>0.2408930536899648</v>
      </c>
      <c r="M1038" s="11">
        <v>79.165383367535327</v>
      </c>
      <c r="N1038" s="11">
        <v>87.08192170428886</v>
      </c>
    </row>
    <row r="1039" spans="1:14">
      <c r="A1039" t="s">
        <v>1967</v>
      </c>
      <c r="B1039" t="s">
        <v>3948</v>
      </c>
      <c r="C1039" t="s">
        <v>3949</v>
      </c>
      <c r="D1039" t="s">
        <v>11</v>
      </c>
      <c r="E1039" t="s">
        <v>13</v>
      </c>
      <c r="F1039" t="s">
        <v>1970</v>
      </c>
      <c r="G1039" t="s">
        <v>12</v>
      </c>
      <c r="I1039" t="s">
        <v>3948</v>
      </c>
      <c r="J1039" t="s">
        <v>5228</v>
      </c>
      <c r="K1039" s="9">
        <v>4.6974403777075633</v>
      </c>
      <c r="L1039" s="9">
        <v>0.21786124601012841</v>
      </c>
      <c r="M1039" s="11">
        <v>74.274038902398672</v>
      </c>
      <c r="N1039" s="11">
        <v>81.701442792638545</v>
      </c>
    </row>
    <row r="1040" spans="1:14">
      <c r="A1040" t="s">
        <v>1967</v>
      </c>
      <c r="B1040" t="s">
        <v>3950</v>
      </c>
      <c r="C1040" t="s">
        <v>3951</v>
      </c>
      <c r="D1040" t="s">
        <v>11</v>
      </c>
      <c r="E1040" t="s">
        <v>13</v>
      </c>
      <c r="F1040" t="s">
        <v>1970</v>
      </c>
      <c r="G1040" t="s">
        <v>12</v>
      </c>
      <c r="I1040" t="s">
        <v>3950</v>
      </c>
      <c r="J1040" t="s">
        <v>5229</v>
      </c>
      <c r="K1040" s="11">
        <v>33.961442401637072</v>
      </c>
      <c r="L1040" s="9">
        <v>0.2460471996584119</v>
      </c>
      <c r="M1040" s="11">
        <v>57.04279416589398</v>
      </c>
      <c r="N1040" s="11">
        <v>62.747073582483381</v>
      </c>
    </row>
    <row r="1041" spans="1:14">
      <c r="A1041" t="s">
        <v>1967</v>
      </c>
      <c r="B1041" t="s">
        <v>3952</v>
      </c>
      <c r="C1041" t="s">
        <v>3953</v>
      </c>
      <c r="D1041" t="s">
        <v>11</v>
      </c>
      <c r="E1041" t="s">
        <v>13</v>
      </c>
      <c r="F1041" t="s">
        <v>1970</v>
      </c>
      <c r="G1041" t="s">
        <v>12</v>
      </c>
      <c r="I1041" t="s">
        <v>3952</v>
      </c>
      <c r="J1041" t="s">
        <v>5230</v>
      </c>
      <c r="K1041" s="11">
        <v>49.232007079925594</v>
      </c>
      <c r="L1041" s="9">
        <v>0.24291674747311989</v>
      </c>
      <c r="M1041" s="11">
        <v>39.220528084505993</v>
      </c>
      <c r="N1041" s="11">
        <v>43.142580892956595</v>
      </c>
    </row>
    <row r="1042" spans="1:14">
      <c r="A1042" t="s">
        <v>1967</v>
      </c>
      <c r="B1042" t="s">
        <v>3954</v>
      </c>
      <c r="C1042" t="s">
        <v>3955</v>
      </c>
      <c r="D1042" t="s">
        <v>11</v>
      </c>
      <c r="E1042" t="s">
        <v>13</v>
      </c>
      <c r="F1042" t="s">
        <v>1970</v>
      </c>
      <c r="G1042" t="s">
        <v>12</v>
      </c>
      <c r="I1042" t="s">
        <v>3954</v>
      </c>
      <c r="J1042" t="s">
        <v>5231</v>
      </c>
      <c r="K1042" s="9">
        <v>1.1558480135113063</v>
      </c>
      <c r="L1042" s="9">
        <v>0.1875636166204275</v>
      </c>
      <c r="M1042" s="11">
        <v>26.096403901996315</v>
      </c>
      <c r="N1042" s="11">
        <v>28.706044292195948</v>
      </c>
    </row>
    <row r="1043" spans="1:14">
      <c r="A1043" t="s">
        <v>1967</v>
      </c>
      <c r="B1043" t="s">
        <v>3956</v>
      </c>
      <c r="C1043" t="s">
        <v>3957</v>
      </c>
      <c r="D1043" t="s">
        <v>11</v>
      </c>
      <c r="E1043" t="s">
        <v>13</v>
      </c>
      <c r="F1043" t="s">
        <v>1970</v>
      </c>
      <c r="G1043" t="s">
        <v>12</v>
      </c>
      <c r="I1043" t="s">
        <v>3956</v>
      </c>
      <c r="J1043" t="s">
        <v>5232</v>
      </c>
      <c r="K1043" s="9">
        <v>0.22011118756407727</v>
      </c>
      <c r="L1043" s="9">
        <v>0.16256448779064089</v>
      </c>
      <c r="M1043" s="11">
        <v>48.188900664550637</v>
      </c>
      <c r="N1043" s="11">
        <v>53.007790731005706</v>
      </c>
    </row>
    <row r="1044" spans="1:14">
      <c r="A1044" t="s">
        <v>1967</v>
      </c>
      <c r="B1044" t="s">
        <v>3958</v>
      </c>
      <c r="C1044" t="s">
        <v>3959</v>
      </c>
      <c r="D1044" t="s">
        <v>11</v>
      </c>
      <c r="E1044" t="s">
        <v>13</v>
      </c>
      <c r="F1044" t="s">
        <v>1970</v>
      </c>
      <c r="G1044" t="s">
        <v>12</v>
      </c>
      <c r="I1044" t="s">
        <v>3958</v>
      </c>
      <c r="J1044" t="s">
        <v>5233</v>
      </c>
      <c r="K1044" s="12">
        <v>5.1988639937670951E-2</v>
      </c>
      <c r="L1044" s="9">
        <v>0.18576917432821469</v>
      </c>
      <c r="M1044" s="10">
        <v>237.29644198395303</v>
      </c>
      <c r="N1044" s="10">
        <v>261.02608618234837</v>
      </c>
    </row>
    <row r="1045" spans="1:14">
      <c r="A1045" t="s">
        <v>1967</v>
      </c>
      <c r="B1045" t="s">
        <v>3960</v>
      </c>
      <c r="C1045" t="s">
        <v>3961</v>
      </c>
      <c r="D1045" t="s">
        <v>11</v>
      </c>
      <c r="E1045" t="s">
        <v>13</v>
      </c>
      <c r="F1045" t="s">
        <v>1970</v>
      </c>
      <c r="G1045" t="s">
        <v>12</v>
      </c>
      <c r="I1045" t="s">
        <v>3960</v>
      </c>
      <c r="J1045" t="s">
        <v>5234</v>
      </c>
      <c r="K1045" s="11">
        <v>10.462226270982935</v>
      </c>
      <c r="L1045" s="9">
        <v>0.22679462480299739</v>
      </c>
      <c r="M1045" s="10">
        <v>105.071342122278</v>
      </c>
      <c r="N1045" s="10">
        <v>115.57847633450581</v>
      </c>
    </row>
    <row r="1046" spans="1:14">
      <c r="A1046" t="s">
        <v>1967</v>
      </c>
      <c r="B1046" t="s">
        <v>3962</v>
      </c>
      <c r="C1046" t="s">
        <v>3963</v>
      </c>
      <c r="D1046" t="s">
        <v>11</v>
      </c>
      <c r="E1046" t="s">
        <v>13</v>
      </c>
      <c r="F1046" t="s">
        <v>1970</v>
      </c>
      <c r="G1046" t="s">
        <v>12</v>
      </c>
      <c r="I1046" t="s">
        <v>3962</v>
      </c>
      <c r="J1046" t="s">
        <v>5235</v>
      </c>
      <c r="K1046" s="11">
        <v>34.479090289216209</v>
      </c>
      <c r="L1046" s="9">
        <v>0.2483117660000739</v>
      </c>
      <c r="M1046" s="10">
        <v>101.43768610860111</v>
      </c>
      <c r="N1046" s="10">
        <v>111.58145471946123</v>
      </c>
    </row>
    <row r="1047" spans="1:14">
      <c r="A1047" t="s">
        <v>1967</v>
      </c>
      <c r="B1047" t="s">
        <v>3964</v>
      </c>
      <c r="C1047" t="s">
        <v>3965</v>
      </c>
      <c r="D1047" t="s">
        <v>11</v>
      </c>
      <c r="E1047" t="s">
        <v>13</v>
      </c>
      <c r="F1047" t="s">
        <v>1970</v>
      </c>
      <c r="G1047" t="s">
        <v>12</v>
      </c>
      <c r="I1047" t="s">
        <v>3964</v>
      </c>
      <c r="J1047" t="s">
        <v>5236</v>
      </c>
      <c r="K1047" s="11">
        <v>44.657245258959804</v>
      </c>
      <c r="L1047" s="9">
        <v>0.2480492810746853</v>
      </c>
      <c r="M1047" s="10">
        <v>169.54866867207738</v>
      </c>
      <c r="N1047" s="10">
        <v>186.50353553928514</v>
      </c>
    </row>
    <row r="1048" spans="1:14">
      <c r="A1048" t="s">
        <v>1967</v>
      </c>
      <c r="B1048" t="s">
        <v>3966</v>
      </c>
      <c r="C1048" t="s">
        <v>3967</v>
      </c>
      <c r="D1048" t="s">
        <v>11</v>
      </c>
      <c r="E1048" t="s">
        <v>13</v>
      </c>
      <c r="F1048" t="s">
        <v>1970</v>
      </c>
      <c r="G1048" t="s">
        <v>12</v>
      </c>
      <c r="I1048" t="s">
        <v>3966</v>
      </c>
      <c r="J1048" t="s">
        <v>5237</v>
      </c>
      <c r="K1048" s="11">
        <v>38.445618206379393</v>
      </c>
      <c r="L1048" s="9">
        <v>0.23239443205103269</v>
      </c>
      <c r="M1048" s="11">
        <v>97.996522014253927</v>
      </c>
      <c r="N1048" s="10">
        <v>107.79617421567933</v>
      </c>
    </row>
    <row r="1049" spans="1:14">
      <c r="A1049" t="s">
        <v>1967</v>
      </c>
      <c r="B1049" t="s">
        <v>3968</v>
      </c>
      <c r="C1049" t="s">
        <v>3969</v>
      </c>
      <c r="D1049" t="s">
        <v>11</v>
      </c>
      <c r="E1049" t="s">
        <v>13</v>
      </c>
      <c r="F1049" t="s">
        <v>1970</v>
      </c>
      <c r="G1049" t="s">
        <v>12</v>
      </c>
      <c r="I1049" t="s">
        <v>3968</v>
      </c>
      <c r="J1049" t="s">
        <v>5238</v>
      </c>
      <c r="K1049" s="11">
        <v>66.118442840697938</v>
      </c>
      <c r="L1049" s="9">
        <v>0.2307413501348605</v>
      </c>
      <c r="M1049" s="10">
        <v>128.34763399430238</v>
      </c>
      <c r="N1049" s="10">
        <v>141.18239739373263</v>
      </c>
    </row>
    <row r="1050" spans="1:14">
      <c r="A1050" t="s">
        <v>1967</v>
      </c>
      <c r="B1050" t="s">
        <v>3970</v>
      </c>
      <c r="C1050" t="s">
        <v>3971</v>
      </c>
      <c r="D1050" t="s">
        <v>11</v>
      </c>
      <c r="E1050" t="s">
        <v>13</v>
      </c>
      <c r="F1050" t="s">
        <v>1970</v>
      </c>
      <c r="G1050" t="s">
        <v>12</v>
      </c>
      <c r="I1050" t="s">
        <v>3970</v>
      </c>
      <c r="J1050" t="s">
        <v>5239</v>
      </c>
      <c r="K1050" s="11">
        <v>25.59578863425039</v>
      </c>
      <c r="L1050" s="9">
        <v>0.2289638219884941</v>
      </c>
      <c r="M1050" s="10">
        <v>133.66193337756647</v>
      </c>
      <c r="N1050" s="10">
        <v>147.02812671532314</v>
      </c>
    </row>
    <row r="1051" spans="1:14">
      <c r="A1051" t="s">
        <v>1967</v>
      </c>
      <c r="B1051" t="s">
        <v>3972</v>
      </c>
      <c r="C1051" t="s">
        <v>3973</v>
      </c>
      <c r="D1051" t="s">
        <v>11</v>
      </c>
      <c r="E1051" t="s">
        <v>13</v>
      </c>
      <c r="F1051" t="s">
        <v>1970</v>
      </c>
      <c r="G1051" t="s">
        <v>12</v>
      </c>
      <c r="I1051" t="s">
        <v>3972</v>
      </c>
      <c r="J1051" t="s">
        <v>5240</v>
      </c>
      <c r="K1051" s="11">
        <v>17.283496296448561</v>
      </c>
      <c r="L1051" s="9">
        <v>0.21577202664198389</v>
      </c>
      <c r="M1051" s="11">
        <v>91.711637017504003</v>
      </c>
      <c r="N1051" s="10">
        <v>100.8828007192544</v>
      </c>
    </row>
    <row r="1052" spans="1:14">
      <c r="A1052" t="s">
        <v>1967</v>
      </c>
      <c r="B1052" t="s">
        <v>3974</v>
      </c>
      <c r="C1052" t="s">
        <v>3975</v>
      </c>
      <c r="D1052" t="s">
        <v>11</v>
      </c>
      <c r="E1052" t="s">
        <v>13</v>
      </c>
      <c r="F1052" t="s">
        <v>1970</v>
      </c>
      <c r="G1052" t="s">
        <v>12</v>
      </c>
      <c r="I1052" t="s">
        <v>3974</v>
      </c>
      <c r="J1052" t="s">
        <v>5241</v>
      </c>
      <c r="K1052" s="9">
        <v>2.7490894047814405</v>
      </c>
      <c r="L1052" s="9">
        <v>0.22185380384655939</v>
      </c>
      <c r="M1052" s="10">
        <v>133.42464327482685</v>
      </c>
      <c r="N1052" s="10">
        <v>146.76710760230955</v>
      </c>
    </row>
    <row r="1053" spans="1:14">
      <c r="A1053" t="s">
        <v>1967</v>
      </c>
      <c r="B1053" t="s">
        <v>3976</v>
      </c>
      <c r="C1053" t="s">
        <v>3977</v>
      </c>
      <c r="D1053" t="s">
        <v>11</v>
      </c>
      <c r="E1053" t="s">
        <v>13</v>
      </c>
      <c r="F1053" t="s">
        <v>1970</v>
      </c>
      <c r="G1053" t="s">
        <v>12</v>
      </c>
      <c r="I1053" t="s">
        <v>3976</v>
      </c>
      <c r="J1053" t="s">
        <v>5242</v>
      </c>
      <c r="K1053" s="11">
        <v>53.343881978892028</v>
      </c>
      <c r="L1053" s="9">
        <v>0.25593247468501468</v>
      </c>
      <c r="M1053" s="10">
        <v>135.36670759505313</v>
      </c>
      <c r="N1053" s="10">
        <v>148.90337835455844</v>
      </c>
    </row>
    <row r="1054" spans="1:14">
      <c r="A1054" t="s">
        <v>1967</v>
      </c>
      <c r="B1054" t="s">
        <v>3978</v>
      </c>
      <c r="C1054" t="s">
        <v>3979</v>
      </c>
      <c r="D1054" t="s">
        <v>11</v>
      </c>
      <c r="E1054" t="s">
        <v>13</v>
      </c>
      <c r="F1054" t="s">
        <v>1970</v>
      </c>
      <c r="G1054" t="s">
        <v>12</v>
      </c>
      <c r="I1054" t="s">
        <v>3978</v>
      </c>
      <c r="J1054" t="s">
        <v>5243</v>
      </c>
      <c r="K1054" s="9">
        <v>4.8986461306837636</v>
      </c>
      <c r="L1054" s="9">
        <v>0.2164960110297488</v>
      </c>
      <c r="M1054" s="10">
        <v>299.46563406038814</v>
      </c>
      <c r="N1054" s="10">
        <v>329.41219746642696</v>
      </c>
    </row>
    <row r="1055" spans="1:14">
      <c r="A1055" t="s">
        <v>1967</v>
      </c>
      <c r="B1055" t="s">
        <v>3980</v>
      </c>
      <c r="C1055" t="s">
        <v>3981</v>
      </c>
      <c r="D1055" t="s">
        <v>11</v>
      </c>
      <c r="E1055" t="s">
        <v>13</v>
      </c>
      <c r="F1055" t="s">
        <v>1970</v>
      </c>
      <c r="G1055" t="s">
        <v>12</v>
      </c>
      <c r="I1055" t="s">
        <v>3980</v>
      </c>
      <c r="J1055" t="s">
        <v>5244</v>
      </c>
      <c r="K1055" s="11">
        <v>12.632632663990769</v>
      </c>
      <c r="L1055" s="9">
        <v>0.2200904200339211</v>
      </c>
      <c r="M1055" s="10">
        <v>343.97905548501234</v>
      </c>
      <c r="N1055" s="10">
        <v>378.37696103351362</v>
      </c>
    </row>
    <row r="1056" spans="1:14">
      <c r="A1056" t="s">
        <v>1967</v>
      </c>
      <c r="B1056" t="s">
        <v>3982</v>
      </c>
      <c r="C1056" t="s">
        <v>3983</v>
      </c>
      <c r="D1056" t="s">
        <v>11</v>
      </c>
      <c r="E1056" t="s">
        <v>13</v>
      </c>
      <c r="F1056" t="s">
        <v>1970</v>
      </c>
      <c r="G1056" t="s">
        <v>12</v>
      </c>
      <c r="I1056" t="s">
        <v>3982</v>
      </c>
      <c r="J1056" t="s">
        <v>5245</v>
      </c>
      <c r="K1056" s="9">
        <v>2.8802135519101073</v>
      </c>
      <c r="L1056" s="9">
        <v>0.2178769426852091</v>
      </c>
      <c r="M1056" s="11">
        <v>54.461411432279789</v>
      </c>
      <c r="N1056" s="11">
        <v>59.907552575507772</v>
      </c>
    </row>
    <row r="1057" spans="1:14">
      <c r="A1057" t="s">
        <v>1967</v>
      </c>
      <c r="B1057" t="s">
        <v>3984</v>
      </c>
      <c r="C1057" t="s">
        <v>3985</v>
      </c>
      <c r="D1057" t="s">
        <v>11</v>
      </c>
      <c r="E1057" t="s">
        <v>13</v>
      </c>
      <c r="F1057" t="s">
        <v>1970</v>
      </c>
      <c r="G1057" t="s">
        <v>12</v>
      </c>
      <c r="I1057" t="s">
        <v>3984</v>
      </c>
      <c r="J1057" t="s">
        <v>5246</v>
      </c>
      <c r="K1057" s="11">
        <v>29.912719631365171</v>
      </c>
      <c r="L1057" s="9">
        <v>0.22001289587460629</v>
      </c>
      <c r="M1057" s="11">
        <v>43.623588091253559</v>
      </c>
      <c r="N1057" s="11">
        <v>47.98594690037892</v>
      </c>
    </row>
    <row r="1058" spans="1:14">
      <c r="A1058" t="s">
        <v>1967</v>
      </c>
      <c r="B1058" t="s">
        <v>3986</v>
      </c>
      <c r="C1058" t="s">
        <v>3987</v>
      </c>
      <c r="D1058" t="s">
        <v>11</v>
      </c>
      <c r="E1058" t="s">
        <v>13</v>
      </c>
      <c r="F1058" t="s">
        <v>1970</v>
      </c>
      <c r="G1058" t="s">
        <v>12</v>
      </c>
      <c r="I1058" t="s">
        <v>3986</v>
      </c>
      <c r="J1058" t="s">
        <v>5247</v>
      </c>
      <c r="K1058" s="11">
        <v>37.78433062248817</v>
      </c>
      <c r="L1058" s="9">
        <v>0.22993908353233711</v>
      </c>
      <c r="M1058" s="11">
        <v>44.669842383039942</v>
      </c>
      <c r="N1058" s="11">
        <v>49.136826621343943</v>
      </c>
    </row>
    <row r="1059" spans="1:14">
      <c r="A1059" t="s">
        <v>1967</v>
      </c>
      <c r="B1059" t="s">
        <v>3988</v>
      </c>
      <c r="C1059" t="s">
        <v>3989</v>
      </c>
      <c r="D1059" t="s">
        <v>11</v>
      </c>
      <c r="E1059" t="s">
        <v>13</v>
      </c>
      <c r="F1059" t="s">
        <v>1970</v>
      </c>
      <c r="G1059" t="s">
        <v>12</v>
      </c>
      <c r="I1059" t="s">
        <v>3988</v>
      </c>
      <c r="J1059" t="s">
        <v>5248</v>
      </c>
      <c r="K1059" s="11">
        <v>17.93141741922221</v>
      </c>
      <c r="L1059" s="9">
        <v>0.2384179894849254</v>
      </c>
      <c r="M1059" s="11">
        <v>87.39708075024221</v>
      </c>
      <c r="N1059" s="11">
        <v>96.136788825266436</v>
      </c>
    </row>
    <row r="1060" spans="1:14">
      <c r="A1060" t="s">
        <v>1967</v>
      </c>
      <c r="B1060" t="s">
        <v>3990</v>
      </c>
      <c r="C1060" t="s">
        <v>3991</v>
      </c>
      <c r="D1060" t="s">
        <v>11</v>
      </c>
      <c r="E1060" t="s">
        <v>13</v>
      </c>
      <c r="F1060" t="s">
        <v>1970</v>
      </c>
      <c r="G1060" t="s">
        <v>12</v>
      </c>
      <c r="I1060" t="s">
        <v>3990</v>
      </c>
      <c r="J1060" t="s">
        <v>5249</v>
      </c>
      <c r="K1060" s="11">
        <v>18.428718534750658</v>
      </c>
      <c r="L1060" s="9">
        <v>0.22672254874424569</v>
      </c>
      <c r="M1060" s="11">
        <v>42.561197607725241</v>
      </c>
      <c r="N1060" s="11">
        <v>46.817317368497768</v>
      </c>
    </row>
    <row r="1061" spans="1:14">
      <c r="A1061" t="s">
        <v>1967</v>
      </c>
      <c r="B1061" t="s">
        <v>3992</v>
      </c>
      <c r="C1061" t="s">
        <v>3993</v>
      </c>
      <c r="D1061" t="s">
        <v>11</v>
      </c>
      <c r="E1061" t="s">
        <v>13</v>
      </c>
      <c r="F1061" t="s">
        <v>1970</v>
      </c>
      <c r="G1061" t="s">
        <v>12</v>
      </c>
      <c r="I1061" t="s">
        <v>3992</v>
      </c>
      <c r="J1061" t="s">
        <v>5250</v>
      </c>
      <c r="K1061" s="11">
        <v>50.876511149636556</v>
      </c>
      <c r="L1061" s="9">
        <v>0.22361638881577339</v>
      </c>
      <c r="M1061" s="11">
        <v>32.621152083563658</v>
      </c>
      <c r="N1061" s="11">
        <v>35.883267291920028</v>
      </c>
    </row>
    <row r="1062" spans="1:14">
      <c r="A1062" t="s">
        <v>1967</v>
      </c>
      <c r="B1062" t="s">
        <v>3994</v>
      </c>
      <c r="C1062" t="s">
        <v>3995</v>
      </c>
      <c r="D1062" t="s">
        <v>11</v>
      </c>
      <c r="E1062" t="s">
        <v>13</v>
      </c>
      <c r="F1062" t="s">
        <v>1970</v>
      </c>
      <c r="G1062" t="s">
        <v>12</v>
      </c>
      <c r="I1062" t="s">
        <v>3994</v>
      </c>
      <c r="J1062" t="s">
        <v>5251</v>
      </c>
      <c r="K1062" s="11">
        <v>48.466565693997126</v>
      </c>
      <c r="L1062" s="9">
        <v>0.1529353636971533</v>
      </c>
      <c r="M1062" s="11">
        <v>78.735265940783194</v>
      </c>
      <c r="N1062" s="11">
        <v>86.608792534861522</v>
      </c>
    </row>
    <row r="1063" spans="1:14">
      <c r="A1063" t="s">
        <v>1967</v>
      </c>
      <c r="B1063" t="s">
        <v>3996</v>
      </c>
      <c r="C1063" t="s">
        <v>3997</v>
      </c>
      <c r="D1063" t="s">
        <v>11</v>
      </c>
      <c r="E1063" t="s">
        <v>13</v>
      </c>
      <c r="F1063" t="s">
        <v>1970</v>
      </c>
      <c r="G1063" t="s">
        <v>12</v>
      </c>
      <c r="I1063" t="s">
        <v>3996</v>
      </c>
      <c r="J1063" t="s">
        <v>5252</v>
      </c>
      <c r="K1063" s="11">
        <v>24.655262461973383</v>
      </c>
      <c r="L1063" s="9">
        <v>0.1818018147834885</v>
      </c>
      <c r="M1063" s="11">
        <v>62.77489762727658</v>
      </c>
      <c r="N1063" s="11">
        <v>69.052387390004242</v>
      </c>
    </row>
    <row r="1064" spans="1:14">
      <c r="A1064" t="s">
        <v>1967</v>
      </c>
      <c r="B1064" t="s">
        <v>3998</v>
      </c>
      <c r="C1064" t="s">
        <v>3999</v>
      </c>
      <c r="D1064" t="s">
        <v>11</v>
      </c>
      <c r="E1064" t="s">
        <v>13</v>
      </c>
      <c r="F1064" t="s">
        <v>1970</v>
      </c>
      <c r="G1064" t="s">
        <v>12</v>
      </c>
      <c r="I1064" t="s">
        <v>3998</v>
      </c>
      <c r="J1064" t="s">
        <v>5253</v>
      </c>
      <c r="K1064" s="10">
        <v>125.91563048430815</v>
      </c>
      <c r="L1064" s="9">
        <v>0.1607994409557516</v>
      </c>
      <c r="M1064" s="11">
        <v>53.942991975436946</v>
      </c>
      <c r="N1064" s="11">
        <v>59.337291172980649</v>
      </c>
    </row>
    <row r="1065" spans="1:14">
      <c r="A1065" t="s">
        <v>1967</v>
      </c>
      <c r="B1065" t="s">
        <v>4000</v>
      </c>
      <c r="C1065" t="s">
        <v>4001</v>
      </c>
      <c r="D1065" t="s">
        <v>11</v>
      </c>
      <c r="E1065" t="s">
        <v>13</v>
      </c>
      <c r="F1065" t="s">
        <v>1970</v>
      </c>
      <c r="G1065" t="s">
        <v>12</v>
      </c>
      <c r="I1065" t="s">
        <v>4000</v>
      </c>
      <c r="J1065" t="s">
        <v>5254</v>
      </c>
      <c r="K1065" s="11">
        <v>15.485684134808929</v>
      </c>
      <c r="L1065" s="9">
        <v>0.14247636135089711</v>
      </c>
      <c r="M1065" s="11">
        <v>60.109637522630159</v>
      </c>
      <c r="N1065" s="11">
        <v>66.120601274893176</v>
      </c>
    </row>
    <row r="1066" spans="1:14">
      <c r="A1066" t="s">
        <v>1967</v>
      </c>
      <c r="B1066" t="s">
        <v>4002</v>
      </c>
      <c r="C1066" t="s">
        <v>4003</v>
      </c>
      <c r="D1066" t="s">
        <v>11</v>
      </c>
      <c r="E1066" t="s">
        <v>13</v>
      </c>
      <c r="F1066" t="s">
        <v>1970</v>
      </c>
      <c r="G1066" t="s">
        <v>12</v>
      </c>
      <c r="I1066" t="s">
        <v>4002</v>
      </c>
      <c r="J1066" t="s">
        <v>5255</v>
      </c>
      <c r="K1066" s="11">
        <v>20.972889763572709</v>
      </c>
      <c r="L1066" s="9">
        <v>0.15079399431138549</v>
      </c>
      <c r="M1066" s="11">
        <v>42.792913748755311</v>
      </c>
      <c r="N1066" s="11">
        <v>47.072205123630845</v>
      </c>
    </row>
    <row r="1067" spans="1:14">
      <c r="A1067" t="s">
        <v>1967</v>
      </c>
      <c r="B1067" t="s">
        <v>4004</v>
      </c>
      <c r="C1067" t="s">
        <v>4005</v>
      </c>
      <c r="D1067" t="s">
        <v>11</v>
      </c>
      <c r="E1067" t="s">
        <v>13</v>
      </c>
      <c r="F1067" t="s">
        <v>1970</v>
      </c>
      <c r="G1067" t="s">
        <v>12</v>
      </c>
      <c r="I1067" t="s">
        <v>4004</v>
      </c>
      <c r="J1067" t="s">
        <v>5256</v>
      </c>
      <c r="K1067" s="11">
        <v>55.037681729216217</v>
      </c>
      <c r="L1067" s="9">
        <v>0.1467388570723073</v>
      </c>
      <c r="M1067" s="11">
        <v>61.939706977923294</v>
      </c>
      <c r="N1067" s="11">
        <v>68.133677675715631</v>
      </c>
    </row>
    <row r="1068" spans="1:14">
      <c r="A1068" t="s">
        <v>1967</v>
      </c>
      <c r="B1068" t="s">
        <v>4006</v>
      </c>
      <c r="C1068" t="s">
        <v>4007</v>
      </c>
      <c r="D1068" t="s">
        <v>11</v>
      </c>
      <c r="E1068" t="s">
        <v>13</v>
      </c>
      <c r="F1068" t="s">
        <v>1970</v>
      </c>
      <c r="G1068" t="s">
        <v>12</v>
      </c>
      <c r="I1068" t="s">
        <v>4006</v>
      </c>
      <c r="J1068" t="s">
        <v>5257</v>
      </c>
      <c r="K1068" s="11">
        <v>72.300582648902164</v>
      </c>
      <c r="L1068" s="9">
        <v>0.14942588435205989</v>
      </c>
      <c r="M1068" s="11">
        <v>59.300916698607537</v>
      </c>
      <c r="N1068" s="11">
        <v>65.231008368468295</v>
      </c>
    </row>
    <row r="1069" spans="1:14">
      <c r="A1069" t="s">
        <v>1967</v>
      </c>
      <c r="B1069" t="s">
        <v>4008</v>
      </c>
      <c r="C1069" t="s">
        <v>4009</v>
      </c>
      <c r="D1069" t="s">
        <v>11</v>
      </c>
      <c r="E1069" t="s">
        <v>13</v>
      </c>
      <c r="F1069" t="s">
        <v>1970</v>
      </c>
      <c r="G1069" t="s">
        <v>12</v>
      </c>
      <c r="I1069" t="s">
        <v>4008</v>
      </c>
      <c r="J1069" t="s">
        <v>5258</v>
      </c>
      <c r="K1069" s="11">
        <v>56.067787306772793</v>
      </c>
      <c r="L1069" s="9">
        <v>0.16670259452577549</v>
      </c>
      <c r="M1069" s="11">
        <v>76.645494801133381</v>
      </c>
      <c r="N1069" s="11">
        <v>84.310044281246732</v>
      </c>
    </row>
    <row r="1070" spans="1:14">
      <c r="A1070" t="s">
        <v>1967</v>
      </c>
      <c r="B1070" t="s">
        <v>4010</v>
      </c>
      <c r="C1070" t="s">
        <v>4011</v>
      </c>
      <c r="D1070" t="s">
        <v>11</v>
      </c>
      <c r="E1070" t="s">
        <v>13</v>
      </c>
      <c r="F1070" t="s">
        <v>1970</v>
      </c>
      <c r="G1070" t="s">
        <v>12</v>
      </c>
      <c r="I1070" t="s">
        <v>4010</v>
      </c>
      <c r="J1070" t="s">
        <v>5259</v>
      </c>
      <c r="K1070" s="11">
        <v>54.056570482380017</v>
      </c>
      <c r="L1070" s="9">
        <v>0.14857236911974009</v>
      </c>
      <c r="M1070" s="11">
        <v>69.993460887177818</v>
      </c>
      <c r="N1070" s="11">
        <v>76.992806975895604</v>
      </c>
    </row>
    <row r="1071" spans="1:14">
      <c r="A1071" t="s">
        <v>1967</v>
      </c>
      <c r="B1071" t="s">
        <v>4012</v>
      </c>
      <c r="C1071" t="s">
        <v>4013</v>
      </c>
      <c r="D1071" t="s">
        <v>11</v>
      </c>
      <c r="E1071" t="s">
        <v>13</v>
      </c>
      <c r="F1071" t="s">
        <v>1970</v>
      </c>
      <c r="G1071" t="s">
        <v>12</v>
      </c>
      <c r="I1071" t="s">
        <v>4012</v>
      </c>
      <c r="J1071" t="s">
        <v>5260</v>
      </c>
      <c r="K1071" s="11">
        <v>24.329320501417044</v>
      </c>
      <c r="L1071" s="9">
        <v>0.20342667152074409</v>
      </c>
      <c r="M1071" s="10">
        <v>110.19597119136304</v>
      </c>
      <c r="N1071" s="10">
        <v>121.21556831049935</v>
      </c>
    </row>
    <row r="1072" spans="1:14">
      <c r="A1072" t="s">
        <v>1967</v>
      </c>
      <c r="B1072" t="s">
        <v>4014</v>
      </c>
      <c r="C1072" t="s">
        <v>4015</v>
      </c>
      <c r="D1072" t="s">
        <v>11</v>
      </c>
      <c r="E1072" t="s">
        <v>13</v>
      </c>
      <c r="F1072" t="s">
        <v>1970</v>
      </c>
      <c r="G1072" t="s">
        <v>12</v>
      </c>
      <c r="I1072" t="s">
        <v>4014</v>
      </c>
      <c r="J1072" t="s">
        <v>5261</v>
      </c>
      <c r="K1072" s="11">
        <v>16.354314358160053</v>
      </c>
      <c r="L1072" s="9">
        <v>0.2040489866067986</v>
      </c>
      <c r="M1072" s="10">
        <v>112.28258789897916</v>
      </c>
      <c r="N1072" s="10">
        <v>123.51084668887708</v>
      </c>
    </row>
    <row r="1073" spans="1:14">
      <c r="A1073" t="s">
        <v>1967</v>
      </c>
      <c r="B1073" t="s">
        <v>4016</v>
      </c>
      <c r="C1073" t="s">
        <v>4017</v>
      </c>
      <c r="D1073" t="s">
        <v>11</v>
      </c>
      <c r="E1073" t="s">
        <v>13</v>
      </c>
      <c r="F1073" t="s">
        <v>1970</v>
      </c>
      <c r="G1073" t="s">
        <v>12</v>
      </c>
      <c r="I1073" t="s">
        <v>4016</v>
      </c>
      <c r="J1073" t="s">
        <v>5262</v>
      </c>
      <c r="K1073" s="11">
        <v>28.610456965601355</v>
      </c>
      <c r="L1073" s="9">
        <v>0.2048108846751272</v>
      </c>
      <c r="M1073" s="11">
        <v>80.152135465291877</v>
      </c>
      <c r="N1073" s="11">
        <v>88.167349011821074</v>
      </c>
    </row>
    <row r="1074" spans="1:14">
      <c r="A1074" t="s">
        <v>1967</v>
      </c>
      <c r="B1074" t="s">
        <v>4018</v>
      </c>
      <c r="C1074" t="s">
        <v>4019</v>
      </c>
      <c r="D1074" t="s">
        <v>11</v>
      </c>
      <c r="E1074" t="s">
        <v>13</v>
      </c>
      <c r="F1074" t="s">
        <v>1970</v>
      </c>
      <c r="G1074" t="s">
        <v>12</v>
      </c>
      <c r="I1074" t="s">
        <v>4018</v>
      </c>
      <c r="J1074" t="s">
        <v>5263</v>
      </c>
      <c r="K1074" s="9">
        <v>5.7954222012393037</v>
      </c>
      <c r="L1074" s="9">
        <v>0.1960227527608491</v>
      </c>
      <c r="M1074" s="10">
        <v>116.49473312814897</v>
      </c>
      <c r="N1074" s="10">
        <v>128.14420644096387</v>
      </c>
    </row>
    <row r="1075" spans="1:14">
      <c r="A1075" t="s">
        <v>1967</v>
      </c>
      <c r="B1075" t="s">
        <v>4020</v>
      </c>
      <c r="C1075" t="s">
        <v>4021</v>
      </c>
      <c r="D1075" t="s">
        <v>11</v>
      </c>
      <c r="E1075" t="s">
        <v>13</v>
      </c>
      <c r="F1075" t="s">
        <v>1970</v>
      </c>
      <c r="G1075" t="s">
        <v>12</v>
      </c>
      <c r="I1075" t="s">
        <v>4020</v>
      </c>
      <c r="J1075" t="s">
        <v>5264</v>
      </c>
      <c r="K1075" s="11">
        <v>21.807663922094164</v>
      </c>
      <c r="L1075" s="9">
        <v>0.19553924391336361</v>
      </c>
      <c r="M1075" s="11">
        <v>90.936993999972117</v>
      </c>
      <c r="N1075" s="10">
        <v>100.03069339996934</v>
      </c>
    </row>
    <row r="1076" spans="1:14">
      <c r="A1076" t="s">
        <v>1967</v>
      </c>
      <c r="B1076" t="s">
        <v>4022</v>
      </c>
      <c r="C1076" t="s">
        <v>4023</v>
      </c>
      <c r="D1076" t="s">
        <v>11</v>
      </c>
      <c r="E1076" t="s">
        <v>13</v>
      </c>
      <c r="F1076" t="s">
        <v>1970</v>
      </c>
      <c r="G1076" t="s">
        <v>12</v>
      </c>
      <c r="I1076" t="s">
        <v>4022</v>
      </c>
      <c r="J1076" t="s">
        <v>5265</v>
      </c>
      <c r="K1076" s="9">
        <v>9.782443055787752</v>
      </c>
      <c r="L1076" s="9">
        <v>0.14752747926746759</v>
      </c>
      <c r="M1076" s="10">
        <v>1306.5309143007726</v>
      </c>
      <c r="N1076" s="10">
        <v>1437.18400573085</v>
      </c>
    </row>
    <row r="1077" spans="1:14">
      <c r="A1077" t="s">
        <v>1967</v>
      </c>
      <c r="B1077" t="s">
        <v>4024</v>
      </c>
      <c r="C1077" t="s">
        <v>4025</v>
      </c>
      <c r="D1077" t="s">
        <v>11</v>
      </c>
      <c r="E1077" t="s">
        <v>13</v>
      </c>
      <c r="F1077" t="s">
        <v>1970</v>
      </c>
      <c r="G1077" t="s">
        <v>12</v>
      </c>
      <c r="I1077" t="s">
        <v>4024</v>
      </c>
      <c r="J1077" t="s">
        <v>5266</v>
      </c>
      <c r="K1077" s="9">
        <v>6.7900592514268334</v>
      </c>
      <c r="L1077" s="9">
        <v>0.12225917669035689</v>
      </c>
      <c r="M1077" s="10">
        <v>1405.8086366911959</v>
      </c>
      <c r="N1077" s="10">
        <v>1546.3895003603157</v>
      </c>
    </row>
    <row r="1078" spans="1:14">
      <c r="A1078" t="s">
        <v>1967</v>
      </c>
      <c r="B1078" t="s">
        <v>4026</v>
      </c>
      <c r="C1078" t="s">
        <v>4025</v>
      </c>
      <c r="D1078" t="s">
        <v>11</v>
      </c>
      <c r="E1078" t="s">
        <v>13</v>
      </c>
      <c r="F1078" t="s">
        <v>1970</v>
      </c>
      <c r="G1078" t="s">
        <v>12</v>
      </c>
      <c r="I1078" t="s">
        <v>4026</v>
      </c>
      <c r="J1078" t="s">
        <v>5267</v>
      </c>
      <c r="K1078" s="11">
        <v>57.424681106231596</v>
      </c>
      <c r="L1078" s="9">
        <v>0.1421393640973562</v>
      </c>
      <c r="M1078" s="10">
        <v>907.57862068647103</v>
      </c>
      <c r="N1078" s="10">
        <v>998.33648275511825</v>
      </c>
    </row>
    <row r="1079" spans="1:14">
      <c r="A1079" t="s">
        <v>1967</v>
      </c>
      <c r="B1079" t="s">
        <v>4027</v>
      </c>
      <c r="C1079" t="s">
        <v>4028</v>
      </c>
      <c r="D1079" t="s">
        <v>11</v>
      </c>
      <c r="E1079" t="s">
        <v>13</v>
      </c>
      <c r="F1079" t="s">
        <v>1970</v>
      </c>
      <c r="G1079" t="s">
        <v>12</v>
      </c>
      <c r="I1079" t="s">
        <v>4027</v>
      </c>
      <c r="J1079" t="s">
        <v>5268</v>
      </c>
      <c r="K1079" s="10">
        <v>199.7784214698267</v>
      </c>
      <c r="L1079" s="9">
        <v>0.1893003933089524</v>
      </c>
      <c r="M1079" s="10">
        <v>113.09159546323282</v>
      </c>
      <c r="N1079" s="10">
        <v>124.40075500955611</v>
      </c>
    </row>
    <row r="1080" spans="1:14">
      <c r="A1080" t="s">
        <v>1967</v>
      </c>
      <c r="B1080" t="s">
        <v>4029</v>
      </c>
      <c r="C1080" t="s">
        <v>4030</v>
      </c>
      <c r="D1080" t="s">
        <v>11</v>
      </c>
      <c r="E1080" t="s">
        <v>13</v>
      </c>
      <c r="F1080" t="s">
        <v>1970</v>
      </c>
      <c r="G1080" t="s">
        <v>12</v>
      </c>
      <c r="I1080" t="s">
        <v>4029</v>
      </c>
      <c r="J1080" t="s">
        <v>5269</v>
      </c>
      <c r="K1080" s="11">
        <v>45.186227671292045</v>
      </c>
      <c r="L1080" s="9">
        <v>0.19921066341755431</v>
      </c>
      <c r="M1080" s="11">
        <v>48.25825756983955</v>
      </c>
      <c r="N1080" s="11">
        <v>53.08408332682351</v>
      </c>
    </row>
    <row r="1081" spans="1:14">
      <c r="A1081" t="s">
        <v>1967</v>
      </c>
      <c r="B1081" t="s">
        <v>4031</v>
      </c>
      <c r="C1081" t="s">
        <v>4032</v>
      </c>
      <c r="D1081" t="s">
        <v>11</v>
      </c>
      <c r="E1081" t="s">
        <v>13</v>
      </c>
      <c r="F1081" t="s">
        <v>1970</v>
      </c>
      <c r="G1081" t="s">
        <v>12</v>
      </c>
      <c r="I1081" t="s">
        <v>4031</v>
      </c>
      <c r="J1081" t="s">
        <v>5270</v>
      </c>
      <c r="K1081" s="10">
        <v>266.85263132002939</v>
      </c>
      <c r="L1081" s="9">
        <v>0.1887879103134624</v>
      </c>
      <c r="M1081" s="11">
        <v>60.87309042877159</v>
      </c>
      <c r="N1081" s="11">
        <v>66.960399471648756</v>
      </c>
    </row>
    <row r="1082" spans="1:14">
      <c r="A1082" t="s">
        <v>1967</v>
      </c>
      <c r="B1082" t="s">
        <v>4033</v>
      </c>
      <c r="C1082" t="s">
        <v>4034</v>
      </c>
      <c r="D1082" t="s">
        <v>11</v>
      </c>
      <c r="E1082" t="s">
        <v>13</v>
      </c>
      <c r="F1082" t="s">
        <v>1970</v>
      </c>
      <c r="G1082" t="s">
        <v>12</v>
      </c>
      <c r="I1082" t="s">
        <v>4033</v>
      </c>
      <c r="J1082" t="s">
        <v>5271</v>
      </c>
      <c r="K1082" s="10">
        <v>267.26511693683358</v>
      </c>
      <c r="L1082" s="9">
        <v>0.1932674301935384</v>
      </c>
      <c r="M1082" s="11">
        <v>60.243567814799739</v>
      </c>
      <c r="N1082" s="11">
        <v>66.267924596279713</v>
      </c>
    </row>
    <row r="1083" spans="1:14">
      <c r="A1083" t="s">
        <v>1967</v>
      </c>
      <c r="B1083" t="s">
        <v>4035</v>
      </c>
      <c r="C1083" t="s">
        <v>4036</v>
      </c>
      <c r="D1083" t="s">
        <v>11</v>
      </c>
      <c r="E1083" t="s">
        <v>13</v>
      </c>
      <c r="F1083" t="s">
        <v>1970</v>
      </c>
      <c r="G1083" t="s">
        <v>12</v>
      </c>
      <c r="I1083" t="s">
        <v>4035</v>
      </c>
      <c r="J1083" t="s">
        <v>5272</v>
      </c>
      <c r="K1083" s="11">
        <v>73.589066440356632</v>
      </c>
      <c r="L1083" s="9">
        <v>0.20284315247819629</v>
      </c>
      <c r="M1083" s="11">
        <v>50.951271610057518</v>
      </c>
      <c r="N1083" s="11">
        <v>56.046398771063274</v>
      </c>
    </row>
    <row r="1084" spans="1:14">
      <c r="A1084" t="s">
        <v>1967</v>
      </c>
      <c r="B1084" t="s">
        <v>4037</v>
      </c>
      <c r="C1084" t="s">
        <v>4038</v>
      </c>
      <c r="D1084" t="s">
        <v>11</v>
      </c>
      <c r="E1084" t="s">
        <v>13</v>
      </c>
      <c r="F1084" t="s">
        <v>1970</v>
      </c>
      <c r="G1084" t="s">
        <v>12</v>
      </c>
      <c r="I1084" t="s">
        <v>4037</v>
      </c>
      <c r="J1084" t="s">
        <v>5273</v>
      </c>
      <c r="K1084" s="10">
        <v>127.91935537763399</v>
      </c>
      <c r="L1084" s="9">
        <v>0.2039422472440546</v>
      </c>
      <c r="M1084" s="11">
        <v>41.266007311361761</v>
      </c>
      <c r="N1084" s="11">
        <v>45.39260804249794</v>
      </c>
    </row>
    <row r="1085" spans="1:14">
      <c r="A1085" t="s">
        <v>1967</v>
      </c>
      <c r="B1085" t="s">
        <v>4039</v>
      </c>
      <c r="C1085" t="s">
        <v>4040</v>
      </c>
      <c r="D1085" t="s">
        <v>11</v>
      </c>
      <c r="E1085" t="s">
        <v>13</v>
      </c>
      <c r="F1085" t="s">
        <v>1970</v>
      </c>
      <c r="G1085" t="s">
        <v>12</v>
      </c>
      <c r="I1085" t="s">
        <v>4039</v>
      </c>
      <c r="J1085" t="s">
        <v>5274</v>
      </c>
      <c r="K1085" s="10">
        <v>203.52123583175509</v>
      </c>
      <c r="L1085" s="9">
        <v>0.20591365962919489</v>
      </c>
      <c r="M1085" s="11">
        <v>93.385200194201843</v>
      </c>
      <c r="N1085" s="10">
        <v>102.72372021362203</v>
      </c>
    </row>
    <row r="1086" spans="1:14">
      <c r="A1086" t="s">
        <v>1967</v>
      </c>
      <c r="B1086" t="s">
        <v>4041</v>
      </c>
      <c r="C1086" t="s">
        <v>4042</v>
      </c>
      <c r="D1086" t="s">
        <v>11</v>
      </c>
      <c r="E1086" t="s">
        <v>13</v>
      </c>
      <c r="F1086" t="s">
        <v>1970</v>
      </c>
      <c r="G1086" t="s">
        <v>12</v>
      </c>
      <c r="I1086" t="s">
        <v>4041</v>
      </c>
      <c r="J1086" t="s">
        <v>5275</v>
      </c>
      <c r="K1086" s="10">
        <v>205.9987872532536</v>
      </c>
      <c r="L1086" s="9">
        <v>0.197389829786254</v>
      </c>
      <c r="M1086" s="11">
        <v>55.35944971442688</v>
      </c>
      <c r="N1086" s="11">
        <v>60.895394685869576</v>
      </c>
    </row>
    <row r="1087" spans="1:14">
      <c r="A1087" t="s">
        <v>1967</v>
      </c>
      <c r="B1087" t="s">
        <v>4043</v>
      </c>
      <c r="C1087" t="s">
        <v>4044</v>
      </c>
      <c r="D1087" t="s">
        <v>11</v>
      </c>
      <c r="E1087" t="s">
        <v>13</v>
      </c>
      <c r="F1087" t="s">
        <v>1970</v>
      </c>
      <c r="G1087" t="s">
        <v>12</v>
      </c>
      <c r="I1087" t="s">
        <v>4043</v>
      </c>
      <c r="J1087" t="s">
        <v>5276</v>
      </c>
      <c r="K1087" s="10">
        <v>203.47516466653212</v>
      </c>
      <c r="L1087" s="9">
        <v>0.239471619316308</v>
      </c>
      <c r="M1087" s="10">
        <v>153.11263436725463</v>
      </c>
      <c r="N1087" s="10">
        <v>168.42389780398011</v>
      </c>
    </row>
    <row r="1088" spans="1:14">
      <c r="A1088" t="s">
        <v>1967</v>
      </c>
      <c r="B1088" t="s">
        <v>4045</v>
      </c>
      <c r="C1088" t="s">
        <v>4046</v>
      </c>
      <c r="D1088" t="s">
        <v>11</v>
      </c>
      <c r="E1088" t="s">
        <v>13</v>
      </c>
      <c r="F1088" t="s">
        <v>1970</v>
      </c>
      <c r="G1088" t="s">
        <v>12</v>
      </c>
      <c r="I1088" t="s">
        <v>4045</v>
      </c>
      <c r="J1088" t="s">
        <v>5277</v>
      </c>
      <c r="K1088" s="10">
        <v>163.00988395911457</v>
      </c>
      <c r="L1088" s="9">
        <v>0.2154630810597632</v>
      </c>
      <c r="M1088" s="11">
        <v>59.940060142146926</v>
      </c>
      <c r="N1088" s="11">
        <v>65.934066156361624</v>
      </c>
    </row>
    <row r="1089" spans="1:14">
      <c r="A1089" t="s">
        <v>1967</v>
      </c>
      <c r="B1089" t="s">
        <v>4047</v>
      </c>
      <c r="C1089" t="s">
        <v>4048</v>
      </c>
      <c r="D1089" t="s">
        <v>11</v>
      </c>
      <c r="E1089" t="s">
        <v>13</v>
      </c>
      <c r="F1089" t="s">
        <v>1970</v>
      </c>
      <c r="G1089" t="s">
        <v>12</v>
      </c>
      <c r="I1089" t="s">
        <v>4047</v>
      </c>
      <c r="J1089" t="s">
        <v>5278</v>
      </c>
      <c r="K1089" s="10">
        <v>246.6285954513188</v>
      </c>
      <c r="L1089" s="9">
        <v>0.2444813538126118</v>
      </c>
      <c r="M1089" s="10">
        <v>130.68145121546223</v>
      </c>
      <c r="N1089" s="10">
        <v>143.74959633700846</v>
      </c>
    </row>
    <row r="1090" spans="1:14">
      <c r="A1090" t="s">
        <v>1967</v>
      </c>
      <c r="B1090" t="s">
        <v>4049</v>
      </c>
      <c r="C1090" t="s">
        <v>4050</v>
      </c>
      <c r="D1090" t="s">
        <v>11</v>
      </c>
      <c r="E1090" t="s">
        <v>13</v>
      </c>
      <c r="F1090" t="s">
        <v>1970</v>
      </c>
      <c r="G1090" t="s">
        <v>12</v>
      </c>
      <c r="I1090" t="s">
        <v>4049</v>
      </c>
      <c r="J1090" t="s">
        <v>5279</v>
      </c>
      <c r="K1090" s="10">
        <v>1042.605089129778</v>
      </c>
      <c r="L1090" s="9">
        <v>0.28662737192229848</v>
      </c>
      <c r="M1090" s="10">
        <v>142.77938213897886</v>
      </c>
      <c r="N1090" s="10">
        <v>157.05732035287676</v>
      </c>
    </row>
    <row r="1091" spans="1:14">
      <c r="A1091" t="s">
        <v>1967</v>
      </c>
      <c r="B1091" t="s">
        <v>4051</v>
      </c>
      <c r="C1091" t="s">
        <v>4052</v>
      </c>
      <c r="D1091" t="s">
        <v>11</v>
      </c>
      <c r="E1091" t="s">
        <v>13</v>
      </c>
      <c r="F1091" t="s">
        <v>1970</v>
      </c>
      <c r="G1091" t="s">
        <v>12</v>
      </c>
      <c r="I1091" t="s">
        <v>4051</v>
      </c>
      <c r="J1091" t="s">
        <v>5280</v>
      </c>
      <c r="K1091" s="10">
        <v>370.22064489062478</v>
      </c>
      <c r="L1091" s="9">
        <v>0.28468256040811152</v>
      </c>
      <c r="M1091" s="10">
        <v>142.4975182209854</v>
      </c>
      <c r="N1091" s="10">
        <v>156.74727004308394</v>
      </c>
    </row>
    <row r="1092" spans="1:14">
      <c r="A1092" t="s">
        <v>1967</v>
      </c>
      <c r="B1092" t="s">
        <v>4053</v>
      </c>
      <c r="C1092" t="s">
        <v>4054</v>
      </c>
      <c r="D1092" t="s">
        <v>11</v>
      </c>
      <c r="E1092" t="s">
        <v>13</v>
      </c>
      <c r="F1092" t="s">
        <v>1970</v>
      </c>
      <c r="G1092" t="s">
        <v>12</v>
      </c>
      <c r="I1092" t="s">
        <v>4053</v>
      </c>
      <c r="J1092" t="s">
        <v>5281</v>
      </c>
      <c r="K1092" s="10">
        <v>239.56024638191823</v>
      </c>
      <c r="L1092" s="9">
        <v>0.255878685102718</v>
      </c>
      <c r="M1092" s="10">
        <v>183.89404136275397</v>
      </c>
      <c r="N1092" s="10">
        <v>202.28344549902937</v>
      </c>
    </row>
    <row r="1093" spans="1:14">
      <c r="A1093" t="s">
        <v>1967</v>
      </c>
      <c r="B1093" t="s">
        <v>4055</v>
      </c>
      <c r="C1093" t="s">
        <v>4056</v>
      </c>
      <c r="D1093" t="s">
        <v>11</v>
      </c>
      <c r="E1093" t="s">
        <v>13</v>
      </c>
      <c r="F1093" t="s">
        <v>1970</v>
      </c>
      <c r="G1093" t="s">
        <v>12</v>
      </c>
      <c r="I1093" t="s">
        <v>4055</v>
      </c>
      <c r="J1093" t="s">
        <v>5282</v>
      </c>
      <c r="K1093" s="10">
        <v>371.78342595477579</v>
      </c>
      <c r="L1093" s="9">
        <v>0.26221435765514212</v>
      </c>
      <c r="M1093" s="10">
        <v>173.55721970720251</v>
      </c>
      <c r="N1093" s="10">
        <v>190.91294167792276</v>
      </c>
    </row>
    <row r="1094" spans="1:14">
      <c r="A1094" t="s">
        <v>1967</v>
      </c>
      <c r="B1094" t="s">
        <v>4057</v>
      </c>
      <c r="C1094" t="s">
        <v>4058</v>
      </c>
      <c r="D1094" t="s">
        <v>11</v>
      </c>
      <c r="E1094" t="s">
        <v>13</v>
      </c>
      <c r="F1094" t="s">
        <v>1970</v>
      </c>
      <c r="G1094" t="s">
        <v>12</v>
      </c>
      <c r="I1094" t="s">
        <v>4057</v>
      </c>
      <c r="J1094" t="s">
        <v>5283</v>
      </c>
      <c r="K1094" s="10">
        <v>195.31824659693191</v>
      </c>
      <c r="L1094" s="9">
        <v>0.26071854194641952</v>
      </c>
      <c r="M1094" s="10">
        <v>137.39290949637885</v>
      </c>
      <c r="N1094" s="10">
        <v>151.13220044601675</v>
      </c>
    </row>
    <row r="1095" spans="1:14">
      <c r="A1095" t="s">
        <v>1967</v>
      </c>
      <c r="B1095" t="s">
        <v>4059</v>
      </c>
      <c r="C1095" t="s">
        <v>4060</v>
      </c>
      <c r="D1095" t="s">
        <v>11</v>
      </c>
      <c r="E1095" t="s">
        <v>13</v>
      </c>
      <c r="F1095" t="s">
        <v>1970</v>
      </c>
      <c r="G1095" t="s">
        <v>12</v>
      </c>
      <c r="I1095" t="s">
        <v>4059</v>
      </c>
      <c r="J1095" t="s">
        <v>5284</v>
      </c>
      <c r="K1095" s="11">
        <v>72.980691468481581</v>
      </c>
      <c r="L1095" s="9">
        <v>0.21379112351838639</v>
      </c>
      <c r="M1095" s="11">
        <v>82.307222675121309</v>
      </c>
      <c r="N1095" s="11">
        <v>90.537944942633445</v>
      </c>
    </row>
    <row r="1096" spans="1:14">
      <c r="A1096" t="s">
        <v>1967</v>
      </c>
      <c r="B1096" t="s">
        <v>4061</v>
      </c>
      <c r="C1096" t="s">
        <v>4062</v>
      </c>
      <c r="D1096" t="s">
        <v>11</v>
      </c>
      <c r="E1096" t="s">
        <v>13</v>
      </c>
      <c r="F1096" t="s">
        <v>1970</v>
      </c>
      <c r="G1096" t="s">
        <v>12</v>
      </c>
      <c r="I1096" t="s">
        <v>4061</v>
      </c>
      <c r="J1096" t="s">
        <v>5285</v>
      </c>
      <c r="K1096" s="10">
        <v>473.41408443791516</v>
      </c>
      <c r="L1096" s="9">
        <v>0.19916090427745689</v>
      </c>
      <c r="M1096" s="10">
        <v>198.99353058347251</v>
      </c>
      <c r="N1096" s="10">
        <v>218.89288364181976</v>
      </c>
    </row>
    <row r="1097" spans="1:14">
      <c r="A1097" t="s">
        <v>1967</v>
      </c>
      <c r="B1097" t="s">
        <v>4063</v>
      </c>
      <c r="C1097" t="s">
        <v>4064</v>
      </c>
      <c r="D1097" t="s">
        <v>11</v>
      </c>
      <c r="E1097" t="s">
        <v>13</v>
      </c>
      <c r="F1097" t="s">
        <v>1970</v>
      </c>
      <c r="G1097" t="s">
        <v>12</v>
      </c>
      <c r="I1097" t="s">
        <v>4063</v>
      </c>
      <c r="J1097" t="s">
        <v>5286</v>
      </c>
      <c r="K1097" s="11">
        <v>51.60857098267055</v>
      </c>
      <c r="L1097" s="9">
        <v>0.2091924327273165</v>
      </c>
      <c r="M1097" s="11">
        <v>91.59745859023522</v>
      </c>
      <c r="N1097" s="10">
        <v>100.75720444925875</v>
      </c>
    </row>
    <row r="1098" spans="1:14">
      <c r="A1098" t="s">
        <v>1967</v>
      </c>
      <c r="B1098" t="s">
        <v>4065</v>
      </c>
      <c r="C1098" t="s">
        <v>4066</v>
      </c>
      <c r="D1098" t="s">
        <v>11</v>
      </c>
      <c r="E1098" t="s">
        <v>13</v>
      </c>
      <c r="F1098" t="s">
        <v>1970</v>
      </c>
      <c r="G1098" t="s">
        <v>12</v>
      </c>
      <c r="I1098" t="s">
        <v>4065</v>
      </c>
      <c r="J1098" t="s">
        <v>5287</v>
      </c>
      <c r="K1098" s="10">
        <v>195.11686020553392</v>
      </c>
      <c r="L1098" s="9">
        <v>0.19053956078704579</v>
      </c>
      <c r="M1098" s="10">
        <v>101.7309019288367</v>
      </c>
      <c r="N1098" s="10">
        <v>111.90399212172038</v>
      </c>
    </row>
    <row r="1099" spans="1:14">
      <c r="A1099" t="s">
        <v>1967</v>
      </c>
      <c r="B1099" t="s">
        <v>4067</v>
      </c>
      <c r="C1099" t="s">
        <v>4068</v>
      </c>
      <c r="D1099" t="s">
        <v>11</v>
      </c>
      <c r="E1099" t="s">
        <v>13</v>
      </c>
      <c r="F1099" t="s">
        <v>1970</v>
      </c>
      <c r="G1099" t="s">
        <v>12</v>
      </c>
      <c r="I1099" t="s">
        <v>4067</v>
      </c>
      <c r="J1099" t="s">
        <v>5288</v>
      </c>
      <c r="K1099" s="11">
        <v>57.965583211248145</v>
      </c>
      <c r="L1099" s="9">
        <v>0.21896407753208061</v>
      </c>
      <c r="M1099" s="10">
        <v>132.29099315639712</v>
      </c>
      <c r="N1099" s="10">
        <v>145.52009247203685</v>
      </c>
    </row>
    <row r="1100" spans="1:14">
      <c r="A1100" t="s">
        <v>1967</v>
      </c>
      <c r="B1100" t="s">
        <v>4069</v>
      </c>
      <c r="C1100" t="s">
        <v>4070</v>
      </c>
      <c r="D1100" t="s">
        <v>11</v>
      </c>
      <c r="E1100" t="s">
        <v>13</v>
      </c>
      <c r="F1100" t="s">
        <v>1970</v>
      </c>
      <c r="G1100" t="s">
        <v>12</v>
      </c>
      <c r="I1100" t="s">
        <v>4069</v>
      </c>
      <c r="J1100" t="s">
        <v>5289</v>
      </c>
      <c r="K1100" s="10">
        <v>193.4288151125578</v>
      </c>
      <c r="L1100" s="9">
        <v>0.2381774815304851</v>
      </c>
      <c r="M1100" s="10">
        <v>235.60812848782007</v>
      </c>
      <c r="N1100" s="10">
        <v>259.16894133660207</v>
      </c>
    </row>
    <row r="1101" spans="1:14">
      <c r="A1101" t="s">
        <v>1967</v>
      </c>
      <c r="B1101" t="s">
        <v>4071</v>
      </c>
      <c r="C1101" t="s">
        <v>4072</v>
      </c>
      <c r="D1101" t="s">
        <v>11</v>
      </c>
      <c r="E1101" t="s">
        <v>13</v>
      </c>
      <c r="F1101" t="s">
        <v>1970</v>
      </c>
      <c r="G1101" t="s">
        <v>12</v>
      </c>
      <c r="I1101" t="s">
        <v>4071</v>
      </c>
      <c r="J1101" t="s">
        <v>5290</v>
      </c>
      <c r="K1101" s="11">
        <v>72.861138924244656</v>
      </c>
      <c r="L1101" s="9">
        <v>0.189376410195706</v>
      </c>
      <c r="M1101" s="10">
        <v>194.40818588565961</v>
      </c>
      <c r="N1101" s="10">
        <v>213.84900447422558</v>
      </c>
    </row>
    <row r="1102" spans="1:14">
      <c r="A1102" t="s">
        <v>1967</v>
      </c>
      <c r="B1102" t="s">
        <v>4073</v>
      </c>
      <c r="C1102" t="s">
        <v>4074</v>
      </c>
      <c r="D1102" t="s">
        <v>11</v>
      </c>
      <c r="E1102" t="s">
        <v>13</v>
      </c>
      <c r="F1102" t="s">
        <v>1970</v>
      </c>
      <c r="G1102" t="s">
        <v>12</v>
      </c>
      <c r="I1102" t="s">
        <v>4073</v>
      </c>
      <c r="J1102" t="s">
        <v>5291</v>
      </c>
      <c r="K1102" s="10">
        <v>153.57584887470077</v>
      </c>
      <c r="L1102" s="9">
        <v>0.22089069371899711</v>
      </c>
      <c r="M1102" s="10">
        <v>187.76427979826761</v>
      </c>
      <c r="N1102" s="10">
        <v>206.54070777809437</v>
      </c>
    </row>
    <row r="1103" spans="1:14">
      <c r="A1103" t="s">
        <v>1967</v>
      </c>
      <c r="B1103" t="s">
        <v>4075</v>
      </c>
      <c r="C1103" t="s">
        <v>4076</v>
      </c>
      <c r="D1103" t="s">
        <v>11</v>
      </c>
      <c r="E1103" t="s">
        <v>13</v>
      </c>
      <c r="F1103" t="s">
        <v>1970</v>
      </c>
      <c r="G1103" t="s">
        <v>12</v>
      </c>
      <c r="I1103" t="s">
        <v>4075</v>
      </c>
      <c r="J1103" t="s">
        <v>5292</v>
      </c>
      <c r="K1103" s="11">
        <v>27.316336547744438</v>
      </c>
      <c r="L1103" s="9">
        <v>0.2245689642107582</v>
      </c>
      <c r="M1103" s="11">
        <v>30.343001606509137</v>
      </c>
      <c r="N1103" s="11">
        <v>33.377301767160056</v>
      </c>
    </row>
    <row r="1104" spans="1:14">
      <c r="A1104" t="s">
        <v>1967</v>
      </c>
      <c r="B1104" t="s">
        <v>4077</v>
      </c>
      <c r="C1104" t="s">
        <v>4078</v>
      </c>
      <c r="D1104" t="s">
        <v>11</v>
      </c>
      <c r="E1104" t="s">
        <v>13</v>
      </c>
      <c r="F1104" t="s">
        <v>1970</v>
      </c>
      <c r="G1104" t="s">
        <v>12</v>
      </c>
      <c r="I1104" t="s">
        <v>4077</v>
      </c>
      <c r="J1104" t="s">
        <v>5293</v>
      </c>
      <c r="K1104" s="11">
        <v>46.864088018474334</v>
      </c>
      <c r="L1104" s="9">
        <v>0.22760819702022639</v>
      </c>
      <c r="M1104" s="11">
        <v>36.678099241109372</v>
      </c>
      <c r="N1104" s="11">
        <v>40.345909165220313</v>
      </c>
    </row>
    <row r="1105" spans="1:14">
      <c r="A1105" t="s">
        <v>1967</v>
      </c>
      <c r="B1105" t="s">
        <v>4079</v>
      </c>
      <c r="C1105" t="s">
        <v>4080</v>
      </c>
      <c r="D1105" t="s">
        <v>11</v>
      </c>
      <c r="E1105" t="s">
        <v>13</v>
      </c>
      <c r="F1105" t="s">
        <v>1970</v>
      </c>
      <c r="G1105" t="s">
        <v>12</v>
      </c>
      <c r="I1105" t="s">
        <v>4079</v>
      </c>
      <c r="J1105" t="s">
        <v>5294</v>
      </c>
      <c r="K1105" s="10">
        <v>124.64612433231288</v>
      </c>
      <c r="L1105" s="9">
        <v>0.23237835745747221</v>
      </c>
      <c r="M1105" s="11">
        <v>63.902445478043056</v>
      </c>
      <c r="N1105" s="11">
        <v>70.292690025847364</v>
      </c>
    </row>
    <row r="1106" spans="1:14">
      <c r="A1106" t="s">
        <v>1967</v>
      </c>
      <c r="B1106" t="s">
        <v>4081</v>
      </c>
      <c r="C1106" t="s">
        <v>4082</v>
      </c>
      <c r="D1106" t="s">
        <v>11</v>
      </c>
      <c r="E1106" t="s">
        <v>13</v>
      </c>
      <c r="F1106" t="s">
        <v>1970</v>
      </c>
      <c r="G1106" t="s">
        <v>12</v>
      </c>
      <c r="I1106" t="s">
        <v>4081</v>
      </c>
      <c r="J1106" t="s">
        <v>5295</v>
      </c>
      <c r="K1106" s="11">
        <v>61.794541007741991</v>
      </c>
      <c r="L1106" s="9">
        <v>0.2149614681411863</v>
      </c>
      <c r="M1106" s="10">
        <v>153.47434585632604</v>
      </c>
      <c r="N1106" s="10">
        <v>168.82178044195865</v>
      </c>
    </row>
    <row r="1107" spans="1:14">
      <c r="A1107" t="s">
        <v>1967</v>
      </c>
      <c r="B1107" t="s">
        <v>4083</v>
      </c>
      <c r="C1107" t="s">
        <v>4084</v>
      </c>
      <c r="D1107" t="s">
        <v>11</v>
      </c>
      <c r="E1107" t="s">
        <v>13</v>
      </c>
      <c r="F1107" t="s">
        <v>1970</v>
      </c>
      <c r="G1107" t="s">
        <v>12</v>
      </c>
      <c r="I1107" t="s">
        <v>4083</v>
      </c>
      <c r="J1107" t="s">
        <v>5296</v>
      </c>
      <c r="K1107" s="11">
        <v>39.917300305373686</v>
      </c>
      <c r="L1107" s="9">
        <v>0.2174020480554327</v>
      </c>
      <c r="M1107" s="10">
        <v>282.01464121648291</v>
      </c>
      <c r="N1107" s="10">
        <v>310.21610533813123</v>
      </c>
    </row>
    <row r="1108" spans="1:14">
      <c r="A1108" t="s">
        <v>1967</v>
      </c>
      <c r="B1108" t="s">
        <v>4085</v>
      </c>
      <c r="C1108" t="s">
        <v>4084</v>
      </c>
      <c r="D1108" t="s">
        <v>11</v>
      </c>
      <c r="E1108" t="s">
        <v>13</v>
      </c>
      <c r="F1108" t="s">
        <v>1970</v>
      </c>
      <c r="G1108" t="s">
        <v>12</v>
      </c>
      <c r="I1108" t="s">
        <v>4085</v>
      </c>
      <c r="J1108" t="s">
        <v>5297</v>
      </c>
      <c r="K1108" s="11">
        <v>96.205503965459556</v>
      </c>
      <c r="L1108" s="9">
        <v>0.20762935490620291</v>
      </c>
      <c r="M1108" s="10">
        <v>295.6061560249762</v>
      </c>
      <c r="N1108" s="10">
        <v>325.16677162747385</v>
      </c>
    </row>
    <row r="1109" spans="1:14">
      <c r="A1109" t="s">
        <v>1967</v>
      </c>
      <c r="B1109" t="s">
        <v>4086</v>
      </c>
      <c r="C1109" t="s">
        <v>4087</v>
      </c>
      <c r="D1109" t="s">
        <v>11</v>
      </c>
      <c r="E1109" t="s">
        <v>13</v>
      </c>
      <c r="F1109" t="s">
        <v>1970</v>
      </c>
      <c r="G1109" t="s">
        <v>12</v>
      </c>
      <c r="I1109" t="s">
        <v>4086</v>
      </c>
      <c r="J1109" t="s">
        <v>5298</v>
      </c>
      <c r="K1109" s="10">
        <v>120.53384598759369</v>
      </c>
      <c r="L1109" s="9">
        <v>0.2309555999720789</v>
      </c>
      <c r="M1109" s="10">
        <v>114.09150464386656</v>
      </c>
      <c r="N1109" s="10">
        <v>125.50065510825323</v>
      </c>
    </row>
    <row r="1110" spans="1:14">
      <c r="A1110" t="s">
        <v>1967</v>
      </c>
      <c r="B1110" t="s">
        <v>4088</v>
      </c>
      <c r="C1110" t="s">
        <v>4087</v>
      </c>
      <c r="D1110" t="s">
        <v>11</v>
      </c>
      <c r="E1110" t="s">
        <v>13</v>
      </c>
      <c r="F1110" t="s">
        <v>1970</v>
      </c>
      <c r="G1110" t="s">
        <v>12</v>
      </c>
      <c r="I1110" t="s">
        <v>4088</v>
      </c>
      <c r="J1110" t="s">
        <v>5299</v>
      </c>
      <c r="K1110" s="10">
        <v>202.95626953104997</v>
      </c>
      <c r="L1110" s="9">
        <v>0.22407787685566299</v>
      </c>
      <c r="M1110" s="10">
        <v>169.85640633801628</v>
      </c>
      <c r="N1110" s="10">
        <v>186.84204697181792</v>
      </c>
    </row>
    <row r="1111" spans="1:14">
      <c r="A1111" t="s">
        <v>1967</v>
      </c>
      <c r="B1111" t="s">
        <v>4089</v>
      </c>
      <c r="C1111" t="s">
        <v>4090</v>
      </c>
      <c r="D1111" t="s">
        <v>11</v>
      </c>
      <c r="E1111" t="s">
        <v>13</v>
      </c>
      <c r="F1111" t="s">
        <v>1970</v>
      </c>
      <c r="G1111" t="s">
        <v>12</v>
      </c>
      <c r="I1111" t="s">
        <v>4089</v>
      </c>
      <c r="J1111" t="s">
        <v>5300</v>
      </c>
      <c r="K1111" s="9">
        <v>7.9071264526361702</v>
      </c>
      <c r="L1111" s="9">
        <v>0.20478549079214481</v>
      </c>
      <c r="M1111" s="10">
        <v>399.07873444639517</v>
      </c>
      <c r="N1111" s="10">
        <v>438.98660789103474</v>
      </c>
    </row>
    <row r="1112" spans="1:14">
      <c r="A1112" t="s">
        <v>1967</v>
      </c>
      <c r="B1112" t="s">
        <v>4091</v>
      </c>
      <c r="C1112" t="s">
        <v>4090</v>
      </c>
      <c r="D1112" t="s">
        <v>11</v>
      </c>
      <c r="E1112" t="s">
        <v>13</v>
      </c>
      <c r="F1112" t="s">
        <v>1970</v>
      </c>
      <c r="G1112" t="s">
        <v>12</v>
      </c>
      <c r="I1112" t="s">
        <v>4091</v>
      </c>
      <c r="J1112" t="s">
        <v>5301</v>
      </c>
      <c r="K1112" s="11">
        <v>17.965822640383251</v>
      </c>
      <c r="L1112" s="9">
        <v>0.20626304291943559</v>
      </c>
      <c r="M1112" s="11">
        <v>87.912853533925798</v>
      </c>
      <c r="N1112" s="11">
        <v>96.704138887318379</v>
      </c>
    </row>
    <row r="1113" spans="1:14">
      <c r="A1113" t="s">
        <v>1967</v>
      </c>
      <c r="B1113" t="s">
        <v>4092</v>
      </c>
      <c r="C1113" t="s">
        <v>4093</v>
      </c>
      <c r="D1113" t="s">
        <v>11</v>
      </c>
      <c r="E1113" t="s">
        <v>13</v>
      </c>
      <c r="F1113" t="s">
        <v>1970</v>
      </c>
      <c r="G1113" t="s">
        <v>12</v>
      </c>
      <c r="I1113" t="s">
        <v>4092</v>
      </c>
      <c r="J1113" t="s">
        <v>5302</v>
      </c>
      <c r="K1113" s="11">
        <v>11.762654943599292</v>
      </c>
      <c r="L1113" s="9">
        <v>0.19992018239274151</v>
      </c>
      <c r="M1113" s="11">
        <v>71.09811470453333</v>
      </c>
      <c r="N1113" s="11">
        <v>78.207926174986667</v>
      </c>
    </row>
    <row r="1114" spans="1:14">
      <c r="A1114" t="s">
        <v>1967</v>
      </c>
      <c r="B1114" t="s">
        <v>4094</v>
      </c>
      <c r="C1114" t="s">
        <v>4095</v>
      </c>
      <c r="D1114" t="s">
        <v>11</v>
      </c>
      <c r="E1114" t="s">
        <v>13</v>
      </c>
      <c r="F1114" t="s">
        <v>1970</v>
      </c>
      <c r="G1114" t="s">
        <v>12</v>
      </c>
      <c r="I1114" t="s">
        <v>4094</v>
      </c>
      <c r="J1114" t="s">
        <v>5303</v>
      </c>
      <c r="K1114" s="11">
        <v>22.940001848300057</v>
      </c>
      <c r="L1114" s="9">
        <v>0.21447988100071941</v>
      </c>
      <c r="M1114" s="11">
        <v>79.868651725216125</v>
      </c>
      <c r="N1114" s="11">
        <v>87.855516897737743</v>
      </c>
    </row>
    <row r="1115" spans="1:14">
      <c r="A1115" t="s">
        <v>1967</v>
      </c>
      <c r="B1115" t="s">
        <v>4096</v>
      </c>
      <c r="C1115" t="s">
        <v>4097</v>
      </c>
      <c r="D1115" t="s">
        <v>11</v>
      </c>
      <c r="E1115" t="s">
        <v>13</v>
      </c>
      <c r="F1115" t="s">
        <v>1970</v>
      </c>
      <c r="G1115" t="s">
        <v>12</v>
      </c>
      <c r="I1115" t="s">
        <v>4096</v>
      </c>
      <c r="J1115" t="s">
        <v>5304</v>
      </c>
      <c r="K1115" s="11">
        <v>20.186714711874274</v>
      </c>
      <c r="L1115" s="9">
        <v>0.1876836450235525</v>
      </c>
      <c r="M1115" s="11">
        <v>88.742483549478294</v>
      </c>
      <c r="N1115" s="11">
        <v>97.616731904426132</v>
      </c>
    </row>
    <row r="1116" spans="1:14">
      <c r="A1116" t="s">
        <v>1967</v>
      </c>
      <c r="B1116" t="s">
        <v>4098</v>
      </c>
      <c r="C1116" t="s">
        <v>4099</v>
      </c>
      <c r="D1116" t="s">
        <v>11</v>
      </c>
      <c r="E1116" t="s">
        <v>13</v>
      </c>
      <c r="F1116" t="s">
        <v>1970</v>
      </c>
      <c r="G1116" t="s">
        <v>12</v>
      </c>
      <c r="I1116" t="s">
        <v>4098</v>
      </c>
      <c r="J1116" t="s">
        <v>5305</v>
      </c>
      <c r="K1116" s="11">
        <v>70.573911097095291</v>
      </c>
      <c r="L1116" s="9">
        <v>0.1998100557415797</v>
      </c>
      <c r="M1116" s="10">
        <v>217.01766937438603</v>
      </c>
      <c r="N1116" s="10">
        <v>238.71943631182467</v>
      </c>
    </row>
    <row r="1117" spans="1:14">
      <c r="A1117" t="s">
        <v>1967</v>
      </c>
      <c r="B1117" t="s">
        <v>4100</v>
      </c>
      <c r="C1117" t="s">
        <v>4101</v>
      </c>
      <c r="D1117" t="s">
        <v>11</v>
      </c>
      <c r="E1117" t="s">
        <v>13</v>
      </c>
      <c r="F1117" t="s">
        <v>1970</v>
      </c>
      <c r="G1117" t="s">
        <v>12</v>
      </c>
      <c r="I1117" t="s">
        <v>4100</v>
      </c>
      <c r="J1117" t="s">
        <v>5306</v>
      </c>
      <c r="K1117" s="11">
        <v>36.038638257884365</v>
      </c>
      <c r="L1117" s="9">
        <v>0.21415648975294821</v>
      </c>
      <c r="M1117" s="10">
        <v>109.89220674013325</v>
      </c>
      <c r="N1117" s="10">
        <v>120.88142741414659</v>
      </c>
    </row>
    <row r="1118" spans="1:14">
      <c r="A1118" t="s">
        <v>1967</v>
      </c>
      <c r="B1118" t="s">
        <v>4102</v>
      </c>
      <c r="C1118" t="s">
        <v>4103</v>
      </c>
      <c r="D1118" t="s">
        <v>11</v>
      </c>
      <c r="E1118" t="s">
        <v>13</v>
      </c>
      <c r="F1118" t="s">
        <v>1970</v>
      </c>
      <c r="G1118" t="s">
        <v>12</v>
      </c>
      <c r="I1118" t="s">
        <v>4102</v>
      </c>
      <c r="J1118" t="s">
        <v>5307</v>
      </c>
      <c r="K1118" s="11">
        <v>37.410920423898979</v>
      </c>
      <c r="L1118" s="9">
        <v>0.21382742322875681</v>
      </c>
      <c r="M1118" s="10">
        <v>192.42147358369959</v>
      </c>
      <c r="N1118" s="10">
        <v>211.66362094206957</v>
      </c>
    </row>
    <row r="1119" spans="1:14">
      <c r="A1119" t="s">
        <v>1967</v>
      </c>
      <c r="B1119" t="s">
        <v>4104</v>
      </c>
      <c r="C1119" t="s">
        <v>4105</v>
      </c>
      <c r="D1119" t="s">
        <v>11</v>
      </c>
      <c r="E1119" t="s">
        <v>13</v>
      </c>
      <c r="F1119" t="s">
        <v>1970</v>
      </c>
      <c r="G1119" t="s">
        <v>12</v>
      </c>
      <c r="I1119" t="s">
        <v>4104</v>
      </c>
      <c r="J1119" t="s">
        <v>5308</v>
      </c>
      <c r="K1119" s="9">
        <v>1.0931530926081041</v>
      </c>
      <c r="L1119" s="9">
        <v>0.1793695012853217</v>
      </c>
      <c r="M1119" s="10">
        <v>634.98273694512011</v>
      </c>
      <c r="N1119" s="10">
        <v>698.48101063963213</v>
      </c>
    </row>
    <row r="1120" spans="1:14">
      <c r="A1120" t="s">
        <v>1967</v>
      </c>
      <c r="B1120" t="s">
        <v>4106</v>
      </c>
      <c r="C1120" t="s">
        <v>4107</v>
      </c>
      <c r="D1120" t="s">
        <v>11</v>
      </c>
      <c r="E1120" t="s">
        <v>13</v>
      </c>
      <c r="F1120" t="s">
        <v>1970</v>
      </c>
      <c r="G1120" t="s">
        <v>12</v>
      </c>
      <c r="I1120" t="s">
        <v>4106</v>
      </c>
      <c r="J1120" t="s">
        <v>5309</v>
      </c>
      <c r="K1120" s="9">
        <v>7.6638844918347777</v>
      </c>
      <c r="L1120" s="9">
        <v>0.19688653737575351</v>
      </c>
      <c r="M1120" s="10">
        <v>418.4838429013011</v>
      </c>
      <c r="N1120" s="10">
        <v>460.33222719143123</v>
      </c>
    </row>
    <row r="1121" spans="1:14">
      <c r="A1121" t="s">
        <v>1967</v>
      </c>
      <c r="B1121" t="s">
        <v>4108</v>
      </c>
      <c r="C1121" t="s">
        <v>4109</v>
      </c>
      <c r="D1121" t="s">
        <v>11</v>
      </c>
      <c r="E1121" t="s">
        <v>13</v>
      </c>
      <c r="F1121" t="s">
        <v>1970</v>
      </c>
      <c r="G1121" t="s">
        <v>12</v>
      </c>
      <c r="I1121" t="s">
        <v>4108</v>
      </c>
      <c r="J1121" t="s">
        <v>5310</v>
      </c>
      <c r="K1121" s="11">
        <v>17.48786364235367</v>
      </c>
      <c r="L1121" s="9">
        <v>0.17611781166808069</v>
      </c>
      <c r="M1121" s="11">
        <v>69.116553132910695</v>
      </c>
      <c r="N1121" s="11">
        <v>76.028208446201774</v>
      </c>
    </row>
    <row r="1122" spans="1:14">
      <c r="A1122" t="s">
        <v>1967</v>
      </c>
      <c r="B1122" t="s">
        <v>4110</v>
      </c>
      <c r="C1122" t="s">
        <v>4111</v>
      </c>
      <c r="D1122" t="s">
        <v>11</v>
      </c>
      <c r="E1122" t="s">
        <v>13</v>
      </c>
      <c r="F1122" t="s">
        <v>1970</v>
      </c>
      <c r="G1122" t="s">
        <v>12</v>
      </c>
      <c r="I1122" t="s">
        <v>4110</v>
      </c>
      <c r="J1122" t="s">
        <v>5311</v>
      </c>
      <c r="K1122" s="11">
        <v>43.572039139488083</v>
      </c>
      <c r="L1122" s="9">
        <v>0.1884304585980994</v>
      </c>
      <c r="M1122" s="11">
        <v>90.64696209685188</v>
      </c>
      <c r="N1122" s="11">
        <v>99.711658306537075</v>
      </c>
    </row>
    <row r="1123" spans="1:14">
      <c r="A1123" t="s">
        <v>1967</v>
      </c>
      <c r="B1123" t="s">
        <v>4112</v>
      </c>
      <c r="C1123" t="s">
        <v>4113</v>
      </c>
      <c r="D1123" t="s">
        <v>11</v>
      </c>
      <c r="E1123" t="s">
        <v>13</v>
      </c>
      <c r="F1123" t="s">
        <v>1970</v>
      </c>
      <c r="G1123" t="s">
        <v>12</v>
      </c>
      <c r="I1123" t="s">
        <v>4112</v>
      </c>
      <c r="J1123" t="s">
        <v>5312</v>
      </c>
      <c r="K1123" s="10">
        <v>151.84517000813315</v>
      </c>
      <c r="L1123" s="9">
        <v>0.19771610735590769</v>
      </c>
      <c r="M1123" s="11">
        <v>63.876230225082388</v>
      </c>
      <c r="N1123" s="11">
        <v>70.263853247590632</v>
      </c>
    </row>
    <row r="1124" spans="1:14">
      <c r="A1124" t="s">
        <v>1967</v>
      </c>
      <c r="B1124" t="s">
        <v>4114</v>
      </c>
      <c r="C1124" t="s">
        <v>4115</v>
      </c>
      <c r="D1124" t="s">
        <v>11</v>
      </c>
      <c r="E1124" t="s">
        <v>13</v>
      </c>
      <c r="F1124" t="s">
        <v>1970</v>
      </c>
      <c r="G1124" t="s">
        <v>12</v>
      </c>
      <c r="I1124" t="s">
        <v>4114</v>
      </c>
      <c r="J1124" t="s">
        <v>5313</v>
      </c>
      <c r="K1124" s="11">
        <v>15.635080332507233</v>
      </c>
      <c r="L1124" s="9">
        <v>0.1552473026280782</v>
      </c>
      <c r="M1124" s="11">
        <v>54.095264567113887</v>
      </c>
      <c r="N1124" s="11">
        <v>59.504791023825277</v>
      </c>
    </row>
    <row r="1125" spans="1:14">
      <c r="A1125" t="s">
        <v>1967</v>
      </c>
      <c r="B1125" t="s">
        <v>4116</v>
      </c>
      <c r="C1125" t="s">
        <v>4117</v>
      </c>
      <c r="D1125" t="s">
        <v>11</v>
      </c>
      <c r="E1125" t="s">
        <v>13</v>
      </c>
      <c r="F1125" t="s">
        <v>1970</v>
      </c>
      <c r="G1125" t="s">
        <v>12</v>
      </c>
      <c r="I1125" t="s">
        <v>4116</v>
      </c>
      <c r="J1125" t="s">
        <v>5314</v>
      </c>
      <c r="K1125" s="11">
        <v>25.616250838904698</v>
      </c>
      <c r="L1125" s="9">
        <v>0.14531556321923569</v>
      </c>
      <c r="M1125" s="11">
        <v>82.832459437050858</v>
      </c>
      <c r="N1125" s="11">
        <v>91.115705380755955</v>
      </c>
    </row>
    <row r="1126" spans="1:14">
      <c r="A1126" t="s">
        <v>1967</v>
      </c>
      <c r="B1126" t="s">
        <v>4118</v>
      </c>
      <c r="C1126" t="s">
        <v>4119</v>
      </c>
      <c r="D1126" t="s">
        <v>11</v>
      </c>
      <c r="E1126" t="s">
        <v>13</v>
      </c>
      <c r="F1126" t="s">
        <v>1970</v>
      </c>
      <c r="G1126" t="s">
        <v>12</v>
      </c>
      <c r="I1126" t="s">
        <v>4118</v>
      </c>
      <c r="J1126" t="s">
        <v>5315</v>
      </c>
      <c r="K1126" s="9">
        <v>6.1582583235518973</v>
      </c>
      <c r="L1126" s="9">
        <v>0.16346174154903759</v>
      </c>
      <c r="M1126" s="10">
        <v>180.81329602932041</v>
      </c>
      <c r="N1126" s="10">
        <v>198.89462563225246</v>
      </c>
    </row>
    <row r="1127" spans="1:14">
      <c r="A1127" t="s">
        <v>1967</v>
      </c>
      <c r="B1127" t="s">
        <v>4120</v>
      </c>
      <c r="C1127" t="s">
        <v>4121</v>
      </c>
      <c r="D1127" t="s">
        <v>11</v>
      </c>
      <c r="E1127" t="s">
        <v>13</v>
      </c>
      <c r="F1127" t="s">
        <v>1970</v>
      </c>
      <c r="G1127" t="s">
        <v>12</v>
      </c>
      <c r="I1127" t="s">
        <v>4120</v>
      </c>
      <c r="J1127" t="s">
        <v>5316</v>
      </c>
      <c r="K1127" s="11">
        <v>33.446998715163929</v>
      </c>
      <c r="L1127" s="9">
        <v>0.15274280552992389</v>
      </c>
      <c r="M1127" s="11">
        <v>37.979394050104325</v>
      </c>
      <c r="N1127" s="11">
        <v>41.777333455114764</v>
      </c>
    </row>
    <row r="1128" spans="1:14">
      <c r="A1128" t="s">
        <v>1967</v>
      </c>
      <c r="B1128" t="s">
        <v>4122</v>
      </c>
      <c r="C1128" t="s">
        <v>4123</v>
      </c>
      <c r="D1128" t="s">
        <v>11</v>
      </c>
      <c r="E1128" t="s">
        <v>13</v>
      </c>
      <c r="F1128" t="s">
        <v>1970</v>
      </c>
      <c r="G1128" t="s">
        <v>12</v>
      </c>
      <c r="I1128" t="s">
        <v>4122</v>
      </c>
      <c r="J1128" t="s">
        <v>5317</v>
      </c>
      <c r="K1128" s="9">
        <v>9.4222173581952529</v>
      </c>
      <c r="L1128" s="9">
        <v>0.1658615880451331</v>
      </c>
      <c r="M1128" s="11">
        <v>85.618860824192424</v>
      </c>
      <c r="N1128" s="11">
        <v>94.180746906611674</v>
      </c>
    </row>
    <row r="1129" spans="1:14">
      <c r="A1129" t="s">
        <v>1967</v>
      </c>
      <c r="B1129" t="s">
        <v>4124</v>
      </c>
      <c r="C1129" t="s">
        <v>4125</v>
      </c>
      <c r="D1129" t="s">
        <v>11</v>
      </c>
      <c r="E1129" t="s">
        <v>13</v>
      </c>
      <c r="F1129" t="s">
        <v>1970</v>
      </c>
      <c r="G1129" t="s">
        <v>12</v>
      </c>
      <c r="I1129" t="s">
        <v>4124</v>
      </c>
      <c r="J1129" t="s">
        <v>5318</v>
      </c>
      <c r="K1129" s="10">
        <v>118.59907627310436</v>
      </c>
      <c r="L1129" s="9">
        <v>0.26363101996976729</v>
      </c>
      <c r="M1129" s="10">
        <v>194.34691652790409</v>
      </c>
      <c r="N1129" s="10">
        <v>213.78160818069452</v>
      </c>
    </row>
    <row r="1130" spans="1:14">
      <c r="A1130" t="s">
        <v>1967</v>
      </c>
      <c r="B1130" t="s">
        <v>4126</v>
      </c>
      <c r="C1130" t="s">
        <v>4125</v>
      </c>
      <c r="D1130" t="s">
        <v>11</v>
      </c>
      <c r="E1130" t="s">
        <v>13</v>
      </c>
      <c r="F1130" t="s">
        <v>1970</v>
      </c>
      <c r="G1130" t="s">
        <v>12</v>
      </c>
      <c r="I1130" t="s">
        <v>4126</v>
      </c>
      <c r="J1130" t="s">
        <v>5319</v>
      </c>
      <c r="K1130" s="9">
        <v>0.68209810266291127</v>
      </c>
      <c r="L1130" s="9">
        <v>0.2387616020811465</v>
      </c>
      <c r="M1130" s="10">
        <v>562.3080833088618</v>
      </c>
      <c r="N1130" s="10">
        <v>618.53889163974804</v>
      </c>
    </row>
    <row r="1131" spans="1:14">
      <c r="A1131" t="s">
        <v>1967</v>
      </c>
      <c r="B1131" t="s">
        <v>4127</v>
      </c>
      <c r="C1131" t="s">
        <v>4128</v>
      </c>
      <c r="D1131" t="s">
        <v>11</v>
      </c>
      <c r="E1131" t="s">
        <v>13</v>
      </c>
      <c r="F1131" t="s">
        <v>1970</v>
      </c>
      <c r="G1131" t="s">
        <v>12</v>
      </c>
      <c r="I1131" t="s">
        <v>4127</v>
      </c>
      <c r="J1131" t="s">
        <v>5320</v>
      </c>
      <c r="K1131" s="11">
        <v>54.652033871336712</v>
      </c>
      <c r="L1131" s="9">
        <v>0.25889959994415362</v>
      </c>
      <c r="M1131" s="10">
        <v>328.81068741073642</v>
      </c>
      <c r="N1131" s="10">
        <v>361.69175615181007</v>
      </c>
    </row>
    <row r="1132" spans="1:14">
      <c r="A1132" t="s">
        <v>1967</v>
      </c>
      <c r="B1132" t="s">
        <v>4129</v>
      </c>
      <c r="C1132" t="s">
        <v>4125</v>
      </c>
      <c r="D1132" t="s">
        <v>11</v>
      </c>
      <c r="E1132" t="s">
        <v>13</v>
      </c>
      <c r="F1132" t="s">
        <v>1970</v>
      </c>
      <c r="G1132" t="s">
        <v>12</v>
      </c>
      <c r="I1132" t="s">
        <v>4129</v>
      </c>
      <c r="J1132" t="s">
        <v>5321</v>
      </c>
      <c r="K1132" s="10">
        <v>133.85634694570081</v>
      </c>
      <c r="L1132" s="9">
        <v>0.26989823043551758</v>
      </c>
      <c r="M1132" s="10">
        <v>428.72580333290318</v>
      </c>
      <c r="N1132" s="10">
        <v>471.59838366619351</v>
      </c>
    </row>
    <row r="1133" spans="1:14">
      <c r="A1133" t="s">
        <v>1967</v>
      </c>
      <c r="B1133" t="s">
        <v>4130</v>
      </c>
      <c r="C1133" t="s">
        <v>4131</v>
      </c>
      <c r="D1133" t="s">
        <v>11</v>
      </c>
      <c r="E1133" t="s">
        <v>13</v>
      </c>
      <c r="F1133" t="s">
        <v>1970</v>
      </c>
      <c r="G1133" t="s">
        <v>12</v>
      </c>
      <c r="I1133" t="s">
        <v>4130</v>
      </c>
      <c r="J1133" t="s">
        <v>5322</v>
      </c>
      <c r="K1133" s="11">
        <v>13.045306588339828</v>
      </c>
      <c r="L1133" s="9">
        <v>0.2377692770892566</v>
      </c>
      <c r="M1133" s="10">
        <v>117.89932110495808</v>
      </c>
      <c r="N1133" s="10">
        <v>129.6892532154539</v>
      </c>
    </row>
    <row r="1134" spans="1:14">
      <c r="A1134" t="s">
        <v>1967</v>
      </c>
      <c r="B1134" t="s">
        <v>4132</v>
      </c>
      <c r="C1134" t="s">
        <v>4133</v>
      </c>
      <c r="D1134" t="s">
        <v>11</v>
      </c>
      <c r="E1134" t="s">
        <v>13</v>
      </c>
      <c r="F1134" t="s">
        <v>1970</v>
      </c>
      <c r="G1134" t="s">
        <v>12</v>
      </c>
      <c r="I1134" t="s">
        <v>4132</v>
      </c>
      <c r="J1134" t="s">
        <v>5323</v>
      </c>
      <c r="K1134" s="11">
        <v>18.648020944061894</v>
      </c>
      <c r="L1134" s="9">
        <v>0.24158819685954791</v>
      </c>
      <c r="M1134" s="11">
        <v>75.371985612845805</v>
      </c>
      <c r="N1134" s="11">
        <v>82.909184174130388</v>
      </c>
    </row>
    <row r="1135" spans="1:14">
      <c r="A1135" t="s">
        <v>1967</v>
      </c>
      <c r="B1135" t="s">
        <v>4134</v>
      </c>
      <c r="C1135" t="s">
        <v>4135</v>
      </c>
      <c r="D1135" t="s">
        <v>11</v>
      </c>
      <c r="E1135" t="s">
        <v>13</v>
      </c>
      <c r="F1135" t="s">
        <v>1970</v>
      </c>
      <c r="G1135" t="s">
        <v>12</v>
      </c>
      <c r="I1135" t="s">
        <v>4134</v>
      </c>
      <c r="J1135" t="s">
        <v>5324</v>
      </c>
      <c r="K1135" s="10">
        <v>127.22236779694155</v>
      </c>
      <c r="L1135" s="9">
        <v>0.27047776749173891</v>
      </c>
      <c r="M1135" s="10">
        <v>258.23449294562539</v>
      </c>
      <c r="N1135" s="10">
        <v>284.05794224018797</v>
      </c>
    </row>
    <row r="1136" spans="1:14">
      <c r="A1136" t="s">
        <v>1967</v>
      </c>
      <c r="B1136" t="s">
        <v>4136</v>
      </c>
      <c r="C1136" t="s">
        <v>4135</v>
      </c>
      <c r="D1136" t="s">
        <v>11</v>
      </c>
      <c r="E1136" t="s">
        <v>13</v>
      </c>
      <c r="F1136" t="s">
        <v>1970</v>
      </c>
      <c r="G1136" t="s">
        <v>12</v>
      </c>
      <c r="I1136" t="s">
        <v>4136</v>
      </c>
      <c r="J1136" t="s">
        <v>5325</v>
      </c>
      <c r="K1136" s="11">
        <v>30.710648026800083</v>
      </c>
      <c r="L1136" s="9">
        <v>0.26553797592920841</v>
      </c>
      <c r="M1136" s="10">
        <v>171.36992135673384</v>
      </c>
      <c r="N1136" s="10">
        <v>188.50691349240725</v>
      </c>
    </row>
    <row r="1137" spans="1:14">
      <c r="A1137" t="s">
        <v>1967</v>
      </c>
      <c r="B1137" t="s">
        <v>4137</v>
      </c>
      <c r="C1137" t="s">
        <v>4138</v>
      </c>
      <c r="D1137" t="s">
        <v>11</v>
      </c>
      <c r="E1137" t="s">
        <v>13</v>
      </c>
      <c r="F1137" t="s">
        <v>1970</v>
      </c>
      <c r="G1137" t="s">
        <v>12</v>
      </c>
      <c r="I1137" t="s">
        <v>4137</v>
      </c>
      <c r="J1137" t="s">
        <v>5326</v>
      </c>
      <c r="K1137" s="10">
        <v>273.93877543222521</v>
      </c>
      <c r="L1137" s="9">
        <v>0.25713418478608852</v>
      </c>
      <c r="M1137" s="10">
        <v>254.70791975665296</v>
      </c>
      <c r="N1137" s="10">
        <v>280.17871173231828</v>
      </c>
    </row>
    <row r="1138" spans="1:14">
      <c r="A1138" t="s">
        <v>1967</v>
      </c>
      <c r="B1138" t="s">
        <v>4139</v>
      </c>
      <c r="C1138" t="s">
        <v>4138</v>
      </c>
      <c r="D1138" t="s">
        <v>11</v>
      </c>
      <c r="E1138" t="s">
        <v>13</v>
      </c>
      <c r="F1138" t="s">
        <v>1970</v>
      </c>
      <c r="G1138" t="s">
        <v>12</v>
      </c>
      <c r="I1138" t="s">
        <v>4139</v>
      </c>
      <c r="J1138" t="s">
        <v>5327</v>
      </c>
      <c r="K1138" s="10">
        <v>231.18096323545009</v>
      </c>
      <c r="L1138" s="9">
        <v>0.26554111918815693</v>
      </c>
      <c r="M1138" s="10">
        <v>514.40201362981077</v>
      </c>
      <c r="N1138" s="10">
        <v>565.84221499279192</v>
      </c>
    </row>
    <row r="1139" spans="1:14">
      <c r="A1139" t="s">
        <v>1967</v>
      </c>
      <c r="B1139" t="s">
        <v>4140</v>
      </c>
      <c r="C1139" t="s">
        <v>4141</v>
      </c>
      <c r="D1139" t="s">
        <v>11</v>
      </c>
      <c r="E1139" t="s">
        <v>13</v>
      </c>
      <c r="F1139" t="s">
        <v>1970</v>
      </c>
      <c r="G1139" t="s">
        <v>12</v>
      </c>
      <c r="I1139" t="s">
        <v>4140</v>
      </c>
      <c r="J1139" t="s">
        <v>5328</v>
      </c>
      <c r="K1139" s="11">
        <v>90.396317781992281</v>
      </c>
      <c r="L1139" s="9">
        <v>0.25400684965361309</v>
      </c>
      <c r="M1139" s="10">
        <v>349.26950604939839</v>
      </c>
      <c r="N1139" s="10">
        <v>384.19645665433825</v>
      </c>
    </row>
    <row r="1140" spans="1:14">
      <c r="A1140" t="s">
        <v>1967</v>
      </c>
      <c r="B1140" t="s">
        <v>4142</v>
      </c>
      <c r="C1140" t="s">
        <v>4143</v>
      </c>
      <c r="D1140" t="s">
        <v>11</v>
      </c>
      <c r="E1140" t="s">
        <v>13</v>
      </c>
      <c r="F1140" t="s">
        <v>1970</v>
      </c>
      <c r="G1140" t="s">
        <v>12</v>
      </c>
      <c r="I1140" t="s">
        <v>4142</v>
      </c>
      <c r="J1140" t="s">
        <v>5329</v>
      </c>
      <c r="K1140" s="11">
        <v>38.57697645535545</v>
      </c>
      <c r="L1140" s="9">
        <v>0.23060704009475089</v>
      </c>
      <c r="M1140" s="10">
        <v>208.77695318187097</v>
      </c>
      <c r="N1140" s="10">
        <v>229.65464850005807</v>
      </c>
    </row>
    <row r="1141" spans="1:14">
      <c r="A1141" t="s">
        <v>1967</v>
      </c>
      <c r="B1141" t="s">
        <v>4144</v>
      </c>
      <c r="C1141" t="s">
        <v>4141</v>
      </c>
      <c r="D1141" t="s">
        <v>11</v>
      </c>
      <c r="E1141" t="s">
        <v>13</v>
      </c>
      <c r="F1141" t="s">
        <v>1970</v>
      </c>
      <c r="G1141" t="s">
        <v>12</v>
      </c>
      <c r="I1141" t="s">
        <v>4144</v>
      </c>
      <c r="J1141" t="s">
        <v>5330</v>
      </c>
      <c r="K1141" s="11">
        <v>40.113280220649131</v>
      </c>
      <c r="L1141" s="9">
        <v>0.2353512674103207</v>
      </c>
      <c r="M1141" s="10">
        <v>306.80059893472219</v>
      </c>
      <c r="N1141" s="10">
        <v>337.48065882819441</v>
      </c>
    </row>
    <row r="1142" spans="1:14">
      <c r="A1142" t="s">
        <v>1967</v>
      </c>
      <c r="B1142" t="s">
        <v>4145</v>
      </c>
      <c r="C1142" t="s">
        <v>4146</v>
      </c>
      <c r="D1142" t="s">
        <v>11</v>
      </c>
      <c r="E1142" t="s">
        <v>13</v>
      </c>
      <c r="F1142" t="s">
        <v>1970</v>
      </c>
      <c r="G1142" t="s">
        <v>12</v>
      </c>
      <c r="I1142" t="s">
        <v>4145</v>
      </c>
      <c r="J1142" t="s">
        <v>5331</v>
      </c>
      <c r="K1142" s="11">
        <v>59.434133939804532</v>
      </c>
      <c r="L1142" s="9">
        <v>0.19726466505110429</v>
      </c>
      <c r="M1142" s="10">
        <v>229.21059397544684</v>
      </c>
      <c r="N1142" s="10">
        <v>252.13165337299154</v>
      </c>
    </row>
    <row r="1143" spans="1:14">
      <c r="A1143" t="s">
        <v>1967</v>
      </c>
      <c r="B1143" t="s">
        <v>4147</v>
      </c>
      <c r="C1143" t="s">
        <v>4148</v>
      </c>
      <c r="D1143" t="s">
        <v>11</v>
      </c>
      <c r="E1143" t="s">
        <v>13</v>
      </c>
      <c r="F1143" t="s">
        <v>1970</v>
      </c>
      <c r="G1143" t="s">
        <v>12</v>
      </c>
      <c r="I1143" t="s">
        <v>4147</v>
      </c>
      <c r="J1143" t="s">
        <v>5332</v>
      </c>
      <c r="K1143" s="11">
        <v>26.123303178012058</v>
      </c>
      <c r="L1143" s="9">
        <v>0.2176615742065412</v>
      </c>
      <c r="M1143" s="10">
        <v>101.8860974174145</v>
      </c>
      <c r="N1143" s="10">
        <v>112.07470715915596</v>
      </c>
    </row>
    <row r="1144" spans="1:14">
      <c r="A1144" t="s">
        <v>1967</v>
      </c>
      <c r="B1144" t="s">
        <v>4149</v>
      </c>
      <c r="C1144" t="s">
        <v>4150</v>
      </c>
      <c r="D1144" t="s">
        <v>11</v>
      </c>
      <c r="E1144" t="s">
        <v>13</v>
      </c>
      <c r="F1144" t="s">
        <v>1970</v>
      </c>
      <c r="G1144" t="s">
        <v>12</v>
      </c>
      <c r="I1144" t="s">
        <v>4149</v>
      </c>
      <c r="J1144" t="s">
        <v>5333</v>
      </c>
      <c r="K1144" s="11">
        <v>11.231353993000424</v>
      </c>
      <c r="L1144" s="9">
        <v>0.1857393263779179</v>
      </c>
      <c r="M1144" s="10">
        <v>113.61853035471007</v>
      </c>
      <c r="N1144" s="10">
        <v>124.98038339018109</v>
      </c>
    </row>
    <row r="1145" spans="1:14">
      <c r="A1145" t="s">
        <v>1967</v>
      </c>
      <c r="B1145" t="s">
        <v>4151</v>
      </c>
      <c r="C1145" t="s">
        <v>4152</v>
      </c>
      <c r="D1145" t="s">
        <v>11</v>
      </c>
      <c r="E1145" t="s">
        <v>13</v>
      </c>
      <c r="F1145" t="s">
        <v>1970</v>
      </c>
      <c r="G1145" t="s">
        <v>12</v>
      </c>
      <c r="I1145" t="s">
        <v>4151</v>
      </c>
      <c r="J1145" t="s">
        <v>5334</v>
      </c>
      <c r="K1145" s="9">
        <v>5.0418827271505346</v>
      </c>
      <c r="L1145" s="9">
        <v>0.20003114534872291</v>
      </c>
      <c r="M1145" s="10">
        <v>157.52951418409984</v>
      </c>
      <c r="N1145" s="10">
        <v>173.28246560250983</v>
      </c>
    </row>
    <row r="1146" spans="1:14">
      <c r="A1146" t="s">
        <v>1967</v>
      </c>
      <c r="B1146" t="s">
        <v>4153</v>
      </c>
      <c r="C1146" t="s">
        <v>4154</v>
      </c>
      <c r="D1146" t="s">
        <v>11</v>
      </c>
      <c r="E1146" t="s">
        <v>13</v>
      </c>
      <c r="F1146" t="s">
        <v>1970</v>
      </c>
      <c r="G1146" t="s">
        <v>12</v>
      </c>
      <c r="I1146" t="s">
        <v>4153</v>
      </c>
      <c r="J1146" t="s">
        <v>5335</v>
      </c>
      <c r="K1146" s="11">
        <v>16.193055029277723</v>
      </c>
      <c r="L1146" s="9">
        <v>0.2218693618068312</v>
      </c>
      <c r="M1146" s="10">
        <v>177.63979725281888</v>
      </c>
      <c r="N1146" s="10">
        <v>195.40377697810078</v>
      </c>
    </row>
    <row r="1147" spans="1:14">
      <c r="A1147" t="s">
        <v>1967</v>
      </c>
      <c r="B1147" t="s">
        <v>4155</v>
      </c>
      <c r="C1147" t="s">
        <v>4146</v>
      </c>
      <c r="D1147" t="s">
        <v>11</v>
      </c>
      <c r="E1147" t="s">
        <v>13</v>
      </c>
      <c r="F1147" t="s">
        <v>1970</v>
      </c>
      <c r="G1147" t="s">
        <v>12</v>
      </c>
      <c r="I1147" t="s">
        <v>4155</v>
      </c>
      <c r="J1147" t="s">
        <v>5336</v>
      </c>
      <c r="K1147" s="10">
        <v>139.51207617057261</v>
      </c>
      <c r="L1147" s="9">
        <v>0.23018518471255819</v>
      </c>
      <c r="M1147" s="10">
        <v>128.28127580529076</v>
      </c>
      <c r="N1147" s="10">
        <v>141.10940338581986</v>
      </c>
    </row>
    <row r="1148" spans="1:14">
      <c r="A1148" t="s">
        <v>1967</v>
      </c>
      <c r="B1148" t="s">
        <v>4156</v>
      </c>
      <c r="C1148" t="s">
        <v>4157</v>
      </c>
      <c r="D1148" t="s">
        <v>11</v>
      </c>
      <c r="E1148" t="s">
        <v>13</v>
      </c>
      <c r="F1148" t="s">
        <v>1970</v>
      </c>
      <c r="G1148" t="s">
        <v>12</v>
      </c>
      <c r="I1148" t="s">
        <v>4156</v>
      </c>
      <c r="J1148" t="s">
        <v>5337</v>
      </c>
      <c r="K1148" s="11">
        <v>74.972473565373335</v>
      </c>
      <c r="L1148" s="9">
        <v>0.2414010535518038</v>
      </c>
      <c r="M1148" s="11">
        <v>97.391270223405954</v>
      </c>
      <c r="N1148" s="10">
        <v>107.13039724574656</v>
      </c>
    </row>
    <row r="1149" spans="1:14">
      <c r="A1149" t="s">
        <v>1967</v>
      </c>
      <c r="B1149" t="s">
        <v>4158</v>
      </c>
      <c r="C1149" t="s">
        <v>4159</v>
      </c>
      <c r="D1149" t="s">
        <v>11</v>
      </c>
      <c r="E1149" t="s">
        <v>13</v>
      </c>
      <c r="F1149" t="s">
        <v>1970</v>
      </c>
      <c r="G1149" t="s">
        <v>12</v>
      </c>
      <c r="I1149" t="s">
        <v>4158</v>
      </c>
      <c r="J1149" t="s">
        <v>5338</v>
      </c>
      <c r="K1149" s="11">
        <v>38.870493041935653</v>
      </c>
      <c r="L1149" s="9">
        <v>0.23631122836280469</v>
      </c>
      <c r="M1149" s="10">
        <v>199.75122268768251</v>
      </c>
      <c r="N1149" s="10">
        <v>219.72634495645079</v>
      </c>
    </row>
    <row r="1150" spans="1:14">
      <c r="A1150" t="s">
        <v>1967</v>
      </c>
      <c r="B1150" t="s">
        <v>4160</v>
      </c>
      <c r="C1150" t="s">
        <v>4159</v>
      </c>
      <c r="D1150" t="s">
        <v>11</v>
      </c>
      <c r="E1150" t="s">
        <v>13</v>
      </c>
      <c r="F1150" t="s">
        <v>1970</v>
      </c>
      <c r="G1150" t="s">
        <v>12</v>
      </c>
      <c r="I1150" t="s">
        <v>4160</v>
      </c>
      <c r="J1150" t="s">
        <v>5339</v>
      </c>
      <c r="K1150" s="11">
        <v>22.048433271304834</v>
      </c>
      <c r="L1150" s="9">
        <v>0.23031692542328519</v>
      </c>
      <c r="M1150" s="10">
        <v>150.72754742791014</v>
      </c>
      <c r="N1150" s="10">
        <v>165.80030217070117</v>
      </c>
    </row>
    <row r="1151" spans="1:14">
      <c r="A1151" t="s">
        <v>1967</v>
      </c>
      <c r="B1151" t="s">
        <v>4161</v>
      </c>
      <c r="C1151" t="s">
        <v>4162</v>
      </c>
      <c r="D1151" t="s">
        <v>11</v>
      </c>
      <c r="E1151" t="s">
        <v>13</v>
      </c>
      <c r="F1151" t="s">
        <v>1970</v>
      </c>
      <c r="G1151" t="s">
        <v>12</v>
      </c>
      <c r="I1151" t="s">
        <v>4161</v>
      </c>
      <c r="J1151" t="s">
        <v>5340</v>
      </c>
      <c r="K1151" s="9">
        <v>8.5798082981082775</v>
      </c>
      <c r="L1151" s="9">
        <v>0.2296092622711064</v>
      </c>
      <c r="M1151" s="10">
        <v>285.05247538554659</v>
      </c>
      <c r="N1151" s="10">
        <v>313.55772292410126</v>
      </c>
    </row>
    <row r="1152" spans="1:14">
      <c r="A1152" t="s">
        <v>1967</v>
      </c>
      <c r="B1152" t="s">
        <v>4163</v>
      </c>
      <c r="C1152" t="s">
        <v>4164</v>
      </c>
      <c r="D1152" t="s">
        <v>11</v>
      </c>
      <c r="E1152" t="s">
        <v>13</v>
      </c>
      <c r="F1152" t="s">
        <v>1970</v>
      </c>
      <c r="G1152" t="s">
        <v>12</v>
      </c>
      <c r="I1152" t="s">
        <v>4163</v>
      </c>
      <c r="J1152" t="s">
        <v>5341</v>
      </c>
      <c r="K1152" s="11">
        <v>12.998180639354418</v>
      </c>
      <c r="L1152" s="9">
        <v>0.23641884126085511</v>
      </c>
      <c r="M1152" s="10">
        <v>355.3978022369098</v>
      </c>
      <c r="N1152" s="10">
        <v>390.93758246060082</v>
      </c>
    </row>
    <row r="1153" spans="1:14">
      <c r="A1153" t="s">
        <v>1967</v>
      </c>
      <c r="B1153" t="s">
        <v>4165</v>
      </c>
      <c r="C1153" t="s">
        <v>4166</v>
      </c>
      <c r="D1153" t="s">
        <v>11</v>
      </c>
      <c r="E1153" t="s">
        <v>13</v>
      </c>
      <c r="F1153" t="s">
        <v>1970</v>
      </c>
      <c r="G1153" t="s">
        <v>12</v>
      </c>
      <c r="I1153" t="s">
        <v>4165</v>
      </c>
      <c r="J1153" t="s">
        <v>5342</v>
      </c>
      <c r="K1153" s="11">
        <v>13.086235187329232</v>
      </c>
      <c r="L1153" s="9">
        <v>0.23614941230306219</v>
      </c>
      <c r="M1153" s="10">
        <v>400.35530345477008</v>
      </c>
      <c r="N1153" s="10">
        <v>440.39083380024715</v>
      </c>
    </row>
    <row r="1154" spans="1:14">
      <c r="A1154" t="s">
        <v>1967</v>
      </c>
      <c r="B1154" t="s">
        <v>4167</v>
      </c>
      <c r="C1154" t="s">
        <v>4168</v>
      </c>
      <c r="D1154" t="s">
        <v>11</v>
      </c>
      <c r="E1154" t="s">
        <v>13</v>
      </c>
      <c r="F1154" t="s">
        <v>1970</v>
      </c>
      <c r="G1154" t="s">
        <v>12</v>
      </c>
      <c r="I1154" t="s">
        <v>4167</v>
      </c>
      <c r="J1154" t="s">
        <v>5343</v>
      </c>
      <c r="K1154" s="11">
        <v>21.589941786972318</v>
      </c>
      <c r="L1154" s="9">
        <v>0.24068257005643939</v>
      </c>
      <c r="M1154" s="10">
        <v>227.35740940473869</v>
      </c>
      <c r="N1154" s="10">
        <v>250.09315034521259</v>
      </c>
    </row>
    <row r="1155" spans="1:14">
      <c r="A1155" t="s">
        <v>1967</v>
      </c>
      <c r="B1155" t="s">
        <v>4169</v>
      </c>
      <c r="C1155" t="s">
        <v>4170</v>
      </c>
      <c r="D1155" t="s">
        <v>11</v>
      </c>
      <c r="E1155" t="s">
        <v>13</v>
      </c>
      <c r="F1155" t="s">
        <v>1970</v>
      </c>
      <c r="G1155" t="s">
        <v>12</v>
      </c>
      <c r="I1155" t="s">
        <v>4169</v>
      </c>
      <c r="J1155" t="s">
        <v>5344</v>
      </c>
      <c r="K1155" s="11">
        <v>11.604124006678216</v>
      </c>
      <c r="L1155" s="9">
        <v>0.23539575340138641</v>
      </c>
      <c r="M1155" s="10">
        <v>137.98838310238418</v>
      </c>
      <c r="N1155" s="10">
        <v>151.78722141262261</v>
      </c>
    </row>
    <row r="1156" spans="1:14">
      <c r="A1156" t="s">
        <v>1967</v>
      </c>
      <c r="B1156" t="s">
        <v>4171</v>
      </c>
      <c r="C1156" t="s">
        <v>4172</v>
      </c>
      <c r="D1156" t="s">
        <v>11</v>
      </c>
      <c r="E1156" t="s">
        <v>13</v>
      </c>
      <c r="F1156" t="s">
        <v>1970</v>
      </c>
      <c r="G1156" t="s">
        <v>12</v>
      </c>
      <c r="I1156" t="s">
        <v>4171</v>
      </c>
      <c r="J1156" t="s">
        <v>5345</v>
      </c>
      <c r="K1156" s="11">
        <v>11.4088447576567</v>
      </c>
      <c r="L1156" s="9">
        <v>0.23387257761025401</v>
      </c>
      <c r="M1156" s="10">
        <v>183.12709194042748</v>
      </c>
      <c r="N1156" s="10">
        <v>201.43980113447023</v>
      </c>
    </row>
    <row r="1157" spans="1:14">
      <c r="A1157" t="s">
        <v>1967</v>
      </c>
      <c r="B1157" t="s">
        <v>4173</v>
      </c>
      <c r="C1157" t="s">
        <v>4174</v>
      </c>
      <c r="D1157" t="s">
        <v>11</v>
      </c>
      <c r="E1157" t="s">
        <v>13</v>
      </c>
      <c r="F1157" t="s">
        <v>1970</v>
      </c>
      <c r="G1157" t="s">
        <v>12</v>
      </c>
      <c r="I1157" t="s">
        <v>4173</v>
      </c>
      <c r="J1157" t="s">
        <v>5346</v>
      </c>
      <c r="K1157" s="9">
        <v>3.5927552169177961</v>
      </c>
      <c r="L1157" s="9">
        <v>0.2326411729460624</v>
      </c>
      <c r="M1157" s="11">
        <v>53.610448007538224</v>
      </c>
      <c r="N1157" s="11">
        <v>58.971492808292048</v>
      </c>
    </row>
    <row r="1158" spans="1:14">
      <c r="A1158" t="s">
        <v>1967</v>
      </c>
      <c r="B1158" t="s">
        <v>4175</v>
      </c>
      <c r="C1158" t="s">
        <v>4176</v>
      </c>
      <c r="D1158" t="s">
        <v>11</v>
      </c>
      <c r="E1158" t="s">
        <v>13</v>
      </c>
      <c r="F1158" t="s">
        <v>1970</v>
      </c>
      <c r="G1158" t="s">
        <v>12</v>
      </c>
      <c r="I1158" t="s">
        <v>4175</v>
      </c>
      <c r="J1158" t="s">
        <v>5347</v>
      </c>
      <c r="K1158" s="11">
        <v>39.606526599395806</v>
      </c>
      <c r="L1158" s="9">
        <v>0.23430100714473651</v>
      </c>
      <c r="M1158" s="10">
        <v>126.43720269746652</v>
      </c>
      <c r="N1158" s="10">
        <v>139.08092296721318</v>
      </c>
    </row>
    <row r="1159" spans="1:14">
      <c r="A1159" t="s">
        <v>1967</v>
      </c>
      <c r="B1159" t="s">
        <v>4177</v>
      </c>
      <c r="C1159" t="s">
        <v>4178</v>
      </c>
      <c r="D1159" t="s">
        <v>11</v>
      </c>
      <c r="E1159" t="s">
        <v>13</v>
      </c>
      <c r="F1159" t="s">
        <v>1970</v>
      </c>
      <c r="G1159" t="s">
        <v>12</v>
      </c>
      <c r="I1159" t="s">
        <v>4177</v>
      </c>
      <c r="J1159" t="s">
        <v>5348</v>
      </c>
      <c r="K1159" s="11">
        <v>11.502533325271759</v>
      </c>
      <c r="L1159" s="9">
        <v>0.2106743028914968</v>
      </c>
      <c r="M1159" s="10">
        <v>242.54547021287203</v>
      </c>
      <c r="N1159" s="10">
        <v>266.80001723415927</v>
      </c>
    </row>
    <row r="1160" spans="1:14">
      <c r="A1160" t="s">
        <v>1967</v>
      </c>
      <c r="B1160" t="s">
        <v>4179</v>
      </c>
      <c r="C1160" t="s">
        <v>4180</v>
      </c>
      <c r="D1160" t="s">
        <v>11</v>
      </c>
      <c r="E1160" t="s">
        <v>13</v>
      </c>
      <c r="F1160" t="s">
        <v>1970</v>
      </c>
      <c r="G1160" t="s">
        <v>12</v>
      </c>
      <c r="I1160" t="s">
        <v>4179</v>
      </c>
      <c r="J1160" t="s">
        <v>5349</v>
      </c>
      <c r="K1160" s="11">
        <v>42.338278315196099</v>
      </c>
      <c r="L1160" s="9">
        <v>0.21682072905908689</v>
      </c>
      <c r="M1160" s="10">
        <v>182.77391252257129</v>
      </c>
      <c r="N1160" s="10">
        <v>201.05130377482843</v>
      </c>
    </row>
    <row r="1161" spans="1:14">
      <c r="A1161" t="s">
        <v>1967</v>
      </c>
      <c r="B1161" t="s">
        <v>4181</v>
      </c>
      <c r="C1161" t="s">
        <v>4182</v>
      </c>
      <c r="D1161" t="s">
        <v>11</v>
      </c>
      <c r="E1161" t="s">
        <v>13</v>
      </c>
      <c r="F1161" t="s">
        <v>1970</v>
      </c>
      <c r="G1161" t="s">
        <v>12</v>
      </c>
      <c r="I1161" t="s">
        <v>4181</v>
      </c>
      <c r="J1161" t="s">
        <v>5350</v>
      </c>
      <c r="K1161" s="11">
        <v>15.055502356440844</v>
      </c>
      <c r="L1161" s="9">
        <v>0.22904122774901131</v>
      </c>
      <c r="M1161" s="10">
        <v>101.35569614196579</v>
      </c>
      <c r="N1161" s="10">
        <v>111.49126575616238</v>
      </c>
    </row>
    <row r="1162" spans="1:14">
      <c r="A1162" t="s">
        <v>1967</v>
      </c>
      <c r="B1162" t="s">
        <v>4183</v>
      </c>
      <c r="C1162" t="s">
        <v>4184</v>
      </c>
      <c r="D1162" t="s">
        <v>11</v>
      </c>
      <c r="E1162" t="s">
        <v>13</v>
      </c>
      <c r="F1162" t="s">
        <v>1970</v>
      </c>
      <c r="G1162" t="s">
        <v>12</v>
      </c>
      <c r="I1162" t="s">
        <v>4183</v>
      </c>
      <c r="J1162" t="s">
        <v>5351</v>
      </c>
      <c r="K1162" s="11">
        <v>39.418002634881503</v>
      </c>
      <c r="L1162" s="9">
        <v>0.23517238171584379</v>
      </c>
      <c r="M1162" s="10">
        <v>178.54864030321718</v>
      </c>
      <c r="N1162" s="10">
        <v>196.4035043335389</v>
      </c>
    </row>
    <row r="1163" spans="1:14">
      <c r="A1163" t="s">
        <v>1967</v>
      </c>
      <c r="B1163" t="s">
        <v>4185</v>
      </c>
      <c r="C1163" t="s">
        <v>4186</v>
      </c>
      <c r="D1163" t="s">
        <v>11</v>
      </c>
      <c r="E1163" t="s">
        <v>13</v>
      </c>
      <c r="F1163" t="s">
        <v>1970</v>
      </c>
      <c r="G1163" t="s">
        <v>12</v>
      </c>
      <c r="I1163" t="s">
        <v>4185</v>
      </c>
      <c r="J1163" t="s">
        <v>5352</v>
      </c>
      <c r="K1163" s="11">
        <v>13.545796249372852</v>
      </c>
      <c r="L1163" s="9">
        <v>0.2374166035455734</v>
      </c>
      <c r="M1163" s="10">
        <v>345.79672293928905</v>
      </c>
      <c r="N1163" s="10">
        <v>380.37639523321798</v>
      </c>
    </row>
    <row r="1164" spans="1:14">
      <c r="A1164" t="s">
        <v>1967</v>
      </c>
      <c r="B1164" t="s">
        <v>4187</v>
      </c>
      <c r="C1164" t="s">
        <v>4188</v>
      </c>
      <c r="D1164" t="s">
        <v>11</v>
      </c>
      <c r="E1164" t="s">
        <v>13</v>
      </c>
      <c r="F1164" t="s">
        <v>1970</v>
      </c>
      <c r="G1164" t="s">
        <v>12</v>
      </c>
      <c r="I1164" t="s">
        <v>4187</v>
      </c>
      <c r="J1164" t="s">
        <v>5353</v>
      </c>
      <c r="K1164" s="11">
        <v>13.349242838598071</v>
      </c>
      <c r="L1164" s="9">
        <v>0.23255573544720859</v>
      </c>
      <c r="M1164" s="11">
        <v>52.948541864942143</v>
      </c>
      <c r="N1164" s="11">
        <v>58.243396051436363</v>
      </c>
    </row>
    <row r="1165" spans="1:14">
      <c r="A1165" t="s">
        <v>1967</v>
      </c>
      <c r="B1165" t="s">
        <v>4189</v>
      </c>
      <c r="C1165" t="s">
        <v>4186</v>
      </c>
      <c r="D1165" t="s">
        <v>11</v>
      </c>
      <c r="E1165" t="s">
        <v>13</v>
      </c>
      <c r="F1165" t="s">
        <v>1970</v>
      </c>
      <c r="G1165" t="s">
        <v>12</v>
      </c>
      <c r="I1165" t="s">
        <v>4189</v>
      </c>
      <c r="J1165" t="s">
        <v>5354</v>
      </c>
      <c r="K1165" s="11">
        <v>34.670010553411508</v>
      </c>
      <c r="L1165" s="9">
        <v>0.23584595062508251</v>
      </c>
      <c r="M1165" s="10">
        <v>195.12452809044359</v>
      </c>
      <c r="N1165" s="10">
        <v>214.63698089948798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2CCA-CC51-44AF-A20C-31610DDA8618}">
  <dimension ref="A1:Z1000"/>
  <sheetViews>
    <sheetView workbookViewId="0"/>
  </sheetViews>
  <sheetFormatPr defaultRowHeight="14.25"/>
  <sheetData>
    <row r="1" spans="1:26">
      <c r="A1" t="s">
        <v>0</v>
      </c>
      <c r="I1" t="s">
        <v>1</v>
      </c>
      <c r="P1" t="s">
        <v>0</v>
      </c>
      <c r="X1" t="s">
        <v>1</v>
      </c>
    </row>
    <row r="2" spans="1:26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I2" t="s">
        <v>3</v>
      </c>
      <c r="J2" t="s">
        <v>9</v>
      </c>
      <c r="K2" t="s">
        <v>10</v>
      </c>
      <c r="L2" t="s">
        <v>4190</v>
      </c>
      <c r="M2" t="s">
        <v>4191</v>
      </c>
      <c r="N2" t="s">
        <v>14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X2" t="s">
        <v>3</v>
      </c>
      <c r="Y2" t="s">
        <v>9</v>
      </c>
      <c r="Z2" t="s">
        <v>641</v>
      </c>
    </row>
    <row r="3" spans="1:26">
      <c r="A3" t="s">
        <v>1967</v>
      </c>
      <c r="B3" t="s">
        <v>5667</v>
      </c>
      <c r="C3" t="s">
        <v>5668</v>
      </c>
      <c r="D3" t="s">
        <v>11</v>
      </c>
      <c r="E3" t="s">
        <v>13</v>
      </c>
      <c r="F3" t="s">
        <v>1970</v>
      </c>
      <c r="G3" t="s">
        <v>12</v>
      </c>
      <c r="I3" t="s">
        <v>5667</v>
      </c>
      <c r="J3" t="s">
        <v>7546</v>
      </c>
      <c r="K3" s="11">
        <v>24.496098626393113</v>
      </c>
      <c r="L3" s="9">
        <v>0.13070244928769831</v>
      </c>
      <c r="M3" s="10">
        <v>231.32590491775579</v>
      </c>
      <c r="N3" s="10">
        <v>254.45849540953139</v>
      </c>
      <c r="P3" t="s">
        <v>1967</v>
      </c>
      <c r="Q3" t="s">
        <v>8544</v>
      </c>
      <c r="R3" t="s">
        <v>8545</v>
      </c>
      <c r="S3" t="s">
        <v>11</v>
      </c>
      <c r="T3" t="s">
        <v>13</v>
      </c>
      <c r="U3" t="s">
        <v>75</v>
      </c>
      <c r="V3" t="s">
        <v>12</v>
      </c>
      <c r="X3" t="s">
        <v>8544</v>
      </c>
      <c r="Y3" t="s">
        <v>76</v>
      </c>
      <c r="Z3" s="9">
        <v>1</v>
      </c>
    </row>
    <row r="4" spans="1:26">
      <c r="A4" t="s">
        <v>1967</v>
      </c>
      <c r="B4" t="s">
        <v>5669</v>
      </c>
      <c r="C4" t="s">
        <v>5670</v>
      </c>
      <c r="D4" t="s">
        <v>11</v>
      </c>
      <c r="E4" t="s">
        <v>13</v>
      </c>
      <c r="F4" t="s">
        <v>1970</v>
      </c>
      <c r="G4" t="s">
        <v>12</v>
      </c>
      <c r="I4" t="s">
        <v>5669</v>
      </c>
      <c r="J4" t="s">
        <v>7547</v>
      </c>
      <c r="K4" s="9">
        <v>3.7606503954125543</v>
      </c>
      <c r="L4" s="9">
        <v>0.13775825525614649</v>
      </c>
      <c r="M4" s="10">
        <v>194.23722496514441</v>
      </c>
      <c r="N4" s="10">
        <v>213.66094746165888</v>
      </c>
      <c r="P4" t="s">
        <v>1967</v>
      </c>
      <c r="Q4" t="s">
        <v>8546</v>
      </c>
      <c r="R4" t="s">
        <v>8547</v>
      </c>
      <c r="S4" t="s">
        <v>11</v>
      </c>
      <c r="T4" t="s">
        <v>13</v>
      </c>
      <c r="U4" t="s">
        <v>75</v>
      </c>
      <c r="V4" t="s">
        <v>12</v>
      </c>
      <c r="X4" t="s">
        <v>8546</v>
      </c>
      <c r="Y4" t="s">
        <v>76</v>
      </c>
      <c r="Z4" s="9">
        <v>1</v>
      </c>
    </row>
    <row r="5" spans="1:26">
      <c r="A5" t="s">
        <v>1967</v>
      </c>
      <c r="B5" t="s">
        <v>5671</v>
      </c>
      <c r="C5" t="s">
        <v>5672</v>
      </c>
      <c r="D5" t="s">
        <v>11</v>
      </c>
      <c r="E5" t="s">
        <v>13</v>
      </c>
      <c r="F5" t="s">
        <v>1970</v>
      </c>
      <c r="G5" t="s">
        <v>12</v>
      </c>
      <c r="I5" t="s">
        <v>5671</v>
      </c>
      <c r="J5" t="s">
        <v>7548</v>
      </c>
      <c r="K5" s="11">
        <v>13.42382260616934</v>
      </c>
      <c r="L5" s="9">
        <v>0.16474966320264309</v>
      </c>
      <c r="M5" s="11">
        <v>88.765689401142581</v>
      </c>
      <c r="N5" s="11">
        <v>97.642258341256849</v>
      </c>
      <c r="P5" t="s">
        <v>1967</v>
      </c>
      <c r="Q5" t="s">
        <v>8548</v>
      </c>
      <c r="R5" t="s">
        <v>8549</v>
      </c>
      <c r="S5" t="s">
        <v>11</v>
      </c>
      <c r="T5" t="s">
        <v>13</v>
      </c>
      <c r="U5" t="s">
        <v>75</v>
      </c>
      <c r="V5" t="s">
        <v>12</v>
      </c>
      <c r="X5" t="s">
        <v>8548</v>
      </c>
      <c r="Y5" t="s">
        <v>76</v>
      </c>
      <c r="Z5" s="9">
        <v>1</v>
      </c>
    </row>
    <row r="6" spans="1:26">
      <c r="A6" t="s">
        <v>1967</v>
      </c>
      <c r="B6" t="s">
        <v>5673</v>
      </c>
      <c r="C6" t="s">
        <v>5672</v>
      </c>
      <c r="D6" t="s">
        <v>11</v>
      </c>
      <c r="E6" t="s">
        <v>13</v>
      </c>
      <c r="F6" t="s">
        <v>1970</v>
      </c>
      <c r="G6" t="s">
        <v>12</v>
      </c>
      <c r="I6" t="s">
        <v>5673</v>
      </c>
      <c r="J6" t="s">
        <v>7549</v>
      </c>
      <c r="K6" s="11">
        <v>46.608185981280997</v>
      </c>
      <c r="L6" s="9">
        <v>0.24005215213762479</v>
      </c>
      <c r="M6" s="10">
        <v>165.20126341817326</v>
      </c>
      <c r="N6" s="10">
        <v>181.72138975999059</v>
      </c>
      <c r="P6" t="s">
        <v>1967</v>
      </c>
      <c r="Q6" t="s">
        <v>8550</v>
      </c>
      <c r="R6" t="s">
        <v>8551</v>
      </c>
      <c r="S6" t="s">
        <v>11</v>
      </c>
      <c r="T6" t="s">
        <v>13</v>
      </c>
      <c r="U6" t="s">
        <v>75</v>
      </c>
      <c r="V6" t="s">
        <v>12</v>
      </c>
      <c r="X6" t="s">
        <v>8550</v>
      </c>
      <c r="Y6" t="s">
        <v>76</v>
      </c>
      <c r="Z6" s="9">
        <v>1</v>
      </c>
    </row>
    <row r="7" spans="1:26">
      <c r="A7" t="s">
        <v>1967</v>
      </c>
      <c r="B7" t="s">
        <v>5674</v>
      </c>
      <c r="C7" t="s">
        <v>5675</v>
      </c>
      <c r="D7" t="s">
        <v>11</v>
      </c>
      <c r="E7" t="s">
        <v>13</v>
      </c>
      <c r="F7" t="s">
        <v>1970</v>
      </c>
      <c r="G7" t="s">
        <v>12</v>
      </c>
      <c r="I7" t="s">
        <v>5674</v>
      </c>
      <c r="J7" t="s">
        <v>7550</v>
      </c>
      <c r="K7" s="11">
        <v>28.981007791915285</v>
      </c>
      <c r="L7" s="9">
        <v>0.221333949796893</v>
      </c>
      <c r="M7" s="11">
        <v>81.118172166109659</v>
      </c>
      <c r="N7" s="11">
        <v>89.229989382720632</v>
      </c>
      <c r="P7" t="s">
        <v>1967</v>
      </c>
      <c r="Q7" t="s">
        <v>8552</v>
      </c>
      <c r="R7" t="s">
        <v>8553</v>
      </c>
      <c r="S7" t="s">
        <v>11</v>
      </c>
      <c r="T7" t="s">
        <v>13</v>
      </c>
      <c r="U7" t="s">
        <v>75</v>
      </c>
      <c r="V7" t="s">
        <v>12</v>
      </c>
      <c r="X7" t="s">
        <v>8552</v>
      </c>
      <c r="Y7" t="s">
        <v>76</v>
      </c>
      <c r="Z7" s="9">
        <v>1</v>
      </c>
    </row>
    <row r="8" spans="1:26">
      <c r="A8" t="s">
        <v>1967</v>
      </c>
      <c r="B8" t="s">
        <v>5676</v>
      </c>
      <c r="C8" t="s">
        <v>5677</v>
      </c>
      <c r="D8" t="s">
        <v>11</v>
      </c>
      <c r="E8" t="s">
        <v>13</v>
      </c>
      <c r="F8" t="s">
        <v>1970</v>
      </c>
      <c r="G8" t="s">
        <v>12</v>
      </c>
      <c r="I8" t="s">
        <v>5676</v>
      </c>
      <c r="J8" t="s">
        <v>7551</v>
      </c>
      <c r="K8" s="11">
        <v>16.157303131153224</v>
      </c>
      <c r="L8" s="9">
        <v>0.2322023544106237</v>
      </c>
      <c r="M8" s="10">
        <v>149.23421017670418</v>
      </c>
      <c r="N8" s="10">
        <v>164.1576311943746</v>
      </c>
      <c r="P8" t="s">
        <v>1967</v>
      </c>
      <c r="Q8" t="s">
        <v>8554</v>
      </c>
      <c r="R8" t="s">
        <v>8555</v>
      </c>
      <c r="S8" t="s">
        <v>11</v>
      </c>
      <c r="T8" t="s">
        <v>13</v>
      </c>
      <c r="U8" t="s">
        <v>75</v>
      </c>
      <c r="V8" t="s">
        <v>12</v>
      </c>
      <c r="X8" t="s">
        <v>8554</v>
      </c>
      <c r="Y8" t="s">
        <v>76</v>
      </c>
      <c r="Z8" s="9">
        <v>1</v>
      </c>
    </row>
    <row r="9" spans="1:26">
      <c r="A9" t="s">
        <v>1967</v>
      </c>
      <c r="B9" t="s">
        <v>5678</v>
      </c>
      <c r="C9" t="s">
        <v>5679</v>
      </c>
      <c r="D9" t="s">
        <v>11</v>
      </c>
      <c r="E9" t="s">
        <v>13</v>
      </c>
      <c r="F9" t="s">
        <v>1970</v>
      </c>
      <c r="G9" t="s">
        <v>12</v>
      </c>
      <c r="I9" t="s">
        <v>5678</v>
      </c>
      <c r="J9" t="s">
        <v>7552</v>
      </c>
      <c r="K9" s="11">
        <v>95.103968352712926</v>
      </c>
      <c r="L9" s="9">
        <v>0.41045596368904141</v>
      </c>
      <c r="M9" s="10">
        <v>139.26386046314531</v>
      </c>
      <c r="N9" s="10">
        <v>153.19024650945985</v>
      </c>
      <c r="P9" t="s">
        <v>1967</v>
      </c>
      <c r="Q9" t="s">
        <v>8556</v>
      </c>
      <c r="R9" t="s">
        <v>8557</v>
      </c>
      <c r="S9" t="s">
        <v>11</v>
      </c>
      <c r="T9" t="s">
        <v>13</v>
      </c>
      <c r="U9" t="s">
        <v>75</v>
      </c>
      <c r="V9" t="s">
        <v>12</v>
      </c>
      <c r="X9" t="s">
        <v>8556</v>
      </c>
      <c r="Y9" t="s">
        <v>76</v>
      </c>
      <c r="Z9" s="9">
        <v>1</v>
      </c>
    </row>
    <row r="10" spans="1:26">
      <c r="A10" t="s">
        <v>1967</v>
      </c>
      <c r="B10" t="s">
        <v>5680</v>
      </c>
      <c r="C10" t="s">
        <v>5681</v>
      </c>
      <c r="D10" t="s">
        <v>11</v>
      </c>
      <c r="E10" t="s">
        <v>13</v>
      </c>
      <c r="F10" t="s">
        <v>1970</v>
      </c>
      <c r="G10" t="s">
        <v>12</v>
      </c>
      <c r="I10" t="s">
        <v>5680</v>
      </c>
      <c r="J10" t="s">
        <v>7553</v>
      </c>
      <c r="K10" s="9">
        <v>9.5834129775728023</v>
      </c>
      <c r="L10" s="9">
        <v>0.1356440519895499</v>
      </c>
      <c r="M10" s="10">
        <v>152.0914171879391</v>
      </c>
      <c r="N10" s="10">
        <v>167.30055890673302</v>
      </c>
      <c r="P10" t="s">
        <v>1967</v>
      </c>
      <c r="Q10" t="s">
        <v>8558</v>
      </c>
      <c r="R10" t="s">
        <v>8559</v>
      </c>
      <c r="S10" t="s">
        <v>11</v>
      </c>
      <c r="T10" t="s">
        <v>13</v>
      </c>
      <c r="U10" t="s">
        <v>75</v>
      </c>
      <c r="V10" t="s">
        <v>12</v>
      </c>
      <c r="X10" t="s">
        <v>8558</v>
      </c>
      <c r="Y10" t="s">
        <v>76</v>
      </c>
      <c r="Z10" s="9">
        <v>1</v>
      </c>
    </row>
    <row r="11" spans="1:26">
      <c r="A11" t="s">
        <v>1967</v>
      </c>
      <c r="B11" t="s">
        <v>5682</v>
      </c>
      <c r="C11" t="s">
        <v>5683</v>
      </c>
      <c r="D11" t="s">
        <v>11</v>
      </c>
      <c r="E11" t="s">
        <v>13</v>
      </c>
      <c r="F11" t="s">
        <v>1970</v>
      </c>
      <c r="G11" t="s">
        <v>12</v>
      </c>
      <c r="I11" t="s">
        <v>5682</v>
      </c>
      <c r="J11" t="s">
        <v>7554</v>
      </c>
      <c r="K11" s="11">
        <v>12.296203200975068</v>
      </c>
      <c r="L11" s="9">
        <v>0.1105882457055137</v>
      </c>
      <c r="M11" s="10">
        <v>141.2254533963382</v>
      </c>
      <c r="N11" s="10">
        <v>155.34799873597203</v>
      </c>
      <c r="P11" t="s">
        <v>1967</v>
      </c>
      <c r="Q11" t="s">
        <v>8560</v>
      </c>
      <c r="R11" t="s">
        <v>8561</v>
      </c>
      <c r="S11" t="s">
        <v>11</v>
      </c>
      <c r="T11" t="s">
        <v>13</v>
      </c>
      <c r="U11" t="s">
        <v>75</v>
      </c>
      <c r="V11" t="s">
        <v>12</v>
      </c>
      <c r="X11" t="s">
        <v>8560</v>
      </c>
      <c r="Y11" t="s">
        <v>76</v>
      </c>
      <c r="Z11" s="9">
        <v>1</v>
      </c>
    </row>
    <row r="12" spans="1:26">
      <c r="A12" t="s">
        <v>1967</v>
      </c>
      <c r="B12" t="s">
        <v>5684</v>
      </c>
      <c r="C12" t="s">
        <v>5681</v>
      </c>
      <c r="D12" t="s">
        <v>11</v>
      </c>
      <c r="E12" t="s">
        <v>13</v>
      </c>
      <c r="F12" t="s">
        <v>1970</v>
      </c>
      <c r="G12" t="s">
        <v>12</v>
      </c>
      <c r="I12" t="s">
        <v>5684</v>
      </c>
      <c r="J12" t="s">
        <v>7555</v>
      </c>
      <c r="K12" s="11">
        <v>14.328232454813868</v>
      </c>
      <c r="L12" s="12">
        <v>9.5508097255920799E-2</v>
      </c>
      <c r="M12" s="10">
        <v>112.48732858518778</v>
      </c>
      <c r="N12" s="10">
        <v>123.73606144370657</v>
      </c>
      <c r="P12" t="s">
        <v>1967</v>
      </c>
      <c r="Q12" t="s">
        <v>8562</v>
      </c>
      <c r="R12" t="s">
        <v>8563</v>
      </c>
      <c r="S12" t="s">
        <v>11</v>
      </c>
      <c r="T12" t="s">
        <v>13</v>
      </c>
      <c r="U12" t="s">
        <v>75</v>
      </c>
      <c r="V12" t="s">
        <v>12</v>
      </c>
      <c r="X12" t="s">
        <v>8562</v>
      </c>
      <c r="Y12" t="s">
        <v>76</v>
      </c>
      <c r="Z12" s="9">
        <v>1</v>
      </c>
    </row>
    <row r="13" spans="1:26">
      <c r="A13" t="s">
        <v>1967</v>
      </c>
      <c r="B13" t="s">
        <v>5685</v>
      </c>
      <c r="C13" t="s">
        <v>5686</v>
      </c>
      <c r="D13" t="s">
        <v>11</v>
      </c>
      <c r="E13" t="s">
        <v>13</v>
      </c>
      <c r="F13" t="s">
        <v>1970</v>
      </c>
      <c r="G13" t="s">
        <v>12</v>
      </c>
      <c r="I13" t="s">
        <v>5685</v>
      </c>
      <c r="J13" t="s">
        <v>7556</v>
      </c>
      <c r="K13" s="11">
        <v>64.119047888543633</v>
      </c>
      <c r="L13" s="9">
        <v>0.1297870736424295</v>
      </c>
      <c r="M13" s="10">
        <v>222.30006273077689</v>
      </c>
      <c r="N13" s="10">
        <v>244.53006900385461</v>
      </c>
      <c r="P13" t="s">
        <v>1967</v>
      </c>
      <c r="Q13" t="s">
        <v>8564</v>
      </c>
      <c r="R13" t="s">
        <v>8565</v>
      </c>
      <c r="S13" t="s">
        <v>11</v>
      </c>
      <c r="T13" t="s">
        <v>13</v>
      </c>
      <c r="U13" t="s">
        <v>75</v>
      </c>
      <c r="V13" t="s">
        <v>12</v>
      </c>
      <c r="X13" t="s">
        <v>8564</v>
      </c>
      <c r="Y13" t="s">
        <v>76</v>
      </c>
      <c r="Z13" s="9">
        <v>1</v>
      </c>
    </row>
    <row r="14" spans="1:26">
      <c r="A14" t="s">
        <v>1967</v>
      </c>
      <c r="B14" t="s">
        <v>5687</v>
      </c>
      <c r="C14" t="s">
        <v>5688</v>
      </c>
      <c r="D14" t="s">
        <v>11</v>
      </c>
      <c r="E14" t="s">
        <v>13</v>
      </c>
      <c r="F14" t="s">
        <v>1970</v>
      </c>
      <c r="G14" t="s">
        <v>12</v>
      </c>
      <c r="I14" t="s">
        <v>5687</v>
      </c>
      <c r="J14" t="s">
        <v>7557</v>
      </c>
      <c r="K14" s="11">
        <v>30.446662487869609</v>
      </c>
      <c r="L14" s="9">
        <v>0.107940756610168</v>
      </c>
      <c r="M14" s="10">
        <v>120.90552667271788</v>
      </c>
      <c r="N14" s="10">
        <v>132.99607933998968</v>
      </c>
      <c r="P14" t="s">
        <v>1967</v>
      </c>
      <c r="Q14" t="s">
        <v>8566</v>
      </c>
      <c r="R14" t="s">
        <v>8567</v>
      </c>
      <c r="S14" t="s">
        <v>11</v>
      </c>
      <c r="T14" t="s">
        <v>13</v>
      </c>
      <c r="U14" t="s">
        <v>75</v>
      </c>
      <c r="V14" t="s">
        <v>12</v>
      </c>
      <c r="X14" t="s">
        <v>8566</v>
      </c>
      <c r="Y14" t="s">
        <v>76</v>
      </c>
      <c r="Z14" s="9">
        <v>1</v>
      </c>
    </row>
    <row r="15" spans="1:26">
      <c r="A15" t="s">
        <v>1967</v>
      </c>
      <c r="B15" t="s">
        <v>5689</v>
      </c>
      <c r="C15" t="s">
        <v>5690</v>
      </c>
      <c r="D15" t="s">
        <v>11</v>
      </c>
      <c r="E15" t="s">
        <v>13</v>
      </c>
      <c r="F15" t="s">
        <v>1970</v>
      </c>
      <c r="G15" t="s">
        <v>12</v>
      </c>
      <c r="I15" t="s">
        <v>5689</v>
      </c>
      <c r="J15" t="s">
        <v>7558</v>
      </c>
      <c r="K15" s="9">
        <v>1.7172015511424894</v>
      </c>
      <c r="L15" s="12">
        <v>8.8429519956854094E-2</v>
      </c>
      <c r="M15" s="11">
        <v>94.081891796152519</v>
      </c>
      <c r="N15" s="10">
        <v>103.49008097576778</v>
      </c>
      <c r="P15" t="s">
        <v>1967</v>
      </c>
      <c r="Q15" t="s">
        <v>8568</v>
      </c>
      <c r="R15" t="s">
        <v>8569</v>
      </c>
      <c r="S15" t="s">
        <v>11</v>
      </c>
      <c r="T15" t="s">
        <v>13</v>
      </c>
      <c r="U15" t="s">
        <v>75</v>
      </c>
      <c r="V15" t="s">
        <v>12</v>
      </c>
      <c r="X15" t="s">
        <v>8568</v>
      </c>
      <c r="Y15" t="s">
        <v>76</v>
      </c>
      <c r="Z15" s="9">
        <v>1</v>
      </c>
    </row>
    <row r="16" spans="1:26">
      <c r="A16" t="s">
        <v>1967</v>
      </c>
      <c r="B16" t="s">
        <v>5691</v>
      </c>
      <c r="C16" t="s">
        <v>5692</v>
      </c>
      <c r="D16" t="s">
        <v>11</v>
      </c>
      <c r="E16" t="s">
        <v>13</v>
      </c>
      <c r="F16" t="s">
        <v>1970</v>
      </c>
      <c r="G16" t="s">
        <v>12</v>
      </c>
      <c r="I16" t="s">
        <v>5691</v>
      </c>
      <c r="J16" t="s">
        <v>7559</v>
      </c>
      <c r="K16" s="11">
        <v>59.339749990240755</v>
      </c>
      <c r="L16" s="9">
        <v>0.14473240907357979</v>
      </c>
      <c r="M16" s="10">
        <v>154.28204335028605</v>
      </c>
      <c r="N16" s="10">
        <v>169.71024768531467</v>
      </c>
      <c r="P16" t="s">
        <v>1967</v>
      </c>
      <c r="Q16" t="s">
        <v>8570</v>
      </c>
      <c r="R16" t="s">
        <v>8571</v>
      </c>
      <c r="S16" t="s">
        <v>11</v>
      </c>
      <c r="T16" t="s">
        <v>13</v>
      </c>
      <c r="U16" t="s">
        <v>75</v>
      </c>
      <c r="V16" t="s">
        <v>12</v>
      </c>
      <c r="X16" t="s">
        <v>8570</v>
      </c>
      <c r="Y16" t="s">
        <v>76</v>
      </c>
      <c r="Z16" s="9">
        <v>1</v>
      </c>
    </row>
    <row r="17" spans="1:26">
      <c r="A17" t="s">
        <v>1967</v>
      </c>
      <c r="B17" t="s">
        <v>5693</v>
      </c>
      <c r="C17" t="s">
        <v>5694</v>
      </c>
      <c r="D17" t="s">
        <v>11</v>
      </c>
      <c r="E17" t="s">
        <v>13</v>
      </c>
      <c r="F17" t="s">
        <v>1970</v>
      </c>
      <c r="G17" t="s">
        <v>12</v>
      </c>
      <c r="I17" t="s">
        <v>5693</v>
      </c>
      <c r="J17" t="s">
        <v>7560</v>
      </c>
      <c r="K17" s="11">
        <v>52.183257001324719</v>
      </c>
      <c r="L17" s="9">
        <v>0.12938394364275341</v>
      </c>
      <c r="M17" s="10">
        <v>199.70193807280381</v>
      </c>
      <c r="N17" s="10">
        <v>219.67213188008421</v>
      </c>
      <c r="P17" t="s">
        <v>1967</v>
      </c>
      <c r="Q17" t="s">
        <v>8572</v>
      </c>
      <c r="R17" t="s">
        <v>8573</v>
      </c>
      <c r="S17" t="s">
        <v>11</v>
      </c>
      <c r="T17" t="s">
        <v>13</v>
      </c>
      <c r="U17" t="s">
        <v>75</v>
      </c>
      <c r="V17" t="s">
        <v>12</v>
      </c>
      <c r="X17" t="s">
        <v>8572</v>
      </c>
      <c r="Y17" t="s">
        <v>76</v>
      </c>
      <c r="Z17" s="9">
        <v>1</v>
      </c>
    </row>
    <row r="18" spans="1:26">
      <c r="A18" t="s">
        <v>1967</v>
      </c>
      <c r="B18" t="s">
        <v>5695</v>
      </c>
      <c r="C18" t="s">
        <v>5696</v>
      </c>
      <c r="D18" t="s">
        <v>11</v>
      </c>
      <c r="E18" t="s">
        <v>13</v>
      </c>
      <c r="F18" t="s">
        <v>1970</v>
      </c>
      <c r="G18" t="s">
        <v>12</v>
      </c>
      <c r="I18" t="s">
        <v>5695</v>
      </c>
      <c r="J18" t="s">
        <v>7561</v>
      </c>
      <c r="K18" s="10">
        <v>140.21076354036825</v>
      </c>
      <c r="L18" s="9">
        <v>0.16762229926057659</v>
      </c>
      <c r="M18" s="10">
        <v>367.32104698116922</v>
      </c>
      <c r="N18" s="10">
        <v>404.05315167928615</v>
      </c>
      <c r="P18" t="s">
        <v>1967</v>
      </c>
      <c r="Q18" t="s">
        <v>8574</v>
      </c>
      <c r="R18" t="s">
        <v>8575</v>
      </c>
      <c r="S18" t="s">
        <v>11</v>
      </c>
      <c r="T18" t="s">
        <v>13</v>
      </c>
      <c r="U18" t="s">
        <v>75</v>
      </c>
      <c r="V18" t="s">
        <v>12</v>
      </c>
      <c r="X18" t="s">
        <v>8574</v>
      </c>
      <c r="Y18" t="s">
        <v>76</v>
      </c>
      <c r="Z18" s="9">
        <v>1</v>
      </c>
    </row>
    <row r="19" spans="1:26">
      <c r="A19" t="s">
        <v>1967</v>
      </c>
      <c r="B19" t="s">
        <v>5697</v>
      </c>
      <c r="C19" t="s">
        <v>5698</v>
      </c>
      <c r="D19" t="s">
        <v>11</v>
      </c>
      <c r="E19" t="s">
        <v>13</v>
      </c>
      <c r="F19" t="s">
        <v>1970</v>
      </c>
      <c r="G19" t="s">
        <v>12</v>
      </c>
      <c r="I19" t="s">
        <v>5697</v>
      </c>
      <c r="J19" t="s">
        <v>7562</v>
      </c>
      <c r="K19" s="12">
        <v>5.4041557945383942E-2</v>
      </c>
      <c r="L19" s="9">
        <v>0.1191412573937659</v>
      </c>
      <c r="M19" s="11">
        <v>27.034908085633024</v>
      </c>
      <c r="N19" s="11">
        <v>29.73839889419633</v>
      </c>
      <c r="P19" t="s">
        <v>1967</v>
      </c>
      <c r="Q19" t="s">
        <v>8576</v>
      </c>
      <c r="R19" t="s">
        <v>8577</v>
      </c>
      <c r="S19" t="s">
        <v>11</v>
      </c>
      <c r="T19" t="s">
        <v>13</v>
      </c>
      <c r="U19" t="s">
        <v>75</v>
      </c>
      <c r="V19" t="s">
        <v>12</v>
      </c>
      <c r="X19" t="s">
        <v>8576</v>
      </c>
      <c r="Y19" t="s">
        <v>76</v>
      </c>
      <c r="Z19" s="9">
        <v>1</v>
      </c>
    </row>
    <row r="20" spans="1:26">
      <c r="A20" t="s">
        <v>1967</v>
      </c>
      <c r="B20" t="s">
        <v>5699</v>
      </c>
      <c r="C20" t="s">
        <v>5700</v>
      </c>
      <c r="D20" t="s">
        <v>11</v>
      </c>
      <c r="E20" t="s">
        <v>13</v>
      </c>
      <c r="F20" t="s">
        <v>1970</v>
      </c>
      <c r="G20" t="s">
        <v>12</v>
      </c>
      <c r="I20" t="s">
        <v>5699</v>
      </c>
      <c r="J20" t="s">
        <v>7563</v>
      </c>
      <c r="K20" s="12">
        <v>5.5538252417288207E-2</v>
      </c>
      <c r="L20" s="9">
        <v>0.12755689351596741</v>
      </c>
      <c r="M20" s="11">
        <v>26.88820346313225</v>
      </c>
      <c r="N20" s="11">
        <v>29.577023809445478</v>
      </c>
      <c r="P20" t="s">
        <v>1967</v>
      </c>
      <c r="Q20" t="s">
        <v>8578</v>
      </c>
      <c r="R20" t="s">
        <v>8579</v>
      </c>
      <c r="S20" t="s">
        <v>11</v>
      </c>
      <c r="T20" t="s">
        <v>13</v>
      </c>
      <c r="U20" t="s">
        <v>75</v>
      </c>
      <c r="V20" t="s">
        <v>12</v>
      </c>
      <c r="X20" t="s">
        <v>8578</v>
      </c>
      <c r="Y20" t="s">
        <v>76</v>
      </c>
      <c r="Z20" s="9">
        <v>1</v>
      </c>
    </row>
    <row r="21" spans="1:26">
      <c r="A21" t="s">
        <v>1967</v>
      </c>
      <c r="B21" t="s">
        <v>5701</v>
      </c>
      <c r="C21" t="s">
        <v>5702</v>
      </c>
      <c r="D21" t="s">
        <v>11</v>
      </c>
      <c r="E21" t="s">
        <v>13</v>
      </c>
      <c r="F21" t="s">
        <v>1970</v>
      </c>
      <c r="G21" t="s">
        <v>12</v>
      </c>
      <c r="I21" t="s">
        <v>5701</v>
      </c>
      <c r="J21" t="s">
        <v>7564</v>
      </c>
      <c r="K21" s="11">
        <v>15.43748378619426</v>
      </c>
      <c r="L21" s="9">
        <v>0.25614747377993041</v>
      </c>
      <c r="M21" s="10">
        <v>256.87020351393619</v>
      </c>
      <c r="N21" s="10">
        <v>282.55722386532983</v>
      </c>
      <c r="P21" t="s">
        <v>1967</v>
      </c>
      <c r="Q21" t="s">
        <v>8580</v>
      </c>
      <c r="R21" t="s">
        <v>8581</v>
      </c>
      <c r="S21" t="s">
        <v>11</v>
      </c>
      <c r="T21" t="s">
        <v>13</v>
      </c>
      <c r="U21" t="s">
        <v>75</v>
      </c>
      <c r="V21" t="s">
        <v>12</v>
      </c>
      <c r="X21" t="s">
        <v>8580</v>
      </c>
      <c r="Y21" t="s">
        <v>76</v>
      </c>
      <c r="Z21" s="9">
        <v>1</v>
      </c>
    </row>
    <row r="22" spans="1:26">
      <c r="A22" t="s">
        <v>1967</v>
      </c>
      <c r="B22" t="s">
        <v>5703</v>
      </c>
      <c r="C22" t="s">
        <v>5702</v>
      </c>
      <c r="D22" t="s">
        <v>11</v>
      </c>
      <c r="E22" t="s">
        <v>13</v>
      </c>
      <c r="F22" t="s">
        <v>1970</v>
      </c>
      <c r="G22" t="s">
        <v>12</v>
      </c>
      <c r="I22" t="s">
        <v>5703</v>
      </c>
      <c r="J22" t="s">
        <v>7565</v>
      </c>
      <c r="K22" s="11">
        <v>28.426462293377092</v>
      </c>
      <c r="L22" s="9">
        <v>0.2436496905272994</v>
      </c>
      <c r="M22" s="10">
        <v>133.35930317644193</v>
      </c>
      <c r="N22" s="10">
        <v>146.69523349408612</v>
      </c>
      <c r="P22" t="s">
        <v>1967</v>
      </c>
      <c r="Q22" t="s">
        <v>8582</v>
      </c>
      <c r="R22" t="s">
        <v>8583</v>
      </c>
      <c r="S22" t="s">
        <v>11</v>
      </c>
      <c r="T22" t="s">
        <v>13</v>
      </c>
      <c r="U22" t="s">
        <v>75</v>
      </c>
      <c r="V22" t="s">
        <v>12</v>
      </c>
      <c r="X22" t="s">
        <v>8582</v>
      </c>
      <c r="Y22" t="s">
        <v>76</v>
      </c>
      <c r="Z22" s="9">
        <v>1</v>
      </c>
    </row>
    <row r="23" spans="1:26">
      <c r="A23" t="s">
        <v>1967</v>
      </c>
      <c r="B23" t="s">
        <v>5704</v>
      </c>
      <c r="C23" t="s">
        <v>5705</v>
      </c>
      <c r="D23" t="s">
        <v>11</v>
      </c>
      <c r="E23" t="s">
        <v>13</v>
      </c>
      <c r="F23" t="s">
        <v>1970</v>
      </c>
      <c r="G23" t="s">
        <v>12</v>
      </c>
      <c r="I23" t="s">
        <v>5704</v>
      </c>
      <c r="J23" t="s">
        <v>7566</v>
      </c>
      <c r="K23" s="9">
        <v>8.1283613626676292</v>
      </c>
      <c r="L23" s="9">
        <v>0.12688615543309531</v>
      </c>
      <c r="M23" s="11">
        <v>73.939221381692818</v>
      </c>
      <c r="N23" s="11">
        <v>81.333143519862105</v>
      </c>
      <c r="P23" t="s">
        <v>1967</v>
      </c>
      <c r="Q23" t="s">
        <v>8584</v>
      </c>
      <c r="R23" t="s">
        <v>8585</v>
      </c>
      <c r="S23" t="s">
        <v>11</v>
      </c>
      <c r="T23" t="s">
        <v>13</v>
      </c>
      <c r="U23" t="s">
        <v>75</v>
      </c>
      <c r="V23" t="s">
        <v>12</v>
      </c>
      <c r="X23" t="s">
        <v>8584</v>
      </c>
      <c r="Y23" t="s">
        <v>76</v>
      </c>
      <c r="Z23" s="9">
        <v>1</v>
      </c>
    </row>
    <row r="24" spans="1:26">
      <c r="A24" t="s">
        <v>1967</v>
      </c>
      <c r="B24" t="s">
        <v>5706</v>
      </c>
      <c r="C24" t="s">
        <v>5707</v>
      </c>
      <c r="D24" t="s">
        <v>11</v>
      </c>
      <c r="E24" t="s">
        <v>13</v>
      </c>
      <c r="F24" t="s">
        <v>1970</v>
      </c>
      <c r="G24" t="s">
        <v>12</v>
      </c>
      <c r="I24" t="s">
        <v>5706</v>
      </c>
      <c r="J24" t="s">
        <v>7567</v>
      </c>
      <c r="K24" s="11">
        <v>18.33051469103556</v>
      </c>
      <c r="L24" s="9">
        <v>0.18094392324991199</v>
      </c>
      <c r="M24" s="10">
        <v>147.15915174170431</v>
      </c>
      <c r="N24" s="10">
        <v>161.87506691587475</v>
      </c>
      <c r="P24" t="s">
        <v>1967</v>
      </c>
      <c r="Q24" t="s">
        <v>8586</v>
      </c>
      <c r="R24" t="s">
        <v>8587</v>
      </c>
      <c r="S24" t="s">
        <v>11</v>
      </c>
      <c r="T24" t="s">
        <v>13</v>
      </c>
      <c r="U24" t="s">
        <v>75</v>
      </c>
      <c r="V24" t="s">
        <v>12</v>
      </c>
      <c r="X24" t="s">
        <v>8586</v>
      </c>
      <c r="Y24" t="s">
        <v>76</v>
      </c>
      <c r="Z24" s="9">
        <v>1</v>
      </c>
    </row>
    <row r="25" spans="1:26">
      <c r="A25" t="s">
        <v>1967</v>
      </c>
      <c r="B25" t="s">
        <v>5708</v>
      </c>
      <c r="C25" t="s">
        <v>5709</v>
      </c>
      <c r="D25" t="s">
        <v>11</v>
      </c>
      <c r="E25" t="s">
        <v>13</v>
      </c>
      <c r="F25" t="s">
        <v>1970</v>
      </c>
      <c r="G25" t="s">
        <v>12</v>
      </c>
      <c r="I25" t="s">
        <v>5708</v>
      </c>
      <c r="J25" t="s">
        <v>7568</v>
      </c>
      <c r="K25" s="11">
        <v>30.891822490006803</v>
      </c>
      <c r="L25" s="9">
        <v>0.14370806834285629</v>
      </c>
      <c r="M25" s="10">
        <v>286.58594387436989</v>
      </c>
      <c r="N25" s="10">
        <v>315.24453826180689</v>
      </c>
      <c r="P25" t="s">
        <v>1967</v>
      </c>
      <c r="Q25" t="s">
        <v>8588</v>
      </c>
      <c r="R25" t="s">
        <v>8589</v>
      </c>
      <c r="S25" t="s">
        <v>11</v>
      </c>
      <c r="T25" t="s">
        <v>13</v>
      </c>
      <c r="U25" t="s">
        <v>75</v>
      </c>
      <c r="V25" t="s">
        <v>12</v>
      </c>
      <c r="X25" t="s">
        <v>8588</v>
      </c>
      <c r="Y25" t="s">
        <v>76</v>
      </c>
      <c r="Z25" s="9">
        <v>1</v>
      </c>
    </row>
    <row r="26" spans="1:26">
      <c r="A26" t="s">
        <v>1967</v>
      </c>
      <c r="B26" t="s">
        <v>5710</v>
      </c>
      <c r="C26" t="s">
        <v>5709</v>
      </c>
      <c r="D26" t="s">
        <v>11</v>
      </c>
      <c r="E26" t="s">
        <v>13</v>
      </c>
      <c r="F26" t="s">
        <v>1970</v>
      </c>
      <c r="G26" t="s">
        <v>12</v>
      </c>
      <c r="I26" t="s">
        <v>5710</v>
      </c>
      <c r="J26" t="s">
        <v>7569</v>
      </c>
      <c r="K26" s="10">
        <v>121.52578479120224</v>
      </c>
      <c r="L26" s="9">
        <v>0.255300139601086</v>
      </c>
      <c r="M26" s="10">
        <v>153.02347734102236</v>
      </c>
      <c r="N26" s="10">
        <v>168.32582507512461</v>
      </c>
      <c r="P26" t="s">
        <v>1967</v>
      </c>
      <c r="Q26" t="s">
        <v>8590</v>
      </c>
      <c r="R26" t="s">
        <v>8591</v>
      </c>
      <c r="S26" t="s">
        <v>11</v>
      </c>
      <c r="T26" t="s">
        <v>13</v>
      </c>
      <c r="U26" t="s">
        <v>75</v>
      </c>
      <c r="V26" t="s">
        <v>12</v>
      </c>
      <c r="X26" t="s">
        <v>8590</v>
      </c>
      <c r="Y26" t="s">
        <v>76</v>
      </c>
      <c r="Z26" s="9">
        <v>1</v>
      </c>
    </row>
    <row r="27" spans="1:26">
      <c r="A27" t="s">
        <v>1967</v>
      </c>
      <c r="B27" t="s">
        <v>5711</v>
      </c>
      <c r="C27" t="s">
        <v>5712</v>
      </c>
      <c r="D27" t="s">
        <v>11</v>
      </c>
      <c r="E27" t="s">
        <v>13</v>
      </c>
      <c r="F27" t="s">
        <v>1970</v>
      </c>
      <c r="G27" t="s">
        <v>12</v>
      </c>
      <c r="I27" t="s">
        <v>5711</v>
      </c>
      <c r="J27" t="s">
        <v>7570</v>
      </c>
      <c r="K27" s="10">
        <v>454.54181963131572</v>
      </c>
      <c r="L27" s="9">
        <v>0.47603761542327899</v>
      </c>
      <c r="M27" s="10">
        <v>187.28869149589124</v>
      </c>
      <c r="N27" s="10">
        <v>206.01756064548039</v>
      </c>
      <c r="P27" t="s">
        <v>1967</v>
      </c>
      <c r="Q27" t="s">
        <v>8592</v>
      </c>
      <c r="R27" t="s">
        <v>8593</v>
      </c>
      <c r="S27" t="s">
        <v>11</v>
      </c>
      <c r="T27" t="s">
        <v>13</v>
      </c>
      <c r="U27" t="s">
        <v>75</v>
      </c>
      <c r="V27" t="s">
        <v>12</v>
      </c>
      <c r="X27" t="s">
        <v>8592</v>
      </c>
      <c r="Y27" t="s">
        <v>76</v>
      </c>
      <c r="Z27" s="9">
        <v>1</v>
      </c>
    </row>
    <row r="28" spans="1:26">
      <c r="A28" t="s">
        <v>1967</v>
      </c>
      <c r="B28" t="s">
        <v>5713</v>
      </c>
      <c r="C28" t="s">
        <v>5714</v>
      </c>
      <c r="D28" t="s">
        <v>11</v>
      </c>
      <c r="E28" t="s">
        <v>13</v>
      </c>
      <c r="F28" t="s">
        <v>1970</v>
      </c>
      <c r="G28" t="s">
        <v>12</v>
      </c>
      <c r="I28" t="s">
        <v>5713</v>
      </c>
      <c r="J28" t="s">
        <v>7571</v>
      </c>
      <c r="K28" s="10">
        <v>122.679</v>
      </c>
      <c r="L28" s="9">
        <v>0.58379419550526035</v>
      </c>
      <c r="M28" s="10">
        <v>184.45063954958891</v>
      </c>
      <c r="N28" s="10">
        <v>202.89570350454781</v>
      </c>
      <c r="P28" t="s">
        <v>1967</v>
      </c>
      <c r="Q28" t="s">
        <v>8594</v>
      </c>
      <c r="R28" t="s">
        <v>8595</v>
      </c>
      <c r="S28" t="s">
        <v>11</v>
      </c>
      <c r="T28" t="s">
        <v>13</v>
      </c>
      <c r="U28" t="s">
        <v>75</v>
      </c>
      <c r="V28" t="s">
        <v>12</v>
      </c>
      <c r="X28" t="s">
        <v>8594</v>
      </c>
      <c r="Y28" t="s">
        <v>76</v>
      </c>
      <c r="Z28" s="9">
        <v>1</v>
      </c>
    </row>
    <row r="29" spans="1:26">
      <c r="A29" t="s">
        <v>1967</v>
      </c>
      <c r="B29" t="s">
        <v>5715</v>
      </c>
      <c r="C29" t="s">
        <v>5716</v>
      </c>
      <c r="D29" t="s">
        <v>11</v>
      </c>
      <c r="E29" t="s">
        <v>13</v>
      </c>
      <c r="F29" t="s">
        <v>1970</v>
      </c>
      <c r="G29" t="s">
        <v>12</v>
      </c>
      <c r="I29" t="s">
        <v>5715</v>
      </c>
      <c r="J29" t="s">
        <v>7572</v>
      </c>
      <c r="K29" s="10">
        <v>504.41344691202494</v>
      </c>
      <c r="L29" s="9">
        <v>0.48508275432260922</v>
      </c>
      <c r="M29" s="10">
        <v>291.13172161796251</v>
      </c>
      <c r="N29" s="10">
        <v>320.2448937797588</v>
      </c>
      <c r="P29" t="s">
        <v>1967</v>
      </c>
      <c r="Q29" t="s">
        <v>8596</v>
      </c>
      <c r="R29" t="s">
        <v>8597</v>
      </c>
      <c r="S29" t="s">
        <v>11</v>
      </c>
      <c r="T29" t="s">
        <v>13</v>
      </c>
      <c r="U29" t="s">
        <v>75</v>
      </c>
      <c r="V29" t="s">
        <v>12</v>
      </c>
      <c r="X29" t="s">
        <v>8596</v>
      </c>
      <c r="Y29" t="s">
        <v>76</v>
      </c>
      <c r="Z29" s="9">
        <v>1</v>
      </c>
    </row>
    <row r="30" spans="1:26">
      <c r="A30" t="s">
        <v>1967</v>
      </c>
      <c r="B30" t="s">
        <v>5717</v>
      </c>
      <c r="C30" t="s">
        <v>5718</v>
      </c>
      <c r="D30" t="s">
        <v>11</v>
      </c>
      <c r="E30" t="s">
        <v>13</v>
      </c>
      <c r="F30" t="s">
        <v>1970</v>
      </c>
      <c r="G30" t="s">
        <v>12</v>
      </c>
      <c r="I30" t="s">
        <v>5717</v>
      </c>
      <c r="J30" t="s">
        <v>7573</v>
      </c>
      <c r="K30" s="11">
        <v>94.469537833044555</v>
      </c>
      <c r="L30" s="9">
        <v>0.36102128580131021</v>
      </c>
      <c r="M30" s="10">
        <v>113.54624377586558</v>
      </c>
      <c r="N30" s="10">
        <v>124.90086815345215</v>
      </c>
      <c r="P30" t="s">
        <v>1967</v>
      </c>
      <c r="Q30" t="s">
        <v>8598</v>
      </c>
      <c r="R30" t="s">
        <v>8599</v>
      </c>
      <c r="S30" t="s">
        <v>11</v>
      </c>
      <c r="T30" t="s">
        <v>13</v>
      </c>
      <c r="U30" t="s">
        <v>75</v>
      </c>
      <c r="V30" t="s">
        <v>12</v>
      </c>
      <c r="X30" t="s">
        <v>8598</v>
      </c>
      <c r="Y30" t="s">
        <v>76</v>
      </c>
      <c r="Z30" s="9">
        <v>1</v>
      </c>
    </row>
    <row r="31" spans="1:26">
      <c r="A31" t="s">
        <v>1967</v>
      </c>
      <c r="B31" t="s">
        <v>5719</v>
      </c>
      <c r="C31" t="s">
        <v>5720</v>
      </c>
      <c r="D31" t="s">
        <v>11</v>
      </c>
      <c r="E31" t="s">
        <v>13</v>
      </c>
      <c r="F31" t="s">
        <v>1970</v>
      </c>
      <c r="G31" t="s">
        <v>12</v>
      </c>
      <c r="I31" t="s">
        <v>5719</v>
      </c>
      <c r="J31" t="s">
        <v>7574</v>
      </c>
      <c r="K31" s="10">
        <v>108.28405908060351</v>
      </c>
      <c r="L31" s="9">
        <v>0.28980683082080799</v>
      </c>
      <c r="M31" s="10">
        <v>134.84323409478091</v>
      </c>
      <c r="N31" s="10">
        <v>148.327557504259</v>
      </c>
      <c r="P31" t="s">
        <v>1967</v>
      </c>
      <c r="Q31" t="s">
        <v>8600</v>
      </c>
      <c r="R31" t="s">
        <v>8601</v>
      </c>
      <c r="S31" t="s">
        <v>11</v>
      </c>
      <c r="T31" t="s">
        <v>13</v>
      </c>
      <c r="U31" t="s">
        <v>75</v>
      </c>
      <c r="V31" t="s">
        <v>12</v>
      </c>
      <c r="X31" t="s">
        <v>8600</v>
      </c>
      <c r="Y31" t="s">
        <v>76</v>
      </c>
      <c r="Z31" s="9">
        <v>1</v>
      </c>
    </row>
    <row r="32" spans="1:26">
      <c r="A32" t="s">
        <v>1967</v>
      </c>
      <c r="B32" t="s">
        <v>5721</v>
      </c>
      <c r="C32" t="s">
        <v>5722</v>
      </c>
      <c r="D32" t="s">
        <v>11</v>
      </c>
      <c r="E32" t="s">
        <v>13</v>
      </c>
      <c r="F32" t="s">
        <v>1970</v>
      </c>
      <c r="G32" t="s">
        <v>12</v>
      </c>
      <c r="I32" t="s">
        <v>5721</v>
      </c>
      <c r="J32" t="s">
        <v>7575</v>
      </c>
      <c r="K32" s="10">
        <v>228.4463717414967</v>
      </c>
      <c r="L32" s="9">
        <v>0.37364227323915589</v>
      </c>
      <c r="M32" s="10">
        <v>164.59768906022617</v>
      </c>
      <c r="N32" s="10">
        <v>181.05745796624882</v>
      </c>
      <c r="P32" t="s">
        <v>1967</v>
      </c>
      <c r="Q32" t="s">
        <v>8602</v>
      </c>
      <c r="R32" t="s">
        <v>8603</v>
      </c>
      <c r="S32" t="s">
        <v>11</v>
      </c>
      <c r="T32" t="s">
        <v>13</v>
      </c>
      <c r="U32" t="s">
        <v>75</v>
      </c>
      <c r="V32" t="s">
        <v>12</v>
      </c>
      <c r="X32" t="s">
        <v>8602</v>
      </c>
      <c r="Y32" t="s">
        <v>76</v>
      </c>
      <c r="Z32" s="9">
        <v>1</v>
      </c>
    </row>
    <row r="33" spans="1:26">
      <c r="A33" t="s">
        <v>1967</v>
      </c>
      <c r="B33" t="s">
        <v>5723</v>
      </c>
      <c r="C33" t="s">
        <v>5724</v>
      </c>
      <c r="D33" t="s">
        <v>11</v>
      </c>
      <c r="E33" t="s">
        <v>13</v>
      </c>
      <c r="F33" t="s">
        <v>1970</v>
      </c>
      <c r="G33" t="s">
        <v>12</v>
      </c>
      <c r="I33" t="s">
        <v>5723</v>
      </c>
      <c r="J33" t="s">
        <v>7576</v>
      </c>
      <c r="K33" s="11">
        <v>68.314704987972846</v>
      </c>
      <c r="L33" s="9">
        <v>0.29485762947031241</v>
      </c>
      <c r="M33" s="10">
        <v>102.07613675771096</v>
      </c>
      <c r="N33" s="10">
        <v>112.28375043348206</v>
      </c>
      <c r="P33" t="s">
        <v>1967</v>
      </c>
      <c r="Q33" t="s">
        <v>8604</v>
      </c>
      <c r="R33" t="s">
        <v>8605</v>
      </c>
      <c r="S33" t="s">
        <v>11</v>
      </c>
      <c r="T33" t="s">
        <v>13</v>
      </c>
      <c r="U33" t="s">
        <v>75</v>
      </c>
      <c r="V33" t="s">
        <v>12</v>
      </c>
      <c r="X33" t="s">
        <v>8604</v>
      </c>
      <c r="Y33" t="s">
        <v>76</v>
      </c>
      <c r="Z33" s="9">
        <v>1</v>
      </c>
    </row>
    <row r="34" spans="1:26">
      <c r="A34" t="s">
        <v>1967</v>
      </c>
      <c r="B34" t="s">
        <v>5725</v>
      </c>
      <c r="C34" t="s">
        <v>5726</v>
      </c>
      <c r="D34" t="s">
        <v>11</v>
      </c>
      <c r="E34" t="s">
        <v>13</v>
      </c>
      <c r="F34" t="s">
        <v>1970</v>
      </c>
      <c r="G34" t="s">
        <v>12</v>
      </c>
      <c r="I34" t="s">
        <v>5725</v>
      </c>
      <c r="J34" t="s">
        <v>7577</v>
      </c>
      <c r="K34" s="11">
        <v>47.151152526298318</v>
      </c>
      <c r="L34" s="9">
        <v>0.2823402465489841</v>
      </c>
      <c r="M34" s="11">
        <v>93.131593207790161</v>
      </c>
      <c r="N34" s="10">
        <v>102.44475252856918</v>
      </c>
      <c r="P34" t="s">
        <v>1967</v>
      </c>
      <c r="Q34" t="s">
        <v>8606</v>
      </c>
      <c r="R34" t="s">
        <v>8607</v>
      </c>
      <c r="S34" t="s">
        <v>11</v>
      </c>
      <c r="T34" t="s">
        <v>13</v>
      </c>
      <c r="U34" t="s">
        <v>75</v>
      </c>
      <c r="V34" t="s">
        <v>12</v>
      </c>
      <c r="X34" t="s">
        <v>8606</v>
      </c>
      <c r="Y34" t="s">
        <v>76</v>
      </c>
      <c r="Z34" s="9">
        <v>1</v>
      </c>
    </row>
    <row r="35" spans="1:26">
      <c r="A35" t="s">
        <v>1967</v>
      </c>
      <c r="B35" t="s">
        <v>5727</v>
      </c>
      <c r="C35" t="s">
        <v>5728</v>
      </c>
      <c r="D35" t="s">
        <v>11</v>
      </c>
      <c r="E35" t="s">
        <v>13</v>
      </c>
      <c r="F35" t="s">
        <v>1970</v>
      </c>
      <c r="G35" t="s">
        <v>12</v>
      </c>
      <c r="I35" t="s">
        <v>5727</v>
      </c>
      <c r="J35" t="s">
        <v>7578</v>
      </c>
      <c r="K35" s="11">
        <v>60.763288046000262</v>
      </c>
      <c r="L35" s="9">
        <v>0.29077060358688062</v>
      </c>
      <c r="M35" s="10">
        <v>157.21128939442875</v>
      </c>
      <c r="N35" s="10">
        <v>172.93241833387162</v>
      </c>
      <c r="P35" t="s">
        <v>1967</v>
      </c>
      <c r="Q35" t="s">
        <v>8608</v>
      </c>
      <c r="R35" t="s">
        <v>8609</v>
      </c>
      <c r="S35" t="s">
        <v>11</v>
      </c>
      <c r="T35" t="s">
        <v>13</v>
      </c>
      <c r="U35" t="s">
        <v>75</v>
      </c>
      <c r="V35" t="s">
        <v>12</v>
      </c>
      <c r="X35" t="s">
        <v>8608</v>
      </c>
      <c r="Y35" t="s">
        <v>76</v>
      </c>
      <c r="Z35" s="9">
        <v>1</v>
      </c>
    </row>
    <row r="36" spans="1:26">
      <c r="A36" t="s">
        <v>1967</v>
      </c>
      <c r="B36" t="s">
        <v>5729</v>
      </c>
      <c r="C36" t="s">
        <v>5730</v>
      </c>
      <c r="D36" t="s">
        <v>11</v>
      </c>
      <c r="E36" t="s">
        <v>13</v>
      </c>
      <c r="F36" t="s">
        <v>1970</v>
      </c>
      <c r="G36" t="s">
        <v>12</v>
      </c>
      <c r="I36" t="s">
        <v>5729</v>
      </c>
      <c r="J36" t="s">
        <v>7579</v>
      </c>
      <c r="K36" s="9">
        <v>0.84157128706064432</v>
      </c>
      <c r="L36" s="9">
        <v>0.12699794959953289</v>
      </c>
      <c r="M36" s="10">
        <v>221.89712477509499</v>
      </c>
      <c r="N36" s="10">
        <v>244.08683725260451</v>
      </c>
      <c r="P36" t="s">
        <v>1967</v>
      </c>
      <c r="Q36" t="s">
        <v>8610</v>
      </c>
      <c r="R36" t="s">
        <v>8611</v>
      </c>
      <c r="S36" t="s">
        <v>11</v>
      </c>
      <c r="T36" t="s">
        <v>13</v>
      </c>
      <c r="U36" t="s">
        <v>75</v>
      </c>
      <c r="V36" t="s">
        <v>12</v>
      </c>
      <c r="X36" t="s">
        <v>8610</v>
      </c>
      <c r="Y36" t="s">
        <v>76</v>
      </c>
      <c r="Z36" s="9">
        <v>1</v>
      </c>
    </row>
    <row r="37" spans="1:26">
      <c r="A37" t="s">
        <v>1967</v>
      </c>
      <c r="B37" t="s">
        <v>5731</v>
      </c>
      <c r="C37" t="s">
        <v>5732</v>
      </c>
      <c r="D37" t="s">
        <v>11</v>
      </c>
      <c r="E37" t="s">
        <v>13</v>
      </c>
      <c r="F37" t="s">
        <v>1970</v>
      </c>
      <c r="G37" t="s">
        <v>12</v>
      </c>
      <c r="I37" t="s">
        <v>5731</v>
      </c>
      <c r="J37" t="s">
        <v>7580</v>
      </c>
      <c r="K37" s="11">
        <v>16.215958316905876</v>
      </c>
      <c r="L37" s="9">
        <v>0.224929403187375</v>
      </c>
      <c r="M37" s="10">
        <v>294.58703349008312</v>
      </c>
      <c r="N37" s="10">
        <v>324.04573683909143</v>
      </c>
      <c r="P37" t="s">
        <v>1967</v>
      </c>
      <c r="Q37" t="s">
        <v>8612</v>
      </c>
      <c r="R37" t="s">
        <v>8613</v>
      </c>
      <c r="S37" t="s">
        <v>11</v>
      </c>
      <c r="T37" t="s">
        <v>13</v>
      </c>
      <c r="U37" t="s">
        <v>75</v>
      </c>
      <c r="V37" t="s">
        <v>12</v>
      </c>
      <c r="X37" t="s">
        <v>8612</v>
      </c>
      <c r="Y37" t="s">
        <v>76</v>
      </c>
      <c r="Z37" s="9">
        <v>1</v>
      </c>
    </row>
    <row r="38" spans="1:26">
      <c r="A38" t="s">
        <v>1967</v>
      </c>
      <c r="B38" t="s">
        <v>5733</v>
      </c>
      <c r="C38" t="s">
        <v>5734</v>
      </c>
      <c r="D38" t="s">
        <v>11</v>
      </c>
      <c r="E38" t="s">
        <v>13</v>
      </c>
      <c r="F38" t="s">
        <v>1970</v>
      </c>
      <c r="G38" t="s">
        <v>12</v>
      </c>
      <c r="I38" t="s">
        <v>5733</v>
      </c>
      <c r="J38" t="s">
        <v>7581</v>
      </c>
      <c r="K38" s="11">
        <v>83.864639532085079</v>
      </c>
      <c r="L38" s="9">
        <v>0.29082101324975379</v>
      </c>
      <c r="M38" s="10">
        <v>139.98066713059157</v>
      </c>
      <c r="N38" s="10">
        <v>153.97873384365073</v>
      </c>
      <c r="P38" t="s">
        <v>1967</v>
      </c>
      <c r="Q38" t="s">
        <v>8614</v>
      </c>
      <c r="R38" t="s">
        <v>8615</v>
      </c>
      <c r="S38" t="s">
        <v>11</v>
      </c>
      <c r="T38" t="s">
        <v>13</v>
      </c>
      <c r="U38" t="s">
        <v>75</v>
      </c>
      <c r="V38" t="s">
        <v>12</v>
      </c>
      <c r="X38" t="s">
        <v>8614</v>
      </c>
      <c r="Y38" t="s">
        <v>76</v>
      </c>
      <c r="Z38" s="9">
        <v>1</v>
      </c>
    </row>
    <row r="39" spans="1:26">
      <c r="A39" t="s">
        <v>1967</v>
      </c>
      <c r="B39" t="s">
        <v>5735</v>
      </c>
      <c r="C39" t="s">
        <v>5736</v>
      </c>
      <c r="D39" t="s">
        <v>11</v>
      </c>
      <c r="E39" t="s">
        <v>13</v>
      </c>
      <c r="F39" t="s">
        <v>1970</v>
      </c>
      <c r="G39" t="s">
        <v>12</v>
      </c>
      <c r="I39" t="s">
        <v>5735</v>
      </c>
      <c r="J39" t="s">
        <v>7582</v>
      </c>
      <c r="K39" s="9">
        <v>2.2378287621046904</v>
      </c>
      <c r="L39" s="12">
        <v>2.4975470343594298E-2</v>
      </c>
      <c r="M39" s="11">
        <v>88.698536687994789</v>
      </c>
      <c r="N39" s="11">
        <v>97.568390356794282</v>
      </c>
      <c r="P39" t="s">
        <v>1967</v>
      </c>
      <c r="Q39" t="s">
        <v>8616</v>
      </c>
      <c r="R39" t="s">
        <v>8617</v>
      </c>
      <c r="S39" t="s">
        <v>11</v>
      </c>
      <c r="T39" t="s">
        <v>13</v>
      </c>
      <c r="U39" t="s">
        <v>75</v>
      </c>
      <c r="V39" t="s">
        <v>12</v>
      </c>
      <c r="X39" t="s">
        <v>8616</v>
      </c>
      <c r="Y39" t="s">
        <v>76</v>
      </c>
      <c r="Z39" s="9">
        <v>1</v>
      </c>
    </row>
    <row r="40" spans="1:26">
      <c r="A40" t="s">
        <v>1967</v>
      </c>
      <c r="B40" t="s">
        <v>5737</v>
      </c>
      <c r="C40" t="s">
        <v>5738</v>
      </c>
      <c r="D40" t="s">
        <v>11</v>
      </c>
      <c r="E40" t="s">
        <v>13</v>
      </c>
      <c r="F40" t="s">
        <v>1970</v>
      </c>
      <c r="G40" t="s">
        <v>12</v>
      </c>
      <c r="I40" t="s">
        <v>5737</v>
      </c>
      <c r="J40" t="s">
        <v>7583</v>
      </c>
      <c r="K40" s="9">
        <v>2.6313178497605483</v>
      </c>
      <c r="L40" s="12">
        <v>2.7929973129468499E-2</v>
      </c>
      <c r="M40" s="11">
        <v>84.581847066074502</v>
      </c>
      <c r="N40" s="11">
        <v>93.040031772681957</v>
      </c>
      <c r="P40" t="s">
        <v>1967</v>
      </c>
      <c r="Q40" t="s">
        <v>8618</v>
      </c>
      <c r="R40" t="s">
        <v>8619</v>
      </c>
      <c r="S40" t="s">
        <v>11</v>
      </c>
      <c r="T40" t="s">
        <v>13</v>
      </c>
      <c r="U40" t="s">
        <v>75</v>
      </c>
      <c r="V40" t="s">
        <v>12</v>
      </c>
      <c r="X40" t="s">
        <v>8618</v>
      </c>
      <c r="Y40" t="s">
        <v>76</v>
      </c>
      <c r="Z40" s="9">
        <v>1</v>
      </c>
    </row>
    <row r="41" spans="1:26">
      <c r="A41" t="s">
        <v>1967</v>
      </c>
      <c r="B41" t="s">
        <v>5739</v>
      </c>
      <c r="C41" t="s">
        <v>5740</v>
      </c>
      <c r="D41" t="s">
        <v>11</v>
      </c>
      <c r="E41" t="s">
        <v>13</v>
      </c>
      <c r="F41" t="s">
        <v>1970</v>
      </c>
      <c r="G41" t="s">
        <v>12</v>
      </c>
      <c r="I41" t="s">
        <v>5739</v>
      </c>
      <c r="J41" t="s">
        <v>7584</v>
      </c>
      <c r="K41" s="12">
        <v>7.2814701216111874E-2</v>
      </c>
      <c r="L41" s="12">
        <v>2.5963944953444201E-2</v>
      </c>
      <c r="M41" s="10">
        <v>106.56765951393726</v>
      </c>
      <c r="N41" s="10">
        <v>117.224425465331</v>
      </c>
      <c r="P41" t="s">
        <v>1967</v>
      </c>
      <c r="Q41" t="s">
        <v>8620</v>
      </c>
      <c r="R41" t="s">
        <v>8621</v>
      </c>
      <c r="S41" t="s">
        <v>11</v>
      </c>
      <c r="T41" t="s">
        <v>13</v>
      </c>
      <c r="U41" t="s">
        <v>75</v>
      </c>
      <c r="V41" t="s">
        <v>12</v>
      </c>
      <c r="X41" t="s">
        <v>8620</v>
      </c>
      <c r="Y41" t="s">
        <v>76</v>
      </c>
      <c r="Z41" s="9">
        <v>1</v>
      </c>
    </row>
    <row r="42" spans="1:26">
      <c r="A42" t="s">
        <v>1967</v>
      </c>
      <c r="B42" t="s">
        <v>5741</v>
      </c>
      <c r="C42" t="s">
        <v>5742</v>
      </c>
      <c r="D42" t="s">
        <v>11</v>
      </c>
      <c r="E42" t="s">
        <v>13</v>
      </c>
      <c r="F42" t="s">
        <v>1970</v>
      </c>
      <c r="G42" t="s">
        <v>12</v>
      </c>
      <c r="I42" t="s">
        <v>5741</v>
      </c>
      <c r="J42" t="s">
        <v>7585</v>
      </c>
      <c r="K42" s="10">
        <v>568.8183016036096</v>
      </c>
      <c r="L42" s="9">
        <v>0.35095841155567759</v>
      </c>
      <c r="M42" s="10">
        <v>1770.0975517823786</v>
      </c>
      <c r="N42" s="10">
        <v>1947.1073069606166</v>
      </c>
      <c r="P42" t="s">
        <v>1967</v>
      </c>
      <c r="Q42" t="s">
        <v>8622</v>
      </c>
      <c r="R42" t="s">
        <v>8623</v>
      </c>
      <c r="S42" t="s">
        <v>11</v>
      </c>
      <c r="T42" t="s">
        <v>13</v>
      </c>
      <c r="U42" t="s">
        <v>75</v>
      </c>
      <c r="V42" t="s">
        <v>12</v>
      </c>
      <c r="X42" t="s">
        <v>8622</v>
      </c>
      <c r="Y42" t="s">
        <v>76</v>
      </c>
      <c r="Z42" s="9">
        <v>1</v>
      </c>
    </row>
    <row r="43" spans="1:26">
      <c r="A43" t="s">
        <v>1967</v>
      </c>
      <c r="B43" t="s">
        <v>5743</v>
      </c>
      <c r="C43" t="s">
        <v>5744</v>
      </c>
      <c r="D43" t="s">
        <v>11</v>
      </c>
      <c r="E43" t="s">
        <v>13</v>
      </c>
      <c r="F43" t="s">
        <v>1970</v>
      </c>
      <c r="G43" t="s">
        <v>12</v>
      </c>
      <c r="I43" t="s">
        <v>5743</v>
      </c>
      <c r="J43" t="s">
        <v>7586</v>
      </c>
      <c r="K43" s="9">
        <v>4.070010278595702</v>
      </c>
      <c r="L43" s="9">
        <v>0.17502046714439451</v>
      </c>
      <c r="M43" s="10">
        <v>2128.9507310267663</v>
      </c>
      <c r="N43" s="10">
        <v>2341.845804129443</v>
      </c>
      <c r="P43" t="s">
        <v>1967</v>
      </c>
      <c r="Q43" t="s">
        <v>8624</v>
      </c>
      <c r="R43" t="s">
        <v>8625</v>
      </c>
      <c r="S43" t="s">
        <v>11</v>
      </c>
      <c r="T43" t="s">
        <v>13</v>
      </c>
      <c r="U43" t="s">
        <v>75</v>
      </c>
      <c r="V43" t="s">
        <v>12</v>
      </c>
      <c r="X43" t="s">
        <v>8624</v>
      </c>
      <c r="Y43" t="s">
        <v>76</v>
      </c>
      <c r="Z43" s="9">
        <v>1</v>
      </c>
    </row>
    <row r="44" spans="1:26">
      <c r="A44" t="s">
        <v>1967</v>
      </c>
      <c r="B44" t="s">
        <v>5745</v>
      </c>
      <c r="C44" t="s">
        <v>5742</v>
      </c>
      <c r="D44" t="s">
        <v>11</v>
      </c>
      <c r="E44" t="s">
        <v>13</v>
      </c>
      <c r="F44" t="s">
        <v>1970</v>
      </c>
      <c r="G44" t="s">
        <v>12</v>
      </c>
      <c r="I44" t="s">
        <v>5745</v>
      </c>
      <c r="J44" t="s">
        <v>7587</v>
      </c>
      <c r="K44" s="9">
        <v>8.8491428826468113</v>
      </c>
      <c r="L44" s="9">
        <v>0.21634855339710149</v>
      </c>
      <c r="M44" s="10">
        <v>2231.6123526190245</v>
      </c>
      <c r="N44" s="10">
        <v>2454.7735878809272</v>
      </c>
      <c r="P44" t="s">
        <v>1967</v>
      </c>
      <c r="Q44" t="s">
        <v>8626</v>
      </c>
      <c r="R44" t="s">
        <v>8627</v>
      </c>
      <c r="S44" t="s">
        <v>11</v>
      </c>
      <c r="T44" t="s">
        <v>13</v>
      </c>
      <c r="U44" t="s">
        <v>75</v>
      </c>
      <c r="V44" t="s">
        <v>12</v>
      </c>
      <c r="X44" t="s">
        <v>8626</v>
      </c>
      <c r="Y44" t="s">
        <v>76</v>
      </c>
      <c r="Z44" s="9">
        <v>1</v>
      </c>
    </row>
    <row r="45" spans="1:26">
      <c r="A45" t="s">
        <v>1967</v>
      </c>
      <c r="B45" t="s">
        <v>5746</v>
      </c>
      <c r="C45" t="s">
        <v>5747</v>
      </c>
      <c r="D45" t="s">
        <v>11</v>
      </c>
      <c r="E45" t="s">
        <v>13</v>
      </c>
      <c r="F45" t="s">
        <v>1970</v>
      </c>
      <c r="G45" t="s">
        <v>12</v>
      </c>
      <c r="I45" t="s">
        <v>5746</v>
      </c>
      <c r="J45" t="s">
        <v>7588</v>
      </c>
      <c r="K45" s="11">
        <v>41.811445391928331</v>
      </c>
      <c r="L45" s="9">
        <v>0.27458951161494272</v>
      </c>
      <c r="M45" s="10">
        <v>537.35247690704671</v>
      </c>
      <c r="N45" s="10">
        <v>591.08772459775139</v>
      </c>
      <c r="P45" t="s">
        <v>1967</v>
      </c>
      <c r="Q45" t="s">
        <v>8628</v>
      </c>
      <c r="R45" t="s">
        <v>8629</v>
      </c>
      <c r="S45" t="s">
        <v>11</v>
      </c>
      <c r="T45" t="s">
        <v>13</v>
      </c>
      <c r="U45" t="s">
        <v>75</v>
      </c>
      <c r="V45" t="s">
        <v>12</v>
      </c>
      <c r="X45" t="s">
        <v>8628</v>
      </c>
      <c r="Y45" t="s">
        <v>76</v>
      </c>
      <c r="Z45" s="9">
        <v>1</v>
      </c>
    </row>
    <row r="46" spans="1:26">
      <c r="A46" t="s">
        <v>1967</v>
      </c>
      <c r="B46" t="s">
        <v>5748</v>
      </c>
      <c r="C46" t="s">
        <v>5747</v>
      </c>
      <c r="D46" t="s">
        <v>11</v>
      </c>
      <c r="E46" t="s">
        <v>13</v>
      </c>
      <c r="F46" t="s">
        <v>1970</v>
      </c>
      <c r="G46" t="s">
        <v>12</v>
      </c>
      <c r="I46" t="s">
        <v>5748</v>
      </c>
      <c r="J46" t="s">
        <v>7589</v>
      </c>
      <c r="K46" s="11">
        <v>11.497785327362681</v>
      </c>
      <c r="L46" s="9">
        <v>0.22868592645833519</v>
      </c>
      <c r="M46" s="10">
        <v>240.63563471417575</v>
      </c>
      <c r="N46" s="10">
        <v>264.69919818559333</v>
      </c>
      <c r="P46" t="s">
        <v>1967</v>
      </c>
      <c r="Q46" t="s">
        <v>8630</v>
      </c>
      <c r="R46" t="s">
        <v>8631</v>
      </c>
      <c r="S46" t="s">
        <v>11</v>
      </c>
      <c r="T46" t="s">
        <v>13</v>
      </c>
      <c r="U46" t="s">
        <v>75</v>
      </c>
      <c r="V46" t="s">
        <v>12</v>
      </c>
      <c r="X46" t="s">
        <v>8630</v>
      </c>
      <c r="Y46" t="s">
        <v>76</v>
      </c>
      <c r="Z46" s="9">
        <v>1</v>
      </c>
    </row>
    <row r="47" spans="1:26">
      <c r="A47" t="s">
        <v>1967</v>
      </c>
      <c r="B47" t="s">
        <v>5749</v>
      </c>
      <c r="C47" t="s">
        <v>5750</v>
      </c>
      <c r="D47" t="s">
        <v>11</v>
      </c>
      <c r="E47" t="s">
        <v>13</v>
      </c>
      <c r="F47" t="s">
        <v>1970</v>
      </c>
      <c r="G47" t="s">
        <v>12</v>
      </c>
      <c r="I47" t="s">
        <v>5749</v>
      </c>
      <c r="J47" t="s">
        <v>7590</v>
      </c>
      <c r="K47" s="10">
        <v>322.90133324864746</v>
      </c>
      <c r="L47" s="9">
        <v>0.35091932852615448</v>
      </c>
      <c r="M47" s="10">
        <v>549.5663507642804</v>
      </c>
      <c r="N47" s="10">
        <v>604.52298584070854</v>
      </c>
      <c r="P47" t="s">
        <v>1967</v>
      </c>
      <c r="Q47" t="s">
        <v>8632</v>
      </c>
      <c r="R47" t="s">
        <v>8633</v>
      </c>
      <c r="S47" t="s">
        <v>11</v>
      </c>
      <c r="T47" t="s">
        <v>13</v>
      </c>
      <c r="U47" t="s">
        <v>75</v>
      </c>
      <c r="V47" t="s">
        <v>12</v>
      </c>
      <c r="X47" t="s">
        <v>8632</v>
      </c>
      <c r="Y47" t="s">
        <v>76</v>
      </c>
      <c r="Z47" s="9">
        <v>1</v>
      </c>
    </row>
    <row r="48" spans="1:26">
      <c r="A48" t="s">
        <v>1967</v>
      </c>
      <c r="B48" t="s">
        <v>5751</v>
      </c>
      <c r="C48" t="s">
        <v>5752</v>
      </c>
      <c r="D48" t="s">
        <v>11</v>
      </c>
      <c r="E48" t="s">
        <v>13</v>
      </c>
      <c r="F48" t="s">
        <v>1970</v>
      </c>
      <c r="G48" t="s">
        <v>12</v>
      </c>
      <c r="I48" t="s">
        <v>5751</v>
      </c>
      <c r="J48" t="s">
        <v>7591</v>
      </c>
      <c r="K48" s="11">
        <v>30.692441707322612</v>
      </c>
      <c r="L48" s="9">
        <v>0.38291375900704738</v>
      </c>
      <c r="M48" s="10">
        <v>233.30294363006729</v>
      </c>
      <c r="N48" s="10">
        <v>256.63323799307403</v>
      </c>
      <c r="P48" t="s">
        <v>1967</v>
      </c>
      <c r="Q48" t="s">
        <v>8634</v>
      </c>
      <c r="R48" t="s">
        <v>8635</v>
      </c>
      <c r="S48" t="s">
        <v>11</v>
      </c>
      <c r="T48" t="s">
        <v>13</v>
      </c>
      <c r="U48" t="s">
        <v>75</v>
      </c>
      <c r="V48" t="s">
        <v>12</v>
      </c>
      <c r="X48" t="s">
        <v>8634</v>
      </c>
      <c r="Y48" t="s">
        <v>76</v>
      </c>
      <c r="Z48" s="9">
        <v>1</v>
      </c>
    </row>
    <row r="49" spans="1:26">
      <c r="A49" t="s">
        <v>1967</v>
      </c>
      <c r="B49" t="s">
        <v>5753</v>
      </c>
      <c r="C49" t="s">
        <v>5754</v>
      </c>
      <c r="D49" t="s">
        <v>11</v>
      </c>
      <c r="E49" t="s">
        <v>13</v>
      </c>
      <c r="F49" t="s">
        <v>1970</v>
      </c>
      <c r="G49" t="s">
        <v>12</v>
      </c>
      <c r="I49" t="s">
        <v>5753</v>
      </c>
      <c r="J49" t="s">
        <v>7592</v>
      </c>
      <c r="K49" s="9">
        <v>3.2269939823008342</v>
      </c>
      <c r="L49" s="9">
        <v>0.2009356402602451</v>
      </c>
      <c r="M49" s="10">
        <v>316.02695734845338</v>
      </c>
      <c r="N49" s="10">
        <v>347.62965308329876</v>
      </c>
      <c r="P49" t="s">
        <v>1967</v>
      </c>
      <c r="Q49" t="s">
        <v>8636</v>
      </c>
      <c r="R49" t="s">
        <v>8637</v>
      </c>
      <c r="S49" t="s">
        <v>11</v>
      </c>
      <c r="T49" t="s">
        <v>13</v>
      </c>
      <c r="U49" t="s">
        <v>75</v>
      </c>
      <c r="V49" t="s">
        <v>12</v>
      </c>
      <c r="X49" t="s">
        <v>8636</v>
      </c>
      <c r="Y49" t="s">
        <v>76</v>
      </c>
      <c r="Z49" s="9">
        <v>1</v>
      </c>
    </row>
    <row r="50" spans="1:26">
      <c r="A50" t="s">
        <v>1967</v>
      </c>
      <c r="B50" t="s">
        <v>5755</v>
      </c>
      <c r="C50" t="s">
        <v>5756</v>
      </c>
      <c r="D50" t="s">
        <v>11</v>
      </c>
      <c r="E50" t="s">
        <v>13</v>
      </c>
      <c r="F50" t="s">
        <v>1970</v>
      </c>
      <c r="G50" t="s">
        <v>12</v>
      </c>
      <c r="I50" t="s">
        <v>5755</v>
      </c>
      <c r="J50" t="s">
        <v>7593</v>
      </c>
      <c r="K50" s="9">
        <v>9.4729483298133683</v>
      </c>
      <c r="L50" s="9">
        <v>0.39466832156160397</v>
      </c>
      <c r="M50" s="10">
        <v>229.0915972420639</v>
      </c>
      <c r="N50" s="10">
        <v>252.0007569662703</v>
      </c>
      <c r="P50" t="s">
        <v>1967</v>
      </c>
      <c r="Q50" t="s">
        <v>8638</v>
      </c>
      <c r="R50" t="s">
        <v>8639</v>
      </c>
      <c r="S50" t="s">
        <v>11</v>
      </c>
      <c r="T50" t="s">
        <v>13</v>
      </c>
      <c r="U50" t="s">
        <v>75</v>
      </c>
      <c r="V50" t="s">
        <v>12</v>
      </c>
      <c r="X50" t="s">
        <v>8638</v>
      </c>
      <c r="Y50" t="s">
        <v>76</v>
      </c>
      <c r="Z50" s="9">
        <v>1</v>
      </c>
    </row>
    <row r="51" spans="1:26">
      <c r="A51" t="s">
        <v>1967</v>
      </c>
      <c r="B51" t="s">
        <v>5757</v>
      </c>
      <c r="C51" t="s">
        <v>5758</v>
      </c>
      <c r="D51" t="s">
        <v>11</v>
      </c>
      <c r="E51" t="s">
        <v>13</v>
      </c>
      <c r="F51" t="s">
        <v>1970</v>
      </c>
      <c r="G51" t="s">
        <v>12</v>
      </c>
      <c r="I51" t="s">
        <v>5757</v>
      </c>
      <c r="J51" t="s">
        <v>7594</v>
      </c>
      <c r="K51" s="10">
        <v>276.98802591015283</v>
      </c>
      <c r="L51" s="9">
        <v>0.33648876689094182</v>
      </c>
      <c r="M51" s="10">
        <v>954.19820917488084</v>
      </c>
      <c r="N51" s="10">
        <v>1049.6180300923691</v>
      </c>
      <c r="P51" t="s">
        <v>1967</v>
      </c>
      <c r="Q51" t="s">
        <v>8640</v>
      </c>
      <c r="R51" t="s">
        <v>8641</v>
      </c>
      <c r="S51" t="s">
        <v>11</v>
      </c>
      <c r="T51" t="s">
        <v>13</v>
      </c>
      <c r="U51" t="s">
        <v>75</v>
      </c>
      <c r="V51" t="s">
        <v>12</v>
      </c>
      <c r="X51" t="s">
        <v>8640</v>
      </c>
      <c r="Y51" t="s">
        <v>76</v>
      </c>
      <c r="Z51" s="9">
        <v>1</v>
      </c>
    </row>
    <row r="52" spans="1:26">
      <c r="A52" t="s">
        <v>1967</v>
      </c>
      <c r="B52" t="s">
        <v>5759</v>
      </c>
      <c r="C52" t="s">
        <v>5742</v>
      </c>
      <c r="D52" t="s">
        <v>11</v>
      </c>
      <c r="E52" t="s">
        <v>13</v>
      </c>
      <c r="F52" t="s">
        <v>1970</v>
      </c>
      <c r="G52" t="s">
        <v>12</v>
      </c>
      <c r="I52" t="s">
        <v>5759</v>
      </c>
      <c r="J52" t="s">
        <v>7595</v>
      </c>
      <c r="K52" s="10">
        <v>612.96904128948086</v>
      </c>
      <c r="L52" s="9">
        <v>0.36471738002122961</v>
      </c>
      <c r="M52" s="10">
        <v>1185.4958803375775</v>
      </c>
      <c r="N52" s="10">
        <v>1304.0454683713353</v>
      </c>
      <c r="P52" t="s">
        <v>1967</v>
      </c>
      <c r="Q52" t="s">
        <v>8642</v>
      </c>
      <c r="R52" t="s">
        <v>8643</v>
      </c>
      <c r="S52" t="s">
        <v>11</v>
      </c>
      <c r="T52" t="s">
        <v>13</v>
      </c>
      <c r="U52" t="s">
        <v>75</v>
      </c>
      <c r="V52" t="s">
        <v>12</v>
      </c>
      <c r="X52" t="s">
        <v>8642</v>
      </c>
      <c r="Y52" t="s">
        <v>76</v>
      </c>
      <c r="Z52" s="9">
        <v>1</v>
      </c>
    </row>
    <row r="53" spans="1:26">
      <c r="A53" t="s">
        <v>1967</v>
      </c>
      <c r="B53" t="s">
        <v>5760</v>
      </c>
      <c r="C53" t="s">
        <v>5758</v>
      </c>
      <c r="D53" t="s">
        <v>11</v>
      </c>
      <c r="E53" t="s">
        <v>13</v>
      </c>
      <c r="F53" t="s">
        <v>1970</v>
      </c>
      <c r="G53" t="s">
        <v>12</v>
      </c>
      <c r="I53" t="s">
        <v>5760</v>
      </c>
      <c r="J53" t="s">
        <v>7596</v>
      </c>
      <c r="K53" s="11">
        <v>12.064359741486282</v>
      </c>
      <c r="L53" s="9">
        <v>0.24391665167678969</v>
      </c>
      <c r="M53" s="10">
        <v>1294.8451467596792</v>
      </c>
      <c r="N53" s="10">
        <v>1424.3296614356473</v>
      </c>
      <c r="P53" t="s">
        <v>1967</v>
      </c>
      <c r="Q53" t="s">
        <v>8644</v>
      </c>
      <c r="R53" t="s">
        <v>8645</v>
      </c>
      <c r="S53" t="s">
        <v>11</v>
      </c>
      <c r="T53" t="s">
        <v>13</v>
      </c>
      <c r="U53" t="s">
        <v>75</v>
      </c>
      <c r="V53" t="s">
        <v>12</v>
      </c>
      <c r="X53" t="s">
        <v>8644</v>
      </c>
      <c r="Y53" t="s">
        <v>76</v>
      </c>
      <c r="Z53" s="9">
        <v>1</v>
      </c>
    </row>
    <row r="54" spans="1:26">
      <c r="A54" t="s">
        <v>1967</v>
      </c>
      <c r="B54" t="s">
        <v>5761</v>
      </c>
      <c r="C54" t="s">
        <v>5758</v>
      </c>
      <c r="D54" t="s">
        <v>11</v>
      </c>
      <c r="E54" t="s">
        <v>13</v>
      </c>
      <c r="F54" t="s">
        <v>1970</v>
      </c>
      <c r="G54" t="s">
        <v>12</v>
      </c>
      <c r="I54" t="s">
        <v>5761</v>
      </c>
      <c r="J54" t="s">
        <v>7597</v>
      </c>
      <c r="K54" s="11">
        <v>37.249994366422193</v>
      </c>
      <c r="L54" s="9">
        <v>0.20935348556357941</v>
      </c>
      <c r="M54" s="10">
        <v>435.67035724196501</v>
      </c>
      <c r="N54" s="10">
        <v>479.23739296616156</v>
      </c>
      <c r="P54" t="s">
        <v>1967</v>
      </c>
      <c r="Q54" t="s">
        <v>8646</v>
      </c>
      <c r="R54" t="s">
        <v>8647</v>
      </c>
      <c r="S54" t="s">
        <v>11</v>
      </c>
      <c r="T54" t="s">
        <v>13</v>
      </c>
      <c r="U54" t="s">
        <v>75</v>
      </c>
      <c r="V54" t="s">
        <v>12</v>
      </c>
      <c r="X54" t="s">
        <v>8646</v>
      </c>
      <c r="Y54" t="s">
        <v>76</v>
      </c>
      <c r="Z54" s="9">
        <v>1</v>
      </c>
    </row>
    <row r="55" spans="1:26">
      <c r="A55" t="s">
        <v>1967</v>
      </c>
      <c r="B55" t="s">
        <v>5762</v>
      </c>
      <c r="C55" t="s">
        <v>5758</v>
      </c>
      <c r="D55" t="s">
        <v>11</v>
      </c>
      <c r="E55" t="s">
        <v>13</v>
      </c>
      <c r="F55" t="s">
        <v>1970</v>
      </c>
      <c r="G55" t="s">
        <v>12</v>
      </c>
      <c r="I55" t="s">
        <v>5762</v>
      </c>
      <c r="J55" t="s">
        <v>7598</v>
      </c>
      <c r="K55" s="10">
        <v>132.37623204909642</v>
      </c>
      <c r="L55" s="9">
        <v>0.33007935809686689</v>
      </c>
      <c r="M55" s="10">
        <v>1108.2358834226657</v>
      </c>
      <c r="N55" s="10">
        <v>1219.0594717649324</v>
      </c>
      <c r="P55" t="s">
        <v>1967</v>
      </c>
      <c r="Q55" t="s">
        <v>8648</v>
      </c>
      <c r="R55" t="s">
        <v>8649</v>
      </c>
      <c r="S55" t="s">
        <v>11</v>
      </c>
      <c r="T55" t="s">
        <v>13</v>
      </c>
      <c r="U55" t="s">
        <v>75</v>
      </c>
      <c r="V55" t="s">
        <v>12</v>
      </c>
      <c r="X55" t="s">
        <v>8648</v>
      </c>
      <c r="Y55" t="s">
        <v>76</v>
      </c>
      <c r="Z55" s="9">
        <v>1</v>
      </c>
    </row>
    <row r="56" spans="1:26">
      <c r="A56" t="s">
        <v>1967</v>
      </c>
      <c r="B56" t="s">
        <v>5763</v>
      </c>
      <c r="C56" t="s">
        <v>5744</v>
      </c>
      <c r="D56" t="s">
        <v>11</v>
      </c>
      <c r="E56" t="s">
        <v>13</v>
      </c>
      <c r="F56" t="s">
        <v>1970</v>
      </c>
      <c r="G56" t="s">
        <v>12</v>
      </c>
      <c r="I56" t="s">
        <v>5763</v>
      </c>
      <c r="J56" t="s">
        <v>7599</v>
      </c>
      <c r="K56" s="10">
        <v>287.28713205476106</v>
      </c>
      <c r="L56" s="9">
        <v>0.33057633283622401</v>
      </c>
      <c r="M56" s="10">
        <v>1511.2490659799544</v>
      </c>
      <c r="N56" s="10">
        <v>1662.3739725779499</v>
      </c>
      <c r="P56" t="s">
        <v>1967</v>
      </c>
      <c r="Q56" t="s">
        <v>8650</v>
      </c>
      <c r="R56" t="s">
        <v>8651</v>
      </c>
      <c r="S56" t="s">
        <v>11</v>
      </c>
      <c r="T56" t="s">
        <v>13</v>
      </c>
      <c r="U56" t="s">
        <v>75</v>
      </c>
      <c r="V56" t="s">
        <v>12</v>
      </c>
      <c r="X56" t="s">
        <v>8650</v>
      </c>
      <c r="Y56" t="s">
        <v>76</v>
      </c>
      <c r="Z56" s="9">
        <v>1</v>
      </c>
    </row>
    <row r="57" spans="1:26">
      <c r="A57" t="s">
        <v>1967</v>
      </c>
      <c r="B57" t="s">
        <v>5764</v>
      </c>
      <c r="C57" t="s">
        <v>5744</v>
      </c>
      <c r="D57" t="s">
        <v>11</v>
      </c>
      <c r="E57" t="s">
        <v>13</v>
      </c>
      <c r="F57" t="s">
        <v>1970</v>
      </c>
      <c r="G57" t="s">
        <v>12</v>
      </c>
      <c r="I57" t="s">
        <v>5764</v>
      </c>
      <c r="J57" t="s">
        <v>7600</v>
      </c>
      <c r="K57" s="10">
        <v>593.26359172468381</v>
      </c>
      <c r="L57" s="9">
        <v>0.3866688097398745</v>
      </c>
      <c r="M57" s="10">
        <v>1438.5394107494683</v>
      </c>
      <c r="N57" s="10">
        <v>1582.3933518244153</v>
      </c>
      <c r="P57" t="s">
        <v>1967</v>
      </c>
      <c r="Q57" t="s">
        <v>8652</v>
      </c>
      <c r="R57" t="s">
        <v>8653</v>
      </c>
      <c r="S57" t="s">
        <v>11</v>
      </c>
      <c r="T57" t="s">
        <v>13</v>
      </c>
      <c r="U57" t="s">
        <v>75</v>
      </c>
      <c r="V57" t="s">
        <v>12</v>
      </c>
      <c r="X57" t="s">
        <v>8652</v>
      </c>
      <c r="Y57" t="s">
        <v>76</v>
      </c>
      <c r="Z57" s="9">
        <v>1</v>
      </c>
    </row>
    <row r="58" spans="1:26">
      <c r="A58" t="s">
        <v>1967</v>
      </c>
      <c r="B58" t="s">
        <v>5765</v>
      </c>
      <c r="C58" t="s">
        <v>5744</v>
      </c>
      <c r="D58" t="s">
        <v>11</v>
      </c>
      <c r="E58" t="s">
        <v>13</v>
      </c>
      <c r="F58" t="s">
        <v>1970</v>
      </c>
      <c r="G58" t="s">
        <v>12</v>
      </c>
      <c r="I58" t="s">
        <v>5765</v>
      </c>
      <c r="J58" t="s">
        <v>7601</v>
      </c>
      <c r="K58" s="10">
        <v>512.73292730950743</v>
      </c>
      <c r="L58" s="9">
        <v>0.42084724870700191</v>
      </c>
      <c r="M58" s="10">
        <v>859.85952869473397</v>
      </c>
      <c r="N58" s="10">
        <v>945.84548156420749</v>
      </c>
      <c r="P58" t="s">
        <v>1967</v>
      </c>
      <c r="Q58" t="s">
        <v>8654</v>
      </c>
      <c r="R58" t="s">
        <v>8655</v>
      </c>
      <c r="S58" t="s">
        <v>11</v>
      </c>
      <c r="T58" t="s">
        <v>13</v>
      </c>
      <c r="U58" t="s">
        <v>75</v>
      </c>
      <c r="V58" t="s">
        <v>12</v>
      </c>
      <c r="X58" t="s">
        <v>8654</v>
      </c>
      <c r="Y58" t="s">
        <v>76</v>
      </c>
      <c r="Z58" s="9">
        <v>1</v>
      </c>
    </row>
    <row r="59" spans="1:26">
      <c r="A59" t="s">
        <v>1967</v>
      </c>
      <c r="B59" t="s">
        <v>5766</v>
      </c>
      <c r="C59" t="s">
        <v>5744</v>
      </c>
      <c r="D59" t="s">
        <v>11</v>
      </c>
      <c r="E59" t="s">
        <v>13</v>
      </c>
      <c r="F59" t="s">
        <v>1970</v>
      </c>
      <c r="G59" t="s">
        <v>12</v>
      </c>
      <c r="I59" t="s">
        <v>5766</v>
      </c>
      <c r="J59" t="s">
        <v>7602</v>
      </c>
      <c r="K59" s="10">
        <v>112.72079719423147</v>
      </c>
      <c r="L59" s="9">
        <v>0.43997330132887891</v>
      </c>
      <c r="M59" s="10">
        <v>506.4525362006687</v>
      </c>
      <c r="N59" s="10">
        <v>557.09778982073567</v>
      </c>
      <c r="P59" t="s">
        <v>1967</v>
      </c>
      <c r="Q59" t="s">
        <v>8656</v>
      </c>
      <c r="R59" t="s">
        <v>8657</v>
      </c>
      <c r="S59" t="s">
        <v>11</v>
      </c>
      <c r="T59" t="s">
        <v>13</v>
      </c>
      <c r="U59" t="s">
        <v>75</v>
      </c>
      <c r="V59" t="s">
        <v>12</v>
      </c>
      <c r="X59" t="s">
        <v>8656</v>
      </c>
      <c r="Y59" t="s">
        <v>76</v>
      </c>
      <c r="Z59" s="9">
        <v>1</v>
      </c>
    </row>
    <row r="60" spans="1:26">
      <c r="A60" t="s">
        <v>1967</v>
      </c>
      <c r="B60" t="s">
        <v>5767</v>
      </c>
      <c r="C60" t="s">
        <v>5744</v>
      </c>
      <c r="D60" t="s">
        <v>11</v>
      </c>
      <c r="E60" t="s">
        <v>13</v>
      </c>
      <c r="F60" t="s">
        <v>1970</v>
      </c>
      <c r="G60" t="s">
        <v>12</v>
      </c>
      <c r="I60" t="s">
        <v>5767</v>
      </c>
      <c r="J60" t="s">
        <v>7603</v>
      </c>
      <c r="K60" s="11">
        <v>59.221285676364054</v>
      </c>
      <c r="L60" s="9">
        <v>0.39621665120977068</v>
      </c>
      <c r="M60" s="10">
        <v>847.40191951118993</v>
      </c>
      <c r="N60" s="10">
        <v>932.142111462309</v>
      </c>
      <c r="P60" t="s">
        <v>1967</v>
      </c>
      <c r="Q60" t="s">
        <v>8658</v>
      </c>
      <c r="R60" t="s">
        <v>8659</v>
      </c>
      <c r="S60" t="s">
        <v>11</v>
      </c>
      <c r="T60" t="s">
        <v>13</v>
      </c>
      <c r="U60" t="s">
        <v>75</v>
      </c>
      <c r="V60" t="s">
        <v>12</v>
      </c>
      <c r="X60" t="s">
        <v>8658</v>
      </c>
      <c r="Y60" t="s">
        <v>76</v>
      </c>
      <c r="Z60" s="9">
        <v>1</v>
      </c>
    </row>
    <row r="61" spans="1:26">
      <c r="A61" t="s">
        <v>1967</v>
      </c>
      <c r="B61" t="s">
        <v>5768</v>
      </c>
      <c r="C61" t="s">
        <v>5744</v>
      </c>
      <c r="D61" t="s">
        <v>11</v>
      </c>
      <c r="E61" t="s">
        <v>13</v>
      </c>
      <c r="F61" t="s">
        <v>1970</v>
      </c>
      <c r="G61" t="s">
        <v>12</v>
      </c>
      <c r="I61" t="s">
        <v>5768</v>
      </c>
      <c r="J61" t="s">
        <v>7604</v>
      </c>
      <c r="K61" s="10">
        <v>440.99903966116983</v>
      </c>
      <c r="L61" s="9">
        <v>0.39524100327237899</v>
      </c>
      <c r="M61" s="10">
        <v>1152.5645918251582</v>
      </c>
      <c r="N61" s="10">
        <v>1267.8210510076742</v>
      </c>
      <c r="P61" t="s">
        <v>1967</v>
      </c>
      <c r="Q61" t="s">
        <v>8660</v>
      </c>
      <c r="R61" t="s">
        <v>8661</v>
      </c>
      <c r="S61" t="s">
        <v>11</v>
      </c>
      <c r="T61" t="s">
        <v>13</v>
      </c>
      <c r="U61" t="s">
        <v>75</v>
      </c>
      <c r="V61" t="s">
        <v>12</v>
      </c>
      <c r="X61" t="s">
        <v>8660</v>
      </c>
      <c r="Y61" t="s">
        <v>76</v>
      </c>
      <c r="Z61" s="9">
        <v>1</v>
      </c>
    </row>
    <row r="62" spans="1:26">
      <c r="A62" t="s">
        <v>1967</v>
      </c>
      <c r="B62" t="s">
        <v>5769</v>
      </c>
      <c r="C62" t="s">
        <v>5752</v>
      </c>
      <c r="D62" t="s">
        <v>11</v>
      </c>
      <c r="E62" t="s">
        <v>13</v>
      </c>
      <c r="F62" t="s">
        <v>1970</v>
      </c>
      <c r="G62" t="s">
        <v>12</v>
      </c>
      <c r="I62" t="s">
        <v>5769</v>
      </c>
      <c r="J62" t="s">
        <v>7605</v>
      </c>
      <c r="K62" s="10">
        <v>421.09226477682495</v>
      </c>
      <c r="L62" s="9">
        <v>0.37308305085976318</v>
      </c>
      <c r="M62" s="10">
        <v>786.15731293581962</v>
      </c>
      <c r="N62" s="10">
        <v>864.77304422940165</v>
      </c>
      <c r="P62" t="s">
        <v>1967</v>
      </c>
      <c r="Q62" t="s">
        <v>8662</v>
      </c>
      <c r="R62" t="s">
        <v>8663</v>
      </c>
      <c r="S62" t="s">
        <v>11</v>
      </c>
      <c r="T62" t="s">
        <v>13</v>
      </c>
      <c r="U62" t="s">
        <v>75</v>
      </c>
      <c r="V62" t="s">
        <v>12</v>
      </c>
      <c r="X62" t="s">
        <v>8662</v>
      </c>
      <c r="Y62" t="s">
        <v>76</v>
      </c>
      <c r="Z62" s="9">
        <v>1</v>
      </c>
    </row>
    <row r="63" spans="1:26">
      <c r="A63" t="s">
        <v>1967</v>
      </c>
      <c r="B63" t="s">
        <v>5770</v>
      </c>
      <c r="C63" t="s">
        <v>5771</v>
      </c>
      <c r="D63" t="s">
        <v>11</v>
      </c>
      <c r="E63" t="s">
        <v>13</v>
      </c>
      <c r="F63" t="s">
        <v>1970</v>
      </c>
      <c r="G63" t="s">
        <v>12</v>
      </c>
      <c r="I63" t="s">
        <v>5770</v>
      </c>
      <c r="J63" t="s">
        <v>7606</v>
      </c>
      <c r="K63" s="11">
        <v>45.920289704880773</v>
      </c>
      <c r="L63" s="9">
        <v>0.2083071614874856</v>
      </c>
      <c r="M63" s="11">
        <v>56.343225128176918</v>
      </c>
      <c r="N63" s="11">
        <v>61.977547640994615</v>
      </c>
      <c r="P63" t="s">
        <v>1967</v>
      </c>
      <c r="Q63" t="s">
        <v>8664</v>
      </c>
      <c r="R63" t="s">
        <v>8665</v>
      </c>
      <c r="S63" t="s">
        <v>11</v>
      </c>
      <c r="T63" t="s">
        <v>13</v>
      </c>
      <c r="U63" t="s">
        <v>75</v>
      </c>
      <c r="V63" t="s">
        <v>12</v>
      </c>
      <c r="X63" t="s">
        <v>8664</v>
      </c>
      <c r="Y63" t="s">
        <v>76</v>
      </c>
      <c r="Z63" s="9">
        <v>1</v>
      </c>
    </row>
    <row r="64" spans="1:26">
      <c r="A64" t="s">
        <v>1967</v>
      </c>
      <c r="B64" t="s">
        <v>5772</v>
      </c>
      <c r="C64" t="s">
        <v>5773</v>
      </c>
      <c r="D64" t="s">
        <v>11</v>
      </c>
      <c r="E64" t="s">
        <v>13</v>
      </c>
      <c r="F64" t="s">
        <v>1970</v>
      </c>
      <c r="G64" t="s">
        <v>12</v>
      </c>
      <c r="I64" t="s">
        <v>5772</v>
      </c>
      <c r="J64" t="s">
        <v>7607</v>
      </c>
      <c r="K64" s="9">
        <v>8.0453941179680708</v>
      </c>
      <c r="L64" s="12">
        <v>9.2793960194340497E-2</v>
      </c>
      <c r="M64" s="11">
        <v>61.60322749490048</v>
      </c>
      <c r="N64" s="11">
        <v>67.76355024439053</v>
      </c>
      <c r="P64" t="s">
        <v>1967</v>
      </c>
      <c r="Q64" t="s">
        <v>8666</v>
      </c>
      <c r="R64" t="s">
        <v>8667</v>
      </c>
      <c r="S64" t="s">
        <v>11</v>
      </c>
      <c r="T64" t="s">
        <v>13</v>
      </c>
      <c r="U64" t="s">
        <v>75</v>
      </c>
      <c r="V64" t="s">
        <v>12</v>
      </c>
      <c r="X64" t="s">
        <v>8666</v>
      </c>
      <c r="Y64" t="s">
        <v>76</v>
      </c>
      <c r="Z64" s="9">
        <v>1</v>
      </c>
    </row>
    <row r="65" spans="1:26">
      <c r="A65" t="s">
        <v>1967</v>
      </c>
      <c r="B65" t="s">
        <v>5774</v>
      </c>
      <c r="C65" t="s">
        <v>5775</v>
      </c>
      <c r="D65" t="s">
        <v>11</v>
      </c>
      <c r="E65" t="s">
        <v>13</v>
      </c>
      <c r="F65" t="s">
        <v>1970</v>
      </c>
      <c r="G65" t="s">
        <v>12</v>
      </c>
      <c r="I65" t="s">
        <v>5774</v>
      </c>
      <c r="J65" t="s">
        <v>7608</v>
      </c>
      <c r="K65" s="11">
        <v>46.019027756767599</v>
      </c>
      <c r="L65" s="9">
        <v>0.1602842532164428</v>
      </c>
      <c r="M65" s="11">
        <v>43.858878263627531</v>
      </c>
      <c r="N65" s="11">
        <v>48.244766089990286</v>
      </c>
      <c r="P65" t="s">
        <v>1967</v>
      </c>
      <c r="Q65" t="s">
        <v>8668</v>
      </c>
      <c r="R65" t="s">
        <v>8669</v>
      </c>
      <c r="S65" t="s">
        <v>11</v>
      </c>
      <c r="T65" t="s">
        <v>13</v>
      </c>
      <c r="U65" t="s">
        <v>75</v>
      </c>
      <c r="V65" t="s">
        <v>12</v>
      </c>
      <c r="X65" t="s">
        <v>8668</v>
      </c>
      <c r="Y65" t="s">
        <v>76</v>
      </c>
      <c r="Z65" s="9">
        <v>1</v>
      </c>
    </row>
    <row r="66" spans="1:26">
      <c r="A66" t="s">
        <v>1967</v>
      </c>
      <c r="B66" t="s">
        <v>5776</v>
      </c>
      <c r="C66" t="s">
        <v>5777</v>
      </c>
      <c r="D66" t="s">
        <v>11</v>
      </c>
      <c r="E66" t="s">
        <v>13</v>
      </c>
      <c r="F66" t="s">
        <v>1970</v>
      </c>
      <c r="G66" t="s">
        <v>12</v>
      </c>
      <c r="I66" t="s">
        <v>5776</v>
      </c>
      <c r="J66" t="s">
        <v>7609</v>
      </c>
      <c r="K66" s="9">
        <v>3.3314819538580922</v>
      </c>
      <c r="L66" s="9">
        <v>0.25348898884619941</v>
      </c>
      <c r="M66" s="11">
        <v>37.741146965832016</v>
      </c>
      <c r="N66" s="11">
        <v>41.51526166241522</v>
      </c>
      <c r="P66" t="s">
        <v>1967</v>
      </c>
      <c r="Q66" t="s">
        <v>8670</v>
      </c>
      <c r="R66" t="s">
        <v>8671</v>
      </c>
      <c r="S66" t="s">
        <v>11</v>
      </c>
      <c r="T66" t="s">
        <v>13</v>
      </c>
      <c r="U66" t="s">
        <v>75</v>
      </c>
      <c r="V66" t="s">
        <v>12</v>
      </c>
      <c r="X66" t="s">
        <v>8670</v>
      </c>
      <c r="Y66" t="s">
        <v>76</v>
      </c>
      <c r="Z66" s="9">
        <v>1</v>
      </c>
    </row>
    <row r="67" spans="1:26">
      <c r="A67" t="s">
        <v>1967</v>
      </c>
      <c r="B67" t="s">
        <v>5778</v>
      </c>
      <c r="C67" t="s">
        <v>5779</v>
      </c>
      <c r="D67" t="s">
        <v>11</v>
      </c>
      <c r="E67" t="s">
        <v>13</v>
      </c>
      <c r="F67" t="s">
        <v>1970</v>
      </c>
      <c r="G67" t="s">
        <v>12</v>
      </c>
      <c r="I67" t="s">
        <v>5778</v>
      </c>
      <c r="J67" t="s">
        <v>7610</v>
      </c>
      <c r="K67" s="9">
        <v>0.42711633186159342</v>
      </c>
      <c r="L67" s="12">
        <v>8.8676870046276002E-2</v>
      </c>
      <c r="M67" s="11">
        <v>40.47083395590672</v>
      </c>
      <c r="N67" s="11">
        <v>44.517917351497395</v>
      </c>
      <c r="P67" t="s">
        <v>1967</v>
      </c>
      <c r="Q67" t="s">
        <v>8672</v>
      </c>
      <c r="R67" t="s">
        <v>8673</v>
      </c>
      <c r="S67" t="s">
        <v>11</v>
      </c>
      <c r="T67" t="s">
        <v>13</v>
      </c>
      <c r="U67" t="s">
        <v>75</v>
      </c>
      <c r="V67" t="s">
        <v>12</v>
      </c>
      <c r="X67" t="s">
        <v>8672</v>
      </c>
      <c r="Y67" t="s">
        <v>76</v>
      </c>
      <c r="Z67" s="9">
        <v>1</v>
      </c>
    </row>
    <row r="68" spans="1:26">
      <c r="A68" t="s">
        <v>1967</v>
      </c>
      <c r="B68" t="s">
        <v>5780</v>
      </c>
      <c r="C68" t="s">
        <v>5781</v>
      </c>
      <c r="D68" t="s">
        <v>11</v>
      </c>
      <c r="E68" t="s">
        <v>13</v>
      </c>
      <c r="F68" t="s">
        <v>1970</v>
      </c>
      <c r="G68" t="s">
        <v>12</v>
      </c>
      <c r="I68" t="s">
        <v>5780</v>
      </c>
      <c r="J68" t="s">
        <v>7611</v>
      </c>
      <c r="K68" s="12">
        <v>3.6268800078880573E-2</v>
      </c>
      <c r="L68" s="12">
        <v>1.4365341770908299E-2</v>
      </c>
      <c r="M68" s="11">
        <v>73.3081413186286</v>
      </c>
      <c r="N68" s="11">
        <v>80.638955450491466</v>
      </c>
      <c r="P68" t="s">
        <v>1967</v>
      </c>
      <c r="Q68" t="s">
        <v>8674</v>
      </c>
      <c r="R68" t="s">
        <v>8675</v>
      </c>
      <c r="S68" t="s">
        <v>11</v>
      </c>
      <c r="T68" t="s">
        <v>13</v>
      </c>
      <c r="U68" t="s">
        <v>75</v>
      </c>
      <c r="V68" t="s">
        <v>12</v>
      </c>
      <c r="X68" t="s">
        <v>8674</v>
      </c>
      <c r="Y68" t="s">
        <v>76</v>
      </c>
      <c r="Z68" s="9">
        <v>1</v>
      </c>
    </row>
    <row r="69" spans="1:26">
      <c r="A69" t="s">
        <v>1967</v>
      </c>
      <c r="B69" t="s">
        <v>5782</v>
      </c>
      <c r="C69" t="s">
        <v>5783</v>
      </c>
      <c r="D69" t="s">
        <v>11</v>
      </c>
      <c r="E69" t="s">
        <v>13</v>
      </c>
      <c r="F69" t="s">
        <v>1970</v>
      </c>
      <c r="G69" t="s">
        <v>12</v>
      </c>
      <c r="I69" t="s">
        <v>5782</v>
      </c>
      <c r="J69" t="s">
        <v>7612</v>
      </c>
      <c r="K69" s="9">
        <v>0.11531573569124912</v>
      </c>
      <c r="L69" s="12">
        <v>2.8223546386164301E-2</v>
      </c>
      <c r="M69" s="11">
        <v>36.452467424908221</v>
      </c>
      <c r="N69" s="11">
        <v>40.097714167399047</v>
      </c>
      <c r="P69" t="s">
        <v>1967</v>
      </c>
      <c r="Q69" t="s">
        <v>8676</v>
      </c>
      <c r="R69" t="s">
        <v>8677</v>
      </c>
      <c r="S69" t="s">
        <v>11</v>
      </c>
      <c r="T69" t="s">
        <v>13</v>
      </c>
      <c r="U69" t="s">
        <v>75</v>
      </c>
      <c r="V69" t="s">
        <v>12</v>
      </c>
      <c r="X69" t="s">
        <v>8676</v>
      </c>
      <c r="Y69" t="s">
        <v>76</v>
      </c>
      <c r="Z69" s="9">
        <v>1</v>
      </c>
    </row>
    <row r="70" spans="1:26">
      <c r="A70" t="s">
        <v>1967</v>
      </c>
      <c r="B70" t="s">
        <v>5784</v>
      </c>
      <c r="C70" t="s">
        <v>5785</v>
      </c>
      <c r="D70" t="s">
        <v>11</v>
      </c>
      <c r="E70" t="s">
        <v>13</v>
      </c>
      <c r="F70" t="s">
        <v>1970</v>
      </c>
      <c r="G70" t="s">
        <v>12</v>
      </c>
      <c r="I70" t="s">
        <v>5784</v>
      </c>
      <c r="J70" t="s">
        <v>7613</v>
      </c>
      <c r="K70" s="11">
        <v>27.35102096327957</v>
      </c>
      <c r="L70" s="9">
        <v>0.34191239655373729</v>
      </c>
      <c r="M70" s="11">
        <v>41.555707953356951</v>
      </c>
      <c r="N70" s="11">
        <v>45.711278748692649</v>
      </c>
      <c r="P70" t="s">
        <v>1967</v>
      </c>
      <c r="Q70" t="s">
        <v>8678</v>
      </c>
      <c r="R70" t="s">
        <v>8679</v>
      </c>
      <c r="S70" t="s">
        <v>11</v>
      </c>
      <c r="T70" t="s">
        <v>13</v>
      </c>
      <c r="U70" t="s">
        <v>75</v>
      </c>
      <c r="V70" t="s">
        <v>12</v>
      </c>
      <c r="X70" t="s">
        <v>8678</v>
      </c>
      <c r="Y70" t="s">
        <v>76</v>
      </c>
      <c r="Z70" s="9">
        <v>1</v>
      </c>
    </row>
    <row r="71" spans="1:26">
      <c r="A71" t="s">
        <v>1967</v>
      </c>
      <c r="B71" t="s">
        <v>5786</v>
      </c>
      <c r="C71" t="s">
        <v>5787</v>
      </c>
      <c r="D71" t="s">
        <v>11</v>
      </c>
      <c r="E71" t="s">
        <v>13</v>
      </c>
      <c r="F71" t="s">
        <v>1970</v>
      </c>
      <c r="G71" t="s">
        <v>12</v>
      </c>
      <c r="I71" t="s">
        <v>5786</v>
      </c>
      <c r="J71" t="s">
        <v>7614</v>
      </c>
      <c r="K71" s="11">
        <v>24.95297706980012</v>
      </c>
      <c r="L71" s="9">
        <v>0.34210382187073379</v>
      </c>
      <c r="M71" s="9">
        <v>7.7881421232438033</v>
      </c>
      <c r="N71" s="9">
        <v>8.5669563355681841</v>
      </c>
      <c r="P71" t="s">
        <v>1967</v>
      </c>
      <c r="Q71" t="s">
        <v>8680</v>
      </c>
      <c r="R71" t="s">
        <v>8681</v>
      </c>
      <c r="S71" t="s">
        <v>11</v>
      </c>
      <c r="T71" t="s">
        <v>13</v>
      </c>
      <c r="U71" t="s">
        <v>75</v>
      </c>
      <c r="V71" t="s">
        <v>12</v>
      </c>
      <c r="X71" t="s">
        <v>8680</v>
      </c>
      <c r="Y71" t="s">
        <v>76</v>
      </c>
      <c r="Z71" s="9">
        <v>1</v>
      </c>
    </row>
    <row r="72" spans="1:26">
      <c r="A72" t="s">
        <v>1967</v>
      </c>
      <c r="B72" t="s">
        <v>5788</v>
      </c>
      <c r="C72" t="s">
        <v>5789</v>
      </c>
      <c r="D72" t="s">
        <v>11</v>
      </c>
      <c r="E72" t="s">
        <v>13</v>
      </c>
      <c r="F72" t="s">
        <v>1970</v>
      </c>
      <c r="G72" t="s">
        <v>12</v>
      </c>
      <c r="I72" t="s">
        <v>5788</v>
      </c>
      <c r="J72" t="s">
        <v>7615</v>
      </c>
      <c r="K72" s="11">
        <v>27.749963823510388</v>
      </c>
      <c r="L72" s="9">
        <v>0.3776109120781363</v>
      </c>
      <c r="M72" s="11">
        <v>16.184907986106456</v>
      </c>
      <c r="N72" s="11">
        <v>17.803398784717103</v>
      </c>
      <c r="P72" t="s">
        <v>1967</v>
      </c>
      <c r="Q72" t="s">
        <v>8682</v>
      </c>
      <c r="R72" t="s">
        <v>8683</v>
      </c>
      <c r="S72" t="s">
        <v>11</v>
      </c>
      <c r="T72" t="s">
        <v>13</v>
      </c>
      <c r="U72" t="s">
        <v>75</v>
      </c>
      <c r="V72" t="s">
        <v>12</v>
      </c>
      <c r="X72" t="s">
        <v>8682</v>
      </c>
      <c r="Y72" t="s">
        <v>76</v>
      </c>
      <c r="Z72" s="9">
        <v>1</v>
      </c>
    </row>
    <row r="73" spans="1:26">
      <c r="A73" t="s">
        <v>1967</v>
      </c>
      <c r="B73" t="s">
        <v>5790</v>
      </c>
      <c r="C73" t="s">
        <v>5791</v>
      </c>
      <c r="D73" t="s">
        <v>11</v>
      </c>
      <c r="E73" t="s">
        <v>13</v>
      </c>
      <c r="F73" t="s">
        <v>1970</v>
      </c>
      <c r="G73" t="s">
        <v>12</v>
      </c>
      <c r="I73" t="s">
        <v>5790</v>
      </c>
      <c r="J73" t="s">
        <v>7616</v>
      </c>
      <c r="K73" s="9">
        <v>2.0960001366235645</v>
      </c>
      <c r="L73" s="12">
        <v>9.7456662966409494E-2</v>
      </c>
      <c r="M73" s="9">
        <v>9.9865988337825993</v>
      </c>
      <c r="N73" s="11">
        <v>10.98525871716086</v>
      </c>
      <c r="P73" t="s">
        <v>1967</v>
      </c>
      <c r="Q73" t="s">
        <v>8684</v>
      </c>
      <c r="R73" t="s">
        <v>8685</v>
      </c>
      <c r="S73" t="s">
        <v>11</v>
      </c>
      <c r="T73" t="s">
        <v>13</v>
      </c>
      <c r="U73" t="s">
        <v>75</v>
      </c>
      <c r="V73" t="s">
        <v>12</v>
      </c>
      <c r="X73" t="s">
        <v>8684</v>
      </c>
      <c r="Y73" t="s">
        <v>76</v>
      </c>
      <c r="Z73" s="9">
        <v>1</v>
      </c>
    </row>
    <row r="74" spans="1:26">
      <c r="A74" t="s">
        <v>1967</v>
      </c>
      <c r="B74" t="s">
        <v>5792</v>
      </c>
      <c r="C74" t="s">
        <v>5793</v>
      </c>
      <c r="D74" t="s">
        <v>11</v>
      </c>
      <c r="E74" t="s">
        <v>13</v>
      </c>
      <c r="F74" t="s">
        <v>1970</v>
      </c>
      <c r="G74" t="s">
        <v>12</v>
      </c>
      <c r="I74" t="s">
        <v>5792</v>
      </c>
      <c r="J74" t="s">
        <v>7617</v>
      </c>
      <c r="K74" s="9">
        <v>4.0787806303860634</v>
      </c>
      <c r="L74" s="9">
        <v>0.1052058515242858</v>
      </c>
      <c r="M74" s="11">
        <v>24.488617280844171</v>
      </c>
      <c r="N74" s="11">
        <v>26.937479008928591</v>
      </c>
      <c r="P74" t="s">
        <v>1967</v>
      </c>
      <c r="Q74" t="s">
        <v>8686</v>
      </c>
      <c r="R74" t="s">
        <v>8687</v>
      </c>
      <c r="S74" t="s">
        <v>11</v>
      </c>
      <c r="T74" t="s">
        <v>13</v>
      </c>
      <c r="U74" t="s">
        <v>75</v>
      </c>
      <c r="V74" t="s">
        <v>12</v>
      </c>
      <c r="X74" t="s">
        <v>8686</v>
      </c>
      <c r="Y74" t="s">
        <v>76</v>
      </c>
      <c r="Z74" s="9">
        <v>1</v>
      </c>
    </row>
    <row r="75" spans="1:26">
      <c r="A75" t="s">
        <v>1967</v>
      </c>
      <c r="B75" t="s">
        <v>5794</v>
      </c>
      <c r="C75" t="s">
        <v>5795</v>
      </c>
      <c r="D75" t="s">
        <v>11</v>
      </c>
      <c r="E75" t="s">
        <v>13</v>
      </c>
      <c r="F75" t="s">
        <v>1970</v>
      </c>
      <c r="G75" t="s">
        <v>12</v>
      </c>
      <c r="I75" t="s">
        <v>5794</v>
      </c>
      <c r="J75" t="s">
        <v>7618</v>
      </c>
      <c r="K75" s="9">
        <v>8.1511194607444502</v>
      </c>
      <c r="L75" s="9">
        <v>0.14582942297183779</v>
      </c>
      <c r="M75" s="11">
        <v>52.761473951740541</v>
      </c>
      <c r="N75" s="11">
        <v>58.037621346914598</v>
      </c>
      <c r="P75" t="s">
        <v>1967</v>
      </c>
      <c r="Q75" t="s">
        <v>8688</v>
      </c>
      <c r="R75" t="s">
        <v>8689</v>
      </c>
      <c r="S75" t="s">
        <v>11</v>
      </c>
      <c r="T75" t="s">
        <v>13</v>
      </c>
      <c r="U75" t="s">
        <v>75</v>
      </c>
      <c r="V75" t="s">
        <v>12</v>
      </c>
      <c r="X75" t="s">
        <v>8688</v>
      </c>
      <c r="Y75" t="s">
        <v>76</v>
      </c>
      <c r="Z75" s="9">
        <v>1</v>
      </c>
    </row>
    <row r="76" spans="1:26">
      <c r="A76" t="s">
        <v>1967</v>
      </c>
      <c r="B76" t="s">
        <v>5796</v>
      </c>
      <c r="C76" t="s">
        <v>5797</v>
      </c>
      <c r="D76" t="s">
        <v>11</v>
      </c>
      <c r="E76" t="s">
        <v>13</v>
      </c>
      <c r="F76" t="s">
        <v>1970</v>
      </c>
      <c r="G76" t="s">
        <v>12</v>
      </c>
      <c r="I76" t="s">
        <v>5796</v>
      </c>
      <c r="J76" t="s">
        <v>7619</v>
      </c>
      <c r="K76" s="9">
        <v>7.6681879533984612</v>
      </c>
      <c r="L76" s="9">
        <v>0.14053025045163819</v>
      </c>
      <c r="M76" s="11">
        <v>43.567103753174727</v>
      </c>
      <c r="N76" s="11">
        <v>47.923814128492204</v>
      </c>
      <c r="P76" t="s">
        <v>1967</v>
      </c>
      <c r="Q76" t="s">
        <v>8690</v>
      </c>
      <c r="R76" t="s">
        <v>8691</v>
      </c>
      <c r="S76" t="s">
        <v>11</v>
      </c>
      <c r="T76" t="s">
        <v>13</v>
      </c>
      <c r="U76" t="s">
        <v>75</v>
      </c>
      <c r="V76" t="s">
        <v>12</v>
      </c>
      <c r="X76" t="s">
        <v>8690</v>
      </c>
      <c r="Y76" t="s">
        <v>76</v>
      </c>
      <c r="Z76" s="9">
        <v>1</v>
      </c>
    </row>
    <row r="77" spans="1:26">
      <c r="A77" t="s">
        <v>1967</v>
      </c>
      <c r="B77" t="s">
        <v>5798</v>
      </c>
      <c r="C77" t="s">
        <v>5799</v>
      </c>
      <c r="D77" t="s">
        <v>11</v>
      </c>
      <c r="E77" t="s">
        <v>13</v>
      </c>
      <c r="F77" t="s">
        <v>1970</v>
      </c>
      <c r="G77" t="s">
        <v>12</v>
      </c>
      <c r="I77" t="s">
        <v>5798</v>
      </c>
      <c r="J77" t="s">
        <v>7620</v>
      </c>
      <c r="K77" s="11">
        <v>16.421622793233716</v>
      </c>
      <c r="L77" s="9">
        <v>0.245453044118388</v>
      </c>
      <c r="M77" s="10">
        <v>121.19938404179288</v>
      </c>
      <c r="N77" s="10">
        <v>133.31932244597218</v>
      </c>
      <c r="P77" t="s">
        <v>1967</v>
      </c>
      <c r="Q77" t="s">
        <v>8692</v>
      </c>
      <c r="R77" t="s">
        <v>8693</v>
      </c>
      <c r="S77" t="s">
        <v>11</v>
      </c>
      <c r="T77" t="s">
        <v>13</v>
      </c>
      <c r="U77" t="s">
        <v>75</v>
      </c>
      <c r="V77" t="s">
        <v>12</v>
      </c>
      <c r="X77" t="s">
        <v>8692</v>
      </c>
      <c r="Y77" t="s">
        <v>76</v>
      </c>
      <c r="Z77" s="9">
        <v>1</v>
      </c>
    </row>
    <row r="78" spans="1:26">
      <c r="A78" t="s">
        <v>1967</v>
      </c>
      <c r="B78" t="s">
        <v>5800</v>
      </c>
      <c r="C78" t="s">
        <v>5801</v>
      </c>
      <c r="D78" t="s">
        <v>11</v>
      </c>
      <c r="E78" t="s">
        <v>13</v>
      </c>
      <c r="F78" t="s">
        <v>1970</v>
      </c>
      <c r="G78" t="s">
        <v>12</v>
      </c>
      <c r="I78" t="s">
        <v>5800</v>
      </c>
      <c r="J78" t="s">
        <v>7621</v>
      </c>
      <c r="K78" s="11">
        <v>19.002272227532607</v>
      </c>
      <c r="L78" s="9">
        <v>0.1901743955963423</v>
      </c>
      <c r="M78" s="10">
        <v>111.47926478680472</v>
      </c>
      <c r="N78" s="10">
        <v>122.62719126548519</v>
      </c>
      <c r="P78" t="s">
        <v>1967</v>
      </c>
      <c r="Q78" t="s">
        <v>8694</v>
      </c>
      <c r="R78" t="s">
        <v>8695</v>
      </c>
      <c r="S78" t="s">
        <v>11</v>
      </c>
      <c r="T78" t="s">
        <v>13</v>
      </c>
      <c r="U78" t="s">
        <v>75</v>
      </c>
      <c r="V78" t="s">
        <v>12</v>
      </c>
      <c r="X78" t="s">
        <v>8694</v>
      </c>
      <c r="Y78" t="s">
        <v>76</v>
      </c>
      <c r="Z78" s="9">
        <v>1</v>
      </c>
    </row>
    <row r="79" spans="1:26">
      <c r="A79" t="s">
        <v>1967</v>
      </c>
      <c r="B79" t="s">
        <v>5802</v>
      </c>
      <c r="C79" t="s">
        <v>5803</v>
      </c>
      <c r="D79" t="s">
        <v>11</v>
      </c>
      <c r="E79" t="s">
        <v>13</v>
      </c>
      <c r="F79" t="s">
        <v>1970</v>
      </c>
      <c r="G79" t="s">
        <v>12</v>
      </c>
      <c r="I79" t="s">
        <v>5802</v>
      </c>
      <c r="J79" t="s">
        <v>7622</v>
      </c>
      <c r="K79" s="9">
        <v>6.5026956356790526</v>
      </c>
      <c r="L79" s="9">
        <v>0.15455316873890301</v>
      </c>
      <c r="M79" s="11">
        <v>92.432748208126924</v>
      </c>
      <c r="N79" s="10">
        <v>101.67602302893962</v>
      </c>
      <c r="P79" t="s">
        <v>1967</v>
      </c>
      <c r="Q79" t="s">
        <v>8696</v>
      </c>
      <c r="R79" t="s">
        <v>8697</v>
      </c>
      <c r="S79" t="s">
        <v>11</v>
      </c>
      <c r="T79" t="s">
        <v>13</v>
      </c>
      <c r="U79" t="s">
        <v>75</v>
      </c>
      <c r="V79" t="s">
        <v>12</v>
      </c>
      <c r="X79" t="s">
        <v>8696</v>
      </c>
      <c r="Y79" t="s">
        <v>76</v>
      </c>
      <c r="Z79" s="9">
        <v>1</v>
      </c>
    </row>
    <row r="80" spans="1:26">
      <c r="A80" t="s">
        <v>1967</v>
      </c>
      <c r="B80" t="s">
        <v>5804</v>
      </c>
      <c r="C80" t="s">
        <v>5805</v>
      </c>
      <c r="D80" t="s">
        <v>11</v>
      </c>
      <c r="E80" t="s">
        <v>13</v>
      </c>
      <c r="F80" t="s">
        <v>1970</v>
      </c>
      <c r="G80" t="s">
        <v>12</v>
      </c>
      <c r="I80" t="s">
        <v>5804</v>
      </c>
      <c r="J80" t="s">
        <v>7623</v>
      </c>
      <c r="K80" s="11">
        <v>21.863518882035443</v>
      </c>
      <c r="L80" s="9">
        <v>0.16510832203859779</v>
      </c>
      <c r="M80" s="11">
        <v>63.52168481544021</v>
      </c>
      <c r="N80" s="11">
        <v>69.873853296984237</v>
      </c>
      <c r="P80" t="s">
        <v>1967</v>
      </c>
      <c r="Q80" t="s">
        <v>8698</v>
      </c>
      <c r="R80" t="s">
        <v>8699</v>
      </c>
      <c r="S80" t="s">
        <v>11</v>
      </c>
      <c r="T80" t="s">
        <v>13</v>
      </c>
      <c r="U80" t="s">
        <v>75</v>
      </c>
      <c r="V80" t="s">
        <v>12</v>
      </c>
      <c r="X80" t="s">
        <v>8698</v>
      </c>
      <c r="Y80" t="s">
        <v>76</v>
      </c>
      <c r="Z80" s="9">
        <v>1</v>
      </c>
    </row>
    <row r="81" spans="1:26">
      <c r="A81" t="s">
        <v>1967</v>
      </c>
      <c r="B81" t="s">
        <v>5806</v>
      </c>
      <c r="C81" t="s">
        <v>5807</v>
      </c>
      <c r="D81" t="s">
        <v>11</v>
      </c>
      <c r="E81" t="s">
        <v>13</v>
      </c>
      <c r="F81" t="s">
        <v>1970</v>
      </c>
      <c r="G81" t="s">
        <v>12</v>
      </c>
      <c r="I81" t="s">
        <v>5806</v>
      </c>
      <c r="J81" t="s">
        <v>7624</v>
      </c>
      <c r="K81" s="9">
        <v>5.6189721881302122</v>
      </c>
      <c r="L81" s="9">
        <v>0.12901837999757559</v>
      </c>
      <c r="M81" s="10">
        <v>100.67936991030358</v>
      </c>
      <c r="N81" s="10">
        <v>110.74730690133394</v>
      </c>
      <c r="P81" t="s">
        <v>1967</v>
      </c>
      <c r="Q81" t="s">
        <v>8700</v>
      </c>
      <c r="R81" t="s">
        <v>8701</v>
      </c>
      <c r="S81" t="s">
        <v>11</v>
      </c>
      <c r="T81" t="s">
        <v>13</v>
      </c>
      <c r="U81" t="s">
        <v>75</v>
      </c>
      <c r="V81" t="s">
        <v>12</v>
      </c>
      <c r="X81" t="s">
        <v>8700</v>
      </c>
      <c r="Y81" t="s">
        <v>76</v>
      </c>
      <c r="Z81" s="9">
        <v>1</v>
      </c>
    </row>
    <row r="82" spans="1:26">
      <c r="A82" t="s">
        <v>1967</v>
      </c>
      <c r="B82" t="s">
        <v>5808</v>
      </c>
      <c r="C82" t="s">
        <v>5809</v>
      </c>
      <c r="D82" t="s">
        <v>11</v>
      </c>
      <c r="E82" t="s">
        <v>13</v>
      </c>
      <c r="F82" t="s">
        <v>1970</v>
      </c>
      <c r="G82" t="s">
        <v>12</v>
      </c>
      <c r="I82" t="s">
        <v>5808</v>
      </c>
      <c r="J82" t="s">
        <v>7625</v>
      </c>
      <c r="K82" s="11">
        <v>22.722162487376995</v>
      </c>
      <c r="L82" s="9">
        <v>0.14818566814708839</v>
      </c>
      <c r="M82" s="11">
        <v>80.220760013082611</v>
      </c>
      <c r="N82" s="11">
        <v>88.242836014390875</v>
      </c>
      <c r="P82" t="s">
        <v>1967</v>
      </c>
      <c r="Q82" t="s">
        <v>8702</v>
      </c>
      <c r="R82" t="s">
        <v>8703</v>
      </c>
      <c r="S82" t="s">
        <v>11</v>
      </c>
      <c r="T82" t="s">
        <v>13</v>
      </c>
      <c r="U82" t="s">
        <v>75</v>
      </c>
      <c r="V82" t="s">
        <v>12</v>
      </c>
      <c r="X82" t="s">
        <v>8702</v>
      </c>
      <c r="Y82" t="s">
        <v>76</v>
      </c>
      <c r="Z82" s="9">
        <v>1</v>
      </c>
    </row>
    <row r="83" spans="1:26">
      <c r="A83" t="s">
        <v>1967</v>
      </c>
      <c r="B83" t="s">
        <v>5810</v>
      </c>
      <c r="C83" t="s">
        <v>5811</v>
      </c>
      <c r="D83" t="s">
        <v>11</v>
      </c>
      <c r="E83" t="s">
        <v>13</v>
      </c>
      <c r="F83" t="s">
        <v>1970</v>
      </c>
      <c r="G83" t="s">
        <v>12</v>
      </c>
      <c r="I83" t="s">
        <v>5810</v>
      </c>
      <c r="J83" t="s">
        <v>7626</v>
      </c>
      <c r="K83" s="11">
        <v>25.053615456373254</v>
      </c>
      <c r="L83" s="9">
        <v>0.1726466311843512</v>
      </c>
      <c r="M83" s="10">
        <v>114.23335750750933</v>
      </c>
      <c r="N83" s="10">
        <v>125.65669325826026</v>
      </c>
      <c r="P83" t="s">
        <v>1967</v>
      </c>
      <c r="Q83" t="s">
        <v>8704</v>
      </c>
      <c r="R83" t="s">
        <v>8705</v>
      </c>
      <c r="S83" t="s">
        <v>11</v>
      </c>
      <c r="T83" t="s">
        <v>13</v>
      </c>
      <c r="U83" t="s">
        <v>75</v>
      </c>
      <c r="V83" t="s">
        <v>12</v>
      </c>
      <c r="X83" t="s">
        <v>8704</v>
      </c>
      <c r="Y83" t="s">
        <v>76</v>
      </c>
      <c r="Z83" s="9">
        <v>1</v>
      </c>
    </row>
    <row r="84" spans="1:26">
      <c r="A84" t="s">
        <v>1967</v>
      </c>
      <c r="B84" t="s">
        <v>5812</v>
      </c>
      <c r="C84" t="s">
        <v>5813</v>
      </c>
      <c r="D84" t="s">
        <v>11</v>
      </c>
      <c r="E84" t="s">
        <v>13</v>
      </c>
      <c r="F84" t="s">
        <v>1970</v>
      </c>
      <c r="G84" t="s">
        <v>12</v>
      </c>
      <c r="I84" t="s">
        <v>5812</v>
      </c>
      <c r="J84" t="s">
        <v>7627</v>
      </c>
      <c r="K84" s="9">
        <v>5.1444471467333388</v>
      </c>
      <c r="L84" s="12">
        <v>9.0727954706457795E-2</v>
      </c>
      <c r="M84" s="11">
        <v>69.522740296253488</v>
      </c>
      <c r="N84" s="11">
        <v>76.475014325878846</v>
      </c>
      <c r="P84" t="s">
        <v>1967</v>
      </c>
      <c r="Q84" t="s">
        <v>8706</v>
      </c>
      <c r="R84" t="s">
        <v>8707</v>
      </c>
      <c r="S84" t="s">
        <v>11</v>
      </c>
      <c r="T84" t="s">
        <v>13</v>
      </c>
      <c r="U84" t="s">
        <v>75</v>
      </c>
      <c r="V84" t="s">
        <v>12</v>
      </c>
      <c r="X84" t="s">
        <v>8706</v>
      </c>
      <c r="Y84" t="s">
        <v>76</v>
      </c>
      <c r="Z84" s="9">
        <v>1</v>
      </c>
    </row>
    <row r="85" spans="1:26">
      <c r="A85" t="s">
        <v>1967</v>
      </c>
      <c r="B85" t="s">
        <v>5814</v>
      </c>
      <c r="C85" t="s">
        <v>5815</v>
      </c>
      <c r="D85" t="s">
        <v>11</v>
      </c>
      <c r="E85" t="s">
        <v>13</v>
      </c>
      <c r="F85" t="s">
        <v>1970</v>
      </c>
      <c r="G85" t="s">
        <v>12</v>
      </c>
      <c r="I85" t="s">
        <v>5814</v>
      </c>
      <c r="J85" t="s">
        <v>7628</v>
      </c>
      <c r="K85" s="11">
        <v>41.652149949876097</v>
      </c>
      <c r="L85" s="9">
        <v>0.1084103598183731</v>
      </c>
      <c r="M85" s="11">
        <v>54.516169664491443</v>
      </c>
      <c r="N85" s="11">
        <v>59.967786630940594</v>
      </c>
      <c r="P85" t="s">
        <v>1967</v>
      </c>
      <c r="Q85" t="s">
        <v>8708</v>
      </c>
      <c r="R85" t="s">
        <v>8709</v>
      </c>
      <c r="S85" t="s">
        <v>11</v>
      </c>
      <c r="T85" t="s">
        <v>13</v>
      </c>
      <c r="U85" t="s">
        <v>75</v>
      </c>
      <c r="V85" t="s">
        <v>12</v>
      </c>
      <c r="X85" t="s">
        <v>8708</v>
      </c>
      <c r="Y85" t="s">
        <v>76</v>
      </c>
      <c r="Z85" s="9">
        <v>1</v>
      </c>
    </row>
    <row r="86" spans="1:26">
      <c r="A86" t="s">
        <v>1967</v>
      </c>
      <c r="B86" t="s">
        <v>5816</v>
      </c>
      <c r="C86" t="s">
        <v>5817</v>
      </c>
      <c r="D86" t="s">
        <v>11</v>
      </c>
      <c r="E86" t="s">
        <v>13</v>
      </c>
      <c r="F86" t="s">
        <v>1970</v>
      </c>
      <c r="G86" t="s">
        <v>12</v>
      </c>
      <c r="I86" t="s">
        <v>5816</v>
      </c>
      <c r="J86" t="s">
        <v>7629</v>
      </c>
      <c r="K86" s="11">
        <v>25.689585245928765</v>
      </c>
      <c r="L86" s="9">
        <v>0.16319781495917021</v>
      </c>
      <c r="M86" s="11">
        <v>77.995254905635917</v>
      </c>
      <c r="N86" s="11">
        <v>85.794780396199513</v>
      </c>
      <c r="P86" t="s">
        <v>1967</v>
      </c>
      <c r="Q86" t="s">
        <v>8710</v>
      </c>
      <c r="R86" t="s">
        <v>8711</v>
      </c>
      <c r="S86" t="s">
        <v>11</v>
      </c>
      <c r="T86" t="s">
        <v>13</v>
      </c>
      <c r="U86" t="s">
        <v>75</v>
      </c>
      <c r="V86" t="s">
        <v>12</v>
      </c>
      <c r="X86" t="s">
        <v>8710</v>
      </c>
      <c r="Y86" t="s">
        <v>76</v>
      </c>
      <c r="Z86" s="9">
        <v>1</v>
      </c>
    </row>
    <row r="87" spans="1:26">
      <c r="A87" t="s">
        <v>1967</v>
      </c>
      <c r="B87" t="s">
        <v>5818</v>
      </c>
      <c r="C87" t="s">
        <v>5819</v>
      </c>
      <c r="D87" t="s">
        <v>11</v>
      </c>
      <c r="E87" t="s">
        <v>13</v>
      </c>
      <c r="F87" t="s">
        <v>1970</v>
      </c>
      <c r="G87" t="s">
        <v>12</v>
      </c>
      <c r="I87" t="s">
        <v>5818</v>
      </c>
      <c r="J87" t="s">
        <v>7630</v>
      </c>
      <c r="K87" s="11">
        <v>13.030715611058021</v>
      </c>
      <c r="L87" s="9">
        <v>0.1446737005212472</v>
      </c>
      <c r="M87" s="11">
        <v>78.530610119339769</v>
      </c>
      <c r="N87" s="11">
        <v>86.383671131273758</v>
      </c>
      <c r="P87" t="s">
        <v>1967</v>
      </c>
      <c r="Q87" t="s">
        <v>8712</v>
      </c>
      <c r="R87" t="s">
        <v>8713</v>
      </c>
      <c r="S87" t="s">
        <v>11</v>
      </c>
      <c r="T87" t="s">
        <v>13</v>
      </c>
      <c r="U87" t="s">
        <v>75</v>
      </c>
      <c r="V87" t="s">
        <v>12</v>
      </c>
      <c r="X87" t="s">
        <v>8712</v>
      </c>
      <c r="Y87" t="s">
        <v>76</v>
      </c>
      <c r="Z87" s="9">
        <v>1</v>
      </c>
    </row>
    <row r="88" spans="1:26">
      <c r="A88" t="s">
        <v>1967</v>
      </c>
      <c r="B88" t="s">
        <v>5820</v>
      </c>
      <c r="C88" t="s">
        <v>5821</v>
      </c>
      <c r="D88" t="s">
        <v>11</v>
      </c>
      <c r="E88" t="s">
        <v>13</v>
      </c>
      <c r="F88" t="s">
        <v>1970</v>
      </c>
      <c r="G88" t="s">
        <v>12</v>
      </c>
      <c r="I88" t="s">
        <v>5820</v>
      </c>
      <c r="J88" t="s">
        <v>7631</v>
      </c>
      <c r="K88" s="11">
        <v>32.208199036987743</v>
      </c>
      <c r="L88" s="9">
        <v>0.1200559157741387</v>
      </c>
      <c r="M88" s="11">
        <v>45.404132411365033</v>
      </c>
      <c r="N88" s="11">
        <v>49.944545652501539</v>
      </c>
      <c r="P88" t="s">
        <v>1967</v>
      </c>
      <c r="Q88" t="s">
        <v>8714</v>
      </c>
      <c r="R88" t="s">
        <v>8715</v>
      </c>
      <c r="S88" t="s">
        <v>11</v>
      </c>
      <c r="T88" t="s">
        <v>13</v>
      </c>
      <c r="U88" t="s">
        <v>75</v>
      </c>
      <c r="V88" t="s">
        <v>12</v>
      </c>
      <c r="X88" t="s">
        <v>8714</v>
      </c>
      <c r="Y88" t="s">
        <v>76</v>
      </c>
      <c r="Z88" s="9">
        <v>1</v>
      </c>
    </row>
    <row r="89" spans="1:26">
      <c r="A89" t="s">
        <v>1967</v>
      </c>
      <c r="B89" t="s">
        <v>5822</v>
      </c>
      <c r="C89" t="s">
        <v>5823</v>
      </c>
      <c r="D89" t="s">
        <v>11</v>
      </c>
      <c r="E89" t="s">
        <v>13</v>
      </c>
      <c r="F89" t="s">
        <v>1970</v>
      </c>
      <c r="G89" t="s">
        <v>12</v>
      </c>
      <c r="I89" t="s">
        <v>5822</v>
      </c>
      <c r="J89" t="s">
        <v>7632</v>
      </c>
      <c r="K89" s="9">
        <v>4.3811906012349926</v>
      </c>
      <c r="L89" s="9">
        <v>0.1857760689861451</v>
      </c>
      <c r="M89" s="11">
        <v>62.1592488767524</v>
      </c>
      <c r="N89" s="11">
        <v>68.375173764427643</v>
      </c>
      <c r="P89" t="s">
        <v>1967</v>
      </c>
      <c r="Q89" t="s">
        <v>8716</v>
      </c>
      <c r="R89" t="s">
        <v>8717</v>
      </c>
      <c r="S89" t="s">
        <v>11</v>
      </c>
      <c r="T89" t="s">
        <v>13</v>
      </c>
      <c r="U89" t="s">
        <v>75</v>
      </c>
      <c r="V89" t="s">
        <v>12</v>
      </c>
      <c r="X89" t="s">
        <v>8716</v>
      </c>
      <c r="Y89" t="s">
        <v>76</v>
      </c>
      <c r="Z89" s="9">
        <v>1</v>
      </c>
    </row>
    <row r="90" spans="1:26">
      <c r="A90" t="s">
        <v>1967</v>
      </c>
      <c r="B90" t="s">
        <v>5824</v>
      </c>
      <c r="C90" t="s">
        <v>5825</v>
      </c>
      <c r="D90" t="s">
        <v>11</v>
      </c>
      <c r="E90" t="s">
        <v>13</v>
      </c>
      <c r="F90" t="s">
        <v>1970</v>
      </c>
      <c r="G90" t="s">
        <v>12</v>
      </c>
      <c r="I90" t="s">
        <v>5824</v>
      </c>
      <c r="J90" t="s">
        <v>7633</v>
      </c>
      <c r="K90" s="9">
        <v>3.0964919792610104</v>
      </c>
      <c r="L90" s="9">
        <v>0.1916328537763245</v>
      </c>
      <c r="M90" s="11">
        <v>32.717340785755873</v>
      </c>
      <c r="N90" s="11">
        <v>35.989074864331464</v>
      </c>
      <c r="P90" t="s">
        <v>1967</v>
      </c>
      <c r="Q90" t="s">
        <v>8718</v>
      </c>
      <c r="R90" t="s">
        <v>8719</v>
      </c>
      <c r="S90" t="s">
        <v>11</v>
      </c>
      <c r="T90" t="s">
        <v>13</v>
      </c>
      <c r="U90" t="s">
        <v>75</v>
      </c>
      <c r="V90" t="s">
        <v>12</v>
      </c>
      <c r="X90" t="s">
        <v>8718</v>
      </c>
      <c r="Y90" t="s">
        <v>76</v>
      </c>
      <c r="Z90" s="9">
        <v>1</v>
      </c>
    </row>
    <row r="91" spans="1:26">
      <c r="A91" t="s">
        <v>1967</v>
      </c>
      <c r="B91" t="s">
        <v>5826</v>
      </c>
      <c r="C91" t="s">
        <v>5827</v>
      </c>
      <c r="D91" t="s">
        <v>11</v>
      </c>
      <c r="E91" t="s">
        <v>13</v>
      </c>
      <c r="F91" t="s">
        <v>1970</v>
      </c>
      <c r="G91" t="s">
        <v>12</v>
      </c>
      <c r="I91" t="s">
        <v>5826</v>
      </c>
      <c r="J91" t="s">
        <v>7634</v>
      </c>
      <c r="K91" s="9">
        <v>3.0800029171333261</v>
      </c>
      <c r="L91" s="9">
        <v>0.28225132854375679</v>
      </c>
      <c r="M91" s="11">
        <v>43.673884594205177</v>
      </c>
      <c r="N91" s="11">
        <v>48.041273053625702</v>
      </c>
      <c r="P91" t="s">
        <v>1967</v>
      </c>
      <c r="Q91" t="s">
        <v>8720</v>
      </c>
      <c r="R91" t="s">
        <v>8721</v>
      </c>
      <c r="S91" t="s">
        <v>11</v>
      </c>
      <c r="T91" t="s">
        <v>13</v>
      </c>
      <c r="U91" t="s">
        <v>75</v>
      </c>
      <c r="V91" t="s">
        <v>12</v>
      </c>
      <c r="X91" t="s">
        <v>8720</v>
      </c>
      <c r="Y91" t="s">
        <v>76</v>
      </c>
      <c r="Z91" s="9">
        <v>1</v>
      </c>
    </row>
    <row r="92" spans="1:26">
      <c r="A92" t="s">
        <v>1967</v>
      </c>
      <c r="B92" t="s">
        <v>5828</v>
      </c>
      <c r="C92" t="s">
        <v>5829</v>
      </c>
      <c r="D92" t="s">
        <v>11</v>
      </c>
      <c r="E92" t="s">
        <v>13</v>
      </c>
      <c r="F92" t="s">
        <v>1970</v>
      </c>
      <c r="G92" t="s">
        <v>12</v>
      </c>
      <c r="I92" t="s">
        <v>5828</v>
      </c>
      <c r="J92" t="s">
        <v>7635</v>
      </c>
      <c r="K92" s="9">
        <v>1.659530983915994</v>
      </c>
      <c r="L92" s="9">
        <v>0.20493882531872851</v>
      </c>
      <c r="M92" s="11">
        <v>66.862188591455876</v>
      </c>
      <c r="N92" s="11">
        <v>73.548407450601474</v>
      </c>
      <c r="P92" t="s">
        <v>1967</v>
      </c>
      <c r="Q92" t="s">
        <v>8722</v>
      </c>
      <c r="R92" t="s">
        <v>8723</v>
      </c>
      <c r="S92" t="s">
        <v>11</v>
      </c>
      <c r="T92" t="s">
        <v>13</v>
      </c>
      <c r="U92" t="s">
        <v>75</v>
      </c>
      <c r="V92" t="s">
        <v>12</v>
      </c>
      <c r="X92" t="s">
        <v>8722</v>
      </c>
      <c r="Y92" t="s">
        <v>76</v>
      </c>
      <c r="Z92" s="9">
        <v>1</v>
      </c>
    </row>
    <row r="93" spans="1:26">
      <c r="A93" t="s">
        <v>1967</v>
      </c>
      <c r="B93" t="s">
        <v>5830</v>
      </c>
      <c r="C93" t="s">
        <v>5831</v>
      </c>
      <c r="D93" t="s">
        <v>11</v>
      </c>
      <c r="E93" t="s">
        <v>13</v>
      </c>
      <c r="F93" t="s">
        <v>1970</v>
      </c>
      <c r="G93" t="s">
        <v>12</v>
      </c>
      <c r="I93" t="s">
        <v>5830</v>
      </c>
      <c r="J93" t="s">
        <v>7636</v>
      </c>
      <c r="K93" s="9">
        <v>1.2221611462685196</v>
      </c>
      <c r="L93" s="9">
        <v>0.1040194134379963</v>
      </c>
      <c r="M93" s="11">
        <v>35.864162182675607</v>
      </c>
      <c r="N93" s="11">
        <v>39.450578400943172</v>
      </c>
      <c r="P93" t="s">
        <v>1967</v>
      </c>
      <c r="Q93" t="s">
        <v>8724</v>
      </c>
      <c r="R93" t="s">
        <v>8725</v>
      </c>
      <c r="S93" t="s">
        <v>11</v>
      </c>
      <c r="T93" t="s">
        <v>13</v>
      </c>
      <c r="U93" t="s">
        <v>75</v>
      </c>
      <c r="V93" t="s">
        <v>12</v>
      </c>
      <c r="X93" t="s">
        <v>8724</v>
      </c>
      <c r="Y93" t="s">
        <v>76</v>
      </c>
      <c r="Z93" s="9">
        <v>1</v>
      </c>
    </row>
    <row r="94" spans="1:26">
      <c r="A94" t="s">
        <v>1967</v>
      </c>
      <c r="B94" t="s">
        <v>5832</v>
      </c>
      <c r="C94" t="s">
        <v>5833</v>
      </c>
      <c r="D94" t="s">
        <v>11</v>
      </c>
      <c r="E94" t="s">
        <v>13</v>
      </c>
      <c r="F94" t="s">
        <v>1970</v>
      </c>
      <c r="G94" t="s">
        <v>12</v>
      </c>
      <c r="I94" t="s">
        <v>5832</v>
      </c>
      <c r="J94" t="s">
        <v>7637</v>
      </c>
      <c r="K94" s="9">
        <v>1.0326817952586107</v>
      </c>
      <c r="L94" s="12">
        <v>8.9264994968165506E-2</v>
      </c>
      <c r="M94" s="11">
        <v>55.541864598391726</v>
      </c>
      <c r="N94" s="11">
        <v>61.096051058230906</v>
      </c>
      <c r="P94" t="s">
        <v>1967</v>
      </c>
      <c r="Q94" t="s">
        <v>8726</v>
      </c>
      <c r="R94" t="s">
        <v>8727</v>
      </c>
      <c r="S94" t="s">
        <v>11</v>
      </c>
      <c r="T94" t="s">
        <v>13</v>
      </c>
      <c r="U94" t="s">
        <v>75</v>
      </c>
      <c r="V94" t="s">
        <v>12</v>
      </c>
      <c r="X94" t="s">
        <v>8726</v>
      </c>
      <c r="Y94" t="s">
        <v>76</v>
      </c>
      <c r="Z94" s="9">
        <v>1</v>
      </c>
    </row>
    <row r="95" spans="1:26">
      <c r="A95" t="s">
        <v>1967</v>
      </c>
      <c r="B95" t="s">
        <v>5834</v>
      </c>
      <c r="C95" t="s">
        <v>5835</v>
      </c>
      <c r="D95" t="s">
        <v>11</v>
      </c>
      <c r="E95" t="s">
        <v>13</v>
      </c>
      <c r="F95" t="s">
        <v>1970</v>
      </c>
      <c r="G95" t="s">
        <v>12</v>
      </c>
      <c r="I95" t="s">
        <v>5834</v>
      </c>
      <c r="J95" t="s">
        <v>7638</v>
      </c>
      <c r="K95" s="11">
        <v>18.458329646403776</v>
      </c>
      <c r="L95" s="9">
        <v>0.34321024661296717</v>
      </c>
      <c r="M95" s="11">
        <v>64.500422587732757</v>
      </c>
      <c r="N95" s="11">
        <v>70.950464846506037</v>
      </c>
      <c r="P95" t="s">
        <v>1967</v>
      </c>
      <c r="Q95" t="s">
        <v>8728</v>
      </c>
      <c r="R95" t="s">
        <v>8729</v>
      </c>
      <c r="S95" t="s">
        <v>11</v>
      </c>
      <c r="T95" t="s">
        <v>13</v>
      </c>
      <c r="U95" t="s">
        <v>75</v>
      </c>
      <c r="V95" t="s">
        <v>12</v>
      </c>
      <c r="X95" t="s">
        <v>8728</v>
      </c>
      <c r="Y95" t="s">
        <v>76</v>
      </c>
      <c r="Z95" s="9">
        <v>1</v>
      </c>
    </row>
    <row r="96" spans="1:26">
      <c r="A96" t="s">
        <v>1967</v>
      </c>
      <c r="B96" t="s">
        <v>5836</v>
      </c>
      <c r="C96" t="s">
        <v>5837</v>
      </c>
      <c r="D96" t="s">
        <v>11</v>
      </c>
      <c r="E96" t="s">
        <v>13</v>
      </c>
      <c r="F96" t="s">
        <v>1970</v>
      </c>
      <c r="G96" t="s">
        <v>12</v>
      </c>
      <c r="I96" t="s">
        <v>5836</v>
      </c>
      <c r="J96" t="s">
        <v>7639</v>
      </c>
      <c r="K96" s="9">
        <v>6.0962314750446707</v>
      </c>
      <c r="L96" s="9">
        <v>0.33199909434503128</v>
      </c>
      <c r="M96" s="11">
        <v>54.762774763276106</v>
      </c>
      <c r="N96" s="11">
        <v>60.239052239603723</v>
      </c>
      <c r="P96" t="s">
        <v>1967</v>
      </c>
      <c r="Q96" t="s">
        <v>8730</v>
      </c>
      <c r="R96" t="s">
        <v>8731</v>
      </c>
      <c r="S96" t="s">
        <v>11</v>
      </c>
      <c r="T96" t="s">
        <v>13</v>
      </c>
      <c r="U96" t="s">
        <v>75</v>
      </c>
      <c r="V96" t="s">
        <v>12</v>
      </c>
      <c r="X96" t="s">
        <v>8730</v>
      </c>
      <c r="Y96" t="s">
        <v>76</v>
      </c>
      <c r="Z96" s="9">
        <v>1</v>
      </c>
    </row>
    <row r="97" spans="1:26">
      <c r="A97" t="s">
        <v>1967</v>
      </c>
      <c r="B97" t="s">
        <v>5838</v>
      </c>
      <c r="C97" t="s">
        <v>5839</v>
      </c>
      <c r="D97" t="s">
        <v>11</v>
      </c>
      <c r="E97" t="s">
        <v>13</v>
      </c>
      <c r="F97" t="s">
        <v>1970</v>
      </c>
      <c r="G97" t="s">
        <v>12</v>
      </c>
      <c r="I97" t="s">
        <v>5838</v>
      </c>
      <c r="J97" t="s">
        <v>7640</v>
      </c>
      <c r="K97" s="11">
        <v>11.542375678087328</v>
      </c>
      <c r="L97" s="9">
        <v>0.32948254068509991</v>
      </c>
      <c r="M97" s="11">
        <v>79.965448742549157</v>
      </c>
      <c r="N97" s="11">
        <v>87.961993616804079</v>
      </c>
      <c r="P97" t="s">
        <v>1967</v>
      </c>
      <c r="Q97" t="s">
        <v>8732</v>
      </c>
      <c r="R97" t="s">
        <v>8733</v>
      </c>
      <c r="S97" t="s">
        <v>11</v>
      </c>
      <c r="T97" t="s">
        <v>13</v>
      </c>
      <c r="U97" t="s">
        <v>75</v>
      </c>
      <c r="V97" t="s">
        <v>12</v>
      </c>
      <c r="X97" t="s">
        <v>8732</v>
      </c>
      <c r="Y97" t="s">
        <v>76</v>
      </c>
      <c r="Z97" s="9">
        <v>1</v>
      </c>
    </row>
    <row r="98" spans="1:26">
      <c r="A98" t="s">
        <v>1967</v>
      </c>
      <c r="B98" t="s">
        <v>5840</v>
      </c>
      <c r="C98" t="s">
        <v>5841</v>
      </c>
      <c r="D98" t="s">
        <v>11</v>
      </c>
      <c r="E98" t="s">
        <v>13</v>
      </c>
      <c r="F98" t="s">
        <v>1970</v>
      </c>
      <c r="G98" t="s">
        <v>12</v>
      </c>
      <c r="I98" t="s">
        <v>5840</v>
      </c>
      <c r="J98" t="s">
        <v>7641</v>
      </c>
      <c r="K98" s="11">
        <v>20.855700832497842</v>
      </c>
      <c r="L98" s="9">
        <v>0.3130056256852598</v>
      </c>
      <c r="M98" s="11">
        <v>90.444777371635283</v>
      </c>
      <c r="N98" s="11">
        <v>99.489255108798815</v>
      </c>
      <c r="P98" t="s">
        <v>1967</v>
      </c>
      <c r="Q98" t="s">
        <v>8734</v>
      </c>
      <c r="R98" t="s">
        <v>8735</v>
      </c>
      <c r="S98" t="s">
        <v>11</v>
      </c>
      <c r="T98" t="s">
        <v>13</v>
      </c>
      <c r="U98" t="s">
        <v>75</v>
      </c>
      <c r="V98" t="s">
        <v>12</v>
      </c>
      <c r="X98" t="s">
        <v>8734</v>
      </c>
      <c r="Y98" t="s">
        <v>76</v>
      </c>
      <c r="Z98" s="9">
        <v>1</v>
      </c>
    </row>
    <row r="99" spans="1:26">
      <c r="A99" t="s">
        <v>1967</v>
      </c>
      <c r="B99" t="s">
        <v>5842</v>
      </c>
      <c r="C99" t="s">
        <v>5843</v>
      </c>
      <c r="D99" t="s">
        <v>11</v>
      </c>
      <c r="E99" t="s">
        <v>13</v>
      </c>
      <c r="F99" t="s">
        <v>1970</v>
      </c>
      <c r="G99" t="s">
        <v>12</v>
      </c>
      <c r="I99" t="s">
        <v>5842</v>
      </c>
      <c r="J99" t="s">
        <v>7642</v>
      </c>
      <c r="K99" s="11">
        <v>12.947339544556488</v>
      </c>
      <c r="L99" s="9">
        <v>0.31931886751971472</v>
      </c>
      <c r="M99" s="10">
        <v>112.835831832775</v>
      </c>
      <c r="N99" s="10">
        <v>124.11941501605251</v>
      </c>
      <c r="P99" t="s">
        <v>1967</v>
      </c>
      <c r="Q99" t="s">
        <v>8736</v>
      </c>
      <c r="R99" t="s">
        <v>8737</v>
      </c>
      <c r="S99" t="s">
        <v>11</v>
      </c>
      <c r="T99" t="s">
        <v>13</v>
      </c>
      <c r="U99" t="s">
        <v>75</v>
      </c>
      <c r="V99" t="s">
        <v>12</v>
      </c>
      <c r="X99" t="s">
        <v>8736</v>
      </c>
      <c r="Y99" t="s">
        <v>76</v>
      </c>
      <c r="Z99" s="9">
        <v>1</v>
      </c>
    </row>
    <row r="100" spans="1:26">
      <c r="A100" t="s">
        <v>1967</v>
      </c>
      <c r="B100" t="s">
        <v>5844</v>
      </c>
      <c r="C100" t="s">
        <v>5845</v>
      </c>
      <c r="D100" t="s">
        <v>11</v>
      </c>
      <c r="E100" t="s">
        <v>13</v>
      </c>
      <c r="F100" t="s">
        <v>1970</v>
      </c>
      <c r="G100" t="s">
        <v>12</v>
      </c>
      <c r="I100" t="s">
        <v>5844</v>
      </c>
      <c r="J100" t="s">
        <v>7643</v>
      </c>
      <c r="K100" s="11">
        <v>14.141502088728375</v>
      </c>
      <c r="L100" s="9">
        <v>0.32209230395465738</v>
      </c>
      <c r="M100" s="11">
        <v>68.46067419387758</v>
      </c>
      <c r="N100" s="11">
        <v>75.306741613265345</v>
      </c>
      <c r="P100" t="s">
        <v>1967</v>
      </c>
      <c r="Q100" t="s">
        <v>8738</v>
      </c>
      <c r="R100" t="s">
        <v>8739</v>
      </c>
      <c r="S100" t="s">
        <v>11</v>
      </c>
      <c r="T100" t="s">
        <v>13</v>
      </c>
      <c r="U100" t="s">
        <v>75</v>
      </c>
      <c r="V100" t="s">
        <v>12</v>
      </c>
      <c r="X100" t="s">
        <v>8738</v>
      </c>
      <c r="Y100" t="s">
        <v>76</v>
      </c>
      <c r="Z100" s="9">
        <v>1</v>
      </c>
    </row>
    <row r="101" spans="1:26">
      <c r="A101" t="s">
        <v>1967</v>
      </c>
      <c r="B101" t="s">
        <v>5846</v>
      </c>
      <c r="C101" t="s">
        <v>5847</v>
      </c>
      <c r="D101" t="s">
        <v>11</v>
      </c>
      <c r="E101" t="s">
        <v>13</v>
      </c>
      <c r="F101" t="s">
        <v>1970</v>
      </c>
      <c r="G101" t="s">
        <v>12</v>
      </c>
      <c r="I101" t="s">
        <v>5846</v>
      </c>
      <c r="J101" t="s">
        <v>7644</v>
      </c>
      <c r="K101" s="11">
        <v>10.842728885879557</v>
      </c>
      <c r="L101" s="9">
        <v>0.1050400977018332</v>
      </c>
      <c r="M101" s="10">
        <v>407.7060696809387</v>
      </c>
      <c r="N101" s="10">
        <v>448.47667664903258</v>
      </c>
      <c r="P101" t="s">
        <v>1967</v>
      </c>
      <c r="Q101" t="s">
        <v>8740</v>
      </c>
      <c r="R101" t="s">
        <v>8741</v>
      </c>
      <c r="S101" t="s">
        <v>11</v>
      </c>
      <c r="T101" t="s">
        <v>13</v>
      </c>
      <c r="U101" t="s">
        <v>75</v>
      </c>
      <c r="V101" t="s">
        <v>12</v>
      </c>
      <c r="X101" t="s">
        <v>8740</v>
      </c>
      <c r="Y101" t="s">
        <v>76</v>
      </c>
      <c r="Z101" s="9">
        <v>1</v>
      </c>
    </row>
    <row r="102" spans="1:26">
      <c r="A102" t="s">
        <v>1967</v>
      </c>
      <c r="B102" t="s">
        <v>5848</v>
      </c>
      <c r="C102" t="s">
        <v>5849</v>
      </c>
      <c r="D102" t="s">
        <v>11</v>
      </c>
      <c r="E102" t="s">
        <v>13</v>
      </c>
      <c r="F102" t="s">
        <v>1970</v>
      </c>
      <c r="G102" t="s">
        <v>12</v>
      </c>
      <c r="I102" t="s">
        <v>5848</v>
      </c>
      <c r="J102" t="s">
        <v>7645</v>
      </c>
      <c r="K102" s="9">
        <v>3.4024449064833311</v>
      </c>
      <c r="L102" s="12">
        <v>9.1749157591649699E-2</v>
      </c>
      <c r="M102" s="10">
        <v>567.87918085968511</v>
      </c>
      <c r="N102" s="10">
        <v>624.66709894565372</v>
      </c>
      <c r="P102" t="s">
        <v>1967</v>
      </c>
      <c r="Q102" t="s">
        <v>8742</v>
      </c>
      <c r="R102" t="s">
        <v>8743</v>
      </c>
      <c r="S102" t="s">
        <v>11</v>
      </c>
      <c r="T102" t="s">
        <v>13</v>
      </c>
      <c r="U102" t="s">
        <v>75</v>
      </c>
      <c r="V102" t="s">
        <v>12</v>
      </c>
      <c r="X102" t="s">
        <v>8742</v>
      </c>
      <c r="Y102" t="s">
        <v>76</v>
      </c>
      <c r="Z102" s="9">
        <v>1</v>
      </c>
    </row>
    <row r="103" spans="1:26">
      <c r="A103" t="s">
        <v>1967</v>
      </c>
      <c r="B103" t="s">
        <v>5850</v>
      </c>
      <c r="C103" t="s">
        <v>5851</v>
      </c>
      <c r="D103" t="s">
        <v>11</v>
      </c>
      <c r="E103" t="s">
        <v>13</v>
      </c>
      <c r="F103" t="s">
        <v>1970</v>
      </c>
      <c r="G103" t="s">
        <v>12</v>
      </c>
      <c r="I103" t="s">
        <v>5850</v>
      </c>
      <c r="J103" t="s">
        <v>7646</v>
      </c>
      <c r="K103" s="9">
        <v>5.9704697942045621</v>
      </c>
      <c r="L103" s="9">
        <v>0.1384025015625503</v>
      </c>
      <c r="M103" s="10">
        <v>234.73785574372096</v>
      </c>
      <c r="N103" s="10">
        <v>258.21164131809309</v>
      </c>
      <c r="P103" t="s">
        <v>1967</v>
      </c>
      <c r="Q103" t="s">
        <v>8744</v>
      </c>
      <c r="R103" t="s">
        <v>8745</v>
      </c>
      <c r="S103" t="s">
        <v>11</v>
      </c>
      <c r="T103" t="s">
        <v>13</v>
      </c>
      <c r="U103" t="s">
        <v>75</v>
      </c>
      <c r="V103" t="s">
        <v>12</v>
      </c>
      <c r="X103" t="s">
        <v>8744</v>
      </c>
      <c r="Y103" t="s">
        <v>76</v>
      </c>
      <c r="Z103" s="9">
        <v>1</v>
      </c>
    </row>
    <row r="104" spans="1:26">
      <c r="A104" t="s">
        <v>1967</v>
      </c>
      <c r="B104" t="s">
        <v>5852</v>
      </c>
      <c r="C104" t="s">
        <v>5853</v>
      </c>
      <c r="D104" t="s">
        <v>11</v>
      </c>
      <c r="E104" t="s">
        <v>13</v>
      </c>
      <c r="F104" t="s">
        <v>1970</v>
      </c>
      <c r="G104" t="s">
        <v>12</v>
      </c>
      <c r="I104" t="s">
        <v>5852</v>
      </c>
      <c r="J104" t="s">
        <v>7647</v>
      </c>
      <c r="K104" s="9">
        <v>9.3131982919303287</v>
      </c>
      <c r="L104" s="9">
        <v>0.22601784840641509</v>
      </c>
      <c r="M104" s="10">
        <v>242.03706183722659</v>
      </c>
      <c r="N104" s="10">
        <v>266.24076802094925</v>
      </c>
      <c r="P104" t="s">
        <v>1967</v>
      </c>
      <c r="Q104" t="s">
        <v>8746</v>
      </c>
      <c r="R104" t="s">
        <v>8747</v>
      </c>
      <c r="S104" t="s">
        <v>11</v>
      </c>
      <c r="T104" t="s">
        <v>13</v>
      </c>
      <c r="U104" t="s">
        <v>75</v>
      </c>
      <c r="V104" t="s">
        <v>12</v>
      </c>
      <c r="X104" t="s">
        <v>8746</v>
      </c>
      <c r="Y104" t="s">
        <v>76</v>
      </c>
      <c r="Z104" s="9">
        <v>1</v>
      </c>
    </row>
    <row r="105" spans="1:26">
      <c r="A105" t="s">
        <v>1967</v>
      </c>
      <c r="B105" t="s">
        <v>5854</v>
      </c>
      <c r="C105" t="s">
        <v>5855</v>
      </c>
      <c r="D105" t="s">
        <v>11</v>
      </c>
      <c r="E105" t="s">
        <v>13</v>
      </c>
      <c r="F105" t="s">
        <v>1970</v>
      </c>
      <c r="G105" t="s">
        <v>12</v>
      </c>
      <c r="I105" t="s">
        <v>5854</v>
      </c>
      <c r="J105" t="s">
        <v>7648</v>
      </c>
      <c r="K105" s="9">
        <v>0.22875000000000001</v>
      </c>
      <c r="L105" s="12">
        <v>8.6675887566580997E-2</v>
      </c>
      <c r="M105" s="10">
        <v>131.99659790851908</v>
      </c>
      <c r="N105" s="10">
        <v>145.19625769937099</v>
      </c>
      <c r="P105" t="s">
        <v>1967</v>
      </c>
      <c r="Q105" t="s">
        <v>8748</v>
      </c>
      <c r="R105" t="s">
        <v>8749</v>
      </c>
      <c r="S105" t="s">
        <v>11</v>
      </c>
      <c r="T105" t="s">
        <v>13</v>
      </c>
      <c r="U105" t="s">
        <v>75</v>
      </c>
      <c r="V105" t="s">
        <v>12</v>
      </c>
      <c r="X105" t="s">
        <v>8748</v>
      </c>
      <c r="Y105" t="s">
        <v>76</v>
      </c>
      <c r="Z105" s="9">
        <v>1</v>
      </c>
    </row>
    <row r="106" spans="1:26">
      <c r="A106" t="s">
        <v>1967</v>
      </c>
      <c r="B106" t="s">
        <v>5856</v>
      </c>
      <c r="C106" t="s">
        <v>5857</v>
      </c>
      <c r="D106" t="s">
        <v>11</v>
      </c>
      <c r="E106" t="s">
        <v>13</v>
      </c>
      <c r="F106" t="s">
        <v>1970</v>
      </c>
      <c r="G106" t="s">
        <v>12</v>
      </c>
      <c r="I106" t="s">
        <v>5856</v>
      </c>
      <c r="J106" t="s">
        <v>7649</v>
      </c>
      <c r="K106" s="11">
        <v>19.678984197950427</v>
      </c>
      <c r="L106" s="9">
        <v>0.30219341021502921</v>
      </c>
      <c r="M106" s="10">
        <v>233.9091042377749</v>
      </c>
      <c r="N106" s="10">
        <v>257.30001466155238</v>
      </c>
      <c r="P106" t="s">
        <v>1967</v>
      </c>
      <c r="Q106" t="s">
        <v>8750</v>
      </c>
      <c r="R106" t="s">
        <v>8751</v>
      </c>
      <c r="S106" t="s">
        <v>11</v>
      </c>
      <c r="T106" t="s">
        <v>13</v>
      </c>
      <c r="U106" t="s">
        <v>75</v>
      </c>
      <c r="V106" t="s">
        <v>12</v>
      </c>
      <c r="X106" t="s">
        <v>8750</v>
      </c>
      <c r="Y106" t="s">
        <v>76</v>
      </c>
      <c r="Z106" s="9">
        <v>1</v>
      </c>
    </row>
    <row r="107" spans="1:26">
      <c r="A107" t="s">
        <v>1967</v>
      </c>
      <c r="B107" t="s">
        <v>5858</v>
      </c>
      <c r="C107" t="s">
        <v>5857</v>
      </c>
      <c r="D107" t="s">
        <v>11</v>
      </c>
      <c r="E107" t="s">
        <v>13</v>
      </c>
      <c r="F107" t="s">
        <v>1970</v>
      </c>
      <c r="G107" t="s">
        <v>12</v>
      </c>
      <c r="I107" t="s">
        <v>5858</v>
      </c>
      <c r="J107" t="s">
        <v>7650</v>
      </c>
      <c r="K107" s="11">
        <v>13.407409061798791</v>
      </c>
      <c r="L107" s="9">
        <v>0.20535922220887909</v>
      </c>
      <c r="M107" s="10">
        <v>429.80788152108221</v>
      </c>
      <c r="N107" s="10">
        <v>472.78866967319044</v>
      </c>
      <c r="P107" t="s">
        <v>1967</v>
      </c>
      <c r="Q107" t="s">
        <v>8752</v>
      </c>
      <c r="R107" t="s">
        <v>8753</v>
      </c>
      <c r="S107" t="s">
        <v>11</v>
      </c>
      <c r="T107" t="s">
        <v>13</v>
      </c>
      <c r="U107" t="s">
        <v>75</v>
      </c>
      <c r="V107" t="s">
        <v>12</v>
      </c>
      <c r="X107" t="s">
        <v>8752</v>
      </c>
      <c r="Y107" t="s">
        <v>76</v>
      </c>
      <c r="Z107" s="9">
        <v>1</v>
      </c>
    </row>
    <row r="108" spans="1:26">
      <c r="A108" t="s">
        <v>1967</v>
      </c>
      <c r="B108" t="s">
        <v>5859</v>
      </c>
      <c r="C108" t="s">
        <v>5860</v>
      </c>
      <c r="D108" t="s">
        <v>11</v>
      </c>
      <c r="E108" t="s">
        <v>13</v>
      </c>
      <c r="F108" t="s">
        <v>1970</v>
      </c>
      <c r="G108" t="s">
        <v>12</v>
      </c>
      <c r="I108" t="s">
        <v>5859</v>
      </c>
      <c r="J108" t="s">
        <v>7651</v>
      </c>
      <c r="K108" s="11">
        <v>41.348522877949001</v>
      </c>
      <c r="L108" s="9">
        <v>0.1287178628709901</v>
      </c>
      <c r="M108" s="10">
        <v>145.48581392215598</v>
      </c>
      <c r="N108" s="10">
        <v>160.03439531437161</v>
      </c>
      <c r="P108" t="s">
        <v>1967</v>
      </c>
      <c r="Q108" t="s">
        <v>8754</v>
      </c>
      <c r="R108" t="s">
        <v>8755</v>
      </c>
      <c r="S108" t="s">
        <v>11</v>
      </c>
      <c r="T108" t="s">
        <v>13</v>
      </c>
      <c r="U108" t="s">
        <v>75</v>
      </c>
      <c r="V108" t="s">
        <v>12</v>
      </c>
      <c r="X108" t="s">
        <v>8754</v>
      </c>
      <c r="Y108" t="s">
        <v>76</v>
      </c>
      <c r="Z108" s="9">
        <v>1</v>
      </c>
    </row>
    <row r="109" spans="1:26">
      <c r="A109" t="s">
        <v>1967</v>
      </c>
      <c r="B109" t="s">
        <v>5861</v>
      </c>
      <c r="C109" t="s">
        <v>5862</v>
      </c>
      <c r="D109" t="s">
        <v>11</v>
      </c>
      <c r="E109" t="s">
        <v>13</v>
      </c>
      <c r="F109" t="s">
        <v>1970</v>
      </c>
      <c r="G109" t="s">
        <v>12</v>
      </c>
      <c r="I109" t="s">
        <v>5861</v>
      </c>
      <c r="J109" t="s">
        <v>7652</v>
      </c>
      <c r="K109" s="11">
        <v>10.297210849190513</v>
      </c>
      <c r="L109" s="9">
        <v>0.1876858777211203</v>
      </c>
      <c r="M109" s="11">
        <v>43.113941295025981</v>
      </c>
      <c r="N109" s="11">
        <v>47.425335424528583</v>
      </c>
      <c r="P109" t="s">
        <v>1967</v>
      </c>
      <c r="Q109" t="s">
        <v>8756</v>
      </c>
      <c r="R109" t="s">
        <v>8757</v>
      </c>
      <c r="S109" t="s">
        <v>11</v>
      </c>
      <c r="T109" t="s">
        <v>13</v>
      </c>
      <c r="U109" t="s">
        <v>75</v>
      </c>
      <c r="V109" t="s">
        <v>12</v>
      </c>
      <c r="X109" t="s">
        <v>8756</v>
      </c>
      <c r="Y109" t="s">
        <v>76</v>
      </c>
      <c r="Z109" s="9">
        <v>1</v>
      </c>
    </row>
    <row r="110" spans="1:26">
      <c r="A110" t="s">
        <v>1967</v>
      </c>
      <c r="B110" t="s">
        <v>5863</v>
      </c>
      <c r="C110" t="s">
        <v>5864</v>
      </c>
      <c r="D110" t="s">
        <v>11</v>
      </c>
      <c r="E110" t="s">
        <v>13</v>
      </c>
      <c r="F110" t="s">
        <v>1970</v>
      </c>
      <c r="G110" t="s">
        <v>12</v>
      </c>
      <c r="I110" t="s">
        <v>5863</v>
      </c>
      <c r="J110" t="s">
        <v>7653</v>
      </c>
      <c r="K110" s="11">
        <v>90.528264383877911</v>
      </c>
      <c r="L110" s="9">
        <v>0.28986281603852121</v>
      </c>
      <c r="M110" s="11">
        <v>62.640802185558599</v>
      </c>
      <c r="N110" s="11">
        <v>68.90488240411446</v>
      </c>
      <c r="P110" t="s">
        <v>1967</v>
      </c>
      <c r="Q110" t="s">
        <v>8758</v>
      </c>
      <c r="R110" t="s">
        <v>8759</v>
      </c>
      <c r="S110" t="s">
        <v>11</v>
      </c>
      <c r="T110" t="s">
        <v>13</v>
      </c>
      <c r="U110" t="s">
        <v>75</v>
      </c>
      <c r="V110" t="s">
        <v>12</v>
      </c>
      <c r="X110" t="s">
        <v>8758</v>
      </c>
      <c r="Y110" t="s">
        <v>76</v>
      </c>
      <c r="Z110" s="9">
        <v>1</v>
      </c>
    </row>
    <row r="111" spans="1:26">
      <c r="A111" t="s">
        <v>1967</v>
      </c>
      <c r="B111" t="s">
        <v>5865</v>
      </c>
      <c r="C111" t="s">
        <v>5866</v>
      </c>
      <c r="D111" t="s">
        <v>11</v>
      </c>
      <c r="E111" t="s">
        <v>13</v>
      </c>
      <c r="F111" t="s">
        <v>1970</v>
      </c>
      <c r="G111" t="s">
        <v>12</v>
      </c>
      <c r="I111" t="s">
        <v>5865</v>
      </c>
      <c r="J111" t="s">
        <v>7654</v>
      </c>
      <c r="K111" s="9">
        <v>3.8585572344666921</v>
      </c>
      <c r="L111" s="9">
        <v>0.16269174726122049</v>
      </c>
      <c r="M111" s="11">
        <v>28.447104546387827</v>
      </c>
      <c r="N111" s="11">
        <v>31.291815001026613</v>
      </c>
      <c r="P111" t="s">
        <v>1967</v>
      </c>
      <c r="Q111" t="s">
        <v>8760</v>
      </c>
      <c r="R111" t="s">
        <v>8761</v>
      </c>
      <c r="S111" t="s">
        <v>11</v>
      </c>
      <c r="T111" t="s">
        <v>13</v>
      </c>
      <c r="U111" t="s">
        <v>75</v>
      </c>
      <c r="V111" t="s">
        <v>12</v>
      </c>
      <c r="X111" t="s">
        <v>8760</v>
      </c>
      <c r="Y111" t="s">
        <v>76</v>
      </c>
      <c r="Z111" s="9">
        <v>1</v>
      </c>
    </row>
    <row r="112" spans="1:26">
      <c r="A112" t="s">
        <v>1967</v>
      </c>
      <c r="B112" t="s">
        <v>5867</v>
      </c>
      <c r="C112" t="s">
        <v>5868</v>
      </c>
      <c r="D112" t="s">
        <v>11</v>
      </c>
      <c r="E112" t="s">
        <v>13</v>
      </c>
      <c r="F112" t="s">
        <v>1970</v>
      </c>
      <c r="G112" t="s">
        <v>12</v>
      </c>
      <c r="I112" t="s">
        <v>5867</v>
      </c>
      <c r="J112" t="s">
        <v>7655</v>
      </c>
      <c r="K112" s="9">
        <v>7.9531713688684782</v>
      </c>
      <c r="L112" s="9">
        <v>0.1094364440650667</v>
      </c>
      <c r="M112" s="11">
        <v>45.476257420498648</v>
      </c>
      <c r="N112" s="11">
        <v>50.023883162548515</v>
      </c>
      <c r="P112" t="s">
        <v>1967</v>
      </c>
      <c r="Q112" t="s">
        <v>8762</v>
      </c>
      <c r="R112" t="s">
        <v>8763</v>
      </c>
      <c r="S112" t="s">
        <v>11</v>
      </c>
      <c r="T112" t="s">
        <v>13</v>
      </c>
      <c r="U112" t="s">
        <v>75</v>
      </c>
      <c r="V112" t="s">
        <v>12</v>
      </c>
      <c r="X112" t="s">
        <v>8762</v>
      </c>
      <c r="Y112" t="s">
        <v>76</v>
      </c>
      <c r="Z112" s="9">
        <v>1</v>
      </c>
    </row>
    <row r="113" spans="1:26">
      <c r="A113" t="s">
        <v>1967</v>
      </c>
      <c r="B113" t="s">
        <v>5869</v>
      </c>
      <c r="C113" t="s">
        <v>5870</v>
      </c>
      <c r="D113" t="s">
        <v>11</v>
      </c>
      <c r="E113" t="s">
        <v>13</v>
      </c>
      <c r="F113" t="s">
        <v>1970</v>
      </c>
      <c r="G113" t="s">
        <v>12</v>
      </c>
      <c r="I113" t="s">
        <v>5869</v>
      </c>
      <c r="J113" t="s">
        <v>7656</v>
      </c>
      <c r="K113" s="9">
        <v>6.0678157413756395</v>
      </c>
      <c r="L113" s="9">
        <v>0.1025788996947528</v>
      </c>
      <c r="M113" s="10">
        <v>124.9285566921394</v>
      </c>
      <c r="N113" s="10">
        <v>137.42141236135333</v>
      </c>
      <c r="P113" t="s">
        <v>1967</v>
      </c>
      <c r="Q113" t="s">
        <v>8764</v>
      </c>
      <c r="R113" t="s">
        <v>8765</v>
      </c>
      <c r="S113" t="s">
        <v>11</v>
      </c>
      <c r="T113" t="s">
        <v>13</v>
      </c>
      <c r="U113" t="s">
        <v>75</v>
      </c>
      <c r="V113" t="s">
        <v>12</v>
      </c>
      <c r="X113" t="s">
        <v>8764</v>
      </c>
      <c r="Y113" t="s">
        <v>76</v>
      </c>
      <c r="Z113" s="9">
        <v>1</v>
      </c>
    </row>
    <row r="114" spans="1:26">
      <c r="A114" t="s">
        <v>1967</v>
      </c>
      <c r="B114" t="s">
        <v>5871</v>
      </c>
      <c r="C114" t="s">
        <v>5872</v>
      </c>
      <c r="D114" t="s">
        <v>11</v>
      </c>
      <c r="E114" t="s">
        <v>13</v>
      </c>
      <c r="F114" t="s">
        <v>1970</v>
      </c>
      <c r="G114" t="s">
        <v>12</v>
      </c>
      <c r="I114" t="s">
        <v>5871</v>
      </c>
      <c r="J114" t="s">
        <v>7657</v>
      </c>
      <c r="K114" s="11">
        <v>15.682868740210765</v>
      </c>
      <c r="L114" s="9">
        <v>0.16542672341640499</v>
      </c>
      <c r="M114" s="11">
        <v>59.813031255543997</v>
      </c>
      <c r="N114" s="11">
        <v>65.794334381098409</v>
      </c>
      <c r="P114" t="s">
        <v>1967</v>
      </c>
      <c r="Q114" t="s">
        <v>8766</v>
      </c>
      <c r="R114" t="s">
        <v>8767</v>
      </c>
      <c r="S114" t="s">
        <v>11</v>
      </c>
      <c r="T114" t="s">
        <v>13</v>
      </c>
      <c r="U114" t="s">
        <v>75</v>
      </c>
      <c r="V114" t="s">
        <v>12</v>
      </c>
      <c r="X114" t="s">
        <v>8766</v>
      </c>
      <c r="Y114" t="s">
        <v>76</v>
      </c>
      <c r="Z114" s="9">
        <v>1</v>
      </c>
    </row>
    <row r="115" spans="1:26">
      <c r="A115" t="s">
        <v>1967</v>
      </c>
      <c r="B115" t="s">
        <v>5873</v>
      </c>
      <c r="C115" t="s">
        <v>5874</v>
      </c>
      <c r="D115" t="s">
        <v>11</v>
      </c>
      <c r="E115" t="s">
        <v>13</v>
      </c>
      <c r="F115" t="s">
        <v>1970</v>
      </c>
      <c r="G115" t="s">
        <v>12</v>
      </c>
      <c r="I115" t="s">
        <v>5873</v>
      </c>
      <c r="J115" t="s">
        <v>7658</v>
      </c>
      <c r="K115" s="10">
        <v>121.69887229702776</v>
      </c>
      <c r="L115" s="9">
        <v>0.25231980252279379</v>
      </c>
      <c r="M115" s="11">
        <v>66.879800469123339</v>
      </c>
      <c r="N115" s="11">
        <v>73.567780516035683</v>
      </c>
      <c r="P115" t="s">
        <v>1967</v>
      </c>
      <c r="Q115" t="s">
        <v>8768</v>
      </c>
      <c r="R115" t="s">
        <v>8769</v>
      </c>
      <c r="S115" t="s">
        <v>11</v>
      </c>
      <c r="T115" t="s">
        <v>13</v>
      </c>
      <c r="U115" t="s">
        <v>75</v>
      </c>
      <c r="V115" t="s">
        <v>12</v>
      </c>
      <c r="X115" t="s">
        <v>8768</v>
      </c>
      <c r="Y115" t="s">
        <v>76</v>
      </c>
      <c r="Z115" s="9">
        <v>1</v>
      </c>
    </row>
    <row r="116" spans="1:26">
      <c r="A116" t="s">
        <v>1967</v>
      </c>
      <c r="B116" t="s">
        <v>5875</v>
      </c>
      <c r="C116" t="s">
        <v>5876</v>
      </c>
      <c r="D116" t="s">
        <v>11</v>
      </c>
      <c r="E116" t="s">
        <v>13</v>
      </c>
      <c r="F116" t="s">
        <v>1970</v>
      </c>
      <c r="G116" t="s">
        <v>12</v>
      </c>
      <c r="I116" t="s">
        <v>5875</v>
      </c>
      <c r="J116" t="s">
        <v>7659</v>
      </c>
      <c r="K116" s="9">
        <v>9.0649654433643665</v>
      </c>
      <c r="L116" s="9">
        <v>0.14795002730327411</v>
      </c>
      <c r="M116" s="11">
        <v>82.230132899451817</v>
      </c>
      <c r="N116" s="11">
        <v>90.453146189397003</v>
      </c>
      <c r="P116" t="s">
        <v>1967</v>
      </c>
      <c r="Q116" t="s">
        <v>8770</v>
      </c>
      <c r="R116" t="s">
        <v>8771</v>
      </c>
      <c r="S116" t="s">
        <v>11</v>
      </c>
      <c r="T116" t="s">
        <v>13</v>
      </c>
      <c r="U116" t="s">
        <v>75</v>
      </c>
      <c r="V116" t="s">
        <v>12</v>
      </c>
      <c r="X116" t="s">
        <v>8770</v>
      </c>
      <c r="Y116" t="s">
        <v>76</v>
      </c>
      <c r="Z116" s="9">
        <v>1</v>
      </c>
    </row>
    <row r="117" spans="1:26">
      <c r="A117" t="s">
        <v>1967</v>
      </c>
      <c r="B117" t="s">
        <v>5877</v>
      </c>
      <c r="C117" t="s">
        <v>5878</v>
      </c>
      <c r="D117" t="s">
        <v>11</v>
      </c>
      <c r="E117" t="s">
        <v>13</v>
      </c>
      <c r="F117" t="s">
        <v>1970</v>
      </c>
      <c r="G117" t="s">
        <v>12</v>
      </c>
      <c r="I117" t="s">
        <v>5877</v>
      </c>
      <c r="J117" t="s">
        <v>7660</v>
      </c>
      <c r="K117" s="11">
        <v>69.594507004696794</v>
      </c>
      <c r="L117" s="9">
        <v>0.2496507336889624</v>
      </c>
      <c r="M117" s="11">
        <v>40.060764753175818</v>
      </c>
      <c r="N117" s="11">
        <v>44.066841228493402</v>
      </c>
      <c r="P117" t="s">
        <v>1967</v>
      </c>
      <c r="Q117" t="s">
        <v>8772</v>
      </c>
      <c r="R117" t="s">
        <v>8773</v>
      </c>
      <c r="S117" t="s">
        <v>11</v>
      </c>
      <c r="T117" t="s">
        <v>13</v>
      </c>
      <c r="U117" t="s">
        <v>75</v>
      </c>
      <c r="V117" t="s">
        <v>12</v>
      </c>
      <c r="X117" t="s">
        <v>8772</v>
      </c>
      <c r="Y117" t="s">
        <v>76</v>
      </c>
      <c r="Z117" s="9">
        <v>1</v>
      </c>
    </row>
    <row r="118" spans="1:26">
      <c r="A118" t="s">
        <v>1967</v>
      </c>
      <c r="B118" t="s">
        <v>5879</v>
      </c>
      <c r="C118" t="s">
        <v>5880</v>
      </c>
      <c r="D118" t="s">
        <v>11</v>
      </c>
      <c r="E118" t="s">
        <v>13</v>
      </c>
      <c r="F118" t="s">
        <v>1970</v>
      </c>
      <c r="G118" t="s">
        <v>12</v>
      </c>
      <c r="I118" t="s">
        <v>5879</v>
      </c>
      <c r="J118" t="s">
        <v>7661</v>
      </c>
      <c r="K118" s="11">
        <v>14.176079891703212</v>
      </c>
      <c r="L118" s="9">
        <v>0.1221312754027454</v>
      </c>
      <c r="M118" s="10">
        <v>141.34296061322792</v>
      </c>
      <c r="N118" s="10">
        <v>155.47725667455072</v>
      </c>
      <c r="P118" t="s">
        <v>1967</v>
      </c>
      <c r="Q118" t="s">
        <v>8774</v>
      </c>
      <c r="R118" t="s">
        <v>8775</v>
      </c>
      <c r="S118" t="s">
        <v>11</v>
      </c>
      <c r="T118" t="s">
        <v>13</v>
      </c>
      <c r="U118" t="s">
        <v>75</v>
      </c>
      <c r="V118" t="s">
        <v>12</v>
      </c>
      <c r="X118" t="s">
        <v>8774</v>
      </c>
      <c r="Y118" t="s">
        <v>76</v>
      </c>
      <c r="Z118" s="9">
        <v>1</v>
      </c>
    </row>
    <row r="119" spans="1:26">
      <c r="A119" t="s">
        <v>1967</v>
      </c>
      <c r="B119" t="s">
        <v>5881</v>
      </c>
      <c r="C119" t="s">
        <v>5882</v>
      </c>
      <c r="D119" t="s">
        <v>11</v>
      </c>
      <c r="E119" t="s">
        <v>13</v>
      </c>
      <c r="F119" t="s">
        <v>1970</v>
      </c>
      <c r="G119" t="s">
        <v>12</v>
      </c>
      <c r="I119" t="s">
        <v>5881</v>
      </c>
      <c r="J119" t="s">
        <v>7662</v>
      </c>
      <c r="K119" s="9">
        <v>6.810655787480882</v>
      </c>
      <c r="L119" s="9">
        <v>0.148982389435169</v>
      </c>
      <c r="M119" s="11">
        <v>54.917304658825671</v>
      </c>
      <c r="N119" s="11">
        <v>60.40903512470824</v>
      </c>
      <c r="P119" t="s">
        <v>1967</v>
      </c>
      <c r="Q119" t="s">
        <v>8776</v>
      </c>
      <c r="R119" t="s">
        <v>8777</v>
      </c>
      <c r="S119" t="s">
        <v>11</v>
      </c>
      <c r="T119" t="s">
        <v>13</v>
      </c>
      <c r="U119" t="s">
        <v>75</v>
      </c>
      <c r="V119" t="s">
        <v>12</v>
      </c>
      <c r="X119" t="s">
        <v>8776</v>
      </c>
      <c r="Y119" t="s">
        <v>76</v>
      </c>
      <c r="Z119" s="9">
        <v>1</v>
      </c>
    </row>
    <row r="120" spans="1:26">
      <c r="A120" t="s">
        <v>1967</v>
      </c>
      <c r="B120" t="s">
        <v>5883</v>
      </c>
      <c r="C120" t="s">
        <v>5884</v>
      </c>
      <c r="D120" t="s">
        <v>11</v>
      </c>
      <c r="E120" t="s">
        <v>13</v>
      </c>
      <c r="F120" t="s">
        <v>1970</v>
      </c>
      <c r="G120" t="s">
        <v>12</v>
      </c>
      <c r="I120" t="s">
        <v>5883</v>
      </c>
      <c r="J120" t="s">
        <v>7663</v>
      </c>
      <c r="K120" s="11">
        <v>18.122560659528251</v>
      </c>
      <c r="L120" s="9">
        <v>0.1138994690372528</v>
      </c>
      <c r="M120" s="10">
        <v>181.19957442434091</v>
      </c>
      <c r="N120" s="10">
        <v>199.31953186677501</v>
      </c>
      <c r="P120" t="s">
        <v>1967</v>
      </c>
      <c r="Q120" t="s">
        <v>8778</v>
      </c>
      <c r="R120" t="s">
        <v>8779</v>
      </c>
      <c r="S120" t="s">
        <v>11</v>
      </c>
      <c r="T120" t="s">
        <v>13</v>
      </c>
      <c r="U120" t="s">
        <v>75</v>
      </c>
      <c r="V120" t="s">
        <v>12</v>
      </c>
      <c r="X120" t="s">
        <v>8778</v>
      </c>
      <c r="Y120" t="s">
        <v>76</v>
      </c>
      <c r="Z120" s="9">
        <v>1</v>
      </c>
    </row>
    <row r="121" spans="1:26">
      <c r="A121" t="s">
        <v>1967</v>
      </c>
      <c r="B121" t="s">
        <v>5885</v>
      </c>
      <c r="C121" t="s">
        <v>5886</v>
      </c>
      <c r="D121" t="s">
        <v>11</v>
      </c>
      <c r="E121" t="s">
        <v>13</v>
      </c>
      <c r="F121" t="s">
        <v>1970</v>
      </c>
      <c r="G121" t="s">
        <v>12</v>
      </c>
      <c r="I121" t="s">
        <v>5885</v>
      </c>
      <c r="J121" t="s">
        <v>7664</v>
      </c>
      <c r="K121" s="11">
        <v>69.287942345628579</v>
      </c>
      <c r="L121" s="9">
        <v>0.2002069389969672</v>
      </c>
      <c r="M121" s="10">
        <v>123.36346922931185</v>
      </c>
      <c r="N121" s="10">
        <v>135.69981615224305</v>
      </c>
      <c r="P121" t="s">
        <v>1967</v>
      </c>
      <c r="Q121" t="s">
        <v>8780</v>
      </c>
      <c r="R121" t="s">
        <v>8781</v>
      </c>
      <c r="S121" t="s">
        <v>11</v>
      </c>
      <c r="T121" t="s">
        <v>13</v>
      </c>
      <c r="U121" t="s">
        <v>75</v>
      </c>
      <c r="V121" t="s">
        <v>12</v>
      </c>
      <c r="X121" t="s">
        <v>8780</v>
      </c>
      <c r="Y121" t="s">
        <v>76</v>
      </c>
      <c r="Z121" s="9">
        <v>1</v>
      </c>
    </row>
    <row r="122" spans="1:26">
      <c r="A122" t="s">
        <v>1967</v>
      </c>
      <c r="B122" t="s">
        <v>5887</v>
      </c>
      <c r="C122" t="s">
        <v>5888</v>
      </c>
      <c r="D122" t="s">
        <v>11</v>
      </c>
      <c r="E122" t="s">
        <v>13</v>
      </c>
      <c r="F122" t="s">
        <v>1970</v>
      </c>
      <c r="G122" t="s">
        <v>12</v>
      </c>
      <c r="I122" t="s">
        <v>5887</v>
      </c>
      <c r="J122" t="s">
        <v>7665</v>
      </c>
      <c r="K122" s="11">
        <v>52.619468973998856</v>
      </c>
      <c r="L122" s="9">
        <v>0.12936103813588939</v>
      </c>
      <c r="M122" s="11">
        <v>92.772792546364315</v>
      </c>
      <c r="N122" s="10">
        <v>102.05007180100075</v>
      </c>
      <c r="P122" t="s">
        <v>1967</v>
      </c>
      <c r="Q122" t="s">
        <v>8782</v>
      </c>
      <c r="R122" t="s">
        <v>8783</v>
      </c>
      <c r="S122" t="s">
        <v>11</v>
      </c>
      <c r="T122" t="s">
        <v>13</v>
      </c>
      <c r="U122" t="s">
        <v>75</v>
      </c>
      <c r="V122" t="s">
        <v>12</v>
      </c>
      <c r="X122" t="s">
        <v>8782</v>
      </c>
      <c r="Y122" t="s">
        <v>76</v>
      </c>
      <c r="Z122" s="9">
        <v>1</v>
      </c>
    </row>
    <row r="123" spans="1:26">
      <c r="A123" t="s">
        <v>1967</v>
      </c>
      <c r="B123" t="s">
        <v>5889</v>
      </c>
      <c r="C123" t="s">
        <v>5890</v>
      </c>
      <c r="D123" t="s">
        <v>11</v>
      </c>
      <c r="E123" t="s">
        <v>13</v>
      </c>
      <c r="F123" t="s">
        <v>1970</v>
      </c>
      <c r="G123" t="s">
        <v>12</v>
      </c>
      <c r="I123" t="s">
        <v>5889</v>
      </c>
      <c r="J123" t="s">
        <v>7666</v>
      </c>
      <c r="K123" s="11">
        <v>11.144459756824711</v>
      </c>
      <c r="L123" s="12">
        <v>9.5273918844785199E-2</v>
      </c>
      <c r="M123" s="11">
        <v>48.212325830410492</v>
      </c>
      <c r="N123" s="11">
        <v>53.033558413451544</v>
      </c>
      <c r="P123" t="s">
        <v>1967</v>
      </c>
      <c r="Q123" t="s">
        <v>8784</v>
      </c>
      <c r="R123" t="s">
        <v>8785</v>
      </c>
      <c r="S123" t="s">
        <v>11</v>
      </c>
      <c r="T123" t="s">
        <v>13</v>
      </c>
      <c r="U123" t="s">
        <v>75</v>
      </c>
      <c r="V123" t="s">
        <v>12</v>
      </c>
      <c r="X123" t="s">
        <v>8784</v>
      </c>
      <c r="Y123" t="s">
        <v>76</v>
      </c>
      <c r="Z123" s="9">
        <v>1</v>
      </c>
    </row>
    <row r="124" spans="1:26">
      <c r="A124" t="s">
        <v>1967</v>
      </c>
      <c r="B124" t="s">
        <v>5891</v>
      </c>
      <c r="C124" t="s">
        <v>5892</v>
      </c>
      <c r="D124" t="s">
        <v>11</v>
      </c>
      <c r="E124" t="s">
        <v>13</v>
      </c>
      <c r="F124" t="s">
        <v>1970</v>
      </c>
      <c r="G124" t="s">
        <v>12</v>
      </c>
      <c r="I124" t="s">
        <v>5891</v>
      </c>
      <c r="J124" t="s">
        <v>7667</v>
      </c>
      <c r="K124" s="10">
        <v>103.56605517656936</v>
      </c>
      <c r="L124" s="9">
        <v>0.3429572994695283</v>
      </c>
      <c r="M124" s="10">
        <v>411.32466000329919</v>
      </c>
      <c r="N124" s="10">
        <v>452.45712600362913</v>
      </c>
      <c r="P124" t="s">
        <v>1967</v>
      </c>
      <c r="Q124" t="s">
        <v>8786</v>
      </c>
      <c r="R124" t="s">
        <v>8787</v>
      </c>
      <c r="S124" t="s">
        <v>11</v>
      </c>
      <c r="T124" t="s">
        <v>13</v>
      </c>
      <c r="U124" t="s">
        <v>75</v>
      </c>
      <c r="V124" t="s">
        <v>12</v>
      </c>
      <c r="X124" t="s">
        <v>8786</v>
      </c>
      <c r="Y124" t="s">
        <v>76</v>
      </c>
      <c r="Z124" s="9">
        <v>1</v>
      </c>
    </row>
    <row r="125" spans="1:26">
      <c r="A125" t="s">
        <v>1967</v>
      </c>
      <c r="B125" t="s">
        <v>5893</v>
      </c>
      <c r="C125" t="s">
        <v>5894</v>
      </c>
      <c r="D125" t="s">
        <v>11</v>
      </c>
      <c r="E125" t="s">
        <v>13</v>
      </c>
      <c r="F125" t="s">
        <v>1970</v>
      </c>
      <c r="G125" t="s">
        <v>12</v>
      </c>
      <c r="I125" t="s">
        <v>5893</v>
      </c>
      <c r="J125" t="s">
        <v>7668</v>
      </c>
      <c r="K125" s="11">
        <v>23.722299565515918</v>
      </c>
      <c r="L125" s="9">
        <v>0.26684688196762307</v>
      </c>
      <c r="M125" s="10">
        <v>119.55798141439934</v>
      </c>
      <c r="N125" s="10">
        <v>131.51377955583928</v>
      </c>
      <c r="P125" t="s">
        <v>1967</v>
      </c>
      <c r="Q125" t="s">
        <v>8788</v>
      </c>
      <c r="R125" t="s">
        <v>8789</v>
      </c>
      <c r="S125" t="s">
        <v>11</v>
      </c>
      <c r="T125" t="s">
        <v>13</v>
      </c>
      <c r="U125" t="s">
        <v>75</v>
      </c>
      <c r="V125" t="s">
        <v>12</v>
      </c>
      <c r="X125" t="s">
        <v>8788</v>
      </c>
      <c r="Y125" t="s">
        <v>76</v>
      </c>
      <c r="Z125" s="9">
        <v>1</v>
      </c>
    </row>
    <row r="126" spans="1:26">
      <c r="A126" t="s">
        <v>1967</v>
      </c>
      <c r="B126" t="s">
        <v>5895</v>
      </c>
      <c r="C126" t="s">
        <v>5896</v>
      </c>
      <c r="D126" t="s">
        <v>11</v>
      </c>
      <c r="E126" t="s">
        <v>13</v>
      </c>
      <c r="F126" t="s">
        <v>1970</v>
      </c>
      <c r="G126" t="s">
        <v>12</v>
      </c>
      <c r="I126" t="s">
        <v>5895</v>
      </c>
      <c r="J126" t="s">
        <v>7669</v>
      </c>
      <c r="K126" s="11">
        <v>17.815409178179841</v>
      </c>
      <c r="L126" s="9">
        <v>0.2324582424497772</v>
      </c>
      <c r="M126" s="11">
        <v>74.4449224033946</v>
      </c>
      <c r="N126" s="11">
        <v>81.889414643734071</v>
      </c>
      <c r="P126" t="s">
        <v>1967</v>
      </c>
      <c r="Q126" t="s">
        <v>8790</v>
      </c>
      <c r="R126" t="s">
        <v>8791</v>
      </c>
      <c r="S126" t="s">
        <v>11</v>
      </c>
      <c r="T126" t="s">
        <v>13</v>
      </c>
      <c r="U126" t="s">
        <v>75</v>
      </c>
      <c r="V126" t="s">
        <v>12</v>
      </c>
      <c r="X126" t="s">
        <v>8790</v>
      </c>
      <c r="Y126" t="s">
        <v>76</v>
      </c>
      <c r="Z126" s="9">
        <v>1</v>
      </c>
    </row>
    <row r="127" spans="1:26">
      <c r="A127" t="s">
        <v>1967</v>
      </c>
      <c r="B127" t="s">
        <v>5897</v>
      </c>
      <c r="C127" t="s">
        <v>5898</v>
      </c>
      <c r="D127" t="s">
        <v>11</v>
      </c>
      <c r="E127" t="s">
        <v>13</v>
      </c>
      <c r="F127" t="s">
        <v>1970</v>
      </c>
      <c r="G127" t="s">
        <v>12</v>
      </c>
      <c r="I127" t="s">
        <v>5897</v>
      </c>
      <c r="J127" t="s">
        <v>7670</v>
      </c>
      <c r="K127" s="11">
        <v>13.55969576240636</v>
      </c>
      <c r="L127" s="9">
        <v>0.25644697073746481</v>
      </c>
      <c r="M127" s="11">
        <v>77.503278737000358</v>
      </c>
      <c r="N127" s="11">
        <v>85.253606610700402</v>
      </c>
      <c r="P127" t="s">
        <v>1967</v>
      </c>
      <c r="Q127" t="s">
        <v>8792</v>
      </c>
      <c r="R127" t="s">
        <v>8793</v>
      </c>
      <c r="S127" t="s">
        <v>11</v>
      </c>
      <c r="T127" t="s">
        <v>13</v>
      </c>
      <c r="U127" t="s">
        <v>75</v>
      </c>
      <c r="V127" t="s">
        <v>12</v>
      </c>
      <c r="X127" t="s">
        <v>8792</v>
      </c>
      <c r="Y127" t="s">
        <v>76</v>
      </c>
      <c r="Z127" s="9">
        <v>1</v>
      </c>
    </row>
    <row r="128" spans="1:26">
      <c r="A128" t="s">
        <v>1967</v>
      </c>
      <c r="B128" t="s">
        <v>5899</v>
      </c>
      <c r="C128" t="s">
        <v>5900</v>
      </c>
      <c r="D128" t="s">
        <v>11</v>
      </c>
      <c r="E128" t="s">
        <v>13</v>
      </c>
      <c r="F128" t="s">
        <v>1970</v>
      </c>
      <c r="G128" t="s">
        <v>12</v>
      </c>
      <c r="I128" t="s">
        <v>5899</v>
      </c>
      <c r="J128" t="s">
        <v>7671</v>
      </c>
      <c r="K128" s="11">
        <v>53.928741985967953</v>
      </c>
      <c r="L128" s="9">
        <v>0.30666011777738289</v>
      </c>
      <c r="M128" s="10">
        <v>120.69719298346898</v>
      </c>
      <c r="N128" s="10">
        <v>132.76691228181588</v>
      </c>
      <c r="P128" t="s">
        <v>1967</v>
      </c>
      <c r="Q128" t="s">
        <v>8794</v>
      </c>
      <c r="R128" t="s">
        <v>8795</v>
      </c>
      <c r="S128" t="s">
        <v>11</v>
      </c>
      <c r="T128" t="s">
        <v>13</v>
      </c>
      <c r="U128" t="s">
        <v>75</v>
      </c>
      <c r="V128" t="s">
        <v>12</v>
      </c>
      <c r="X128" t="s">
        <v>8794</v>
      </c>
      <c r="Y128" t="s">
        <v>76</v>
      </c>
      <c r="Z128" s="9">
        <v>1</v>
      </c>
    </row>
    <row r="129" spans="1:26">
      <c r="A129" t="s">
        <v>1967</v>
      </c>
      <c r="B129" t="s">
        <v>5901</v>
      </c>
      <c r="C129" t="s">
        <v>5902</v>
      </c>
      <c r="D129" t="s">
        <v>11</v>
      </c>
      <c r="E129" t="s">
        <v>13</v>
      </c>
      <c r="F129" t="s">
        <v>1970</v>
      </c>
      <c r="G129" t="s">
        <v>12</v>
      </c>
      <c r="I129" t="s">
        <v>5901</v>
      </c>
      <c r="J129" t="s">
        <v>7672</v>
      </c>
      <c r="K129" s="11">
        <v>44.186270486253498</v>
      </c>
      <c r="L129" s="9">
        <v>0.18366313173576251</v>
      </c>
      <c r="M129" s="10">
        <v>177.2181945458525</v>
      </c>
      <c r="N129" s="10">
        <v>194.94001400043777</v>
      </c>
      <c r="P129" t="s">
        <v>1967</v>
      </c>
      <c r="Q129" t="s">
        <v>8796</v>
      </c>
      <c r="R129" t="s">
        <v>8797</v>
      </c>
      <c r="S129" t="s">
        <v>11</v>
      </c>
      <c r="T129" t="s">
        <v>13</v>
      </c>
      <c r="U129" t="s">
        <v>75</v>
      </c>
      <c r="V129" t="s">
        <v>12</v>
      </c>
      <c r="X129" t="s">
        <v>8796</v>
      </c>
      <c r="Y129" t="s">
        <v>76</v>
      </c>
      <c r="Z129" s="9">
        <v>1</v>
      </c>
    </row>
    <row r="130" spans="1:26">
      <c r="A130" t="s">
        <v>1967</v>
      </c>
      <c r="B130" t="s">
        <v>5903</v>
      </c>
      <c r="C130" t="s">
        <v>5904</v>
      </c>
      <c r="D130" t="s">
        <v>11</v>
      </c>
      <c r="E130" t="s">
        <v>13</v>
      </c>
      <c r="F130" t="s">
        <v>1970</v>
      </c>
      <c r="G130" t="s">
        <v>12</v>
      </c>
      <c r="I130" t="s">
        <v>5903</v>
      </c>
      <c r="J130" t="s">
        <v>7673</v>
      </c>
      <c r="K130" s="11">
        <v>59.77401413793379</v>
      </c>
      <c r="L130" s="9">
        <v>0.25929991322831308</v>
      </c>
      <c r="M130" s="10">
        <v>312.95762398893515</v>
      </c>
      <c r="N130" s="10">
        <v>344.2533863878287</v>
      </c>
      <c r="P130" t="s">
        <v>1967</v>
      </c>
      <c r="Q130" t="s">
        <v>8798</v>
      </c>
      <c r="R130" t="s">
        <v>8799</v>
      </c>
      <c r="S130" t="s">
        <v>11</v>
      </c>
      <c r="T130" t="s">
        <v>13</v>
      </c>
      <c r="U130" t="s">
        <v>75</v>
      </c>
      <c r="V130" t="s">
        <v>12</v>
      </c>
      <c r="X130" t="s">
        <v>8798</v>
      </c>
      <c r="Y130" t="s">
        <v>76</v>
      </c>
      <c r="Z130" s="9">
        <v>1</v>
      </c>
    </row>
    <row r="131" spans="1:26">
      <c r="A131" t="s">
        <v>1967</v>
      </c>
      <c r="B131" t="s">
        <v>5905</v>
      </c>
      <c r="C131" t="s">
        <v>5902</v>
      </c>
      <c r="D131" t="s">
        <v>11</v>
      </c>
      <c r="E131" t="s">
        <v>13</v>
      </c>
      <c r="F131" t="s">
        <v>1970</v>
      </c>
      <c r="G131" t="s">
        <v>12</v>
      </c>
      <c r="I131" t="s">
        <v>5905</v>
      </c>
      <c r="J131" t="s">
        <v>7674</v>
      </c>
      <c r="K131" s="11">
        <v>33.774720880071733</v>
      </c>
      <c r="L131" s="9">
        <v>0.2078228607622849</v>
      </c>
      <c r="M131" s="10">
        <v>195.76061411695756</v>
      </c>
      <c r="N131" s="10">
        <v>215.33667552865333</v>
      </c>
      <c r="P131" t="s">
        <v>1967</v>
      </c>
      <c r="Q131" t="s">
        <v>8800</v>
      </c>
      <c r="R131" t="s">
        <v>8801</v>
      </c>
      <c r="S131" t="s">
        <v>11</v>
      </c>
      <c r="T131" t="s">
        <v>13</v>
      </c>
      <c r="U131" t="s">
        <v>75</v>
      </c>
      <c r="V131" t="s">
        <v>12</v>
      </c>
      <c r="X131" t="s">
        <v>8800</v>
      </c>
      <c r="Y131" t="s">
        <v>76</v>
      </c>
      <c r="Z131" s="9">
        <v>1</v>
      </c>
    </row>
    <row r="132" spans="1:26">
      <c r="A132" t="s">
        <v>1967</v>
      </c>
      <c r="B132" t="s">
        <v>5906</v>
      </c>
      <c r="C132" t="s">
        <v>5904</v>
      </c>
      <c r="D132" t="s">
        <v>11</v>
      </c>
      <c r="E132" t="s">
        <v>13</v>
      </c>
      <c r="F132" t="s">
        <v>1970</v>
      </c>
      <c r="G132" t="s">
        <v>12</v>
      </c>
      <c r="I132" t="s">
        <v>5906</v>
      </c>
      <c r="J132" t="s">
        <v>7675</v>
      </c>
      <c r="K132" s="11">
        <v>47.418277988050228</v>
      </c>
      <c r="L132" s="9">
        <v>0.25887426560627941</v>
      </c>
      <c r="M132" s="10">
        <v>197.09653913812329</v>
      </c>
      <c r="N132" s="10">
        <v>216.80619305193565</v>
      </c>
      <c r="P132" t="s">
        <v>1967</v>
      </c>
      <c r="Q132" t="s">
        <v>8802</v>
      </c>
      <c r="R132" t="s">
        <v>8803</v>
      </c>
      <c r="S132" t="s">
        <v>11</v>
      </c>
      <c r="T132" t="s">
        <v>13</v>
      </c>
      <c r="U132" t="s">
        <v>75</v>
      </c>
      <c r="V132" t="s">
        <v>12</v>
      </c>
      <c r="X132" t="s">
        <v>8802</v>
      </c>
      <c r="Y132" t="s">
        <v>76</v>
      </c>
      <c r="Z132" s="9">
        <v>1</v>
      </c>
    </row>
    <row r="133" spans="1:26">
      <c r="A133" t="s">
        <v>1967</v>
      </c>
      <c r="B133" t="s">
        <v>5907</v>
      </c>
      <c r="C133" t="s">
        <v>5908</v>
      </c>
      <c r="D133" t="s">
        <v>11</v>
      </c>
      <c r="E133" t="s">
        <v>13</v>
      </c>
      <c r="F133" t="s">
        <v>1970</v>
      </c>
      <c r="G133" t="s">
        <v>12</v>
      </c>
      <c r="I133" t="s">
        <v>5907</v>
      </c>
      <c r="J133" t="s">
        <v>7676</v>
      </c>
      <c r="K133" s="11">
        <v>10.729202348860111</v>
      </c>
      <c r="L133" s="9">
        <v>0.1812106408344934</v>
      </c>
      <c r="M133" s="10">
        <v>556.02422836264248</v>
      </c>
      <c r="N133" s="10">
        <v>611.62665119890676</v>
      </c>
      <c r="P133" t="s">
        <v>1967</v>
      </c>
      <c r="Q133" t="s">
        <v>8804</v>
      </c>
      <c r="R133" t="s">
        <v>8805</v>
      </c>
      <c r="S133" t="s">
        <v>11</v>
      </c>
      <c r="T133" t="s">
        <v>13</v>
      </c>
      <c r="U133" t="s">
        <v>75</v>
      </c>
      <c r="V133" t="s">
        <v>12</v>
      </c>
      <c r="X133" t="s">
        <v>8804</v>
      </c>
      <c r="Y133" t="s">
        <v>76</v>
      </c>
      <c r="Z133" s="9">
        <v>1</v>
      </c>
    </row>
    <row r="134" spans="1:26">
      <c r="A134" t="s">
        <v>1967</v>
      </c>
      <c r="B134" t="s">
        <v>5909</v>
      </c>
      <c r="C134" t="s">
        <v>5910</v>
      </c>
      <c r="D134" t="s">
        <v>11</v>
      </c>
      <c r="E134" t="s">
        <v>13</v>
      </c>
      <c r="F134" t="s">
        <v>1970</v>
      </c>
      <c r="G134" t="s">
        <v>12</v>
      </c>
      <c r="I134" t="s">
        <v>5909</v>
      </c>
      <c r="J134" t="s">
        <v>7677</v>
      </c>
      <c r="K134" s="9">
        <v>0.23673898589732864</v>
      </c>
      <c r="L134" s="9">
        <v>0.1079704390978799</v>
      </c>
      <c r="M134" s="10">
        <v>405.77131267550288</v>
      </c>
      <c r="N134" s="10">
        <v>446.34844394305321</v>
      </c>
      <c r="P134" t="s">
        <v>1967</v>
      </c>
      <c r="Q134" t="s">
        <v>8806</v>
      </c>
      <c r="R134" t="s">
        <v>8807</v>
      </c>
      <c r="S134" t="s">
        <v>11</v>
      </c>
      <c r="T134" t="s">
        <v>13</v>
      </c>
      <c r="U134" t="s">
        <v>75</v>
      </c>
      <c r="V134" t="s">
        <v>12</v>
      </c>
      <c r="X134" t="s">
        <v>8806</v>
      </c>
      <c r="Y134" t="s">
        <v>76</v>
      </c>
      <c r="Z134" s="9">
        <v>1</v>
      </c>
    </row>
    <row r="135" spans="1:26">
      <c r="A135" t="s">
        <v>1967</v>
      </c>
      <c r="B135" t="s">
        <v>5911</v>
      </c>
      <c r="C135" t="s">
        <v>5912</v>
      </c>
      <c r="D135" t="s">
        <v>11</v>
      </c>
      <c r="E135" t="s">
        <v>13</v>
      </c>
      <c r="F135" t="s">
        <v>1970</v>
      </c>
      <c r="G135" t="s">
        <v>12</v>
      </c>
      <c r="I135" t="s">
        <v>5911</v>
      </c>
      <c r="J135" t="s">
        <v>7678</v>
      </c>
      <c r="K135" s="11">
        <v>10.620342476861058</v>
      </c>
      <c r="L135" s="9">
        <v>0.1396640924309637</v>
      </c>
      <c r="M135" s="10">
        <v>488.355085289275</v>
      </c>
      <c r="N135" s="10">
        <v>537.1905938182025</v>
      </c>
      <c r="P135" t="s">
        <v>1967</v>
      </c>
      <c r="Q135" t="s">
        <v>8808</v>
      </c>
      <c r="R135" t="s">
        <v>8809</v>
      </c>
      <c r="S135" t="s">
        <v>11</v>
      </c>
      <c r="T135" t="s">
        <v>13</v>
      </c>
      <c r="U135" t="s">
        <v>75</v>
      </c>
      <c r="V135" t="s">
        <v>12</v>
      </c>
      <c r="X135" t="s">
        <v>8808</v>
      </c>
      <c r="Y135" t="s">
        <v>76</v>
      </c>
      <c r="Z135" s="9">
        <v>1</v>
      </c>
    </row>
    <row r="136" spans="1:26">
      <c r="A136" t="s">
        <v>1967</v>
      </c>
      <c r="B136" t="s">
        <v>5913</v>
      </c>
      <c r="C136" t="s">
        <v>5914</v>
      </c>
      <c r="D136" t="s">
        <v>11</v>
      </c>
      <c r="E136" t="s">
        <v>13</v>
      </c>
      <c r="F136" t="s">
        <v>1970</v>
      </c>
      <c r="G136" t="s">
        <v>12</v>
      </c>
      <c r="I136" t="s">
        <v>5913</v>
      </c>
      <c r="J136" t="s">
        <v>7679</v>
      </c>
      <c r="K136" s="10">
        <v>115.0474345904238</v>
      </c>
      <c r="L136" s="9">
        <v>0.33871838055862868</v>
      </c>
      <c r="M136" s="10">
        <v>256.84689605114011</v>
      </c>
      <c r="N136" s="10">
        <v>282.53158565625415</v>
      </c>
      <c r="P136" t="s">
        <v>1967</v>
      </c>
      <c r="Q136" t="s">
        <v>8810</v>
      </c>
      <c r="R136" t="s">
        <v>8811</v>
      </c>
      <c r="S136" t="s">
        <v>11</v>
      </c>
      <c r="T136" t="s">
        <v>13</v>
      </c>
      <c r="U136" t="s">
        <v>75</v>
      </c>
      <c r="V136" t="s">
        <v>12</v>
      </c>
      <c r="X136" t="s">
        <v>8810</v>
      </c>
      <c r="Y136" t="s">
        <v>76</v>
      </c>
      <c r="Z136" s="9">
        <v>1</v>
      </c>
    </row>
    <row r="137" spans="1:26">
      <c r="A137" t="s">
        <v>1967</v>
      </c>
      <c r="B137" t="s">
        <v>5915</v>
      </c>
      <c r="C137" t="s">
        <v>5916</v>
      </c>
      <c r="D137" t="s">
        <v>11</v>
      </c>
      <c r="E137" t="s">
        <v>13</v>
      </c>
      <c r="F137" t="s">
        <v>1970</v>
      </c>
      <c r="G137" t="s">
        <v>12</v>
      </c>
      <c r="I137" t="s">
        <v>5915</v>
      </c>
      <c r="J137" t="s">
        <v>7680</v>
      </c>
      <c r="K137" s="9">
        <v>0.91003735304182842</v>
      </c>
      <c r="L137" s="9">
        <v>0.1408997572951646</v>
      </c>
      <c r="M137" s="10">
        <v>524.28277952729002</v>
      </c>
      <c r="N137" s="10">
        <v>576.71105748001912</v>
      </c>
      <c r="P137" t="s">
        <v>1967</v>
      </c>
      <c r="Q137" t="s">
        <v>8812</v>
      </c>
      <c r="R137" t="s">
        <v>8813</v>
      </c>
      <c r="S137" t="s">
        <v>11</v>
      </c>
      <c r="T137" t="s">
        <v>13</v>
      </c>
      <c r="U137" t="s">
        <v>75</v>
      </c>
      <c r="V137" t="s">
        <v>12</v>
      </c>
      <c r="X137" t="s">
        <v>8812</v>
      </c>
      <c r="Y137" t="s">
        <v>76</v>
      </c>
      <c r="Z137" s="9">
        <v>1</v>
      </c>
    </row>
    <row r="138" spans="1:26">
      <c r="A138" t="s">
        <v>1967</v>
      </c>
      <c r="B138" t="s">
        <v>5917</v>
      </c>
      <c r="C138" t="s">
        <v>5918</v>
      </c>
      <c r="D138" t="s">
        <v>11</v>
      </c>
      <c r="E138" t="s">
        <v>13</v>
      </c>
      <c r="F138" t="s">
        <v>1970</v>
      </c>
      <c r="G138" t="s">
        <v>12</v>
      </c>
      <c r="I138" t="s">
        <v>5917</v>
      </c>
      <c r="J138" t="s">
        <v>7681</v>
      </c>
      <c r="K138" s="9">
        <v>1.887832315237312</v>
      </c>
      <c r="L138" s="9">
        <v>0.21574358938717439</v>
      </c>
      <c r="M138" s="10">
        <v>517.81393681238069</v>
      </c>
      <c r="N138" s="10">
        <v>569.5953304936188</v>
      </c>
      <c r="P138" t="s">
        <v>1967</v>
      </c>
      <c r="Q138" t="s">
        <v>8814</v>
      </c>
      <c r="R138" t="s">
        <v>8815</v>
      </c>
      <c r="S138" t="s">
        <v>11</v>
      </c>
      <c r="T138" t="s">
        <v>13</v>
      </c>
      <c r="U138" t="s">
        <v>75</v>
      </c>
      <c r="V138" t="s">
        <v>12</v>
      </c>
      <c r="X138" t="s">
        <v>8814</v>
      </c>
      <c r="Y138" t="s">
        <v>76</v>
      </c>
      <c r="Z138" s="9">
        <v>1</v>
      </c>
    </row>
    <row r="139" spans="1:26">
      <c r="A139" t="s">
        <v>1967</v>
      </c>
      <c r="B139" t="s">
        <v>5919</v>
      </c>
      <c r="C139" t="s">
        <v>5920</v>
      </c>
      <c r="D139" t="s">
        <v>11</v>
      </c>
      <c r="E139" t="s">
        <v>13</v>
      </c>
      <c r="F139" t="s">
        <v>1970</v>
      </c>
      <c r="G139" t="s">
        <v>12</v>
      </c>
      <c r="I139" t="s">
        <v>5919</v>
      </c>
      <c r="J139" t="s">
        <v>7682</v>
      </c>
      <c r="K139" s="11">
        <v>16.753313013412182</v>
      </c>
      <c r="L139" s="9">
        <v>0.19035894801728589</v>
      </c>
      <c r="M139" s="10">
        <v>669.14123861531993</v>
      </c>
      <c r="N139" s="10">
        <v>736.055362476852</v>
      </c>
      <c r="P139" t="s">
        <v>1967</v>
      </c>
      <c r="Q139" t="s">
        <v>8816</v>
      </c>
      <c r="R139" t="s">
        <v>8817</v>
      </c>
      <c r="S139" t="s">
        <v>11</v>
      </c>
      <c r="T139" t="s">
        <v>13</v>
      </c>
      <c r="U139" t="s">
        <v>75</v>
      </c>
      <c r="V139" t="s">
        <v>12</v>
      </c>
      <c r="X139" t="s">
        <v>8816</v>
      </c>
      <c r="Y139" t="s">
        <v>76</v>
      </c>
      <c r="Z139" s="9">
        <v>1</v>
      </c>
    </row>
    <row r="140" spans="1:26">
      <c r="A140" t="s">
        <v>1967</v>
      </c>
      <c r="B140" t="s">
        <v>5921</v>
      </c>
      <c r="C140" t="s">
        <v>5920</v>
      </c>
      <c r="D140" t="s">
        <v>11</v>
      </c>
      <c r="E140" t="s">
        <v>13</v>
      </c>
      <c r="F140" t="s">
        <v>1970</v>
      </c>
      <c r="G140" t="s">
        <v>12</v>
      </c>
      <c r="I140" t="s">
        <v>5921</v>
      </c>
      <c r="J140" t="s">
        <v>7683</v>
      </c>
      <c r="K140" s="11">
        <v>15.496155819482299</v>
      </c>
      <c r="L140" s="9">
        <v>0.2309609374400646</v>
      </c>
      <c r="M140" s="10">
        <v>462.23529442690642</v>
      </c>
      <c r="N140" s="10">
        <v>508.4588238695971</v>
      </c>
      <c r="P140" t="s">
        <v>1967</v>
      </c>
      <c r="Q140" t="s">
        <v>8818</v>
      </c>
      <c r="R140" t="s">
        <v>8819</v>
      </c>
      <c r="S140" t="s">
        <v>11</v>
      </c>
      <c r="T140" t="s">
        <v>13</v>
      </c>
      <c r="U140" t="s">
        <v>75</v>
      </c>
      <c r="V140" t="s">
        <v>12</v>
      </c>
      <c r="X140" t="s">
        <v>8818</v>
      </c>
      <c r="Y140" t="s">
        <v>76</v>
      </c>
      <c r="Z140" s="9">
        <v>1</v>
      </c>
    </row>
    <row r="141" spans="1:26">
      <c r="A141" t="s">
        <v>1967</v>
      </c>
      <c r="B141" t="s">
        <v>5922</v>
      </c>
      <c r="C141" t="s">
        <v>5916</v>
      </c>
      <c r="D141" t="s">
        <v>11</v>
      </c>
      <c r="E141" t="s">
        <v>13</v>
      </c>
      <c r="F141" t="s">
        <v>1970</v>
      </c>
      <c r="G141" t="s">
        <v>12</v>
      </c>
      <c r="I141" t="s">
        <v>5922</v>
      </c>
      <c r="J141" t="s">
        <v>7684</v>
      </c>
      <c r="K141" s="9">
        <v>5.9485820205654152</v>
      </c>
      <c r="L141" s="9">
        <v>0.12549138045906749</v>
      </c>
      <c r="M141" s="10">
        <v>1323.0196808443636</v>
      </c>
      <c r="N141" s="10">
        <v>1455.3216489288002</v>
      </c>
      <c r="P141" t="s">
        <v>1967</v>
      </c>
      <c r="Q141" t="s">
        <v>8820</v>
      </c>
      <c r="R141" t="s">
        <v>8821</v>
      </c>
      <c r="S141" t="s">
        <v>11</v>
      </c>
      <c r="T141" t="s">
        <v>13</v>
      </c>
      <c r="U141" t="s">
        <v>75</v>
      </c>
      <c r="V141" t="s">
        <v>12</v>
      </c>
      <c r="X141" t="s">
        <v>8820</v>
      </c>
      <c r="Y141" t="s">
        <v>76</v>
      </c>
      <c r="Z141" s="9">
        <v>1</v>
      </c>
    </row>
    <row r="142" spans="1:26">
      <c r="A142" t="s">
        <v>1967</v>
      </c>
      <c r="B142" t="s">
        <v>5923</v>
      </c>
      <c r="C142" t="s">
        <v>5920</v>
      </c>
      <c r="D142" t="s">
        <v>11</v>
      </c>
      <c r="E142" t="s">
        <v>13</v>
      </c>
      <c r="F142" t="s">
        <v>1970</v>
      </c>
      <c r="G142" t="s">
        <v>12</v>
      </c>
      <c r="I142" t="s">
        <v>5923</v>
      </c>
      <c r="J142" t="s">
        <v>7685</v>
      </c>
      <c r="K142" s="11">
        <v>11.918768879132427</v>
      </c>
      <c r="L142" s="9">
        <v>0.21693842840717881</v>
      </c>
      <c r="M142" s="10">
        <v>557.39065653897842</v>
      </c>
      <c r="N142" s="10">
        <v>613.12972219287633</v>
      </c>
      <c r="P142" t="s">
        <v>1967</v>
      </c>
      <c r="Q142" t="s">
        <v>8822</v>
      </c>
      <c r="R142" t="s">
        <v>8823</v>
      </c>
      <c r="S142" t="s">
        <v>11</v>
      </c>
      <c r="T142" t="s">
        <v>13</v>
      </c>
      <c r="U142" t="s">
        <v>75</v>
      </c>
      <c r="V142" t="s">
        <v>12</v>
      </c>
      <c r="X142" t="s">
        <v>8822</v>
      </c>
      <c r="Y142" t="s">
        <v>76</v>
      </c>
      <c r="Z142" s="9">
        <v>1</v>
      </c>
    </row>
    <row r="143" spans="1:26">
      <c r="A143" t="s">
        <v>1967</v>
      </c>
      <c r="B143" t="s">
        <v>5924</v>
      </c>
      <c r="C143" t="s">
        <v>5925</v>
      </c>
      <c r="D143" t="s">
        <v>11</v>
      </c>
      <c r="E143" t="s">
        <v>13</v>
      </c>
      <c r="F143" t="s">
        <v>1970</v>
      </c>
      <c r="G143" t="s">
        <v>12</v>
      </c>
      <c r="I143" t="s">
        <v>5924</v>
      </c>
      <c r="J143" t="s">
        <v>7686</v>
      </c>
      <c r="K143" s="11">
        <v>28.162195519408044</v>
      </c>
      <c r="L143" s="9">
        <v>0.35614595271187838</v>
      </c>
      <c r="M143" s="10">
        <v>535.8134093065529</v>
      </c>
      <c r="N143" s="10">
        <v>589.3947502372082</v>
      </c>
      <c r="P143" t="s">
        <v>1967</v>
      </c>
      <c r="Q143" t="s">
        <v>8824</v>
      </c>
      <c r="R143" t="s">
        <v>8825</v>
      </c>
      <c r="S143" t="s">
        <v>11</v>
      </c>
      <c r="T143" t="s">
        <v>13</v>
      </c>
      <c r="U143" t="s">
        <v>75</v>
      </c>
      <c r="V143" t="s">
        <v>12</v>
      </c>
      <c r="X143" t="s">
        <v>8824</v>
      </c>
      <c r="Y143" t="s">
        <v>76</v>
      </c>
      <c r="Z143" s="9">
        <v>1</v>
      </c>
    </row>
    <row r="144" spans="1:26">
      <c r="A144" t="s">
        <v>1967</v>
      </c>
      <c r="B144" t="s">
        <v>5926</v>
      </c>
      <c r="C144" t="s">
        <v>5927</v>
      </c>
      <c r="D144" t="s">
        <v>11</v>
      </c>
      <c r="E144" t="s">
        <v>13</v>
      </c>
      <c r="F144" t="s">
        <v>1970</v>
      </c>
      <c r="G144" t="s">
        <v>12</v>
      </c>
      <c r="I144" t="s">
        <v>5926</v>
      </c>
      <c r="J144" t="s">
        <v>7687</v>
      </c>
      <c r="K144" s="11">
        <v>13.314658445326964</v>
      </c>
      <c r="L144" s="9">
        <v>0.30686703704320978</v>
      </c>
      <c r="M144" s="11">
        <v>46.928980473515203</v>
      </c>
      <c r="N144" s="11">
        <v>51.62187852086673</v>
      </c>
      <c r="P144" t="s">
        <v>1967</v>
      </c>
      <c r="Q144" t="s">
        <v>8826</v>
      </c>
      <c r="R144" t="s">
        <v>8827</v>
      </c>
      <c r="S144" t="s">
        <v>11</v>
      </c>
      <c r="T144" t="s">
        <v>13</v>
      </c>
      <c r="U144" t="s">
        <v>75</v>
      </c>
      <c r="V144" t="s">
        <v>12</v>
      </c>
      <c r="X144" t="s">
        <v>8826</v>
      </c>
      <c r="Y144" t="s">
        <v>76</v>
      </c>
      <c r="Z144" s="9">
        <v>1</v>
      </c>
    </row>
    <row r="145" spans="1:26">
      <c r="A145" t="s">
        <v>1967</v>
      </c>
      <c r="B145" t="s">
        <v>5928</v>
      </c>
      <c r="C145" t="s">
        <v>5925</v>
      </c>
      <c r="D145" t="s">
        <v>11</v>
      </c>
      <c r="E145" t="s">
        <v>13</v>
      </c>
      <c r="F145" t="s">
        <v>1970</v>
      </c>
      <c r="G145" t="s">
        <v>12</v>
      </c>
      <c r="I145" t="s">
        <v>5928</v>
      </c>
      <c r="J145" t="s">
        <v>7688</v>
      </c>
      <c r="K145" s="9">
        <v>7.8978504347773137</v>
      </c>
      <c r="L145" s="9">
        <v>0.34683737282604832</v>
      </c>
      <c r="M145" s="10">
        <v>291.16261246257233</v>
      </c>
      <c r="N145" s="10">
        <v>320.27887370882956</v>
      </c>
      <c r="P145" t="s">
        <v>1967</v>
      </c>
      <c r="Q145" t="s">
        <v>8828</v>
      </c>
      <c r="R145" t="s">
        <v>8829</v>
      </c>
      <c r="S145" t="s">
        <v>11</v>
      </c>
      <c r="T145" t="s">
        <v>13</v>
      </c>
      <c r="U145" t="s">
        <v>75</v>
      </c>
      <c r="V145" t="s">
        <v>12</v>
      </c>
      <c r="X145" t="s">
        <v>8828</v>
      </c>
      <c r="Y145" t="s">
        <v>76</v>
      </c>
      <c r="Z145" s="9">
        <v>1</v>
      </c>
    </row>
    <row r="146" spans="1:26">
      <c r="A146" t="s">
        <v>1967</v>
      </c>
      <c r="B146" t="s">
        <v>5929</v>
      </c>
      <c r="C146" t="s">
        <v>5930</v>
      </c>
      <c r="D146" t="s">
        <v>11</v>
      </c>
      <c r="E146" t="s">
        <v>13</v>
      </c>
      <c r="F146" t="s">
        <v>1970</v>
      </c>
      <c r="G146" t="s">
        <v>12</v>
      </c>
      <c r="I146" t="s">
        <v>5929</v>
      </c>
      <c r="J146" t="s">
        <v>7689</v>
      </c>
      <c r="K146" s="11">
        <v>34.468686438386783</v>
      </c>
      <c r="L146" s="9">
        <v>0.48995642237791331</v>
      </c>
      <c r="M146" s="10">
        <v>425.50876667584765</v>
      </c>
      <c r="N146" s="10">
        <v>468.05964334343247</v>
      </c>
      <c r="P146" t="s">
        <v>1967</v>
      </c>
      <c r="Q146" t="s">
        <v>8830</v>
      </c>
      <c r="R146" t="s">
        <v>8831</v>
      </c>
      <c r="S146" t="s">
        <v>11</v>
      </c>
      <c r="T146" t="s">
        <v>13</v>
      </c>
      <c r="U146" t="s">
        <v>75</v>
      </c>
      <c r="V146" t="s">
        <v>12</v>
      </c>
      <c r="X146" t="s">
        <v>8830</v>
      </c>
      <c r="Y146" t="s">
        <v>76</v>
      </c>
      <c r="Z146" s="9">
        <v>1</v>
      </c>
    </row>
    <row r="147" spans="1:26">
      <c r="A147" t="s">
        <v>1967</v>
      </c>
      <c r="B147" t="s">
        <v>5931</v>
      </c>
      <c r="C147" t="s">
        <v>5925</v>
      </c>
      <c r="D147" t="s">
        <v>11</v>
      </c>
      <c r="E147" t="s">
        <v>13</v>
      </c>
      <c r="F147" t="s">
        <v>1970</v>
      </c>
      <c r="G147" t="s">
        <v>12</v>
      </c>
      <c r="I147" t="s">
        <v>5931</v>
      </c>
      <c r="J147" t="s">
        <v>7690</v>
      </c>
      <c r="K147" s="10">
        <v>127.5189605996068</v>
      </c>
      <c r="L147" s="9">
        <v>0.50700596180115698</v>
      </c>
      <c r="M147" s="10">
        <v>1150.6333673792849</v>
      </c>
      <c r="N147" s="10">
        <v>1265.6967041172136</v>
      </c>
      <c r="P147" t="s">
        <v>1967</v>
      </c>
      <c r="Q147" t="s">
        <v>8832</v>
      </c>
      <c r="R147" t="s">
        <v>8833</v>
      </c>
      <c r="S147" t="s">
        <v>11</v>
      </c>
      <c r="T147" t="s">
        <v>13</v>
      </c>
      <c r="U147" t="s">
        <v>75</v>
      </c>
      <c r="V147" t="s">
        <v>12</v>
      </c>
      <c r="X147" t="s">
        <v>8832</v>
      </c>
      <c r="Y147" t="s">
        <v>76</v>
      </c>
      <c r="Z147" s="9">
        <v>1</v>
      </c>
    </row>
    <row r="148" spans="1:26">
      <c r="A148" t="s">
        <v>1967</v>
      </c>
      <c r="B148" t="s">
        <v>5932</v>
      </c>
      <c r="C148" t="s">
        <v>5925</v>
      </c>
      <c r="D148" t="s">
        <v>11</v>
      </c>
      <c r="E148" t="s">
        <v>13</v>
      </c>
      <c r="F148" t="s">
        <v>1970</v>
      </c>
      <c r="G148" t="s">
        <v>12</v>
      </c>
      <c r="I148" t="s">
        <v>5932</v>
      </c>
      <c r="J148" t="s">
        <v>7691</v>
      </c>
      <c r="K148" s="11">
        <v>83.35032835165012</v>
      </c>
      <c r="L148" s="9">
        <v>0.4326206238416711</v>
      </c>
      <c r="M148" s="10">
        <v>1171.7137837110654</v>
      </c>
      <c r="N148" s="10">
        <v>1288.885162082172</v>
      </c>
      <c r="P148" t="s">
        <v>1967</v>
      </c>
      <c r="Q148" t="s">
        <v>8834</v>
      </c>
      <c r="R148" t="s">
        <v>8835</v>
      </c>
      <c r="S148" t="s">
        <v>11</v>
      </c>
      <c r="T148" t="s">
        <v>13</v>
      </c>
      <c r="U148" t="s">
        <v>75</v>
      </c>
      <c r="V148" t="s">
        <v>12</v>
      </c>
      <c r="X148" t="s">
        <v>8834</v>
      </c>
      <c r="Y148" t="s">
        <v>76</v>
      </c>
      <c r="Z148" s="9">
        <v>1</v>
      </c>
    </row>
    <row r="149" spans="1:26">
      <c r="A149" t="s">
        <v>1967</v>
      </c>
      <c r="B149" t="s">
        <v>5933</v>
      </c>
      <c r="C149" t="s">
        <v>5934</v>
      </c>
      <c r="D149" t="s">
        <v>11</v>
      </c>
      <c r="E149" t="s">
        <v>13</v>
      </c>
      <c r="F149" t="s">
        <v>1970</v>
      </c>
      <c r="G149" t="s">
        <v>12</v>
      </c>
      <c r="I149" t="s">
        <v>5933</v>
      </c>
      <c r="J149" t="s">
        <v>7692</v>
      </c>
      <c r="K149" s="11">
        <v>21.3240385154288</v>
      </c>
      <c r="L149" s="9">
        <v>0.32624624790080459</v>
      </c>
      <c r="M149" s="10">
        <v>849.28778891022603</v>
      </c>
      <c r="N149" s="10">
        <v>934.21656780124874</v>
      </c>
      <c r="P149" t="s">
        <v>1967</v>
      </c>
      <c r="Q149" t="s">
        <v>8836</v>
      </c>
      <c r="R149" t="s">
        <v>8837</v>
      </c>
      <c r="S149" t="s">
        <v>11</v>
      </c>
      <c r="T149" t="s">
        <v>13</v>
      </c>
      <c r="U149" t="s">
        <v>75</v>
      </c>
      <c r="V149" t="s">
        <v>12</v>
      </c>
      <c r="X149" t="s">
        <v>8836</v>
      </c>
      <c r="Y149" t="s">
        <v>76</v>
      </c>
      <c r="Z149" s="9">
        <v>1</v>
      </c>
    </row>
    <row r="150" spans="1:26">
      <c r="A150" t="s">
        <v>1967</v>
      </c>
      <c r="B150" t="s">
        <v>5935</v>
      </c>
      <c r="C150" t="s">
        <v>5936</v>
      </c>
      <c r="D150" t="s">
        <v>11</v>
      </c>
      <c r="E150" t="s">
        <v>13</v>
      </c>
      <c r="F150" t="s">
        <v>1970</v>
      </c>
      <c r="G150" t="s">
        <v>12</v>
      </c>
      <c r="I150" t="s">
        <v>5935</v>
      </c>
      <c r="J150" t="s">
        <v>7693</v>
      </c>
      <c r="K150" s="9">
        <v>3.4445324538505089</v>
      </c>
      <c r="L150" s="9">
        <v>0.25220030538710048</v>
      </c>
      <c r="M150" s="10">
        <v>725.73010494490563</v>
      </c>
      <c r="N150" s="10">
        <v>798.30311543939627</v>
      </c>
      <c r="P150" t="s">
        <v>1967</v>
      </c>
      <c r="Q150" t="s">
        <v>8838</v>
      </c>
      <c r="R150" t="s">
        <v>8839</v>
      </c>
      <c r="S150" t="s">
        <v>11</v>
      </c>
      <c r="T150" t="s">
        <v>13</v>
      </c>
      <c r="U150" t="s">
        <v>75</v>
      </c>
      <c r="V150" t="s">
        <v>12</v>
      </c>
      <c r="X150" t="s">
        <v>8838</v>
      </c>
      <c r="Y150" t="s">
        <v>76</v>
      </c>
      <c r="Z150" s="9">
        <v>1</v>
      </c>
    </row>
    <row r="151" spans="1:26">
      <c r="A151" t="s">
        <v>1967</v>
      </c>
      <c r="B151" t="s">
        <v>5937</v>
      </c>
      <c r="C151" t="s">
        <v>5938</v>
      </c>
      <c r="D151" t="s">
        <v>11</v>
      </c>
      <c r="E151" t="s">
        <v>13</v>
      </c>
      <c r="F151" t="s">
        <v>1970</v>
      </c>
      <c r="G151" t="s">
        <v>12</v>
      </c>
      <c r="I151" t="s">
        <v>5937</v>
      </c>
      <c r="J151" t="s">
        <v>7694</v>
      </c>
      <c r="K151" s="11">
        <v>37.184928871983644</v>
      </c>
      <c r="L151" s="9">
        <v>0.3939330527438471</v>
      </c>
      <c r="M151" s="10">
        <v>208.98327531395253</v>
      </c>
      <c r="N151" s="10">
        <v>229.8816028453478</v>
      </c>
      <c r="P151" t="s">
        <v>1967</v>
      </c>
      <c r="Q151" t="s">
        <v>8840</v>
      </c>
      <c r="R151" t="s">
        <v>8841</v>
      </c>
      <c r="S151" t="s">
        <v>11</v>
      </c>
      <c r="T151" t="s">
        <v>13</v>
      </c>
      <c r="U151" t="s">
        <v>75</v>
      </c>
      <c r="V151" t="s">
        <v>12</v>
      </c>
      <c r="X151" t="s">
        <v>8840</v>
      </c>
      <c r="Y151" t="s">
        <v>76</v>
      </c>
      <c r="Z151" s="9">
        <v>1</v>
      </c>
    </row>
    <row r="152" spans="1:26">
      <c r="A152" t="s">
        <v>1967</v>
      </c>
      <c r="B152" t="s">
        <v>5939</v>
      </c>
      <c r="C152" t="s">
        <v>5940</v>
      </c>
      <c r="D152" t="s">
        <v>11</v>
      </c>
      <c r="E152" t="s">
        <v>13</v>
      </c>
      <c r="F152" t="s">
        <v>1970</v>
      </c>
      <c r="G152" t="s">
        <v>12</v>
      </c>
      <c r="I152" t="s">
        <v>5939</v>
      </c>
      <c r="J152" t="s">
        <v>7695</v>
      </c>
      <c r="K152" s="9">
        <v>7.2159540833893994</v>
      </c>
      <c r="L152" s="9">
        <v>0.24700926726646991</v>
      </c>
      <c r="M152" s="10">
        <v>418.85480706081938</v>
      </c>
      <c r="N152" s="10">
        <v>460.74028776690136</v>
      </c>
      <c r="P152" t="s">
        <v>1967</v>
      </c>
      <c r="Q152" t="s">
        <v>8842</v>
      </c>
      <c r="R152" t="s">
        <v>8843</v>
      </c>
      <c r="S152" t="s">
        <v>11</v>
      </c>
      <c r="T152" t="s">
        <v>13</v>
      </c>
      <c r="U152" t="s">
        <v>75</v>
      </c>
      <c r="V152" t="s">
        <v>12</v>
      </c>
      <c r="X152" t="s">
        <v>8842</v>
      </c>
      <c r="Y152" t="s">
        <v>76</v>
      </c>
      <c r="Z152" s="9">
        <v>1</v>
      </c>
    </row>
    <row r="153" spans="1:26">
      <c r="A153" t="s">
        <v>1967</v>
      </c>
      <c r="B153" t="s">
        <v>5941</v>
      </c>
      <c r="C153" t="s">
        <v>5942</v>
      </c>
      <c r="D153" t="s">
        <v>11</v>
      </c>
      <c r="E153" t="s">
        <v>13</v>
      </c>
      <c r="F153" t="s">
        <v>1970</v>
      </c>
      <c r="G153" t="s">
        <v>12</v>
      </c>
      <c r="I153" t="s">
        <v>5941</v>
      </c>
      <c r="J153" t="s">
        <v>7696</v>
      </c>
      <c r="K153" s="9">
        <v>2.4776324464259143</v>
      </c>
      <c r="L153" s="9">
        <v>0.30736006388767761</v>
      </c>
      <c r="M153" s="10">
        <v>251.21185126441563</v>
      </c>
      <c r="N153" s="10">
        <v>276.33303639085722</v>
      </c>
      <c r="P153" t="s">
        <v>1967</v>
      </c>
      <c r="Q153" t="s">
        <v>8844</v>
      </c>
      <c r="R153" t="s">
        <v>8845</v>
      </c>
      <c r="S153" t="s">
        <v>11</v>
      </c>
      <c r="T153" t="s">
        <v>13</v>
      </c>
      <c r="U153" t="s">
        <v>75</v>
      </c>
      <c r="V153" t="s">
        <v>12</v>
      </c>
      <c r="X153" t="s">
        <v>8844</v>
      </c>
      <c r="Y153" t="s">
        <v>76</v>
      </c>
      <c r="Z153" s="9">
        <v>1</v>
      </c>
    </row>
    <row r="154" spans="1:26">
      <c r="A154" t="s">
        <v>1967</v>
      </c>
      <c r="B154" t="s">
        <v>5943</v>
      </c>
      <c r="C154" t="s">
        <v>5942</v>
      </c>
      <c r="D154" t="s">
        <v>11</v>
      </c>
      <c r="E154" t="s">
        <v>13</v>
      </c>
      <c r="F154" t="s">
        <v>1970</v>
      </c>
      <c r="G154" t="s">
        <v>12</v>
      </c>
      <c r="I154" t="s">
        <v>5943</v>
      </c>
      <c r="J154" t="s">
        <v>7697</v>
      </c>
      <c r="K154" s="11">
        <v>14.673910416222895</v>
      </c>
      <c r="L154" s="9">
        <v>0.3082697576913529</v>
      </c>
      <c r="M154" s="10">
        <v>606.68746845186945</v>
      </c>
      <c r="N154" s="10">
        <v>667.35621529705645</v>
      </c>
      <c r="P154" t="s">
        <v>1967</v>
      </c>
      <c r="Q154" t="s">
        <v>8846</v>
      </c>
      <c r="R154" t="s">
        <v>8847</v>
      </c>
      <c r="S154" t="s">
        <v>11</v>
      </c>
      <c r="T154" t="s">
        <v>13</v>
      </c>
      <c r="U154" t="s">
        <v>75</v>
      </c>
      <c r="V154" t="s">
        <v>12</v>
      </c>
      <c r="X154" t="s">
        <v>8846</v>
      </c>
      <c r="Y154" t="s">
        <v>76</v>
      </c>
      <c r="Z154" s="9">
        <v>1</v>
      </c>
    </row>
    <row r="155" spans="1:26">
      <c r="A155" t="s">
        <v>1967</v>
      </c>
      <c r="B155" t="s">
        <v>5944</v>
      </c>
      <c r="C155" t="s">
        <v>5945</v>
      </c>
      <c r="D155" t="s">
        <v>11</v>
      </c>
      <c r="E155" t="s">
        <v>13</v>
      </c>
      <c r="F155" t="s">
        <v>1970</v>
      </c>
      <c r="G155" t="s">
        <v>12</v>
      </c>
      <c r="I155" t="s">
        <v>5944</v>
      </c>
      <c r="J155" t="s">
        <v>7698</v>
      </c>
      <c r="K155" s="11">
        <v>10.709134248021167</v>
      </c>
      <c r="L155" s="9">
        <v>0.32929813091164839</v>
      </c>
      <c r="M155" s="10">
        <v>455.17199482145958</v>
      </c>
      <c r="N155" s="10">
        <v>500.68919430360557</v>
      </c>
      <c r="P155" t="s">
        <v>1967</v>
      </c>
      <c r="Q155" t="s">
        <v>8848</v>
      </c>
      <c r="R155" t="s">
        <v>8849</v>
      </c>
      <c r="S155" t="s">
        <v>11</v>
      </c>
      <c r="T155" t="s">
        <v>13</v>
      </c>
      <c r="U155" t="s">
        <v>75</v>
      </c>
      <c r="V155" t="s">
        <v>12</v>
      </c>
      <c r="X155" t="s">
        <v>8848</v>
      </c>
      <c r="Y155" t="s">
        <v>76</v>
      </c>
      <c r="Z155" s="9">
        <v>1</v>
      </c>
    </row>
    <row r="156" spans="1:26">
      <c r="A156" t="s">
        <v>1967</v>
      </c>
      <c r="B156" t="s">
        <v>5946</v>
      </c>
      <c r="C156" t="s">
        <v>5934</v>
      </c>
      <c r="D156" t="s">
        <v>11</v>
      </c>
      <c r="E156" t="s">
        <v>13</v>
      </c>
      <c r="F156" t="s">
        <v>1970</v>
      </c>
      <c r="G156" t="s">
        <v>12</v>
      </c>
      <c r="I156" t="s">
        <v>5946</v>
      </c>
      <c r="J156" t="s">
        <v>7699</v>
      </c>
      <c r="K156" s="11">
        <v>12.703691487441132</v>
      </c>
      <c r="L156" s="9">
        <v>0.30799814452707192</v>
      </c>
      <c r="M156" s="10">
        <v>299.76359467213757</v>
      </c>
      <c r="N156" s="10">
        <v>329.73995413935137</v>
      </c>
      <c r="P156" t="s">
        <v>1967</v>
      </c>
      <c r="Q156" t="s">
        <v>8850</v>
      </c>
      <c r="R156" t="s">
        <v>8851</v>
      </c>
      <c r="S156" t="s">
        <v>11</v>
      </c>
      <c r="T156" t="s">
        <v>13</v>
      </c>
      <c r="U156" t="s">
        <v>75</v>
      </c>
      <c r="V156" t="s">
        <v>12</v>
      </c>
      <c r="X156" t="s">
        <v>8850</v>
      </c>
      <c r="Y156" t="s">
        <v>76</v>
      </c>
      <c r="Z156" s="9">
        <v>1</v>
      </c>
    </row>
    <row r="157" spans="1:26">
      <c r="A157" t="s">
        <v>1967</v>
      </c>
      <c r="B157" t="s">
        <v>5947</v>
      </c>
      <c r="C157" t="s">
        <v>5934</v>
      </c>
      <c r="D157" t="s">
        <v>11</v>
      </c>
      <c r="E157" t="s">
        <v>13</v>
      </c>
      <c r="F157" t="s">
        <v>1970</v>
      </c>
      <c r="G157" t="s">
        <v>12</v>
      </c>
      <c r="I157" t="s">
        <v>5947</v>
      </c>
      <c r="J157" t="s">
        <v>7700</v>
      </c>
      <c r="K157" s="11">
        <v>32.813722451084317</v>
      </c>
      <c r="L157" s="9">
        <v>0.52359604688344319</v>
      </c>
      <c r="M157" s="10">
        <v>942.80865698438936</v>
      </c>
      <c r="N157" s="10">
        <v>1037.0895226828284</v>
      </c>
      <c r="P157" t="s">
        <v>1967</v>
      </c>
      <c r="Q157" t="s">
        <v>8852</v>
      </c>
      <c r="R157" t="s">
        <v>8853</v>
      </c>
      <c r="S157" t="s">
        <v>11</v>
      </c>
      <c r="T157" t="s">
        <v>13</v>
      </c>
      <c r="U157" t="s">
        <v>75</v>
      </c>
      <c r="V157" t="s">
        <v>12</v>
      </c>
      <c r="X157" t="s">
        <v>8852</v>
      </c>
      <c r="Y157" t="s">
        <v>76</v>
      </c>
      <c r="Z157" s="9">
        <v>1</v>
      </c>
    </row>
    <row r="158" spans="1:26">
      <c r="A158" t="s">
        <v>1967</v>
      </c>
      <c r="B158" t="s">
        <v>5948</v>
      </c>
      <c r="C158" t="s">
        <v>5942</v>
      </c>
      <c r="D158" t="s">
        <v>11</v>
      </c>
      <c r="E158" t="s">
        <v>13</v>
      </c>
      <c r="F158" t="s">
        <v>1970</v>
      </c>
      <c r="G158" t="s">
        <v>12</v>
      </c>
      <c r="I158" t="s">
        <v>5948</v>
      </c>
      <c r="J158" t="s">
        <v>7701</v>
      </c>
      <c r="K158" s="11">
        <v>13.574063876152342</v>
      </c>
      <c r="L158" s="9">
        <v>0.28687369498912701</v>
      </c>
      <c r="M158" s="10">
        <v>680.34835792389526</v>
      </c>
      <c r="N158" s="10">
        <v>748.38319371628484</v>
      </c>
      <c r="P158" t="s">
        <v>1967</v>
      </c>
      <c r="Q158" t="s">
        <v>8854</v>
      </c>
      <c r="R158" t="s">
        <v>8855</v>
      </c>
      <c r="S158" t="s">
        <v>11</v>
      </c>
      <c r="T158" t="s">
        <v>13</v>
      </c>
      <c r="U158" t="s">
        <v>75</v>
      </c>
      <c r="V158" t="s">
        <v>12</v>
      </c>
      <c r="X158" t="s">
        <v>8854</v>
      </c>
      <c r="Y158" t="s">
        <v>76</v>
      </c>
      <c r="Z158" s="9">
        <v>1</v>
      </c>
    </row>
    <row r="159" spans="1:26">
      <c r="A159" t="s">
        <v>1967</v>
      </c>
      <c r="B159" t="s">
        <v>5949</v>
      </c>
      <c r="C159" t="s">
        <v>5950</v>
      </c>
      <c r="D159" t="s">
        <v>11</v>
      </c>
      <c r="E159" t="s">
        <v>13</v>
      </c>
      <c r="F159" t="s">
        <v>1970</v>
      </c>
      <c r="G159" t="s">
        <v>12</v>
      </c>
      <c r="I159" t="s">
        <v>5949</v>
      </c>
      <c r="J159" t="s">
        <v>7702</v>
      </c>
      <c r="K159" s="11">
        <v>10.300827826207479</v>
      </c>
      <c r="L159" s="12">
        <v>8.7855931841991003E-2</v>
      </c>
      <c r="M159" s="9">
        <v>5.8199801364627159</v>
      </c>
      <c r="N159" s="9">
        <v>6.4019781501089881</v>
      </c>
      <c r="P159" t="s">
        <v>1967</v>
      </c>
      <c r="Q159" t="s">
        <v>8856</v>
      </c>
      <c r="R159" t="s">
        <v>8857</v>
      </c>
      <c r="S159" t="s">
        <v>11</v>
      </c>
      <c r="T159" t="s">
        <v>13</v>
      </c>
      <c r="U159" t="s">
        <v>75</v>
      </c>
      <c r="V159" t="s">
        <v>12</v>
      </c>
      <c r="X159" t="s">
        <v>8856</v>
      </c>
      <c r="Y159" t="s">
        <v>76</v>
      </c>
      <c r="Z159" s="9">
        <v>1</v>
      </c>
    </row>
    <row r="160" spans="1:26">
      <c r="A160" t="s">
        <v>1967</v>
      </c>
      <c r="B160" t="s">
        <v>5951</v>
      </c>
      <c r="C160" t="s">
        <v>5952</v>
      </c>
      <c r="D160" t="s">
        <v>11</v>
      </c>
      <c r="E160" t="s">
        <v>13</v>
      </c>
      <c r="F160" t="s">
        <v>1970</v>
      </c>
      <c r="G160" t="s">
        <v>12</v>
      </c>
      <c r="I160" t="s">
        <v>5951</v>
      </c>
      <c r="J160" t="s">
        <v>7703</v>
      </c>
      <c r="K160" s="11">
        <v>21.080224741126386</v>
      </c>
      <c r="L160" s="9">
        <v>0.1352434040182427</v>
      </c>
      <c r="M160" s="11">
        <v>30.778596804378022</v>
      </c>
      <c r="N160" s="11">
        <v>33.85645648481583</v>
      </c>
      <c r="P160" t="s">
        <v>1967</v>
      </c>
      <c r="Q160" t="s">
        <v>8858</v>
      </c>
      <c r="R160" t="s">
        <v>8859</v>
      </c>
      <c r="S160" t="s">
        <v>11</v>
      </c>
      <c r="T160" t="s">
        <v>13</v>
      </c>
      <c r="U160" t="s">
        <v>75</v>
      </c>
      <c r="V160" t="s">
        <v>12</v>
      </c>
      <c r="X160" t="s">
        <v>8858</v>
      </c>
      <c r="Y160" t="s">
        <v>76</v>
      </c>
      <c r="Z160" s="9">
        <v>1</v>
      </c>
    </row>
    <row r="161" spans="1:14">
      <c r="A161" t="s">
        <v>1967</v>
      </c>
      <c r="B161" t="s">
        <v>5953</v>
      </c>
      <c r="C161" t="s">
        <v>5954</v>
      </c>
      <c r="D161" t="s">
        <v>11</v>
      </c>
      <c r="E161" t="s">
        <v>13</v>
      </c>
      <c r="F161" t="s">
        <v>1970</v>
      </c>
      <c r="G161" t="s">
        <v>12</v>
      </c>
      <c r="I161" t="s">
        <v>5953</v>
      </c>
      <c r="J161" t="s">
        <v>7704</v>
      </c>
      <c r="K161" s="11">
        <v>63.960500000000003</v>
      </c>
      <c r="L161" s="9">
        <v>0.53771799324282299</v>
      </c>
      <c r="M161" s="10">
        <v>225.67334086691088</v>
      </c>
      <c r="N161" s="10">
        <v>248.240674953602</v>
      </c>
    </row>
    <row r="162" spans="1:14">
      <c r="A162" t="s">
        <v>1967</v>
      </c>
      <c r="B162" t="s">
        <v>5955</v>
      </c>
      <c r="C162" t="s">
        <v>5956</v>
      </c>
      <c r="D162" t="s">
        <v>11</v>
      </c>
      <c r="E162" t="s">
        <v>13</v>
      </c>
      <c r="F162" t="s">
        <v>1970</v>
      </c>
      <c r="G162" t="s">
        <v>12</v>
      </c>
      <c r="I162" t="s">
        <v>5955</v>
      </c>
      <c r="J162" t="s">
        <v>7705</v>
      </c>
      <c r="K162" s="11">
        <v>40.263912536377305</v>
      </c>
      <c r="L162" s="9">
        <v>0.32909615632926448</v>
      </c>
      <c r="M162" s="10">
        <v>494.67650557952777</v>
      </c>
      <c r="N162" s="10">
        <v>544.14415613748054</v>
      </c>
    </row>
    <row r="163" spans="1:14">
      <c r="A163" t="s">
        <v>1967</v>
      </c>
      <c r="B163" t="s">
        <v>5957</v>
      </c>
      <c r="C163" t="s">
        <v>5958</v>
      </c>
      <c r="D163" t="s">
        <v>11</v>
      </c>
      <c r="E163" t="s">
        <v>13</v>
      </c>
      <c r="F163" t="s">
        <v>1970</v>
      </c>
      <c r="G163" t="s">
        <v>12</v>
      </c>
      <c r="I163" t="s">
        <v>5957</v>
      </c>
      <c r="J163" t="s">
        <v>7706</v>
      </c>
      <c r="K163" s="11">
        <v>36.531479020748399</v>
      </c>
      <c r="L163" s="9">
        <v>0.14522366736109171</v>
      </c>
      <c r="M163" s="10">
        <v>549.5894436111472</v>
      </c>
      <c r="N163" s="10">
        <v>604.54838797226193</v>
      </c>
    </row>
    <row r="164" spans="1:14">
      <c r="A164" t="s">
        <v>1967</v>
      </c>
      <c r="B164" t="s">
        <v>5959</v>
      </c>
      <c r="C164" t="s">
        <v>5960</v>
      </c>
      <c r="D164" t="s">
        <v>11</v>
      </c>
      <c r="E164" t="s">
        <v>13</v>
      </c>
      <c r="F164" t="s">
        <v>1970</v>
      </c>
      <c r="G164" t="s">
        <v>12</v>
      </c>
      <c r="I164" t="s">
        <v>5959</v>
      </c>
      <c r="J164" t="s">
        <v>7707</v>
      </c>
      <c r="K164" s="11">
        <v>10.262398889606228</v>
      </c>
      <c r="L164" s="9">
        <v>0.1060176415786595</v>
      </c>
      <c r="M164" s="10">
        <v>100.14828009979639</v>
      </c>
      <c r="N164" s="10">
        <v>110.16310810977605</v>
      </c>
    </row>
    <row r="165" spans="1:14">
      <c r="A165" t="s">
        <v>1967</v>
      </c>
      <c r="B165" t="s">
        <v>5961</v>
      </c>
      <c r="C165" t="s">
        <v>5962</v>
      </c>
      <c r="D165" t="s">
        <v>11</v>
      </c>
      <c r="E165" t="s">
        <v>13</v>
      </c>
      <c r="F165" t="s">
        <v>1970</v>
      </c>
      <c r="G165" t="s">
        <v>12</v>
      </c>
      <c r="I165" t="s">
        <v>5961</v>
      </c>
      <c r="J165" t="s">
        <v>7708</v>
      </c>
      <c r="K165" s="9">
        <v>3.1023905849789331</v>
      </c>
      <c r="L165" s="9">
        <v>0.21174037282148561</v>
      </c>
      <c r="M165" s="11">
        <v>44.347809305086052</v>
      </c>
      <c r="N165" s="11">
        <v>48.782590235594661</v>
      </c>
    </row>
    <row r="166" spans="1:14">
      <c r="A166" t="s">
        <v>1967</v>
      </c>
      <c r="B166" t="s">
        <v>5963</v>
      </c>
      <c r="C166" t="s">
        <v>5964</v>
      </c>
      <c r="D166" t="s">
        <v>11</v>
      </c>
      <c r="E166" t="s">
        <v>13</v>
      </c>
      <c r="F166" t="s">
        <v>1970</v>
      </c>
      <c r="G166" t="s">
        <v>12</v>
      </c>
      <c r="I166" t="s">
        <v>5963</v>
      </c>
      <c r="J166" t="s">
        <v>7709</v>
      </c>
      <c r="K166" s="9">
        <v>1.9584680614769796</v>
      </c>
      <c r="L166" s="9">
        <v>0.31331893466492949</v>
      </c>
      <c r="M166" s="11">
        <v>90.609952827438207</v>
      </c>
      <c r="N166" s="11">
        <v>99.670948110182039</v>
      </c>
    </row>
    <row r="167" spans="1:14">
      <c r="A167" t="s">
        <v>1967</v>
      </c>
      <c r="B167" t="s">
        <v>5965</v>
      </c>
      <c r="C167" t="s">
        <v>5966</v>
      </c>
      <c r="D167" t="s">
        <v>11</v>
      </c>
      <c r="E167" t="s">
        <v>13</v>
      </c>
      <c r="F167" t="s">
        <v>1970</v>
      </c>
      <c r="G167" t="s">
        <v>12</v>
      </c>
      <c r="I167" t="s">
        <v>5965</v>
      </c>
      <c r="J167" t="s">
        <v>7710</v>
      </c>
      <c r="K167" s="11">
        <v>11.200296903701092</v>
      </c>
      <c r="L167" s="9">
        <v>0.14573083965698519</v>
      </c>
      <c r="M167" s="10">
        <v>138.82178110764519</v>
      </c>
      <c r="N167" s="10">
        <v>152.70395921840972</v>
      </c>
    </row>
    <row r="168" spans="1:14">
      <c r="A168" t="s">
        <v>1967</v>
      </c>
      <c r="B168" t="s">
        <v>5967</v>
      </c>
      <c r="C168" t="s">
        <v>5968</v>
      </c>
      <c r="D168" t="s">
        <v>11</v>
      </c>
      <c r="E168" t="s">
        <v>13</v>
      </c>
      <c r="F168" t="s">
        <v>1970</v>
      </c>
      <c r="G168" t="s">
        <v>12</v>
      </c>
      <c r="I168" t="s">
        <v>5967</v>
      </c>
      <c r="J168" t="s">
        <v>7711</v>
      </c>
      <c r="K168" s="9">
        <v>1.1139364448761644</v>
      </c>
      <c r="L168" s="9">
        <v>0.29771166626143181</v>
      </c>
      <c r="M168" s="10">
        <v>122.44773362413019</v>
      </c>
      <c r="N168" s="10">
        <v>134.69250698654324</v>
      </c>
    </row>
    <row r="169" spans="1:14">
      <c r="A169" t="s">
        <v>1967</v>
      </c>
      <c r="B169" t="s">
        <v>5969</v>
      </c>
      <c r="C169" t="s">
        <v>5970</v>
      </c>
      <c r="D169" t="s">
        <v>11</v>
      </c>
      <c r="E169" t="s">
        <v>13</v>
      </c>
      <c r="F169" t="s">
        <v>1970</v>
      </c>
      <c r="G169" t="s">
        <v>12</v>
      </c>
      <c r="I169" t="s">
        <v>5969</v>
      </c>
      <c r="J169" t="s">
        <v>7712</v>
      </c>
      <c r="K169" s="10">
        <v>213.48047486455116</v>
      </c>
      <c r="L169" s="9">
        <v>0.1671941686483327</v>
      </c>
      <c r="M169" s="10">
        <v>983.74355965076438</v>
      </c>
      <c r="N169" s="10">
        <v>1082.117915615841</v>
      </c>
    </row>
    <row r="170" spans="1:14">
      <c r="A170" t="s">
        <v>1967</v>
      </c>
      <c r="B170" t="s">
        <v>5971</v>
      </c>
      <c r="C170" t="s">
        <v>5970</v>
      </c>
      <c r="D170" t="s">
        <v>11</v>
      </c>
      <c r="E170" t="s">
        <v>13</v>
      </c>
      <c r="F170" t="s">
        <v>1970</v>
      </c>
      <c r="G170" t="s">
        <v>12</v>
      </c>
      <c r="I170" t="s">
        <v>5971</v>
      </c>
      <c r="J170" t="s">
        <v>7713</v>
      </c>
      <c r="K170" s="10">
        <v>406.66682138096792</v>
      </c>
      <c r="L170" s="9">
        <v>0.20666149085560651</v>
      </c>
      <c r="M170" s="10">
        <v>530.38437104061791</v>
      </c>
      <c r="N170" s="10">
        <v>583.42280814467972</v>
      </c>
    </row>
    <row r="171" spans="1:14">
      <c r="A171" t="s">
        <v>1967</v>
      </c>
      <c r="B171" t="s">
        <v>5972</v>
      </c>
      <c r="C171" t="s">
        <v>5973</v>
      </c>
      <c r="D171" t="s">
        <v>11</v>
      </c>
      <c r="E171" t="s">
        <v>13</v>
      </c>
      <c r="F171" t="s">
        <v>1970</v>
      </c>
      <c r="G171" t="s">
        <v>12</v>
      </c>
      <c r="I171" t="s">
        <v>5972</v>
      </c>
      <c r="J171" t="s">
        <v>7714</v>
      </c>
      <c r="K171" s="10">
        <v>717.2117627765067</v>
      </c>
      <c r="L171" s="9">
        <v>0.30881298810341101</v>
      </c>
      <c r="M171" s="10">
        <v>397.48835857942049</v>
      </c>
      <c r="N171" s="10">
        <v>437.23719443736258</v>
      </c>
    </row>
    <row r="172" spans="1:14">
      <c r="A172" t="s">
        <v>1967</v>
      </c>
      <c r="B172" t="s">
        <v>5974</v>
      </c>
      <c r="C172" t="s">
        <v>5970</v>
      </c>
      <c r="D172" t="s">
        <v>11</v>
      </c>
      <c r="E172" t="s">
        <v>13</v>
      </c>
      <c r="F172" t="s">
        <v>1970</v>
      </c>
      <c r="G172" t="s">
        <v>12</v>
      </c>
      <c r="I172" t="s">
        <v>5974</v>
      </c>
      <c r="J172" t="s">
        <v>7715</v>
      </c>
      <c r="K172" s="10">
        <v>245.57375047581291</v>
      </c>
      <c r="L172" s="9">
        <v>0.17028120732575561</v>
      </c>
      <c r="M172" s="10">
        <v>350.46541392494885</v>
      </c>
      <c r="N172" s="10">
        <v>385.51195531744378</v>
      </c>
    </row>
    <row r="173" spans="1:14">
      <c r="A173" t="s">
        <v>1967</v>
      </c>
      <c r="B173" t="s">
        <v>5975</v>
      </c>
      <c r="C173" t="s">
        <v>5976</v>
      </c>
      <c r="D173" t="s">
        <v>11</v>
      </c>
      <c r="E173" t="s">
        <v>13</v>
      </c>
      <c r="F173" t="s">
        <v>1970</v>
      </c>
      <c r="G173" t="s">
        <v>12</v>
      </c>
      <c r="I173" t="s">
        <v>5975</v>
      </c>
      <c r="J173" t="s">
        <v>7716</v>
      </c>
      <c r="K173" s="10">
        <v>206.07175000000001</v>
      </c>
      <c r="L173" s="9">
        <v>0.19139319769579091</v>
      </c>
      <c r="M173" s="10">
        <v>784.10195440459654</v>
      </c>
      <c r="N173" s="10">
        <v>862.51214984505623</v>
      </c>
    </row>
    <row r="174" spans="1:14">
      <c r="A174" t="s">
        <v>1967</v>
      </c>
      <c r="B174" t="s">
        <v>5977</v>
      </c>
      <c r="C174" t="s">
        <v>5970</v>
      </c>
      <c r="D174" t="s">
        <v>11</v>
      </c>
      <c r="E174" t="s">
        <v>13</v>
      </c>
      <c r="F174" t="s">
        <v>1970</v>
      </c>
      <c r="G174" t="s">
        <v>12</v>
      </c>
      <c r="I174" t="s">
        <v>5977</v>
      </c>
      <c r="J174" t="s">
        <v>7717</v>
      </c>
      <c r="K174" s="10">
        <v>337.53871940361773</v>
      </c>
      <c r="L174" s="9">
        <v>0.22307581941237481</v>
      </c>
      <c r="M174" s="10">
        <v>642.71820425555086</v>
      </c>
      <c r="N174" s="10">
        <v>706.99002468110598</v>
      </c>
    </row>
    <row r="175" spans="1:14">
      <c r="A175" t="s">
        <v>1967</v>
      </c>
      <c r="B175" t="s">
        <v>5978</v>
      </c>
      <c r="C175" t="s">
        <v>5979</v>
      </c>
      <c r="D175" t="s">
        <v>11</v>
      </c>
      <c r="E175" t="s">
        <v>13</v>
      </c>
      <c r="F175" t="s">
        <v>1970</v>
      </c>
      <c r="G175" t="s">
        <v>12</v>
      </c>
      <c r="I175" t="s">
        <v>5978</v>
      </c>
      <c r="J175" t="s">
        <v>7718</v>
      </c>
      <c r="K175" s="10">
        <v>280.03015460435222</v>
      </c>
      <c r="L175" s="9">
        <v>0.12732838231733901</v>
      </c>
      <c r="M175" s="11">
        <v>69.184672770514041</v>
      </c>
      <c r="N175" s="11">
        <v>76.103140047565446</v>
      </c>
    </row>
    <row r="176" spans="1:14">
      <c r="A176" t="s">
        <v>1967</v>
      </c>
      <c r="B176" t="s">
        <v>5980</v>
      </c>
      <c r="C176" t="s">
        <v>5981</v>
      </c>
      <c r="D176" t="s">
        <v>11</v>
      </c>
      <c r="E176" t="s">
        <v>13</v>
      </c>
      <c r="F176" t="s">
        <v>1970</v>
      </c>
      <c r="G176" t="s">
        <v>12</v>
      </c>
      <c r="I176" t="s">
        <v>5980</v>
      </c>
      <c r="J176" t="s">
        <v>7719</v>
      </c>
      <c r="K176" s="10">
        <v>265.37424266236269</v>
      </c>
      <c r="L176" s="9">
        <v>0.21553543888336449</v>
      </c>
      <c r="M176" s="11">
        <v>44.545014378160822</v>
      </c>
      <c r="N176" s="11">
        <v>48.999515815976906</v>
      </c>
    </row>
    <row r="177" spans="1:14">
      <c r="A177" t="s">
        <v>1967</v>
      </c>
      <c r="B177" t="s">
        <v>5982</v>
      </c>
      <c r="C177" t="s">
        <v>5983</v>
      </c>
      <c r="D177" t="s">
        <v>11</v>
      </c>
      <c r="E177" t="s">
        <v>13</v>
      </c>
      <c r="F177" t="s">
        <v>1970</v>
      </c>
      <c r="G177" t="s">
        <v>12</v>
      </c>
      <c r="I177" t="s">
        <v>5982</v>
      </c>
      <c r="J177" t="s">
        <v>7720</v>
      </c>
      <c r="K177" s="9">
        <v>8.0940043287812919</v>
      </c>
      <c r="L177" s="9">
        <v>0.10118968082624109</v>
      </c>
      <c r="M177" s="11">
        <v>67.148619075354802</v>
      </c>
      <c r="N177" s="11">
        <v>73.863480982890295</v>
      </c>
    </row>
    <row r="178" spans="1:14">
      <c r="A178" t="s">
        <v>1967</v>
      </c>
      <c r="B178" t="s">
        <v>5984</v>
      </c>
      <c r="C178" t="s">
        <v>5985</v>
      </c>
      <c r="D178" t="s">
        <v>11</v>
      </c>
      <c r="E178" t="s">
        <v>13</v>
      </c>
      <c r="F178" t="s">
        <v>1970</v>
      </c>
      <c r="G178" t="s">
        <v>12</v>
      </c>
      <c r="I178" t="s">
        <v>5984</v>
      </c>
      <c r="J178" t="s">
        <v>7721</v>
      </c>
      <c r="K178" s="10">
        <v>246.89992049460321</v>
      </c>
      <c r="L178" s="9">
        <v>0.16735175687277079</v>
      </c>
      <c r="M178" s="11">
        <v>66.470881842407238</v>
      </c>
      <c r="N178" s="11">
        <v>73.117970026647967</v>
      </c>
    </row>
    <row r="179" spans="1:14">
      <c r="A179" t="s">
        <v>1967</v>
      </c>
      <c r="B179" t="s">
        <v>5986</v>
      </c>
      <c r="C179" t="s">
        <v>5987</v>
      </c>
      <c r="D179" t="s">
        <v>11</v>
      </c>
      <c r="E179" t="s">
        <v>13</v>
      </c>
      <c r="F179" t="s">
        <v>1970</v>
      </c>
      <c r="G179" t="s">
        <v>12</v>
      </c>
      <c r="I179" t="s">
        <v>5986</v>
      </c>
      <c r="J179" t="s">
        <v>7722</v>
      </c>
      <c r="K179" s="10">
        <v>229.20348065364141</v>
      </c>
      <c r="L179" s="9">
        <v>0.1811093357867184</v>
      </c>
      <c r="M179" s="11">
        <v>59.40119502171914</v>
      </c>
      <c r="N179" s="11">
        <v>65.341314523891057</v>
      </c>
    </row>
    <row r="180" spans="1:14">
      <c r="A180" t="s">
        <v>1967</v>
      </c>
      <c r="B180" t="s">
        <v>5988</v>
      </c>
      <c r="C180" t="s">
        <v>5989</v>
      </c>
      <c r="D180" t="s">
        <v>11</v>
      </c>
      <c r="E180" t="s">
        <v>13</v>
      </c>
      <c r="F180" t="s">
        <v>1970</v>
      </c>
      <c r="G180" t="s">
        <v>12</v>
      </c>
      <c r="I180" t="s">
        <v>5988</v>
      </c>
      <c r="J180" t="s">
        <v>7723</v>
      </c>
      <c r="K180" s="10">
        <v>233.90312259676961</v>
      </c>
      <c r="L180" s="9">
        <v>0.13477711068891321</v>
      </c>
      <c r="M180" s="11">
        <v>67.944926509523555</v>
      </c>
      <c r="N180" s="11">
        <v>74.739419160475919</v>
      </c>
    </row>
    <row r="181" spans="1:14">
      <c r="A181" t="s">
        <v>1967</v>
      </c>
      <c r="B181" t="s">
        <v>5990</v>
      </c>
      <c r="C181" t="s">
        <v>5991</v>
      </c>
      <c r="D181" t="s">
        <v>11</v>
      </c>
      <c r="E181" t="s">
        <v>13</v>
      </c>
      <c r="F181" t="s">
        <v>1970</v>
      </c>
      <c r="G181" t="s">
        <v>12</v>
      </c>
      <c r="I181" t="s">
        <v>5990</v>
      </c>
      <c r="J181" t="s">
        <v>7724</v>
      </c>
      <c r="K181" s="10">
        <v>115.53124543280515</v>
      </c>
      <c r="L181" s="9">
        <v>0.1500443249501533</v>
      </c>
      <c r="M181" s="11">
        <v>68.833279060481431</v>
      </c>
      <c r="N181" s="11">
        <v>75.716606966529582</v>
      </c>
    </row>
    <row r="182" spans="1:14">
      <c r="A182" t="s">
        <v>1967</v>
      </c>
      <c r="B182" t="s">
        <v>5992</v>
      </c>
      <c r="C182" t="s">
        <v>5993</v>
      </c>
      <c r="D182" t="s">
        <v>11</v>
      </c>
      <c r="E182" t="s">
        <v>13</v>
      </c>
      <c r="F182" t="s">
        <v>1970</v>
      </c>
      <c r="G182" t="s">
        <v>12</v>
      </c>
      <c r="I182" t="s">
        <v>5992</v>
      </c>
      <c r="J182" t="s">
        <v>7725</v>
      </c>
      <c r="K182" s="10">
        <v>116.82969943408987</v>
      </c>
      <c r="L182" s="9">
        <v>0.13481619387516841</v>
      </c>
      <c r="M182" s="11">
        <v>98.73031009675914</v>
      </c>
      <c r="N182" s="10">
        <v>108.60334110643507</v>
      </c>
    </row>
    <row r="183" spans="1:14">
      <c r="A183" t="s">
        <v>1967</v>
      </c>
      <c r="B183" t="s">
        <v>5994</v>
      </c>
      <c r="C183" t="s">
        <v>5995</v>
      </c>
      <c r="D183" t="s">
        <v>11</v>
      </c>
      <c r="E183" t="s">
        <v>13</v>
      </c>
      <c r="F183" t="s">
        <v>1970</v>
      </c>
      <c r="G183" t="s">
        <v>12</v>
      </c>
      <c r="I183" t="s">
        <v>5994</v>
      </c>
      <c r="J183" t="s">
        <v>7726</v>
      </c>
      <c r="K183" s="10">
        <v>662.06755800845576</v>
      </c>
      <c r="L183" s="9">
        <v>0.2376799361166983</v>
      </c>
      <c r="M183" s="10">
        <v>197.02670548375292</v>
      </c>
      <c r="N183" s="10">
        <v>216.72937603212824</v>
      </c>
    </row>
    <row r="184" spans="1:14">
      <c r="A184" t="s">
        <v>1967</v>
      </c>
      <c r="B184" t="s">
        <v>5996</v>
      </c>
      <c r="C184" t="s">
        <v>5997</v>
      </c>
      <c r="D184" t="s">
        <v>11</v>
      </c>
      <c r="E184" t="s">
        <v>13</v>
      </c>
      <c r="F184" t="s">
        <v>1970</v>
      </c>
      <c r="G184" t="s">
        <v>12</v>
      </c>
      <c r="I184" t="s">
        <v>5996</v>
      </c>
      <c r="J184" t="s">
        <v>7727</v>
      </c>
      <c r="K184" s="10">
        <v>917.43331088808338</v>
      </c>
      <c r="L184" s="9">
        <v>0.23911679018289089</v>
      </c>
      <c r="M184" s="10">
        <v>394.84535384463902</v>
      </c>
      <c r="N184" s="10">
        <v>434.32988922910295</v>
      </c>
    </row>
    <row r="185" spans="1:14">
      <c r="A185" t="s">
        <v>1967</v>
      </c>
      <c r="B185" t="s">
        <v>5998</v>
      </c>
      <c r="C185" t="s">
        <v>5999</v>
      </c>
      <c r="D185" t="s">
        <v>11</v>
      </c>
      <c r="E185" t="s">
        <v>13</v>
      </c>
      <c r="F185" t="s">
        <v>1970</v>
      </c>
      <c r="G185" t="s">
        <v>12</v>
      </c>
      <c r="I185" t="s">
        <v>5998</v>
      </c>
      <c r="J185" t="s">
        <v>7728</v>
      </c>
      <c r="K185" s="10">
        <v>325.30176995589903</v>
      </c>
      <c r="L185" s="9">
        <v>0.13090807812907509</v>
      </c>
      <c r="M185" s="11">
        <v>95.44278570233962</v>
      </c>
      <c r="N185" s="10">
        <v>104.98706427257359</v>
      </c>
    </row>
    <row r="186" spans="1:14">
      <c r="A186" t="s">
        <v>1967</v>
      </c>
      <c r="B186" t="s">
        <v>6000</v>
      </c>
      <c r="C186" t="s">
        <v>6001</v>
      </c>
      <c r="D186" t="s">
        <v>11</v>
      </c>
      <c r="E186" t="s">
        <v>13</v>
      </c>
      <c r="F186" t="s">
        <v>1970</v>
      </c>
      <c r="G186" t="s">
        <v>12</v>
      </c>
      <c r="I186" t="s">
        <v>6000</v>
      </c>
      <c r="J186" t="s">
        <v>7729</v>
      </c>
      <c r="K186" s="10">
        <v>183.49031123467182</v>
      </c>
      <c r="L186" s="9">
        <v>0.16154996536740579</v>
      </c>
      <c r="M186" s="11">
        <v>87.451686062498894</v>
      </c>
      <c r="N186" s="11">
        <v>96.196854668748784</v>
      </c>
    </row>
    <row r="187" spans="1:14">
      <c r="A187" t="s">
        <v>1967</v>
      </c>
      <c r="B187" t="s">
        <v>6002</v>
      </c>
      <c r="C187" t="s">
        <v>6003</v>
      </c>
      <c r="D187" t="s">
        <v>11</v>
      </c>
      <c r="E187" t="s">
        <v>13</v>
      </c>
      <c r="F187" t="s">
        <v>1970</v>
      </c>
      <c r="G187" t="s">
        <v>12</v>
      </c>
      <c r="I187" t="s">
        <v>6002</v>
      </c>
      <c r="J187" t="s">
        <v>7730</v>
      </c>
      <c r="K187" s="10">
        <v>349.35769889727055</v>
      </c>
      <c r="L187" s="9">
        <v>0.19882047347898249</v>
      </c>
      <c r="M187" s="11">
        <v>95.413378393496103</v>
      </c>
      <c r="N187" s="10">
        <v>104.95471623284573</v>
      </c>
    </row>
    <row r="188" spans="1:14">
      <c r="A188" t="s">
        <v>1967</v>
      </c>
      <c r="B188" t="s">
        <v>6004</v>
      </c>
      <c r="C188" t="s">
        <v>6005</v>
      </c>
      <c r="D188" t="s">
        <v>11</v>
      </c>
      <c r="E188" t="s">
        <v>13</v>
      </c>
      <c r="F188" t="s">
        <v>1970</v>
      </c>
      <c r="G188" t="s">
        <v>12</v>
      </c>
      <c r="I188" t="s">
        <v>6004</v>
      </c>
      <c r="J188" t="s">
        <v>7731</v>
      </c>
      <c r="K188" s="10">
        <v>533.10990005568783</v>
      </c>
      <c r="L188" s="9">
        <v>0.20928614211284491</v>
      </c>
      <c r="M188" s="11">
        <v>54.752323207397517</v>
      </c>
      <c r="N188" s="11">
        <v>60.227555528137273</v>
      </c>
    </row>
    <row r="189" spans="1:14">
      <c r="A189" t="s">
        <v>1967</v>
      </c>
      <c r="B189" t="s">
        <v>6006</v>
      </c>
      <c r="C189" t="s">
        <v>6007</v>
      </c>
      <c r="D189" t="s">
        <v>11</v>
      </c>
      <c r="E189" t="s">
        <v>13</v>
      </c>
      <c r="F189" t="s">
        <v>1970</v>
      </c>
      <c r="G189" t="s">
        <v>12</v>
      </c>
      <c r="I189" t="s">
        <v>6006</v>
      </c>
      <c r="J189" t="s">
        <v>7732</v>
      </c>
      <c r="K189" s="10">
        <v>440.27787947672289</v>
      </c>
      <c r="L189" s="9">
        <v>0.4194298872041346</v>
      </c>
      <c r="M189" s="10">
        <v>278.45089484214338</v>
      </c>
      <c r="N189" s="10">
        <v>306.29598432635777</v>
      </c>
    </row>
    <row r="190" spans="1:14">
      <c r="A190" t="s">
        <v>1967</v>
      </c>
      <c r="B190" t="s">
        <v>6008</v>
      </c>
      <c r="C190" t="s">
        <v>6009</v>
      </c>
      <c r="D190" t="s">
        <v>11</v>
      </c>
      <c r="E190" t="s">
        <v>13</v>
      </c>
      <c r="F190" t="s">
        <v>1970</v>
      </c>
      <c r="G190" t="s">
        <v>12</v>
      </c>
      <c r="I190" t="s">
        <v>6008</v>
      </c>
      <c r="J190" t="s">
        <v>7733</v>
      </c>
      <c r="K190" s="10">
        <v>553.9107672775267</v>
      </c>
      <c r="L190" s="9">
        <v>0.37319670715314851</v>
      </c>
      <c r="M190" s="10">
        <v>385.61845167416953</v>
      </c>
      <c r="N190" s="10">
        <v>424.18029684158654</v>
      </c>
    </row>
    <row r="191" spans="1:14">
      <c r="A191" t="s">
        <v>1967</v>
      </c>
      <c r="B191" t="s">
        <v>6010</v>
      </c>
      <c r="C191" t="s">
        <v>6011</v>
      </c>
      <c r="D191" t="s">
        <v>11</v>
      </c>
      <c r="E191" t="s">
        <v>13</v>
      </c>
      <c r="F191" t="s">
        <v>1970</v>
      </c>
      <c r="G191" t="s">
        <v>12</v>
      </c>
      <c r="I191" t="s">
        <v>6010</v>
      </c>
      <c r="J191" t="s">
        <v>7734</v>
      </c>
      <c r="K191" s="10">
        <v>553.85664518201838</v>
      </c>
      <c r="L191" s="9">
        <v>0.2771507112214377</v>
      </c>
      <c r="M191" s="10">
        <v>119.62063738858537</v>
      </c>
      <c r="N191" s="10">
        <v>131.58270112744393</v>
      </c>
    </row>
    <row r="192" spans="1:14">
      <c r="A192" t="s">
        <v>1967</v>
      </c>
      <c r="B192" t="s">
        <v>6012</v>
      </c>
      <c r="C192" t="s">
        <v>6013</v>
      </c>
      <c r="D192" t="s">
        <v>11</v>
      </c>
      <c r="E192" t="s">
        <v>13</v>
      </c>
      <c r="F192" t="s">
        <v>1970</v>
      </c>
      <c r="G192" t="s">
        <v>12</v>
      </c>
      <c r="I192" t="s">
        <v>6012</v>
      </c>
      <c r="J192" t="s">
        <v>7735</v>
      </c>
      <c r="K192" s="9">
        <v>0.12258709252082321</v>
      </c>
      <c r="L192" s="9">
        <v>0.104260685130553</v>
      </c>
      <c r="M192" s="11">
        <v>47.291752534820482</v>
      </c>
      <c r="N192" s="11">
        <v>52.020927788302536</v>
      </c>
    </row>
    <row r="193" spans="1:14">
      <c r="A193" t="s">
        <v>1967</v>
      </c>
      <c r="B193" t="s">
        <v>6014</v>
      </c>
      <c r="C193" t="s">
        <v>6015</v>
      </c>
      <c r="D193" t="s">
        <v>11</v>
      </c>
      <c r="E193" t="s">
        <v>13</v>
      </c>
      <c r="F193" t="s">
        <v>1970</v>
      </c>
      <c r="G193" t="s">
        <v>12</v>
      </c>
      <c r="I193" t="s">
        <v>6014</v>
      </c>
      <c r="J193" t="s">
        <v>7736</v>
      </c>
      <c r="K193" s="9">
        <v>2.7577565419253096</v>
      </c>
      <c r="L193" s="9">
        <v>0.11823721282617999</v>
      </c>
      <c r="M193" s="10">
        <v>257.5322103062295</v>
      </c>
      <c r="N193" s="10">
        <v>283.28543133685247</v>
      </c>
    </row>
    <row r="194" spans="1:14">
      <c r="A194" t="s">
        <v>1967</v>
      </c>
      <c r="B194" t="s">
        <v>6016</v>
      </c>
      <c r="C194" t="s">
        <v>6017</v>
      </c>
      <c r="D194" t="s">
        <v>11</v>
      </c>
      <c r="E194" t="s">
        <v>13</v>
      </c>
      <c r="F194" t="s">
        <v>1970</v>
      </c>
      <c r="G194" t="s">
        <v>12</v>
      </c>
      <c r="I194" t="s">
        <v>6016</v>
      </c>
      <c r="J194" t="s">
        <v>7737</v>
      </c>
      <c r="K194" s="12">
        <v>2.499790753112479E-2</v>
      </c>
      <c r="L194" s="12">
        <v>9.8886583120320198E-2</v>
      </c>
      <c r="M194" s="10">
        <v>115.57602665254758</v>
      </c>
      <c r="N194" s="10">
        <v>127.13362931780235</v>
      </c>
    </row>
    <row r="195" spans="1:14">
      <c r="A195" t="s">
        <v>1967</v>
      </c>
      <c r="B195" t="s">
        <v>6018</v>
      </c>
      <c r="C195" t="s">
        <v>6019</v>
      </c>
      <c r="D195" t="s">
        <v>11</v>
      </c>
      <c r="E195" t="s">
        <v>13</v>
      </c>
      <c r="F195" t="s">
        <v>1970</v>
      </c>
      <c r="G195" t="s">
        <v>12</v>
      </c>
      <c r="I195" t="s">
        <v>6018</v>
      </c>
      <c r="J195" t="s">
        <v>7738</v>
      </c>
      <c r="K195" s="9">
        <v>1.0714423561130237</v>
      </c>
      <c r="L195" s="12">
        <v>9.6440191130328201E-2</v>
      </c>
      <c r="M195" s="11">
        <v>61.405863682172736</v>
      </c>
      <c r="N195" s="11">
        <v>67.546450050390021</v>
      </c>
    </row>
    <row r="196" spans="1:14">
      <c r="A196" t="s">
        <v>1967</v>
      </c>
      <c r="B196" t="s">
        <v>6020</v>
      </c>
      <c r="C196" t="s">
        <v>6021</v>
      </c>
      <c r="D196" t="s">
        <v>11</v>
      </c>
      <c r="E196" t="s">
        <v>13</v>
      </c>
      <c r="F196" t="s">
        <v>1970</v>
      </c>
      <c r="G196" t="s">
        <v>12</v>
      </c>
      <c r="I196" t="s">
        <v>6020</v>
      </c>
      <c r="J196" t="s">
        <v>7739</v>
      </c>
      <c r="K196" s="9">
        <v>9.9994067987767767</v>
      </c>
      <c r="L196" s="9">
        <v>0.11211992953280731</v>
      </c>
      <c r="M196" s="11">
        <v>77.234762266811657</v>
      </c>
      <c r="N196" s="11">
        <v>84.958238493492829</v>
      </c>
    </row>
    <row r="197" spans="1:14">
      <c r="A197" t="s">
        <v>1967</v>
      </c>
      <c r="B197" t="s">
        <v>6022</v>
      </c>
      <c r="C197" t="s">
        <v>6023</v>
      </c>
      <c r="D197" t="s">
        <v>11</v>
      </c>
      <c r="E197" t="s">
        <v>13</v>
      </c>
      <c r="F197" t="s">
        <v>1970</v>
      </c>
      <c r="G197" t="s">
        <v>12</v>
      </c>
      <c r="I197" t="s">
        <v>6022</v>
      </c>
      <c r="J197" t="s">
        <v>7740</v>
      </c>
      <c r="K197" s="11">
        <v>37.580429351458463</v>
      </c>
      <c r="L197" s="9">
        <v>0.1389002138495096</v>
      </c>
      <c r="M197" s="11">
        <v>78.51158965476003</v>
      </c>
      <c r="N197" s="11">
        <v>86.362748620236033</v>
      </c>
    </row>
    <row r="198" spans="1:14">
      <c r="A198" t="s">
        <v>1967</v>
      </c>
      <c r="B198" t="s">
        <v>6024</v>
      </c>
      <c r="C198" t="s">
        <v>6023</v>
      </c>
      <c r="D198" t="s">
        <v>11</v>
      </c>
      <c r="E198" t="s">
        <v>13</v>
      </c>
      <c r="F198" t="s">
        <v>1970</v>
      </c>
      <c r="G198" t="s">
        <v>12</v>
      </c>
      <c r="I198" t="s">
        <v>6024</v>
      </c>
      <c r="J198" t="s">
        <v>7741</v>
      </c>
      <c r="K198" s="11">
        <v>23.181209647817646</v>
      </c>
      <c r="L198" s="9">
        <v>0.22415878666194181</v>
      </c>
      <c r="M198" s="10">
        <v>192.45298755756204</v>
      </c>
      <c r="N198" s="10">
        <v>211.69828631331825</v>
      </c>
    </row>
    <row r="199" spans="1:14">
      <c r="A199" t="s">
        <v>1967</v>
      </c>
      <c r="B199" t="s">
        <v>6025</v>
      </c>
      <c r="C199" t="s">
        <v>6026</v>
      </c>
      <c r="D199" t="s">
        <v>11</v>
      </c>
      <c r="E199" t="s">
        <v>13</v>
      </c>
      <c r="F199" t="s">
        <v>1970</v>
      </c>
      <c r="G199" t="s">
        <v>12</v>
      </c>
      <c r="I199" t="s">
        <v>6025</v>
      </c>
      <c r="J199" t="s">
        <v>7742</v>
      </c>
      <c r="K199" s="13">
        <v>4.0156235929761372E-3</v>
      </c>
      <c r="L199" s="12">
        <v>8.6140102120427095E-2</v>
      </c>
      <c r="M199" s="10">
        <v>181.74749630787417</v>
      </c>
      <c r="N199" s="10">
        <v>199.9222459386616</v>
      </c>
    </row>
    <row r="200" spans="1:14">
      <c r="A200" t="s">
        <v>1967</v>
      </c>
      <c r="B200" t="s">
        <v>6027</v>
      </c>
      <c r="C200" t="s">
        <v>6028</v>
      </c>
      <c r="D200" t="s">
        <v>11</v>
      </c>
      <c r="E200" t="s">
        <v>13</v>
      </c>
      <c r="F200" t="s">
        <v>1970</v>
      </c>
      <c r="G200" t="s">
        <v>12</v>
      </c>
      <c r="I200" t="s">
        <v>6027</v>
      </c>
      <c r="J200" t="s">
        <v>7743</v>
      </c>
      <c r="K200" s="11">
        <v>18.615389408895091</v>
      </c>
      <c r="L200" s="9">
        <v>0.16030837730269451</v>
      </c>
      <c r="M200" s="10">
        <v>176.97082188342804</v>
      </c>
      <c r="N200" s="10">
        <v>194.66790407177086</v>
      </c>
    </row>
    <row r="201" spans="1:14">
      <c r="A201" t="s">
        <v>1967</v>
      </c>
      <c r="B201" t="s">
        <v>6029</v>
      </c>
      <c r="C201" t="s">
        <v>6028</v>
      </c>
      <c r="D201" t="s">
        <v>11</v>
      </c>
      <c r="E201" t="s">
        <v>13</v>
      </c>
      <c r="F201" t="s">
        <v>1970</v>
      </c>
      <c r="G201" t="s">
        <v>12</v>
      </c>
      <c r="I201" t="s">
        <v>6029</v>
      </c>
      <c r="J201" t="s">
        <v>7744</v>
      </c>
      <c r="K201" s="11">
        <v>30.827496161162742</v>
      </c>
      <c r="L201" s="9">
        <v>0.12258850736771899</v>
      </c>
      <c r="M201" s="10">
        <v>139.51095310753234</v>
      </c>
      <c r="N201" s="10">
        <v>153.4620484182856</v>
      </c>
    </row>
    <row r="202" spans="1:14">
      <c r="A202" t="s">
        <v>1967</v>
      </c>
      <c r="B202" t="s">
        <v>6030</v>
      </c>
      <c r="C202" t="s">
        <v>6028</v>
      </c>
      <c r="D202" t="s">
        <v>11</v>
      </c>
      <c r="E202" t="s">
        <v>13</v>
      </c>
      <c r="F202" t="s">
        <v>1970</v>
      </c>
      <c r="G202" t="s">
        <v>12</v>
      </c>
      <c r="I202" t="s">
        <v>6030</v>
      </c>
      <c r="J202" t="s">
        <v>7745</v>
      </c>
      <c r="K202" s="11">
        <v>26.754133525258371</v>
      </c>
      <c r="L202" s="9">
        <v>0.10937420297666189</v>
      </c>
      <c r="M202" s="10">
        <v>315.51017015745867</v>
      </c>
      <c r="N202" s="10">
        <v>347.06118717320459</v>
      </c>
    </row>
    <row r="203" spans="1:14">
      <c r="A203" t="s">
        <v>1967</v>
      </c>
      <c r="B203" t="s">
        <v>6031</v>
      </c>
      <c r="C203" t="s">
        <v>6028</v>
      </c>
      <c r="D203" t="s">
        <v>11</v>
      </c>
      <c r="E203" t="s">
        <v>13</v>
      </c>
      <c r="F203" t="s">
        <v>1970</v>
      </c>
      <c r="G203" t="s">
        <v>12</v>
      </c>
      <c r="I203" t="s">
        <v>6031</v>
      </c>
      <c r="J203" t="s">
        <v>7746</v>
      </c>
      <c r="K203" s="11">
        <v>14.674187932477992</v>
      </c>
      <c r="L203" s="9">
        <v>0.1207001395856101</v>
      </c>
      <c r="M203" s="10">
        <v>371.05199391715706</v>
      </c>
      <c r="N203" s="10">
        <v>408.15719330887282</v>
      </c>
    </row>
    <row r="204" spans="1:14">
      <c r="A204" t="s">
        <v>1967</v>
      </c>
      <c r="B204" t="s">
        <v>6032</v>
      </c>
      <c r="C204" t="s">
        <v>6033</v>
      </c>
      <c r="D204" t="s">
        <v>11</v>
      </c>
      <c r="E204" t="s">
        <v>13</v>
      </c>
      <c r="F204" t="s">
        <v>1970</v>
      </c>
      <c r="G204" t="s">
        <v>12</v>
      </c>
      <c r="I204" t="s">
        <v>6032</v>
      </c>
      <c r="J204" t="s">
        <v>7747</v>
      </c>
      <c r="K204" s="9">
        <v>6.1866604141708823</v>
      </c>
      <c r="L204" s="12">
        <v>9.87215471245836E-2</v>
      </c>
      <c r="M204" s="10">
        <v>469.31940988721681</v>
      </c>
      <c r="N204" s="10">
        <v>516.25135087593856</v>
      </c>
    </row>
    <row r="205" spans="1:14">
      <c r="A205" t="s">
        <v>1967</v>
      </c>
      <c r="B205" t="s">
        <v>6034</v>
      </c>
      <c r="C205" t="s">
        <v>6035</v>
      </c>
      <c r="D205" t="s">
        <v>11</v>
      </c>
      <c r="E205" t="s">
        <v>13</v>
      </c>
      <c r="F205" t="s">
        <v>1970</v>
      </c>
      <c r="G205" t="s">
        <v>12</v>
      </c>
      <c r="I205" t="s">
        <v>6034</v>
      </c>
      <c r="J205" t="s">
        <v>7748</v>
      </c>
      <c r="K205" s="12">
        <v>6.8588730143357271E-2</v>
      </c>
      <c r="L205" s="12">
        <v>2.85193369782498E-2</v>
      </c>
      <c r="M205" s="10">
        <v>149.67672522589154</v>
      </c>
      <c r="N205" s="10">
        <v>164.64439774848071</v>
      </c>
    </row>
    <row r="206" spans="1:14">
      <c r="A206" t="s">
        <v>1967</v>
      </c>
      <c r="B206" t="s">
        <v>6036</v>
      </c>
      <c r="C206" t="s">
        <v>6037</v>
      </c>
      <c r="D206" t="s">
        <v>11</v>
      </c>
      <c r="E206" t="s">
        <v>13</v>
      </c>
      <c r="F206" t="s">
        <v>1970</v>
      </c>
      <c r="G206" t="s">
        <v>12</v>
      </c>
      <c r="I206" t="s">
        <v>6036</v>
      </c>
      <c r="J206" t="s">
        <v>7749</v>
      </c>
      <c r="K206" s="9">
        <v>0.46497819173696753</v>
      </c>
      <c r="L206" s="12">
        <v>4.0390687538289401E-2</v>
      </c>
      <c r="M206" s="10">
        <v>344.4816586940151</v>
      </c>
      <c r="N206" s="10">
        <v>378.92982456341662</v>
      </c>
    </row>
    <row r="207" spans="1:14">
      <c r="A207" t="s">
        <v>1967</v>
      </c>
      <c r="B207" t="s">
        <v>6038</v>
      </c>
      <c r="C207" t="s">
        <v>6039</v>
      </c>
      <c r="D207" t="s">
        <v>11</v>
      </c>
      <c r="E207" t="s">
        <v>13</v>
      </c>
      <c r="F207" t="s">
        <v>1970</v>
      </c>
      <c r="G207" t="s">
        <v>12</v>
      </c>
      <c r="I207" t="s">
        <v>6038</v>
      </c>
      <c r="J207" t="s">
        <v>7750</v>
      </c>
      <c r="K207" s="9">
        <v>0.28141236198789299</v>
      </c>
      <c r="L207" s="12">
        <v>4.4158721102430902E-2</v>
      </c>
      <c r="M207" s="11">
        <v>73.768440851732691</v>
      </c>
      <c r="N207" s="11">
        <v>81.145284936905966</v>
      </c>
    </row>
    <row r="208" spans="1:14">
      <c r="A208" t="s">
        <v>1967</v>
      </c>
      <c r="B208" t="s">
        <v>6040</v>
      </c>
      <c r="C208" t="s">
        <v>6041</v>
      </c>
      <c r="D208" t="s">
        <v>11</v>
      </c>
      <c r="E208" t="s">
        <v>13</v>
      </c>
      <c r="F208" t="s">
        <v>1970</v>
      </c>
      <c r="G208" t="s">
        <v>12</v>
      </c>
      <c r="I208" t="s">
        <v>6040</v>
      </c>
      <c r="J208" t="s">
        <v>7751</v>
      </c>
      <c r="K208" s="12">
        <v>6.5882599540056375E-2</v>
      </c>
      <c r="L208" s="9">
        <v>0.1542297728863069</v>
      </c>
      <c r="M208" s="11">
        <v>22.217885104493792</v>
      </c>
      <c r="N208" s="11">
        <v>24.439673614943175</v>
      </c>
    </row>
    <row r="209" spans="1:14">
      <c r="A209" t="s">
        <v>1967</v>
      </c>
      <c r="B209" t="s">
        <v>6042</v>
      </c>
      <c r="C209" t="s">
        <v>6043</v>
      </c>
      <c r="D209" t="s">
        <v>11</v>
      </c>
      <c r="E209" t="s">
        <v>13</v>
      </c>
      <c r="F209" t="s">
        <v>1970</v>
      </c>
      <c r="G209" t="s">
        <v>12</v>
      </c>
      <c r="I209" t="s">
        <v>6042</v>
      </c>
      <c r="J209" t="s">
        <v>7752</v>
      </c>
      <c r="K209" s="9">
        <v>7.8201891173785052</v>
      </c>
      <c r="L209" s="9">
        <v>0.67334866609091171</v>
      </c>
      <c r="M209" s="11">
        <v>40.184388682370262</v>
      </c>
      <c r="N209" s="11">
        <v>44.202827550607289</v>
      </c>
    </row>
    <row r="210" spans="1:14">
      <c r="A210" t="s">
        <v>1967</v>
      </c>
      <c r="B210" t="s">
        <v>6044</v>
      </c>
      <c r="C210" t="s">
        <v>6045</v>
      </c>
      <c r="D210" t="s">
        <v>11</v>
      </c>
      <c r="E210" t="s">
        <v>13</v>
      </c>
      <c r="F210" t="s">
        <v>1970</v>
      </c>
      <c r="G210" t="s">
        <v>12</v>
      </c>
      <c r="I210" t="s">
        <v>6044</v>
      </c>
      <c r="J210" t="s">
        <v>7753</v>
      </c>
      <c r="K210" s="9">
        <v>2.6009906104941782</v>
      </c>
      <c r="L210" s="9">
        <v>0.1020137287374089</v>
      </c>
      <c r="M210" s="10">
        <v>312.07919200510514</v>
      </c>
      <c r="N210" s="10">
        <v>343.2871112056157</v>
      </c>
    </row>
    <row r="211" spans="1:14">
      <c r="A211" t="s">
        <v>1967</v>
      </c>
      <c r="B211" t="s">
        <v>6046</v>
      </c>
      <c r="C211" t="s">
        <v>6047</v>
      </c>
      <c r="D211" t="s">
        <v>11</v>
      </c>
      <c r="E211" t="s">
        <v>13</v>
      </c>
      <c r="F211" t="s">
        <v>1970</v>
      </c>
      <c r="G211" t="s">
        <v>12</v>
      </c>
      <c r="I211" t="s">
        <v>6046</v>
      </c>
      <c r="J211" t="s">
        <v>7754</v>
      </c>
      <c r="K211" s="11">
        <v>12.494719308977151</v>
      </c>
      <c r="L211" s="12">
        <v>9.0180735625383604E-2</v>
      </c>
      <c r="M211" s="10">
        <v>117.80448941142164</v>
      </c>
      <c r="N211" s="10">
        <v>129.58493835256382</v>
      </c>
    </row>
    <row r="212" spans="1:14">
      <c r="A212" t="s">
        <v>1967</v>
      </c>
      <c r="B212" t="s">
        <v>6048</v>
      </c>
      <c r="C212" t="s">
        <v>6049</v>
      </c>
      <c r="D212" t="s">
        <v>11</v>
      </c>
      <c r="E212" t="s">
        <v>13</v>
      </c>
      <c r="F212" t="s">
        <v>1970</v>
      </c>
      <c r="G212" t="s">
        <v>12</v>
      </c>
      <c r="I212" t="s">
        <v>6048</v>
      </c>
      <c r="J212" t="s">
        <v>7755</v>
      </c>
      <c r="K212" s="11">
        <v>12.523885451767732</v>
      </c>
      <c r="L212" s="9">
        <v>0.18053964618655099</v>
      </c>
      <c r="M212" s="11">
        <v>22.193724023261904</v>
      </c>
      <c r="N212" s="11">
        <v>24.413096425588098</v>
      </c>
    </row>
    <row r="213" spans="1:14">
      <c r="A213" t="s">
        <v>1967</v>
      </c>
      <c r="B213" t="s">
        <v>6050</v>
      </c>
      <c r="C213" t="s">
        <v>6051</v>
      </c>
      <c r="D213" t="s">
        <v>11</v>
      </c>
      <c r="E213" t="s">
        <v>13</v>
      </c>
      <c r="F213" t="s">
        <v>1970</v>
      </c>
      <c r="G213" t="s">
        <v>12</v>
      </c>
      <c r="I213" t="s">
        <v>6050</v>
      </c>
      <c r="J213" t="s">
        <v>7756</v>
      </c>
      <c r="K213" s="12">
        <v>8.9087876055414364E-2</v>
      </c>
      <c r="L213" s="9">
        <v>0.1265210804624107</v>
      </c>
      <c r="M213" s="11">
        <v>48.535698200642656</v>
      </c>
      <c r="N213" s="11">
        <v>53.389268020706929</v>
      </c>
    </row>
    <row r="214" spans="1:14">
      <c r="A214" t="s">
        <v>1967</v>
      </c>
      <c r="B214" t="s">
        <v>6052</v>
      </c>
      <c r="C214" t="s">
        <v>6053</v>
      </c>
      <c r="D214" t="s">
        <v>11</v>
      </c>
      <c r="E214" t="s">
        <v>13</v>
      </c>
      <c r="F214" t="s">
        <v>1970</v>
      </c>
      <c r="G214" t="s">
        <v>12</v>
      </c>
      <c r="I214" t="s">
        <v>6052</v>
      </c>
      <c r="J214" t="s">
        <v>7757</v>
      </c>
      <c r="K214" s="9">
        <v>0.94633125750873681</v>
      </c>
      <c r="L214" s="9">
        <v>0.23850541333505221</v>
      </c>
      <c r="M214" s="11">
        <v>60.504261512741522</v>
      </c>
      <c r="N214" s="11">
        <v>66.554687664015674</v>
      </c>
    </row>
    <row r="215" spans="1:14">
      <c r="A215" t="s">
        <v>1967</v>
      </c>
      <c r="B215" t="s">
        <v>6054</v>
      </c>
      <c r="C215" t="s">
        <v>6055</v>
      </c>
      <c r="D215" t="s">
        <v>11</v>
      </c>
      <c r="E215" t="s">
        <v>13</v>
      </c>
      <c r="F215" t="s">
        <v>1970</v>
      </c>
      <c r="G215" t="s">
        <v>12</v>
      </c>
      <c r="I215" t="s">
        <v>6054</v>
      </c>
      <c r="J215" t="s">
        <v>7758</v>
      </c>
      <c r="K215" s="9">
        <v>1.9402360725333134</v>
      </c>
      <c r="L215" s="9">
        <v>0.24426524933931459</v>
      </c>
      <c r="M215" s="11">
        <v>26.03805654181231</v>
      </c>
      <c r="N215" s="11">
        <v>28.641862195993543</v>
      </c>
    </row>
    <row r="216" spans="1:14">
      <c r="A216" t="s">
        <v>1967</v>
      </c>
      <c r="B216" t="s">
        <v>6056</v>
      </c>
      <c r="C216" t="s">
        <v>6057</v>
      </c>
      <c r="D216" t="s">
        <v>11</v>
      </c>
      <c r="E216" t="s">
        <v>13</v>
      </c>
      <c r="F216" t="s">
        <v>1970</v>
      </c>
      <c r="G216" t="s">
        <v>12</v>
      </c>
      <c r="I216" t="s">
        <v>6056</v>
      </c>
      <c r="J216" t="s">
        <v>7759</v>
      </c>
      <c r="K216" s="9">
        <v>3.2001456595751048</v>
      </c>
      <c r="L216" s="9">
        <v>0.25540946281320082</v>
      </c>
      <c r="M216" s="11">
        <v>23.868011418854767</v>
      </c>
      <c r="N216" s="11">
        <v>26.254812560740245</v>
      </c>
    </row>
    <row r="217" spans="1:14">
      <c r="A217" t="s">
        <v>1967</v>
      </c>
      <c r="B217" t="s">
        <v>6058</v>
      </c>
      <c r="C217" t="s">
        <v>6059</v>
      </c>
      <c r="D217" t="s">
        <v>11</v>
      </c>
      <c r="E217" t="s">
        <v>13</v>
      </c>
      <c r="F217" t="s">
        <v>1970</v>
      </c>
      <c r="G217" t="s">
        <v>12</v>
      </c>
      <c r="I217" t="s">
        <v>6058</v>
      </c>
      <c r="J217" t="s">
        <v>7760</v>
      </c>
      <c r="K217" s="9">
        <v>0.48742145030694861</v>
      </c>
      <c r="L217" s="9">
        <v>0.1391664313658858</v>
      </c>
      <c r="M217" s="11">
        <v>18.120542206445755</v>
      </c>
      <c r="N217" s="11">
        <v>19.932596427090331</v>
      </c>
    </row>
    <row r="218" spans="1:14">
      <c r="A218" t="s">
        <v>1967</v>
      </c>
      <c r="B218" t="s">
        <v>6060</v>
      </c>
      <c r="C218" t="s">
        <v>6061</v>
      </c>
      <c r="D218" t="s">
        <v>11</v>
      </c>
      <c r="E218" t="s">
        <v>13</v>
      </c>
      <c r="F218" t="s">
        <v>1970</v>
      </c>
      <c r="G218" t="s">
        <v>12</v>
      </c>
      <c r="I218" t="s">
        <v>6060</v>
      </c>
      <c r="J218" t="s">
        <v>7761</v>
      </c>
      <c r="K218" s="9">
        <v>4.6760906124875925</v>
      </c>
      <c r="L218" s="9">
        <v>0.242387383528401</v>
      </c>
      <c r="M218" s="11">
        <v>25.436641885238107</v>
      </c>
      <c r="N218" s="11">
        <v>27.98030607376192</v>
      </c>
    </row>
    <row r="219" spans="1:14">
      <c r="A219" t="s">
        <v>1967</v>
      </c>
      <c r="B219" t="s">
        <v>6062</v>
      </c>
      <c r="C219" t="s">
        <v>6063</v>
      </c>
      <c r="D219" t="s">
        <v>11</v>
      </c>
      <c r="E219" t="s">
        <v>13</v>
      </c>
      <c r="F219" t="s">
        <v>1970</v>
      </c>
      <c r="G219" t="s">
        <v>12</v>
      </c>
      <c r="I219" t="s">
        <v>6062</v>
      </c>
      <c r="J219" t="s">
        <v>7762</v>
      </c>
      <c r="K219" s="11">
        <v>72.922298674115169</v>
      </c>
      <c r="L219" s="9">
        <v>0.20187109235919579</v>
      </c>
      <c r="M219" s="11">
        <v>30.508040302296884</v>
      </c>
      <c r="N219" s="11">
        <v>33.558844332526576</v>
      </c>
    </row>
    <row r="220" spans="1:14">
      <c r="A220" t="s">
        <v>1967</v>
      </c>
      <c r="B220" t="s">
        <v>6064</v>
      </c>
      <c r="C220" t="s">
        <v>6065</v>
      </c>
      <c r="D220" t="s">
        <v>11</v>
      </c>
      <c r="E220" t="s">
        <v>13</v>
      </c>
      <c r="F220" t="s">
        <v>1970</v>
      </c>
      <c r="G220" t="s">
        <v>12</v>
      </c>
      <c r="I220" t="s">
        <v>6064</v>
      </c>
      <c r="J220" t="s">
        <v>7763</v>
      </c>
      <c r="K220" s="11">
        <v>50.385565501045264</v>
      </c>
      <c r="L220" s="9">
        <v>0.2424388520150523</v>
      </c>
      <c r="M220" s="11">
        <v>31.521721049835133</v>
      </c>
      <c r="N220" s="11">
        <v>34.67389315481865</v>
      </c>
    </row>
    <row r="221" spans="1:14">
      <c r="A221" t="s">
        <v>1967</v>
      </c>
      <c r="B221" t="s">
        <v>6066</v>
      </c>
      <c r="C221" t="s">
        <v>6067</v>
      </c>
      <c r="D221" t="s">
        <v>11</v>
      </c>
      <c r="E221" t="s">
        <v>13</v>
      </c>
      <c r="F221" t="s">
        <v>1970</v>
      </c>
      <c r="G221" t="s">
        <v>12</v>
      </c>
      <c r="I221" t="s">
        <v>6066</v>
      </c>
      <c r="J221" t="s">
        <v>7764</v>
      </c>
      <c r="K221" s="11">
        <v>51.102640577566319</v>
      </c>
      <c r="L221" s="9">
        <v>0.2177688357917629</v>
      </c>
      <c r="M221" s="11">
        <v>30.708754371311628</v>
      </c>
      <c r="N221" s="11">
        <v>33.779629808442792</v>
      </c>
    </row>
    <row r="222" spans="1:14">
      <c r="A222" t="s">
        <v>1967</v>
      </c>
      <c r="B222" t="s">
        <v>6068</v>
      </c>
      <c r="C222" t="s">
        <v>6069</v>
      </c>
      <c r="D222" t="s">
        <v>11</v>
      </c>
      <c r="E222" t="s">
        <v>13</v>
      </c>
      <c r="F222" t="s">
        <v>1970</v>
      </c>
      <c r="G222" t="s">
        <v>12</v>
      </c>
      <c r="I222" t="s">
        <v>6068</v>
      </c>
      <c r="J222" t="s">
        <v>7765</v>
      </c>
      <c r="K222" s="11">
        <v>46.81821521284855</v>
      </c>
      <c r="L222" s="9">
        <v>0.24660000591291081</v>
      </c>
      <c r="M222" s="11">
        <v>27.876490462630649</v>
      </c>
      <c r="N222" s="11">
        <v>30.664139508893715</v>
      </c>
    </row>
    <row r="223" spans="1:14">
      <c r="A223" t="s">
        <v>1967</v>
      </c>
      <c r="B223" t="s">
        <v>6070</v>
      </c>
      <c r="C223" t="s">
        <v>6071</v>
      </c>
      <c r="D223" t="s">
        <v>11</v>
      </c>
      <c r="E223" t="s">
        <v>13</v>
      </c>
      <c r="F223" t="s">
        <v>1970</v>
      </c>
      <c r="G223" t="s">
        <v>12</v>
      </c>
      <c r="I223" t="s">
        <v>6070</v>
      </c>
      <c r="J223" t="s">
        <v>7766</v>
      </c>
      <c r="K223" s="11">
        <v>74.28777817777879</v>
      </c>
      <c r="L223" s="9">
        <v>0.32093648565823479</v>
      </c>
      <c r="M223" s="11">
        <v>30.396574523777375</v>
      </c>
      <c r="N223" s="11">
        <v>33.436231976155113</v>
      </c>
    </row>
    <row r="224" spans="1:14">
      <c r="A224" t="s">
        <v>1967</v>
      </c>
      <c r="B224" t="s">
        <v>6072</v>
      </c>
      <c r="C224" t="s">
        <v>6073</v>
      </c>
      <c r="D224" t="s">
        <v>11</v>
      </c>
      <c r="E224" t="s">
        <v>13</v>
      </c>
      <c r="F224" t="s">
        <v>1970</v>
      </c>
      <c r="G224" t="s">
        <v>12</v>
      </c>
      <c r="I224" t="s">
        <v>6072</v>
      </c>
      <c r="J224" t="s">
        <v>7767</v>
      </c>
      <c r="K224" s="10">
        <v>102.70600390495548</v>
      </c>
      <c r="L224" s="9">
        <v>0.2657493829852271</v>
      </c>
      <c r="M224" s="11">
        <v>24.9953649467368</v>
      </c>
      <c r="N224" s="11">
        <v>27.49490144141048</v>
      </c>
    </row>
    <row r="225" spans="1:14">
      <c r="A225" t="s">
        <v>1967</v>
      </c>
      <c r="B225" t="s">
        <v>6074</v>
      </c>
      <c r="C225" t="s">
        <v>6075</v>
      </c>
      <c r="D225" t="s">
        <v>11</v>
      </c>
      <c r="E225" t="s">
        <v>13</v>
      </c>
      <c r="F225" t="s">
        <v>1970</v>
      </c>
      <c r="G225" t="s">
        <v>12</v>
      </c>
      <c r="I225" t="s">
        <v>6074</v>
      </c>
      <c r="J225" t="s">
        <v>7768</v>
      </c>
      <c r="K225" s="11">
        <v>64.174490170209936</v>
      </c>
      <c r="L225" s="9">
        <v>0.42373956287181291</v>
      </c>
      <c r="M225" s="11">
        <v>32.375248135768572</v>
      </c>
      <c r="N225" s="11">
        <v>35.612772949345434</v>
      </c>
    </row>
    <row r="226" spans="1:14">
      <c r="A226" t="s">
        <v>1967</v>
      </c>
      <c r="B226" t="s">
        <v>6076</v>
      </c>
      <c r="C226" t="s">
        <v>6077</v>
      </c>
      <c r="D226" t="s">
        <v>11</v>
      </c>
      <c r="E226" t="s">
        <v>13</v>
      </c>
      <c r="F226" t="s">
        <v>1970</v>
      </c>
      <c r="G226" t="s">
        <v>12</v>
      </c>
      <c r="I226" t="s">
        <v>6076</v>
      </c>
      <c r="J226" t="s">
        <v>7769</v>
      </c>
      <c r="K226" s="10">
        <v>106.72969327836402</v>
      </c>
      <c r="L226" s="9">
        <v>0.31910163752116422</v>
      </c>
      <c r="M226" s="11">
        <v>19.588528443590128</v>
      </c>
      <c r="N226" s="11">
        <v>21.547381287949143</v>
      </c>
    </row>
    <row r="227" spans="1:14">
      <c r="A227" t="s">
        <v>1967</v>
      </c>
      <c r="B227" t="s">
        <v>6078</v>
      </c>
      <c r="C227" t="s">
        <v>6079</v>
      </c>
      <c r="D227" t="s">
        <v>11</v>
      </c>
      <c r="E227" t="s">
        <v>13</v>
      </c>
      <c r="F227" t="s">
        <v>1970</v>
      </c>
      <c r="G227" t="s">
        <v>12</v>
      </c>
      <c r="I227" t="s">
        <v>6078</v>
      </c>
      <c r="J227" t="s">
        <v>7770</v>
      </c>
      <c r="K227" s="11">
        <v>99.917790836271365</v>
      </c>
      <c r="L227" s="9">
        <v>0.31012773326896348</v>
      </c>
      <c r="M227" s="11">
        <v>23.174361337427761</v>
      </c>
      <c r="N227" s="11">
        <v>25.491797471170539</v>
      </c>
    </row>
    <row r="228" spans="1:14">
      <c r="A228" t="s">
        <v>1967</v>
      </c>
      <c r="B228" t="s">
        <v>6080</v>
      </c>
      <c r="C228" t="s">
        <v>6081</v>
      </c>
      <c r="D228" t="s">
        <v>11</v>
      </c>
      <c r="E228" t="s">
        <v>13</v>
      </c>
      <c r="F228" t="s">
        <v>1970</v>
      </c>
      <c r="G228" t="s">
        <v>12</v>
      </c>
      <c r="I228" t="s">
        <v>6080</v>
      </c>
      <c r="J228" t="s">
        <v>7771</v>
      </c>
      <c r="K228" s="11">
        <v>79.45783534638322</v>
      </c>
      <c r="L228" s="9">
        <v>0.1727566440086778</v>
      </c>
      <c r="M228" s="11">
        <v>37.807067096871634</v>
      </c>
      <c r="N228" s="11">
        <v>41.587773806558801</v>
      </c>
    </row>
    <row r="229" spans="1:14">
      <c r="A229" t="s">
        <v>1967</v>
      </c>
      <c r="B229" t="s">
        <v>6082</v>
      </c>
      <c r="C229" t="s">
        <v>6083</v>
      </c>
      <c r="D229" t="s">
        <v>11</v>
      </c>
      <c r="E229" t="s">
        <v>13</v>
      </c>
      <c r="F229" t="s">
        <v>1970</v>
      </c>
      <c r="G229" t="s">
        <v>12</v>
      </c>
      <c r="I229" t="s">
        <v>6082</v>
      </c>
      <c r="J229" t="s">
        <v>7772</v>
      </c>
      <c r="K229" s="10">
        <v>172.45452384281958</v>
      </c>
      <c r="L229" s="9">
        <v>0.24044127410998331</v>
      </c>
      <c r="M229" s="11">
        <v>21.961871103235616</v>
      </c>
      <c r="N229" s="11">
        <v>24.15805821355918</v>
      </c>
    </row>
    <row r="230" spans="1:14">
      <c r="A230" t="s">
        <v>1967</v>
      </c>
      <c r="B230" t="s">
        <v>6084</v>
      </c>
      <c r="C230" t="s">
        <v>6085</v>
      </c>
      <c r="D230" t="s">
        <v>11</v>
      </c>
      <c r="E230" t="s">
        <v>13</v>
      </c>
      <c r="F230" t="s">
        <v>1970</v>
      </c>
      <c r="G230" t="s">
        <v>12</v>
      </c>
      <c r="I230" t="s">
        <v>6084</v>
      </c>
      <c r="J230" t="s">
        <v>7773</v>
      </c>
      <c r="K230" s="11">
        <v>88.958312990046451</v>
      </c>
      <c r="L230" s="9">
        <v>0.16498047060731649</v>
      </c>
      <c r="M230" s="11">
        <v>15.711412558501657</v>
      </c>
      <c r="N230" s="11">
        <v>17.282553814351825</v>
      </c>
    </row>
    <row r="231" spans="1:14">
      <c r="A231" t="s">
        <v>1967</v>
      </c>
      <c r="B231" t="s">
        <v>6086</v>
      </c>
      <c r="C231" t="s">
        <v>6087</v>
      </c>
      <c r="D231" t="s">
        <v>11</v>
      </c>
      <c r="E231" t="s">
        <v>13</v>
      </c>
      <c r="F231" t="s">
        <v>1970</v>
      </c>
      <c r="G231" t="s">
        <v>12</v>
      </c>
      <c r="I231" t="s">
        <v>6086</v>
      </c>
      <c r="J231" t="s">
        <v>7774</v>
      </c>
      <c r="K231" s="9">
        <v>1.0730796020277122</v>
      </c>
      <c r="L231" s="9">
        <v>0.15230927768991989</v>
      </c>
      <c r="M231" s="11">
        <v>26.595004833200608</v>
      </c>
      <c r="N231" s="11">
        <v>29.254505316520671</v>
      </c>
    </row>
    <row r="232" spans="1:14">
      <c r="A232" t="s">
        <v>1967</v>
      </c>
      <c r="B232" t="s">
        <v>6088</v>
      </c>
      <c r="C232" t="s">
        <v>6089</v>
      </c>
      <c r="D232" t="s">
        <v>11</v>
      </c>
      <c r="E232" t="s">
        <v>13</v>
      </c>
      <c r="F232" t="s">
        <v>1970</v>
      </c>
      <c r="G232" t="s">
        <v>12</v>
      </c>
      <c r="I232" t="s">
        <v>6088</v>
      </c>
      <c r="J232" t="s">
        <v>7775</v>
      </c>
      <c r="K232" s="11">
        <v>16.109445770287728</v>
      </c>
      <c r="L232" s="9">
        <v>0.1891358455589657</v>
      </c>
      <c r="M232" s="11">
        <v>66.302296617690047</v>
      </c>
      <c r="N232" s="11">
        <v>72.932526279459054</v>
      </c>
    </row>
    <row r="233" spans="1:14">
      <c r="A233" t="s">
        <v>1967</v>
      </c>
      <c r="B233" t="s">
        <v>6090</v>
      </c>
      <c r="C233" t="s">
        <v>6091</v>
      </c>
      <c r="D233" t="s">
        <v>11</v>
      </c>
      <c r="E233" t="s">
        <v>13</v>
      </c>
      <c r="F233" t="s">
        <v>1970</v>
      </c>
      <c r="G233" t="s">
        <v>12</v>
      </c>
      <c r="I233" t="s">
        <v>6090</v>
      </c>
      <c r="J233" t="s">
        <v>7776</v>
      </c>
      <c r="K233" s="11">
        <v>21.966861135014231</v>
      </c>
      <c r="L233" s="9">
        <v>0.4997339041715827</v>
      </c>
      <c r="M233" s="11">
        <v>44.03024843666249</v>
      </c>
      <c r="N233" s="11">
        <v>48.433273280328741</v>
      </c>
    </row>
    <row r="234" spans="1:14">
      <c r="A234" t="s">
        <v>1967</v>
      </c>
      <c r="B234" t="s">
        <v>6092</v>
      </c>
      <c r="C234" t="s">
        <v>6093</v>
      </c>
      <c r="D234" t="s">
        <v>11</v>
      </c>
      <c r="E234" t="s">
        <v>13</v>
      </c>
      <c r="F234" t="s">
        <v>1970</v>
      </c>
      <c r="G234" t="s">
        <v>12</v>
      </c>
      <c r="I234" t="s">
        <v>6092</v>
      </c>
      <c r="J234" t="s">
        <v>7777</v>
      </c>
      <c r="K234" s="11">
        <v>22.839178789689871</v>
      </c>
      <c r="L234" s="9">
        <v>0.50971216940895026</v>
      </c>
      <c r="M234" s="11">
        <v>47.932103857892258</v>
      </c>
      <c r="N234" s="11">
        <v>52.725314243681488</v>
      </c>
    </row>
    <row r="235" spans="1:14">
      <c r="A235" t="s">
        <v>1967</v>
      </c>
      <c r="B235" t="s">
        <v>6094</v>
      </c>
      <c r="C235" t="s">
        <v>6095</v>
      </c>
      <c r="D235" t="s">
        <v>11</v>
      </c>
      <c r="E235" t="s">
        <v>13</v>
      </c>
      <c r="F235" t="s">
        <v>1970</v>
      </c>
      <c r="G235" t="s">
        <v>12</v>
      </c>
      <c r="I235" t="s">
        <v>6094</v>
      </c>
      <c r="J235" t="s">
        <v>7778</v>
      </c>
      <c r="K235" s="11">
        <v>20.918212086783637</v>
      </c>
      <c r="L235" s="9">
        <v>0.50614418031634123</v>
      </c>
      <c r="M235" s="11">
        <v>42.332848186796198</v>
      </c>
      <c r="N235" s="11">
        <v>46.56613300547582</v>
      </c>
    </row>
    <row r="236" spans="1:14">
      <c r="A236" t="s">
        <v>1967</v>
      </c>
      <c r="B236" t="s">
        <v>6096</v>
      </c>
      <c r="C236" t="s">
        <v>6097</v>
      </c>
      <c r="D236" t="s">
        <v>11</v>
      </c>
      <c r="E236" t="s">
        <v>13</v>
      </c>
      <c r="F236" t="s">
        <v>1970</v>
      </c>
      <c r="G236" t="s">
        <v>12</v>
      </c>
      <c r="I236" t="s">
        <v>6096</v>
      </c>
      <c r="J236" t="s">
        <v>7779</v>
      </c>
      <c r="K236" s="11">
        <v>49.137295538474341</v>
      </c>
      <c r="L236" s="9">
        <v>0.46880825997650499</v>
      </c>
      <c r="M236" s="11">
        <v>34.573046522195263</v>
      </c>
      <c r="N236" s="11">
        <v>38.03035117441479</v>
      </c>
    </row>
    <row r="237" spans="1:14">
      <c r="A237" t="s">
        <v>1967</v>
      </c>
      <c r="B237" t="s">
        <v>6098</v>
      </c>
      <c r="C237" t="s">
        <v>6099</v>
      </c>
      <c r="D237" t="s">
        <v>11</v>
      </c>
      <c r="E237" t="s">
        <v>13</v>
      </c>
      <c r="F237" t="s">
        <v>1970</v>
      </c>
      <c r="G237" t="s">
        <v>12</v>
      </c>
      <c r="I237" t="s">
        <v>6098</v>
      </c>
      <c r="J237" t="s">
        <v>7780</v>
      </c>
      <c r="K237" s="9">
        <v>1.279595941194194</v>
      </c>
      <c r="L237" s="9">
        <v>0.2063499436703182</v>
      </c>
      <c r="M237" s="11">
        <v>15.072769984541974</v>
      </c>
      <c r="N237" s="11">
        <v>16.580046982996173</v>
      </c>
    </row>
    <row r="238" spans="1:14">
      <c r="A238" t="s">
        <v>1967</v>
      </c>
      <c r="B238" t="s">
        <v>6100</v>
      </c>
      <c r="C238" t="s">
        <v>6101</v>
      </c>
      <c r="D238" t="s">
        <v>11</v>
      </c>
      <c r="E238" t="s">
        <v>13</v>
      </c>
      <c r="F238" t="s">
        <v>1970</v>
      </c>
      <c r="G238" t="s">
        <v>12</v>
      </c>
      <c r="I238" t="s">
        <v>6100</v>
      </c>
      <c r="J238" t="s">
        <v>7781</v>
      </c>
      <c r="K238" s="9">
        <v>0.49488373238959288</v>
      </c>
      <c r="L238" s="9">
        <v>0.2080587400184607</v>
      </c>
      <c r="M238" s="11">
        <v>33.28962746342409</v>
      </c>
      <c r="N238" s="11">
        <v>36.618590209766502</v>
      </c>
    </row>
    <row r="239" spans="1:14">
      <c r="A239" t="s">
        <v>1967</v>
      </c>
      <c r="B239" t="s">
        <v>6102</v>
      </c>
      <c r="C239" t="s">
        <v>6103</v>
      </c>
      <c r="D239" t="s">
        <v>11</v>
      </c>
      <c r="E239" t="s">
        <v>13</v>
      </c>
      <c r="F239" t="s">
        <v>1970</v>
      </c>
      <c r="G239" t="s">
        <v>12</v>
      </c>
      <c r="I239" t="s">
        <v>6102</v>
      </c>
      <c r="J239" t="s">
        <v>7782</v>
      </c>
      <c r="K239" s="9">
        <v>0.30730422903082394</v>
      </c>
      <c r="L239" s="9">
        <v>0.1016653913270292</v>
      </c>
      <c r="M239" s="11">
        <v>55.167495353010743</v>
      </c>
      <c r="N239" s="11">
        <v>60.684244888311824</v>
      </c>
    </row>
    <row r="240" spans="1:14">
      <c r="A240" t="s">
        <v>1967</v>
      </c>
      <c r="B240" t="s">
        <v>6104</v>
      </c>
      <c r="C240" t="s">
        <v>6105</v>
      </c>
      <c r="D240" t="s">
        <v>11</v>
      </c>
      <c r="E240" t="s">
        <v>13</v>
      </c>
      <c r="F240" t="s">
        <v>1970</v>
      </c>
      <c r="G240" t="s">
        <v>12</v>
      </c>
      <c r="I240" t="s">
        <v>6104</v>
      </c>
      <c r="J240" t="s">
        <v>7783</v>
      </c>
      <c r="K240" s="9">
        <v>6.8430234915393156</v>
      </c>
      <c r="L240" s="9">
        <v>0.1520510380862149</v>
      </c>
      <c r="M240" s="11">
        <v>18.765776012645368</v>
      </c>
      <c r="N240" s="11">
        <v>20.642353613909908</v>
      </c>
    </row>
    <row r="241" spans="1:14">
      <c r="A241" t="s">
        <v>1967</v>
      </c>
      <c r="B241" t="s">
        <v>6106</v>
      </c>
      <c r="C241" t="s">
        <v>6107</v>
      </c>
      <c r="D241" t="s">
        <v>11</v>
      </c>
      <c r="E241" t="s">
        <v>13</v>
      </c>
      <c r="F241" t="s">
        <v>1970</v>
      </c>
      <c r="G241" t="s">
        <v>12</v>
      </c>
      <c r="I241" t="s">
        <v>6106</v>
      </c>
      <c r="J241" t="s">
        <v>7784</v>
      </c>
      <c r="K241" s="11">
        <v>38.566850937358645</v>
      </c>
      <c r="L241" s="9">
        <v>0.2977480251668263</v>
      </c>
      <c r="M241" s="11">
        <v>70.793527317517984</v>
      </c>
      <c r="N241" s="11">
        <v>77.872880049269796</v>
      </c>
    </row>
    <row r="242" spans="1:14">
      <c r="A242" t="s">
        <v>1967</v>
      </c>
      <c r="B242" t="s">
        <v>6108</v>
      </c>
      <c r="C242" t="s">
        <v>6109</v>
      </c>
      <c r="D242" t="s">
        <v>11</v>
      </c>
      <c r="E242" t="s">
        <v>13</v>
      </c>
      <c r="F242" t="s">
        <v>1970</v>
      </c>
      <c r="G242" t="s">
        <v>12</v>
      </c>
      <c r="I242" t="s">
        <v>6108</v>
      </c>
      <c r="J242" t="s">
        <v>7785</v>
      </c>
      <c r="K242" s="11">
        <v>21.441413037950792</v>
      </c>
      <c r="L242" s="9">
        <v>0.20303130232225919</v>
      </c>
      <c r="M242" s="11">
        <v>27.295509486696631</v>
      </c>
      <c r="N242" s="11">
        <v>30.025060435366296</v>
      </c>
    </row>
    <row r="243" spans="1:14">
      <c r="A243" t="s">
        <v>1967</v>
      </c>
      <c r="B243" t="s">
        <v>6110</v>
      </c>
      <c r="C243" t="s">
        <v>6111</v>
      </c>
      <c r="D243" t="s">
        <v>11</v>
      </c>
      <c r="E243" t="s">
        <v>13</v>
      </c>
      <c r="F243" t="s">
        <v>1970</v>
      </c>
      <c r="G243" t="s">
        <v>12</v>
      </c>
      <c r="I243" t="s">
        <v>6110</v>
      </c>
      <c r="J243" t="s">
        <v>7786</v>
      </c>
      <c r="K243" s="10">
        <v>146.53466784608869</v>
      </c>
      <c r="L243" s="9">
        <v>0.37697990976264012</v>
      </c>
      <c r="M243" s="10">
        <v>500.8807012164437</v>
      </c>
      <c r="N243" s="10">
        <v>550.96877133808812</v>
      </c>
    </row>
    <row r="244" spans="1:14">
      <c r="A244" t="s">
        <v>1967</v>
      </c>
      <c r="B244" t="s">
        <v>6112</v>
      </c>
      <c r="C244" t="s">
        <v>6113</v>
      </c>
      <c r="D244" t="s">
        <v>11</v>
      </c>
      <c r="E244" t="s">
        <v>13</v>
      </c>
      <c r="F244" t="s">
        <v>1970</v>
      </c>
      <c r="G244" t="s">
        <v>12</v>
      </c>
      <c r="I244" t="s">
        <v>6112</v>
      </c>
      <c r="J244" t="s">
        <v>7787</v>
      </c>
      <c r="K244" s="10">
        <v>261.58248492426549</v>
      </c>
      <c r="L244" s="9">
        <v>0.39366551283537421</v>
      </c>
      <c r="M244" s="10">
        <v>247.54239014671629</v>
      </c>
      <c r="N244" s="10">
        <v>272.29662916138795</v>
      </c>
    </row>
    <row r="245" spans="1:14">
      <c r="A245" t="s">
        <v>1967</v>
      </c>
      <c r="B245" t="s">
        <v>6114</v>
      </c>
      <c r="C245" t="s">
        <v>6115</v>
      </c>
      <c r="D245" t="s">
        <v>11</v>
      </c>
      <c r="E245" t="s">
        <v>13</v>
      </c>
      <c r="F245" t="s">
        <v>1970</v>
      </c>
      <c r="G245" t="s">
        <v>12</v>
      </c>
      <c r="I245" t="s">
        <v>6114</v>
      </c>
      <c r="J245" t="s">
        <v>7788</v>
      </c>
      <c r="K245" s="10">
        <v>188.98187635856306</v>
      </c>
      <c r="L245" s="9">
        <v>0.2373351191240666</v>
      </c>
      <c r="M245" s="10">
        <v>417.07127983986624</v>
      </c>
      <c r="N245" s="10">
        <v>458.77840782385289</v>
      </c>
    </row>
    <row r="246" spans="1:14">
      <c r="A246" t="s">
        <v>1967</v>
      </c>
      <c r="B246" t="s">
        <v>6116</v>
      </c>
      <c r="C246" t="s">
        <v>6117</v>
      </c>
      <c r="D246" t="s">
        <v>11</v>
      </c>
      <c r="E246" t="s">
        <v>13</v>
      </c>
      <c r="F246" t="s">
        <v>1970</v>
      </c>
      <c r="G246" t="s">
        <v>12</v>
      </c>
      <c r="I246" t="s">
        <v>6116</v>
      </c>
      <c r="J246" t="s">
        <v>7789</v>
      </c>
      <c r="K246" s="10">
        <v>165.87490953452345</v>
      </c>
      <c r="L246" s="9">
        <v>0.2035972982097044</v>
      </c>
      <c r="M246" s="10">
        <v>271.92689825805911</v>
      </c>
      <c r="N246" s="10">
        <v>299.11958808386504</v>
      </c>
    </row>
    <row r="247" spans="1:14">
      <c r="A247" t="s">
        <v>1967</v>
      </c>
      <c r="B247" t="s">
        <v>6118</v>
      </c>
      <c r="C247" t="s">
        <v>6117</v>
      </c>
      <c r="D247" t="s">
        <v>11</v>
      </c>
      <c r="E247" t="s">
        <v>13</v>
      </c>
      <c r="F247" t="s">
        <v>1970</v>
      </c>
      <c r="G247" t="s">
        <v>12</v>
      </c>
      <c r="I247" t="s">
        <v>6118</v>
      </c>
      <c r="J247" t="s">
        <v>7790</v>
      </c>
      <c r="K247" s="10">
        <v>289.77534959398048</v>
      </c>
      <c r="L247" s="9">
        <v>0.32848456747037719</v>
      </c>
      <c r="M247" s="10">
        <v>313.89068127299942</v>
      </c>
      <c r="N247" s="10">
        <v>345.27974940029941</v>
      </c>
    </row>
    <row r="248" spans="1:14">
      <c r="A248" t="s">
        <v>1967</v>
      </c>
      <c r="B248" t="s">
        <v>6119</v>
      </c>
      <c r="C248" t="s">
        <v>6120</v>
      </c>
      <c r="D248" t="s">
        <v>11</v>
      </c>
      <c r="E248" t="s">
        <v>13</v>
      </c>
      <c r="F248" t="s">
        <v>1970</v>
      </c>
      <c r="G248" t="s">
        <v>12</v>
      </c>
      <c r="I248" t="s">
        <v>6119</v>
      </c>
      <c r="J248" t="s">
        <v>7791</v>
      </c>
      <c r="K248" s="10">
        <v>418.15632255967483</v>
      </c>
      <c r="L248" s="9">
        <v>0.39463043815567439</v>
      </c>
      <c r="M248" s="10">
        <v>276.10846275349468</v>
      </c>
      <c r="N248" s="10">
        <v>303.71930902884418</v>
      </c>
    </row>
    <row r="249" spans="1:14">
      <c r="A249" t="s">
        <v>1967</v>
      </c>
      <c r="B249" t="s">
        <v>6121</v>
      </c>
      <c r="C249" t="s">
        <v>6117</v>
      </c>
      <c r="D249" t="s">
        <v>11</v>
      </c>
      <c r="E249" t="s">
        <v>13</v>
      </c>
      <c r="F249" t="s">
        <v>1970</v>
      </c>
      <c r="G249" t="s">
        <v>12</v>
      </c>
      <c r="I249" t="s">
        <v>6121</v>
      </c>
      <c r="J249" t="s">
        <v>7792</v>
      </c>
      <c r="K249" s="10">
        <v>110.84392867921285</v>
      </c>
      <c r="L249" s="9">
        <v>0.2636412750406904</v>
      </c>
      <c r="M249" s="10">
        <v>264.90261647245381</v>
      </c>
      <c r="N249" s="10">
        <v>291.39287811969922</v>
      </c>
    </row>
    <row r="250" spans="1:14">
      <c r="A250" t="s">
        <v>1967</v>
      </c>
      <c r="B250" t="s">
        <v>6122</v>
      </c>
      <c r="C250" t="s">
        <v>6117</v>
      </c>
      <c r="D250" t="s">
        <v>11</v>
      </c>
      <c r="E250" t="s">
        <v>13</v>
      </c>
      <c r="F250" t="s">
        <v>1970</v>
      </c>
      <c r="G250" t="s">
        <v>12</v>
      </c>
      <c r="I250" t="s">
        <v>6122</v>
      </c>
      <c r="J250" t="s">
        <v>7793</v>
      </c>
      <c r="K250" s="10">
        <v>203.30040961233982</v>
      </c>
      <c r="L250" s="9">
        <v>0.29875720464417288</v>
      </c>
      <c r="M250" s="10">
        <v>418.70170302887448</v>
      </c>
      <c r="N250" s="10">
        <v>460.57187333176194</v>
      </c>
    </row>
    <row r="251" spans="1:14">
      <c r="A251" t="s">
        <v>1967</v>
      </c>
      <c r="B251" t="s">
        <v>6123</v>
      </c>
      <c r="C251" t="s">
        <v>6124</v>
      </c>
      <c r="D251" t="s">
        <v>11</v>
      </c>
      <c r="E251" t="s">
        <v>13</v>
      </c>
      <c r="F251" t="s">
        <v>1970</v>
      </c>
      <c r="G251" t="s">
        <v>12</v>
      </c>
      <c r="I251" t="s">
        <v>6123</v>
      </c>
      <c r="J251" t="s">
        <v>7794</v>
      </c>
      <c r="K251" s="10">
        <v>261.65925164516523</v>
      </c>
      <c r="L251" s="9">
        <v>0.35881409299412848</v>
      </c>
      <c r="M251" s="10">
        <v>237.47520271704329</v>
      </c>
      <c r="N251" s="10">
        <v>261.22272298874765</v>
      </c>
    </row>
    <row r="252" spans="1:14">
      <c r="A252" t="s">
        <v>1967</v>
      </c>
      <c r="B252" t="s">
        <v>6125</v>
      </c>
      <c r="C252" t="s">
        <v>6120</v>
      </c>
      <c r="D252" t="s">
        <v>11</v>
      </c>
      <c r="E252" t="s">
        <v>13</v>
      </c>
      <c r="F252" t="s">
        <v>1970</v>
      </c>
      <c r="G252" t="s">
        <v>12</v>
      </c>
      <c r="I252" t="s">
        <v>6125</v>
      </c>
      <c r="J252" t="s">
        <v>7795</v>
      </c>
      <c r="K252" s="10">
        <v>415.46473459267042</v>
      </c>
      <c r="L252" s="9">
        <v>0.39061699342394229</v>
      </c>
      <c r="M252" s="10">
        <v>251.53732528790707</v>
      </c>
      <c r="N252" s="10">
        <v>276.69105781669782</v>
      </c>
    </row>
    <row r="253" spans="1:14">
      <c r="A253" t="s">
        <v>1967</v>
      </c>
      <c r="B253" t="s">
        <v>6126</v>
      </c>
      <c r="C253" t="s">
        <v>6127</v>
      </c>
      <c r="D253" t="s">
        <v>11</v>
      </c>
      <c r="E253" t="s">
        <v>13</v>
      </c>
      <c r="F253" t="s">
        <v>1970</v>
      </c>
      <c r="G253" t="s">
        <v>12</v>
      </c>
      <c r="I253" t="s">
        <v>6126</v>
      </c>
      <c r="J253" t="s">
        <v>7796</v>
      </c>
      <c r="K253" s="10">
        <v>233.04347735107515</v>
      </c>
      <c r="L253" s="9">
        <v>0.35151513661452322</v>
      </c>
      <c r="M253" s="10">
        <v>122.17604038543359</v>
      </c>
      <c r="N253" s="10">
        <v>134.39364442397695</v>
      </c>
    </row>
    <row r="254" spans="1:14">
      <c r="A254" t="s">
        <v>1967</v>
      </c>
      <c r="B254" t="s">
        <v>6128</v>
      </c>
      <c r="C254" t="s">
        <v>6129</v>
      </c>
      <c r="D254" t="s">
        <v>11</v>
      </c>
      <c r="E254" t="s">
        <v>13</v>
      </c>
      <c r="F254" t="s">
        <v>1970</v>
      </c>
      <c r="G254" t="s">
        <v>12</v>
      </c>
      <c r="I254" t="s">
        <v>6128</v>
      </c>
      <c r="J254" t="s">
        <v>7797</v>
      </c>
      <c r="K254" s="11">
        <v>74.818998760789313</v>
      </c>
      <c r="L254" s="9">
        <v>0.33424622460469861</v>
      </c>
      <c r="M254" s="11">
        <v>51.448608064109962</v>
      </c>
      <c r="N254" s="11">
        <v>56.593468870520965</v>
      </c>
    </row>
    <row r="255" spans="1:14">
      <c r="A255" t="s">
        <v>1967</v>
      </c>
      <c r="B255" t="s">
        <v>6130</v>
      </c>
      <c r="C255" t="s">
        <v>6131</v>
      </c>
      <c r="D255" t="s">
        <v>11</v>
      </c>
      <c r="E255" t="s">
        <v>13</v>
      </c>
      <c r="F255" t="s">
        <v>1970</v>
      </c>
      <c r="G255" t="s">
        <v>12</v>
      </c>
      <c r="I255" t="s">
        <v>6130</v>
      </c>
      <c r="J255" t="s">
        <v>7798</v>
      </c>
      <c r="K255" s="10">
        <v>369.29280010302057</v>
      </c>
      <c r="L255" s="9">
        <v>0.37251473829673559</v>
      </c>
      <c r="M255" s="10">
        <v>141.12494850715365</v>
      </c>
      <c r="N255" s="10">
        <v>155.23744335786901</v>
      </c>
    </row>
    <row r="256" spans="1:14">
      <c r="A256" t="s">
        <v>1967</v>
      </c>
      <c r="B256" t="s">
        <v>6132</v>
      </c>
      <c r="C256" t="s">
        <v>6133</v>
      </c>
      <c r="D256" t="s">
        <v>11</v>
      </c>
      <c r="E256" t="s">
        <v>13</v>
      </c>
      <c r="F256" t="s">
        <v>1970</v>
      </c>
      <c r="G256" t="s">
        <v>12</v>
      </c>
      <c r="I256" t="s">
        <v>6132</v>
      </c>
      <c r="J256" t="s">
        <v>7799</v>
      </c>
      <c r="K256" s="9">
        <v>5.6092161448325859</v>
      </c>
      <c r="L256" s="9">
        <v>0.15868065252709571</v>
      </c>
      <c r="M256" s="10">
        <v>1126.3516179249673</v>
      </c>
      <c r="N256" s="10">
        <v>1238.9867797174641</v>
      </c>
    </row>
    <row r="257" spans="1:14">
      <c r="A257" t="s">
        <v>1967</v>
      </c>
      <c r="B257" t="s">
        <v>6134</v>
      </c>
      <c r="C257" t="s">
        <v>6133</v>
      </c>
      <c r="D257" t="s">
        <v>11</v>
      </c>
      <c r="E257" t="s">
        <v>13</v>
      </c>
      <c r="F257" t="s">
        <v>1970</v>
      </c>
      <c r="G257" t="s">
        <v>12</v>
      </c>
      <c r="I257" t="s">
        <v>6134</v>
      </c>
      <c r="J257" t="s">
        <v>7800</v>
      </c>
      <c r="K257" s="9">
        <v>4.8960267674165276</v>
      </c>
      <c r="L257" s="9">
        <v>0.17769807774578389</v>
      </c>
      <c r="M257" s="10">
        <v>1090.0151338140809</v>
      </c>
      <c r="N257" s="10">
        <v>1199.016647195489</v>
      </c>
    </row>
    <row r="258" spans="1:14">
      <c r="A258" t="s">
        <v>1967</v>
      </c>
      <c r="B258" t="s">
        <v>6135</v>
      </c>
      <c r="C258" t="s">
        <v>6136</v>
      </c>
      <c r="D258" t="s">
        <v>11</v>
      </c>
      <c r="E258" t="s">
        <v>13</v>
      </c>
      <c r="F258" t="s">
        <v>1970</v>
      </c>
      <c r="G258" t="s">
        <v>12</v>
      </c>
      <c r="I258" t="s">
        <v>6135</v>
      </c>
      <c r="J258" t="s">
        <v>7801</v>
      </c>
      <c r="K258" s="9">
        <v>3.1728079741943627</v>
      </c>
      <c r="L258" s="9">
        <v>0.142979030736575</v>
      </c>
      <c r="M258" s="11">
        <v>56.760719046942256</v>
      </c>
      <c r="N258" s="11">
        <v>62.436790951636489</v>
      </c>
    </row>
    <row r="259" spans="1:14">
      <c r="A259" t="s">
        <v>1967</v>
      </c>
      <c r="B259" t="s">
        <v>6137</v>
      </c>
      <c r="C259" t="s">
        <v>6133</v>
      </c>
      <c r="D259" t="s">
        <v>11</v>
      </c>
      <c r="E259" t="s">
        <v>13</v>
      </c>
      <c r="F259" t="s">
        <v>1970</v>
      </c>
      <c r="G259" t="s">
        <v>12</v>
      </c>
      <c r="I259" t="s">
        <v>6137</v>
      </c>
      <c r="J259" t="s">
        <v>7802</v>
      </c>
      <c r="K259" s="9">
        <v>1.8825657929377209</v>
      </c>
      <c r="L259" s="9">
        <v>0.12518033140190379</v>
      </c>
      <c r="M259" s="11">
        <v>62.08674217476127</v>
      </c>
      <c r="N259" s="11">
        <v>68.295416392237399</v>
      </c>
    </row>
    <row r="260" spans="1:14">
      <c r="A260" t="s">
        <v>1967</v>
      </c>
      <c r="B260" t="s">
        <v>6138</v>
      </c>
      <c r="C260" t="s">
        <v>6139</v>
      </c>
      <c r="D260" t="s">
        <v>11</v>
      </c>
      <c r="E260" t="s">
        <v>13</v>
      </c>
      <c r="F260" t="s">
        <v>1970</v>
      </c>
      <c r="G260" t="s">
        <v>12</v>
      </c>
      <c r="I260" t="s">
        <v>6138</v>
      </c>
      <c r="J260" t="s">
        <v>7803</v>
      </c>
      <c r="K260" s="10">
        <v>101.43310247373769</v>
      </c>
      <c r="L260" s="9">
        <v>0.24935390064294891</v>
      </c>
      <c r="M260" s="10">
        <v>342.30304881636744</v>
      </c>
      <c r="N260" s="10">
        <v>376.53335369800419</v>
      </c>
    </row>
    <row r="261" spans="1:14">
      <c r="A261" t="s">
        <v>1967</v>
      </c>
      <c r="B261" t="s">
        <v>6140</v>
      </c>
      <c r="C261" t="s">
        <v>6141</v>
      </c>
      <c r="D261" t="s">
        <v>11</v>
      </c>
      <c r="E261" t="s">
        <v>13</v>
      </c>
      <c r="F261" t="s">
        <v>1970</v>
      </c>
      <c r="G261" t="s">
        <v>12</v>
      </c>
      <c r="I261" t="s">
        <v>6140</v>
      </c>
      <c r="J261" t="s">
        <v>7804</v>
      </c>
      <c r="K261" s="10">
        <v>158.59988956094952</v>
      </c>
      <c r="L261" s="9">
        <v>0.36730237436098351</v>
      </c>
      <c r="M261" s="10">
        <v>489.33868742010776</v>
      </c>
      <c r="N261" s="10">
        <v>538.27255616211858</v>
      </c>
    </row>
    <row r="262" spans="1:14">
      <c r="A262" t="s">
        <v>1967</v>
      </c>
      <c r="B262" t="s">
        <v>6142</v>
      </c>
      <c r="C262" t="s">
        <v>6141</v>
      </c>
      <c r="D262" t="s">
        <v>11</v>
      </c>
      <c r="E262" t="s">
        <v>13</v>
      </c>
      <c r="F262" t="s">
        <v>1970</v>
      </c>
      <c r="G262" t="s">
        <v>12</v>
      </c>
      <c r="I262" t="s">
        <v>6142</v>
      </c>
      <c r="J262" t="s">
        <v>7805</v>
      </c>
      <c r="K262" s="10">
        <v>146.89285320554191</v>
      </c>
      <c r="L262" s="9">
        <v>0.37752670333672789</v>
      </c>
      <c r="M262" s="10">
        <v>319.16844231531638</v>
      </c>
      <c r="N262" s="10">
        <v>351.08528654684807</v>
      </c>
    </row>
    <row r="263" spans="1:14">
      <c r="A263" t="s">
        <v>1967</v>
      </c>
      <c r="B263" t="s">
        <v>6143</v>
      </c>
      <c r="C263" t="s">
        <v>6144</v>
      </c>
      <c r="D263" t="s">
        <v>11</v>
      </c>
      <c r="E263" t="s">
        <v>13</v>
      </c>
      <c r="F263" t="s">
        <v>1970</v>
      </c>
      <c r="G263" t="s">
        <v>12</v>
      </c>
      <c r="I263" t="s">
        <v>6143</v>
      </c>
      <c r="J263" t="s">
        <v>7806</v>
      </c>
      <c r="K263" s="10">
        <v>166.92099905409074</v>
      </c>
      <c r="L263" s="9">
        <v>0.33656023462626011</v>
      </c>
      <c r="M263" s="10">
        <v>283.21855110249641</v>
      </c>
      <c r="N263" s="10">
        <v>311.54040621274606</v>
      </c>
    </row>
    <row r="264" spans="1:14">
      <c r="A264" t="s">
        <v>1967</v>
      </c>
      <c r="B264" t="s">
        <v>6145</v>
      </c>
      <c r="C264" t="s">
        <v>6146</v>
      </c>
      <c r="D264" t="s">
        <v>11</v>
      </c>
      <c r="E264" t="s">
        <v>13</v>
      </c>
      <c r="F264" t="s">
        <v>1970</v>
      </c>
      <c r="G264" t="s">
        <v>12</v>
      </c>
      <c r="I264" t="s">
        <v>6145</v>
      </c>
      <c r="J264" t="s">
        <v>7807</v>
      </c>
      <c r="K264" s="10">
        <v>107.54850809243945</v>
      </c>
      <c r="L264" s="9">
        <v>0.30969337590095181</v>
      </c>
      <c r="M264" s="10">
        <v>151.53585069607431</v>
      </c>
      <c r="N264" s="10">
        <v>166.68943576568174</v>
      </c>
    </row>
    <row r="265" spans="1:14">
      <c r="A265" t="s">
        <v>1967</v>
      </c>
      <c r="B265" t="s">
        <v>6147</v>
      </c>
      <c r="C265" t="s">
        <v>6148</v>
      </c>
      <c r="D265" t="s">
        <v>11</v>
      </c>
      <c r="E265" t="s">
        <v>13</v>
      </c>
      <c r="F265" t="s">
        <v>1970</v>
      </c>
      <c r="G265" t="s">
        <v>12</v>
      </c>
      <c r="I265" t="s">
        <v>6147</v>
      </c>
      <c r="J265" t="s">
        <v>7808</v>
      </c>
      <c r="K265" s="11">
        <v>53.817128977672589</v>
      </c>
      <c r="L265" s="9">
        <v>0.25409190518728109</v>
      </c>
      <c r="M265" s="11">
        <v>74.84004512481836</v>
      </c>
      <c r="N265" s="11">
        <v>82.324049637300206</v>
      </c>
    </row>
    <row r="266" spans="1:14">
      <c r="A266" t="s">
        <v>1967</v>
      </c>
      <c r="B266" t="s">
        <v>6149</v>
      </c>
      <c r="C266" t="s">
        <v>6150</v>
      </c>
      <c r="D266" t="s">
        <v>11</v>
      </c>
      <c r="E266" t="s">
        <v>13</v>
      </c>
      <c r="F266" t="s">
        <v>1970</v>
      </c>
      <c r="G266" t="s">
        <v>12</v>
      </c>
      <c r="I266" t="s">
        <v>6149</v>
      </c>
      <c r="J266" t="s">
        <v>7809</v>
      </c>
      <c r="K266" s="11">
        <v>72.222921792019946</v>
      </c>
      <c r="L266" s="9">
        <v>0.17714961843614549</v>
      </c>
      <c r="M266" s="10">
        <v>156.1493024366209</v>
      </c>
      <c r="N266" s="10">
        <v>171.76423268028302</v>
      </c>
    </row>
    <row r="267" spans="1:14">
      <c r="A267" t="s">
        <v>1967</v>
      </c>
      <c r="B267" t="s">
        <v>6151</v>
      </c>
      <c r="C267" t="s">
        <v>6152</v>
      </c>
      <c r="D267" t="s">
        <v>11</v>
      </c>
      <c r="E267" t="s">
        <v>13</v>
      </c>
      <c r="F267" t="s">
        <v>1970</v>
      </c>
      <c r="G267" t="s">
        <v>12</v>
      </c>
      <c r="I267" t="s">
        <v>6151</v>
      </c>
      <c r="J267" t="s">
        <v>7810</v>
      </c>
      <c r="K267" s="11">
        <v>77.078883274742054</v>
      </c>
      <c r="L267" s="9">
        <v>0.27909994447854908</v>
      </c>
      <c r="M267" s="10">
        <v>583.48553154047534</v>
      </c>
      <c r="N267" s="10">
        <v>641.83408469452297</v>
      </c>
    </row>
    <row r="268" spans="1:14">
      <c r="A268" t="s">
        <v>1967</v>
      </c>
      <c r="B268" t="s">
        <v>6153</v>
      </c>
      <c r="C268" t="s">
        <v>6154</v>
      </c>
      <c r="D268" t="s">
        <v>11</v>
      </c>
      <c r="E268" t="s">
        <v>13</v>
      </c>
      <c r="F268" t="s">
        <v>1970</v>
      </c>
      <c r="G268" t="s">
        <v>12</v>
      </c>
      <c r="I268" t="s">
        <v>6153</v>
      </c>
      <c r="J268" t="s">
        <v>7811</v>
      </c>
      <c r="K268" s="10">
        <v>114.25508465930491</v>
      </c>
      <c r="L268" s="9">
        <v>0.33592898986252068</v>
      </c>
      <c r="M268" s="10">
        <v>403.31060955089379</v>
      </c>
      <c r="N268" s="10">
        <v>443.6416705059832</v>
      </c>
    </row>
    <row r="269" spans="1:14">
      <c r="A269" t="s">
        <v>1967</v>
      </c>
      <c r="B269" t="s">
        <v>6155</v>
      </c>
      <c r="C269" t="s">
        <v>6152</v>
      </c>
      <c r="D269" t="s">
        <v>11</v>
      </c>
      <c r="E269" t="s">
        <v>13</v>
      </c>
      <c r="F269" t="s">
        <v>1970</v>
      </c>
      <c r="G269" t="s">
        <v>12</v>
      </c>
      <c r="I269" t="s">
        <v>6155</v>
      </c>
      <c r="J269" t="s">
        <v>7812</v>
      </c>
      <c r="K269" s="11">
        <v>87.613968757267983</v>
      </c>
      <c r="L269" s="9">
        <v>0.271165052864005</v>
      </c>
      <c r="M269" s="10">
        <v>705.49133949554766</v>
      </c>
      <c r="N269" s="10">
        <v>776.04047344510252</v>
      </c>
    </row>
    <row r="270" spans="1:14">
      <c r="A270" t="s">
        <v>1967</v>
      </c>
      <c r="B270" t="s">
        <v>6156</v>
      </c>
      <c r="C270" t="s">
        <v>6152</v>
      </c>
      <c r="D270" t="s">
        <v>11</v>
      </c>
      <c r="E270" t="s">
        <v>13</v>
      </c>
      <c r="F270" t="s">
        <v>1970</v>
      </c>
      <c r="G270" t="s">
        <v>12</v>
      </c>
      <c r="I270" t="s">
        <v>6156</v>
      </c>
      <c r="J270" t="s">
        <v>7813</v>
      </c>
      <c r="K270" s="10">
        <v>210.6383334926025</v>
      </c>
      <c r="L270" s="9">
        <v>0.30444407510843952</v>
      </c>
      <c r="M270" s="10">
        <v>252.56290972351505</v>
      </c>
      <c r="N270" s="10">
        <v>277.81920069586658</v>
      </c>
    </row>
    <row r="271" spans="1:14">
      <c r="A271" t="s">
        <v>1967</v>
      </c>
      <c r="B271" t="s">
        <v>6157</v>
      </c>
      <c r="C271" t="s">
        <v>6158</v>
      </c>
      <c r="D271" t="s">
        <v>11</v>
      </c>
      <c r="E271" t="s">
        <v>13</v>
      </c>
      <c r="F271" t="s">
        <v>1970</v>
      </c>
      <c r="G271" t="s">
        <v>12</v>
      </c>
      <c r="I271" t="s">
        <v>6157</v>
      </c>
      <c r="J271" t="s">
        <v>7814</v>
      </c>
      <c r="K271" s="11">
        <v>15.173571076066629</v>
      </c>
      <c r="L271" s="9">
        <v>0.26273642315078832</v>
      </c>
      <c r="M271" s="10">
        <v>179.8687549202954</v>
      </c>
      <c r="N271" s="10">
        <v>197.85563041232496</v>
      </c>
    </row>
    <row r="272" spans="1:14">
      <c r="A272" t="s">
        <v>1967</v>
      </c>
      <c r="B272" t="s">
        <v>6159</v>
      </c>
      <c r="C272" t="s">
        <v>6160</v>
      </c>
      <c r="D272" t="s">
        <v>11</v>
      </c>
      <c r="E272" t="s">
        <v>13</v>
      </c>
      <c r="F272" t="s">
        <v>1970</v>
      </c>
      <c r="G272" t="s">
        <v>12</v>
      </c>
      <c r="I272" t="s">
        <v>6159</v>
      </c>
      <c r="J272" t="s">
        <v>7815</v>
      </c>
      <c r="K272" s="9">
        <v>5.780288175833439</v>
      </c>
      <c r="L272" s="9">
        <v>0.19077049024898801</v>
      </c>
      <c r="M272" s="11">
        <v>80.961307087817659</v>
      </c>
      <c r="N272" s="11">
        <v>89.05743779659943</v>
      </c>
    </row>
    <row r="273" spans="1:14">
      <c r="A273" t="s">
        <v>1967</v>
      </c>
      <c r="B273" t="s">
        <v>6161</v>
      </c>
      <c r="C273" t="s">
        <v>6162</v>
      </c>
      <c r="D273" t="s">
        <v>11</v>
      </c>
      <c r="E273" t="s">
        <v>13</v>
      </c>
      <c r="F273" t="s">
        <v>1970</v>
      </c>
      <c r="G273" t="s">
        <v>12</v>
      </c>
      <c r="I273" t="s">
        <v>6161</v>
      </c>
      <c r="J273" t="s">
        <v>7816</v>
      </c>
      <c r="K273" s="11">
        <v>25.21150063985576</v>
      </c>
      <c r="L273" s="9">
        <v>0.25626075074526328</v>
      </c>
      <c r="M273" s="10">
        <v>407.72505391280959</v>
      </c>
      <c r="N273" s="10">
        <v>448.4975593040906</v>
      </c>
    </row>
    <row r="274" spans="1:14">
      <c r="A274" t="s">
        <v>1967</v>
      </c>
      <c r="B274" t="s">
        <v>6163</v>
      </c>
      <c r="C274" t="s">
        <v>6164</v>
      </c>
      <c r="D274" t="s">
        <v>11</v>
      </c>
      <c r="E274" t="s">
        <v>13</v>
      </c>
      <c r="F274" t="s">
        <v>1970</v>
      </c>
      <c r="G274" t="s">
        <v>12</v>
      </c>
      <c r="I274" t="s">
        <v>6163</v>
      </c>
      <c r="J274" t="s">
        <v>7817</v>
      </c>
      <c r="K274" s="9">
        <v>6.8740777426323527</v>
      </c>
      <c r="L274" s="9">
        <v>0.1299724110359872</v>
      </c>
      <c r="M274" s="10">
        <v>178.83025297234948</v>
      </c>
      <c r="N274" s="10">
        <v>196.71327826958444</v>
      </c>
    </row>
    <row r="275" spans="1:14">
      <c r="A275" t="s">
        <v>1967</v>
      </c>
      <c r="B275" t="s">
        <v>6165</v>
      </c>
      <c r="C275" t="s">
        <v>6162</v>
      </c>
      <c r="D275" t="s">
        <v>11</v>
      </c>
      <c r="E275" t="s">
        <v>13</v>
      </c>
      <c r="F275" t="s">
        <v>1970</v>
      </c>
      <c r="G275" t="s">
        <v>12</v>
      </c>
      <c r="I275" t="s">
        <v>6165</v>
      </c>
      <c r="J275" t="s">
        <v>7818</v>
      </c>
      <c r="K275" s="11">
        <v>12.794526899683477</v>
      </c>
      <c r="L275" s="9">
        <v>0.1602190295780713</v>
      </c>
      <c r="M275" s="10">
        <v>224.49728882103983</v>
      </c>
      <c r="N275" s="10">
        <v>246.94701770314384</v>
      </c>
    </row>
    <row r="276" spans="1:14">
      <c r="A276" t="s">
        <v>1967</v>
      </c>
      <c r="B276" t="s">
        <v>6166</v>
      </c>
      <c r="C276" t="s">
        <v>6167</v>
      </c>
      <c r="D276" t="s">
        <v>11</v>
      </c>
      <c r="E276" t="s">
        <v>13</v>
      </c>
      <c r="F276" t="s">
        <v>1970</v>
      </c>
      <c r="G276" t="s">
        <v>12</v>
      </c>
      <c r="I276" t="s">
        <v>6166</v>
      </c>
      <c r="J276" t="s">
        <v>7819</v>
      </c>
      <c r="K276" s="9">
        <v>5.8531667766696609</v>
      </c>
      <c r="L276" s="9">
        <v>0.1836477191232786</v>
      </c>
      <c r="M276" s="11">
        <v>26.164278829541807</v>
      </c>
      <c r="N276" s="11">
        <v>28.780706712495991</v>
      </c>
    </row>
    <row r="277" spans="1:14">
      <c r="A277" t="s">
        <v>1967</v>
      </c>
      <c r="B277" t="s">
        <v>6168</v>
      </c>
      <c r="C277" t="s">
        <v>6169</v>
      </c>
      <c r="D277" t="s">
        <v>11</v>
      </c>
      <c r="E277" t="s">
        <v>13</v>
      </c>
      <c r="F277" t="s">
        <v>1970</v>
      </c>
      <c r="G277" t="s">
        <v>12</v>
      </c>
      <c r="I277" t="s">
        <v>6168</v>
      </c>
      <c r="J277" t="s">
        <v>7820</v>
      </c>
      <c r="K277" s="9">
        <v>4.2198226999631521</v>
      </c>
      <c r="L277" s="9">
        <v>0.1383223105118592</v>
      </c>
      <c r="M277" s="11">
        <v>39.453401520714223</v>
      </c>
      <c r="N277" s="11">
        <v>43.398741672785647</v>
      </c>
    </row>
    <row r="278" spans="1:14">
      <c r="A278" t="s">
        <v>1967</v>
      </c>
      <c r="B278" t="s">
        <v>6170</v>
      </c>
      <c r="C278" t="s">
        <v>6171</v>
      </c>
      <c r="D278" t="s">
        <v>11</v>
      </c>
      <c r="E278" t="s">
        <v>13</v>
      </c>
      <c r="F278" t="s">
        <v>1970</v>
      </c>
      <c r="G278" t="s">
        <v>12</v>
      </c>
      <c r="I278" t="s">
        <v>6170</v>
      </c>
      <c r="J278" t="s">
        <v>7821</v>
      </c>
      <c r="K278" s="9">
        <v>5.0513347407129654</v>
      </c>
      <c r="L278" s="9">
        <v>0.18786950830293481</v>
      </c>
      <c r="M278" s="11">
        <v>27.69996446946729</v>
      </c>
      <c r="N278" s="11">
        <v>30.469960916414021</v>
      </c>
    </row>
    <row r="279" spans="1:14">
      <c r="A279" t="s">
        <v>1967</v>
      </c>
      <c r="B279" t="s">
        <v>6172</v>
      </c>
      <c r="C279" t="s">
        <v>6173</v>
      </c>
      <c r="D279" t="s">
        <v>11</v>
      </c>
      <c r="E279" t="s">
        <v>13</v>
      </c>
      <c r="F279" t="s">
        <v>1970</v>
      </c>
      <c r="G279" t="s">
        <v>12</v>
      </c>
      <c r="I279" t="s">
        <v>6172</v>
      </c>
      <c r="J279" t="s">
        <v>7822</v>
      </c>
      <c r="K279" s="9">
        <v>2.4156616905493036</v>
      </c>
      <c r="L279" s="9">
        <v>0.32308306720146612</v>
      </c>
      <c r="M279" s="11">
        <v>30.637438583525402</v>
      </c>
      <c r="N279" s="11">
        <v>33.701182441877947</v>
      </c>
    </row>
    <row r="280" spans="1:14">
      <c r="A280" t="s">
        <v>1967</v>
      </c>
      <c r="B280" t="s">
        <v>6174</v>
      </c>
      <c r="C280" t="s">
        <v>6175</v>
      </c>
      <c r="D280" t="s">
        <v>11</v>
      </c>
      <c r="E280" t="s">
        <v>13</v>
      </c>
      <c r="F280" t="s">
        <v>1970</v>
      </c>
      <c r="G280" t="s">
        <v>12</v>
      </c>
      <c r="I280" t="s">
        <v>6174</v>
      </c>
      <c r="J280" t="s">
        <v>7823</v>
      </c>
      <c r="K280" s="9">
        <v>6.3136523450338018</v>
      </c>
      <c r="L280" s="9">
        <v>0.16692704725489069</v>
      </c>
      <c r="M280" s="11">
        <v>18.295618104366561</v>
      </c>
      <c r="N280" s="11">
        <v>20.125179914803219</v>
      </c>
    </row>
    <row r="281" spans="1:14">
      <c r="A281" t="s">
        <v>1967</v>
      </c>
      <c r="B281" t="s">
        <v>6176</v>
      </c>
      <c r="C281" t="s">
        <v>6177</v>
      </c>
      <c r="D281" t="s">
        <v>11</v>
      </c>
      <c r="E281" t="s">
        <v>13</v>
      </c>
      <c r="F281" t="s">
        <v>1970</v>
      </c>
      <c r="G281" t="s">
        <v>12</v>
      </c>
      <c r="I281" t="s">
        <v>6176</v>
      </c>
      <c r="J281" t="s">
        <v>7824</v>
      </c>
      <c r="K281" s="9">
        <v>6.1240819022340292</v>
      </c>
      <c r="L281" s="9">
        <v>0.23206494465276761</v>
      </c>
      <c r="M281" s="11">
        <v>32.806728723084504</v>
      </c>
      <c r="N281" s="11">
        <v>36.087401595392954</v>
      </c>
    </row>
    <row r="282" spans="1:14">
      <c r="A282" t="s">
        <v>1967</v>
      </c>
      <c r="B282" t="s">
        <v>6178</v>
      </c>
      <c r="C282" t="s">
        <v>6179</v>
      </c>
      <c r="D282" t="s">
        <v>11</v>
      </c>
      <c r="E282" t="s">
        <v>13</v>
      </c>
      <c r="F282" t="s">
        <v>1970</v>
      </c>
      <c r="G282" t="s">
        <v>12</v>
      </c>
      <c r="I282" t="s">
        <v>6178</v>
      </c>
      <c r="J282" t="s">
        <v>7825</v>
      </c>
      <c r="K282" s="11">
        <v>10.24586190485843</v>
      </c>
      <c r="L282" s="9">
        <v>0.20484392841137869</v>
      </c>
      <c r="M282" s="11">
        <v>18.651382913671828</v>
      </c>
      <c r="N282" s="11">
        <v>20.516521205039012</v>
      </c>
    </row>
    <row r="283" spans="1:14">
      <c r="A283" t="s">
        <v>1967</v>
      </c>
      <c r="B283" t="s">
        <v>6180</v>
      </c>
      <c r="C283" t="s">
        <v>6181</v>
      </c>
      <c r="D283" t="s">
        <v>11</v>
      </c>
      <c r="E283" t="s">
        <v>13</v>
      </c>
      <c r="F283" t="s">
        <v>1970</v>
      </c>
      <c r="G283" t="s">
        <v>12</v>
      </c>
      <c r="I283" t="s">
        <v>6180</v>
      </c>
      <c r="J283" t="s">
        <v>7826</v>
      </c>
      <c r="K283" s="9">
        <v>8.7518741783744041</v>
      </c>
      <c r="L283" s="9">
        <v>0.16710679022302011</v>
      </c>
      <c r="M283" s="11">
        <v>19.203161227121868</v>
      </c>
      <c r="N283" s="11">
        <v>21.123477349834054</v>
      </c>
    </row>
    <row r="284" spans="1:14">
      <c r="A284" t="s">
        <v>1967</v>
      </c>
      <c r="B284" t="s">
        <v>6182</v>
      </c>
      <c r="C284" t="s">
        <v>6183</v>
      </c>
      <c r="D284" t="s">
        <v>11</v>
      </c>
      <c r="E284" t="s">
        <v>13</v>
      </c>
      <c r="F284" t="s">
        <v>1970</v>
      </c>
      <c r="G284" t="s">
        <v>12</v>
      </c>
      <c r="I284" t="s">
        <v>6182</v>
      </c>
      <c r="J284" t="s">
        <v>7827</v>
      </c>
      <c r="K284" s="9">
        <v>0.5118145540045238</v>
      </c>
      <c r="L284" s="9">
        <v>0.45329869167397879</v>
      </c>
      <c r="M284" s="10">
        <v>206.19875215546995</v>
      </c>
      <c r="N284" s="10">
        <v>226.81862737101696</v>
      </c>
    </row>
    <row r="285" spans="1:14">
      <c r="A285" t="s">
        <v>1967</v>
      </c>
      <c r="B285" t="s">
        <v>6184</v>
      </c>
      <c r="C285" t="s">
        <v>6185</v>
      </c>
      <c r="D285" t="s">
        <v>11</v>
      </c>
      <c r="E285" t="s">
        <v>13</v>
      </c>
      <c r="F285" t="s">
        <v>1970</v>
      </c>
      <c r="G285" t="s">
        <v>12</v>
      </c>
      <c r="I285" t="s">
        <v>6184</v>
      </c>
      <c r="J285" t="s">
        <v>7828</v>
      </c>
      <c r="K285" s="9">
        <v>2.5458780608457308</v>
      </c>
      <c r="L285" s="9">
        <v>0.36262108581228392</v>
      </c>
      <c r="M285" s="11">
        <v>80.08997765319063</v>
      </c>
      <c r="N285" s="11">
        <v>88.098975418509696</v>
      </c>
    </row>
    <row r="286" spans="1:14">
      <c r="A286" t="s">
        <v>1967</v>
      </c>
      <c r="B286" t="s">
        <v>6186</v>
      </c>
      <c r="C286" t="s">
        <v>6187</v>
      </c>
      <c r="D286" t="s">
        <v>11</v>
      </c>
      <c r="E286" t="s">
        <v>13</v>
      </c>
      <c r="F286" t="s">
        <v>1970</v>
      </c>
      <c r="G286" t="s">
        <v>12</v>
      </c>
      <c r="I286" t="s">
        <v>6186</v>
      </c>
      <c r="J286" t="s">
        <v>7829</v>
      </c>
      <c r="K286" s="9">
        <v>0.68365368656227199</v>
      </c>
      <c r="L286" s="9">
        <v>0.36654597743722739</v>
      </c>
      <c r="M286" s="10">
        <v>144.09204973246403</v>
      </c>
      <c r="N286" s="10">
        <v>158.50125470571044</v>
      </c>
    </row>
    <row r="287" spans="1:14">
      <c r="A287" t="s">
        <v>1967</v>
      </c>
      <c r="B287" t="s">
        <v>6188</v>
      </c>
      <c r="C287" t="s">
        <v>6189</v>
      </c>
      <c r="D287" t="s">
        <v>11</v>
      </c>
      <c r="E287" t="s">
        <v>13</v>
      </c>
      <c r="F287" t="s">
        <v>1970</v>
      </c>
      <c r="G287" t="s">
        <v>12</v>
      </c>
      <c r="I287" t="s">
        <v>6188</v>
      </c>
      <c r="J287" t="s">
        <v>7830</v>
      </c>
      <c r="K287" s="9">
        <v>2.7915850613768569</v>
      </c>
      <c r="L287" s="9">
        <v>0.3586065053623595</v>
      </c>
      <c r="M287" s="11">
        <v>95.177277763470599</v>
      </c>
      <c r="N287" s="10">
        <v>104.69500553981767</v>
      </c>
    </row>
    <row r="288" spans="1:14">
      <c r="A288" t="s">
        <v>1967</v>
      </c>
      <c r="B288" t="s">
        <v>6190</v>
      </c>
      <c r="C288" t="s">
        <v>6191</v>
      </c>
      <c r="D288" t="s">
        <v>11</v>
      </c>
      <c r="E288" t="s">
        <v>13</v>
      </c>
      <c r="F288" t="s">
        <v>1970</v>
      </c>
      <c r="G288" t="s">
        <v>12</v>
      </c>
      <c r="I288" t="s">
        <v>6190</v>
      </c>
      <c r="J288" t="s">
        <v>7831</v>
      </c>
      <c r="K288" s="11">
        <v>23.577162550239599</v>
      </c>
      <c r="L288" s="9">
        <v>0.22884634452786881</v>
      </c>
      <c r="M288" s="10">
        <v>299.07799765953035</v>
      </c>
      <c r="N288" s="10">
        <v>328.98579742548344</v>
      </c>
    </row>
    <row r="289" spans="1:14">
      <c r="A289" t="s">
        <v>1967</v>
      </c>
      <c r="B289" t="s">
        <v>6192</v>
      </c>
      <c r="C289" t="s">
        <v>6193</v>
      </c>
      <c r="D289" t="s">
        <v>11</v>
      </c>
      <c r="E289" t="s">
        <v>13</v>
      </c>
      <c r="F289" t="s">
        <v>1970</v>
      </c>
      <c r="G289" t="s">
        <v>12</v>
      </c>
      <c r="I289" t="s">
        <v>6192</v>
      </c>
      <c r="J289" t="s">
        <v>7832</v>
      </c>
      <c r="K289" s="9">
        <v>6.8715121191689583</v>
      </c>
      <c r="L289" s="9">
        <v>0.23266927440624369</v>
      </c>
      <c r="M289" s="11">
        <v>44.093274428938876</v>
      </c>
      <c r="N289" s="11">
        <v>48.502601871832766</v>
      </c>
    </row>
    <row r="290" spans="1:14">
      <c r="A290" t="s">
        <v>1967</v>
      </c>
      <c r="B290" t="s">
        <v>6194</v>
      </c>
      <c r="C290" t="s">
        <v>6195</v>
      </c>
      <c r="D290" t="s">
        <v>11</v>
      </c>
      <c r="E290" t="s">
        <v>13</v>
      </c>
      <c r="F290" t="s">
        <v>1970</v>
      </c>
      <c r="G290" t="s">
        <v>12</v>
      </c>
      <c r="I290" t="s">
        <v>6194</v>
      </c>
      <c r="J290" t="s">
        <v>7833</v>
      </c>
      <c r="K290" s="11">
        <v>29.34047058728412</v>
      </c>
      <c r="L290" s="9">
        <v>0.19482029563463801</v>
      </c>
      <c r="M290" s="10">
        <v>179.27519178726365</v>
      </c>
      <c r="N290" s="10">
        <v>197.20271096599004</v>
      </c>
    </row>
    <row r="291" spans="1:14">
      <c r="A291" t="s">
        <v>1967</v>
      </c>
      <c r="B291" t="s">
        <v>6196</v>
      </c>
      <c r="C291" t="s">
        <v>6197</v>
      </c>
      <c r="D291" t="s">
        <v>11</v>
      </c>
      <c r="E291" t="s">
        <v>13</v>
      </c>
      <c r="F291" t="s">
        <v>1970</v>
      </c>
      <c r="G291" t="s">
        <v>12</v>
      </c>
      <c r="I291" t="s">
        <v>6196</v>
      </c>
      <c r="J291" t="s">
        <v>7834</v>
      </c>
      <c r="K291" s="11">
        <v>30.089382698838069</v>
      </c>
      <c r="L291" s="9">
        <v>0.182506720555972</v>
      </c>
      <c r="M291" s="10">
        <v>319.32059111300333</v>
      </c>
      <c r="N291" s="10">
        <v>351.25265022430369</v>
      </c>
    </row>
    <row r="292" spans="1:14">
      <c r="A292" t="s">
        <v>1967</v>
      </c>
      <c r="B292" t="s">
        <v>6198</v>
      </c>
      <c r="C292" t="s">
        <v>6199</v>
      </c>
      <c r="D292" t="s">
        <v>11</v>
      </c>
      <c r="E292" t="s">
        <v>13</v>
      </c>
      <c r="F292" t="s">
        <v>1970</v>
      </c>
      <c r="G292" t="s">
        <v>12</v>
      </c>
      <c r="I292" t="s">
        <v>6198</v>
      </c>
      <c r="J292" t="s">
        <v>7835</v>
      </c>
      <c r="K292" s="10">
        <v>217.10961330656389</v>
      </c>
      <c r="L292" s="9">
        <v>0.41778975906772597</v>
      </c>
      <c r="M292" s="10">
        <v>138.47385040103731</v>
      </c>
      <c r="N292" s="10">
        <v>152.32123544114106</v>
      </c>
    </row>
    <row r="293" spans="1:14">
      <c r="A293" t="s">
        <v>1967</v>
      </c>
      <c r="B293" t="s">
        <v>6200</v>
      </c>
      <c r="C293" t="s">
        <v>6201</v>
      </c>
      <c r="D293" t="s">
        <v>11</v>
      </c>
      <c r="E293" t="s">
        <v>13</v>
      </c>
      <c r="F293" t="s">
        <v>1970</v>
      </c>
      <c r="G293" t="s">
        <v>12</v>
      </c>
      <c r="I293" t="s">
        <v>6200</v>
      </c>
      <c r="J293" t="s">
        <v>7836</v>
      </c>
      <c r="K293" s="11">
        <v>11.360303706048013</v>
      </c>
      <c r="L293" s="9">
        <v>0.161292922292916</v>
      </c>
      <c r="M293" s="10">
        <v>147.53815901120083</v>
      </c>
      <c r="N293" s="10">
        <v>162.29197491232094</v>
      </c>
    </row>
    <row r="294" spans="1:14">
      <c r="A294" t="s">
        <v>1967</v>
      </c>
      <c r="B294" t="s">
        <v>6202</v>
      </c>
      <c r="C294" t="s">
        <v>6203</v>
      </c>
      <c r="D294" t="s">
        <v>11</v>
      </c>
      <c r="E294" t="s">
        <v>13</v>
      </c>
      <c r="F294" t="s">
        <v>1970</v>
      </c>
      <c r="G294" t="s">
        <v>12</v>
      </c>
      <c r="I294" t="s">
        <v>6202</v>
      </c>
      <c r="J294" t="s">
        <v>7837</v>
      </c>
      <c r="K294" s="11">
        <v>25.84888681920464</v>
      </c>
      <c r="L294" s="9">
        <v>0.1240552986740304</v>
      </c>
      <c r="M294" s="10">
        <v>232.49588605814407</v>
      </c>
      <c r="N294" s="10">
        <v>255.7454746639585</v>
      </c>
    </row>
    <row r="295" spans="1:14">
      <c r="A295" t="s">
        <v>1967</v>
      </c>
      <c r="B295" t="s">
        <v>6204</v>
      </c>
      <c r="C295" t="s">
        <v>6205</v>
      </c>
      <c r="D295" t="s">
        <v>11</v>
      </c>
      <c r="E295" t="s">
        <v>13</v>
      </c>
      <c r="F295" t="s">
        <v>1970</v>
      </c>
      <c r="G295" t="s">
        <v>12</v>
      </c>
      <c r="I295" t="s">
        <v>6204</v>
      </c>
      <c r="J295" t="s">
        <v>7838</v>
      </c>
      <c r="K295" s="9">
        <v>5.6396841026446562</v>
      </c>
      <c r="L295" s="9">
        <v>0.1502253396756672</v>
      </c>
      <c r="M295" s="10">
        <v>273.67430917215654</v>
      </c>
      <c r="N295" s="10">
        <v>301.04174008937224</v>
      </c>
    </row>
    <row r="296" spans="1:14">
      <c r="A296" t="s">
        <v>1967</v>
      </c>
      <c r="B296" t="s">
        <v>6206</v>
      </c>
      <c r="C296" t="s">
        <v>6207</v>
      </c>
      <c r="D296" t="s">
        <v>11</v>
      </c>
      <c r="E296" t="s">
        <v>13</v>
      </c>
      <c r="F296" t="s">
        <v>1970</v>
      </c>
      <c r="G296" t="s">
        <v>12</v>
      </c>
      <c r="I296" t="s">
        <v>6206</v>
      </c>
      <c r="J296" t="s">
        <v>7839</v>
      </c>
      <c r="K296" s="11">
        <v>18.783460101744588</v>
      </c>
      <c r="L296" s="9">
        <v>0.2458278433642567</v>
      </c>
      <c r="M296" s="10">
        <v>131.18601985817071</v>
      </c>
      <c r="N296" s="10">
        <v>144.3046218439878</v>
      </c>
    </row>
    <row r="297" spans="1:14">
      <c r="A297" t="s">
        <v>1967</v>
      </c>
      <c r="B297" t="s">
        <v>6208</v>
      </c>
      <c r="C297" t="s">
        <v>6209</v>
      </c>
      <c r="D297" t="s">
        <v>11</v>
      </c>
      <c r="E297" t="s">
        <v>13</v>
      </c>
      <c r="F297" t="s">
        <v>1970</v>
      </c>
      <c r="G297" t="s">
        <v>12</v>
      </c>
      <c r="I297" t="s">
        <v>6208</v>
      </c>
      <c r="J297" t="s">
        <v>7840</v>
      </c>
      <c r="K297" s="9">
        <v>1.72875</v>
      </c>
      <c r="L297" s="9">
        <v>0.29675959683388858</v>
      </c>
      <c r="M297" s="10">
        <v>121.23524003017285</v>
      </c>
      <c r="N297" s="10">
        <v>133.35876403319014</v>
      </c>
    </row>
    <row r="298" spans="1:14">
      <c r="A298" t="s">
        <v>1967</v>
      </c>
      <c r="B298" t="s">
        <v>6210</v>
      </c>
      <c r="C298" t="s">
        <v>6211</v>
      </c>
      <c r="D298" t="s">
        <v>11</v>
      </c>
      <c r="E298" t="s">
        <v>13</v>
      </c>
      <c r="F298" t="s">
        <v>1970</v>
      </c>
      <c r="G298" t="s">
        <v>12</v>
      </c>
      <c r="I298" t="s">
        <v>6210</v>
      </c>
      <c r="J298" t="s">
        <v>7841</v>
      </c>
      <c r="K298" s="9">
        <v>3.2047500000000002</v>
      </c>
      <c r="L298" s="9">
        <v>0.32124374990043181</v>
      </c>
      <c r="M298" s="11">
        <v>48.747011993090737</v>
      </c>
      <c r="N298" s="11">
        <v>53.621713192399817</v>
      </c>
    </row>
    <row r="299" spans="1:14">
      <c r="A299" t="s">
        <v>1967</v>
      </c>
      <c r="B299" t="s">
        <v>6212</v>
      </c>
      <c r="C299" t="s">
        <v>6213</v>
      </c>
      <c r="D299" t="s">
        <v>11</v>
      </c>
      <c r="E299" t="s">
        <v>13</v>
      </c>
      <c r="F299" t="s">
        <v>1970</v>
      </c>
      <c r="G299" t="s">
        <v>12</v>
      </c>
      <c r="I299" t="s">
        <v>6212</v>
      </c>
      <c r="J299" t="s">
        <v>7842</v>
      </c>
      <c r="K299" s="11">
        <v>17.383487014621863</v>
      </c>
      <c r="L299" s="9">
        <v>0.32915821924808908</v>
      </c>
      <c r="M299" s="11">
        <v>34.84850947583994</v>
      </c>
      <c r="N299" s="11">
        <v>38.33336042342394</v>
      </c>
    </row>
    <row r="300" spans="1:14">
      <c r="A300" t="s">
        <v>1967</v>
      </c>
      <c r="B300" t="s">
        <v>6214</v>
      </c>
      <c r="C300" t="s">
        <v>6215</v>
      </c>
      <c r="D300" t="s">
        <v>11</v>
      </c>
      <c r="E300" t="s">
        <v>13</v>
      </c>
      <c r="F300" t="s">
        <v>1970</v>
      </c>
      <c r="G300" t="s">
        <v>12</v>
      </c>
      <c r="I300" t="s">
        <v>6214</v>
      </c>
      <c r="J300" t="s">
        <v>7843</v>
      </c>
      <c r="K300" s="11">
        <v>18.002600000000001</v>
      </c>
      <c r="L300" s="9">
        <v>0.32258322248414878</v>
      </c>
      <c r="M300" s="11">
        <v>67.051568719467241</v>
      </c>
      <c r="N300" s="11">
        <v>73.756725591413968</v>
      </c>
    </row>
    <row r="301" spans="1:14">
      <c r="A301" t="s">
        <v>1967</v>
      </c>
      <c r="B301" t="s">
        <v>6216</v>
      </c>
      <c r="C301" t="s">
        <v>6217</v>
      </c>
      <c r="D301" t="s">
        <v>11</v>
      </c>
      <c r="E301" t="s">
        <v>13</v>
      </c>
      <c r="F301" t="s">
        <v>1970</v>
      </c>
      <c r="G301" t="s">
        <v>12</v>
      </c>
      <c r="I301" t="s">
        <v>6216</v>
      </c>
      <c r="J301" t="s">
        <v>7844</v>
      </c>
      <c r="K301" s="11">
        <v>18.251249999999999</v>
      </c>
      <c r="L301" s="9">
        <v>0.33701900278879621</v>
      </c>
      <c r="M301" s="10">
        <v>417.82035731665331</v>
      </c>
      <c r="N301" s="10">
        <v>459.60239304831867</v>
      </c>
    </row>
    <row r="302" spans="1:14">
      <c r="A302" t="s">
        <v>1967</v>
      </c>
      <c r="B302" t="s">
        <v>6218</v>
      </c>
      <c r="C302" t="s">
        <v>6219</v>
      </c>
      <c r="D302" t="s">
        <v>11</v>
      </c>
      <c r="E302" t="s">
        <v>13</v>
      </c>
      <c r="F302" t="s">
        <v>1970</v>
      </c>
      <c r="G302" t="s">
        <v>12</v>
      </c>
      <c r="I302" t="s">
        <v>6218</v>
      </c>
      <c r="J302" t="s">
        <v>7845</v>
      </c>
      <c r="K302" s="11">
        <v>40.959000000000003</v>
      </c>
      <c r="L302" s="9">
        <v>0.29270190783895672</v>
      </c>
      <c r="M302" s="10">
        <v>431.13304906551701</v>
      </c>
      <c r="N302" s="10">
        <v>474.24635397206873</v>
      </c>
    </row>
    <row r="303" spans="1:14">
      <c r="A303" t="s">
        <v>1967</v>
      </c>
      <c r="B303" t="s">
        <v>6220</v>
      </c>
      <c r="C303" t="s">
        <v>6221</v>
      </c>
      <c r="D303" t="s">
        <v>11</v>
      </c>
      <c r="E303" t="s">
        <v>13</v>
      </c>
      <c r="F303" t="s">
        <v>1970</v>
      </c>
      <c r="G303" t="s">
        <v>12</v>
      </c>
      <c r="I303" t="s">
        <v>6220</v>
      </c>
      <c r="J303" t="s">
        <v>7846</v>
      </c>
      <c r="K303" s="9">
        <v>5.5919999999999996</v>
      </c>
      <c r="L303" s="9">
        <v>0.29235005884620052</v>
      </c>
      <c r="M303" s="10">
        <v>112.04060930925267</v>
      </c>
      <c r="N303" s="10">
        <v>123.24467024017795</v>
      </c>
    </row>
    <row r="304" spans="1:14">
      <c r="A304" t="s">
        <v>1967</v>
      </c>
      <c r="B304" t="s">
        <v>6222</v>
      </c>
      <c r="C304" t="s">
        <v>6217</v>
      </c>
      <c r="D304" t="s">
        <v>11</v>
      </c>
      <c r="E304" t="s">
        <v>13</v>
      </c>
      <c r="F304" t="s">
        <v>1970</v>
      </c>
      <c r="G304" t="s">
        <v>12</v>
      </c>
      <c r="I304" t="s">
        <v>6222</v>
      </c>
      <c r="J304" t="s">
        <v>7847</v>
      </c>
      <c r="K304" s="9">
        <v>8.0917499999999993</v>
      </c>
      <c r="L304" s="9">
        <v>0.28403362245661001</v>
      </c>
      <c r="M304" s="10">
        <v>264.52700328987549</v>
      </c>
      <c r="N304" s="10">
        <v>290.97970361886308</v>
      </c>
    </row>
    <row r="305" spans="1:14">
      <c r="A305" t="s">
        <v>1967</v>
      </c>
      <c r="B305" t="s">
        <v>6223</v>
      </c>
      <c r="C305" t="s">
        <v>6224</v>
      </c>
      <c r="D305" t="s">
        <v>11</v>
      </c>
      <c r="E305" t="s">
        <v>13</v>
      </c>
      <c r="F305" t="s">
        <v>1970</v>
      </c>
      <c r="G305" t="s">
        <v>12</v>
      </c>
      <c r="I305" t="s">
        <v>6223</v>
      </c>
      <c r="J305" t="s">
        <v>7848</v>
      </c>
      <c r="K305" s="11">
        <v>17.601944185140532</v>
      </c>
      <c r="L305" s="9">
        <v>0.21892367470168289</v>
      </c>
      <c r="M305" s="11">
        <v>32.126668847559003</v>
      </c>
      <c r="N305" s="11">
        <v>35.339335732314908</v>
      </c>
    </row>
    <row r="306" spans="1:14">
      <c r="A306" t="s">
        <v>1967</v>
      </c>
      <c r="B306" t="s">
        <v>6225</v>
      </c>
      <c r="C306" t="s">
        <v>6226</v>
      </c>
      <c r="D306" t="s">
        <v>11</v>
      </c>
      <c r="E306" t="s">
        <v>13</v>
      </c>
      <c r="F306" t="s">
        <v>1970</v>
      </c>
      <c r="G306" t="s">
        <v>12</v>
      </c>
      <c r="I306" t="s">
        <v>6225</v>
      </c>
      <c r="J306" t="s">
        <v>7849</v>
      </c>
      <c r="K306" s="10">
        <v>102.07505692195652</v>
      </c>
      <c r="L306" s="9">
        <v>0.28809236113453479</v>
      </c>
      <c r="M306" s="11">
        <v>35.599723176858888</v>
      </c>
      <c r="N306" s="11">
        <v>39.159695494544778</v>
      </c>
    </row>
    <row r="307" spans="1:14">
      <c r="A307" t="s">
        <v>1967</v>
      </c>
      <c r="B307" t="s">
        <v>6227</v>
      </c>
      <c r="C307" t="s">
        <v>6228</v>
      </c>
      <c r="D307" t="s">
        <v>11</v>
      </c>
      <c r="E307" t="s">
        <v>13</v>
      </c>
      <c r="F307" t="s">
        <v>1970</v>
      </c>
      <c r="G307" t="s">
        <v>12</v>
      </c>
      <c r="I307" t="s">
        <v>6227</v>
      </c>
      <c r="J307" t="s">
        <v>7850</v>
      </c>
      <c r="K307" s="11">
        <v>97.117709458479325</v>
      </c>
      <c r="L307" s="9">
        <v>0.2082506943004816</v>
      </c>
      <c r="M307" s="11">
        <v>40.677180411088713</v>
      </c>
      <c r="N307" s="11">
        <v>44.744898452197589</v>
      </c>
    </row>
    <row r="308" spans="1:14">
      <c r="A308" t="s">
        <v>1967</v>
      </c>
      <c r="B308" t="s">
        <v>6229</v>
      </c>
      <c r="C308" t="s">
        <v>6230</v>
      </c>
      <c r="D308" t="s">
        <v>11</v>
      </c>
      <c r="E308" t="s">
        <v>13</v>
      </c>
      <c r="F308" t="s">
        <v>1970</v>
      </c>
      <c r="G308" t="s">
        <v>12</v>
      </c>
      <c r="I308" t="s">
        <v>6229</v>
      </c>
      <c r="J308" t="s">
        <v>7851</v>
      </c>
      <c r="K308" s="11">
        <v>84.250497473732182</v>
      </c>
      <c r="L308" s="9">
        <v>0.2058833058359415</v>
      </c>
      <c r="M308" s="11">
        <v>37.935716020718843</v>
      </c>
      <c r="N308" s="11">
        <v>41.729287622790729</v>
      </c>
    </row>
    <row r="309" spans="1:14">
      <c r="A309" t="s">
        <v>1967</v>
      </c>
      <c r="B309" t="s">
        <v>6231</v>
      </c>
      <c r="C309" t="s">
        <v>6232</v>
      </c>
      <c r="D309" t="s">
        <v>11</v>
      </c>
      <c r="E309" t="s">
        <v>13</v>
      </c>
      <c r="F309" t="s">
        <v>1970</v>
      </c>
      <c r="G309" t="s">
        <v>12</v>
      </c>
      <c r="I309" t="s">
        <v>6231</v>
      </c>
      <c r="J309" t="s">
        <v>7852</v>
      </c>
      <c r="K309" s="10">
        <v>139.22279723555405</v>
      </c>
      <c r="L309" s="9">
        <v>0.35501086633292012</v>
      </c>
      <c r="M309" s="11">
        <v>35.464962804132256</v>
      </c>
      <c r="N309" s="11">
        <v>39.011459084545486</v>
      </c>
    </row>
    <row r="310" spans="1:14">
      <c r="A310" t="s">
        <v>1967</v>
      </c>
      <c r="B310" t="s">
        <v>6233</v>
      </c>
      <c r="C310" t="s">
        <v>6234</v>
      </c>
      <c r="D310" t="s">
        <v>11</v>
      </c>
      <c r="E310" t="s">
        <v>13</v>
      </c>
      <c r="F310" t="s">
        <v>1970</v>
      </c>
      <c r="G310" t="s">
        <v>12</v>
      </c>
      <c r="I310" t="s">
        <v>6233</v>
      </c>
      <c r="J310" t="s">
        <v>7853</v>
      </c>
      <c r="K310" s="10">
        <v>146.86967841865402</v>
      </c>
      <c r="L310" s="9">
        <v>0.38843143833228239</v>
      </c>
      <c r="M310" s="11">
        <v>36.912933424623382</v>
      </c>
      <c r="N310" s="11">
        <v>40.604226767085727</v>
      </c>
    </row>
    <row r="311" spans="1:14">
      <c r="A311" t="s">
        <v>1967</v>
      </c>
      <c r="B311" t="s">
        <v>6235</v>
      </c>
      <c r="C311" t="s">
        <v>6236</v>
      </c>
      <c r="D311" t="s">
        <v>11</v>
      </c>
      <c r="E311" t="s">
        <v>13</v>
      </c>
      <c r="F311" t="s">
        <v>1970</v>
      </c>
      <c r="G311" t="s">
        <v>12</v>
      </c>
      <c r="I311" t="s">
        <v>6235</v>
      </c>
      <c r="J311" t="s">
        <v>7854</v>
      </c>
      <c r="K311" s="10">
        <v>152.36500391940703</v>
      </c>
      <c r="L311" s="9">
        <v>0.21661677711980379</v>
      </c>
      <c r="M311" s="11">
        <v>43.836361562004818</v>
      </c>
      <c r="N311" s="11">
        <v>48.219997718205306</v>
      </c>
    </row>
    <row r="312" spans="1:14">
      <c r="A312" t="s">
        <v>1967</v>
      </c>
      <c r="B312" t="s">
        <v>6237</v>
      </c>
      <c r="C312" t="s">
        <v>6238</v>
      </c>
      <c r="D312" t="s">
        <v>11</v>
      </c>
      <c r="E312" t="s">
        <v>13</v>
      </c>
      <c r="F312" t="s">
        <v>1970</v>
      </c>
      <c r="G312" t="s">
        <v>12</v>
      </c>
      <c r="I312" t="s">
        <v>6237</v>
      </c>
      <c r="J312" t="s">
        <v>7855</v>
      </c>
      <c r="K312" s="10">
        <v>143.83657681750319</v>
      </c>
      <c r="L312" s="9">
        <v>0.27405435154713043</v>
      </c>
      <c r="M312" s="11">
        <v>40.679153332530561</v>
      </c>
      <c r="N312" s="11">
        <v>44.747068665783623</v>
      </c>
    </row>
    <row r="313" spans="1:14">
      <c r="A313" t="s">
        <v>1967</v>
      </c>
      <c r="B313" t="s">
        <v>6239</v>
      </c>
      <c r="C313" t="s">
        <v>6240</v>
      </c>
      <c r="D313" t="s">
        <v>11</v>
      </c>
      <c r="E313" t="s">
        <v>13</v>
      </c>
      <c r="F313" t="s">
        <v>1970</v>
      </c>
      <c r="G313" t="s">
        <v>12</v>
      </c>
      <c r="I313" t="s">
        <v>6239</v>
      </c>
      <c r="J313" t="s">
        <v>7856</v>
      </c>
      <c r="K313" s="10">
        <v>114.79497579246548</v>
      </c>
      <c r="L313" s="9">
        <v>0.27108778918910947</v>
      </c>
      <c r="M313" s="11">
        <v>36.552901300516027</v>
      </c>
      <c r="N313" s="11">
        <v>40.208191430567631</v>
      </c>
    </row>
    <row r="314" spans="1:14">
      <c r="A314" t="s">
        <v>1967</v>
      </c>
      <c r="B314" t="s">
        <v>6241</v>
      </c>
      <c r="C314" t="s">
        <v>6242</v>
      </c>
      <c r="D314" t="s">
        <v>11</v>
      </c>
      <c r="E314" t="s">
        <v>13</v>
      </c>
      <c r="F314" t="s">
        <v>1970</v>
      </c>
      <c r="G314" t="s">
        <v>12</v>
      </c>
      <c r="I314" t="s">
        <v>6241</v>
      </c>
      <c r="J314" t="s">
        <v>7857</v>
      </c>
      <c r="K314" s="13">
        <v>3.8461125078102275E-3</v>
      </c>
      <c r="L314" s="12">
        <v>9.2521689509675695E-2</v>
      </c>
      <c r="M314" s="11">
        <v>43.314826128122363</v>
      </c>
      <c r="N314" s="11">
        <v>47.6463087409346</v>
      </c>
    </row>
    <row r="315" spans="1:14">
      <c r="A315" t="s">
        <v>1967</v>
      </c>
      <c r="B315" t="s">
        <v>6243</v>
      </c>
      <c r="C315" t="s">
        <v>6244</v>
      </c>
      <c r="D315" t="s">
        <v>11</v>
      </c>
      <c r="E315" t="s">
        <v>13</v>
      </c>
      <c r="F315" t="s">
        <v>1970</v>
      </c>
      <c r="G315" t="s">
        <v>12</v>
      </c>
      <c r="I315" t="s">
        <v>6243</v>
      </c>
      <c r="J315" t="s">
        <v>7858</v>
      </c>
      <c r="K315" s="13">
        <v>3.3508554874995687E-3</v>
      </c>
      <c r="L315" s="9">
        <v>0.1039185170986327</v>
      </c>
      <c r="M315" s="10">
        <v>104.60802725307992</v>
      </c>
      <c r="N315" s="10">
        <v>115.06882997838792</v>
      </c>
    </row>
    <row r="316" spans="1:14">
      <c r="A316" t="s">
        <v>1967</v>
      </c>
      <c r="B316" t="s">
        <v>6245</v>
      </c>
      <c r="C316" t="s">
        <v>6246</v>
      </c>
      <c r="D316" t="s">
        <v>11</v>
      </c>
      <c r="E316" t="s">
        <v>13</v>
      </c>
      <c r="F316" t="s">
        <v>1970</v>
      </c>
      <c r="G316" t="s">
        <v>12</v>
      </c>
      <c r="I316" t="s">
        <v>6245</v>
      </c>
      <c r="J316" t="s">
        <v>7859</v>
      </c>
      <c r="K316" s="11">
        <v>54.884998738377419</v>
      </c>
      <c r="L316" s="9">
        <v>0.42812328300985958</v>
      </c>
      <c r="M316" s="11">
        <v>35.153381880423801</v>
      </c>
      <c r="N316" s="11">
        <v>38.668720068466186</v>
      </c>
    </row>
    <row r="317" spans="1:14">
      <c r="A317" t="s">
        <v>1967</v>
      </c>
      <c r="B317" t="s">
        <v>6247</v>
      </c>
      <c r="C317" t="s">
        <v>6248</v>
      </c>
      <c r="D317" t="s">
        <v>11</v>
      </c>
      <c r="E317" t="s">
        <v>13</v>
      </c>
      <c r="F317" t="s">
        <v>1970</v>
      </c>
      <c r="G317" t="s">
        <v>12</v>
      </c>
      <c r="I317" t="s">
        <v>6247</v>
      </c>
      <c r="J317" t="s">
        <v>7860</v>
      </c>
      <c r="K317" s="9">
        <v>5.0926068981929493</v>
      </c>
      <c r="L317" s="9">
        <v>0.4616553226157657</v>
      </c>
      <c r="M317" s="11">
        <v>14.92471339266627</v>
      </c>
      <c r="N317" s="11">
        <v>16.417184731932899</v>
      </c>
    </row>
    <row r="318" spans="1:14">
      <c r="A318" t="s">
        <v>1967</v>
      </c>
      <c r="B318" t="s">
        <v>6249</v>
      </c>
      <c r="C318" t="s">
        <v>6250</v>
      </c>
      <c r="D318" t="s">
        <v>11</v>
      </c>
      <c r="E318" t="s">
        <v>13</v>
      </c>
      <c r="F318" t="s">
        <v>1970</v>
      </c>
      <c r="G318" t="s">
        <v>12</v>
      </c>
      <c r="I318" t="s">
        <v>6249</v>
      </c>
      <c r="J318" t="s">
        <v>7861</v>
      </c>
      <c r="K318" s="11">
        <v>33.462964148094805</v>
      </c>
      <c r="L318" s="9">
        <v>0.48086753668853971</v>
      </c>
      <c r="M318" s="11">
        <v>54.058955709506861</v>
      </c>
      <c r="N318" s="11">
        <v>59.464851280457552</v>
      </c>
    </row>
    <row r="319" spans="1:14">
      <c r="A319" t="s">
        <v>1967</v>
      </c>
      <c r="B319" t="s">
        <v>6251</v>
      </c>
      <c r="C319" t="s">
        <v>6252</v>
      </c>
      <c r="D319" t="s">
        <v>11</v>
      </c>
      <c r="E319" t="s">
        <v>13</v>
      </c>
      <c r="F319" t="s">
        <v>1970</v>
      </c>
      <c r="G319" t="s">
        <v>12</v>
      </c>
      <c r="I319" t="s">
        <v>6251</v>
      </c>
      <c r="J319" t="s">
        <v>7862</v>
      </c>
      <c r="K319" s="11">
        <v>14.027662662490762</v>
      </c>
      <c r="L319" s="9">
        <v>0.57271519908041835</v>
      </c>
      <c r="M319" s="10">
        <v>186.90955247275559</v>
      </c>
      <c r="N319" s="10">
        <v>205.60050772003117</v>
      </c>
    </row>
    <row r="320" spans="1:14">
      <c r="A320" t="s">
        <v>1967</v>
      </c>
      <c r="B320" t="s">
        <v>6253</v>
      </c>
      <c r="C320" t="s">
        <v>6254</v>
      </c>
      <c r="D320" t="s">
        <v>11</v>
      </c>
      <c r="E320" t="s">
        <v>13</v>
      </c>
      <c r="F320" t="s">
        <v>1970</v>
      </c>
      <c r="G320" t="s">
        <v>12</v>
      </c>
      <c r="I320" t="s">
        <v>6253</v>
      </c>
      <c r="J320" t="s">
        <v>7863</v>
      </c>
      <c r="K320" s="11">
        <v>38.550709395482741</v>
      </c>
      <c r="L320" s="9">
        <v>0.47205734262327759</v>
      </c>
      <c r="M320" s="11">
        <v>69.792529656971013</v>
      </c>
      <c r="N320" s="11">
        <v>76.771782622668127</v>
      </c>
    </row>
    <row r="321" spans="1:14">
      <c r="A321" t="s">
        <v>1967</v>
      </c>
      <c r="B321" t="s">
        <v>6255</v>
      </c>
      <c r="C321" t="s">
        <v>6252</v>
      </c>
      <c r="D321" t="s">
        <v>11</v>
      </c>
      <c r="E321" t="s">
        <v>13</v>
      </c>
      <c r="F321" t="s">
        <v>1970</v>
      </c>
      <c r="G321" t="s">
        <v>12</v>
      </c>
      <c r="I321" t="s">
        <v>6255</v>
      </c>
      <c r="J321" t="s">
        <v>7864</v>
      </c>
      <c r="K321" s="11">
        <v>21.778340086001503</v>
      </c>
      <c r="L321" s="9">
        <v>0.35963253137201451</v>
      </c>
      <c r="M321" s="11">
        <v>70.710142546767315</v>
      </c>
      <c r="N321" s="11">
        <v>77.781156801444055</v>
      </c>
    </row>
    <row r="322" spans="1:14">
      <c r="A322" t="s">
        <v>1967</v>
      </c>
      <c r="B322" t="s">
        <v>6256</v>
      </c>
      <c r="C322" t="s">
        <v>6257</v>
      </c>
      <c r="D322" t="s">
        <v>11</v>
      </c>
      <c r="E322" t="s">
        <v>13</v>
      </c>
      <c r="F322" t="s">
        <v>1970</v>
      </c>
      <c r="G322" t="s">
        <v>12</v>
      </c>
      <c r="I322" t="s">
        <v>6256</v>
      </c>
      <c r="J322" t="s">
        <v>7865</v>
      </c>
      <c r="K322" s="11">
        <v>29.71705367638657</v>
      </c>
      <c r="L322" s="9">
        <v>0.4394605401545133</v>
      </c>
      <c r="M322" s="11">
        <v>50.378849740214079</v>
      </c>
      <c r="N322" s="11">
        <v>55.416734714235488</v>
      </c>
    </row>
    <row r="323" spans="1:14">
      <c r="A323" t="s">
        <v>1967</v>
      </c>
      <c r="B323" t="s">
        <v>6258</v>
      </c>
      <c r="C323" t="s">
        <v>6259</v>
      </c>
      <c r="D323" t="s">
        <v>11</v>
      </c>
      <c r="E323" t="s">
        <v>13</v>
      </c>
      <c r="F323" t="s">
        <v>1970</v>
      </c>
      <c r="G323" t="s">
        <v>12</v>
      </c>
      <c r="I323" t="s">
        <v>6258</v>
      </c>
      <c r="J323" t="s">
        <v>7866</v>
      </c>
      <c r="K323" s="9">
        <v>0.63320457562869048</v>
      </c>
      <c r="L323" s="9">
        <v>0.1194692544765739</v>
      </c>
      <c r="M323" s="11">
        <v>63.669261134427529</v>
      </c>
      <c r="N323" s="11">
        <v>70.036187247870288</v>
      </c>
    </row>
    <row r="324" spans="1:14">
      <c r="A324" t="s">
        <v>1967</v>
      </c>
      <c r="B324" t="s">
        <v>6260</v>
      </c>
      <c r="C324" t="s">
        <v>6261</v>
      </c>
      <c r="D324" t="s">
        <v>11</v>
      </c>
      <c r="E324" t="s">
        <v>13</v>
      </c>
      <c r="F324" t="s">
        <v>1970</v>
      </c>
      <c r="G324" t="s">
        <v>12</v>
      </c>
      <c r="I324" t="s">
        <v>6260</v>
      </c>
      <c r="J324" t="s">
        <v>7867</v>
      </c>
      <c r="K324" s="9">
        <v>0.40044142452194204</v>
      </c>
      <c r="L324" s="9">
        <v>0.1010502567930066</v>
      </c>
      <c r="M324" s="11">
        <v>60.270471389353112</v>
      </c>
      <c r="N324" s="11">
        <v>66.297518528288435</v>
      </c>
    </row>
    <row r="325" spans="1:14">
      <c r="A325" t="s">
        <v>1967</v>
      </c>
      <c r="B325" t="s">
        <v>6262</v>
      </c>
      <c r="C325" t="s">
        <v>6263</v>
      </c>
      <c r="D325" t="s">
        <v>11</v>
      </c>
      <c r="E325" t="s">
        <v>13</v>
      </c>
      <c r="F325" t="s">
        <v>1970</v>
      </c>
      <c r="G325" t="s">
        <v>12</v>
      </c>
      <c r="I325" t="s">
        <v>6262</v>
      </c>
      <c r="J325" t="s">
        <v>7868</v>
      </c>
      <c r="K325" s="9">
        <v>1.8757845717191297</v>
      </c>
      <c r="L325" s="9">
        <v>0.13371123976671681</v>
      </c>
      <c r="M325" s="11">
        <v>62.579967458030247</v>
      </c>
      <c r="N325" s="11">
        <v>68.83796420383328</v>
      </c>
    </row>
    <row r="326" spans="1:14">
      <c r="A326" t="s">
        <v>1967</v>
      </c>
      <c r="B326" t="s">
        <v>6264</v>
      </c>
      <c r="C326" t="s">
        <v>6265</v>
      </c>
      <c r="D326" t="s">
        <v>11</v>
      </c>
      <c r="E326" t="s">
        <v>13</v>
      </c>
      <c r="F326" t="s">
        <v>1970</v>
      </c>
      <c r="G326" t="s">
        <v>12</v>
      </c>
      <c r="I326" t="s">
        <v>6264</v>
      </c>
      <c r="J326" t="s">
        <v>7869</v>
      </c>
      <c r="K326" s="9">
        <v>5.8175706809572487</v>
      </c>
      <c r="L326" s="9">
        <v>0.1392129648950661</v>
      </c>
      <c r="M326" s="10">
        <v>186.99401775280415</v>
      </c>
      <c r="N326" s="10">
        <v>205.69341952808458</v>
      </c>
    </row>
    <row r="327" spans="1:14">
      <c r="A327" t="s">
        <v>1967</v>
      </c>
      <c r="B327" t="s">
        <v>6266</v>
      </c>
      <c r="C327" t="s">
        <v>6267</v>
      </c>
      <c r="D327" t="s">
        <v>11</v>
      </c>
      <c r="E327" t="s">
        <v>13</v>
      </c>
      <c r="F327" t="s">
        <v>1970</v>
      </c>
      <c r="G327" t="s">
        <v>12</v>
      </c>
      <c r="I327" t="s">
        <v>6266</v>
      </c>
      <c r="J327" t="s">
        <v>7870</v>
      </c>
      <c r="K327" s="9">
        <v>0.27801729674041986</v>
      </c>
      <c r="L327" s="12">
        <v>8.17578796222177E-2</v>
      </c>
      <c r="M327" s="11">
        <v>58.522449352492821</v>
      </c>
      <c r="N327" s="11">
        <v>64.374694287742102</v>
      </c>
    </row>
    <row r="328" spans="1:14">
      <c r="A328" t="s">
        <v>1967</v>
      </c>
      <c r="B328" t="s">
        <v>6268</v>
      </c>
      <c r="C328" t="s">
        <v>6269</v>
      </c>
      <c r="D328" t="s">
        <v>11</v>
      </c>
      <c r="E328" t="s">
        <v>13</v>
      </c>
      <c r="F328" t="s">
        <v>1970</v>
      </c>
      <c r="G328" t="s">
        <v>12</v>
      </c>
      <c r="I328" t="s">
        <v>6268</v>
      </c>
      <c r="J328" t="s">
        <v>7871</v>
      </c>
      <c r="K328" s="9">
        <v>1.2302623993259554</v>
      </c>
      <c r="L328" s="9">
        <v>0.12240888792879109</v>
      </c>
      <c r="M328" s="10">
        <v>157.36427265908421</v>
      </c>
      <c r="N328" s="10">
        <v>173.10069992499265</v>
      </c>
    </row>
    <row r="329" spans="1:14">
      <c r="A329" t="s">
        <v>1967</v>
      </c>
      <c r="B329" t="s">
        <v>6270</v>
      </c>
      <c r="C329" t="s">
        <v>6271</v>
      </c>
      <c r="D329" t="s">
        <v>11</v>
      </c>
      <c r="E329" t="s">
        <v>13</v>
      </c>
      <c r="F329" t="s">
        <v>1970</v>
      </c>
      <c r="G329" t="s">
        <v>12</v>
      </c>
      <c r="I329" t="s">
        <v>6270</v>
      </c>
      <c r="J329" t="s">
        <v>7872</v>
      </c>
      <c r="K329" s="9">
        <v>0.34927684782995599</v>
      </c>
      <c r="L329" s="9">
        <v>0.12285924867143461</v>
      </c>
      <c r="M329" s="10">
        <v>236.63325335961721</v>
      </c>
      <c r="N329" s="10">
        <v>260.29657869557894</v>
      </c>
    </row>
    <row r="330" spans="1:14">
      <c r="A330" t="s">
        <v>1967</v>
      </c>
      <c r="B330" t="s">
        <v>6272</v>
      </c>
      <c r="C330" t="s">
        <v>6273</v>
      </c>
      <c r="D330" t="s">
        <v>11</v>
      </c>
      <c r="E330" t="s">
        <v>13</v>
      </c>
      <c r="F330" t="s">
        <v>1970</v>
      </c>
      <c r="G330" t="s">
        <v>12</v>
      </c>
      <c r="I330" t="s">
        <v>6272</v>
      </c>
      <c r="J330" t="s">
        <v>7873</v>
      </c>
      <c r="K330" s="12">
        <v>9.368990416503388E-2</v>
      </c>
      <c r="L330" s="9">
        <v>0.1254843877327064</v>
      </c>
      <c r="M330" s="11">
        <v>49.980931693801701</v>
      </c>
      <c r="N330" s="11">
        <v>54.979024863181877</v>
      </c>
    </row>
    <row r="331" spans="1:14">
      <c r="A331" t="s">
        <v>1967</v>
      </c>
      <c r="B331" t="s">
        <v>6274</v>
      </c>
      <c r="C331" t="s">
        <v>6275</v>
      </c>
      <c r="D331" t="s">
        <v>11</v>
      </c>
      <c r="E331" t="s">
        <v>13</v>
      </c>
      <c r="F331" t="s">
        <v>1970</v>
      </c>
      <c r="G331" t="s">
        <v>12</v>
      </c>
      <c r="I331" t="s">
        <v>6274</v>
      </c>
      <c r="J331" t="s">
        <v>7874</v>
      </c>
      <c r="K331" s="9">
        <v>1.045328771037189</v>
      </c>
      <c r="L331" s="9">
        <v>0.1167152187060658</v>
      </c>
      <c r="M331" s="10">
        <v>107.90103487698518</v>
      </c>
      <c r="N331" s="10">
        <v>118.69113836468371</v>
      </c>
    </row>
    <row r="332" spans="1:14">
      <c r="A332" t="s">
        <v>1967</v>
      </c>
      <c r="B332" t="s">
        <v>6276</v>
      </c>
      <c r="C332" t="s">
        <v>6277</v>
      </c>
      <c r="D332" t="s">
        <v>11</v>
      </c>
      <c r="E332" t="s">
        <v>13</v>
      </c>
      <c r="F332" t="s">
        <v>1970</v>
      </c>
      <c r="G332" t="s">
        <v>12</v>
      </c>
      <c r="I332" t="s">
        <v>6276</v>
      </c>
      <c r="J332" t="s">
        <v>7875</v>
      </c>
      <c r="K332" s="9">
        <v>0.21841072345071269</v>
      </c>
      <c r="L332" s="9">
        <v>0.101240903912012</v>
      </c>
      <c r="M332" s="11">
        <v>62.104515182799588</v>
      </c>
      <c r="N332" s="11">
        <v>68.314966701079555</v>
      </c>
    </row>
    <row r="333" spans="1:14">
      <c r="A333" t="s">
        <v>1967</v>
      </c>
      <c r="B333" t="s">
        <v>6278</v>
      </c>
      <c r="C333" t="s">
        <v>6279</v>
      </c>
      <c r="D333" t="s">
        <v>11</v>
      </c>
      <c r="E333" t="s">
        <v>13</v>
      </c>
      <c r="F333" t="s">
        <v>1970</v>
      </c>
      <c r="G333" t="s">
        <v>12</v>
      </c>
      <c r="I333" t="s">
        <v>6278</v>
      </c>
      <c r="J333" t="s">
        <v>7876</v>
      </c>
      <c r="K333" s="9">
        <v>0.47759663153637716</v>
      </c>
      <c r="L333" s="9">
        <v>0.11800269762607921</v>
      </c>
      <c r="M333" s="11">
        <v>55.435930638554908</v>
      </c>
      <c r="N333" s="11">
        <v>60.979523702410404</v>
      </c>
    </row>
    <row r="334" spans="1:14">
      <c r="A334" t="s">
        <v>1967</v>
      </c>
      <c r="B334" t="s">
        <v>6280</v>
      </c>
      <c r="C334" t="s">
        <v>6281</v>
      </c>
      <c r="D334" t="s">
        <v>11</v>
      </c>
      <c r="E334" t="s">
        <v>13</v>
      </c>
      <c r="F334" t="s">
        <v>1970</v>
      </c>
      <c r="G334" t="s">
        <v>12</v>
      </c>
      <c r="I334" t="s">
        <v>6280</v>
      </c>
      <c r="J334" t="s">
        <v>7877</v>
      </c>
      <c r="K334" s="9">
        <v>0.20588493995835225</v>
      </c>
      <c r="L334" s="9">
        <v>0.116350857329719</v>
      </c>
      <c r="M334" s="11">
        <v>79.945616384043518</v>
      </c>
      <c r="N334" s="11">
        <v>87.940178022447881</v>
      </c>
    </row>
    <row r="335" spans="1:14">
      <c r="A335" t="s">
        <v>1967</v>
      </c>
      <c r="B335" t="s">
        <v>6282</v>
      </c>
      <c r="C335" t="s">
        <v>6283</v>
      </c>
      <c r="D335" t="s">
        <v>11</v>
      </c>
      <c r="E335" t="s">
        <v>13</v>
      </c>
      <c r="F335" t="s">
        <v>1970</v>
      </c>
      <c r="G335" t="s">
        <v>12</v>
      </c>
      <c r="I335" t="s">
        <v>6282</v>
      </c>
      <c r="J335" t="s">
        <v>7878</v>
      </c>
      <c r="K335" s="9">
        <v>0.16974022319528745</v>
      </c>
      <c r="L335" s="12">
        <v>4.56780046328501E-2</v>
      </c>
      <c r="M335" s="11">
        <v>41.653262333989083</v>
      </c>
      <c r="N335" s="11">
        <v>45.818588567387998</v>
      </c>
    </row>
    <row r="336" spans="1:14">
      <c r="A336" t="s">
        <v>1967</v>
      </c>
      <c r="B336" t="s">
        <v>6284</v>
      </c>
      <c r="C336" t="s">
        <v>6285</v>
      </c>
      <c r="D336" t="s">
        <v>11</v>
      </c>
      <c r="E336" t="s">
        <v>13</v>
      </c>
      <c r="F336" t="s">
        <v>1970</v>
      </c>
      <c r="G336" t="s">
        <v>12</v>
      </c>
      <c r="I336" t="s">
        <v>6284</v>
      </c>
      <c r="J336" t="s">
        <v>7879</v>
      </c>
      <c r="K336" s="12">
        <v>5.6595169170335996E-2</v>
      </c>
      <c r="L336" s="12">
        <v>2.8799537761193698E-2</v>
      </c>
      <c r="M336" s="11">
        <v>71.646769188636867</v>
      </c>
      <c r="N336" s="11">
        <v>78.811446107500558</v>
      </c>
    </row>
    <row r="337" spans="1:14">
      <c r="A337" t="s">
        <v>1967</v>
      </c>
      <c r="B337" t="s">
        <v>6286</v>
      </c>
      <c r="C337" t="s">
        <v>6287</v>
      </c>
      <c r="D337" t="s">
        <v>11</v>
      </c>
      <c r="E337" t="s">
        <v>13</v>
      </c>
      <c r="F337" t="s">
        <v>1970</v>
      </c>
      <c r="G337" t="s">
        <v>12</v>
      </c>
      <c r="I337" t="s">
        <v>6286</v>
      </c>
      <c r="J337" t="s">
        <v>7880</v>
      </c>
      <c r="K337" s="9">
        <v>0.48683470385650673</v>
      </c>
      <c r="L337" s="9">
        <v>0.27500103527884301</v>
      </c>
      <c r="M337" s="11">
        <v>66.116154636871954</v>
      </c>
      <c r="N337" s="11">
        <v>72.727770100559155</v>
      </c>
    </row>
    <row r="338" spans="1:14">
      <c r="A338" t="s">
        <v>1967</v>
      </c>
      <c r="B338" t="s">
        <v>6288</v>
      </c>
      <c r="C338" t="s">
        <v>6289</v>
      </c>
      <c r="D338" t="s">
        <v>11</v>
      </c>
      <c r="E338" t="s">
        <v>13</v>
      </c>
      <c r="F338" t="s">
        <v>1970</v>
      </c>
      <c r="G338" t="s">
        <v>12</v>
      </c>
      <c r="I338" t="s">
        <v>6288</v>
      </c>
      <c r="J338" t="s">
        <v>7881</v>
      </c>
      <c r="K338" s="9">
        <v>1.3303607114919831</v>
      </c>
      <c r="L338" s="9">
        <v>0.15974794984961849</v>
      </c>
      <c r="M338" s="11">
        <v>81.173291022546394</v>
      </c>
      <c r="N338" s="11">
        <v>89.290620124801038</v>
      </c>
    </row>
    <row r="339" spans="1:14">
      <c r="A339" t="s">
        <v>1967</v>
      </c>
      <c r="B339" t="s">
        <v>6290</v>
      </c>
      <c r="C339" t="s">
        <v>6291</v>
      </c>
      <c r="D339" t="s">
        <v>11</v>
      </c>
      <c r="E339" t="s">
        <v>13</v>
      </c>
      <c r="F339" t="s">
        <v>1970</v>
      </c>
      <c r="G339" t="s">
        <v>12</v>
      </c>
      <c r="I339" t="s">
        <v>6290</v>
      </c>
      <c r="J339" t="s">
        <v>7882</v>
      </c>
      <c r="K339" s="9">
        <v>0.21070663185537697</v>
      </c>
      <c r="L339" s="9">
        <v>0.16829385980766931</v>
      </c>
      <c r="M339" s="11">
        <v>52.159912565795352</v>
      </c>
      <c r="N339" s="11">
        <v>57.375903822374895</v>
      </c>
    </row>
    <row r="340" spans="1:14">
      <c r="A340" t="s">
        <v>1967</v>
      </c>
      <c r="B340" t="s">
        <v>6292</v>
      </c>
      <c r="C340" t="s">
        <v>6293</v>
      </c>
      <c r="D340" t="s">
        <v>11</v>
      </c>
      <c r="E340" t="s">
        <v>13</v>
      </c>
      <c r="F340" t="s">
        <v>1970</v>
      </c>
      <c r="G340" t="s">
        <v>12</v>
      </c>
      <c r="I340" t="s">
        <v>6292</v>
      </c>
      <c r="J340" t="s">
        <v>7883</v>
      </c>
      <c r="K340" s="9">
        <v>2.2116640072558185</v>
      </c>
      <c r="L340" s="9">
        <v>0.2419955758055983</v>
      </c>
      <c r="M340" s="10">
        <v>142.9981313766603</v>
      </c>
      <c r="N340" s="10">
        <v>157.29794451432633</v>
      </c>
    </row>
    <row r="341" spans="1:14">
      <c r="A341" t="s">
        <v>1967</v>
      </c>
      <c r="B341" t="s">
        <v>6294</v>
      </c>
      <c r="C341" t="s">
        <v>6295</v>
      </c>
      <c r="D341" t="s">
        <v>11</v>
      </c>
      <c r="E341" t="s">
        <v>13</v>
      </c>
      <c r="F341" t="s">
        <v>1970</v>
      </c>
      <c r="G341" t="s">
        <v>12</v>
      </c>
      <c r="I341" t="s">
        <v>6294</v>
      </c>
      <c r="J341" t="s">
        <v>7884</v>
      </c>
      <c r="K341" s="9">
        <v>2.52770948897229</v>
      </c>
      <c r="L341" s="9">
        <v>0.23138660219135759</v>
      </c>
      <c r="M341" s="11">
        <v>82.283826879872706</v>
      </c>
      <c r="N341" s="11">
        <v>90.512209567859983</v>
      </c>
    </row>
    <row r="342" spans="1:14">
      <c r="A342" t="s">
        <v>1967</v>
      </c>
      <c r="B342" t="s">
        <v>6296</v>
      </c>
      <c r="C342" t="s">
        <v>6297</v>
      </c>
      <c r="D342" t="s">
        <v>11</v>
      </c>
      <c r="E342" t="s">
        <v>13</v>
      </c>
      <c r="F342" t="s">
        <v>1970</v>
      </c>
      <c r="G342" t="s">
        <v>12</v>
      </c>
      <c r="I342" t="s">
        <v>6296</v>
      </c>
      <c r="J342" t="s">
        <v>7885</v>
      </c>
      <c r="K342" s="9">
        <v>5.5855055290686346</v>
      </c>
      <c r="L342" s="9">
        <v>0.4871222979871922</v>
      </c>
      <c r="M342" s="10">
        <v>161.74909523826091</v>
      </c>
      <c r="N342" s="10">
        <v>177.92400476208701</v>
      </c>
    </row>
    <row r="343" spans="1:14">
      <c r="A343" t="s">
        <v>1967</v>
      </c>
      <c r="B343" t="s">
        <v>6298</v>
      </c>
      <c r="C343" t="s">
        <v>6299</v>
      </c>
      <c r="D343" t="s">
        <v>11</v>
      </c>
      <c r="E343" t="s">
        <v>13</v>
      </c>
      <c r="F343" t="s">
        <v>1970</v>
      </c>
      <c r="G343" t="s">
        <v>12</v>
      </c>
      <c r="I343" t="s">
        <v>6298</v>
      </c>
      <c r="J343" t="s">
        <v>7886</v>
      </c>
      <c r="K343" s="9">
        <v>6.921221607892738</v>
      </c>
      <c r="L343" s="9">
        <v>0.1011067909401647</v>
      </c>
      <c r="M343" s="11">
        <v>97.988221286516506</v>
      </c>
      <c r="N343" s="10">
        <v>107.78704341516817</v>
      </c>
    </row>
    <row r="344" spans="1:14">
      <c r="A344" t="s">
        <v>1967</v>
      </c>
      <c r="B344" t="s">
        <v>6300</v>
      </c>
      <c r="C344" t="s">
        <v>6301</v>
      </c>
      <c r="D344" t="s">
        <v>11</v>
      </c>
      <c r="E344" t="s">
        <v>13</v>
      </c>
      <c r="F344" t="s">
        <v>1970</v>
      </c>
      <c r="G344" t="s">
        <v>12</v>
      </c>
      <c r="I344" t="s">
        <v>6300</v>
      </c>
      <c r="J344" t="s">
        <v>7887</v>
      </c>
      <c r="K344" s="9">
        <v>3.0634333285680695</v>
      </c>
      <c r="L344" s="9">
        <v>0.1007392207975511</v>
      </c>
      <c r="M344" s="11">
        <v>23.417064733278949</v>
      </c>
      <c r="N344" s="11">
        <v>25.758771206606845</v>
      </c>
    </row>
    <row r="345" spans="1:14">
      <c r="A345" t="s">
        <v>1967</v>
      </c>
      <c r="B345" t="s">
        <v>6302</v>
      </c>
      <c r="C345" t="s">
        <v>6303</v>
      </c>
      <c r="D345" t="s">
        <v>11</v>
      </c>
      <c r="E345" t="s">
        <v>13</v>
      </c>
      <c r="F345" t="s">
        <v>1970</v>
      </c>
      <c r="G345" t="s">
        <v>12</v>
      </c>
      <c r="I345" t="s">
        <v>6302</v>
      </c>
      <c r="J345" t="s">
        <v>7888</v>
      </c>
      <c r="K345" s="9">
        <v>0.124493595958414</v>
      </c>
      <c r="L345" s="9">
        <v>0.1761851429910325</v>
      </c>
      <c r="M345" s="11">
        <v>58.239126789561567</v>
      </c>
      <c r="N345" s="11">
        <v>64.063039468517729</v>
      </c>
    </row>
    <row r="346" spans="1:14">
      <c r="A346" t="s">
        <v>1967</v>
      </c>
      <c r="B346" t="s">
        <v>6304</v>
      </c>
      <c r="C346" t="s">
        <v>6305</v>
      </c>
      <c r="D346" t="s">
        <v>11</v>
      </c>
      <c r="E346" t="s">
        <v>13</v>
      </c>
      <c r="F346" t="s">
        <v>1970</v>
      </c>
      <c r="G346" t="s">
        <v>12</v>
      </c>
      <c r="I346" t="s">
        <v>6304</v>
      </c>
      <c r="J346" t="s">
        <v>7889</v>
      </c>
      <c r="K346" s="9">
        <v>3.4660669558060628</v>
      </c>
      <c r="L346" s="9">
        <v>0.1054827992963988</v>
      </c>
      <c r="M346" s="10">
        <v>406.22421378035045</v>
      </c>
      <c r="N346" s="10">
        <v>446.84663515838554</v>
      </c>
    </row>
    <row r="347" spans="1:14">
      <c r="A347" t="s">
        <v>1967</v>
      </c>
      <c r="B347" t="s">
        <v>6306</v>
      </c>
      <c r="C347" t="s">
        <v>6307</v>
      </c>
      <c r="D347" t="s">
        <v>11</v>
      </c>
      <c r="E347" t="s">
        <v>13</v>
      </c>
      <c r="F347" t="s">
        <v>1970</v>
      </c>
      <c r="G347" t="s">
        <v>12</v>
      </c>
      <c r="I347" t="s">
        <v>6306</v>
      </c>
      <c r="J347" t="s">
        <v>7890</v>
      </c>
      <c r="K347" s="9">
        <v>6.0419331442055002</v>
      </c>
      <c r="L347" s="9">
        <v>0.13811860741750709</v>
      </c>
      <c r="M347" s="10">
        <v>289.02763748796372</v>
      </c>
      <c r="N347" s="10">
        <v>317.93040123676013</v>
      </c>
    </row>
    <row r="348" spans="1:14">
      <c r="A348" t="s">
        <v>1967</v>
      </c>
      <c r="B348" t="s">
        <v>6308</v>
      </c>
      <c r="C348" t="s">
        <v>6309</v>
      </c>
      <c r="D348" t="s">
        <v>11</v>
      </c>
      <c r="E348" t="s">
        <v>13</v>
      </c>
      <c r="F348" t="s">
        <v>1970</v>
      </c>
      <c r="G348" t="s">
        <v>12</v>
      </c>
      <c r="I348" t="s">
        <v>6308</v>
      </c>
      <c r="J348" t="s">
        <v>7891</v>
      </c>
      <c r="K348" s="12">
        <v>3.6526519477346468E-2</v>
      </c>
      <c r="L348" s="9">
        <v>0.30525119880790191</v>
      </c>
      <c r="M348" s="9">
        <v>9.4435680588534154</v>
      </c>
      <c r="N348" s="11">
        <v>10.387924864738757</v>
      </c>
    </row>
    <row r="349" spans="1:14">
      <c r="A349" t="s">
        <v>1967</v>
      </c>
      <c r="B349" t="s">
        <v>6310</v>
      </c>
      <c r="C349" t="s">
        <v>6311</v>
      </c>
      <c r="D349" t="s">
        <v>11</v>
      </c>
      <c r="E349" t="s">
        <v>13</v>
      </c>
      <c r="F349" t="s">
        <v>1970</v>
      </c>
      <c r="G349" t="s">
        <v>12</v>
      </c>
      <c r="I349" t="s">
        <v>6310</v>
      </c>
      <c r="J349" t="s">
        <v>7892</v>
      </c>
      <c r="K349" s="12">
        <v>9.2860304263553684E-2</v>
      </c>
      <c r="L349" s="9">
        <v>0.1984087455647392</v>
      </c>
      <c r="M349" s="11">
        <v>17.399541641945024</v>
      </c>
      <c r="N349" s="11">
        <v>19.139495806139529</v>
      </c>
    </row>
    <row r="350" spans="1:14">
      <c r="A350" t="s">
        <v>1967</v>
      </c>
      <c r="B350" t="s">
        <v>6312</v>
      </c>
      <c r="C350" t="s">
        <v>6313</v>
      </c>
      <c r="D350" t="s">
        <v>11</v>
      </c>
      <c r="E350" t="s">
        <v>13</v>
      </c>
      <c r="F350" t="s">
        <v>1970</v>
      </c>
      <c r="G350" t="s">
        <v>12</v>
      </c>
      <c r="I350" t="s">
        <v>6312</v>
      </c>
      <c r="J350" t="s">
        <v>7893</v>
      </c>
      <c r="K350" s="12">
        <v>1.5753633895454037E-2</v>
      </c>
      <c r="L350" s="9">
        <v>0.2471322472253395</v>
      </c>
      <c r="M350" s="9">
        <v>8.6621883524307837</v>
      </c>
      <c r="N350" s="9">
        <v>9.5284071876738636</v>
      </c>
    </row>
    <row r="351" spans="1:14">
      <c r="A351" t="s">
        <v>1967</v>
      </c>
      <c r="B351" t="s">
        <v>6314</v>
      </c>
      <c r="C351" t="s">
        <v>6315</v>
      </c>
      <c r="D351" t="s">
        <v>11</v>
      </c>
      <c r="E351" t="s">
        <v>13</v>
      </c>
      <c r="F351" t="s">
        <v>1970</v>
      </c>
      <c r="G351" t="s">
        <v>12</v>
      </c>
      <c r="I351" t="s">
        <v>6314</v>
      </c>
      <c r="J351" t="s">
        <v>7894</v>
      </c>
      <c r="K351" s="12">
        <v>6.046822489712534E-2</v>
      </c>
      <c r="L351" s="9">
        <v>0.24250825403297449</v>
      </c>
      <c r="M351" s="11">
        <v>18.102853369861329</v>
      </c>
      <c r="N351" s="11">
        <v>19.913138706847462</v>
      </c>
    </row>
    <row r="352" spans="1:14">
      <c r="A352" t="s">
        <v>1967</v>
      </c>
      <c r="B352" t="s">
        <v>6316</v>
      </c>
      <c r="C352" t="s">
        <v>6317</v>
      </c>
      <c r="D352" t="s">
        <v>11</v>
      </c>
      <c r="E352" t="s">
        <v>13</v>
      </c>
      <c r="F352" t="s">
        <v>1970</v>
      </c>
      <c r="G352" t="s">
        <v>12</v>
      </c>
      <c r="I352" t="s">
        <v>6316</v>
      </c>
      <c r="J352" t="s">
        <v>7895</v>
      </c>
      <c r="K352" s="11">
        <v>14.985498059908132</v>
      </c>
      <c r="L352" s="9">
        <v>0.1065272091746097</v>
      </c>
      <c r="M352" s="11">
        <v>37.153029836283778</v>
      </c>
      <c r="N352" s="11">
        <v>40.868332819912162</v>
      </c>
    </row>
    <row r="353" spans="1:14">
      <c r="A353" t="s">
        <v>1967</v>
      </c>
      <c r="B353" t="s">
        <v>6318</v>
      </c>
      <c r="C353" t="s">
        <v>6319</v>
      </c>
      <c r="D353" t="s">
        <v>11</v>
      </c>
      <c r="E353" t="s">
        <v>13</v>
      </c>
      <c r="F353" t="s">
        <v>1970</v>
      </c>
      <c r="G353" t="s">
        <v>12</v>
      </c>
      <c r="I353" t="s">
        <v>6318</v>
      </c>
      <c r="J353" t="s">
        <v>7896</v>
      </c>
      <c r="K353" s="11">
        <v>44.977450441159</v>
      </c>
      <c r="L353" s="9">
        <v>0.28134182170089789</v>
      </c>
      <c r="M353" s="11">
        <v>80.750598790725462</v>
      </c>
      <c r="N353" s="11">
        <v>88.825658669798017</v>
      </c>
    </row>
    <row r="354" spans="1:14">
      <c r="A354" t="s">
        <v>1967</v>
      </c>
      <c r="B354" t="s">
        <v>6320</v>
      </c>
      <c r="C354" t="s">
        <v>6321</v>
      </c>
      <c r="D354" t="s">
        <v>11</v>
      </c>
      <c r="E354" t="s">
        <v>13</v>
      </c>
      <c r="F354" t="s">
        <v>1970</v>
      </c>
      <c r="G354" t="s">
        <v>12</v>
      </c>
      <c r="I354" t="s">
        <v>6320</v>
      </c>
      <c r="J354" t="s">
        <v>7897</v>
      </c>
      <c r="K354" s="11">
        <v>43.80665409894921</v>
      </c>
      <c r="L354" s="9">
        <v>0.28220514174515349</v>
      </c>
      <c r="M354" s="10">
        <v>253.73942958434799</v>
      </c>
      <c r="N354" s="10">
        <v>279.11337254278283</v>
      </c>
    </row>
    <row r="355" spans="1:14">
      <c r="A355" t="s">
        <v>1967</v>
      </c>
      <c r="B355" t="s">
        <v>6322</v>
      </c>
      <c r="C355" t="s">
        <v>6323</v>
      </c>
      <c r="D355" t="s">
        <v>11</v>
      </c>
      <c r="E355" t="s">
        <v>13</v>
      </c>
      <c r="F355" t="s">
        <v>1970</v>
      </c>
      <c r="G355" t="s">
        <v>12</v>
      </c>
      <c r="I355" t="s">
        <v>6322</v>
      </c>
      <c r="J355" t="s">
        <v>7898</v>
      </c>
      <c r="K355" s="9">
        <v>0.26678253019677634</v>
      </c>
      <c r="L355" s="9">
        <v>0.16459662267875791</v>
      </c>
      <c r="M355" s="11">
        <v>29.540167510517048</v>
      </c>
      <c r="N355" s="11">
        <v>32.494184261568755</v>
      </c>
    </row>
    <row r="356" spans="1:14">
      <c r="A356" t="s">
        <v>1967</v>
      </c>
      <c r="B356" t="s">
        <v>6324</v>
      </c>
      <c r="C356" t="s">
        <v>6325</v>
      </c>
      <c r="D356" t="s">
        <v>11</v>
      </c>
      <c r="E356" t="s">
        <v>13</v>
      </c>
      <c r="F356" t="s">
        <v>1970</v>
      </c>
      <c r="G356" t="s">
        <v>12</v>
      </c>
      <c r="I356" t="s">
        <v>6324</v>
      </c>
      <c r="J356" t="s">
        <v>7899</v>
      </c>
      <c r="K356" s="9">
        <v>0.29443711564237951</v>
      </c>
      <c r="L356" s="9">
        <v>0.19355718891878379</v>
      </c>
      <c r="M356" s="11">
        <v>31.508842150439929</v>
      </c>
      <c r="N356" s="11">
        <v>34.659726365483927</v>
      </c>
    </row>
    <row r="357" spans="1:14">
      <c r="A357" t="s">
        <v>1967</v>
      </c>
      <c r="B357" t="s">
        <v>6326</v>
      </c>
      <c r="C357" t="s">
        <v>6327</v>
      </c>
      <c r="D357" t="s">
        <v>11</v>
      </c>
      <c r="E357" t="s">
        <v>13</v>
      </c>
      <c r="F357" t="s">
        <v>1970</v>
      </c>
      <c r="G357" t="s">
        <v>12</v>
      </c>
      <c r="I357" t="s">
        <v>6326</v>
      </c>
      <c r="J357" t="s">
        <v>7900</v>
      </c>
      <c r="K357" s="9">
        <v>1.5041291851239529</v>
      </c>
      <c r="L357" s="9">
        <v>0.1720609052996559</v>
      </c>
      <c r="M357" s="11">
        <v>38.765917409985306</v>
      </c>
      <c r="N357" s="11">
        <v>42.642509150983841</v>
      </c>
    </row>
    <row r="358" spans="1:14">
      <c r="A358" t="s">
        <v>1967</v>
      </c>
      <c r="B358" t="s">
        <v>6328</v>
      </c>
      <c r="C358" t="s">
        <v>6329</v>
      </c>
      <c r="D358" t="s">
        <v>11</v>
      </c>
      <c r="E358" t="s">
        <v>13</v>
      </c>
      <c r="F358" t="s">
        <v>1970</v>
      </c>
      <c r="G358" t="s">
        <v>12</v>
      </c>
      <c r="I358" t="s">
        <v>6328</v>
      </c>
      <c r="J358" t="s">
        <v>7901</v>
      </c>
      <c r="K358" s="9">
        <v>1.447295341960978</v>
      </c>
      <c r="L358" s="9">
        <v>0.13884011748207689</v>
      </c>
      <c r="M358" s="11">
        <v>22.513600076948837</v>
      </c>
      <c r="N358" s="11">
        <v>24.764960084643722</v>
      </c>
    </row>
    <row r="359" spans="1:14">
      <c r="A359" t="s">
        <v>1967</v>
      </c>
      <c r="B359" t="s">
        <v>6330</v>
      </c>
      <c r="C359" t="s">
        <v>6331</v>
      </c>
      <c r="D359" t="s">
        <v>11</v>
      </c>
      <c r="E359" t="s">
        <v>13</v>
      </c>
      <c r="F359" t="s">
        <v>1970</v>
      </c>
      <c r="G359" t="s">
        <v>12</v>
      </c>
      <c r="I359" t="s">
        <v>6330</v>
      </c>
      <c r="J359" t="s">
        <v>7902</v>
      </c>
      <c r="K359" s="9">
        <v>2.2125202590242719</v>
      </c>
      <c r="L359" s="9">
        <v>0.1654691398136485</v>
      </c>
      <c r="M359" s="11">
        <v>28.29417021488976</v>
      </c>
      <c r="N359" s="11">
        <v>31.123587236378739</v>
      </c>
    </row>
    <row r="360" spans="1:14">
      <c r="A360" t="s">
        <v>1967</v>
      </c>
      <c r="B360" t="s">
        <v>6332</v>
      </c>
      <c r="C360" t="s">
        <v>6333</v>
      </c>
      <c r="D360" t="s">
        <v>11</v>
      </c>
      <c r="E360" t="s">
        <v>13</v>
      </c>
      <c r="F360" t="s">
        <v>1970</v>
      </c>
      <c r="G360" t="s">
        <v>12</v>
      </c>
      <c r="I360" t="s">
        <v>6332</v>
      </c>
      <c r="J360" t="s">
        <v>7903</v>
      </c>
      <c r="K360" s="9">
        <v>3.76553964993251</v>
      </c>
      <c r="L360" s="9">
        <v>0.25601186296549999</v>
      </c>
      <c r="M360" s="11">
        <v>20.35019920764864</v>
      </c>
      <c r="N360" s="11">
        <v>22.385219128413507</v>
      </c>
    </row>
    <row r="361" spans="1:14">
      <c r="A361" t="s">
        <v>1967</v>
      </c>
      <c r="B361" t="s">
        <v>6334</v>
      </c>
      <c r="C361" t="s">
        <v>6335</v>
      </c>
      <c r="D361" t="s">
        <v>11</v>
      </c>
      <c r="E361" t="s">
        <v>13</v>
      </c>
      <c r="F361" t="s">
        <v>1970</v>
      </c>
      <c r="G361" t="s">
        <v>12</v>
      </c>
      <c r="I361" t="s">
        <v>6334</v>
      </c>
      <c r="J361" t="s">
        <v>7904</v>
      </c>
      <c r="K361" s="9">
        <v>0.10744153826776945</v>
      </c>
      <c r="L361" s="12">
        <v>8.4996846987688293E-2</v>
      </c>
      <c r="M361" s="11">
        <v>22.186779858955472</v>
      </c>
      <c r="N361" s="11">
        <v>24.405457844851021</v>
      </c>
    </row>
    <row r="362" spans="1:14">
      <c r="A362" t="s">
        <v>1967</v>
      </c>
      <c r="B362" t="s">
        <v>6336</v>
      </c>
      <c r="C362" t="s">
        <v>6337</v>
      </c>
      <c r="D362" t="s">
        <v>11</v>
      </c>
      <c r="E362" t="s">
        <v>13</v>
      </c>
      <c r="F362" t="s">
        <v>1970</v>
      </c>
      <c r="G362" t="s">
        <v>12</v>
      </c>
      <c r="I362" t="s">
        <v>6336</v>
      </c>
      <c r="J362" t="s">
        <v>7905</v>
      </c>
      <c r="K362" s="9">
        <v>3.222014197783857</v>
      </c>
      <c r="L362" s="9">
        <v>0.2296506589563907</v>
      </c>
      <c r="M362" s="11">
        <v>28.186943165296192</v>
      </c>
      <c r="N362" s="11">
        <v>31.005637481825815</v>
      </c>
    </row>
    <row r="363" spans="1:14">
      <c r="A363" t="s">
        <v>1967</v>
      </c>
      <c r="B363" t="s">
        <v>6338</v>
      </c>
      <c r="C363" t="s">
        <v>6339</v>
      </c>
      <c r="D363" t="s">
        <v>11</v>
      </c>
      <c r="E363" t="s">
        <v>13</v>
      </c>
      <c r="F363" t="s">
        <v>1970</v>
      </c>
      <c r="G363" t="s">
        <v>12</v>
      </c>
      <c r="I363" t="s">
        <v>6338</v>
      </c>
      <c r="J363" t="s">
        <v>7906</v>
      </c>
      <c r="K363" s="9">
        <v>4.7872062593003681</v>
      </c>
      <c r="L363" s="9">
        <v>0.17856659941753511</v>
      </c>
      <c r="M363" s="11">
        <v>40.033828583291921</v>
      </c>
      <c r="N363" s="11">
        <v>44.037211441621118</v>
      </c>
    </row>
    <row r="364" spans="1:14">
      <c r="A364" t="s">
        <v>1967</v>
      </c>
      <c r="B364" t="s">
        <v>6340</v>
      </c>
      <c r="C364" t="s">
        <v>6341</v>
      </c>
      <c r="D364" t="s">
        <v>11</v>
      </c>
      <c r="E364" t="s">
        <v>13</v>
      </c>
      <c r="F364" t="s">
        <v>1970</v>
      </c>
      <c r="G364" t="s">
        <v>12</v>
      </c>
      <c r="I364" t="s">
        <v>6340</v>
      </c>
      <c r="J364" t="s">
        <v>7907</v>
      </c>
      <c r="K364" s="9">
        <v>0.4635670647194543</v>
      </c>
      <c r="L364" s="9">
        <v>0.16556522666757689</v>
      </c>
      <c r="M364" s="11">
        <v>22.208242965553385</v>
      </c>
      <c r="N364" s="11">
        <v>24.429067262108724</v>
      </c>
    </row>
    <row r="365" spans="1:14">
      <c r="A365" t="s">
        <v>1967</v>
      </c>
      <c r="B365" t="s">
        <v>6342</v>
      </c>
      <c r="C365" t="s">
        <v>6343</v>
      </c>
      <c r="D365" t="s">
        <v>11</v>
      </c>
      <c r="E365" t="s">
        <v>13</v>
      </c>
      <c r="F365" t="s">
        <v>1970</v>
      </c>
      <c r="G365" t="s">
        <v>12</v>
      </c>
      <c r="I365" t="s">
        <v>6342</v>
      </c>
      <c r="J365" t="s">
        <v>7908</v>
      </c>
      <c r="K365" s="9">
        <v>5.1477584057973509</v>
      </c>
      <c r="L365" s="9">
        <v>0.18183526819075049</v>
      </c>
      <c r="M365" s="11">
        <v>47.395611802930922</v>
      </c>
      <c r="N365" s="11">
        <v>52.135172983224017</v>
      </c>
    </row>
    <row r="366" spans="1:14">
      <c r="A366" t="s">
        <v>1967</v>
      </c>
      <c r="B366" t="s">
        <v>6344</v>
      </c>
      <c r="C366" t="s">
        <v>6345</v>
      </c>
      <c r="D366" t="s">
        <v>11</v>
      </c>
      <c r="E366" t="s">
        <v>13</v>
      </c>
      <c r="F366" t="s">
        <v>1970</v>
      </c>
      <c r="G366" t="s">
        <v>12</v>
      </c>
      <c r="I366" t="s">
        <v>6344</v>
      </c>
      <c r="J366" t="s">
        <v>7909</v>
      </c>
      <c r="K366" s="9">
        <v>3.6948636719921568</v>
      </c>
      <c r="L366" s="9">
        <v>0.1282801190316511</v>
      </c>
      <c r="M366" s="10">
        <v>223.12847119867249</v>
      </c>
      <c r="N366" s="10">
        <v>245.44131831853974</v>
      </c>
    </row>
    <row r="367" spans="1:14">
      <c r="A367" t="s">
        <v>1967</v>
      </c>
      <c r="B367" t="s">
        <v>6346</v>
      </c>
      <c r="C367" t="s">
        <v>6347</v>
      </c>
      <c r="D367" t="s">
        <v>11</v>
      </c>
      <c r="E367" t="s">
        <v>13</v>
      </c>
      <c r="F367" t="s">
        <v>1970</v>
      </c>
      <c r="G367" t="s">
        <v>12</v>
      </c>
      <c r="I367" t="s">
        <v>6346</v>
      </c>
      <c r="J367" t="s">
        <v>7910</v>
      </c>
      <c r="K367" s="11">
        <v>28.540942220373225</v>
      </c>
      <c r="L367" s="9">
        <v>0.22281819006664799</v>
      </c>
      <c r="M367" s="10">
        <v>352.69079751970003</v>
      </c>
      <c r="N367" s="10">
        <v>387.95987727167005</v>
      </c>
    </row>
    <row r="368" spans="1:14">
      <c r="A368" t="s">
        <v>1967</v>
      </c>
      <c r="B368" t="s">
        <v>6348</v>
      </c>
      <c r="C368" t="s">
        <v>6349</v>
      </c>
      <c r="D368" t="s">
        <v>11</v>
      </c>
      <c r="E368" t="s">
        <v>13</v>
      </c>
      <c r="F368" t="s">
        <v>1970</v>
      </c>
      <c r="G368" t="s">
        <v>12</v>
      </c>
      <c r="I368" t="s">
        <v>6348</v>
      </c>
      <c r="J368" t="s">
        <v>7911</v>
      </c>
      <c r="K368" s="11">
        <v>24.602924824903919</v>
      </c>
      <c r="L368" s="9">
        <v>0.2225430618556245</v>
      </c>
      <c r="M368" s="10">
        <v>630.41745512130547</v>
      </c>
      <c r="N368" s="10">
        <v>693.45920063343601</v>
      </c>
    </row>
    <row r="369" spans="1:14">
      <c r="A369" t="s">
        <v>1967</v>
      </c>
      <c r="B369" t="s">
        <v>6350</v>
      </c>
      <c r="C369" t="s">
        <v>6351</v>
      </c>
      <c r="D369" t="s">
        <v>11</v>
      </c>
      <c r="E369" t="s">
        <v>13</v>
      </c>
      <c r="F369" t="s">
        <v>1970</v>
      </c>
      <c r="G369" t="s">
        <v>12</v>
      </c>
      <c r="I369" t="s">
        <v>6350</v>
      </c>
      <c r="J369" t="s">
        <v>7912</v>
      </c>
      <c r="K369" s="9">
        <v>1.5194508888731268</v>
      </c>
      <c r="L369" s="9">
        <v>0.18944762479718211</v>
      </c>
      <c r="M369" s="10">
        <v>337.87960266347773</v>
      </c>
      <c r="N369" s="10">
        <v>371.66756292982552</v>
      </c>
    </row>
    <row r="370" spans="1:14">
      <c r="A370" t="s">
        <v>1967</v>
      </c>
      <c r="B370" t="s">
        <v>6352</v>
      </c>
      <c r="C370" t="s">
        <v>6353</v>
      </c>
      <c r="D370" t="s">
        <v>11</v>
      </c>
      <c r="E370" t="s">
        <v>13</v>
      </c>
      <c r="F370" t="s">
        <v>1970</v>
      </c>
      <c r="G370" t="s">
        <v>12</v>
      </c>
      <c r="I370" t="s">
        <v>6352</v>
      </c>
      <c r="J370" t="s">
        <v>7913</v>
      </c>
      <c r="K370" s="9">
        <v>4.0339066851104732</v>
      </c>
      <c r="L370" s="9">
        <v>0.1165246915586749</v>
      </c>
      <c r="M370" s="10">
        <v>187.80632831826159</v>
      </c>
      <c r="N370" s="10">
        <v>206.58696115008777</v>
      </c>
    </row>
    <row r="371" spans="1:14">
      <c r="A371" t="s">
        <v>1967</v>
      </c>
      <c r="B371" t="s">
        <v>6354</v>
      </c>
      <c r="C371" t="s">
        <v>6355</v>
      </c>
      <c r="D371" t="s">
        <v>11</v>
      </c>
      <c r="E371" t="s">
        <v>13</v>
      </c>
      <c r="F371" t="s">
        <v>1970</v>
      </c>
      <c r="G371" t="s">
        <v>12</v>
      </c>
      <c r="I371" t="s">
        <v>6354</v>
      </c>
      <c r="J371" t="s">
        <v>7914</v>
      </c>
      <c r="K371" s="9">
        <v>2.269613482702546</v>
      </c>
      <c r="L371" s="9">
        <v>0.14490023626574489</v>
      </c>
      <c r="M371" s="10">
        <v>310.12526948904565</v>
      </c>
      <c r="N371" s="10">
        <v>341.13779643795021</v>
      </c>
    </row>
    <row r="372" spans="1:14">
      <c r="A372" t="s">
        <v>1967</v>
      </c>
      <c r="B372" t="s">
        <v>6356</v>
      </c>
      <c r="C372" t="s">
        <v>6357</v>
      </c>
      <c r="D372" t="s">
        <v>11</v>
      </c>
      <c r="E372" t="s">
        <v>13</v>
      </c>
      <c r="F372" t="s">
        <v>1970</v>
      </c>
      <c r="G372" t="s">
        <v>12</v>
      </c>
      <c r="I372" t="s">
        <v>6356</v>
      </c>
      <c r="J372" t="s">
        <v>7915</v>
      </c>
      <c r="K372" s="9">
        <v>0.35024075486710721</v>
      </c>
      <c r="L372" s="9">
        <v>0.18006482836195251</v>
      </c>
      <c r="M372" s="10">
        <v>276.92324515346661</v>
      </c>
      <c r="N372" s="10">
        <v>304.61556966881329</v>
      </c>
    </row>
    <row r="373" spans="1:14">
      <c r="A373" t="s">
        <v>1967</v>
      </c>
      <c r="B373" t="s">
        <v>6358</v>
      </c>
      <c r="C373" t="s">
        <v>6359</v>
      </c>
      <c r="D373" t="s">
        <v>11</v>
      </c>
      <c r="E373" t="s">
        <v>13</v>
      </c>
      <c r="F373" t="s">
        <v>1970</v>
      </c>
      <c r="G373" t="s">
        <v>12</v>
      </c>
      <c r="I373" t="s">
        <v>6358</v>
      </c>
      <c r="J373" t="s">
        <v>7916</v>
      </c>
      <c r="K373" s="9">
        <v>8.2994975853913591</v>
      </c>
      <c r="L373" s="9">
        <v>0.15580750366069551</v>
      </c>
      <c r="M373" s="10">
        <v>160.24174655177686</v>
      </c>
      <c r="N373" s="10">
        <v>176.26592120695454</v>
      </c>
    </row>
    <row r="374" spans="1:14">
      <c r="A374" t="s">
        <v>1967</v>
      </c>
      <c r="B374" t="s">
        <v>6360</v>
      </c>
      <c r="C374" t="s">
        <v>6361</v>
      </c>
      <c r="D374" t="s">
        <v>11</v>
      </c>
      <c r="E374" t="s">
        <v>13</v>
      </c>
      <c r="F374" t="s">
        <v>1970</v>
      </c>
      <c r="G374" t="s">
        <v>12</v>
      </c>
      <c r="I374" t="s">
        <v>6360</v>
      </c>
      <c r="J374" t="s">
        <v>7917</v>
      </c>
      <c r="K374" s="11">
        <v>12.587286039813428</v>
      </c>
      <c r="L374" s="9">
        <v>0.13092193781646139</v>
      </c>
      <c r="M374" s="10">
        <v>319.9058299271486</v>
      </c>
      <c r="N374" s="10">
        <v>351.89641291986351</v>
      </c>
    </row>
    <row r="375" spans="1:14">
      <c r="A375" t="s">
        <v>1967</v>
      </c>
      <c r="B375" t="s">
        <v>6362</v>
      </c>
      <c r="C375" t="s">
        <v>6363</v>
      </c>
      <c r="D375" t="s">
        <v>11</v>
      </c>
      <c r="E375" t="s">
        <v>13</v>
      </c>
      <c r="F375" t="s">
        <v>1970</v>
      </c>
      <c r="G375" t="s">
        <v>12</v>
      </c>
      <c r="I375" t="s">
        <v>6362</v>
      </c>
      <c r="J375" t="s">
        <v>7918</v>
      </c>
      <c r="K375" s="11">
        <v>14.925885552153744</v>
      </c>
      <c r="L375" s="9">
        <v>0.1740402468350323</v>
      </c>
      <c r="M375" s="10">
        <v>122.09404719486294</v>
      </c>
      <c r="N375" s="10">
        <v>134.30345191434924</v>
      </c>
    </row>
    <row r="376" spans="1:14">
      <c r="A376" t="s">
        <v>1967</v>
      </c>
      <c r="B376" t="s">
        <v>6364</v>
      </c>
      <c r="C376" t="s">
        <v>6365</v>
      </c>
      <c r="D376" t="s">
        <v>11</v>
      </c>
      <c r="E376" t="s">
        <v>13</v>
      </c>
      <c r="F376" t="s">
        <v>1970</v>
      </c>
      <c r="G376" t="s">
        <v>12</v>
      </c>
      <c r="I376" t="s">
        <v>6364</v>
      </c>
      <c r="J376" t="s">
        <v>7919</v>
      </c>
      <c r="K376" s="11">
        <v>91.230808441886467</v>
      </c>
      <c r="L376" s="9">
        <v>0.1265237704168341</v>
      </c>
      <c r="M376" s="11">
        <v>24.110671199933385</v>
      </c>
      <c r="N376" s="11">
        <v>26.521738319926726</v>
      </c>
    </row>
    <row r="377" spans="1:14">
      <c r="A377" t="s">
        <v>1967</v>
      </c>
      <c r="B377" t="s">
        <v>6366</v>
      </c>
      <c r="C377" t="s">
        <v>6367</v>
      </c>
      <c r="D377" t="s">
        <v>11</v>
      </c>
      <c r="E377" t="s">
        <v>13</v>
      </c>
      <c r="F377" t="s">
        <v>1970</v>
      </c>
      <c r="G377" t="s">
        <v>12</v>
      </c>
      <c r="I377" t="s">
        <v>6366</v>
      </c>
      <c r="J377" t="s">
        <v>7920</v>
      </c>
      <c r="K377" s="11">
        <v>47.621293054801129</v>
      </c>
      <c r="L377" s="9">
        <v>0.11449299793296901</v>
      </c>
      <c r="M377" s="11">
        <v>31.286561945125445</v>
      </c>
      <c r="N377" s="11">
        <v>34.415218139637993</v>
      </c>
    </row>
    <row r="378" spans="1:14">
      <c r="A378" t="s">
        <v>1967</v>
      </c>
      <c r="B378" t="s">
        <v>6368</v>
      </c>
      <c r="C378" t="s">
        <v>6369</v>
      </c>
      <c r="D378" t="s">
        <v>11</v>
      </c>
      <c r="E378" t="s">
        <v>13</v>
      </c>
      <c r="F378" t="s">
        <v>1970</v>
      </c>
      <c r="G378" t="s">
        <v>12</v>
      </c>
      <c r="I378" t="s">
        <v>6368</v>
      </c>
      <c r="J378" t="s">
        <v>7921</v>
      </c>
      <c r="K378" s="11">
        <v>66.075768106259801</v>
      </c>
      <c r="L378" s="9">
        <v>0.14572976848806141</v>
      </c>
      <c r="M378" s="11">
        <v>33.551596558640256</v>
      </c>
      <c r="N378" s="11">
        <v>36.906756214504284</v>
      </c>
    </row>
    <row r="379" spans="1:14">
      <c r="A379" t="s">
        <v>1967</v>
      </c>
      <c r="B379" t="s">
        <v>6370</v>
      </c>
      <c r="C379" t="s">
        <v>6371</v>
      </c>
      <c r="D379" t="s">
        <v>11</v>
      </c>
      <c r="E379" t="s">
        <v>13</v>
      </c>
      <c r="F379" t="s">
        <v>1970</v>
      </c>
      <c r="G379" t="s">
        <v>12</v>
      </c>
      <c r="I379" t="s">
        <v>6370</v>
      </c>
      <c r="J379" t="s">
        <v>7922</v>
      </c>
      <c r="K379" s="11">
        <v>81.769416516875182</v>
      </c>
      <c r="L379" s="9">
        <v>0.1191845024685485</v>
      </c>
      <c r="M379" s="11">
        <v>34.726790798075385</v>
      </c>
      <c r="N379" s="11">
        <v>38.199469877882926</v>
      </c>
    </row>
    <row r="380" spans="1:14">
      <c r="A380" t="s">
        <v>1967</v>
      </c>
      <c r="B380" t="s">
        <v>6372</v>
      </c>
      <c r="C380" t="s">
        <v>6373</v>
      </c>
      <c r="D380" t="s">
        <v>11</v>
      </c>
      <c r="E380" t="s">
        <v>13</v>
      </c>
      <c r="F380" t="s">
        <v>1970</v>
      </c>
      <c r="G380" t="s">
        <v>12</v>
      </c>
      <c r="I380" t="s">
        <v>6372</v>
      </c>
      <c r="J380" t="s">
        <v>7923</v>
      </c>
      <c r="K380" s="11">
        <v>22.419072960782572</v>
      </c>
      <c r="L380" s="9">
        <v>0.1011756596362475</v>
      </c>
      <c r="M380" s="11">
        <v>42.759838510022767</v>
      </c>
      <c r="N380" s="11">
        <v>47.035822361025048</v>
      </c>
    </row>
    <row r="381" spans="1:14">
      <c r="A381" t="s">
        <v>1967</v>
      </c>
      <c r="B381" t="s">
        <v>6374</v>
      </c>
      <c r="C381" t="s">
        <v>6375</v>
      </c>
      <c r="D381" t="s">
        <v>11</v>
      </c>
      <c r="E381" t="s">
        <v>13</v>
      </c>
      <c r="F381" t="s">
        <v>1970</v>
      </c>
      <c r="G381" t="s">
        <v>12</v>
      </c>
      <c r="I381" t="s">
        <v>6374</v>
      </c>
      <c r="J381" t="s">
        <v>7924</v>
      </c>
      <c r="K381" s="11">
        <v>64.539181718056682</v>
      </c>
      <c r="L381" s="9">
        <v>0.1421936673012934</v>
      </c>
      <c r="M381" s="11">
        <v>35.809762429823586</v>
      </c>
      <c r="N381" s="11">
        <v>39.390738672805945</v>
      </c>
    </row>
    <row r="382" spans="1:14">
      <c r="A382" t="s">
        <v>1967</v>
      </c>
      <c r="B382" t="s">
        <v>6376</v>
      </c>
      <c r="C382" t="s">
        <v>6377</v>
      </c>
      <c r="D382" t="s">
        <v>11</v>
      </c>
      <c r="E382" t="s">
        <v>13</v>
      </c>
      <c r="F382" t="s">
        <v>1970</v>
      </c>
      <c r="G382" t="s">
        <v>12</v>
      </c>
      <c r="I382" t="s">
        <v>6376</v>
      </c>
      <c r="J382" t="s">
        <v>7925</v>
      </c>
      <c r="K382" s="11">
        <v>82.455793580791891</v>
      </c>
      <c r="L382" s="9">
        <v>0.1368208412295529</v>
      </c>
      <c r="M382" s="11">
        <v>24.808743022163188</v>
      </c>
      <c r="N382" s="11">
        <v>27.28961732437951</v>
      </c>
    </row>
    <row r="383" spans="1:14">
      <c r="A383" t="s">
        <v>1967</v>
      </c>
      <c r="B383" t="s">
        <v>6378</v>
      </c>
      <c r="C383" t="s">
        <v>6379</v>
      </c>
      <c r="D383" t="s">
        <v>11</v>
      </c>
      <c r="E383" t="s">
        <v>13</v>
      </c>
      <c r="F383" t="s">
        <v>1970</v>
      </c>
      <c r="G383" t="s">
        <v>12</v>
      </c>
      <c r="I383" t="s">
        <v>6378</v>
      </c>
      <c r="J383" t="s">
        <v>7926</v>
      </c>
      <c r="K383" s="11">
        <v>79.698305449077196</v>
      </c>
      <c r="L383" s="9">
        <v>0.12906746602480551</v>
      </c>
      <c r="M383" s="11">
        <v>36.810649613601662</v>
      </c>
      <c r="N383" s="11">
        <v>40.491714574961833</v>
      </c>
    </row>
    <row r="384" spans="1:14">
      <c r="A384" t="s">
        <v>1967</v>
      </c>
      <c r="B384" t="s">
        <v>6380</v>
      </c>
      <c r="C384" t="s">
        <v>6381</v>
      </c>
      <c r="D384" t="s">
        <v>11</v>
      </c>
      <c r="E384" t="s">
        <v>13</v>
      </c>
      <c r="F384" t="s">
        <v>1970</v>
      </c>
      <c r="G384" t="s">
        <v>12</v>
      </c>
      <c r="I384" t="s">
        <v>6380</v>
      </c>
      <c r="J384" t="s">
        <v>7927</v>
      </c>
      <c r="K384" s="10">
        <v>264.42633578705858</v>
      </c>
      <c r="L384" s="9">
        <v>0.21919354975663319</v>
      </c>
      <c r="M384" s="11">
        <v>36.356025292816739</v>
      </c>
      <c r="N384" s="11">
        <v>39.991627822098415</v>
      </c>
    </row>
    <row r="385" spans="1:14">
      <c r="A385" t="s">
        <v>1967</v>
      </c>
      <c r="B385" t="s">
        <v>6382</v>
      </c>
      <c r="C385" t="s">
        <v>6383</v>
      </c>
      <c r="D385" t="s">
        <v>11</v>
      </c>
      <c r="E385" t="s">
        <v>13</v>
      </c>
      <c r="F385" t="s">
        <v>1970</v>
      </c>
      <c r="G385" t="s">
        <v>12</v>
      </c>
      <c r="I385" t="s">
        <v>6382</v>
      </c>
      <c r="J385" t="s">
        <v>7928</v>
      </c>
      <c r="K385" s="10">
        <v>261.60760952071263</v>
      </c>
      <c r="L385" s="9">
        <v>0.18486820558509731</v>
      </c>
      <c r="M385" s="11">
        <v>35.072657067462295</v>
      </c>
      <c r="N385" s="11">
        <v>38.579922774208526</v>
      </c>
    </row>
    <row r="386" spans="1:14">
      <c r="A386" t="s">
        <v>1967</v>
      </c>
      <c r="B386" t="s">
        <v>6384</v>
      </c>
      <c r="C386" t="s">
        <v>6385</v>
      </c>
      <c r="D386" t="s">
        <v>11</v>
      </c>
      <c r="E386" t="s">
        <v>13</v>
      </c>
      <c r="F386" t="s">
        <v>1970</v>
      </c>
      <c r="G386" t="s">
        <v>12</v>
      </c>
      <c r="I386" t="s">
        <v>6384</v>
      </c>
      <c r="J386" t="s">
        <v>7929</v>
      </c>
      <c r="K386" s="11">
        <v>74.110021707792228</v>
      </c>
      <c r="L386" s="9">
        <v>0.2083017908485546</v>
      </c>
      <c r="M386" s="11">
        <v>41.506947884349493</v>
      </c>
      <c r="N386" s="11">
        <v>45.657642672784448</v>
      </c>
    </row>
    <row r="387" spans="1:14">
      <c r="A387" t="s">
        <v>1967</v>
      </c>
      <c r="B387" t="s">
        <v>6386</v>
      </c>
      <c r="C387" t="s">
        <v>6387</v>
      </c>
      <c r="D387" t="s">
        <v>11</v>
      </c>
      <c r="E387" t="s">
        <v>13</v>
      </c>
      <c r="F387" t="s">
        <v>1970</v>
      </c>
      <c r="G387" t="s">
        <v>12</v>
      </c>
      <c r="I387" t="s">
        <v>6386</v>
      </c>
      <c r="J387" t="s">
        <v>7930</v>
      </c>
      <c r="K387" s="10">
        <v>157.98692633807795</v>
      </c>
      <c r="L387" s="9">
        <v>0.23284802244584149</v>
      </c>
      <c r="M387" s="10">
        <v>141.42184844741317</v>
      </c>
      <c r="N387" s="10">
        <v>155.56403329215451</v>
      </c>
    </row>
    <row r="388" spans="1:14">
      <c r="A388" t="s">
        <v>1967</v>
      </c>
      <c r="B388" t="s">
        <v>6388</v>
      </c>
      <c r="C388" t="s">
        <v>6389</v>
      </c>
      <c r="D388" t="s">
        <v>11</v>
      </c>
      <c r="E388" t="s">
        <v>13</v>
      </c>
      <c r="F388" t="s">
        <v>1970</v>
      </c>
      <c r="G388" t="s">
        <v>12</v>
      </c>
      <c r="I388" t="s">
        <v>6388</v>
      </c>
      <c r="J388" t="s">
        <v>7931</v>
      </c>
      <c r="K388" s="10">
        <v>148.00380175425971</v>
      </c>
      <c r="L388" s="9">
        <v>0.14291648960736869</v>
      </c>
      <c r="M388" s="11">
        <v>41.388399891217432</v>
      </c>
      <c r="N388" s="11">
        <v>45.527239880339181</v>
      </c>
    </row>
    <row r="389" spans="1:14">
      <c r="A389" t="s">
        <v>1967</v>
      </c>
      <c r="B389" t="s">
        <v>6390</v>
      </c>
      <c r="C389" t="s">
        <v>6391</v>
      </c>
      <c r="D389" t="s">
        <v>11</v>
      </c>
      <c r="E389" t="s">
        <v>13</v>
      </c>
      <c r="F389" t="s">
        <v>1970</v>
      </c>
      <c r="G389" t="s">
        <v>12</v>
      </c>
      <c r="I389" t="s">
        <v>6390</v>
      </c>
      <c r="J389" t="s">
        <v>7932</v>
      </c>
      <c r="K389" s="10">
        <v>198.07536089923366</v>
      </c>
      <c r="L389" s="9">
        <v>0.21370173710879639</v>
      </c>
      <c r="M389" s="11">
        <v>45.000519665848813</v>
      </c>
      <c r="N389" s="11">
        <v>49.500571632433697</v>
      </c>
    </row>
    <row r="390" spans="1:14">
      <c r="A390" t="s">
        <v>1967</v>
      </c>
      <c r="B390" t="s">
        <v>6392</v>
      </c>
      <c r="C390" t="s">
        <v>6393</v>
      </c>
      <c r="D390" t="s">
        <v>11</v>
      </c>
      <c r="E390" t="s">
        <v>13</v>
      </c>
      <c r="F390" t="s">
        <v>1970</v>
      </c>
      <c r="G390" t="s">
        <v>12</v>
      </c>
      <c r="I390" t="s">
        <v>6392</v>
      </c>
      <c r="J390" t="s">
        <v>7933</v>
      </c>
      <c r="K390" s="11">
        <v>53.168871981414583</v>
      </c>
      <c r="L390" s="9">
        <v>0.11158910259207901</v>
      </c>
      <c r="M390" s="11">
        <v>60.61515021275752</v>
      </c>
      <c r="N390" s="11">
        <v>66.67666523403328</v>
      </c>
    </row>
    <row r="391" spans="1:14">
      <c r="A391" t="s">
        <v>1967</v>
      </c>
      <c r="B391" t="s">
        <v>6394</v>
      </c>
      <c r="C391" t="s">
        <v>6395</v>
      </c>
      <c r="D391" t="s">
        <v>11</v>
      </c>
      <c r="E391" t="s">
        <v>13</v>
      </c>
      <c r="F391" t="s">
        <v>1970</v>
      </c>
      <c r="G391" t="s">
        <v>12</v>
      </c>
      <c r="I391" t="s">
        <v>6394</v>
      </c>
      <c r="J391" t="s">
        <v>7934</v>
      </c>
      <c r="K391" s="10">
        <v>173.58517509314973</v>
      </c>
      <c r="L391" s="9">
        <v>0.15142009484578331</v>
      </c>
      <c r="M391" s="11">
        <v>37.286677773581125</v>
      </c>
      <c r="N391" s="11">
        <v>41.015345550939244</v>
      </c>
    </row>
    <row r="392" spans="1:14">
      <c r="A392" t="s">
        <v>1967</v>
      </c>
      <c r="B392" t="s">
        <v>6396</v>
      </c>
      <c r="C392" t="s">
        <v>6397</v>
      </c>
      <c r="D392" t="s">
        <v>11</v>
      </c>
      <c r="E392" t="s">
        <v>13</v>
      </c>
      <c r="F392" t="s">
        <v>1970</v>
      </c>
      <c r="G392" t="s">
        <v>12</v>
      </c>
      <c r="I392" t="s">
        <v>6396</v>
      </c>
      <c r="J392" t="s">
        <v>7935</v>
      </c>
      <c r="K392" s="11">
        <v>26.932860354152929</v>
      </c>
      <c r="L392" s="9">
        <v>0.4168752388045654</v>
      </c>
      <c r="M392" s="11">
        <v>45.645529505929147</v>
      </c>
      <c r="N392" s="11">
        <v>50.210082456522066</v>
      </c>
    </row>
    <row r="393" spans="1:14">
      <c r="A393" t="s">
        <v>1967</v>
      </c>
      <c r="B393" t="s">
        <v>6398</v>
      </c>
      <c r="C393" t="s">
        <v>6399</v>
      </c>
      <c r="D393" t="s">
        <v>11</v>
      </c>
      <c r="E393" t="s">
        <v>13</v>
      </c>
      <c r="F393" t="s">
        <v>1970</v>
      </c>
      <c r="G393" t="s">
        <v>12</v>
      </c>
      <c r="I393" t="s">
        <v>6398</v>
      </c>
      <c r="J393" t="s">
        <v>7936</v>
      </c>
      <c r="K393" s="11">
        <v>13.170941746162548</v>
      </c>
      <c r="L393" s="9">
        <v>0.43025701573369141</v>
      </c>
      <c r="M393" s="11">
        <v>29.937756101219321</v>
      </c>
      <c r="N393" s="11">
        <v>32.931531711341258</v>
      </c>
    </row>
    <row r="394" spans="1:14">
      <c r="A394" t="s">
        <v>1967</v>
      </c>
      <c r="B394" t="s">
        <v>6400</v>
      </c>
      <c r="C394" t="s">
        <v>6401</v>
      </c>
      <c r="D394" t="s">
        <v>11</v>
      </c>
      <c r="E394" t="s">
        <v>13</v>
      </c>
      <c r="F394" t="s">
        <v>1970</v>
      </c>
      <c r="G394" t="s">
        <v>12</v>
      </c>
      <c r="I394" t="s">
        <v>6400</v>
      </c>
      <c r="J394" t="s">
        <v>7937</v>
      </c>
      <c r="K394" s="11">
        <v>58.145968577137666</v>
      </c>
      <c r="L394" s="9">
        <v>0.43493477415716031</v>
      </c>
      <c r="M394" s="11">
        <v>61.261392432979967</v>
      </c>
      <c r="N394" s="11">
        <v>67.387531676277973</v>
      </c>
    </row>
    <row r="395" spans="1:14">
      <c r="A395" t="s">
        <v>1967</v>
      </c>
      <c r="B395" t="s">
        <v>6402</v>
      </c>
      <c r="C395" t="s">
        <v>6403</v>
      </c>
      <c r="D395" t="s">
        <v>11</v>
      </c>
      <c r="E395" t="s">
        <v>13</v>
      </c>
      <c r="F395" t="s">
        <v>1970</v>
      </c>
      <c r="G395" t="s">
        <v>12</v>
      </c>
      <c r="I395" t="s">
        <v>6402</v>
      </c>
      <c r="J395" t="s">
        <v>7938</v>
      </c>
      <c r="K395" s="9">
        <v>9.8744245445189609</v>
      </c>
      <c r="L395" s="9">
        <v>0.54895822947774986</v>
      </c>
      <c r="M395" s="10">
        <v>106.2192284314891</v>
      </c>
      <c r="N395" s="10">
        <v>116.84115127463802</v>
      </c>
    </row>
    <row r="396" spans="1:14">
      <c r="A396" t="s">
        <v>1967</v>
      </c>
      <c r="B396" t="s">
        <v>6404</v>
      </c>
      <c r="C396" t="s">
        <v>6405</v>
      </c>
      <c r="D396" t="s">
        <v>11</v>
      </c>
      <c r="E396" t="s">
        <v>13</v>
      </c>
      <c r="F396" t="s">
        <v>1970</v>
      </c>
      <c r="G396" t="s">
        <v>12</v>
      </c>
      <c r="I396" t="s">
        <v>6404</v>
      </c>
      <c r="J396" t="s">
        <v>7939</v>
      </c>
      <c r="K396" s="11">
        <v>37.473419440204978</v>
      </c>
      <c r="L396" s="9">
        <v>0.13667156943451531</v>
      </c>
      <c r="M396" s="11">
        <v>53.58711146392374</v>
      </c>
      <c r="N396" s="11">
        <v>58.945822610316121</v>
      </c>
    </row>
    <row r="397" spans="1:14">
      <c r="A397" t="s">
        <v>1967</v>
      </c>
      <c r="B397" t="s">
        <v>6406</v>
      </c>
      <c r="C397" t="s">
        <v>6407</v>
      </c>
      <c r="D397" t="s">
        <v>11</v>
      </c>
      <c r="E397" t="s">
        <v>13</v>
      </c>
      <c r="F397" t="s">
        <v>1970</v>
      </c>
      <c r="G397" t="s">
        <v>12</v>
      </c>
      <c r="I397" t="s">
        <v>6406</v>
      </c>
      <c r="J397" t="s">
        <v>7940</v>
      </c>
      <c r="K397" s="11">
        <v>44.176652231717853</v>
      </c>
      <c r="L397" s="9">
        <v>0.13667067842370881</v>
      </c>
      <c r="M397" s="11">
        <v>94.79823024328428</v>
      </c>
      <c r="N397" s="10">
        <v>104.27805326761272</v>
      </c>
    </row>
    <row r="398" spans="1:14">
      <c r="A398" t="s">
        <v>1967</v>
      </c>
      <c r="B398" t="s">
        <v>6408</v>
      </c>
      <c r="C398" t="s">
        <v>6409</v>
      </c>
      <c r="D398" t="s">
        <v>11</v>
      </c>
      <c r="E398" t="s">
        <v>13</v>
      </c>
      <c r="F398" t="s">
        <v>1970</v>
      </c>
      <c r="G398" t="s">
        <v>12</v>
      </c>
      <c r="I398" t="s">
        <v>6408</v>
      </c>
      <c r="J398" t="s">
        <v>7941</v>
      </c>
      <c r="K398" s="11">
        <v>83.389165245033354</v>
      </c>
      <c r="L398" s="9">
        <v>0.13687927738874739</v>
      </c>
      <c r="M398" s="10">
        <v>116.32530755938799</v>
      </c>
      <c r="N398" s="10">
        <v>127.95783831532681</v>
      </c>
    </row>
    <row r="399" spans="1:14">
      <c r="A399" t="s">
        <v>1967</v>
      </c>
      <c r="B399" t="s">
        <v>6410</v>
      </c>
      <c r="C399" t="s">
        <v>6411</v>
      </c>
      <c r="D399" t="s">
        <v>11</v>
      </c>
      <c r="E399" t="s">
        <v>13</v>
      </c>
      <c r="F399" t="s">
        <v>1970</v>
      </c>
      <c r="G399" t="s">
        <v>12</v>
      </c>
      <c r="I399" t="s">
        <v>6410</v>
      </c>
      <c r="J399" t="s">
        <v>7942</v>
      </c>
      <c r="K399" s="10">
        <v>127.21654025340636</v>
      </c>
      <c r="L399" s="9">
        <v>0.13823287899077749</v>
      </c>
      <c r="M399" s="10">
        <v>264.50639256519503</v>
      </c>
      <c r="N399" s="10">
        <v>290.95703182171457</v>
      </c>
    </row>
    <row r="400" spans="1:14">
      <c r="A400" t="s">
        <v>1967</v>
      </c>
      <c r="B400" t="s">
        <v>6412</v>
      </c>
      <c r="C400" t="s">
        <v>6413</v>
      </c>
      <c r="D400" t="s">
        <v>11</v>
      </c>
      <c r="E400" t="s">
        <v>13</v>
      </c>
      <c r="F400" t="s">
        <v>1970</v>
      </c>
      <c r="G400" t="s">
        <v>12</v>
      </c>
      <c r="I400" t="s">
        <v>6412</v>
      </c>
      <c r="J400" t="s">
        <v>7943</v>
      </c>
      <c r="K400" s="11">
        <v>34.094305856303301</v>
      </c>
      <c r="L400" s="9">
        <v>0.1242943199803707</v>
      </c>
      <c r="M400" s="10">
        <v>343.35377188397666</v>
      </c>
      <c r="N400" s="10">
        <v>377.68914907237433</v>
      </c>
    </row>
    <row r="401" spans="1:14">
      <c r="A401" t="s">
        <v>1967</v>
      </c>
      <c r="B401" t="s">
        <v>6414</v>
      </c>
      <c r="C401" t="s">
        <v>6411</v>
      </c>
      <c r="D401" t="s">
        <v>11</v>
      </c>
      <c r="E401" t="s">
        <v>13</v>
      </c>
      <c r="F401" t="s">
        <v>1970</v>
      </c>
      <c r="G401" t="s">
        <v>12</v>
      </c>
      <c r="I401" t="s">
        <v>6414</v>
      </c>
      <c r="J401" t="s">
        <v>7944</v>
      </c>
      <c r="K401" s="11">
        <v>55.305633237080734</v>
      </c>
      <c r="L401" s="9">
        <v>0.18870740262908481</v>
      </c>
      <c r="M401" s="10">
        <v>120.26431089783604</v>
      </c>
      <c r="N401" s="10">
        <v>132.29074198761967</v>
      </c>
    </row>
    <row r="402" spans="1:14">
      <c r="A402" t="s">
        <v>1967</v>
      </c>
      <c r="B402" t="s">
        <v>6415</v>
      </c>
      <c r="C402" t="s">
        <v>6416</v>
      </c>
      <c r="D402" t="s">
        <v>11</v>
      </c>
      <c r="E402" t="s">
        <v>13</v>
      </c>
      <c r="F402" t="s">
        <v>1970</v>
      </c>
      <c r="G402" t="s">
        <v>12</v>
      </c>
      <c r="I402" t="s">
        <v>6415</v>
      </c>
      <c r="J402" t="s">
        <v>7945</v>
      </c>
      <c r="K402" s="10">
        <v>224.11065575823309</v>
      </c>
      <c r="L402" s="9">
        <v>0.27475985711620471</v>
      </c>
      <c r="M402" s="10">
        <v>156.96539587255714</v>
      </c>
      <c r="N402" s="10">
        <v>172.66193545981287</v>
      </c>
    </row>
    <row r="403" spans="1:14">
      <c r="A403" t="s">
        <v>1967</v>
      </c>
      <c r="B403" t="s">
        <v>6417</v>
      </c>
      <c r="C403" t="s">
        <v>6418</v>
      </c>
      <c r="D403" t="s">
        <v>11</v>
      </c>
      <c r="E403" t="s">
        <v>13</v>
      </c>
      <c r="F403" t="s">
        <v>1970</v>
      </c>
      <c r="G403" t="s">
        <v>12</v>
      </c>
      <c r="I403" t="s">
        <v>6417</v>
      </c>
      <c r="J403" t="s">
        <v>7946</v>
      </c>
      <c r="K403" s="11">
        <v>64.597611738344938</v>
      </c>
      <c r="L403" s="9">
        <v>0.2596417823115606</v>
      </c>
      <c r="M403" s="10">
        <v>102.89093309412536</v>
      </c>
      <c r="N403" s="10">
        <v>113.18002640353791</v>
      </c>
    </row>
    <row r="404" spans="1:14">
      <c r="A404" t="s">
        <v>1967</v>
      </c>
      <c r="B404" t="s">
        <v>6419</v>
      </c>
      <c r="C404" t="s">
        <v>6420</v>
      </c>
      <c r="D404" t="s">
        <v>11</v>
      </c>
      <c r="E404" t="s">
        <v>13</v>
      </c>
      <c r="F404" t="s">
        <v>1970</v>
      </c>
      <c r="G404" t="s">
        <v>12</v>
      </c>
      <c r="I404" t="s">
        <v>6419</v>
      </c>
      <c r="J404" t="s">
        <v>7947</v>
      </c>
      <c r="K404" s="10">
        <v>173.01842672857103</v>
      </c>
      <c r="L404" s="9">
        <v>0.22729022382675029</v>
      </c>
      <c r="M404" s="10">
        <v>135.34617992630427</v>
      </c>
      <c r="N404" s="10">
        <v>148.88079791893472</v>
      </c>
    </row>
    <row r="405" spans="1:14">
      <c r="A405" t="s">
        <v>1967</v>
      </c>
      <c r="B405" t="s">
        <v>6421</v>
      </c>
      <c r="C405" t="s">
        <v>6422</v>
      </c>
      <c r="D405" t="s">
        <v>11</v>
      </c>
      <c r="E405" t="s">
        <v>13</v>
      </c>
      <c r="F405" t="s">
        <v>1970</v>
      </c>
      <c r="G405" t="s">
        <v>12</v>
      </c>
      <c r="I405" t="s">
        <v>6421</v>
      </c>
      <c r="J405" t="s">
        <v>7948</v>
      </c>
      <c r="K405" s="11">
        <v>47.584996598449642</v>
      </c>
      <c r="L405" s="9">
        <v>0.18562221076368429</v>
      </c>
      <c r="M405" s="10">
        <v>145.76726208594732</v>
      </c>
      <c r="N405" s="10">
        <v>160.34398829454207</v>
      </c>
    </row>
    <row r="406" spans="1:14">
      <c r="A406" t="s">
        <v>1967</v>
      </c>
      <c r="B406" t="s">
        <v>6423</v>
      </c>
      <c r="C406" t="s">
        <v>6424</v>
      </c>
      <c r="D406" t="s">
        <v>11</v>
      </c>
      <c r="E406" t="s">
        <v>13</v>
      </c>
      <c r="F406" t="s">
        <v>1970</v>
      </c>
      <c r="G406" t="s">
        <v>12</v>
      </c>
      <c r="I406" t="s">
        <v>6423</v>
      </c>
      <c r="J406" t="s">
        <v>7949</v>
      </c>
      <c r="K406" s="11">
        <v>53.181744317233168</v>
      </c>
      <c r="L406" s="9">
        <v>0.1400296417181463</v>
      </c>
      <c r="M406" s="10">
        <v>225.46986183543316</v>
      </c>
      <c r="N406" s="10">
        <v>248.0168480189765</v>
      </c>
    </row>
    <row r="407" spans="1:14">
      <c r="A407" t="s">
        <v>1967</v>
      </c>
      <c r="B407" t="s">
        <v>6425</v>
      </c>
      <c r="C407" t="s">
        <v>6426</v>
      </c>
      <c r="D407" t="s">
        <v>11</v>
      </c>
      <c r="E407" t="s">
        <v>13</v>
      </c>
      <c r="F407" t="s">
        <v>1970</v>
      </c>
      <c r="G407" t="s">
        <v>12</v>
      </c>
      <c r="I407" t="s">
        <v>6425</v>
      </c>
      <c r="J407" t="s">
        <v>7950</v>
      </c>
      <c r="K407" s="11">
        <v>62.611288690120148</v>
      </c>
      <c r="L407" s="9">
        <v>0.14490657782778471</v>
      </c>
      <c r="M407" s="10">
        <v>122.42637621423052</v>
      </c>
      <c r="N407" s="10">
        <v>134.66901383565357</v>
      </c>
    </row>
    <row r="408" spans="1:14">
      <c r="A408" t="s">
        <v>1967</v>
      </c>
      <c r="B408" t="s">
        <v>6427</v>
      </c>
      <c r="C408" t="s">
        <v>6428</v>
      </c>
      <c r="D408" t="s">
        <v>11</v>
      </c>
      <c r="E408" t="s">
        <v>13</v>
      </c>
      <c r="F408" t="s">
        <v>1970</v>
      </c>
      <c r="G408" t="s">
        <v>12</v>
      </c>
      <c r="I408" t="s">
        <v>6427</v>
      </c>
      <c r="J408" t="s">
        <v>7951</v>
      </c>
      <c r="K408" s="11">
        <v>65.723654519574694</v>
      </c>
      <c r="L408" s="9">
        <v>0.32190393567040121</v>
      </c>
      <c r="M408" s="10">
        <v>369.78114207052488</v>
      </c>
      <c r="N408" s="10">
        <v>406.75925627757738</v>
      </c>
    </row>
    <row r="409" spans="1:14">
      <c r="A409" t="s">
        <v>1967</v>
      </c>
      <c r="B409" t="s">
        <v>6429</v>
      </c>
      <c r="C409" t="s">
        <v>6430</v>
      </c>
      <c r="D409" t="s">
        <v>11</v>
      </c>
      <c r="E409" t="s">
        <v>13</v>
      </c>
      <c r="F409" t="s">
        <v>1970</v>
      </c>
      <c r="G409" t="s">
        <v>12</v>
      </c>
      <c r="I409" t="s">
        <v>6429</v>
      </c>
      <c r="J409" t="s">
        <v>7952</v>
      </c>
      <c r="K409" s="11">
        <v>71.963621578193312</v>
      </c>
      <c r="L409" s="9">
        <v>0.29005052152466898</v>
      </c>
      <c r="M409" s="10">
        <v>213.15307436772116</v>
      </c>
      <c r="N409" s="10">
        <v>234.4683818044933</v>
      </c>
    </row>
    <row r="410" spans="1:14">
      <c r="A410" t="s">
        <v>1967</v>
      </c>
      <c r="B410" t="s">
        <v>6431</v>
      </c>
      <c r="C410" t="s">
        <v>6432</v>
      </c>
      <c r="D410" t="s">
        <v>11</v>
      </c>
      <c r="E410" t="s">
        <v>13</v>
      </c>
      <c r="F410" t="s">
        <v>1970</v>
      </c>
      <c r="G410" t="s">
        <v>12</v>
      </c>
      <c r="I410" t="s">
        <v>6431</v>
      </c>
      <c r="J410" t="s">
        <v>7953</v>
      </c>
      <c r="K410" s="11">
        <v>45.692607215713139</v>
      </c>
      <c r="L410" s="9">
        <v>0.38123371880517359</v>
      </c>
      <c r="M410" s="11">
        <v>65.508596037610246</v>
      </c>
      <c r="N410" s="11">
        <v>72.059455641371272</v>
      </c>
    </row>
    <row r="411" spans="1:14">
      <c r="A411" t="s">
        <v>1967</v>
      </c>
      <c r="B411" t="s">
        <v>6433</v>
      </c>
      <c r="C411" t="s">
        <v>6434</v>
      </c>
      <c r="D411" t="s">
        <v>11</v>
      </c>
      <c r="E411" t="s">
        <v>13</v>
      </c>
      <c r="F411" t="s">
        <v>1970</v>
      </c>
      <c r="G411" t="s">
        <v>12</v>
      </c>
      <c r="I411" t="s">
        <v>6433</v>
      </c>
      <c r="J411" t="s">
        <v>7954</v>
      </c>
      <c r="K411" s="10">
        <v>111.8792979862766</v>
      </c>
      <c r="L411" s="9">
        <v>0.35661185949538238</v>
      </c>
      <c r="M411" s="10">
        <v>119.53309106626917</v>
      </c>
      <c r="N411" s="10">
        <v>131.48640017289608</v>
      </c>
    </row>
    <row r="412" spans="1:14">
      <c r="A412" t="s">
        <v>1967</v>
      </c>
      <c r="B412" t="s">
        <v>6435</v>
      </c>
      <c r="C412" t="s">
        <v>6436</v>
      </c>
      <c r="D412" t="s">
        <v>11</v>
      </c>
      <c r="E412" t="s">
        <v>13</v>
      </c>
      <c r="F412" t="s">
        <v>1970</v>
      </c>
      <c r="G412" t="s">
        <v>12</v>
      </c>
      <c r="I412" t="s">
        <v>6435</v>
      </c>
      <c r="J412" t="s">
        <v>7955</v>
      </c>
      <c r="K412" s="11">
        <v>24.645426477359525</v>
      </c>
      <c r="L412" s="9">
        <v>0.28646694113635851</v>
      </c>
      <c r="M412" s="11">
        <v>81.181649630038251</v>
      </c>
      <c r="N412" s="11">
        <v>89.299814593042086</v>
      </c>
    </row>
    <row r="413" spans="1:14">
      <c r="A413" t="s">
        <v>1967</v>
      </c>
      <c r="B413" t="s">
        <v>6437</v>
      </c>
      <c r="C413" t="s">
        <v>6428</v>
      </c>
      <c r="D413" t="s">
        <v>11</v>
      </c>
      <c r="E413" t="s">
        <v>13</v>
      </c>
      <c r="F413" t="s">
        <v>1970</v>
      </c>
      <c r="G413" t="s">
        <v>12</v>
      </c>
      <c r="I413" t="s">
        <v>6437</v>
      </c>
      <c r="J413" t="s">
        <v>7956</v>
      </c>
      <c r="K413" s="11">
        <v>83.608305282804508</v>
      </c>
      <c r="L413" s="9">
        <v>0.33822352425003399</v>
      </c>
      <c r="M413" s="10">
        <v>166.02391899615969</v>
      </c>
      <c r="N413" s="10">
        <v>182.62631089577567</v>
      </c>
    </row>
    <row r="414" spans="1:14">
      <c r="A414" t="s">
        <v>1967</v>
      </c>
      <c r="B414" t="s">
        <v>6438</v>
      </c>
      <c r="C414" t="s">
        <v>6439</v>
      </c>
      <c r="D414" t="s">
        <v>11</v>
      </c>
      <c r="E414" t="s">
        <v>13</v>
      </c>
      <c r="F414" t="s">
        <v>1970</v>
      </c>
      <c r="G414" t="s">
        <v>12</v>
      </c>
      <c r="I414" t="s">
        <v>6438</v>
      </c>
      <c r="J414" t="s">
        <v>7957</v>
      </c>
      <c r="K414" s="11">
        <v>14.462947256383005</v>
      </c>
      <c r="L414" s="9">
        <v>0.21728502079242509</v>
      </c>
      <c r="M414" s="10">
        <v>109.90221049990124</v>
      </c>
      <c r="N414" s="10">
        <v>120.89243154989138</v>
      </c>
    </row>
    <row r="415" spans="1:14">
      <c r="A415" t="s">
        <v>1967</v>
      </c>
      <c r="B415" t="s">
        <v>6440</v>
      </c>
      <c r="C415" t="s">
        <v>6441</v>
      </c>
      <c r="D415" t="s">
        <v>11</v>
      </c>
      <c r="E415" t="s">
        <v>13</v>
      </c>
      <c r="F415" t="s">
        <v>1970</v>
      </c>
      <c r="G415" t="s">
        <v>12</v>
      </c>
      <c r="I415" t="s">
        <v>6440</v>
      </c>
      <c r="J415" t="s">
        <v>7958</v>
      </c>
      <c r="K415" s="11">
        <v>25.771870960857733</v>
      </c>
      <c r="L415" s="9">
        <v>0.1923327995695317</v>
      </c>
      <c r="M415" s="10">
        <v>101.35998820507623</v>
      </c>
      <c r="N415" s="10">
        <v>111.49598702558387</v>
      </c>
    </row>
    <row r="416" spans="1:14">
      <c r="A416" t="s">
        <v>1967</v>
      </c>
      <c r="B416" t="s">
        <v>6442</v>
      </c>
      <c r="C416" t="s">
        <v>6443</v>
      </c>
      <c r="D416" t="s">
        <v>11</v>
      </c>
      <c r="E416" t="s">
        <v>13</v>
      </c>
      <c r="F416" t="s">
        <v>1970</v>
      </c>
      <c r="G416" t="s">
        <v>12</v>
      </c>
      <c r="I416" t="s">
        <v>6442</v>
      </c>
      <c r="J416" t="s">
        <v>7959</v>
      </c>
      <c r="K416" s="11">
        <v>13.303591326076889</v>
      </c>
      <c r="L416" s="9">
        <v>0.12803383476120789</v>
      </c>
      <c r="M416" s="10">
        <v>118.99018338249748</v>
      </c>
      <c r="N416" s="10">
        <v>130.88920172074722</v>
      </c>
    </row>
    <row r="417" spans="1:14">
      <c r="A417" t="s">
        <v>1967</v>
      </c>
      <c r="B417" t="s">
        <v>6444</v>
      </c>
      <c r="C417" t="s">
        <v>6445</v>
      </c>
      <c r="D417" t="s">
        <v>11</v>
      </c>
      <c r="E417" t="s">
        <v>13</v>
      </c>
      <c r="F417" t="s">
        <v>1970</v>
      </c>
      <c r="G417" t="s">
        <v>12</v>
      </c>
      <c r="I417" t="s">
        <v>6444</v>
      </c>
      <c r="J417" t="s">
        <v>7960</v>
      </c>
      <c r="K417" s="11">
        <v>16.096312622767659</v>
      </c>
      <c r="L417" s="9">
        <v>0.13196214314922181</v>
      </c>
      <c r="M417" s="11">
        <v>27.606240950525635</v>
      </c>
      <c r="N417" s="11">
        <v>30.366865045578201</v>
      </c>
    </row>
    <row r="418" spans="1:14">
      <c r="A418" t="s">
        <v>1967</v>
      </c>
      <c r="B418" t="s">
        <v>6446</v>
      </c>
      <c r="C418" t="s">
        <v>6447</v>
      </c>
      <c r="D418" t="s">
        <v>11</v>
      </c>
      <c r="E418" t="s">
        <v>13</v>
      </c>
      <c r="F418" t="s">
        <v>1970</v>
      </c>
      <c r="G418" t="s">
        <v>12</v>
      </c>
      <c r="I418" t="s">
        <v>6446</v>
      </c>
      <c r="J418" t="s">
        <v>7961</v>
      </c>
      <c r="K418" s="9">
        <v>7.7363165779076795</v>
      </c>
      <c r="L418" s="9">
        <v>0.1067814689036061</v>
      </c>
      <c r="M418" s="11">
        <v>15.763286861193921</v>
      </c>
      <c r="N418" s="11">
        <v>17.339615547313315</v>
      </c>
    </row>
    <row r="419" spans="1:14">
      <c r="A419" t="s">
        <v>1967</v>
      </c>
      <c r="B419" t="s">
        <v>6448</v>
      </c>
      <c r="C419" t="s">
        <v>6449</v>
      </c>
      <c r="D419" t="s">
        <v>11</v>
      </c>
      <c r="E419" t="s">
        <v>13</v>
      </c>
      <c r="F419" t="s">
        <v>1970</v>
      </c>
      <c r="G419" t="s">
        <v>12</v>
      </c>
      <c r="I419" t="s">
        <v>6448</v>
      </c>
      <c r="J419" t="s">
        <v>7962</v>
      </c>
      <c r="K419" s="11">
        <v>33.750730451830194</v>
      </c>
      <c r="L419" s="9">
        <v>0.15843870328538259</v>
      </c>
      <c r="M419" s="11">
        <v>24.250137898604937</v>
      </c>
      <c r="N419" s="11">
        <v>26.675151688465434</v>
      </c>
    </row>
    <row r="420" spans="1:14">
      <c r="A420" t="s">
        <v>1967</v>
      </c>
      <c r="B420" t="s">
        <v>6450</v>
      </c>
      <c r="C420" t="s">
        <v>6451</v>
      </c>
      <c r="D420" t="s">
        <v>11</v>
      </c>
      <c r="E420" t="s">
        <v>13</v>
      </c>
      <c r="F420" t="s">
        <v>1970</v>
      </c>
      <c r="G420" t="s">
        <v>12</v>
      </c>
      <c r="I420" t="s">
        <v>6450</v>
      </c>
      <c r="J420" t="s">
        <v>7963</v>
      </c>
      <c r="K420" s="11">
        <v>44.22384825648389</v>
      </c>
      <c r="L420" s="9">
        <v>0.112240331296524</v>
      </c>
      <c r="M420" s="11">
        <v>17.848726333487939</v>
      </c>
      <c r="N420" s="11">
        <v>19.633598966836733</v>
      </c>
    </row>
    <row r="421" spans="1:14">
      <c r="A421" t="s">
        <v>1967</v>
      </c>
      <c r="B421" t="s">
        <v>6452</v>
      </c>
      <c r="C421" t="s">
        <v>6453</v>
      </c>
      <c r="D421" t="s">
        <v>11</v>
      </c>
      <c r="E421" t="s">
        <v>13</v>
      </c>
      <c r="F421" t="s">
        <v>1970</v>
      </c>
      <c r="G421" t="s">
        <v>12</v>
      </c>
      <c r="I421" t="s">
        <v>6452</v>
      </c>
      <c r="J421" t="s">
        <v>7964</v>
      </c>
      <c r="K421" s="11">
        <v>43.632125322514923</v>
      </c>
      <c r="L421" s="9">
        <v>0.19799179057316549</v>
      </c>
      <c r="M421" s="11">
        <v>18.058205020073441</v>
      </c>
      <c r="N421" s="11">
        <v>19.864025522080787</v>
      </c>
    </row>
    <row r="422" spans="1:14">
      <c r="A422" t="s">
        <v>1967</v>
      </c>
      <c r="B422" t="s">
        <v>6454</v>
      </c>
      <c r="C422" t="s">
        <v>6455</v>
      </c>
      <c r="D422" t="s">
        <v>11</v>
      </c>
      <c r="E422" t="s">
        <v>13</v>
      </c>
      <c r="F422" t="s">
        <v>1970</v>
      </c>
      <c r="G422" t="s">
        <v>12</v>
      </c>
      <c r="I422" t="s">
        <v>6454</v>
      </c>
      <c r="J422" t="s">
        <v>7965</v>
      </c>
      <c r="K422" s="11">
        <v>24.460637871367439</v>
      </c>
      <c r="L422" s="9">
        <v>0.111086799070093</v>
      </c>
      <c r="M422" s="11">
        <v>24.309235232652707</v>
      </c>
      <c r="N422" s="11">
        <v>26.740158755917982</v>
      </c>
    </row>
    <row r="423" spans="1:14">
      <c r="A423" t="s">
        <v>1967</v>
      </c>
      <c r="B423" t="s">
        <v>6456</v>
      </c>
      <c r="C423" t="s">
        <v>6457</v>
      </c>
      <c r="D423" t="s">
        <v>11</v>
      </c>
      <c r="E423" t="s">
        <v>13</v>
      </c>
      <c r="F423" t="s">
        <v>1970</v>
      </c>
      <c r="G423" t="s">
        <v>12</v>
      </c>
      <c r="I423" t="s">
        <v>6456</v>
      </c>
      <c r="J423" t="s">
        <v>7966</v>
      </c>
      <c r="K423" s="11">
        <v>47.302621326701271</v>
      </c>
      <c r="L423" s="9">
        <v>0.24203019396677511</v>
      </c>
      <c r="M423" s="11">
        <v>30.782724464912608</v>
      </c>
      <c r="N423" s="11">
        <v>33.860996911403873</v>
      </c>
    </row>
    <row r="424" spans="1:14">
      <c r="A424" t="s">
        <v>1967</v>
      </c>
      <c r="B424" t="s">
        <v>6458</v>
      </c>
      <c r="C424" t="s">
        <v>6459</v>
      </c>
      <c r="D424" t="s">
        <v>11</v>
      </c>
      <c r="E424" t="s">
        <v>13</v>
      </c>
      <c r="F424" t="s">
        <v>1970</v>
      </c>
      <c r="G424" t="s">
        <v>12</v>
      </c>
      <c r="I424" t="s">
        <v>6458</v>
      </c>
      <c r="J424" t="s">
        <v>7967</v>
      </c>
      <c r="K424" s="11">
        <v>57.078294490018621</v>
      </c>
      <c r="L424" s="9">
        <v>0.17436819268393611</v>
      </c>
      <c r="M424" s="11">
        <v>28.304369975839279</v>
      </c>
      <c r="N424" s="11">
        <v>31.13480697342321</v>
      </c>
    </row>
    <row r="425" spans="1:14">
      <c r="A425" t="s">
        <v>1967</v>
      </c>
      <c r="B425" t="s">
        <v>6460</v>
      </c>
      <c r="C425" t="s">
        <v>6461</v>
      </c>
      <c r="D425" t="s">
        <v>11</v>
      </c>
      <c r="E425" t="s">
        <v>13</v>
      </c>
      <c r="F425" t="s">
        <v>1970</v>
      </c>
      <c r="G425" t="s">
        <v>12</v>
      </c>
      <c r="I425" t="s">
        <v>6460</v>
      </c>
      <c r="J425" t="s">
        <v>7968</v>
      </c>
      <c r="K425" s="9">
        <v>0.11228659229507934</v>
      </c>
      <c r="L425" s="9">
        <v>0.13801173045540971</v>
      </c>
      <c r="M425" s="11">
        <v>39.356816441347753</v>
      </c>
      <c r="N425" s="11">
        <v>43.292498085482535</v>
      </c>
    </row>
    <row r="426" spans="1:14">
      <c r="A426" t="s">
        <v>1967</v>
      </c>
      <c r="B426" t="s">
        <v>6462</v>
      </c>
      <c r="C426" t="s">
        <v>6463</v>
      </c>
      <c r="D426" t="s">
        <v>11</v>
      </c>
      <c r="E426" t="s">
        <v>13</v>
      </c>
      <c r="F426" t="s">
        <v>1970</v>
      </c>
      <c r="G426" t="s">
        <v>12</v>
      </c>
      <c r="I426" t="s">
        <v>6462</v>
      </c>
      <c r="J426" t="s">
        <v>7969</v>
      </c>
      <c r="K426" s="9">
        <v>0.54011960645964252</v>
      </c>
      <c r="L426" s="9">
        <v>0.27164149549989142</v>
      </c>
      <c r="M426" s="11">
        <v>79.887040874799993</v>
      </c>
      <c r="N426" s="11">
        <v>87.875744962279995</v>
      </c>
    </row>
    <row r="427" spans="1:14">
      <c r="A427" t="s">
        <v>1967</v>
      </c>
      <c r="B427" t="s">
        <v>6464</v>
      </c>
      <c r="C427" t="s">
        <v>6465</v>
      </c>
      <c r="D427" t="s">
        <v>11</v>
      </c>
      <c r="E427" t="s">
        <v>13</v>
      </c>
      <c r="F427" t="s">
        <v>1970</v>
      </c>
      <c r="G427" t="s">
        <v>12</v>
      </c>
      <c r="I427" t="s">
        <v>6464</v>
      </c>
      <c r="J427" t="s">
        <v>7970</v>
      </c>
      <c r="K427" s="11">
        <v>17.633956128863307</v>
      </c>
      <c r="L427" s="9">
        <v>0.13393529981156299</v>
      </c>
      <c r="M427" s="10">
        <v>242.27363461726816</v>
      </c>
      <c r="N427" s="10">
        <v>266.500998078995</v>
      </c>
    </row>
    <row r="428" spans="1:14">
      <c r="A428" t="s">
        <v>1967</v>
      </c>
      <c r="B428" t="s">
        <v>6466</v>
      </c>
      <c r="C428" t="s">
        <v>6467</v>
      </c>
      <c r="D428" t="s">
        <v>11</v>
      </c>
      <c r="E428" t="s">
        <v>13</v>
      </c>
      <c r="F428" t="s">
        <v>1970</v>
      </c>
      <c r="G428" t="s">
        <v>12</v>
      </c>
      <c r="I428" t="s">
        <v>6466</v>
      </c>
      <c r="J428" t="s">
        <v>7971</v>
      </c>
      <c r="K428" s="9">
        <v>8.7482937044778186</v>
      </c>
      <c r="L428" s="9">
        <v>0.1746545821458691</v>
      </c>
      <c r="M428" s="11">
        <v>67.164439254266298</v>
      </c>
      <c r="N428" s="11">
        <v>73.88088317969293</v>
      </c>
    </row>
    <row r="429" spans="1:14">
      <c r="A429" t="s">
        <v>1967</v>
      </c>
      <c r="B429" t="s">
        <v>6468</v>
      </c>
      <c r="C429" t="s">
        <v>6469</v>
      </c>
      <c r="D429" t="s">
        <v>11</v>
      </c>
      <c r="E429" t="s">
        <v>13</v>
      </c>
      <c r="F429" t="s">
        <v>1970</v>
      </c>
      <c r="G429" t="s">
        <v>12</v>
      </c>
      <c r="I429" t="s">
        <v>6468</v>
      </c>
      <c r="J429" t="s">
        <v>7972</v>
      </c>
      <c r="K429" s="11">
        <v>40.4279345798534</v>
      </c>
      <c r="L429" s="9">
        <v>0.289317096868556</v>
      </c>
      <c r="M429" s="10">
        <v>235.93613367592528</v>
      </c>
      <c r="N429" s="10">
        <v>259.52974704351783</v>
      </c>
    </row>
    <row r="430" spans="1:14">
      <c r="A430" t="s">
        <v>1967</v>
      </c>
      <c r="B430" t="s">
        <v>6470</v>
      </c>
      <c r="C430" t="s">
        <v>6471</v>
      </c>
      <c r="D430" t="s">
        <v>11</v>
      </c>
      <c r="E430" t="s">
        <v>13</v>
      </c>
      <c r="F430" t="s">
        <v>1970</v>
      </c>
      <c r="G430" t="s">
        <v>12</v>
      </c>
      <c r="I430" t="s">
        <v>6470</v>
      </c>
      <c r="J430" t="s">
        <v>7973</v>
      </c>
      <c r="K430" s="11">
        <v>56.952813433158511</v>
      </c>
      <c r="L430" s="9">
        <v>0.30346866698291081</v>
      </c>
      <c r="M430" s="10">
        <v>182.28632462292816</v>
      </c>
      <c r="N430" s="10">
        <v>200.514957085221</v>
      </c>
    </row>
    <row r="431" spans="1:14">
      <c r="A431" t="s">
        <v>1967</v>
      </c>
      <c r="B431" t="s">
        <v>6472</v>
      </c>
      <c r="C431" t="s">
        <v>6473</v>
      </c>
      <c r="D431" t="s">
        <v>11</v>
      </c>
      <c r="E431" t="s">
        <v>13</v>
      </c>
      <c r="F431" t="s">
        <v>1970</v>
      </c>
      <c r="G431" t="s">
        <v>12</v>
      </c>
      <c r="I431" t="s">
        <v>6472</v>
      </c>
      <c r="J431" t="s">
        <v>7974</v>
      </c>
      <c r="K431" s="11">
        <v>11.408649516196151</v>
      </c>
      <c r="L431" s="9">
        <v>0.46201086785741929</v>
      </c>
      <c r="M431" s="10">
        <v>160.96000117065844</v>
      </c>
      <c r="N431" s="10">
        <v>177.05600128772431</v>
      </c>
    </row>
    <row r="432" spans="1:14">
      <c r="A432" t="s">
        <v>1967</v>
      </c>
      <c r="B432" t="s">
        <v>6474</v>
      </c>
      <c r="C432" t="s">
        <v>6475</v>
      </c>
      <c r="D432" t="s">
        <v>11</v>
      </c>
      <c r="E432" t="s">
        <v>13</v>
      </c>
      <c r="F432" t="s">
        <v>1970</v>
      </c>
      <c r="G432" t="s">
        <v>12</v>
      </c>
      <c r="I432" t="s">
        <v>6474</v>
      </c>
      <c r="J432" t="s">
        <v>7975</v>
      </c>
      <c r="K432" s="11">
        <v>78.227618386713715</v>
      </c>
      <c r="L432" s="9">
        <v>0.16111654176462631</v>
      </c>
      <c r="M432" s="11">
        <v>34.177747226113254</v>
      </c>
      <c r="N432" s="11">
        <v>37.595521948724581</v>
      </c>
    </row>
    <row r="433" spans="1:14">
      <c r="A433" t="s">
        <v>1967</v>
      </c>
      <c r="B433" t="s">
        <v>6476</v>
      </c>
      <c r="C433" t="s">
        <v>6477</v>
      </c>
      <c r="D433" t="s">
        <v>11</v>
      </c>
      <c r="E433" t="s">
        <v>13</v>
      </c>
      <c r="F433" t="s">
        <v>1970</v>
      </c>
      <c r="G433" t="s">
        <v>12</v>
      </c>
      <c r="I433" t="s">
        <v>6476</v>
      </c>
      <c r="J433" t="s">
        <v>7976</v>
      </c>
      <c r="K433" s="10">
        <v>104.44780591595016</v>
      </c>
      <c r="L433" s="9">
        <v>0.214220658161594</v>
      </c>
      <c r="M433" s="11">
        <v>36.271842596141852</v>
      </c>
      <c r="N433" s="11">
        <v>39.899026855756041</v>
      </c>
    </row>
    <row r="434" spans="1:14">
      <c r="A434" t="s">
        <v>1967</v>
      </c>
      <c r="B434" t="s">
        <v>6478</v>
      </c>
      <c r="C434" t="s">
        <v>6479</v>
      </c>
      <c r="D434" t="s">
        <v>11</v>
      </c>
      <c r="E434" t="s">
        <v>13</v>
      </c>
      <c r="F434" t="s">
        <v>1970</v>
      </c>
      <c r="G434" t="s">
        <v>12</v>
      </c>
      <c r="I434" t="s">
        <v>6478</v>
      </c>
      <c r="J434" t="s">
        <v>7977</v>
      </c>
      <c r="K434" s="11">
        <v>31.938377941823326</v>
      </c>
      <c r="L434" s="9">
        <v>0.24528793746377309</v>
      </c>
      <c r="M434" s="11">
        <v>20.779479267661937</v>
      </c>
      <c r="N434" s="11">
        <v>22.857427194428134</v>
      </c>
    </row>
    <row r="435" spans="1:14">
      <c r="A435" t="s">
        <v>1967</v>
      </c>
      <c r="B435" t="s">
        <v>6480</v>
      </c>
      <c r="C435" t="s">
        <v>6475</v>
      </c>
      <c r="D435" t="s">
        <v>11</v>
      </c>
      <c r="E435" t="s">
        <v>13</v>
      </c>
      <c r="F435" t="s">
        <v>1970</v>
      </c>
      <c r="G435" t="s">
        <v>12</v>
      </c>
      <c r="I435" t="s">
        <v>6480</v>
      </c>
      <c r="J435" t="s">
        <v>7978</v>
      </c>
      <c r="K435" s="11">
        <v>55.870299237839959</v>
      </c>
      <c r="L435" s="9">
        <v>0.30710548004692001</v>
      </c>
      <c r="M435" s="11">
        <v>49.859711543517761</v>
      </c>
      <c r="N435" s="11">
        <v>54.845682697869542</v>
      </c>
    </row>
    <row r="436" spans="1:14">
      <c r="A436" t="s">
        <v>1967</v>
      </c>
      <c r="B436" t="s">
        <v>6481</v>
      </c>
      <c r="C436" t="s">
        <v>6482</v>
      </c>
      <c r="D436" t="s">
        <v>11</v>
      </c>
      <c r="E436" t="s">
        <v>13</v>
      </c>
      <c r="F436" t="s">
        <v>1970</v>
      </c>
      <c r="G436" t="s">
        <v>12</v>
      </c>
      <c r="I436" t="s">
        <v>6481</v>
      </c>
      <c r="J436" t="s">
        <v>7979</v>
      </c>
      <c r="K436" s="11">
        <v>34.155692309013141</v>
      </c>
      <c r="L436" s="9">
        <v>0.24984364225151029</v>
      </c>
      <c r="M436" s="11">
        <v>38.910546268596505</v>
      </c>
      <c r="N436" s="11">
        <v>42.801600895456161</v>
      </c>
    </row>
    <row r="437" spans="1:14">
      <c r="A437" t="s">
        <v>1967</v>
      </c>
      <c r="B437" t="s">
        <v>6483</v>
      </c>
      <c r="C437" t="s">
        <v>6484</v>
      </c>
      <c r="D437" t="s">
        <v>11</v>
      </c>
      <c r="E437" t="s">
        <v>13</v>
      </c>
      <c r="F437" t="s">
        <v>1970</v>
      </c>
      <c r="G437" t="s">
        <v>12</v>
      </c>
      <c r="I437" t="s">
        <v>6483</v>
      </c>
      <c r="J437" t="s">
        <v>7980</v>
      </c>
      <c r="K437" s="11">
        <v>12.960413180463023</v>
      </c>
      <c r="L437" s="9">
        <v>0.11871533499874309</v>
      </c>
      <c r="M437" s="11">
        <v>44.996245988459108</v>
      </c>
      <c r="N437" s="11">
        <v>49.495870587305021</v>
      </c>
    </row>
    <row r="438" spans="1:14">
      <c r="A438" t="s">
        <v>1967</v>
      </c>
      <c r="B438" t="s">
        <v>6485</v>
      </c>
      <c r="C438" t="s">
        <v>6486</v>
      </c>
      <c r="D438" t="s">
        <v>11</v>
      </c>
      <c r="E438" t="s">
        <v>13</v>
      </c>
      <c r="F438" t="s">
        <v>1970</v>
      </c>
      <c r="G438" t="s">
        <v>12</v>
      </c>
      <c r="I438" t="s">
        <v>6485</v>
      </c>
      <c r="J438" t="s">
        <v>7981</v>
      </c>
      <c r="K438" s="11">
        <v>73.632497450153252</v>
      </c>
      <c r="L438" s="9">
        <v>0.1783922352972416</v>
      </c>
      <c r="M438" s="11">
        <v>47.514892191779737</v>
      </c>
      <c r="N438" s="11">
        <v>52.266381410957713</v>
      </c>
    </row>
    <row r="439" spans="1:14">
      <c r="A439" t="s">
        <v>1967</v>
      </c>
      <c r="B439" t="s">
        <v>6487</v>
      </c>
      <c r="C439" t="s">
        <v>6488</v>
      </c>
      <c r="D439" t="s">
        <v>11</v>
      </c>
      <c r="E439" t="s">
        <v>13</v>
      </c>
      <c r="F439" t="s">
        <v>1970</v>
      </c>
      <c r="G439" t="s">
        <v>12</v>
      </c>
      <c r="I439" t="s">
        <v>6487</v>
      </c>
      <c r="J439" t="s">
        <v>7982</v>
      </c>
      <c r="K439" s="11">
        <v>96.941822606612902</v>
      </c>
      <c r="L439" s="9">
        <v>0.30957069743969379</v>
      </c>
      <c r="M439" s="11">
        <v>55.909578176626049</v>
      </c>
      <c r="N439" s="11">
        <v>61.500535994288661</v>
      </c>
    </row>
    <row r="440" spans="1:14">
      <c r="A440" t="s">
        <v>1967</v>
      </c>
      <c r="B440" t="s">
        <v>6489</v>
      </c>
      <c r="C440" t="s">
        <v>6490</v>
      </c>
      <c r="D440" t="s">
        <v>11</v>
      </c>
      <c r="E440" t="s">
        <v>13</v>
      </c>
      <c r="F440" t="s">
        <v>1970</v>
      </c>
      <c r="G440" t="s">
        <v>12</v>
      </c>
      <c r="I440" t="s">
        <v>6489</v>
      </c>
      <c r="J440" t="s">
        <v>7983</v>
      </c>
      <c r="K440" s="10">
        <v>117.45788380381255</v>
      </c>
      <c r="L440" s="9">
        <v>0.24730183273731091</v>
      </c>
      <c r="M440" s="11">
        <v>77.774375053531728</v>
      </c>
      <c r="N440" s="11">
        <v>85.551812558884905</v>
      </c>
    </row>
    <row r="441" spans="1:14">
      <c r="A441" t="s">
        <v>1967</v>
      </c>
      <c r="B441" t="s">
        <v>6491</v>
      </c>
      <c r="C441" t="s">
        <v>6492</v>
      </c>
      <c r="D441" t="s">
        <v>11</v>
      </c>
      <c r="E441" t="s">
        <v>13</v>
      </c>
      <c r="F441" t="s">
        <v>1970</v>
      </c>
      <c r="G441" t="s">
        <v>12</v>
      </c>
      <c r="I441" t="s">
        <v>6491</v>
      </c>
      <c r="J441" t="s">
        <v>7984</v>
      </c>
      <c r="K441" s="11">
        <v>63.377544811736854</v>
      </c>
      <c r="L441" s="9">
        <v>0.29521854227637728</v>
      </c>
      <c r="M441" s="10">
        <v>131.53284267788013</v>
      </c>
      <c r="N441" s="10">
        <v>144.68612694566815</v>
      </c>
    </row>
    <row r="442" spans="1:14">
      <c r="A442" t="s">
        <v>1967</v>
      </c>
      <c r="B442" t="s">
        <v>6493</v>
      </c>
      <c r="C442" t="s">
        <v>6494</v>
      </c>
      <c r="D442" t="s">
        <v>11</v>
      </c>
      <c r="E442" t="s">
        <v>13</v>
      </c>
      <c r="F442" t="s">
        <v>1970</v>
      </c>
      <c r="G442" t="s">
        <v>12</v>
      </c>
      <c r="I442" t="s">
        <v>6493</v>
      </c>
      <c r="J442" t="s">
        <v>7985</v>
      </c>
      <c r="K442" s="10">
        <v>188.25104947737688</v>
      </c>
      <c r="L442" s="9">
        <v>0.36507482591889068</v>
      </c>
      <c r="M442" s="10">
        <v>254.35533031804505</v>
      </c>
      <c r="N442" s="10">
        <v>279.79086334984959</v>
      </c>
    </row>
    <row r="443" spans="1:14">
      <c r="A443" t="s">
        <v>1967</v>
      </c>
      <c r="B443" t="s">
        <v>6495</v>
      </c>
      <c r="C443" t="s">
        <v>6496</v>
      </c>
      <c r="D443" t="s">
        <v>11</v>
      </c>
      <c r="E443" t="s">
        <v>13</v>
      </c>
      <c r="F443" t="s">
        <v>1970</v>
      </c>
      <c r="G443" t="s">
        <v>12</v>
      </c>
      <c r="I443" t="s">
        <v>6495</v>
      </c>
      <c r="J443" t="s">
        <v>7986</v>
      </c>
      <c r="K443" s="10">
        <v>256.12354368705002</v>
      </c>
      <c r="L443" s="9">
        <v>0.39122009959017801</v>
      </c>
      <c r="M443" s="10">
        <v>396.32652675116384</v>
      </c>
      <c r="N443" s="10">
        <v>435.95917942628029</v>
      </c>
    </row>
    <row r="444" spans="1:14">
      <c r="A444" t="s">
        <v>1967</v>
      </c>
      <c r="B444" t="s">
        <v>6497</v>
      </c>
      <c r="C444" t="s">
        <v>6498</v>
      </c>
      <c r="D444" t="s">
        <v>11</v>
      </c>
      <c r="E444" t="s">
        <v>13</v>
      </c>
      <c r="F444" t="s">
        <v>1970</v>
      </c>
      <c r="G444" t="s">
        <v>12</v>
      </c>
      <c r="I444" t="s">
        <v>6497</v>
      </c>
      <c r="J444" t="s">
        <v>7987</v>
      </c>
      <c r="K444" s="10">
        <v>170.43059792954926</v>
      </c>
      <c r="L444" s="9">
        <v>0.37395796050123842</v>
      </c>
      <c r="M444" s="10">
        <v>208.4048080750506</v>
      </c>
      <c r="N444" s="10">
        <v>229.24528888255568</v>
      </c>
    </row>
    <row r="445" spans="1:14">
      <c r="A445" t="s">
        <v>1967</v>
      </c>
      <c r="B445" t="s">
        <v>6499</v>
      </c>
      <c r="C445" t="s">
        <v>6500</v>
      </c>
      <c r="D445" t="s">
        <v>11</v>
      </c>
      <c r="E445" t="s">
        <v>13</v>
      </c>
      <c r="F445" t="s">
        <v>1970</v>
      </c>
      <c r="G445" t="s">
        <v>12</v>
      </c>
      <c r="I445" t="s">
        <v>6499</v>
      </c>
      <c r="J445" t="s">
        <v>7988</v>
      </c>
      <c r="K445" s="11">
        <v>84.208306909267947</v>
      </c>
      <c r="L445" s="9">
        <v>0.39279800762918698</v>
      </c>
      <c r="M445" s="10">
        <v>242.3980143236104</v>
      </c>
      <c r="N445" s="10">
        <v>266.63781575597147</v>
      </c>
    </row>
    <row r="446" spans="1:14">
      <c r="A446" t="s">
        <v>1967</v>
      </c>
      <c r="B446" t="s">
        <v>6501</v>
      </c>
      <c r="C446" t="s">
        <v>6502</v>
      </c>
      <c r="D446" t="s">
        <v>11</v>
      </c>
      <c r="E446" t="s">
        <v>13</v>
      </c>
      <c r="F446" t="s">
        <v>1970</v>
      </c>
      <c r="G446" t="s">
        <v>12</v>
      </c>
      <c r="I446" t="s">
        <v>6501</v>
      </c>
      <c r="J446" t="s">
        <v>7989</v>
      </c>
      <c r="K446" s="10">
        <v>192.72519740689052</v>
      </c>
      <c r="L446" s="9">
        <v>0.41302613602739019</v>
      </c>
      <c r="M446" s="10">
        <v>158.28958538214096</v>
      </c>
      <c r="N446" s="10">
        <v>174.11854392035505</v>
      </c>
    </row>
    <row r="447" spans="1:14">
      <c r="A447" t="s">
        <v>1967</v>
      </c>
      <c r="B447" t="s">
        <v>6503</v>
      </c>
      <c r="C447" t="s">
        <v>6504</v>
      </c>
      <c r="D447" t="s">
        <v>11</v>
      </c>
      <c r="E447" t="s">
        <v>13</v>
      </c>
      <c r="F447" t="s">
        <v>1970</v>
      </c>
      <c r="G447" t="s">
        <v>12</v>
      </c>
      <c r="I447" t="s">
        <v>6503</v>
      </c>
      <c r="J447" t="s">
        <v>7990</v>
      </c>
      <c r="K447" s="10">
        <v>117.79891662012389</v>
      </c>
      <c r="L447" s="9">
        <v>0.42342710345786227</v>
      </c>
      <c r="M447" s="10">
        <v>187.28501460362787</v>
      </c>
      <c r="N447" s="10">
        <v>206.01351606399066</v>
      </c>
    </row>
    <row r="448" spans="1:14">
      <c r="A448" t="s">
        <v>1967</v>
      </c>
      <c r="B448" t="s">
        <v>6505</v>
      </c>
      <c r="C448" t="s">
        <v>6506</v>
      </c>
      <c r="D448" t="s">
        <v>11</v>
      </c>
      <c r="E448" t="s">
        <v>13</v>
      </c>
      <c r="F448" t="s">
        <v>1970</v>
      </c>
      <c r="G448" t="s">
        <v>12</v>
      </c>
      <c r="I448" t="s">
        <v>6505</v>
      </c>
      <c r="J448" t="s">
        <v>7991</v>
      </c>
      <c r="K448" s="10">
        <v>182.63156627158591</v>
      </c>
      <c r="L448" s="9">
        <v>0.40935592607804999</v>
      </c>
      <c r="M448" s="10">
        <v>261.08028080738427</v>
      </c>
      <c r="N448" s="10">
        <v>287.18830888812272</v>
      </c>
    </row>
    <row r="449" spans="1:14">
      <c r="A449" t="s">
        <v>1967</v>
      </c>
      <c r="B449" t="s">
        <v>6507</v>
      </c>
      <c r="C449" t="s">
        <v>6508</v>
      </c>
      <c r="D449" t="s">
        <v>11</v>
      </c>
      <c r="E449" t="s">
        <v>13</v>
      </c>
      <c r="F449" t="s">
        <v>1970</v>
      </c>
      <c r="G449" t="s">
        <v>12</v>
      </c>
      <c r="I449" t="s">
        <v>6507</v>
      </c>
      <c r="J449" t="s">
        <v>7992</v>
      </c>
      <c r="K449" s="10">
        <v>254.07018464034172</v>
      </c>
      <c r="L449" s="9">
        <v>0.41526137254487</v>
      </c>
      <c r="M449" s="10">
        <v>380.14424451914681</v>
      </c>
      <c r="N449" s="10">
        <v>418.1586689710615</v>
      </c>
    </row>
    <row r="450" spans="1:14">
      <c r="A450" t="s">
        <v>1967</v>
      </c>
      <c r="B450" t="s">
        <v>6509</v>
      </c>
      <c r="C450" t="s">
        <v>6510</v>
      </c>
      <c r="D450" t="s">
        <v>11</v>
      </c>
      <c r="E450" t="s">
        <v>13</v>
      </c>
      <c r="F450" t="s">
        <v>1970</v>
      </c>
      <c r="G450" t="s">
        <v>12</v>
      </c>
      <c r="I450" t="s">
        <v>6509</v>
      </c>
      <c r="J450" t="s">
        <v>7993</v>
      </c>
      <c r="K450" s="11">
        <v>96.070586242361884</v>
      </c>
      <c r="L450" s="9">
        <v>0.38017947823229992</v>
      </c>
      <c r="M450" s="10">
        <v>261.21779962145985</v>
      </c>
      <c r="N450" s="10">
        <v>287.33957958360588</v>
      </c>
    </row>
    <row r="451" spans="1:14">
      <c r="A451" t="s">
        <v>1967</v>
      </c>
      <c r="B451" t="s">
        <v>6511</v>
      </c>
      <c r="C451" t="s">
        <v>6512</v>
      </c>
      <c r="D451" t="s">
        <v>11</v>
      </c>
      <c r="E451" t="s">
        <v>13</v>
      </c>
      <c r="F451" t="s">
        <v>1970</v>
      </c>
      <c r="G451" t="s">
        <v>12</v>
      </c>
      <c r="I451" t="s">
        <v>6511</v>
      </c>
      <c r="J451" t="s">
        <v>7994</v>
      </c>
      <c r="K451" s="11">
        <v>52.158689717618792</v>
      </c>
      <c r="L451" s="9">
        <v>0.28789794127456619</v>
      </c>
      <c r="M451" s="10">
        <v>168.47534323082749</v>
      </c>
      <c r="N451" s="10">
        <v>185.32287755391025</v>
      </c>
    </row>
    <row r="452" spans="1:14">
      <c r="A452" t="s">
        <v>1967</v>
      </c>
      <c r="B452" t="s">
        <v>6513</v>
      </c>
      <c r="C452" t="s">
        <v>6514</v>
      </c>
      <c r="D452" t="s">
        <v>11</v>
      </c>
      <c r="E452" t="s">
        <v>13</v>
      </c>
      <c r="F452" t="s">
        <v>1970</v>
      </c>
      <c r="G452" t="s">
        <v>12</v>
      </c>
      <c r="I452" t="s">
        <v>6513</v>
      </c>
      <c r="J452" t="s">
        <v>7995</v>
      </c>
      <c r="K452" s="11">
        <v>91.549795481991083</v>
      </c>
      <c r="L452" s="9">
        <v>0.36290924445665002</v>
      </c>
      <c r="M452" s="10">
        <v>234.72891774862416</v>
      </c>
      <c r="N452" s="10">
        <v>258.20180952348659</v>
      </c>
    </row>
    <row r="453" spans="1:14">
      <c r="A453" t="s">
        <v>1967</v>
      </c>
      <c r="B453" t="s">
        <v>6515</v>
      </c>
      <c r="C453" t="s">
        <v>6516</v>
      </c>
      <c r="D453" t="s">
        <v>11</v>
      </c>
      <c r="E453" t="s">
        <v>13</v>
      </c>
      <c r="F453" t="s">
        <v>1970</v>
      </c>
      <c r="G453" t="s">
        <v>12</v>
      </c>
      <c r="I453" t="s">
        <v>6515</v>
      </c>
      <c r="J453" t="s">
        <v>7996</v>
      </c>
      <c r="K453" s="10">
        <v>219.85352197066254</v>
      </c>
      <c r="L453" s="9">
        <v>0.39722276698597558</v>
      </c>
      <c r="M453" s="10">
        <v>287.05186246045696</v>
      </c>
      <c r="N453" s="10">
        <v>315.7570487065027</v>
      </c>
    </row>
    <row r="454" spans="1:14">
      <c r="A454" t="s">
        <v>1967</v>
      </c>
      <c r="B454" t="s">
        <v>6517</v>
      </c>
      <c r="C454" t="s">
        <v>6518</v>
      </c>
      <c r="D454" t="s">
        <v>11</v>
      </c>
      <c r="E454" t="s">
        <v>13</v>
      </c>
      <c r="F454" t="s">
        <v>1970</v>
      </c>
      <c r="G454" t="s">
        <v>12</v>
      </c>
      <c r="I454" t="s">
        <v>6517</v>
      </c>
      <c r="J454" t="s">
        <v>7997</v>
      </c>
      <c r="K454" s="11">
        <v>11.523137323164669</v>
      </c>
      <c r="L454" s="9">
        <v>0.12874978117374791</v>
      </c>
      <c r="M454" s="10">
        <v>450.0615701586745</v>
      </c>
      <c r="N454" s="10">
        <v>495.06772717454197</v>
      </c>
    </row>
    <row r="455" spans="1:14">
      <c r="A455" t="s">
        <v>1967</v>
      </c>
      <c r="B455" t="s">
        <v>6519</v>
      </c>
      <c r="C455" t="s">
        <v>6492</v>
      </c>
      <c r="D455" t="s">
        <v>11</v>
      </c>
      <c r="E455" t="s">
        <v>13</v>
      </c>
      <c r="F455" t="s">
        <v>1970</v>
      </c>
      <c r="G455" t="s">
        <v>12</v>
      </c>
      <c r="I455" t="s">
        <v>6519</v>
      </c>
      <c r="J455" t="s">
        <v>7998</v>
      </c>
      <c r="K455" s="11">
        <v>24.506880504934557</v>
      </c>
      <c r="L455" s="9">
        <v>0.2093645423120557</v>
      </c>
      <c r="M455" s="10">
        <v>287.92882550392892</v>
      </c>
      <c r="N455" s="10">
        <v>316.72170805432182</v>
      </c>
    </row>
    <row r="456" spans="1:14">
      <c r="A456" t="s">
        <v>1967</v>
      </c>
      <c r="B456" t="s">
        <v>6520</v>
      </c>
      <c r="C456" t="s">
        <v>6494</v>
      </c>
      <c r="D456" t="s">
        <v>11</v>
      </c>
      <c r="E456" t="s">
        <v>13</v>
      </c>
      <c r="F456" t="s">
        <v>1970</v>
      </c>
      <c r="G456" t="s">
        <v>12</v>
      </c>
      <c r="I456" t="s">
        <v>6520</v>
      </c>
      <c r="J456" t="s">
        <v>7999</v>
      </c>
      <c r="K456" s="11">
        <v>85.690632136311663</v>
      </c>
      <c r="L456" s="9">
        <v>0.33605217678143068</v>
      </c>
      <c r="M456" s="10">
        <v>349.18083318897339</v>
      </c>
      <c r="N456" s="10">
        <v>384.09891650787074</v>
      </c>
    </row>
    <row r="457" spans="1:14">
      <c r="A457" t="s">
        <v>1967</v>
      </c>
      <c r="B457" t="s">
        <v>6521</v>
      </c>
      <c r="C457" t="s">
        <v>6522</v>
      </c>
      <c r="D457" t="s">
        <v>11</v>
      </c>
      <c r="E457" t="s">
        <v>13</v>
      </c>
      <c r="F457" t="s">
        <v>1970</v>
      </c>
      <c r="G457" t="s">
        <v>12</v>
      </c>
      <c r="I457" t="s">
        <v>6521</v>
      </c>
      <c r="J457" t="s">
        <v>8000</v>
      </c>
      <c r="K457" s="11">
        <v>62.899441556535159</v>
      </c>
      <c r="L457" s="9">
        <v>0.27958914922162181</v>
      </c>
      <c r="M457" s="10">
        <v>299.71512086241944</v>
      </c>
      <c r="N457" s="10">
        <v>329.68663294866138</v>
      </c>
    </row>
    <row r="458" spans="1:14">
      <c r="A458" t="s">
        <v>1967</v>
      </c>
      <c r="B458" t="s">
        <v>6523</v>
      </c>
      <c r="C458" t="s">
        <v>6524</v>
      </c>
      <c r="D458" t="s">
        <v>11</v>
      </c>
      <c r="E458" t="s">
        <v>13</v>
      </c>
      <c r="F458" t="s">
        <v>1970</v>
      </c>
      <c r="G458" t="s">
        <v>12</v>
      </c>
      <c r="I458" t="s">
        <v>6523</v>
      </c>
      <c r="J458" t="s">
        <v>8001</v>
      </c>
      <c r="K458" s="11">
        <v>10.99721837093665</v>
      </c>
      <c r="L458" s="9">
        <v>0.19244594457377781</v>
      </c>
      <c r="M458" s="10">
        <v>186.6623848590522</v>
      </c>
      <c r="N458" s="10">
        <v>205.32862334495744</v>
      </c>
    </row>
    <row r="459" spans="1:14">
      <c r="A459" t="s">
        <v>1967</v>
      </c>
      <c r="B459" t="s">
        <v>6525</v>
      </c>
      <c r="C459" t="s">
        <v>6526</v>
      </c>
      <c r="D459" t="s">
        <v>11</v>
      </c>
      <c r="E459" t="s">
        <v>13</v>
      </c>
      <c r="F459" t="s">
        <v>1970</v>
      </c>
      <c r="G459" t="s">
        <v>12</v>
      </c>
      <c r="I459" t="s">
        <v>6525</v>
      </c>
      <c r="J459" t="s">
        <v>8002</v>
      </c>
      <c r="K459" s="11">
        <v>44.992043785815767</v>
      </c>
      <c r="L459" s="9">
        <v>0.28409217918150709</v>
      </c>
      <c r="M459" s="10">
        <v>190.88576860352012</v>
      </c>
      <c r="N459" s="10">
        <v>209.97434546387214</v>
      </c>
    </row>
    <row r="460" spans="1:14">
      <c r="A460" t="s">
        <v>1967</v>
      </c>
      <c r="B460" t="s">
        <v>6527</v>
      </c>
      <c r="C460" t="s">
        <v>6528</v>
      </c>
      <c r="D460" t="s">
        <v>11</v>
      </c>
      <c r="E460" t="s">
        <v>13</v>
      </c>
      <c r="F460" t="s">
        <v>1970</v>
      </c>
      <c r="G460" t="s">
        <v>12</v>
      </c>
      <c r="I460" t="s">
        <v>6527</v>
      </c>
      <c r="J460" t="s">
        <v>8003</v>
      </c>
      <c r="K460" s="11">
        <v>30.177381990942791</v>
      </c>
      <c r="L460" s="9">
        <v>0.37560095869466009</v>
      </c>
      <c r="M460" s="10">
        <v>107.92186426184639</v>
      </c>
      <c r="N460" s="10">
        <v>118.71405068803104</v>
      </c>
    </row>
    <row r="461" spans="1:14">
      <c r="A461" t="s">
        <v>1967</v>
      </c>
      <c r="B461" t="s">
        <v>6529</v>
      </c>
      <c r="C461" t="s">
        <v>6530</v>
      </c>
      <c r="D461" t="s">
        <v>11</v>
      </c>
      <c r="E461" t="s">
        <v>13</v>
      </c>
      <c r="F461" t="s">
        <v>1970</v>
      </c>
      <c r="G461" t="s">
        <v>12</v>
      </c>
      <c r="I461" t="s">
        <v>6529</v>
      </c>
      <c r="J461" t="s">
        <v>8004</v>
      </c>
      <c r="K461" s="11">
        <v>47.376586763284458</v>
      </c>
      <c r="L461" s="9">
        <v>0.29073655501605711</v>
      </c>
      <c r="M461" s="10">
        <v>251.21177784593331</v>
      </c>
      <c r="N461" s="10">
        <v>276.33295563052667</v>
      </c>
    </row>
    <row r="462" spans="1:14">
      <c r="A462" t="s">
        <v>1967</v>
      </c>
      <c r="B462" t="s">
        <v>6531</v>
      </c>
      <c r="C462" t="s">
        <v>6532</v>
      </c>
      <c r="D462" t="s">
        <v>11</v>
      </c>
      <c r="E462" t="s">
        <v>13</v>
      </c>
      <c r="F462" t="s">
        <v>1970</v>
      </c>
      <c r="G462" t="s">
        <v>12</v>
      </c>
      <c r="I462" t="s">
        <v>6531</v>
      </c>
      <c r="J462" t="s">
        <v>8005</v>
      </c>
      <c r="K462" s="11">
        <v>32.403881250998005</v>
      </c>
      <c r="L462" s="9">
        <v>0.40986149585155479</v>
      </c>
      <c r="M462" s="10">
        <v>254.72885236226907</v>
      </c>
      <c r="N462" s="10">
        <v>280.20173759849598</v>
      </c>
    </row>
    <row r="463" spans="1:14">
      <c r="A463" t="s">
        <v>1967</v>
      </c>
      <c r="B463" t="s">
        <v>6533</v>
      </c>
      <c r="C463" t="s">
        <v>6534</v>
      </c>
      <c r="D463" t="s">
        <v>11</v>
      </c>
      <c r="E463" t="s">
        <v>13</v>
      </c>
      <c r="F463" t="s">
        <v>1970</v>
      </c>
      <c r="G463" t="s">
        <v>12</v>
      </c>
      <c r="I463" t="s">
        <v>6533</v>
      </c>
      <c r="J463" t="s">
        <v>8006</v>
      </c>
      <c r="K463" s="11">
        <v>14.287097677410562</v>
      </c>
      <c r="L463" s="9">
        <v>0.20688307883909021</v>
      </c>
      <c r="M463" s="10">
        <v>129.30338339236394</v>
      </c>
      <c r="N463" s="10">
        <v>142.23372173160035</v>
      </c>
    </row>
    <row r="464" spans="1:14">
      <c r="A464" t="s">
        <v>1967</v>
      </c>
      <c r="B464" t="s">
        <v>6535</v>
      </c>
      <c r="C464" t="s">
        <v>6534</v>
      </c>
      <c r="D464" t="s">
        <v>11</v>
      </c>
      <c r="E464" t="s">
        <v>13</v>
      </c>
      <c r="F464" t="s">
        <v>1970</v>
      </c>
      <c r="G464" t="s">
        <v>12</v>
      </c>
      <c r="I464" t="s">
        <v>6535</v>
      </c>
      <c r="J464" t="s">
        <v>8007</v>
      </c>
      <c r="K464" s="9">
        <v>4.480189044763689</v>
      </c>
      <c r="L464" s="9">
        <v>0.15180036345515971</v>
      </c>
      <c r="M464" s="11">
        <v>96.824226854635242</v>
      </c>
      <c r="N464" s="10">
        <v>106.50664954009878</v>
      </c>
    </row>
    <row r="465" spans="1:14">
      <c r="A465" t="s">
        <v>1967</v>
      </c>
      <c r="B465" t="s">
        <v>6536</v>
      </c>
      <c r="C465" t="s">
        <v>6537</v>
      </c>
      <c r="D465" t="s">
        <v>11</v>
      </c>
      <c r="E465" t="s">
        <v>13</v>
      </c>
      <c r="F465" t="s">
        <v>1970</v>
      </c>
      <c r="G465" t="s">
        <v>12</v>
      </c>
      <c r="I465" t="s">
        <v>6536</v>
      </c>
      <c r="J465" t="s">
        <v>8008</v>
      </c>
      <c r="K465" s="9">
        <v>9.01800684451789</v>
      </c>
      <c r="L465" s="9">
        <v>0.12278076476717149</v>
      </c>
      <c r="M465" s="10">
        <v>180.63258337594843</v>
      </c>
      <c r="N465" s="10">
        <v>198.69584171354327</v>
      </c>
    </row>
    <row r="466" spans="1:14">
      <c r="A466" t="s">
        <v>1967</v>
      </c>
      <c r="B466" t="s">
        <v>6538</v>
      </c>
      <c r="C466" t="s">
        <v>6539</v>
      </c>
      <c r="D466" t="s">
        <v>11</v>
      </c>
      <c r="E466" t="s">
        <v>13</v>
      </c>
      <c r="F466" t="s">
        <v>1970</v>
      </c>
      <c r="G466" t="s">
        <v>12</v>
      </c>
      <c r="I466" t="s">
        <v>6538</v>
      </c>
      <c r="J466" t="s">
        <v>8009</v>
      </c>
      <c r="K466" s="9">
        <v>2.396418752341229</v>
      </c>
      <c r="L466" s="12">
        <v>1.0646067672457699E-2</v>
      </c>
      <c r="M466" s="11">
        <v>90.346803672759464</v>
      </c>
      <c r="N466" s="11">
        <v>99.381484040035417</v>
      </c>
    </row>
    <row r="467" spans="1:14">
      <c r="A467" t="s">
        <v>1967</v>
      </c>
      <c r="B467" t="s">
        <v>6540</v>
      </c>
      <c r="C467" t="s">
        <v>6541</v>
      </c>
      <c r="D467" t="s">
        <v>11</v>
      </c>
      <c r="E467" t="s">
        <v>13</v>
      </c>
      <c r="F467" t="s">
        <v>1970</v>
      </c>
      <c r="G467" t="s">
        <v>12</v>
      </c>
      <c r="I467" t="s">
        <v>6540</v>
      </c>
      <c r="J467" t="s">
        <v>8010</v>
      </c>
      <c r="K467" s="9">
        <v>4.9780230387627986</v>
      </c>
      <c r="L467" s="12">
        <v>5.6073233188561403E-2</v>
      </c>
      <c r="M467" s="11">
        <v>66.298114005498363</v>
      </c>
      <c r="N467" s="11">
        <v>72.927925406048203</v>
      </c>
    </row>
    <row r="468" spans="1:14">
      <c r="A468" t="s">
        <v>1967</v>
      </c>
      <c r="B468" t="s">
        <v>6542</v>
      </c>
      <c r="C468" t="s">
        <v>6543</v>
      </c>
      <c r="D468" t="s">
        <v>11</v>
      </c>
      <c r="E468" t="s">
        <v>13</v>
      </c>
      <c r="F468" t="s">
        <v>1970</v>
      </c>
      <c r="G468" t="s">
        <v>12</v>
      </c>
      <c r="I468" t="s">
        <v>6542</v>
      </c>
      <c r="J468" t="s">
        <v>8011</v>
      </c>
      <c r="K468" s="12">
        <v>3.43573143482808E-2</v>
      </c>
      <c r="L468" s="13">
        <v>4.6822569380591999E-3</v>
      </c>
      <c r="M468" s="10">
        <v>171.06400282697263</v>
      </c>
      <c r="N468" s="10">
        <v>188.17040310966991</v>
      </c>
    </row>
    <row r="469" spans="1:14">
      <c r="A469" t="s">
        <v>1967</v>
      </c>
      <c r="B469" t="s">
        <v>6544</v>
      </c>
      <c r="C469" t="s">
        <v>6539</v>
      </c>
      <c r="D469" t="s">
        <v>11</v>
      </c>
      <c r="E469" t="s">
        <v>13</v>
      </c>
      <c r="F469" t="s">
        <v>1970</v>
      </c>
      <c r="G469" t="s">
        <v>12</v>
      </c>
      <c r="I469" t="s">
        <v>6544</v>
      </c>
      <c r="J469" t="s">
        <v>8012</v>
      </c>
      <c r="K469" s="9">
        <v>1.4126064013912294</v>
      </c>
      <c r="L469" s="12">
        <v>2.6513649952137501E-2</v>
      </c>
      <c r="M469" s="10">
        <v>111.59603145852128</v>
      </c>
      <c r="N469" s="10">
        <v>122.75563460437341</v>
      </c>
    </row>
    <row r="470" spans="1:14">
      <c r="A470" t="s">
        <v>1967</v>
      </c>
      <c r="B470" t="s">
        <v>6545</v>
      </c>
      <c r="C470" t="s">
        <v>6546</v>
      </c>
      <c r="D470" t="s">
        <v>11</v>
      </c>
      <c r="E470" t="s">
        <v>13</v>
      </c>
      <c r="F470" t="s">
        <v>1970</v>
      </c>
      <c r="G470" t="s">
        <v>12</v>
      </c>
      <c r="I470" t="s">
        <v>6545</v>
      </c>
      <c r="J470" t="s">
        <v>8013</v>
      </c>
      <c r="K470" s="13">
        <v>2.2499999999999998E-3</v>
      </c>
      <c r="L470" s="14">
        <v>7.1716028710950002E-4</v>
      </c>
      <c r="M470" s="10">
        <v>125.17866740024286</v>
      </c>
      <c r="N470" s="10">
        <v>137.69653414026715</v>
      </c>
    </row>
    <row r="471" spans="1:14">
      <c r="A471" t="s">
        <v>1967</v>
      </c>
      <c r="B471" t="s">
        <v>6547</v>
      </c>
      <c r="C471" t="s">
        <v>6548</v>
      </c>
      <c r="D471" t="s">
        <v>11</v>
      </c>
      <c r="E471" t="s">
        <v>13</v>
      </c>
      <c r="F471" t="s">
        <v>1970</v>
      </c>
      <c r="G471" t="s">
        <v>12</v>
      </c>
      <c r="I471" t="s">
        <v>6547</v>
      </c>
      <c r="J471" t="s">
        <v>8014</v>
      </c>
      <c r="K471" s="9">
        <v>2.7801785433311252</v>
      </c>
      <c r="L471" s="9">
        <v>0.19204667486154059</v>
      </c>
      <c r="M471" s="10">
        <v>200.04292343701923</v>
      </c>
      <c r="N471" s="10">
        <v>220.04721578072116</v>
      </c>
    </row>
    <row r="472" spans="1:14">
      <c r="A472" t="s">
        <v>1967</v>
      </c>
      <c r="B472" t="s">
        <v>6549</v>
      </c>
      <c r="C472" t="s">
        <v>6550</v>
      </c>
      <c r="D472" t="s">
        <v>11</v>
      </c>
      <c r="E472" t="s">
        <v>13</v>
      </c>
      <c r="F472" t="s">
        <v>1970</v>
      </c>
      <c r="G472" t="s">
        <v>12</v>
      </c>
      <c r="I472" t="s">
        <v>6549</v>
      </c>
      <c r="J472" t="s">
        <v>8015</v>
      </c>
      <c r="K472" s="9">
        <v>5.5414146077790072</v>
      </c>
      <c r="L472" s="9">
        <v>0.1193143228124616</v>
      </c>
      <c r="M472" s="11">
        <v>61.94262832262455</v>
      </c>
      <c r="N472" s="11">
        <v>68.13689115488701</v>
      </c>
    </row>
    <row r="473" spans="1:14">
      <c r="A473" t="s">
        <v>1967</v>
      </c>
      <c r="B473" t="s">
        <v>6551</v>
      </c>
      <c r="C473" t="s">
        <v>6552</v>
      </c>
      <c r="D473" t="s">
        <v>11</v>
      </c>
      <c r="E473" t="s">
        <v>13</v>
      </c>
      <c r="F473" t="s">
        <v>1970</v>
      </c>
      <c r="G473" t="s">
        <v>12</v>
      </c>
      <c r="I473" t="s">
        <v>6551</v>
      </c>
      <c r="J473" t="s">
        <v>8016</v>
      </c>
      <c r="K473" s="9">
        <v>1.1779480480004088</v>
      </c>
      <c r="L473" s="12">
        <v>9.5182541373925206E-2</v>
      </c>
      <c r="M473" s="11">
        <v>36.387369143226131</v>
      </c>
      <c r="N473" s="11">
        <v>40.026106057548745</v>
      </c>
    </row>
    <row r="474" spans="1:14">
      <c r="A474" t="s">
        <v>1967</v>
      </c>
      <c r="B474" t="s">
        <v>6553</v>
      </c>
      <c r="C474" t="s">
        <v>6554</v>
      </c>
      <c r="D474" t="s">
        <v>11</v>
      </c>
      <c r="E474" t="s">
        <v>13</v>
      </c>
      <c r="F474" t="s">
        <v>1970</v>
      </c>
      <c r="G474" t="s">
        <v>12</v>
      </c>
      <c r="I474" t="s">
        <v>6553</v>
      </c>
      <c r="J474" t="s">
        <v>8017</v>
      </c>
      <c r="K474" s="9">
        <v>3.045529142989563</v>
      </c>
      <c r="L474" s="9">
        <v>0.1112995980523232</v>
      </c>
      <c r="M474" s="10">
        <v>110.88551421651999</v>
      </c>
      <c r="N474" s="10">
        <v>121.97406563817201</v>
      </c>
    </row>
    <row r="475" spans="1:14">
      <c r="A475" t="s">
        <v>1967</v>
      </c>
      <c r="B475" t="s">
        <v>6555</v>
      </c>
      <c r="C475" t="s">
        <v>6556</v>
      </c>
      <c r="D475" t="s">
        <v>11</v>
      </c>
      <c r="E475" t="s">
        <v>13</v>
      </c>
      <c r="F475" t="s">
        <v>1970</v>
      </c>
      <c r="G475" t="s">
        <v>12</v>
      </c>
      <c r="I475" t="s">
        <v>6555</v>
      </c>
      <c r="J475" t="s">
        <v>8018</v>
      </c>
      <c r="K475" s="11">
        <v>34.476872457439967</v>
      </c>
      <c r="L475" s="9">
        <v>0.1355083692901741</v>
      </c>
      <c r="M475" s="10">
        <v>108.45064434167951</v>
      </c>
      <c r="N475" s="10">
        <v>119.29570877584747</v>
      </c>
    </row>
    <row r="476" spans="1:14">
      <c r="A476" t="s">
        <v>1967</v>
      </c>
      <c r="B476" t="s">
        <v>6557</v>
      </c>
      <c r="C476" t="s">
        <v>6558</v>
      </c>
      <c r="D476" t="s">
        <v>11</v>
      </c>
      <c r="E476" t="s">
        <v>13</v>
      </c>
      <c r="F476" t="s">
        <v>1970</v>
      </c>
      <c r="G476" t="s">
        <v>12</v>
      </c>
      <c r="I476" t="s">
        <v>6557</v>
      </c>
      <c r="J476" t="s">
        <v>8019</v>
      </c>
      <c r="K476" s="11">
        <v>70.604270578517216</v>
      </c>
      <c r="L476" s="9">
        <v>0.1438835572206956</v>
      </c>
      <c r="M476" s="11">
        <v>55.217099627948784</v>
      </c>
      <c r="N476" s="11">
        <v>60.738809590743664</v>
      </c>
    </row>
    <row r="477" spans="1:14">
      <c r="A477" t="s">
        <v>1967</v>
      </c>
      <c r="B477" t="s">
        <v>6559</v>
      </c>
      <c r="C477" t="s">
        <v>6560</v>
      </c>
      <c r="D477" t="s">
        <v>11</v>
      </c>
      <c r="E477" t="s">
        <v>13</v>
      </c>
      <c r="F477" t="s">
        <v>1970</v>
      </c>
      <c r="G477" t="s">
        <v>12</v>
      </c>
      <c r="I477" t="s">
        <v>6559</v>
      </c>
      <c r="J477" t="s">
        <v>8020</v>
      </c>
      <c r="K477" s="11">
        <v>34.332535408549276</v>
      </c>
      <c r="L477" s="9">
        <v>0.2090514940186565</v>
      </c>
      <c r="M477" s="11">
        <v>46.29773370182857</v>
      </c>
      <c r="N477" s="11">
        <v>50.92750707201143</v>
      </c>
    </row>
    <row r="478" spans="1:14">
      <c r="A478" t="s">
        <v>1967</v>
      </c>
      <c r="B478" t="s">
        <v>6561</v>
      </c>
      <c r="C478" t="s">
        <v>6562</v>
      </c>
      <c r="D478" t="s">
        <v>11</v>
      </c>
      <c r="E478" t="s">
        <v>13</v>
      </c>
      <c r="F478" t="s">
        <v>1970</v>
      </c>
      <c r="G478" t="s">
        <v>12</v>
      </c>
      <c r="I478" t="s">
        <v>6561</v>
      </c>
      <c r="J478" t="s">
        <v>8021</v>
      </c>
      <c r="K478" s="11">
        <v>17.920316797954115</v>
      </c>
      <c r="L478" s="9">
        <v>0.34962231669731109</v>
      </c>
      <c r="M478" s="11">
        <v>99.483351556084401</v>
      </c>
      <c r="N478" s="10">
        <v>109.43168671169285</v>
      </c>
    </row>
    <row r="479" spans="1:14">
      <c r="A479" t="s">
        <v>1967</v>
      </c>
      <c r="B479" t="s">
        <v>6563</v>
      </c>
      <c r="C479" t="s">
        <v>6564</v>
      </c>
      <c r="D479" t="s">
        <v>11</v>
      </c>
      <c r="E479" t="s">
        <v>13</v>
      </c>
      <c r="F479" t="s">
        <v>1970</v>
      </c>
      <c r="G479" t="s">
        <v>12</v>
      </c>
      <c r="I479" t="s">
        <v>6563</v>
      </c>
      <c r="J479" t="s">
        <v>8022</v>
      </c>
      <c r="K479" s="11">
        <v>27.022505271337248</v>
      </c>
      <c r="L479" s="9">
        <v>0.28212044738600861</v>
      </c>
      <c r="M479" s="11">
        <v>79.285700615932555</v>
      </c>
      <c r="N479" s="11">
        <v>87.214270677525818</v>
      </c>
    </row>
    <row r="480" spans="1:14">
      <c r="A480" t="s">
        <v>1967</v>
      </c>
      <c r="B480" t="s">
        <v>6565</v>
      </c>
      <c r="C480" t="s">
        <v>6566</v>
      </c>
      <c r="D480" t="s">
        <v>11</v>
      </c>
      <c r="E480" t="s">
        <v>13</v>
      </c>
      <c r="F480" t="s">
        <v>1970</v>
      </c>
      <c r="G480" t="s">
        <v>12</v>
      </c>
      <c r="I480" t="s">
        <v>6565</v>
      </c>
      <c r="J480" t="s">
        <v>8023</v>
      </c>
      <c r="K480" s="11">
        <v>16.030690994333039</v>
      </c>
      <c r="L480" s="9">
        <v>0.4174335067711713</v>
      </c>
      <c r="M480" s="11">
        <v>74.264319009203632</v>
      </c>
      <c r="N480" s="11">
        <v>81.690750910123995</v>
      </c>
    </row>
    <row r="481" spans="1:14">
      <c r="A481" t="s">
        <v>1967</v>
      </c>
      <c r="B481" t="s">
        <v>6567</v>
      </c>
      <c r="C481" t="s">
        <v>6568</v>
      </c>
      <c r="D481" t="s">
        <v>11</v>
      </c>
      <c r="E481" t="s">
        <v>13</v>
      </c>
      <c r="F481" t="s">
        <v>1970</v>
      </c>
      <c r="G481" t="s">
        <v>12</v>
      </c>
      <c r="I481" t="s">
        <v>6567</v>
      </c>
      <c r="J481" t="s">
        <v>8024</v>
      </c>
      <c r="K481" s="9">
        <v>8.9559947575499308</v>
      </c>
      <c r="L481" s="9">
        <v>0.41886724202832398</v>
      </c>
      <c r="M481" s="11">
        <v>40.967479954879039</v>
      </c>
      <c r="N481" s="11">
        <v>45.064227950366949</v>
      </c>
    </row>
    <row r="482" spans="1:14">
      <c r="A482" t="s">
        <v>1967</v>
      </c>
      <c r="B482" t="s">
        <v>6569</v>
      </c>
      <c r="C482" t="s">
        <v>6570</v>
      </c>
      <c r="D482" t="s">
        <v>11</v>
      </c>
      <c r="E482" t="s">
        <v>13</v>
      </c>
      <c r="F482" t="s">
        <v>1970</v>
      </c>
      <c r="G482" t="s">
        <v>12</v>
      </c>
      <c r="I482" t="s">
        <v>6569</v>
      </c>
      <c r="J482" t="s">
        <v>8025</v>
      </c>
      <c r="K482" s="9">
        <v>0.72549031685523946</v>
      </c>
      <c r="L482" s="9">
        <v>0.19857838548863499</v>
      </c>
      <c r="M482" s="10">
        <v>144.46806117839634</v>
      </c>
      <c r="N482" s="10">
        <v>158.914867296236</v>
      </c>
    </row>
    <row r="483" spans="1:14">
      <c r="A483" t="s">
        <v>1967</v>
      </c>
      <c r="B483" t="s">
        <v>6571</v>
      </c>
      <c r="C483" t="s">
        <v>6572</v>
      </c>
      <c r="D483" t="s">
        <v>11</v>
      </c>
      <c r="E483" t="s">
        <v>13</v>
      </c>
      <c r="F483" t="s">
        <v>1970</v>
      </c>
      <c r="G483" t="s">
        <v>12</v>
      </c>
      <c r="I483" t="s">
        <v>6571</v>
      </c>
      <c r="J483" t="s">
        <v>8026</v>
      </c>
      <c r="K483" s="9">
        <v>1.5007211287518702</v>
      </c>
      <c r="L483" s="9">
        <v>0.1346442795520468</v>
      </c>
      <c r="M483" s="11">
        <v>49.735374126204391</v>
      </c>
      <c r="N483" s="11">
        <v>54.708911538824836</v>
      </c>
    </row>
    <row r="484" spans="1:14">
      <c r="A484" t="s">
        <v>1967</v>
      </c>
      <c r="B484" t="s">
        <v>6573</v>
      </c>
      <c r="C484" t="s">
        <v>6574</v>
      </c>
      <c r="D484" t="s">
        <v>11</v>
      </c>
      <c r="E484" t="s">
        <v>13</v>
      </c>
      <c r="F484" t="s">
        <v>1970</v>
      </c>
      <c r="G484" t="s">
        <v>12</v>
      </c>
      <c r="I484" t="s">
        <v>6573</v>
      </c>
      <c r="J484" t="s">
        <v>8027</v>
      </c>
      <c r="K484" s="11">
        <v>10.918131499546826</v>
      </c>
      <c r="L484" s="9">
        <v>0.20996674199098159</v>
      </c>
      <c r="M484" s="11">
        <v>68.437363550622464</v>
      </c>
      <c r="N484" s="11">
        <v>75.281099905684712</v>
      </c>
    </row>
    <row r="485" spans="1:14">
      <c r="A485" t="s">
        <v>1967</v>
      </c>
      <c r="B485" t="s">
        <v>6575</v>
      </c>
      <c r="C485" t="s">
        <v>6576</v>
      </c>
      <c r="D485" t="s">
        <v>11</v>
      </c>
      <c r="E485" t="s">
        <v>13</v>
      </c>
      <c r="F485" t="s">
        <v>1970</v>
      </c>
      <c r="G485" t="s">
        <v>12</v>
      </c>
      <c r="I485" t="s">
        <v>6575</v>
      </c>
      <c r="J485" t="s">
        <v>8028</v>
      </c>
      <c r="K485" s="9">
        <v>1.7407380139597295</v>
      </c>
      <c r="L485" s="9">
        <v>0.1528498545133071</v>
      </c>
      <c r="M485" s="11">
        <v>19.146447720061783</v>
      </c>
      <c r="N485" s="11">
        <v>21.061092492067964</v>
      </c>
    </row>
    <row r="486" spans="1:14">
      <c r="A486" t="s">
        <v>1967</v>
      </c>
      <c r="B486" t="s">
        <v>6577</v>
      </c>
      <c r="C486" t="s">
        <v>6578</v>
      </c>
      <c r="D486" t="s">
        <v>11</v>
      </c>
      <c r="E486" t="s">
        <v>13</v>
      </c>
      <c r="F486" t="s">
        <v>1970</v>
      </c>
      <c r="G486" t="s">
        <v>12</v>
      </c>
      <c r="I486" t="s">
        <v>6577</v>
      </c>
      <c r="J486" t="s">
        <v>8029</v>
      </c>
      <c r="K486" s="11">
        <v>10.76026566407578</v>
      </c>
      <c r="L486" s="12">
        <v>5.6950977316786902E-2</v>
      </c>
      <c r="M486" s="11">
        <v>33.950175106906499</v>
      </c>
      <c r="N486" s="11">
        <v>37.345192617597149</v>
      </c>
    </row>
    <row r="487" spans="1:14">
      <c r="A487" t="s">
        <v>1967</v>
      </c>
      <c r="B487" t="s">
        <v>6579</v>
      </c>
      <c r="C487" t="s">
        <v>6580</v>
      </c>
      <c r="D487" t="s">
        <v>11</v>
      </c>
      <c r="E487" t="s">
        <v>13</v>
      </c>
      <c r="F487" t="s">
        <v>1970</v>
      </c>
      <c r="G487" t="s">
        <v>12</v>
      </c>
      <c r="I487" t="s">
        <v>6579</v>
      </c>
      <c r="J487" t="s">
        <v>8030</v>
      </c>
      <c r="K487" s="9">
        <v>0.90481014062231047</v>
      </c>
      <c r="L487" s="12">
        <v>3.0502545180099601E-2</v>
      </c>
      <c r="M487" s="11">
        <v>75.59295699870124</v>
      </c>
      <c r="N487" s="11">
        <v>83.152252698571374</v>
      </c>
    </row>
    <row r="488" spans="1:14">
      <c r="A488" t="s">
        <v>1967</v>
      </c>
      <c r="B488" t="s">
        <v>6581</v>
      </c>
      <c r="C488" t="s">
        <v>6582</v>
      </c>
      <c r="D488" t="s">
        <v>11</v>
      </c>
      <c r="E488" t="s">
        <v>13</v>
      </c>
      <c r="F488" t="s">
        <v>1970</v>
      </c>
      <c r="G488" t="s">
        <v>12</v>
      </c>
      <c r="I488" t="s">
        <v>6581</v>
      </c>
      <c r="J488" t="s">
        <v>8031</v>
      </c>
      <c r="K488" s="9">
        <v>1.0698060295577647</v>
      </c>
      <c r="L488" s="12">
        <v>4.8318207406726398E-2</v>
      </c>
      <c r="M488" s="11">
        <v>69.496603252672188</v>
      </c>
      <c r="N488" s="11">
        <v>76.446263577939419</v>
      </c>
    </row>
    <row r="489" spans="1:14">
      <c r="A489" t="s">
        <v>1967</v>
      </c>
      <c r="B489" t="s">
        <v>6583</v>
      </c>
      <c r="C489" t="s">
        <v>6584</v>
      </c>
      <c r="D489" t="s">
        <v>11</v>
      </c>
      <c r="E489" t="s">
        <v>13</v>
      </c>
      <c r="F489" t="s">
        <v>1970</v>
      </c>
      <c r="G489" t="s">
        <v>12</v>
      </c>
      <c r="I489" t="s">
        <v>6583</v>
      </c>
      <c r="J489" t="s">
        <v>8032</v>
      </c>
      <c r="K489" s="9">
        <v>1.5029607463099568</v>
      </c>
      <c r="L489" s="12">
        <v>3.6300320186459997E-2</v>
      </c>
      <c r="M489" s="10">
        <v>250.37734885188291</v>
      </c>
      <c r="N489" s="10">
        <v>275.4150837370712</v>
      </c>
    </row>
    <row r="490" spans="1:14">
      <c r="A490" t="s">
        <v>1967</v>
      </c>
      <c r="B490" t="s">
        <v>6585</v>
      </c>
      <c r="C490" t="s">
        <v>6586</v>
      </c>
      <c r="D490" t="s">
        <v>11</v>
      </c>
      <c r="E490" t="s">
        <v>13</v>
      </c>
      <c r="F490" t="s">
        <v>1970</v>
      </c>
      <c r="G490" t="s">
        <v>12</v>
      </c>
      <c r="I490" t="s">
        <v>6585</v>
      </c>
      <c r="J490" t="s">
        <v>8033</v>
      </c>
      <c r="K490" s="9">
        <v>4.2059434651670395</v>
      </c>
      <c r="L490" s="12">
        <v>3.8746821369581901E-2</v>
      </c>
      <c r="M490" s="10">
        <v>164.9975942958209</v>
      </c>
      <c r="N490" s="10">
        <v>181.497353725403</v>
      </c>
    </row>
    <row r="491" spans="1:14">
      <c r="A491" t="s">
        <v>1967</v>
      </c>
      <c r="B491" t="s">
        <v>6587</v>
      </c>
      <c r="C491" t="s">
        <v>6588</v>
      </c>
      <c r="D491" t="s">
        <v>11</v>
      </c>
      <c r="E491" t="s">
        <v>13</v>
      </c>
      <c r="F491" t="s">
        <v>1970</v>
      </c>
      <c r="G491" t="s">
        <v>12</v>
      </c>
      <c r="I491" t="s">
        <v>6587</v>
      </c>
      <c r="J491" t="s">
        <v>8034</v>
      </c>
      <c r="K491" s="10">
        <v>134.66275008392998</v>
      </c>
      <c r="L491" s="9">
        <v>0.34477345013537403</v>
      </c>
      <c r="M491" s="10">
        <v>298.5725963032225</v>
      </c>
      <c r="N491" s="10">
        <v>328.42985593354479</v>
      </c>
    </row>
    <row r="492" spans="1:14">
      <c r="A492" t="s">
        <v>1967</v>
      </c>
      <c r="B492" t="s">
        <v>6589</v>
      </c>
      <c r="C492" t="s">
        <v>6590</v>
      </c>
      <c r="D492" t="s">
        <v>11</v>
      </c>
      <c r="E492" t="s">
        <v>13</v>
      </c>
      <c r="F492" t="s">
        <v>1970</v>
      </c>
      <c r="G492" t="s">
        <v>12</v>
      </c>
      <c r="I492" t="s">
        <v>6589</v>
      </c>
      <c r="J492" t="s">
        <v>8035</v>
      </c>
      <c r="K492" s="11">
        <v>42.992721083398024</v>
      </c>
      <c r="L492" s="9">
        <v>0.3226241105787041</v>
      </c>
      <c r="M492" s="10">
        <v>103.16212010668798</v>
      </c>
      <c r="N492" s="10">
        <v>113.47833211735679</v>
      </c>
    </row>
    <row r="493" spans="1:14">
      <c r="A493" t="s">
        <v>1967</v>
      </c>
      <c r="B493" t="s">
        <v>6591</v>
      </c>
      <c r="C493" t="s">
        <v>6592</v>
      </c>
      <c r="D493" t="s">
        <v>11</v>
      </c>
      <c r="E493" t="s">
        <v>13</v>
      </c>
      <c r="F493" t="s">
        <v>1970</v>
      </c>
      <c r="G493" t="s">
        <v>12</v>
      </c>
      <c r="I493" t="s">
        <v>6591</v>
      </c>
      <c r="J493" t="s">
        <v>8036</v>
      </c>
      <c r="K493" s="10">
        <v>128.74420936016705</v>
      </c>
      <c r="L493" s="9">
        <v>0.33467857845691767</v>
      </c>
      <c r="M493" s="10">
        <v>201.01917243971849</v>
      </c>
      <c r="N493" s="10">
        <v>221.12108968369034</v>
      </c>
    </row>
    <row r="494" spans="1:14">
      <c r="A494" t="s">
        <v>1967</v>
      </c>
      <c r="B494" t="s">
        <v>6593</v>
      </c>
      <c r="C494" t="s">
        <v>6594</v>
      </c>
      <c r="D494" t="s">
        <v>11</v>
      </c>
      <c r="E494" t="s">
        <v>13</v>
      </c>
      <c r="F494" t="s">
        <v>1970</v>
      </c>
      <c r="G494" t="s">
        <v>12</v>
      </c>
      <c r="I494" t="s">
        <v>6593</v>
      </c>
      <c r="J494" t="s">
        <v>8037</v>
      </c>
      <c r="K494" s="10">
        <v>109.5212413245264</v>
      </c>
      <c r="L494" s="9">
        <v>0.37999844018030099</v>
      </c>
      <c r="M494" s="10">
        <v>112.81593962182843</v>
      </c>
      <c r="N494" s="10">
        <v>124.09753358401129</v>
      </c>
    </row>
    <row r="495" spans="1:14">
      <c r="A495" t="s">
        <v>1967</v>
      </c>
      <c r="B495" t="s">
        <v>6595</v>
      </c>
      <c r="C495" t="s">
        <v>6596</v>
      </c>
      <c r="D495" t="s">
        <v>11</v>
      </c>
      <c r="E495" t="s">
        <v>13</v>
      </c>
      <c r="F495" t="s">
        <v>1970</v>
      </c>
      <c r="G495" t="s">
        <v>12</v>
      </c>
      <c r="I495" t="s">
        <v>6595</v>
      </c>
      <c r="J495" t="s">
        <v>8038</v>
      </c>
      <c r="K495" s="10">
        <v>131.52039475884342</v>
      </c>
      <c r="L495" s="9">
        <v>0.31287429448219573</v>
      </c>
      <c r="M495" s="10">
        <v>473.33153839693722</v>
      </c>
      <c r="N495" s="10">
        <v>520.66469223663103</v>
      </c>
    </row>
    <row r="496" spans="1:14">
      <c r="A496" t="s">
        <v>1967</v>
      </c>
      <c r="B496" t="s">
        <v>6597</v>
      </c>
      <c r="C496" t="s">
        <v>6598</v>
      </c>
      <c r="D496" t="s">
        <v>11</v>
      </c>
      <c r="E496" t="s">
        <v>13</v>
      </c>
      <c r="F496" t="s">
        <v>1970</v>
      </c>
      <c r="G496" t="s">
        <v>12</v>
      </c>
      <c r="I496" t="s">
        <v>6597</v>
      </c>
      <c r="J496" t="s">
        <v>8039</v>
      </c>
      <c r="K496" s="10">
        <v>243.17237650847369</v>
      </c>
      <c r="L496" s="9">
        <v>0.34607976561392162</v>
      </c>
      <c r="M496" s="10">
        <v>291.59763856332449</v>
      </c>
      <c r="N496" s="10">
        <v>320.75740241965696</v>
      </c>
    </row>
    <row r="497" spans="1:14">
      <c r="A497" t="s">
        <v>1967</v>
      </c>
      <c r="B497" t="s">
        <v>6599</v>
      </c>
      <c r="C497" t="s">
        <v>6590</v>
      </c>
      <c r="D497" t="s">
        <v>11</v>
      </c>
      <c r="E497" t="s">
        <v>13</v>
      </c>
      <c r="F497" t="s">
        <v>1970</v>
      </c>
      <c r="G497" t="s">
        <v>12</v>
      </c>
      <c r="I497" t="s">
        <v>6599</v>
      </c>
      <c r="J497" t="s">
        <v>8040</v>
      </c>
      <c r="K497" s="10">
        <v>227.014931478378</v>
      </c>
      <c r="L497" s="9">
        <v>0.37581505179974561</v>
      </c>
      <c r="M497" s="10">
        <v>239.9399661656762</v>
      </c>
      <c r="N497" s="10">
        <v>263.93396278224384</v>
      </c>
    </row>
    <row r="498" spans="1:14">
      <c r="A498" t="s">
        <v>1967</v>
      </c>
      <c r="B498" t="s">
        <v>6600</v>
      </c>
      <c r="C498" t="s">
        <v>6601</v>
      </c>
      <c r="D498" t="s">
        <v>11</v>
      </c>
      <c r="E498" t="s">
        <v>13</v>
      </c>
      <c r="F498" t="s">
        <v>1970</v>
      </c>
      <c r="G498" t="s">
        <v>12</v>
      </c>
      <c r="I498" t="s">
        <v>6600</v>
      </c>
      <c r="J498" t="s">
        <v>8041</v>
      </c>
      <c r="K498" s="10">
        <v>141.40047941413258</v>
      </c>
      <c r="L498" s="9">
        <v>0.37434051370714638</v>
      </c>
      <c r="M498" s="10">
        <v>450.2022574698712</v>
      </c>
      <c r="N498" s="10">
        <v>495.22248321685834</v>
      </c>
    </row>
    <row r="499" spans="1:14">
      <c r="A499" t="s">
        <v>1967</v>
      </c>
      <c r="B499" t="s">
        <v>6602</v>
      </c>
      <c r="C499" t="s">
        <v>6603</v>
      </c>
      <c r="D499" t="s">
        <v>11</v>
      </c>
      <c r="E499" t="s">
        <v>13</v>
      </c>
      <c r="F499" t="s">
        <v>1970</v>
      </c>
      <c r="G499" t="s">
        <v>12</v>
      </c>
      <c r="I499" t="s">
        <v>6602</v>
      </c>
      <c r="J499" t="s">
        <v>8042</v>
      </c>
      <c r="K499" s="10">
        <v>197.9038497465003</v>
      </c>
      <c r="L499" s="9">
        <v>0.30604651440249031</v>
      </c>
      <c r="M499" s="10">
        <v>285.63191702595759</v>
      </c>
      <c r="N499" s="10">
        <v>314.19510872855335</v>
      </c>
    </row>
    <row r="500" spans="1:14">
      <c r="A500" t="s">
        <v>1967</v>
      </c>
      <c r="B500" t="s">
        <v>6604</v>
      </c>
      <c r="C500" t="s">
        <v>6605</v>
      </c>
      <c r="D500" t="s">
        <v>11</v>
      </c>
      <c r="E500" t="s">
        <v>13</v>
      </c>
      <c r="F500" t="s">
        <v>1970</v>
      </c>
      <c r="G500" t="s">
        <v>12</v>
      </c>
      <c r="I500" t="s">
        <v>6604</v>
      </c>
      <c r="J500" t="s">
        <v>8043</v>
      </c>
      <c r="K500" s="10">
        <v>232.53337367415335</v>
      </c>
      <c r="L500" s="9">
        <v>0.31741717391387542</v>
      </c>
      <c r="M500" s="10">
        <v>752.26890804923494</v>
      </c>
      <c r="N500" s="10">
        <v>827.49579885415847</v>
      </c>
    </row>
    <row r="501" spans="1:14">
      <c r="A501" t="s">
        <v>1967</v>
      </c>
      <c r="B501" t="s">
        <v>6606</v>
      </c>
      <c r="C501" t="s">
        <v>6607</v>
      </c>
      <c r="D501" t="s">
        <v>11</v>
      </c>
      <c r="E501" t="s">
        <v>13</v>
      </c>
      <c r="F501" t="s">
        <v>1970</v>
      </c>
      <c r="G501" t="s">
        <v>12</v>
      </c>
      <c r="I501" t="s">
        <v>6606</v>
      </c>
      <c r="J501" t="s">
        <v>8044</v>
      </c>
      <c r="K501" s="11">
        <v>70.236572272011259</v>
      </c>
      <c r="L501" s="9">
        <v>0.24910324469348469</v>
      </c>
      <c r="M501" s="10">
        <v>740.00074163266345</v>
      </c>
      <c r="N501" s="10">
        <v>814.00081579592984</v>
      </c>
    </row>
    <row r="502" spans="1:14">
      <c r="A502" t="s">
        <v>1967</v>
      </c>
      <c r="B502" t="s">
        <v>6608</v>
      </c>
      <c r="C502" t="s">
        <v>6605</v>
      </c>
      <c r="D502" t="s">
        <v>11</v>
      </c>
      <c r="E502" t="s">
        <v>13</v>
      </c>
      <c r="F502" t="s">
        <v>1970</v>
      </c>
      <c r="G502" t="s">
        <v>12</v>
      </c>
      <c r="I502" t="s">
        <v>6608</v>
      </c>
      <c r="J502" t="s">
        <v>8045</v>
      </c>
      <c r="K502" s="10">
        <v>210.06546517750294</v>
      </c>
      <c r="L502" s="9">
        <v>0.33531372186213532</v>
      </c>
      <c r="M502" s="10">
        <v>1090.3846453258659</v>
      </c>
      <c r="N502" s="10">
        <v>1199.4231098584526</v>
      </c>
    </row>
    <row r="503" spans="1:14">
      <c r="A503" t="s">
        <v>1967</v>
      </c>
      <c r="B503" t="s">
        <v>6609</v>
      </c>
      <c r="C503" t="s">
        <v>6607</v>
      </c>
      <c r="D503" t="s">
        <v>11</v>
      </c>
      <c r="E503" t="s">
        <v>13</v>
      </c>
      <c r="F503" t="s">
        <v>1970</v>
      </c>
      <c r="G503" t="s">
        <v>12</v>
      </c>
      <c r="I503" t="s">
        <v>6609</v>
      </c>
      <c r="J503" t="s">
        <v>8046</v>
      </c>
      <c r="K503" s="10">
        <v>189.45878513909815</v>
      </c>
      <c r="L503" s="9">
        <v>0.37476214860842139</v>
      </c>
      <c r="M503" s="10">
        <v>408.43759988783893</v>
      </c>
      <c r="N503" s="10">
        <v>449.28135987662284</v>
      </c>
    </row>
    <row r="504" spans="1:14">
      <c r="A504" t="s">
        <v>1967</v>
      </c>
      <c r="B504" t="s">
        <v>6610</v>
      </c>
      <c r="C504" t="s">
        <v>6607</v>
      </c>
      <c r="D504" t="s">
        <v>11</v>
      </c>
      <c r="E504" t="s">
        <v>13</v>
      </c>
      <c r="F504" t="s">
        <v>1970</v>
      </c>
      <c r="G504" t="s">
        <v>12</v>
      </c>
      <c r="I504" t="s">
        <v>6610</v>
      </c>
      <c r="J504" t="s">
        <v>8047</v>
      </c>
      <c r="K504" s="10">
        <v>292.06978444228696</v>
      </c>
      <c r="L504" s="9">
        <v>0.37165210384048031</v>
      </c>
      <c r="M504" s="10">
        <v>385.40321039470132</v>
      </c>
      <c r="N504" s="10">
        <v>423.94353143417146</v>
      </c>
    </row>
    <row r="505" spans="1:14">
      <c r="A505" t="s">
        <v>1967</v>
      </c>
      <c r="B505" t="s">
        <v>6611</v>
      </c>
      <c r="C505" t="s">
        <v>6612</v>
      </c>
      <c r="D505" t="s">
        <v>11</v>
      </c>
      <c r="E505" t="s">
        <v>13</v>
      </c>
      <c r="F505" t="s">
        <v>1970</v>
      </c>
      <c r="G505" t="s">
        <v>12</v>
      </c>
      <c r="I505" t="s">
        <v>6611</v>
      </c>
      <c r="J505" t="s">
        <v>8048</v>
      </c>
      <c r="K505" s="9">
        <v>3.3115650521265279</v>
      </c>
      <c r="L505" s="9">
        <v>0.39623994622114628</v>
      </c>
      <c r="M505" s="11">
        <v>38.099603548749762</v>
      </c>
      <c r="N505" s="11">
        <v>41.909563903624743</v>
      </c>
    </row>
    <row r="506" spans="1:14">
      <c r="A506" t="s">
        <v>1967</v>
      </c>
      <c r="B506" t="s">
        <v>6613</v>
      </c>
      <c r="C506" t="s">
        <v>6614</v>
      </c>
      <c r="D506" t="s">
        <v>11</v>
      </c>
      <c r="E506" t="s">
        <v>13</v>
      </c>
      <c r="F506" t="s">
        <v>1970</v>
      </c>
      <c r="G506" t="s">
        <v>12</v>
      </c>
      <c r="I506" t="s">
        <v>6613</v>
      </c>
      <c r="J506" t="s">
        <v>8049</v>
      </c>
      <c r="K506" s="9">
        <v>2.5172256928850838</v>
      </c>
      <c r="L506" s="9">
        <v>0.25677382503733098</v>
      </c>
      <c r="M506" s="11">
        <v>37.236906685392754</v>
      </c>
      <c r="N506" s="11">
        <v>40.96059735393203</v>
      </c>
    </row>
    <row r="507" spans="1:14">
      <c r="A507" t="s">
        <v>1967</v>
      </c>
      <c r="B507" t="s">
        <v>6615</v>
      </c>
      <c r="C507" t="s">
        <v>6616</v>
      </c>
      <c r="D507" t="s">
        <v>11</v>
      </c>
      <c r="E507" t="s">
        <v>13</v>
      </c>
      <c r="F507" t="s">
        <v>1970</v>
      </c>
      <c r="G507" t="s">
        <v>12</v>
      </c>
      <c r="I507" t="s">
        <v>6615</v>
      </c>
      <c r="J507" t="s">
        <v>8050</v>
      </c>
      <c r="K507" s="9">
        <v>4.1700423235352826</v>
      </c>
      <c r="L507" s="9">
        <v>0.3293522675039372</v>
      </c>
      <c r="M507" s="11">
        <v>43.629559798290842</v>
      </c>
      <c r="N507" s="11">
        <v>47.99251577811993</v>
      </c>
    </row>
    <row r="508" spans="1:14">
      <c r="A508" t="s">
        <v>1967</v>
      </c>
      <c r="B508" t="s">
        <v>6617</v>
      </c>
      <c r="C508" t="s">
        <v>6618</v>
      </c>
      <c r="D508" t="s">
        <v>11</v>
      </c>
      <c r="E508" t="s">
        <v>13</v>
      </c>
      <c r="F508" t="s">
        <v>1970</v>
      </c>
      <c r="G508" t="s">
        <v>12</v>
      </c>
      <c r="I508" t="s">
        <v>6617</v>
      </c>
      <c r="J508" t="s">
        <v>8051</v>
      </c>
      <c r="K508" s="9">
        <v>5.5467769212223237</v>
      </c>
      <c r="L508" s="12">
        <v>9.2214095474886196E-2</v>
      </c>
      <c r="M508" s="10">
        <v>104.16707432404752</v>
      </c>
      <c r="N508" s="10">
        <v>114.58378175645228</v>
      </c>
    </row>
    <row r="509" spans="1:14">
      <c r="A509" t="s">
        <v>1967</v>
      </c>
      <c r="B509" t="s">
        <v>6619</v>
      </c>
      <c r="C509" t="s">
        <v>6620</v>
      </c>
      <c r="D509" t="s">
        <v>11</v>
      </c>
      <c r="E509" t="s">
        <v>13</v>
      </c>
      <c r="F509" t="s">
        <v>1970</v>
      </c>
      <c r="G509" t="s">
        <v>12</v>
      </c>
      <c r="I509" t="s">
        <v>6619</v>
      </c>
      <c r="J509" t="s">
        <v>8052</v>
      </c>
      <c r="K509" s="9">
        <v>4.1536177053434793</v>
      </c>
      <c r="L509" s="9">
        <v>0.1140120948455591</v>
      </c>
      <c r="M509" s="11">
        <v>34.653643527661686</v>
      </c>
      <c r="N509" s="11">
        <v>38.119007880427858</v>
      </c>
    </row>
    <row r="510" spans="1:14">
      <c r="A510" t="s">
        <v>1967</v>
      </c>
      <c r="B510" t="s">
        <v>6621</v>
      </c>
      <c r="C510" t="s">
        <v>6622</v>
      </c>
      <c r="D510" t="s">
        <v>11</v>
      </c>
      <c r="E510" t="s">
        <v>13</v>
      </c>
      <c r="F510" t="s">
        <v>1970</v>
      </c>
      <c r="G510" t="s">
        <v>12</v>
      </c>
      <c r="I510" t="s">
        <v>6621</v>
      </c>
      <c r="J510" t="s">
        <v>8053</v>
      </c>
      <c r="K510" s="9">
        <v>2.0910763921060527</v>
      </c>
      <c r="L510" s="9">
        <v>0.29591810757484388</v>
      </c>
      <c r="M510" s="11">
        <v>50.839550502762648</v>
      </c>
      <c r="N510" s="11">
        <v>55.923505553038915</v>
      </c>
    </row>
    <row r="511" spans="1:14">
      <c r="A511" t="s">
        <v>1967</v>
      </c>
      <c r="B511" t="s">
        <v>6623</v>
      </c>
      <c r="C511" t="s">
        <v>6624</v>
      </c>
      <c r="D511" t="s">
        <v>11</v>
      </c>
      <c r="E511" t="s">
        <v>13</v>
      </c>
      <c r="F511" t="s">
        <v>1970</v>
      </c>
      <c r="G511" t="s">
        <v>12</v>
      </c>
      <c r="I511" t="s">
        <v>6623</v>
      </c>
      <c r="J511" t="s">
        <v>8054</v>
      </c>
      <c r="K511" s="9">
        <v>4.2496993809342367</v>
      </c>
      <c r="L511" s="9">
        <v>0.31901409395304531</v>
      </c>
      <c r="M511" s="11">
        <v>57.529922332781723</v>
      </c>
      <c r="N511" s="11">
        <v>63.282914566059901</v>
      </c>
    </row>
    <row r="512" spans="1:14">
      <c r="A512" t="s">
        <v>1967</v>
      </c>
      <c r="B512" t="s">
        <v>6625</v>
      </c>
      <c r="C512" t="s">
        <v>6626</v>
      </c>
      <c r="D512" t="s">
        <v>11</v>
      </c>
      <c r="E512" t="s">
        <v>13</v>
      </c>
      <c r="F512" t="s">
        <v>1970</v>
      </c>
      <c r="G512" t="s">
        <v>12</v>
      </c>
      <c r="I512" t="s">
        <v>6625</v>
      </c>
      <c r="J512" t="s">
        <v>8055</v>
      </c>
      <c r="K512" s="9">
        <v>5.1029376765522692</v>
      </c>
      <c r="L512" s="9">
        <v>0.31393508744492149</v>
      </c>
      <c r="M512" s="11">
        <v>77.173924329015108</v>
      </c>
      <c r="N512" s="11">
        <v>84.891316761916627</v>
      </c>
    </row>
    <row r="513" spans="1:14">
      <c r="A513" t="s">
        <v>1967</v>
      </c>
      <c r="B513" t="s">
        <v>6627</v>
      </c>
      <c r="C513" t="s">
        <v>6628</v>
      </c>
      <c r="D513" t="s">
        <v>11</v>
      </c>
      <c r="E513" t="s">
        <v>13</v>
      </c>
      <c r="F513" t="s">
        <v>1970</v>
      </c>
      <c r="G513" t="s">
        <v>12</v>
      </c>
      <c r="I513" t="s">
        <v>6627</v>
      </c>
      <c r="J513" t="s">
        <v>8056</v>
      </c>
      <c r="K513" s="9">
        <v>3.1708318837856986</v>
      </c>
      <c r="L513" s="9">
        <v>0.3258037529634335</v>
      </c>
      <c r="M513" s="11">
        <v>70.359968052450327</v>
      </c>
      <c r="N513" s="11">
        <v>77.395964857695361</v>
      </c>
    </row>
    <row r="514" spans="1:14">
      <c r="A514" t="s">
        <v>1967</v>
      </c>
      <c r="B514" t="s">
        <v>6629</v>
      </c>
      <c r="C514" t="s">
        <v>6630</v>
      </c>
      <c r="D514" t="s">
        <v>11</v>
      </c>
      <c r="E514" t="s">
        <v>13</v>
      </c>
      <c r="F514" t="s">
        <v>1970</v>
      </c>
      <c r="G514" t="s">
        <v>12</v>
      </c>
      <c r="I514" t="s">
        <v>6629</v>
      </c>
      <c r="J514" t="s">
        <v>8057</v>
      </c>
      <c r="K514" s="9">
        <v>0.20013926163143755</v>
      </c>
      <c r="L514" s="9">
        <v>0.3130754261049114</v>
      </c>
      <c r="M514" s="11">
        <v>42.094345153143912</v>
      </c>
      <c r="N514" s="11">
        <v>46.303779668458304</v>
      </c>
    </row>
    <row r="515" spans="1:14">
      <c r="A515" t="s">
        <v>1967</v>
      </c>
      <c r="B515" t="s">
        <v>6631</v>
      </c>
      <c r="C515" t="s">
        <v>6632</v>
      </c>
      <c r="D515" t="s">
        <v>11</v>
      </c>
      <c r="E515" t="s">
        <v>13</v>
      </c>
      <c r="F515" t="s">
        <v>1970</v>
      </c>
      <c r="G515" t="s">
        <v>12</v>
      </c>
      <c r="I515" t="s">
        <v>6631</v>
      </c>
      <c r="J515" t="s">
        <v>8058</v>
      </c>
      <c r="K515" s="12">
        <v>3.5283052619453546E-2</v>
      </c>
      <c r="L515" s="9">
        <v>0.28917876183580588</v>
      </c>
      <c r="M515" s="11">
        <v>30.644503835780611</v>
      </c>
      <c r="N515" s="11">
        <v>33.708954219358674</v>
      </c>
    </row>
    <row r="516" spans="1:14">
      <c r="A516" t="s">
        <v>1967</v>
      </c>
      <c r="B516" t="s">
        <v>6633</v>
      </c>
      <c r="C516" t="s">
        <v>6632</v>
      </c>
      <c r="D516" t="s">
        <v>11</v>
      </c>
      <c r="E516" t="s">
        <v>13</v>
      </c>
      <c r="F516" t="s">
        <v>1970</v>
      </c>
      <c r="G516" t="s">
        <v>12</v>
      </c>
      <c r="I516" t="s">
        <v>6633</v>
      </c>
      <c r="J516" t="s">
        <v>8059</v>
      </c>
      <c r="K516" s="12">
        <v>1.8600756968002754E-2</v>
      </c>
      <c r="L516" s="9">
        <v>0.27448254570917752</v>
      </c>
      <c r="M516" s="11">
        <v>27.868030189170479</v>
      </c>
      <c r="N516" s="11">
        <v>30.654833208087531</v>
      </c>
    </row>
    <row r="517" spans="1:14">
      <c r="A517" t="s">
        <v>1967</v>
      </c>
      <c r="B517" t="s">
        <v>6634</v>
      </c>
      <c r="C517" t="s">
        <v>6632</v>
      </c>
      <c r="D517" t="s">
        <v>11</v>
      </c>
      <c r="E517" t="s">
        <v>13</v>
      </c>
      <c r="F517" t="s">
        <v>1970</v>
      </c>
      <c r="G517" t="s">
        <v>12</v>
      </c>
      <c r="I517" t="s">
        <v>6634</v>
      </c>
      <c r="J517" t="s">
        <v>8060</v>
      </c>
      <c r="K517" s="12">
        <v>5.1187174172595204E-2</v>
      </c>
      <c r="L517" s="9">
        <v>0.26971047051348901</v>
      </c>
      <c r="M517" s="11">
        <v>22.722641853111959</v>
      </c>
      <c r="N517" s="11">
        <v>24.994906038423157</v>
      </c>
    </row>
    <row r="518" spans="1:14">
      <c r="A518" t="s">
        <v>1967</v>
      </c>
      <c r="B518" t="s">
        <v>6635</v>
      </c>
      <c r="C518" t="s">
        <v>6630</v>
      </c>
      <c r="D518" t="s">
        <v>11</v>
      </c>
      <c r="E518" t="s">
        <v>13</v>
      </c>
      <c r="F518" t="s">
        <v>1970</v>
      </c>
      <c r="G518" t="s">
        <v>12</v>
      </c>
      <c r="I518" t="s">
        <v>6635</v>
      </c>
      <c r="J518" t="s">
        <v>8061</v>
      </c>
      <c r="K518" s="12">
        <v>4.950641015195531E-2</v>
      </c>
      <c r="L518" s="9">
        <v>0.3001844054263349</v>
      </c>
      <c r="M518" s="11">
        <v>24.632081721088177</v>
      </c>
      <c r="N518" s="11">
        <v>27.095289893196998</v>
      </c>
    </row>
    <row r="519" spans="1:14">
      <c r="A519" t="s">
        <v>1967</v>
      </c>
      <c r="B519" t="s">
        <v>6636</v>
      </c>
      <c r="C519" t="s">
        <v>6637</v>
      </c>
      <c r="D519" t="s">
        <v>11</v>
      </c>
      <c r="E519" t="s">
        <v>13</v>
      </c>
      <c r="F519" t="s">
        <v>1970</v>
      </c>
      <c r="G519" t="s">
        <v>12</v>
      </c>
      <c r="I519" t="s">
        <v>6636</v>
      </c>
      <c r="J519" t="s">
        <v>8062</v>
      </c>
      <c r="K519" s="9">
        <v>0.14135949618957583</v>
      </c>
      <c r="L519" s="9">
        <v>0.29507580387341309</v>
      </c>
      <c r="M519" s="11">
        <v>10.456194273842932</v>
      </c>
      <c r="N519" s="11">
        <v>11.501813701227226</v>
      </c>
    </row>
    <row r="520" spans="1:14">
      <c r="A520" t="s">
        <v>1967</v>
      </c>
      <c r="B520" t="s">
        <v>6638</v>
      </c>
      <c r="C520" t="s">
        <v>6639</v>
      </c>
      <c r="D520" t="s">
        <v>11</v>
      </c>
      <c r="E520" t="s">
        <v>13</v>
      </c>
      <c r="F520" t="s">
        <v>1970</v>
      </c>
      <c r="G520" t="s">
        <v>12</v>
      </c>
      <c r="I520" t="s">
        <v>6638</v>
      </c>
      <c r="J520" t="s">
        <v>8063</v>
      </c>
      <c r="K520" s="9">
        <v>1.5952964552847531</v>
      </c>
      <c r="L520" s="9">
        <v>0.36091726467195451</v>
      </c>
      <c r="M520" s="11">
        <v>68.697383144668819</v>
      </c>
      <c r="N520" s="11">
        <v>75.567121459135706</v>
      </c>
    </row>
    <row r="521" spans="1:14">
      <c r="A521" t="s">
        <v>1967</v>
      </c>
      <c r="B521" t="s">
        <v>6640</v>
      </c>
      <c r="C521" t="s">
        <v>6641</v>
      </c>
      <c r="D521" t="s">
        <v>11</v>
      </c>
      <c r="E521" t="s">
        <v>13</v>
      </c>
      <c r="F521" t="s">
        <v>1970</v>
      </c>
      <c r="G521" t="s">
        <v>12</v>
      </c>
      <c r="I521" t="s">
        <v>6640</v>
      </c>
      <c r="J521" t="s">
        <v>8064</v>
      </c>
      <c r="K521" s="9">
        <v>3.623952289486958</v>
      </c>
      <c r="L521" s="9">
        <v>0.30029706752001439</v>
      </c>
      <c r="M521" s="10">
        <v>155.08741897311995</v>
      </c>
      <c r="N521" s="10">
        <v>170.59616087043196</v>
      </c>
    </row>
    <row r="522" spans="1:14">
      <c r="A522" t="s">
        <v>1967</v>
      </c>
      <c r="B522" t="s">
        <v>6642</v>
      </c>
      <c r="C522" t="s">
        <v>6643</v>
      </c>
      <c r="D522" t="s">
        <v>11</v>
      </c>
      <c r="E522" t="s">
        <v>13</v>
      </c>
      <c r="F522" t="s">
        <v>1970</v>
      </c>
      <c r="G522" t="s">
        <v>12</v>
      </c>
      <c r="I522" t="s">
        <v>6642</v>
      </c>
      <c r="J522" t="s">
        <v>8065</v>
      </c>
      <c r="K522" s="9">
        <v>1.8472918352949439</v>
      </c>
      <c r="L522" s="9">
        <v>0.28644509791468548</v>
      </c>
      <c r="M522" s="11">
        <v>83.741617215900249</v>
      </c>
      <c r="N522" s="11">
        <v>92.115778937490276</v>
      </c>
    </row>
    <row r="523" spans="1:14">
      <c r="A523" t="s">
        <v>1967</v>
      </c>
      <c r="B523" t="s">
        <v>6644</v>
      </c>
      <c r="C523" t="s">
        <v>6645</v>
      </c>
      <c r="D523" t="s">
        <v>11</v>
      </c>
      <c r="E523" t="s">
        <v>13</v>
      </c>
      <c r="F523" t="s">
        <v>1970</v>
      </c>
      <c r="G523" t="s">
        <v>12</v>
      </c>
      <c r="I523" t="s">
        <v>6644</v>
      </c>
      <c r="J523" t="s">
        <v>8066</v>
      </c>
      <c r="K523" s="9">
        <v>1.4396286222557346</v>
      </c>
      <c r="L523" s="9">
        <v>0.33952143925275241</v>
      </c>
      <c r="M523" s="10">
        <v>134.62357156455934</v>
      </c>
      <c r="N523" s="10">
        <v>148.08592872101528</v>
      </c>
    </row>
    <row r="524" spans="1:14">
      <c r="A524" t="s">
        <v>1967</v>
      </c>
      <c r="B524" t="s">
        <v>6646</v>
      </c>
      <c r="C524" t="s">
        <v>6647</v>
      </c>
      <c r="D524" t="s">
        <v>11</v>
      </c>
      <c r="E524" t="s">
        <v>13</v>
      </c>
      <c r="F524" t="s">
        <v>1970</v>
      </c>
      <c r="G524" t="s">
        <v>12</v>
      </c>
      <c r="I524" t="s">
        <v>6646</v>
      </c>
      <c r="J524" t="s">
        <v>8067</v>
      </c>
      <c r="K524" s="9">
        <v>0.93393492922945121</v>
      </c>
      <c r="L524" s="9">
        <v>0.1403804006266359</v>
      </c>
      <c r="M524" s="11">
        <v>23.887806060318308</v>
      </c>
      <c r="N524" s="11">
        <v>26.276586666350141</v>
      </c>
    </row>
    <row r="525" spans="1:14">
      <c r="A525" t="s">
        <v>1967</v>
      </c>
      <c r="B525" t="s">
        <v>6648</v>
      </c>
      <c r="C525" t="s">
        <v>6649</v>
      </c>
      <c r="D525" t="s">
        <v>11</v>
      </c>
      <c r="E525" t="s">
        <v>13</v>
      </c>
      <c r="F525" t="s">
        <v>1970</v>
      </c>
      <c r="G525" t="s">
        <v>12</v>
      </c>
      <c r="I525" t="s">
        <v>6648</v>
      </c>
      <c r="J525" t="s">
        <v>8068</v>
      </c>
      <c r="K525" s="11">
        <v>17.488555507436022</v>
      </c>
      <c r="L525" s="9">
        <v>0.1569636834601485</v>
      </c>
      <c r="M525" s="11">
        <v>62.12550020171831</v>
      </c>
      <c r="N525" s="11">
        <v>68.338050221890143</v>
      </c>
    </row>
    <row r="526" spans="1:14">
      <c r="A526" t="s">
        <v>1967</v>
      </c>
      <c r="B526" t="s">
        <v>6650</v>
      </c>
      <c r="C526" t="s">
        <v>6651</v>
      </c>
      <c r="D526" t="s">
        <v>11</v>
      </c>
      <c r="E526" t="s">
        <v>13</v>
      </c>
      <c r="F526" t="s">
        <v>1970</v>
      </c>
      <c r="G526" t="s">
        <v>12</v>
      </c>
      <c r="I526" t="s">
        <v>6650</v>
      </c>
      <c r="J526" t="s">
        <v>8069</v>
      </c>
      <c r="K526" s="11">
        <v>22.190091657157108</v>
      </c>
      <c r="L526" s="9">
        <v>0.28109005423005479</v>
      </c>
      <c r="M526" s="11">
        <v>86.45150160691945</v>
      </c>
      <c r="N526" s="11">
        <v>95.096651767611405</v>
      </c>
    </row>
    <row r="527" spans="1:14">
      <c r="A527" t="s">
        <v>1967</v>
      </c>
      <c r="B527" t="s">
        <v>6652</v>
      </c>
      <c r="C527" t="s">
        <v>6653</v>
      </c>
      <c r="D527" t="s">
        <v>11</v>
      </c>
      <c r="E527" t="s">
        <v>13</v>
      </c>
      <c r="F527" t="s">
        <v>1970</v>
      </c>
      <c r="G527" t="s">
        <v>12</v>
      </c>
      <c r="I527" t="s">
        <v>6652</v>
      </c>
      <c r="J527" t="s">
        <v>8070</v>
      </c>
      <c r="K527" s="11">
        <v>64.401259536385737</v>
      </c>
      <c r="L527" s="9">
        <v>0.26182660870580038</v>
      </c>
      <c r="M527" s="11">
        <v>92.952650829839556</v>
      </c>
      <c r="N527" s="10">
        <v>102.24791591282352</v>
      </c>
    </row>
    <row r="528" spans="1:14">
      <c r="A528" t="s">
        <v>1967</v>
      </c>
      <c r="B528" t="s">
        <v>6654</v>
      </c>
      <c r="C528" t="s">
        <v>6655</v>
      </c>
      <c r="D528" t="s">
        <v>11</v>
      </c>
      <c r="E528" t="s">
        <v>13</v>
      </c>
      <c r="F528" t="s">
        <v>1970</v>
      </c>
      <c r="G528" t="s">
        <v>12</v>
      </c>
      <c r="I528" t="s">
        <v>6654</v>
      </c>
      <c r="J528" t="s">
        <v>8071</v>
      </c>
      <c r="K528" s="11">
        <v>74.352448149013625</v>
      </c>
      <c r="L528" s="9">
        <v>0.1934567349414304</v>
      </c>
      <c r="M528" s="10">
        <v>116.93439133307128</v>
      </c>
      <c r="N528" s="10">
        <v>128.62783046637841</v>
      </c>
    </row>
    <row r="529" spans="1:14">
      <c r="A529" t="s">
        <v>1967</v>
      </c>
      <c r="B529" t="s">
        <v>6656</v>
      </c>
      <c r="C529" t="s">
        <v>6657</v>
      </c>
      <c r="D529" t="s">
        <v>11</v>
      </c>
      <c r="E529" t="s">
        <v>13</v>
      </c>
      <c r="F529" t="s">
        <v>1970</v>
      </c>
      <c r="G529" t="s">
        <v>12</v>
      </c>
      <c r="I529" t="s">
        <v>6656</v>
      </c>
      <c r="J529" t="s">
        <v>8072</v>
      </c>
      <c r="K529" s="9">
        <v>4.2512947628160216</v>
      </c>
      <c r="L529" s="9">
        <v>0.20582901562357919</v>
      </c>
      <c r="M529" s="11">
        <v>28.168836230160476</v>
      </c>
      <c r="N529" s="11">
        <v>30.985719853176526</v>
      </c>
    </row>
    <row r="530" spans="1:14">
      <c r="A530" t="s">
        <v>1967</v>
      </c>
      <c r="B530" t="s">
        <v>6658</v>
      </c>
      <c r="C530" t="s">
        <v>6659</v>
      </c>
      <c r="D530" t="s">
        <v>11</v>
      </c>
      <c r="E530" t="s">
        <v>13</v>
      </c>
      <c r="F530" t="s">
        <v>1970</v>
      </c>
      <c r="G530" t="s">
        <v>12</v>
      </c>
      <c r="I530" t="s">
        <v>6658</v>
      </c>
      <c r="J530" t="s">
        <v>8073</v>
      </c>
      <c r="K530" s="11">
        <v>95.754282425599314</v>
      </c>
      <c r="L530" s="9">
        <v>0.32633996925160869</v>
      </c>
      <c r="M530" s="11">
        <v>92.114071348264801</v>
      </c>
      <c r="N530" s="10">
        <v>101.32547848309129</v>
      </c>
    </row>
    <row r="531" spans="1:14">
      <c r="A531" t="s">
        <v>1967</v>
      </c>
      <c r="B531" t="s">
        <v>6660</v>
      </c>
      <c r="C531" t="s">
        <v>6661</v>
      </c>
      <c r="D531" t="s">
        <v>11</v>
      </c>
      <c r="E531" t="s">
        <v>13</v>
      </c>
      <c r="F531" t="s">
        <v>1970</v>
      </c>
      <c r="G531" t="s">
        <v>12</v>
      </c>
      <c r="I531" t="s">
        <v>6660</v>
      </c>
      <c r="J531" t="s">
        <v>8074</v>
      </c>
      <c r="K531" s="11">
        <v>20.84694471821625</v>
      </c>
      <c r="L531" s="9">
        <v>0.23237809171541329</v>
      </c>
      <c r="M531" s="11">
        <v>44.152223020172947</v>
      </c>
      <c r="N531" s="11">
        <v>48.567445322190245</v>
      </c>
    </row>
    <row r="532" spans="1:14">
      <c r="A532" t="s">
        <v>1967</v>
      </c>
      <c r="B532" t="s">
        <v>6662</v>
      </c>
      <c r="C532" t="s">
        <v>6663</v>
      </c>
      <c r="D532" t="s">
        <v>11</v>
      </c>
      <c r="E532" t="s">
        <v>13</v>
      </c>
      <c r="F532" t="s">
        <v>1970</v>
      </c>
      <c r="G532" t="s">
        <v>12</v>
      </c>
      <c r="I532" t="s">
        <v>6662</v>
      </c>
      <c r="J532" t="s">
        <v>8075</v>
      </c>
      <c r="K532" s="11">
        <v>16.939566161675454</v>
      </c>
      <c r="L532" s="9">
        <v>0.26511190539887458</v>
      </c>
      <c r="M532" s="11">
        <v>34.194556299148331</v>
      </c>
      <c r="N532" s="11">
        <v>37.614011929063167</v>
      </c>
    </row>
    <row r="533" spans="1:14">
      <c r="A533" t="s">
        <v>1967</v>
      </c>
      <c r="B533" t="s">
        <v>6664</v>
      </c>
      <c r="C533" t="s">
        <v>6665</v>
      </c>
      <c r="D533" t="s">
        <v>11</v>
      </c>
      <c r="E533" t="s">
        <v>13</v>
      </c>
      <c r="F533" t="s">
        <v>1970</v>
      </c>
      <c r="G533" t="s">
        <v>12</v>
      </c>
      <c r="I533" t="s">
        <v>6664</v>
      </c>
      <c r="J533" t="s">
        <v>8076</v>
      </c>
      <c r="K533" s="11">
        <v>11.214137367892885</v>
      </c>
      <c r="L533" s="9">
        <v>0.2560230885261483</v>
      </c>
      <c r="M533" s="11">
        <v>21.189024173709001</v>
      </c>
      <c r="N533" s="11">
        <v>23.307926591079902</v>
      </c>
    </row>
    <row r="534" spans="1:14">
      <c r="A534" t="s">
        <v>1967</v>
      </c>
      <c r="B534" t="s">
        <v>6666</v>
      </c>
      <c r="C534" t="s">
        <v>6667</v>
      </c>
      <c r="D534" t="s">
        <v>11</v>
      </c>
      <c r="E534" t="s">
        <v>13</v>
      </c>
      <c r="F534" t="s">
        <v>1970</v>
      </c>
      <c r="G534" t="s">
        <v>12</v>
      </c>
      <c r="I534" t="s">
        <v>6666</v>
      </c>
      <c r="J534" t="s">
        <v>8077</v>
      </c>
      <c r="K534" s="9">
        <v>1.552653781272372</v>
      </c>
      <c r="L534" s="9">
        <v>0.1471270748302726</v>
      </c>
      <c r="M534" s="11">
        <v>14.119104453467674</v>
      </c>
      <c r="N534" s="11">
        <v>15.531014898814442</v>
      </c>
    </row>
    <row r="535" spans="1:14">
      <c r="A535" t="s">
        <v>1967</v>
      </c>
      <c r="B535" t="s">
        <v>6668</v>
      </c>
      <c r="C535" t="s">
        <v>6669</v>
      </c>
      <c r="D535" t="s">
        <v>11</v>
      </c>
      <c r="E535" t="s">
        <v>13</v>
      </c>
      <c r="F535" t="s">
        <v>1970</v>
      </c>
      <c r="G535" t="s">
        <v>12</v>
      </c>
      <c r="I535" t="s">
        <v>6668</v>
      </c>
      <c r="J535" t="s">
        <v>8078</v>
      </c>
      <c r="K535" s="11">
        <v>30.00687851845084</v>
      </c>
      <c r="L535" s="9">
        <v>0.16307083341621639</v>
      </c>
      <c r="M535" s="11">
        <v>23.77199619543363</v>
      </c>
      <c r="N535" s="11">
        <v>26.149195814976995</v>
      </c>
    </row>
    <row r="536" spans="1:14">
      <c r="A536" t="s">
        <v>1967</v>
      </c>
      <c r="B536" t="s">
        <v>6670</v>
      </c>
      <c r="C536" t="s">
        <v>6671</v>
      </c>
      <c r="D536" t="s">
        <v>11</v>
      </c>
      <c r="E536" t="s">
        <v>13</v>
      </c>
      <c r="F536" t="s">
        <v>1970</v>
      </c>
      <c r="G536" t="s">
        <v>12</v>
      </c>
      <c r="I536" t="s">
        <v>6670</v>
      </c>
      <c r="J536" t="s">
        <v>8079</v>
      </c>
      <c r="K536" s="11">
        <v>46.099990181860157</v>
      </c>
      <c r="L536" s="9">
        <v>0.18959248843968171</v>
      </c>
      <c r="M536" s="11">
        <v>28.885732877831519</v>
      </c>
      <c r="N536" s="11">
        <v>31.774306165614671</v>
      </c>
    </row>
    <row r="537" spans="1:14">
      <c r="A537" t="s">
        <v>1967</v>
      </c>
      <c r="B537" t="s">
        <v>6672</v>
      </c>
      <c r="C537" t="s">
        <v>6673</v>
      </c>
      <c r="D537" t="s">
        <v>11</v>
      </c>
      <c r="E537" t="s">
        <v>13</v>
      </c>
      <c r="F537" t="s">
        <v>1970</v>
      </c>
      <c r="G537" t="s">
        <v>12</v>
      </c>
      <c r="I537" t="s">
        <v>6672</v>
      </c>
      <c r="J537" t="s">
        <v>8080</v>
      </c>
      <c r="K537" s="11">
        <v>16.337836738260524</v>
      </c>
      <c r="L537" s="9">
        <v>0.15764565449915499</v>
      </c>
      <c r="M537" s="11">
        <v>37.895292361390879</v>
      </c>
      <c r="N537" s="11">
        <v>41.684821597529968</v>
      </c>
    </row>
    <row r="538" spans="1:14">
      <c r="A538" t="s">
        <v>1967</v>
      </c>
      <c r="B538" t="s">
        <v>6674</v>
      </c>
      <c r="C538" t="s">
        <v>6675</v>
      </c>
      <c r="D538" t="s">
        <v>11</v>
      </c>
      <c r="E538" t="s">
        <v>13</v>
      </c>
      <c r="F538" t="s">
        <v>1970</v>
      </c>
      <c r="G538" t="s">
        <v>12</v>
      </c>
      <c r="I538" t="s">
        <v>6674</v>
      </c>
      <c r="J538" t="s">
        <v>8081</v>
      </c>
      <c r="K538" s="9">
        <v>4.6325155800949922</v>
      </c>
      <c r="L538" s="9">
        <v>0.1083910954546443</v>
      </c>
      <c r="M538" s="11">
        <v>61.343414172052043</v>
      </c>
      <c r="N538" s="11">
        <v>67.477755589257256</v>
      </c>
    </row>
    <row r="539" spans="1:14">
      <c r="A539" t="s">
        <v>1967</v>
      </c>
      <c r="B539" t="s">
        <v>6676</v>
      </c>
      <c r="C539" t="s">
        <v>6677</v>
      </c>
      <c r="D539" t="s">
        <v>11</v>
      </c>
      <c r="E539" t="s">
        <v>13</v>
      </c>
      <c r="F539" t="s">
        <v>1970</v>
      </c>
      <c r="G539" t="s">
        <v>12</v>
      </c>
      <c r="I539" t="s">
        <v>6676</v>
      </c>
      <c r="J539" t="s">
        <v>8082</v>
      </c>
      <c r="K539" s="9">
        <v>0.90008318392017272</v>
      </c>
      <c r="L539" s="9">
        <v>0.2177681229124217</v>
      </c>
      <c r="M539" s="11">
        <v>11.025079617587693</v>
      </c>
      <c r="N539" s="11">
        <v>12.127587579346462</v>
      </c>
    </row>
    <row r="540" spans="1:14">
      <c r="A540" t="s">
        <v>1967</v>
      </c>
      <c r="B540" t="s">
        <v>6678</v>
      </c>
      <c r="C540" t="s">
        <v>6679</v>
      </c>
      <c r="D540" t="s">
        <v>11</v>
      </c>
      <c r="E540" t="s">
        <v>13</v>
      </c>
      <c r="F540" t="s">
        <v>1970</v>
      </c>
      <c r="G540" t="s">
        <v>12</v>
      </c>
      <c r="I540" t="s">
        <v>6678</v>
      </c>
      <c r="J540" t="s">
        <v>8083</v>
      </c>
      <c r="K540" s="11">
        <v>18.792853868576991</v>
      </c>
      <c r="L540" s="9">
        <v>0.25643195481556103</v>
      </c>
      <c r="M540" s="11">
        <v>18.915734895635048</v>
      </c>
      <c r="N540" s="11">
        <v>20.807308385198553</v>
      </c>
    </row>
    <row r="541" spans="1:14">
      <c r="A541" t="s">
        <v>1967</v>
      </c>
      <c r="B541" t="s">
        <v>6680</v>
      </c>
      <c r="C541" t="s">
        <v>6681</v>
      </c>
      <c r="D541" t="s">
        <v>11</v>
      </c>
      <c r="E541" t="s">
        <v>13</v>
      </c>
      <c r="F541" t="s">
        <v>1970</v>
      </c>
      <c r="G541" t="s">
        <v>12</v>
      </c>
      <c r="I541" t="s">
        <v>6680</v>
      </c>
      <c r="J541" t="s">
        <v>8084</v>
      </c>
      <c r="K541" s="11">
        <v>51.33274501354348</v>
      </c>
      <c r="L541" s="9">
        <v>0.17680903988829999</v>
      </c>
      <c r="M541" s="11">
        <v>31.494017130893699</v>
      </c>
      <c r="N541" s="11">
        <v>34.643418843983071</v>
      </c>
    </row>
    <row r="542" spans="1:14">
      <c r="A542" t="s">
        <v>1967</v>
      </c>
      <c r="B542" t="s">
        <v>6682</v>
      </c>
      <c r="C542" t="s">
        <v>6683</v>
      </c>
      <c r="D542" t="s">
        <v>11</v>
      </c>
      <c r="E542" t="s">
        <v>13</v>
      </c>
      <c r="F542" t="s">
        <v>1970</v>
      </c>
      <c r="G542" t="s">
        <v>12</v>
      </c>
      <c r="I542" t="s">
        <v>6682</v>
      </c>
      <c r="J542" t="s">
        <v>8085</v>
      </c>
      <c r="K542" s="9">
        <v>6.6375972052458536</v>
      </c>
      <c r="L542" s="9">
        <v>0.11663489967218189</v>
      </c>
      <c r="M542" s="10">
        <v>104.31765716765224</v>
      </c>
      <c r="N542" s="10">
        <v>114.74942288441747</v>
      </c>
    </row>
    <row r="543" spans="1:14">
      <c r="A543" t="s">
        <v>1967</v>
      </c>
      <c r="B543" t="s">
        <v>6684</v>
      </c>
      <c r="C543" t="s">
        <v>6685</v>
      </c>
      <c r="D543" t="s">
        <v>11</v>
      </c>
      <c r="E543" t="s">
        <v>13</v>
      </c>
      <c r="F543" t="s">
        <v>1970</v>
      </c>
      <c r="G543" t="s">
        <v>12</v>
      </c>
      <c r="I543" t="s">
        <v>6684</v>
      </c>
      <c r="J543" t="s">
        <v>8086</v>
      </c>
      <c r="K543" s="11">
        <v>17.986785008242006</v>
      </c>
      <c r="L543" s="9">
        <v>0.1563455417458775</v>
      </c>
      <c r="M543" s="10">
        <v>140.11286639995441</v>
      </c>
      <c r="N543" s="10">
        <v>154.12415303994987</v>
      </c>
    </row>
    <row r="544" spans="1:14">
      <c r="A544" t="s">
        <v>1967</v>
      </c>
      <c r="B544" t="s">
        <v>6686</v>
      </c>
      <c r="C544" t="s">
        <v>6687</v>
      </c>
      <c r="D544" t="s">
        <v>11</v>
      </c>
      <c r="E544" t="s">
        <v>13</v>
      </c>
      <c r="F544" t="s">
        <v>1970</v>
      </c>
      <c r="G544" t="s">
        <v>12</v>
      </c>
      <c r="I544" t="s">
        <v>6686</v>
      </c>
      <c r="J544" t="s">
        <v>8087</v>
      </c>
      <c r="K544" s="11">
        <v>98.990668542659904</v>
      </c>
      <c r="L544" s="9">
        <v>0.20579711711655049</v>
      </c>
      <c r="M544" s="10">
        <v>137.09631416783117</v>
      </c>
      <c r="N544" s="10">
        <v>150.80594558461431</v>
      </c>
    </row>
    <row r="545" spans="1:14">
      <c r="A545" t="s">
        <v>1967</v>
      </c>
      <c r="B545" t="s">
        <v>6688</v>
      </c>
      <c r="C545" t="s">
        <v>6689</v>
      </c>
      <c r="D545" t="s">
        <v>11</v>
      </c>
      <c r="E545" t="s">
        <v>13</v>
      </c>
      <c r="F545" t="s">
        <v>1970</v>
      </c>
      <c r="G545" t="s">
        <v>12</v>
      </c>
      <c r="I545" t="s">
        <v>6688</v>
      </c>
      <c r="J545" t="s">
        <v>8088</v>
      </c>
      <c r="K545" s="11">
        <v>50.661684929426563</v>
      </c>
      <c r="L545" s="9">
        <v>0.1394769072087394</v>
      </c>
      <c r="M545" s="10">
        <v>169.67565977805268</v>
      </c>
      <c r="N545" s="10">
        <v>186.64322575585797</v>
      </c>
    </row>
    <row r="546" spans="1:14">
      <c r="A546" t="s">
        <v>1967</v>
      </c>
      <c r="B546" t="s">
        <v>6690</v>
      </c>
      <c r="C546" t="s">
        <v>6691</v>
      </c>
      <c r="D546" t="s">
        <v>11</v>
      </c>
      <c r="E546" t="s">
        <v>13</v>
      </c>
      <c r="F546" t="s">
        <v>1970</v>
      </c>
      <c r="G546" t="s">
        <v>12</v>
      </c>
      <c r="I546" t="s">
        <v>6690</v>
      </c>
      <c r="J546" t="s">
        <v>8089</v>
      </c>
      <c r="K546" s="11">
        <v>74.56741413266738</v>
      </c>
      <c r="L546" s="9">
        <v>0.18104856481268319</v>
      </c>
      <c r="M546" s="10">
        <v>104.4254573356462</v>
      </c>
      <c r="N546" s="10">
        <v>114.86800306921083</v>
      </c>
    </row>
    <row r="547" spans="1:14">
      <c r="A547" t="s">
        <v>1967</v>
      </c>
      <c r="B547" t="s">
        <v>6692</v>
      </c>
      <c r="C547" t="s">
        <v>6693</v>
      </c>
      <c r="D547" t="s">
        <v>11</v>
      </c>
      <c r="E547" t="s">
        <v>13</v>
      </c>
      <c r="F547" t="s">
        <v>1970</v>
      </c>
      <c r="G547" t="s">
        <v>12</v>
      </c>
      <c r="I547" t="s">
        <v>6692</v>
      </c>
      <c r="J547" t="s">
        <v>8090</v>
      </c>
      <c r="K547" s="11">
        <v>12.922526408175351</v>
      </c>
      <c r="L547" s="9">
        <v>0.20200571251717281</v>
      </c>
      <c r="M547" s="10">
        <v>171.09920502570409</v>
      </c>
      <c r="N547" s="10">
        <v>188.20912552827451</v>
      </c>
    </row>
    <row r="548" spans="1:14">
      <c r="A548" t="s">
        <v>1967</v>
      </c>
      <c r="B548" t="s">
        <v>6694</v>
      </c>
      <c r="C548" t="s">
        <v>6695</v>
      </c>
      <c r="D548" t="s">
        <v>11</v>
      </c>
      <c r="E548" t="s">
        <v>13</v>
      </c>
      <c r="F548" t="s">
        <v>1970</v>
      </c>
      <c r="G548" t="s">
        <v>12</v>
      </c>
      <c r="I548" t="s">
        <v>6694</v>
      </c>
      <c r="J548" t="s">
        <v>8091</v>
      </c>
      <c r="K548" s="11">
        <v>12.26323880416394</v>
      </c>
      <c r="L548" s="9">
        <v>0.1545369550182043</v>
      </c>
      <c r="M548" s="10">
        <v>153.98625177345062</v>
      </c>
      <c r="N548" s="10">
        <v>169.3848769507957</v>
      </c>
    </row>
    <row r="549" spans="1:14">
      <c r="A549" t="s">
        <v>1967</v>
      </c>
      <c r="B549" t="s">
        <v>6696</v>
      </c>
      <c r="C549" t="s">
        <v>6697</v>
      </c>
      <c r="D549" t="s">
        <v>11</v>
      </c>
      <c r="E549" t="s">
        <v>13</v>
      </c>
      <c r="F549" t="s">
        <v>1970</v>
      </c>
      <c r="G549" t="s">
        <v>12</v>
      </c>
      <c r="I549" t="s">
        <v>6696</v>
      </c>
      <c r="J549" t="s">
        <v>8092</v>
      </c>
      <c r="K549" s="11">
        <v>63.587531051473675</v>
      </c>
      <c r="L549" s="9">
        <v>0.19189079863120151</v>
      </c>
      <c r="M549" s="10">
        <v>200.42359992102263</v>
      </c>
      <c r="N549" s="10">
        <v>220.46595991312492</v>
      </c>
    </row>
    <row r="550" spans="1:14">
      <c r="A550" t="s">
        <v>1967</v>
      </c>
      <c r="B550" t="s">
        <v>6698</v>
      </c>
      <c r="C550" t="s">
        <v>6699</v>
      </c>
      <c r="D550" t="s">
        <v>11</v>
      </c>
      <c r="E550" t="s">
        <v>13</v>
      </c>
      <c r="F550" t="s">
        <v>1970</v>
      </c>
      <c r="G550" t="s">
        <v>12</v>
      </c>
      <c r="I550" t="s">
        <v>6698</v>
      </c>
      <c r="J550" t="s">
        <v>8093</v>
      </c>
      <c r="K550" s="11">
        <v>32.315953488635216</v>
      </c>
      <c r="L550" s="9">
        <v>0.23664388071816889</v>
      </c>
      <c r="M550" s="10">
        <v>275.1487664574496</v>
      </c>
      <c r="N550" s="10">
        <v>302.6636431031946</v>
      </c>
    </row>
    <row r="551" spans="1:14">
      <c r="A551" t="s">
        <v>1967</v>
      </c>
      <c r="B551" t="s">
        <v>6700</v>
      </c>
      <c r="C551" t="s">
        <v>6701</v>
      </c>
      <c r="D551" t="s">
        <v>11</v>
      </c>
      <c r="E551" t="s">
        <v>13</v>
      </c>
      <c r="F551" t="s">
        <v>1970</v>
      </c>
      <c r="G551" t="s">
        <v>12</v>
      </c>
      <c r="I551" t="s">
        <v>6700</v>
      </c>
      <c r="J551" t="s">
        <v>8094</v>
      </c>
      <c r="K551" s="11">
        <v>85.287654988528871</v>
      </c>
      <c r="L551" s="9">
        <v>0.31664841933100779</v>
      </c>
      <c r="M551" s="11">
        <v>76.559904992975831</v>
      </c>
      <c r="N551" s="11">
        <v>84.215895492273418</v>
      </c>
    </row>
    <row r="552" spans="1:14">
      <c r="A552" t="s">
        <v>1967</v>
      </c>
      <c r="B552" t="s">
        <v>6702</v>
      </c>
      <c r="C552" t="s">
        <v>6703</v>
      </c>
      <c r="D552" t="s">
        <v>11</v>
      </c>
      <c r="E552" t="s">
        <v>13</v>
      </c>
      <c r="F552" t="s">
        <v>1970</v>
      </c>
      <c r="G552" t="s">
        <v>12</v>
      </c>
      <c r="I552" t="s">
        <v>6702</v>
      </c>
      <c r="J552" t="s">
        <v>8095</v>
      </c>
      <c r="K552" s="9">
        <v>3.3285601046010402</v>
      </c>
      <c r="L552" s="9">
        <v>0.16501174343172439</v>
      </c>
      <c r="M552" s="11">
        <v>77.704148549108325</v>
      </c>
      <c r="N552" s="11">
        <v>85.474563404019165</v>
      </c>
    </row>
    <row r="553" spans="1:14">
      <c r="A553" t="s">
        <v>1967</v>
      </c>
      <c r="B553" t="s">
        <v>6704</v>
      </c>
      <c r="C553" t="s">
        <v>6705</v>
      </c>
      <c r="D553" t="s">
        <v>11</v>
      </c>
      <c r="E553" t="s">
        <v>13</v>
      </c>
      <c r="F553" t="s">
        <v>1970</v>
      </c>
      <c r="G553" t="s">
        <v>12</v>
      </c>
      <c r="I553" t="s">
        <v>6704</v>
      </c>
      <c r="J553" t="s">
        <v>8096</v>
      </c>
      <c r="K553" s="9">
        <v>6.4615524345425639</v>
      </c>
      <c r="L553" s="9">
        <v>0.15801754183417879</v>
      </c>
      <c r="M553" s="11">
        <v>59.416588847380503</v>
      </c>
      <c r="N553" s="11">
        <v>65.358247732118556</v>
      </c>
    </row>
    <row r="554" spans="1:14">
      <c r="A554" t="s">
        <v>1967</v>
      </c>
      <c r="B554" t="s">
        <v>6706</v>
      </c>
      <c r="C554" t="s">
        <v>6707</v>
      </c>
      <c r="D554" t="s">
        <v>11</v>
      </c>
      <c r="E554" t="s">
        <v>13</v>
      </c>
      <c r="F554" t="s">
        <v>1970</v>
      </c>
      <c r="G554" t="s">
        <v>12</v>
      </c>
      <c r="I554" t="s">
        <v>6706</v>
      </c>
      <c r="J554" t="s">
        <v>8097</v>
      </c>
      <c r="K554" s="9">
        <v>0.4509588823045384</v>
      </c>
      <c r="L554" s="12">
        <v>1.25635289641765E-2</v>
      </c>
      <c r="M554" s="11">
        <v>37.342800194671305</v>
      </c>
      <c r="N554" s="11">
        <v>41.077080214138441</v>
      </c>
    </row>
    <row r="555" spans="1:14">
      <c r="A555" t="s">
        <v>1967</v>
      </c>
      <c r="B555" t="s">
        <v>6708</v>
      </c>
      <c r="C555" t="s">
        <v>6709</v>
      </c>
      <c r="D555" t="s">
        <v>11</v>
      </c>
      <c r="E555" t="s">
        <v>13</v>
      </c>
      <c r="F555" t="s">
        <v>1970</v>
      </c>
      <c r="G555" t="s">
        <v>12</v>
      </c>
      <c r="I555" t="s">
        <v>6708</v>
      </c>
      <c r="J555" t="s">
        <v>8098</v>
      </c>
      <c r="K555" s="9">
        <v>0.89141759241122875</v>
      </c>
      <c r="L555" s="12">
        <v>7.0475775490919795E-2</v>
      </c>
      <c r="M555" s="11">
        <v>24.019259856809818</v>
      </c>
      <c r="N555" s="11">
        <v>26.4211858424908</v>
      </c>
    </row>
    <row r="556" spans="1:14">
      <c r="A556" t="s">
        <v>1967</v>
      </c>
      <c r="B556" t="s">
        <v>6710</v>
      </c>
      <c r="C556" t="s">
        <v>6711</v>
      </c>
      <c r="D556" t="s">
        <v>11</v>
      </c>
      <c r="E556" t="s">
        <v>13</v>
      </c>
      <c r="F556" t="s">
        <v>1970</v>
      </c>
      <c r="G556" t="s">
        <v>12</v>
      </c>
      <c r="I556" t="s">
        <v>6710</v>
      </c>
      <c r="J556" t="s">
        <v>8099</v>
      </c>
      <c r="K556" s="9">
        <v>0.20086746287044407</v>
      </c>
      <c r="L556" s="12">
        <v>1.2636537624445599E-2</v>
      </c>
      <c r="M556" s="11">
        <v>20.004294285780208</v>
      </c>
      <c r="N556" s="11">
        <v>22.004723714358231</v>
      </c>
    </row>
    <row r="557" spans="1:14">
      <c r="A557" t="s">
        <v>1967</v>
      </c>
      <c r="B557" t="s">
        <v>6712</v>
      </c>
      <c r="C557" t="s">
        <v>6713</v>
      </c>
      <c r="D557" t="s">
        <v>11</v>
      </c>
      <c r="E557" t="s">
        <v>13</v>
      </c>
      <c r="F557" t="s">
        <v>1970</v>
      </c>
      <c r="G557" t="s">
        <v>12</v>
      </c>
      <c r="I557" t="s">
        <v>6712</v>
      </c>
      <c r="J557" t="s">
        <v>8100</v>
      </c>
      <c r="K557" s="9">
        <v>0.41517902621451325</v>
      </c>
      <c r="L557" s="12">
        <v>3.9225285819091203E-2</v>
      </c>
      <c r="M557" s="11">
        <v>23.370430910101032</v>
      </c>
      <c r="N557" s="11">
        <v>25.707474001111137</v>
      </c>
    </row>
    <row r="558" spans="1:14">
      <c r="A558" t="s">
        <v>1967</v>
      </c>
      <c r="B558" t="s">
        <v>6714</v>
      </c>
      <c r="C558" t="s">
        <v>6715</v>
      </c>
      <c r="D558" t="s">
        <v>11</v>
      </c>
      <c r="E558" t="s">
        <v>13</v>
      </c>
      <c r="F558" t="s">
        <v>1970</v>
      </c>
      <c r="G558" t="s">
        <v>12</v>
      </c>
      <c r="I558" t="s">
        <v>6714</v>
      </c>
      <c r="J558" t="s">
        <v>8101</v>
      </c>
      <c r="K558" s="11">
        <v>26.905063463830235</v>
      </c>
      <c r="L558" s="9">
        <v>0.15350381302371729</v>
      </c>
      <c r="M558" s="11">
        <v>32.484826196539686</v>
      </c>
      <c r="N558" s="11">
        <v>35.733308816193656</v>
      </c>
    </row>
    <row r="559" spans="1:14">
      <c r="A559" t="s">
        <v>1967</v>
      </c>
      <c r="B559" t="s">
        <v>6716</v>
      </c>
      <c r="C559" t="s">
        <v>6717</v>
      </c>
      <c r="D559" t="s">
        <v>11</v>
      </c>
      <c r="E559" t="s">
        <v>13</v>
      </c>
      <c r="F559" t="s">
        <v>1970</v>
      </c>
      <c r="G559" t="s">
        <v>12</v>
      </c>
      <c r="I559" t="s">
        <v>6716</v>
      </c>
      <c r="J559" t="s">
        <v>8102</v>
      </c>
      <c r="K559" s="11">
        <v>10.783511029128354</v>
      </c>
      <c r="L559" s="9">
        <v>0.1426621951395998</v>
      </c>
      <c r="M559" s="11">
        <v>34.254064303831029</v>
      </c>
      <c r="N559" s="11">
        <v>37.679470734214135</v>
      </c>
    </row>
    <row r="560" spans="1:14">
      <c r="A560" t="s">
        <v>1967</v>
      </c>
      <c r="B560" t="s">
        <v>6718</v>
      </c>
      <c r="C560" t="s">
        <v>6719</v>
      </c>
      <c r="D560" t="s">
        <v>11</v>
      </c>
      <c r="E560" t="s">
        <v>13</v>
      </c>
      <c r="F560" t="s">
        <v>1970</v>
      </c>
      <c r="G560" t="s">
        <v>12</v>
      </c>
      <c r="I560" t="s">
        <v>6718</v>
      </c>
      <c r="J560" t="s">
        <v>8103</v>
      </c>
      <c r="K560" s="10">
        <v>130.63084731569217</v>
      </c>
      <c r="L560" s="9">
        <v>0.27456977262498172</v>
      </c>
      <c r="M560" s="11">
        <v>76.190141098410933</v>
      </c>
      <c r="N560" s="11">
        <v>83.809155208252037</v>
      </c>
    </row>
    <row r="561" spans="1:14">
      <c r="A561" t="s">
        <v>1967</v>
      </c>
      <c r="B561" t="s">
        <v>6720</v>
      </c>
      <c r="C561" t="s">
        <v>6721</v>
      </c>
      <c r="D561" t="s">
        <v>11</v>
      </c>
      <c r="E561" t="s">
        <v>13</v>
      </c>
      <c r="F561" t="s">
        <v>1970</v>
      </c>
      <c r="G561" t="s">
        <v>12</v>
      </c>
      <c r="I561" t="s">
        <v>6720</v>
      </c>
      <c r="J561" t="s">
        <v>8104</v>
      </c>
      <c r="K561" s="11">
        <v>68.453062113206627</v>
      </c>
      <c r="L561" s="9">
        <v>0.23539787887257249</v>
      </c>
      <c r="M561" s="11">
        <v>60.403052658732811</v>
      </c>
      <c r="N561" s="11">
        <v>66.443357924606104</v>
      </c>
    </row>
    <row r="562" spans="1:14">
      <c r="A562" t="s">
        <v>1967</v>
      </c>
      <c r="B562" t="s">
        <v>6722</v>
      </c>
      <c r="C562" t="s">
        <v>6723</v>
      </c>
      <c r="D562" t="s">
        <v>11</v>
      </c>
      <c r="E562" t="s">
        <v>13</v>
      </c>
      <c r="F562" t="s">
        <v>1970</v>
      </c>
      <c r="G562" t="s">
        <v>12</v>
      </c>
      <c r="I562" t="s">
        <v>6722</v>
      </c>
      <c r="J562" t="s">
        <v>8105</v>
      </c>
      <c r="K562" s="11">
        <v>11.743887323902941</v>
      </c>
      <c r="L562" s="9">
        <v>0.1662109296761414</v>
      </c>
      <c r="M562" s="11">
        <v>30.891602330204481</v>
      </c>
      <c r="N562" s="11">
        <v>33.980762563224935</v>
      </c>
    </row>
    <row r="563" spans="1:14">
      <c r="A563" t="s">
        <v>1967</v>
      </c>
      <c r="B563" t="s">
        <v>6724</v>
      </c>
      <c r="C563" t="s">
        <v>6725</v>
      </c>
      <c r="D563" t="s">
        <v>11</v>
      </c>
      <c r="E563" t="s">
        <v>13</v>
      </c>
      <c r="F563" t="s">
        <v>1970</v>
      </c>
      <c r="G563" t="s">
        <v>12</v>
      </c>
      <c r="I563" t="s">
        <v>6724</v>
      </c>
      <c r="J563" t="s">
        <v>8106</v>
      </c>
      <c r="K563" s="10">
        <v>144.21540570327321</v>
      </c>
      <c r="L563" s="9">
        <v>0.35229573145884352</v>
      </c>
      <c r="M563" s="10">
        <v>812.51741062536826</v>
      </c>
      <c r="N563" s="10">
        <v>893.76915168790515</v>
      </c>
    </row>
    <row r="564" spans="1:14">
      <c r="A564" t="s">
        <v>1967</v>
      </c>
      <c r="B564" t="s">
        <v>6726</v>
      </c>
      <c r="C564" t="s">
        <v>6725</v>
      </c>
      <c r="D564" t="s">
        <v>11</v>
      </c>
      <c r="E564" t="s">
        <v>13</v>
      </c>
      <c r="F564" t="s">
        <v>1970</v>
      </c>
      <c r="G564" t="s">
        <v>12</v>
      </c>
      <c r="I564" t="s">
        <v>6726</v>
      </c>
      <c r="J564" t="s">
        <v>8107</v>
      </c>
      <c r="K564" s="10">
        <v>134.82677350431842</v>
      </c>
      <c r="L564" s="9">
        <v>0.35011471431780328</v>
      </c>
      <c r="M564" s="10">
        <v>606.09891991258223</v>
      </c>
      <c r="N564" s="10">
        <v>666.70881190384046</v>
      </c>
    </row>
    <row r="565" spans="1:14">
      <c r="A565" t="s">
        <v>1967</v>
      </c>
      <c r="B565" t="s">
        <v>6727</v>
      </c>
      <c r="C565" t="s">
        <v>6728</v>
      </c>
      <c r="D565" t="s">
        <v>11</v>
      </c>
      <c r="E565" t="s">
        <v>13</v>
      </c>
      <c r="F565" t="s">
        <v>1970</v>
      </c>
      <c r="G565" t="s">
        <v>12</v>
      </c>
      <c r="I565" t="s">
        <v>6727</v>
      </c>
      <c r="J565" t="s">
        <v>8108</v>
      </c>
      <c r="K565" s="11">
        <v>75.822987357263344</v>
      </c>
      <c r="L565" s="9">
        <v>0.30592910952811808</v>
      </c>
      <c r="M565" s="10">
        <v>162.89534395754842</v>
      </c>
      <c r="N565" s="10">
        <v>179.18487835330328</v>
      </c>
    </row>
    <row r="566" spans="1:14">
      <c r="A566" t="s">
        <v>1967</v>
      </c>
      <c r="B566" t="s">
        <v>6729</v>
      </c>
      <c r="C566" t="s">
        <v>6730</v>
      </c>
      <c r="D566" t="s">
        <v>11</v>
      </c>
      <c r="E566" t="s">
        <v>13</v>
      </c>
      <c r="F566" t="s">
        <v>1970</v>
      </c>
      <c r="G566" t="s">
        <v>12</v>
      </c>
      <c r="I566" t="s">
        <v>6729</v>
      </c>
      <c r="J566" t="s">
        <v>8109</v>
      </c>
      <c r="K566" s="10">
        <v>136.26953318041421</v>
      </c>
      <c r="L566" s="9">
        <v>0.31555389961691449</v>
      </c>
      <c r="M566" s="10">
        <v>370.01723598888452</v>
      </c>
      <c r="N566" s="10">
        <v>407.018959587773</v>
      </c>
    </row>
    <row r="567" spans="1:14">
      <c r="A567" t="s">
        <v>1967</v>
      </c>
      <c r="B567" t="s">
        <v>6731</v>
      </c>
      <c r="C567" t="s">
        <v>6732</v>
      </c>
      <c r="D567" t="s">
        <v>11</v>
      </c>
      <c r="E567" t="s">
        <v>13</v>
      </c>
      <c r="F567" t="s">
        <v>1970</v>
      </c>
      <c r="G567" t="s">
        <v>12</v>
      </c>
      <c r="I567" t="s">
        <v>6731</v>
      </c>
      <c r="J567" t="s">
        <v>8110</v>
      </c>
      <c r="K567" s="10">
        <v>155.02642313725713</v>
      </c>
      <c r="L567" s="9">
        <v>0.34557677112770202</v>
      </c>
      <c r="M567" s="10">
        <v>145.44253468834225</v>
      </c>
      <c r="N567" s="10">
        <v>159.98678815717648</v>
      </c>
    </row>
    <row r="568" spans="1:14">
      <c r="A568" t="s">
        <v>1967</v>
      </c>
      <c r="B568" t="s">
        <v>6733</v>
      </c>
      <c r="C568" t="s">
        <v>6725</v>
      </c>
      <c r="D568" t="s">
        <v>11</v>
      </c>
      <c r="E568" t="s">
        <v>13</v>
      </c>
      <c r="F568" t="s">
        <v>1970</v>
      </c>
      <c r="G568" t="s">
        <v>12</v>
      </c>
      <c r="I568" t="s">
        <v>6733</v>
      </c>
      <c r="J568" t="s">
        <v>8111</v>
      </c>
      <c r="K568" s="10">
        <v>220.12838329566918</v>
      </c>
      <c r="L568" s="9">
        <v>0.35666786398175188</v>
      </c>
      <c r="M568" s="10">
        <v>326.35760735482245</v>
      </c>
      <c r="N568" s="10">
        <v>358.99336809030473</v>
      </c>
    </row>
    <row r="569" spans="1:14">
      <c r="A569" t="s">
        <v>1967</v>
      </c>
      <c r="B569" t="s">
        <v>6734</v>
      </c>
      <c r="C569" t="s">
        <v>6732</v>
      </c>
      <c r="D569" t="s">
        <v>11</v>
      </c>
      <c r="E569" t="s">
        <v>13</v>
      </c>
      <c r="F569" t="s">
        <v>1970</v>
      </c>
      <c r="G569" t="s">
        <v>12</v>
      </c>
      <c r="I569" t="s">
        <v>6734</v>
      </c>
      <c r="J569" t="s">
        <v>8112</v>
      </c>
      <c r="K569" s="10">
        <v>165.1245835591296</v>
      </c>
      <c r="L569" s="9">
        <v>0.34597836623643952</v>
      </c>
      <c r="M569" s="10">
        <v>456.28673551342428</v>
      </c>
      <c r="N569" s="10">
        <v>501.91540906476672</v>
      </c>
    </row>
    <row r="570" spans="1:14">
      <c r="A570" t="s">
        <v>1967</v>
      </c>
      <c r="B570" t="s">
        <v>6735</v>
      </c>
      <c r="C570" t="s">
        <v>6736</v>
      </c>
      <c r="D570" t="s">
        <v>11</v>
      </c>
      <c r="E570" t="s">
        <v>13</v>
      </c>
      <c r="F570" t="s">
        <v>1970</v>
      </c>
      <c r="G570" t="s">
        <v>12</v>
      </c>
      <c r="I570" t="s">
        <v>6735</v>
      </c>
      <c r="J570" t="s">
        <v>8113</v>
      </c>
      <c r="K570" s="11">
        <v>21.334611165224601</v>
      </c>
      <c r="L570" s="9">
        <v>0.15161207071242311</v>
      </c>
      <c r="M570" s="10">
        <v>181.24765354003361</v>
      </c>
      <c r="N570" s="10">
        <v>199.372418894037</v>
      </c>
    </row>
    <row r="571" spans="1:14">
      <c r="A571" t="s">
        <v>1967</v>
      </c>
      <c r="B571" t="s">
        <v>6737</v>
      </c>
      <c r="C571" t="s">
        <v>6738</v>
      </c>
      <c r="D571" t="s">
        <v>11</v>
      </c>
      <c r="E571" t="s">
        <v>13</v>
      </c>
      <c r="F571" t="s">
        <v>1970</v>
      </c>
      <c r="G571" t="s">
        <v>12</v>
      </c>
      <c r="I571" t="s">
        <v>6737</v>
      </c>
      <c r="J571" t="s">
        <v>8114</v>
      </c>
      <c r="K571" s="11">
        <v>12.100025063384466</v>
      </c>
      <c r="L571" s="9">
        <v>0.10419321156239809</v>
      </c>
      <c r="M571" s="11">
        <v>57.071623011532189</v>
      </c>
      <c r="N571" s="11">
        <v>62.778785312685415</v>
      </c>
    </row>
    <row r="572" spans="1:14">
      <c r="A572" t="s">
        <v>1967</v>
      </c>
      <c r="B572" t="s">
        <v>6739</v>
      </c>
      <c r="C572" t="s">
        <v>6740</v>
      </c>
      <c r="D572" t="s">
        <v>11</v>
      </c>
      <c r="E572" t="s">
        <v>13</v>
      </c>
      <c r="F572" t="s">
        <v>1970</v>
      </c>
      <c r="G572" t="s">
        <v>12</v>
      </c>
      <c r="I572" t="s">
        <v>6739</v>
      </c>
      <c r="J572" t="s">
        <v>8115</v>
      </c>
      <c r="K572" s="11">
        <v>31.39135991542101</v>
      </c>
      <c r="L572" s="9">
        <v>0.1243209216215867</v>
      </c>
      <c r="M572" s="11">
        <v>57.164530907570729</v>
      </c>
      <c r="N572" s="11">
        <v>62.880983998327807</v>
      </c>
    </row>
    <row r="573" spans="1:14">
      <c r="A573" t="s">
        <v>1967</v>
      </c>
      <c r="B573" t="s">
        <v>6741</v>
      </c>
      <c r="C573" t="s">
        <v>6742</v>
      </c>
      <c r="D573" t="s">
        <v>11</v>
      </c>
      <c r="E573" t="s">
        <v>13</v>
      </c>
      <c r="F573" t="s">
        <v>1970</v>
      </c>
      <c r="G573" t="s">
        <v>12</v>
      </c>
      <c r="I573" t="s">
        <v>6741</v>
      </c>
      <c r="J573" t="s">
        <v>8116</v>
      </c>
      <c r="K573" s="9">
        <v>5.7449480772077672</v>
      </c>
      <c r="L573" s="9">
        <v>0.12858942897934661</v>
      </c>
      <c r="M573" s="11">
        <v>58.672088365890538</v>
      </c>
      <c r="N573" s="11">
        <v>64.539297202479602</v>
      </c>
    </row>
    <row r="574" spans="1:14">
      <c r="A574" t="s">
        <v>1967</v>
      </c>
      <c r="B574" t="s">
        <v>6743</v>
      </c>
      <c r="C574" t="s">
        <v>6744</v>
      </c>
      <c r="D574" t="s">
        <v>11</v>
      </c>
      <c r="E574" t="s">
        <v>13</v>
      </c>
      <c r="F574" t="s">
        <v>1970</v>
      </c>
      <c r="G574" t="s">
        <v>12</v>
      </c>
      <c r="I574" t="s">
        <v>6743</v>
      </c>
      <c r="J574" t="s">
        <v>8117</v>
      </c>
      <c r="K574" s="11">
        <v>22.324714383704439</v>
      </c>
      <c r="L574" s="9">
        <v>0.1103715608304626</v>
      </c>
      <c r="M574" s="11">
        <v>55.818676501236482</v>
      </c>
      <c r="N574" s="11">
        <v>61.400544151360137</v>
      </c>
    </row>
    <row r="575" spans="1:14">
      <c r="A575" t="s">
        <v>1967</v>
      </c>
      <c r="B575" t="s">
        <v>6745</v>
      </c>
      <c r="C575" t="s">
        <v>6746</v>
      </c>
      <c r="D575" t="s">
        <v>11</v>
      </c>
      <c r="E575" t="s">
        <v>13</v>
      </c>
      <c r="F575" t="s">
        <v>1970</v>
      </c>
      <c r="G575" t="s">
        <v>12</v>
      </c>
      <c r="I575" t="s">
        <v>6745</v>
      </c>
      <c r="J575" t="s">
        <v>8118</v>
      </c>
      <c r="K575" s="9">
        <v>7.2447182710600444</v>
      </c>
      <c r="L575" s="12">
        <v>9.4710155910768007E-2</v>
      </c>
      <c r="M575" s="11">
        <v>53.406480655718148</v>
      </c>
      <c r="N575" s="11">
        <v>58.747128721289968</v>
      </c>
    </row>
    <row r="576" spans="1:14">
      <c r="A576" t="s">
        <v>1967</v>
      </c>
      <c r="B576" t="s">
        <v>6747</v>
      </c>
      <c r="C576" t="s">
        <v>6748</v>
      </c>
      <c r="D576" t="s">
        <v>11</v>
      </c>
      <c r="E576" t="s">
        <v>13</v>
      </c>
      <c r="F576" t="s">
        <v>1970</v>
      </c>
      <c r="G576" t="s">
        <v>12</v>
      </c>
      <c r="I576" t="s">
        <v>6747</v>
      </c>
      <c r="J576" t="s">
        <v>8119</v>
      </c>
      <c r="K576" s="9">
        <v>1.419741479173271</v>
      </c>
      <c r="L576" s="12">
        <v>7.42167096595302E-2</v>
      </c>
      <c r="M576" s="11">
        <v>34.969717422807364</v>
      </c>
      <c r="N576" s="11">
        <v>38.466689165088106</v>
      </c>
    </row>
    <row r="577" spans="1:14">
      <c r="A577" t="s">
        <v>1967</v>
      </c>
      <c r="B577" t="s">
        <v>6749</v>
      </c>
      <c r="C577" t="s">
        <v>6750</v>
      </c>
      <c r="D577" t="s">
        <v>11</v>
      </c>
      <c r="E577" t="s">
        <v>13</v>
      </c>
      <c r="F577" t="s">
        <v>1970</v>
      </c>
      <c r="G577" t="s">
        <v>12</v>
      </c>
      <c r="I577" t="s">
        <v>6749</v>
      </c>
      <c r="J577" t="s">
        <v>8120</v>
      </c>
      <c r="K577" s="9">
        <v>0.11507367879661569</v>
      </c>
      <c r="L577" s="12">
        <v>3.3152493594885299E-2</v>
      </c>
      <c r="M577" s="11">
        <v>21.914153221788105</v>
      </c>
      <c r="N577" s="11">
        <v>24.105568543966918</v>
      </c>
    </row>
    <row r="578" spans="1:14">
      <c r="A578" t="s">
        <v>1967</v>
      </c>
      <c r="B578" t="s">
        <v>6751</v>
      </c>
      <c r="C578" t="s">
        <v>6752</v>
      </c>
      <c r="D578" t="s">
        <v>11</v>
      </c>
      <c r="E578" t="s">
        <v>13</v>
      </c>
      <c r="F578" t="s">
        <v>1970</v>
      </c>
      <c r="G578" t="s">
        <v>12</v>
      </c>
      <c r="I578" t="s">
        <v>6751</v>
      </c>
      <c r="J578" t="s">
        <v>8121</v>
      </c>
      <c r="K578" s="12">
        <v>4.8839911900814728E-2</v>
      </c>
      <c r="L578" s="9">
        <v>0.1001455140643128</v>
      </c>
      <c r="M578" s="11">
        <v>20.359583548748112</v>
      </c>
      <c r="N578" s="11">
        <v>22.395541903622927</v>
      </c>
    </row>
    <row r="579" spans="1:14">
      <c r="A579" t="s">
        <v>1967</v>
      </c>
      <c r="B579" t="s">
        <v>6753</v>
      </c>
      <c r="C579" t="s">
        <v>6754</v>
      </c>
      <c r="D579" t="s">
        <v>11</v>
      </c>
      <c r="E579" t="s">
        <v>13</v>
      </c>
      <c r="F579" t="s">
        <v>1970</v>
      </c>
      <c r="G579" t="s">
        <v>12</v>
      </c>
      <c r="I579" t="s">
        <v>6753</v>
      </c>
      <c r="J579" t="s">
        <v>8122</v>
      </c>
      <c r="K579" s="10">
        <v>484.54333840987238</v>
      </c>
      <c r="L579" s="9">
        <v>0.37159810302087187</v>
      </c>
      <c r="M579" s="10">
        <v>455.00709583435759</v>
      </c>
      <c r="N579" s="10">
        <v>500.50780541779341</v>
      </c>
    </row>
    <row r="580" spans="1:14">
      <c r="A580" t="s">
        <v>1967</v>
      </c>
      <c r="B580" t="s">
        <v>6755</v>
      </c>
      <c r="C580" t="s">
        <v>6756</v>
      </c>
      <c r="D580" t="s">
        <v>11</v>
      </c>
      <c r="E580" t="s">
        <v>13</v>
      </c>
      <c r="F580" t="s">
        <v>1970</v>
      </c>
      <c r="G580" t="s">
        <v>12</v>
      </c>
      <c r="I580" t="s">
        <v>6755</v>
      </c>
      <c r="J580" t="s">
        <v>8123</v>
      </c>
      <c r="K580" s="11">
        <v>45.042959146751436</v>
      </c>
      <c r="L580" s="9">
        <v>0.2193158803699006</v>
      </c>
      <c r="M580" s="10">
        <v>392.56924314789148</v>
      </c>
      <c r="N580" s="10">
        <v>431.82616746268064</v>
      </c>
    </row>
    <row r="581" spans="1:14">
      <c r="A581" t="s">
        <v>1967</v>
      </c>
      <c r="B581" t="s">
        <v>6757</v>
      </c>
      <c r="C581" t="s">
        <v>6758</v>
      </c>
      <c r="D581" t="s">
        <v>11</v>
      </c>
      <c r="E581" t="s">
        <v>13</v>
      </c>
      <c r="F581" t="s">
        <v>1970</v>
      </c>
      <c r="G581" t="s">
        <v>12</v>
      </c>
      <c r="I581" t="s">
        <v>6757</v>
      </c>
      <c r="J581" t="s">
        <v>8124</v>
      </c>
      <c r="K581" s="10">
        <v>199.34687324326188</v>
      </c>
      <c r="L581" s="9">
        <v>0.35460120412285118</v>
      </c>
      <c r="M581" s="10">
        <v>666.95876135108904</v>
      </c>
      <c r="N581" s="10">
        <v>733.654637486198</v>
      </c>
    </row>
    <row r="582" spans="1:14">
      <c r="A582" t="s">
        <v>1967</v>
      </c>
      <c r="B582" t="s">
        <v>6759</v>
      </c>
      <c r="C582" t="s">
        <v>6760</v>
      </c>
      <c r="D582" t="s">
        <v>11</v>
      </c>
      <c r="E582" t="s">
        <v>13</v>
      </c>
      <c r="F582" t="s">
        <v>1970</v>
      </c>
      <c r="G582" t="s">
        <v>12</v>
      </c>
      <c r="I582" t="s">
        <v>6759</v>
      </c>
      <c r="J582" t="s">
        <v>8125</v>
      </c>
      <c r="K582" s="10">
        <v>179.40750281942869</v>
      </c>
      <c r="L582" s="9">
        <v>0.37170006353425689</v>
      </c>
      <c r="M582" s="10">
        <v>1030.4654780400724</v>
      </c>
      <c r="N582" s="10">
        <v>1133.5120258440797</v>
      </c>
    </row>
    <row r="583" spans="1:14">
      <c r="A583" t="s">
        <v>1967</v>
      </c>
      <c r="B583" t="s">
        <v>6761</v>
      </c>
      <c r="C583" t="s">
        <v>6762</v>
      </c>
      <c r="D583" t="s">
        <v>11</v>
      </c>
      <c r="E583" t="s">
        <v>13</v>
      </c>
      <c r="F583" t="s">
        <v>1970</v>
      </c>
      <c r="G583" t="s">
        <v>12</v>
      </c>
      <c r="I583" t="s">
        <v>6761</v>
      </c>
      <c r="J583" t="s">
        <v>8126</v>
      </c>
      <c r="K583" s="11">
        <v>16.739161805636627</v>
      </c>
      <c r="L583" s="9">
        <v>0.10023030298662761</v>
      </c>
      <c r="M583" s="10">
        <v>1120.0915451192373</v>
      </c>
      <c r="N583" s="10">
        <v>1232.100699631161</v>
      </c>
    </row>
    <row r="584" spans="1:14">
      <c r="A584" t="s">
        <v>1967</v>
      </c>
      <c r="B584" t="s">
        <v>6763</v>
      </c>
      <c r="C584" t="s">
        <v>6764</v>
      </c>
      <c r="D584" t="s">
        <v>11</v>
      </c>
      <c r="E584" t="s">
        <v>13</v>
      </c>
      <c r="F584" t="s">
        <v>1970</v>
      </c>
      <c r="G584" t="s">
        <v>12</v>
      </c>
      <c r="I584" t="s">
        <v>6763</v>
      </c>
      <c r="J584" t="s">
        <v>8127</v>
      </c>
      <c r="K584" s="11">
        <v>26.22221088181648</v>
      </c>
      <c r="L584" s="9">
        <v>0.116554036936516</v>
      </c>
      <c r="M584" s="10">
        <v>612.20051485385329</v>
      </c>
      <c r="N584" s="10">
        <v>673.42056633923869</v>
      </c>
    </row>
    <row r="585" spans="1:14">
      <c r="A585" t="s">
        <v>1967</v>
      </c>
      <c r="B585" t="s">
        <v>6765</v>
      </c>
      <c r="C585" t="s">
        <v>6766</v>
      </c>
      <c r="D585" t="s">
        <v>11</v>
      </c>
      <c r="E585" t="s">
        <v>13</v>
      </c>
      <c r="F585" t="s">
        <v>1970</v>
      </c>
      <c r="G585" t="s">
        <v>12</v>
      </c>
      <c r="I585" t="s">
        <v>6765</v>
      </c>
      <c r="J585" t="s">
        <v>8128</v>
      </c>
      <c r="K585" s="11">
        <v>38.566297745578105</v>
      </c>
      <c r="L585" s="9">
        <v>0.12696262809151759</v>
      </c>
      <c r="M585" s="10">
        <v>713.82045478597217</v>
      </c>
      <c r="N585" s="10">
        <v>785.20250026456949</v>
      </c>
    </row>
    <row r="586" spans="1:14">
      <c r="A586" t="s">
        <v>1967</v>
      </c>
      <c r="B586" t="s">
        <v>6767</v>
      </c>
      <c r="C586" t="s">
        <v>6768</v>
      </c>
      <c r="D586" t="s">
        <v>11</v>
      </c>
      <c r="E586" t="s">
        <v>13</v>
      </c>
      <c r="F586" t="s">
        <v>1970</v>
      </c>
      <c r="G586" t="s">
        <v>12</v>
      </c>
      <c r="I586" t="s">
        <v>6767</v>
      </c>
      <c r="J586" t="s">
        <v>8129</v>
      </c>
      <c r="K586" s="10">
        <v>343.86089015893168</v>
      </c>
      <c r="L586" s="9">
        <v>0.33004534560402438</v>
      </c>
      <c r="M586" s="10">
        <v>714.10335673959059</v>
      </c>
      <c r="N586" s="10">
        <v>785.51369241354973</v>
      </c>
    </row>
    <row r="587" spans="1:14">
      <c r="A587" t="s">
        <v>1967</v>
      </c>
      <c r="B587" t="s">
        <v>6769</v>
      </c>
      <c r="C587" t="s">
        <v>6764</v>
      </c>
      <c r="D587" t="s">
        <v>11</v>
      </c>
      <c r="E587" t="s">
        <v>13</v>
      </c>
      <c r="F587" t="s">
        <v>1970</v>
      </c>
      <c r="G587" t="s">
        <v>12</v>
      </c>
      <c r="I587" t="s">
        <v>6769</v>
      </c>
      <c r="J587" t="s">
        <v>8130</v>
      </c>
      <c r="K587" s="10">
        <v>141.66031011968474</v>
      </c>
      <c r="L587" s="9">
        <v>0.1531435862209686</v>
      </c>
      <c r="M587" s="10">
        <v>853.23884028447878</v>
      </c>
      <c r="N587" s="10">
        <v>938.56272431292678</v>
      </c>
    </row>
    <row r="588" spans="1:14">
      <c r="A588" t="s">
        <v>1967</v>
      </c>
      <c r="B588" t="s">
        <v>6770</v>
      </c>
      <c r="C588" t="s">
        <v>6771</v>
      </c>
      <c r="D588" t="s">
        <v>11</v>
      </c>
      <c r="E588" t="s">
        <v>13</v>
      </c>
      <c r="F588" t="s">
        <v>1970</v>
      </c>
      <c r="G588" t="s">
        <v>12</v>
      </c>
      <c r="I588" t="s">
        <v>6770</v>
      </c>
      <c r="J588" t="s">
        <v>8131</v>
      </c>
      <c r="K588" s="11">
        <v>19.17166993691006</v>
      </c>
      <c r="L588" s="9">
        <v>0.1455715458685137</v>
      </c>
      <c r="M588" s="10">
        <v>167.92907315770722</v>
      </c>
      <c r="N588" s="10">
        <v>184.72198047347797</v>
      </c>
    </row>
    <row r="589" spans="1:14">
      <c r="A589" t="s">
        <v>1967</v>
      </c>
      <c r="B589" t="s">
        <v>6772</v>
      </c>
      <c r="C589" t="s">
        <v>6773</v>
      </c>
      <c r="D589" t="s">
        <v>11</v>
      </c>
      <c r="E589" t="s">
        <v>13</v>
      </c>
      <c r="F589" t="s">
        <v>1970</v>
      </c>
      <c r="G589" t="s">
        <v>12</v>
      </c>
      <c r="I589" t="s">
        <v>6772</v>
      </c>
      <c r="J589" t="s">
        <v>8132</v>
      </c>
      <c r="K589" s="11">
        <v>87.395617836443179</v>
      </c>
      <c r="L589" s="9">
        <v>0.18255544900266071</v>
      </c>
      <c r="M589" s="10">
        <v>188.75226303950748</v>
      </c>
      <c r="N589" s="10">
        <v>207.62748934345825</v>
      </c>
    </row>
    <row r="590" spans="1:14">
      <c r="A590" t="s">
        <v>1967</v>
      </c>
      <c r="B590" t="s">
        <v>6774</v>
      </c>
      <c r="C590" t="s">
        <v>6775</v>
      </c>
      <c r="D590" t="s">
        <v>11</v>
      </c>
      <c r="E590" t="s">
        <v>13</v>
      </c>
      <c r="F590" t="s">
        <v>1970</v>
      </c>
      <c r="G590" t="s">
        <v>12</v>
      </c>
      <c r="I590" t="s">
        <v>6774</v>
      </c>
      <c r="J590" t="s">
        <v>8133</v>
      </c>
      <c r="K590" s="10">
        <v>130.64721041108629</v>
      </c>
      <c r="L590" s="9">
        <v>0.1813939060276735</v>
      </c>
      <c r="M590" s="10">
        <v>445.49660953215999</v>
      </c>
      <c r="N590" s="10">
        <v>490.04627048537606</v>
      </c>
    </row>
    <row r="591" spans="1:14">
      <c r="A591" t="s">
        <v>1967</v>
      </c>
      <c r="B591" t="s">
        <v>6776</v>
      </c>
      <c r="C591" t="s">
        <v>6777</v>
      </c>
      <c r="D591" t="s">
        <v>11</v>
      </c>
      <c r="E591" t="s">
        <v>13</v>
      </c>
      <c r="F591" t="s">
        <v>1970</v>
      </c>
      <c r="G591" t="s">
        <v>12</v>
      </c>
      <c r="I591" t="s">
        <v>6776</v>
      </c>
      <c r="J591" t="s">
        <v>8134</v>
      </c>
      <c r="K591" s="11">
        <v>64.062212644944154</v>
      </c>
      <c r="L591" s="9">
        <v>0.14907381384294779</v>
      </c>
      <c r="M591" s="10">
        <v>186.4112750065913</v>
      </c>
      <c r="N591" s="10">
        <v>205.05240250725043</v>
      </c>
    </row>
    <row r="592" spans="1:14">
      <c r="A592" t="s">
        <v>1967</v>
      </c>
      <c r="B592" t="s">
        <v>6778</v>
      </c>
      <c r="C592" t="s">
        <v>6779</v>
      </c>
      <c r="D592" t="s">
        <v>11</v>
      </c>
      <c r="E592" t="s">
        <v>13</v>
      </c>
      <c r="F592" t="s">
        <v>1970</v>
      </c>
      <c r="G592" t="s">
        <v>12</v>
      </c>
      <c r="I592" t="s">
        <v>6778</v>
      </c>
      <c r="J592" t="s">
        <v>8135</v>
      </c>
      <c r="K592" s="9">
        <v>4.0361593237995192</v>
      </c>
      <c r="L592" s="9">
        <v>0.25961693252471491</v>
      </c>
      <c r="M592" s="11">
        <v>81.668495811517801</v>
      </c>
      <c r="N592" s="11">
        <v>89.835345392669595</v>
      </c>
    </row>
    <row r="593" spans="1:14">
      <c r="A593" t="s">
        <v>1967</v>
      </c>
      <c r="B593" t="s">
        <v>6780</v>
      </c>
      <c r="C593" t="s">
        <v>6781</v>
      </c>
      <c r="D593" t="s">
        <v>11</v>
      </c>
      <c r="E593" t="s">
        <v>13</v>
      </c>
      <c r="F593" t="s">
        <v>1970</v>
      </c>
      <c r="G593" t="s">
        <v>12</v>
      </c>
      <c r="I593" t="s">
        <v>6780</v>
      </c>
      <c r="J593" t="s">
        <v>8136</v>
      </c>
      <c r="K593" s="11">
        <v>27.212433689062014</v>
      </c>
      <c r="L593" s="9">
        <v>0.24328487850448799</v>
      </c>
      <c r="M593" s="10">
        <v>276.0442115350254</v>
      </c>
      <c r="N593" s="10">
        <v>303.64863268852798</v>
      </c>
    </row>
    <row r="594" spans="1:14">
      <c r="A594" t="s">
        <v>1967</v>
      </c>
      <c r="B594" t="s">
        <v>6782</v>
      </c>
      <c r="C594" t="s">
        <v>6783</v>
      </c>
      <c r="D594" t="s">
        <v>11</v>
      </c>
      <c r="E594" t="s">
        <v>13</v>
      </c>
      <c r="F594" t="s">
        <v>1970</v>
      </c>
      <c r="G594" t="s">
        <v>12</v>
      </c>
      <c r="I594" t="s">
        <v>6782</v>
      </c>
      <c r="J594" t="s">
        <v>8137</v>
      </c>
      <c r="K594" s="9">
        <v>0.95888050086666443</v>
      </c>
      <c r="L594" s="9">
        <v>0.18148847899479151</v>
      </c>
      <c r="M594" s="10">
        <v>140.70184871744982</v>
      </c>
      <c r="N594" s="10">
        <v>154.77203358919482</v>
      </c>
    </row>
    <row r="595" spans="1:14">
      <c r="A595" t="s">
        <v>1967</v>
      </c>
      <c r="B595" t="s">
        <v>6784</v>
      </c>
      <c r="C595" t="s">
        <v>6785</v>
      </c>
      <c r="D595" t="s">
        <v>11</v>
      </c>
      <c r="E595" t="s">
        <v>13</v>
      </c>
      <c r="F595" t="s">
        <v>1970</v>
      </c>
      <c r="G595" t="s">
        <v>12</v>
      </c>
      <c r="I595" t="s">
        <v>6784</v>
      </c>
      <c r="J595" t="s">
        <v>8138</v>
      </c>
      <c r="K595" s="9">
        <v>4.4350487792954985</v>
      </c>
      <c r="L595" s="9">
        <v>0.14662916056867309</v>
      </c>
      <c r="M595" s="10">
        <v>250.95951596314239</v>
      </c>
      <c r="N595" s="10">
        <v>276.05546755945664</v>
      </c>
    </row>
    <row r="596" spans="1:14">
      <c r="A596" t="s">
        <v>1967</v>
      </c>
      <c r="B596" t="s">
        <v>6786</v>
      </c>
      <c r="C596" t="s">
        <v>6787</v>
      </c>
      <c r="D596" t="s">
        <v>11</v>
      </c>
      <c r="E596" t="s">
        <v>13</v>
      </c>
      <c r="F596" t="s">
        <v>1970</v>
      </c>
      <c r="G596" t="s">
        <v>12</v>
      </c>
      <c r="I596" t="s">
        <v>6786</v>
      </c>
      <c r="J596" t="s">
        <v>8139</v>
      </c>
      <c r="K596" s="9">
        <v>1.5164244739646759</v>
      </c>
      <c r="L596" s="9">
        <v>0.24013966295490241</v>
      </c>
      <c r="M596" s="11">
        <v>75.412806188691377</v>
      </c>
      <c r="N596" s="11">
        <v>82.954086807560515</v>
      </c>
    </row>
    <row r="597" spans="1:14">
      <c r="A597" t="s">
        <v>1967</v>
      </c>
      <c r="B597" t="s">
        <v>6788</v>
      </c>
      <c r="C597" t="s">
        <v>6789</v>
      </c>
      <c r="D597" t="s">
        <v>11</v>
      </c>
      <c r="E597" t="s">
        <v>13</v>
      </c>
      <c r="F597" t="s">
        <v>1970</v>
      </c>
      <c r="G597" t="s">
        <v>12</v>
      </c>
      <c r="I597" t="s">
        <v>6788</v>
      </c>
      <c r="J597" t="s">
        <v>8140</v>
      </c>
      <c r="K597" s="9">
        <v>4.5437663430317263</v>
      </c>
      <c r="L597" s="9">
        <v>0.1373685698684147</v>
      </c>
      <c r="M597" s="10">
        <v>107.20009277056552</v>
      </c>
      <c r="N597" s="10">
        <v>117.92010204762208</v>
      </c>
    </row>
    <row r="598" spans="1:14">
      <c r="A598" t="s">
        <v>1967</v>
      </c>
      <c r="B598" t="s">
        <v>6790</v>
      </c>
      <c r="C598" t="s">
        <v>6791</v>
      </c>
      <c r="D598" t="s">
        <v>11</v>
      </c>
      <c r="E598" t="s">
        <v>13</v>
      </c>
      <c r="F598" t="s">
        <v>1970</v>
      </c>
      <c r="G598" t="s">
        <v>12</v>
      </c>
      <c r="I598" t="s">
        <v>6790</v>
      </c>
      <c r="J598" t="s">
        <v>8141</v>
      </c>
      <c r="K598" s="11">
        <v>33.102209218815098</v>
      </c>
      <c r="L598" s="9">
        <v>0.2293940249158824</v>
      </c>
      <c r="M598" s="10">
        <v>142.14307001402912</v>
      </c>
      <c r="N598" s="10">
        <v>156.35737701543204</v>
      </c>
    </row>
    <row r="599" spans="1:14">
      <c r="A599" t="s">
        <v>1967</v>
      </c>
      <c r="B599" t="s">
        <v>6792</v>
      </c>
      <c r="C599" t="s">
        <v>6793</v>
      </c>
      <c r="D599" t="s">
        <v>11</v>
      </c>
      <c r="E599" t="s">
        <v>13</v>
      </c>
      <c r="F599" t="s">
        <v>1970</v>
      </c>
      <c r="G599" t="s">
        <v>12</v>
      </c>
      <c r="I599" t="s">
        <v>6792</v>
      </c>
      <c r="J599" t="s">
        <v>8142</v>
      </c>
      <c r="K599" s="9">
        <v>5.8229149197414891</v>
      </c>
      <c r="L599" s="9">
        <v>0.2990114497833008</v>
      </c>
      <c r="M599" s="10">
        <v>326.97430517102566</v>
      </c>
      <c r="N599" s="10">
        <v>359.67173568812825</v>
      </c>
    </row>
    <row r="600" spans="1:14">
      <c r="A600" t="s">
        <v>1967</v>
      </c>
      <c r="B600" t="s">
        <v>6794</v>
      </c>
      <c r="C600" t="s">
        <v>6795</v>
      </c>
      <c r="D600" t="s">
        <v>11</v>
      </c>
      <c r="E600" t="s">
        <v>13</v>
      </c>
      <c r="F600" t="s">
        <v>1970</v>
      </c>
      <c r="G600" t="s">
        <v>12</v>
      </c>
      <c r="I600" t="s">
        <v>6794</v>
      </c>
      <c r="J600" t="s">
        <v>8143</v>
      </c>
      <c r="K600" s="9">
        <v>6.4161119640802733</v>
      </c>
      <c r="L600" s="9">
        <v>0.16739444972058989</v>
      </c>
      <c r="M600" s="11">
        <v>86.409601372730506</v>
      </c>
      <c r="N600" s="11">
        <v>95.050561510003561</v>
      </c>
    </row>
    <row r="601" spans="1:14">
      <c r="A601" t="s">
        <v>1967</v>
      </c>
      <c r="B601" t="s">
        <v>6796</v>
      </c>
      <c r="C601" t="s">
        <v>6797</v>
      </c>
      <c r="D601" t="s">
        <v>11</v>
      </c>
      <c r="E601" t="s">
        <v>13</v>
      </c>
      <c r="F601" t="s">
        <v>1970</v>
      </c>
      <c r="G601" t="s">
        <v>12</v>
      </c>
      <c r="I601" t="s">
        <v>6796</v>
      </c>
      <c r="J601" t="s">
        <v>8144</v>
      </c>
      <c r="K601" s="11">
        <v>77.672341727325716</v>
      </c>
      <c r="L601" s="9">
        <v>0.50391386467187704</v>
      </c>
      <c r="M601" s="10">
        <v>835.73517706420273</v>
      </c>
      <c r="N601" s="10">
        <v>919.30869477062311</v>
      </c>
    </row>
    <row r="602" spans="1:14">
      <c r="A602" t="s">
        <v>1967</v>
      </c>
      <c r="B602" t="s">
        <v>6798</v>
      </c>
      <c r="C602" t="s">
        <v>6797</v>
      </c>
      <c r="D602" t="s">
        <v>11</v>
      </c>
      <c r="E602" t="s">
        <v>13</v>
      </c>
      <c r="F602" t="s">
        <v>1970</v>
      </c>
      <c r="G602" t="s">
        <v>12</v>
      </c>
      <c r="I602" t="s">
        <v>6798</v>
      </c>
      <c r="J602" t="s">
        <v>8145</v>
      </c>
      <c r="K602" s="11">
        <v>70.816201807563161</v>
      </c>
      <c r="L602" s="9">
        <v>0.39831464101843211</v>
      </c>
      <c r="M602" s="10">
        <v>1224.5127946151399</v>
      </c>
      <c r="N602" s="10">
        <v>1346.964074076654</v>
      </c>
    </row>
    <row r="603" spans="1:14">
      <c r="A603" t="s">
        <v>1967</v>
      </c>
      <c r="B603" t="s">
        <v>6799</v>
      </c>
      <c r="C603" t="s">
        <v>6797</v>
      </c>
      <c r="D603" t="s">
        <v>11</v>
      </c>
      <c r="E603" t="s">
        <v>13</v>
      </c>
      <c r="F603" t="s">
        <v>1970</v>
      </c>
      <c r="G603" t="s">
        <v>12</v>
      </c>
      <c r="I603" t="s">
        <v>6799</v>
      </c>
      <c r="J603" t="s">
        <v>8146</v>
      </c>
      <c r="K603" s="10">
        <v>165.81486941802686</v>
      </c>
      <c r="L603" s="9">
        <v>0.36980074811568298</v>
      </c>
      <c r="M603" s="10">
        <v>697.51062105054029</v>
      </c>
      <c r="N603" s="10">
        <v>767.26168315559437</v>
      </c>
    </row>
    <row r="604" spans="1:14">
      <c r="A604" t="s">
        <v>1967</v>
      </c>
      <c r="B604" t="s">
        <v>6800</v>
      </c>
      <c r="C604" t="s">
        <v>6801</v>
      </c>
      <c r="D604" t="s">
        <v>11</v>
      </c>
      <c r="E604" t="s">
        <v>13</v>
      </c>
      <c r="F604" t="s">
        <v>1970</v>
      </c>
      <c r="G604" t="s">
        <v>12</v>
      </c>
      <c r="I604" t="s">
        <v>6800</v>
      </c>
      <c r="J604" t="s">
        <v>8147</v>
      </c>
      <c r="K604" s="11">
        <v>80.555651176166919</v>
      </c>
      <c r="L604" s="9">
        <v>0.35341577710820782</v>
      </c>
      <c r="M604" s="10">
        <v>1075.0714128018892</v>
      </c>
      <c r="N604" s="10">
        <v>1182.5785540820782</v>
      </c>
    </row>
    <row r="605" spans="1:14">
      <c r="A605" t="s">
        <v>1967</v>
      </c>
      <c r="B605" t="s">
        <v>6802</v>
      </c>
      <c r="C605" t="s">
        <v>6803</v>
      </c>
      <c r="D605" t="s">
        <v>11</v>
      </c>
      <c r="E605" t="s">
        <v>13</v>
      </c>
      <c r="F605" t="s">
        <v>1970</v>
      </c>
      <c r="G605" t="s">
        <v>12</v>
      </c>
      <c r="I605" t="s">
        <v>6802</v>
      </c>
      <c r="J605" t="s">
        <v>8148</v>
      </c>
      <c r="K605" s="11">
        <v>42.635130520698688</v>
      </c>
      <c r="L605" s="9">
        <v>0.3525264531402138</v>
      </c>
      <c r="M605" s="10">
        <v>1144.6530541410768</v>
      </c>
      <c r="N605" s="10">
        <v>1259.1183595551847</v>
      </c>
    </row>
    <row r="606" spans="1:14">
      <c r="A606" t="s">
        <v>1967</v>
      </c>
      <c r="B606" t="s">
        <v>6804</v>
      </c>
      <c r="C606" t="s">
        <v>6803</v>
      </c>
      <c r="D606" t="s">
        <v>11</v>
      </c>
      <c r="E606" t="s">
        <v>13</v>
      </c>
      <c r="F606" t="s">
        <v>1970</v>
      </c>
      <c r="G606" t="s">
        <v>12</v>
      </c>
      <c r="I606" t="s">
        <v>6804</v>
      </c>
      <c r="J606" t="s">
        <v>8149</v>
      </c>
      <c r="K606" s="11">
        <v>73.872962833318311</v>
      </c>
      <c r="L606" s="9">
        <v>0.3324369954558028</v>
      </c>
      <c r="M606" s="10">
        <v>987.8451462879126</v>
      </c>
      <c r="N606" s="10">
        <v>1086.6296609167039</v>
      </c>
    </row>
    <row r="607" spans="1:14">
      <c r="A607" t="s">
        <v>1967</v>
      </c>
      <c r="B607" t="s">
        <v>6805</v>
      </c>
      <c r="C607" t="s">
        <v>6806</v>
      </c>
      <c r="D607" t="s">
        <v>11</v>
      </c>
      <c r="E607" t="s">
        <v>13</v>
      </c>
      <c r="F607" t="s">
        <v>1970</v>
      </c>
      <c r="G607" t="s">
        <v>12</v>
      </c>
      <c r="I607" t="s">
        <v>6805</v>
      </c>
      <c r="J607" t="s">
        <v>8150</v>
      </c>
      <c r="K607" s="10">
        <v>151.50275570937092</v>
      </c>
      <c r="L607" s="9">
        <v>0.40881646210898531</v>
      </c>
      <c r="M607" s="10">
        <v>665.86976815316245</v>
      </c>
      <c r="N607" s="10">
        <v>732.4567449684788</v>
      </c>
    </row>
    <row r="608" spans="1:14">
      <c r="A608" t="s">
        <v>1967</v>
      </c>
      <c r="B608" t="s">
        <v>6807</v>
      </c>
      <c r="C608" t="s">
        <v>6808</v>
      </c>
      <c r="D608" t="s">
        <v>11</v>
      </c>
      <c r="E608" t="s">
        <v>13</v>
      </c>
      <c r="F608" t="s">
        <v>1970</v>
      </c>
      <c r="G608" t="s">
        <v>12</v>
      </c>
      <c r="I608" t="s">
        <v>6807</v>
      </c>
      <c r="J608" t="s">
        <v>8151</v>
      </c>
      <c r="K608" s="11">
        <v>88.635245891110969</v>
      </c>
      <c r="L608" s="9">
        <v>0.40164985212725141</v>
      </c>
      <c r="M608" s="10">
        <v>515.5701547242644</v>
      </c>
      <c r="N608" s="10">
        <v>567.12717019669094</v>
      </c>
    </row>
    <row r="609" spans="1:14">
      <c r="A609" t="s">
        <v>1967</v>
      </c>
      <c r="B609" t="s">
        <v>6809</v>
      </c>
      <c r="C609" t="s">
        <v>6810</v>
      </c>
      <c r="D609" t="s">
        <v>11</v>
      </c>
      <c r="E609" t="s">
        <v>13</v>
      </c>
      <c r="F609" t="s">
        <v>1970</v>
      </c>
      <c r="G609" t="s">
        <v>12</v>
      </c>
      <c r="I609" t="s">
        <v>6809</v>
      </c>
      <c r="J609" t="s">
        <v>8152</v>
      </c>
      <c r="K609" s="10">
        <v>143.0015167654206</v>
      </c>
      <c r="L609" s="9">
        <v>0.5083246622920442</v>
      </c>
      <c r="M609" s="10">
        <v>224.7619795322916</v>
      </c>
      <c r="N609" s="10">
        <v>247.23817748552079</v>
      </c>
    </row>
    <row r="610" spans="1:14">
      <c r="A610" t="s">
        <v>1967</v>
      </c>
      <c r="B610" t="s">
        <v>6811</v>
      </c>
      <c r="C610" t="s">
        <v>6812</v>
      </c>
      <c r="D610" t="s">
        <v>11</v>
      </c>
      <c r="E610" t="s">
        <v>13</v>
      </c>
      <c r="F610" t="s">
        <v>1970</v>
      </c>
      <c r="G610" t="s">
        <v>12</v>
      </c>
      <c r="I610" t="s">
        <v>6811</v>
      </c>
      <c r="J610" t="s">
        <v>8153</v>
      </c>
      <c r="K610" s="11">
        <v>99.371790245092157</v>
      </c>
      <c r="L610" s="9">
        <v>0.40331017002788611</v>
      </c>
      <c r="M610" s="10">
        <v>196.8730308421016</v>
      </c>
      <c r="N610" s="10">
        <v>216.56033392631178</v>
      </c>
    </row>
    <row r="611" spans="1:14">
      <c r="A611" t="s">
        <v>1967</v>
      </c>
      <c r="B611" t="s">
        <v>6813</v>
      </c>
      <c r="C611" t="s">
        <v>6814</v>
      </c>
      <c r="D611" t="s">
        <v>11</v>
      </c>
      <c r="E611" t="s">
        <v>13</v>
      </c>
      <c r="F611" t="s">
        <v>1970</v>
      </c>
      <c r="G611" t="s">
        <v>12</v>
      </c>
      <c r="I611" t="s">
        <v>6813</v>
      </c>
      <c r="J611" t="s">
        <v>8154</v>
      </c>
      <c r="K611" s="11">
        <v>68.890427439571923</v>
      </c>
      <c r="L611" s="9">
        <v>0.33545347451883778</v>
      </c>
      <c r="M611" s="10">
        <v>519.88143316515368</v>
      </c>
      <c r="N611" s="10">
        <v>571.86957648166913</v>
      </c>
    </row>
    <row r="612" spans="1:14">
      <c r="A612" t="s">
        <v>1967</v>
      </c>
      <c r="B612" t="s">
        <v>6815</v>
      </c>
      <c r="C612" t="s">
        <v>6816</v>
      </c>
      <c r="D612" t="s">
        <v>11</v>
      </c>
      <c r="E612" t="s">
        <v>13</v>
      </c>
      <c r="F612" t="s">
        <v>1970</v>
      </c>
      <c r="G612" t="s">
        <v>12</v>
      </c>
      <c r="I612" t="s">
        <v>6815</v>
      </c>
      <c r="J612" t="s">
        <v>8155</v>
      </c>
      <c r="K612" s="9">
        <v>0.14936937538348263</v>
      </c>
      <c r="L612" s="9">
        <v>0.12342879061976759</v>
      </c>
      <c r="M612" s="10">
        <v>122.46980547150204</v>
      </c>
      <c r="N612" s="10">
        <v>134.71678601865224</v>
      </c>
    </row>
    <row r="613" spans="1:14">
      <c r="A613" t="s">
        <v>1967</v>
      </c>
      <c r="B613" t="s">
        <v>6817</v>
      </c>
      <c r="C613" t="s">
        <v>6818</v>
      </c>
      <c r="D613" t="s">
        <v>11</v>
      </c>
      <c r="E613" t="s">
        <v>13</v>
      </c>
      <c r="F613" t="s">
        <v>1970</v>
      </c>
      <c r="G613" t="s">
        <v>12</v>
      </c>
      <c r="I613" t="s">
        <v>6817</v>
      </c>
      <c r="J613" t="s">
        <v>8156</v>
      </c>
      <c r="K613" s="9">
        <v>1.2328629509996123</v>
      </c>
      <c r="L613" s="9">
        <v>0.22791363704629669</v>
      </c>
      <c r="M613" s="11">
        <v>91.33640756842604</v>
      </c>
      <c r="N613" s="10">
        <v>100.47004832526865</v>
      </c>
    </row>
    <row r="614" spans="1:14">
      <c r="A614" t="s">
        <v>1967</v>
      </c>
      <c r="B614" t="s">
        <v>6819</v>
      </c>
      <c r="C614" t="s">
        <v>6820</v>
      </c>
      <c r="D614" t="s">
        <v>11</v>
      </c>
      <c r="E614" t="s">
        <v>13</v>
      </c>
      <c r="F614" t="s">
        <v>1970</v>
      </c>
      <c r="G614" t="s">
        <v>12</v>
      </c>
      <c r="I614" t="s">
        <v>6819</v>
      </c>
      <c r="J614" t="s">
        <v>8157</v>
      </c>
      <c r="K614" s="9">
        <v>1.9624477885754248</v>
      </c>
      <c r="L614" s="9">
        <v>0.1799050209075316</v>
      </c>
      <c r="M614" s="10">
        <v>103.45731189334036</v>
      </c>
      <c r="N614" s="10">
        <v>113.80304308267441</v>
      </c>
    </row>
    <row r="615" spans="1:14">
      <c r="A615" t="s">
        <v>1967</v>
      </c>
      <c r="B615" t="s">
        <v>6821</v>
      </c>
      <c r="C615" t="s">
        <v>6820</v>
      </c>
      <c r="D615" t="s">
        <v>11</v>
      </c>
      <c r="E615" t="s">
        <v>13</v>
      </c>
      <c r="F615" t="s">
        <v>1970</v>
      </c>
      <c r="G615" t="s">
        <v>12</v>
      </c>
      <c r="I615" t="s">
        <v>6821</v>
      </c>
      <c r="J615" t="s">
        <v>8158</v>
      </c>
      <c r="K615" s="9">
        <v>0.52786792372221791</v>
      </c>
      <c r="L615" s="9">
        <v>0.111008082338765</v>
      </c>
      <c r="M615" s="11">
        <v>93.899176007561223</v>
      </c>
      <c r="N615" s="10">
        <v>103.28909360831736</v>
      </c>
    </row>
    <row r="616" spans="1:14">
      <c r="A616" t="s">
        <v>1967</v>
      </c>
      <c r="B616" t="s">
        <v>6822</v>
      </c>
      <c r="C616" t="s">
        <v>6823</v>
      </c>
      <c r="D616" t="s">
        <v>11</v>
      </c>
      <c r="E616" t="s">
        <v>13</v>
      </c>
      <c r="F616" t="s">
        <v>1970</v>
      </c>
      <c r="G616" t="s">
        <v>12</v>
      </c>
      <c r="I616" t="s">
        <v>6822</v>
      </c>
      <c r="J616" t="s">
        <v>8159</v>
      </c>
      <c r="K616" s="9">
        <v>1.1131343206383728</v>
      </c>
      <c r="L616" s="9">
        <v>0.1401345323642306</v>
      </c>
      <c r="M616" s="10">
        <v>115.23862226380351</v>
      </c>
      <c r="N616" s="10">
        <v>126.76248449018387</v>
      </c>
    </row>
    <row r="617" spans="1:14">
      <c r="A617" t="s">
        <v>1967</v>
      </c>
      <c r="B617" t="s">
        <v>6824</v>
      </c>
      <c r="C617" t="s">
        <v>6825</v>
      </c>
      <c r="D617" t="s">
        <v>11</v>
      </c>
      <c r="E617" t="s">
        <v>13</v>
      </c>
      <c r="F617" t="s">
        <v>1970</v>
      </c>
      <c r="G617" t="s">
        <v>12</v>
      </c>
      <c r="I617" t="s">
        <v>6824</v>
      </c>
      <c r="J617" t="s">
        <v>8160</v>
      </c>
      <c r="K617" s="9">
        <v>1.5010805796979845</v>
      </c>
      <c r="L617" s="12">
        <v>9.7344141190165906E-2</v>
      </c>
      <c r="M617" s="11">
        <v>58.71779334206385</v>
      </c>
      <c r="N617" s="11">
        <v>64.589572676270237</v>
      </c>
    </row>
    <row r="618" spans="1:14">
      <c r="A618" t="s">
        <v>1967</v>
      </c>
      <c r="B618" t="s">
        <v>6826</v>
      </c>
      <c r="C618" t="s">
        <v>6827</v>
      </c>
      <c r="D618" t="s">
        <v>11</v>
      </c>
      <c r="E618" t="s">
        <v>13</v>
      </c>
      <c r="F618" t="s">
        <v>1970</v>
      </c>
      <c r="G618" t="s">
        <v>12</v>
      </c>
      <c r="I618" t="s">
        <v>6826</v>
      </c>
      <c r="J618" t="s">
        <v>8161</v>
      </c>
      <c r="K618" s="9">
        <v>1.8524523222222213</v>
      </c>
      <c r="L618" s="9">
        <v>0.1061146602240662</v>
      </c>
      <c r="M618" s="11">
        <v>97.167631475355122</v>
      </c>
      <c r="N618" s="10">
        <v>106.88439462289064</v>
      </c>
    </row>
    <row r="619" spans="1:14">
      <c r="A619" t="s">
        <v>1967</v>
      </c>
      <c r="B619" t="s">
        <v>6828</v>
      </c>
      <c r="C619" t="s">
        <v>6829</v>
      </c>
      <c r="D619" t="s">
        <v>11</v>
      </c>
      <c r="E619" t="s">
        <v>13</v>
      </c>
      <c r="F619" t="s">
        <v>1970</v>
      </c>
      <c r="G619" t="s">
        <v>12</v>
      </c>
      <c r="I619" t="s">
        <v>6828</v>
      </c>
      <c r="J619" t="s">
        <v>8162</v>
      </c>
      <c r="K619" s="11">
        <v>18.520607741272848</v>
      </c>
      <c r="L619" s="9">
        <v>0.11997168445993329</v>
      </c>
      <c r="M619" s="10">
        <v>284.51433388299091</v>
      </c>
      <c r="N619" s="10">
        <v>312.96576727129002</v>
      </c>
    </row>
    <row r="620" spans="1:14">
      <c r="A620" t="s">
        <v>1967</v>
      </c>
      <c r="B620" t="s">
        <v>6830</v>
      </c>
      <c r="C620" t="s">
        <v>6831</v>
      </c>
      <c r="D620" t="s">
        <v>11</v>
      </c>
      <c r="E620" t="s">
        <v>13</v>
      </c>
      <c r="F620" t="s">
        <v>1970</v>
      </c>
      <c r="G620" t="s">
        <v>12</v>
      </c>
      <c r="I620" t="s">
        <v>6830</v>
      </c>
      <c r="J620" t="s">
        <v>8163</v>
      </c>
      <c r="K620" s="11">
        <v>32.879846339242434</v>
      </c>
      <c r="L620" s="9">
        <v>0.15953163330990619</v>
      </c>
      <c r="M620" s="10">
        <v>129.70749941027501</v>
      </c>
      <c r="N620" s="10">
        <v>142.67824935130253</v>
      </c>
    </row>
    <row r="621" spans="1:14">
      <c r="A621" t="s">
        <v>1967</v>
      </c>
      <c r="B621" t="s">
        <v>6832</v>
      </c>
      <c r="C621" t="s">
        <v>6833</v>
      </c>
      <c r="D621" t="s">
        <v>11</v>
      </c>
      <c r="E621" t="s">
        <v>13</v>
      </c>
      <c r="F621" t="s">
        <v>1970</v>
      </c>
      <c r="G621" t="s">
        <v>12</v>
      </c>
      <c r="I621" t="s">
        <v>6832</v>
      </c>
      <c r="J621" t="s">
        <v>8164</v>
      </c>
      <c r="K621" s="11">
        <v>61.106769503050621</v>
      </c>
      <c r="L621" s="9">
        <v>0.19598791455669839</v>
      </c>
      <c r="M621" s="10">
        <v>249.14698162023959</v>
      </c>
      <c r="N621" s="10">
        <v>274.06167978226358</v>
      </c>
    </row>
    <row r="622" spans="1:14">
      <c r="A622" t="s">
        <v>1967</v>
      </c>
      <c r="B622" t="s">
        <v>6834</v>
      </c>
      <c r="C622" t="s">
        <v>6835</v>
      </c>
      <c r="D622" t="s">
        <v>11</v>
      </c>
      <c r="E622" t="s">
        <v>13</v>
      </c>
      <c r="F622" t="s">
        <v>1970</v>
      </c>
      <c r="G622" t="s">
        <v>12</v>
      </c>
      <c r="I622" t="s">
        <v>6834</v>
      </c>
      <c r="J622" t="s">
        <v>8165</v>
      </c>
      <c r="K622" s="11">
        <v>71.968872611204361</v>
      </c>
      <c r="L622" s="9">
        <v>0.3128602868198096</v>
      </c>
      <c r="M622" s="10">
        <v>353.40248237766656</v>
      </c>
      <c r="N622" s="10">
        <v>388.74273061543323</v>
      </c>
    </row>
    <row r="623" spans="1:14">
      <c r="A623" t="s">
        <v>1967</v>
      </c>
      <c r="B623" t="s">
        <v>6836</v>
      </c>
      <c r="C623" t="s">
        <v>6837</v>
      </c>
      <c r="D623" t="s">
        <v>11</v>
      </c>
      <c r="E623" t="s">
        <v>13</v>
      </c>
      <c r="F623" t="s">
        <v>1970</v>
      </c>
      <c r="G623" t="s">
        <v>12</v>
      </c>
      <c r="I623" t="s">
        <v>6836</v>
      </c>
      <c r="J623" t="s">
        <v>8166</v>
      </c>
      <c r="K623" s="11">
        <v>44.373238499456626</v>
      </c>
      <c r="L623" s="9">
        <v>0.21748260569819561</v>
      </c>
      <c r="M623" s="10">
        <v>495.1511714483031</v>
      </c>
      <c r="N623" s="10">
        <v>544.66628859313346</v>
      </c>
    </row>
    <row r="624" spans="1:14">
      <c r="A624" t="s">
        <v>1967</v>
      </c>
      <c r="B624" t="s">
        <v>6838</v>
      </c>
      <c r="C624" t="s">
        <v>6833</v>
      </c>
      <c r="D624" t="s">
        <v>11</v>
      </c>
      <c r="E624" t="s">
        <v>13</v>
      </c>
      <c r="F624" t="s">
        <v>1970</v>
      </c>
      <c r="G624" t="s">
        <v>12</v>
      </c>
      <c r="I624" t="s">
        <v>6838</v>
      </c>
      <c r="J624" t="s">
        <v>8167</v>
      </c>
      <c r="K624" s="11">
        <v>85.202046760312342</v>
      </c>
      <c r="L624" s="9">
        <v>0.27483443390777362</v>
      </c>
      <c r="M624" s="10">
        <v>260.24303312315402</v>
      </c>
      <c r="N624" s="10">
        <v>286.26733643546947</v>
      </c>
    </row>
    <row r="625" spans="1:14">
      <c r="A625" t="s">
        <v>1967</v>
      </c>
      <c r="B625" t="s">
        <v>6839</v>
      </c>
      <c r="C625" t="s">
        <v>6840</v>
      </c>
      <c r="D625" t="s">
        <v>11</v>
      </c>
      <c r="E625" t="s">
        <v>13</v>
      </c>
      <c r="F625" t="s">
        <v>1970</v>
      </c>
      <c r="G625" t="s">
        <v>12</v>
      </c>
      <c r="I625" t="s">
        <v>6839</v>
      </c>
      <c r="J625" t="s">
        <v>8168</v>
      </c>
      <c r="K625" s="11">
        <v>41.086764997434166</v>
      </c>
      <c r="L625" s="9">
        <v>0.23888805149370809</v>
      </c>
      <c r="M625" s="10">
        <v>155.45048439931199</v>
      </c>
      <c r="N625" s="10">
        <v>170.9955328392432</v>
      </c>
    </row>
    <row r="626" spans="1:14">
      <c r="A626" t="s">
        <v>1967</v>
      </c>
      <c r="B626" t="s">
        <v>6841</v>
      </c>
      <c r="C626" t="s">
        <v>6842</v>
      </c>
      <c r="D626" t="s">
        <v>11</v>
      </c>
      <c r="E626" t="s">
        <v>13</v>
      </c>
      <c r="F626" t="s">
        <v>1970</v>
      </c>
      <c r="G626" t="s">
        <v>12</v>
      </c>
      <c r="I626" t="s">
        <v>6841</v>
      </c>
      <c r="J626" t="s">
        <v>8169</v>
      </c>
      <c r="K626" s="11">
        <v>86.039814443201749</v>
      </c>
      <c r="L626" s="9">
        <v>0.22480503132179411</v>
      </c>
      <c r="M626" s="10">
        <v>210.1074340247539</v>
      </c>
      <c r="N626" s="10">
        <v>231.11817742722931</v>
      </c>
    </row>
    <row r="627" spans="1:14">
      <c r="A627" t="s">
        <v>1967</v>
      </c>
      <c r="B627" t="s">
        <v>6843</v>
      </c>
      <c r="C627" t="s">
        <v>6844</v>
      </c>
      <c r="D627" t="s">
        <v>11</v>
      </c>
      <c r="E627" t="s">
        <v>13</v>
      </c>
      <c r="F627" t="s">
        <v>1970</v>
      </c>
      <c r="G627" t="s">
        <v>12</v>
      </c>
      <c r="I627" t="s">
        <v>6843</v>
      </c>
      <c r="J627" t="s">
        <v>8170</v>
      </c>
      <c r="K627" s="11">
        <v>11.153701678952336</v>
      </c>
      <c r="L627" s="9">
        <v>0.15069730232214951</v>
      </c>
      <c r="M627" s="10">
        <v>348.46262441236627</v>
      </c>
      <c r="N627" s="10">
        <v>383.30888685360293</v>
      </c>
    </row>
    <row r="628" spans="1:14">
      <c r="A628" t="s">
        <v>1967</v>
      </c>
      <c r="B628" t="s">
        <v>6845</v>
      </c>
      <c r="C628" t="s">
        <v>6846</v>
      </c>
      <c r="D628" t="s">
        <v>11</v>
      </c>
      <c r="E628" t="s">
        <v>13</v>
      </c>
      <c r="F628" t="s">
        <v>1970</v>
      </c>
      <c r="G628" t="s">
        <v>12</v>
      </c>
      <c r="I628" t="s">
        <v>6845</v>
      </c>
      <c r="J628" t="s">
        <v>8171</v>
      </c>
      <c r="K628" s="11">
        <v>39.986236839967312</v>
      </c>
      <c r="L628" s="9">
        <v>0.19622349555002969</v>
      </c>
      <c r="M628" s="10">
        <v>106.84030083067222</v>
      </c>
      <c r="N628" s="10">
        <v>117.52433091373945</v>
      </c>
    </row>
    <row r="629" spans="1:14">
      <c r="A629" t="s">
        <v>1967</v>
      </c>
      <c r="B629" t="s">
        <v>6847</v>
      </c>
      <c r="C629" t="s">
        <v>6848</v>
      </c>
      <c r="D629" t="s">
        <v>11</v>
      </c>
      <c r="E629" t="s">
        <v>13</v>
      </c>
      <c r="F629" t="s">
        <v>1970</v>
      </c>
      <c r="G629" t="s">
        <v>12</v>
      </c>
      <c r="I629" t="s">
        <v>6847</v>
      </c>
      <c r="J629" t="s">
        <v>8172</v>
      </c>
      <c r="K629" s="9">
        <v>0.28414872675046843</v>
      </c>
      <c r="L629" s="9">
        <v>0.1038127824724339</v>
      </c>
      <c r="M629" s="10">
        <v>153.66015286539957</v>
      </c>
      <c r="N629" s="10">
        <v>169.02616815193954</v>
      </c>
    </row>
    <row r="630" spans="1:14">
      <c r="A630" t="s">
        <v>1967</v>
      </c>
      <c r="B630" t="s">
        <v>6849</v>
      </c>
      <c r="C630" t="s">
        <v>6850</v>
      </c>
      <c r="D630" t="s">
        <v>11</v>
      </c>
      <c r="E630" t="s">
        <v>13</v>
      </c>
      <c r="F630" t="s">
        <v>1970</v>
      </c>
      <c r="G630" t="s">
        <v>12</v>
      </c>
      <c r="I630" t="s">
        <v>6849</v>
      </c>
      <c r="J630" t="s">
        <v>8173</v>
      </c>
      <c r="K630" s="9">
        <v>0.28230609119845224</v>
      </c>
      <c r="L630" s="9">
        <v>0.33407807530148559</v>
      </c>
      <c r="M630" s="11">
        <v>73.173443254731296</v>
      </c>
      <c r="N630" s="11">
        <v>80.490787580204426</v>
      </c>
    </row>
    <row r="631" spans="1:14">
      <c r="A631" t="s">
        <v>1967</v>
      </c>
      <c r="B631" t="s">
        <v>6851</v>
      </c>
      <c r="C631" t="s">
        <v>6848</v>
      </c>
      <c r="D631" t="s">
        <v>11</v>
      </c>
      <c r="E631" t="s">
        <v>13</v>
      </c>
      <c r="F631" t="s">
        <v>1970</v>
      </c>
      <c r="G631" t="s">
        <v>12</v>
      </c>
      <c r="I631" t="s">
        <v>6851</v>
      </c>
      <c r="J631" t="s">
        <v>8174</v>
      </c>
      <c r="K631" s="9">
        <v>0.42920330749118601</v>
      </c>
      <c r="L631" s="9">
        <v>0.1932062483426655</v>
      </c>
      <c r="M631" s="10">
        <v>151.59688452112422</v>
      </c>
      <c r="N631" s="10">
        <v>166.75657297323667</v>
      </c>
    </row>
    <row r="632" spans="1:14">
      <c r="A632" t="s">
        <v>1967</v>
      </c>
      <c r="B632" t="s">
        <v>6852</v>
      </c>
      <c r="C632" t="s">
        <v>6853</v>
      </c>
      <c r="D632" t="s">
        <v>11</v>
      </c>
      <c r="E632" t="s">
        <v>13</v>
      </c>
      <c r="F632" t="s">
        <v>1970</v>
      </c>
      <c r="G632" t="s">
        <v>12</v>
      </c>
      <c r="I632" t="s">
        <v>6852</v>
      </c>
      <c r="J632" t="s">
        <v>8175</v>
      </c>
      <c r="K632" s="10">
        <v>140.36414807492005</v>
      </c>
      <c r="L632" s="9">
        <v>0.31454478529268931</v>
      </c>
      <c r="M632" s="10">
        <v>688.44100400621028</v>
      </c>
      <c r="N632" s="10">
        <v>757.28510440683135</v>
      </c>
    </row>
    <row r="633" spans="1:14">
      <c r="A633" t="s">
        <v>1967</v>
      </c>
      <c r="B633" t="s">
        <v>6854</v>
      </c>
      <c r="C633" t="s">
        <v>6853</v>
      </c>
      <c r="D633" t="s">
        <v>11</v>
      </c>
      <c r="E633" t="s">
        <v>13</v>
      </c>
      <c r="F633" t="s">
        <v>1970</v>
      </c>
      <c r="G633" t="s">
        <v>12</v>
      </c>
      <c r="I633" t="s">
        <v>6854</v>
      </c>
      <c r="J633" t="s">
        <v>8176</v>
      </c>
      <c r="K633" s="11">
        <v>80.6840802031587</v>
      </c>
      <c r="L633" s="9">
        <v>0.2191474668420979</v>
      </c>
      <c r="M633" s="10">
        <v>669.91194076318709</v>
      </c>
      <c r="N633" s="10">
        <v>736.90313483950581</v>
      </c>
    </row>
    <row r="634" spans="1:14">
      <c r="A634" t="s">
        <v>1967</v>
      </c>
      <c r="B634" t="s">
        <v>6855</v>
      </c>
      <c r="C634" t="s">
        <v>6853</v>
      </c>
      <c r="D634" t="s">
        <v>11</v>
      </c>
      <c r="E634" t="s">
        <v>13</v>
      </c>
      <c r="F634" t="s">
        <v>1970</v>
      </c>
      <c r="G634" t="s">
        <v>12</v>
      </c>
      <c r="I634" t="s">
        <v>6855</v>
      </c>
      <c r="J634" t="s">
        <v>8177</v>
      </c>
      <c r="K634" s="10">
        <v>220.83185083086917</v>
      </c>
      <c r="L634" s="9">
        <v>0.39086779744600109</v>
      </c>
      <c r="M634" s="10">
        <v>743.35280079000722</v>
      </c>
      <c r="N634" s="10">
        <v>817.68808086900799</v>
      </c>
    </row>
    <row r="635" spans="1:14">
      <c r="A635" t="s">
        <v>1967</v>
      </c>
      <c r="B635" t="s">
        <v>6856</v>
      </c>
      <c r="C635" t="s">
        <v>6853</v>
      </c>
      <c r="D635" t="s">
        <v>11</v>
      </c>
      <c r="E635" t="s">
        <v>13</v>
      </c>
      <c r="F635" t="s">
        <v>1970</v>
      </c>
      <c r="G635" t="s">
        <v>12</v>
      </c>
      <c r="I635" t="s">
        <v>6856</v>
      </c>
      <c r="J635" t="s">
        <v>8178</v>
      </c>
      <c r="K635" s="11">
        <v>66.10719957989204</v>
      </c>
      <c r="L635" s="9">
        <v>0.23457577578933889</v>
      </c>
      <c r="M635" s="10">
        <v>430.40864247999798</v>
      </c>
      <c r="N635" s="10">
        <v>473.4495067279978</v>
      </c>
    </row>
    <row r="636" spans="1:14">
      <c r="A636" t="s">
        <v>1967</v>
      </c>
      <c r="B636" t="s">
        <v>6857</v>
      </c>
      <c r="C636" t="s">
        <v>6853</v>
      </c>
      <c r="D636" t="s">
        <v>11</v>
      </c>
      <c r="E636" t="s">
        <v>13</v>
      </c>
      <c r="F636" t="s">
        <v>1970</v>
      </c>
      <c r="G636" t="s">
        <v>12</v>
      </c>
      <c r="I636" t="s">
        <v>6857</v>
      </c>
      <c r="J636" t="s">
        <v>8179</v>
      </c>
      <c r="K636" s="10">
        <v>143.30778236115279</v>
      </c>
      <c r="L636" s="9">
        <v>0.24741594178281029</v>
      </c>
      <c r="M636" s="10">
        <v>287.22819755960035</v>
      </c>
      <c r="N636" s="10">
        <v>315.95101731556042</v>
      </c>
    </row>
    <row r="637" spans="1:14">
      <c r="A637" t="s">
        <v>1967</v>
      </c>
      <c r="B637" t="s">
        <v>6858</v>
      </c>
      <c r="C637" t="s">
        <v>6859</v>
      </c>
      <c r="D637" t="s">
        <v>11</v>
      </c>
      <c r="E637" t="s">
        <v>13</v>
      </c>
      <c r="F637" t="s">
        <v>1970</v>
      </c>
      <c r="G637" t="s">
        <v>12</v>
      </c>
      <c r="I637" t="s">
        <v>6858</v>
      </c>
      <c r="J637" t="s">
        <v>8180</v>
      </c>
      <c r="K637" s="10">
        <v>210.63935078123566</v>
      </c>
      <c r="L637" s="9">
        <v>0.32571486379016962</v>
      </c>
      <c r="M637" s="10">
        <v>584.09431930656331</v>
      </c>
      <c r="N637" s="10">
        <v>642.50375123721972</v>
      </c>
    </row>
    <row r="638" spans="1:14">
      <c r="A638" t="s">
        <v>1967</v>
      </c>
      <c r="B638" t="s">
        <v>6860</v>
      </c>
      <c r="C638" t="s">
        <v>6861</v>
      </c>
      <c r="D638" t="s">
        <v>11</v>
      </c>
      <c r="E638" t="s">
        <v>13</v>
      </c>
      <c r="F638" t="s">
        <v>1970</v>
      </c>
      <c r="G638" t="s">
        <v>12</v>
      </c>
      <c r="I638" t="s">
        <v>6860</v>
      </c>
      <c r="J638" t="s">
        <v>8181</v>
      </c>
      <c r="K638" s="11">
        <v>37.609025171825188</v>
      </c>
      <c r="L638" s="9">
        <v>0.24094396099399809</v>
      </c>
      <c r="M638" s="11">
        <v>95.628180839278158</v>
      </c>
      <c r="N638" s="10">
        <v>105.19099892320598</v>
      </c>
    </row>
    <row r="639" spans="1:14">
      <c r="A639" t="s">
        <v>1967</v>
      </c>
      <c r="B639" t="s">
        <v>6862</v>
      </c>
      <c r="C639" t="s">
        <v>6863</v>
      </c>
      <c r="D639" t="s">
        <v>11</v>
      </c>
      <c r="E639" t="s">
        <v>13</v>
      </c>
      <c r="F639" t="s">
        <v>1970</v>
      </c>
      <c r="G639" t="s">
        <v>12</v>
      </c>
      <c r="I639" t="s">
        <v>6862</v>
      </c>
      <c r="J639" t="s">
        <v>8182</v>
      </c>
      <c r="K639" s="11">
        <v>56.39637065022486</v>
      </c>
      <c r="L639" s="9">
        <v>0.29295006917862387</v>
      </c>
      <c r="M639" s="10">
        <v>266.5105896213098</v>
      </c>
      <c r="N639" s="10">
        <v>293.16164858344081</v>
      </c>
    </row>
    <row r="640" spans="1:14">
      <c r="A640" t="s">
        <v>1967</v>
      </c>
      <c r="B640" t="s">
        <v>6864</v>
      </c>
      <c r="C640" t="s">
        <v>6853</v>
      </c>
      <c r="D640" t="s">
        <v>11</v>
      </c>
      <c r="E640" t="s">
        <v>13</v>
      </c>
      <c r="F640" t="s">
        <v>1970</v>
      </c>
      <c r="G640" t="s">
        <v>12</v>
      </c>
      <c r="I640" t="s">
        <v>6864</v>
      </c>
      <c r="J640" t="s">
        <v>8183</v>
      </c>
      <c r="K640" s="10">
        <v>131.57830492556187</v>
      </c>
      <c r="L640" s="9">
        <v>0.32259945391223721</v>
      </c>
      <c r="M640" s="10">
        <v>192.5299152379875</v>
      </c>
      <c r="N640" s="10">
        <v>211.78290676178625</v>
      </c>
    </row>
    <row r="641" spans="1:14">
      <c r="A641" t="s">
        <v>1967</v>
      </c>
      <c r="B641" t="s">
        <v>6865</v>
      </c>
      <c r="C641" t="s">
        <v>6866</v>
      </c>
      <c r="D641" t="s">
        <v>11</v>
      </c>
      <c r="E641" t="s">
        <v>13</v>
      </c>
      <c r="F641" t="s">
        <v>1970</v>
      </c>
      <c r="G641" t="s">
        <v>12</v>
      </c>
      <c r="I641" t="s">
        <v>6865</v>
      </c>
      <c r="J641" t="s">
        <v>8184</v>
      </c>
      <c r="K641" s="11">
        <v>65.797559576896987</v>
      </c>
      <c r="L641" s="9">
        <v>0.21829671105892229</v>
      </c>
      <c r="M641" s="10">
        <v>158.99019260190451</v>
      </c>
      <c r="N641" s="10">
        <v>174.88921186209498</v>
      </c>
    </row>
    <row r="642" spans="1:14">
      <c r="A642" t="s">
        <v>1967</v>
      </c>
      <c r="B642" t="s">
        <v>6867</v>
      </c>
      <c r="C642" t="s">
        <v>6861</v>
      </c>
      <c r="D642" t="s">
        <v>11</v>
      </c>
      <c r="E642" t="s">
        <v>13</v>
      </c>
      <c r="F642" t="s">
        <v>1970</v>
      </c>
      <c r="G642" t="s">
        <v>12</v>
      </c>
      <c r="I642" t="s">
        <v>6867</v>
      </c>
      <c r="J642" t="s">
        <v>8185</v>
      </c>
      <c r="K642" s="11">
        <v>41.298814320836598</v>
      </c>
      <c r="L642" s="9">
        <v>0.26879423909126859</v>
      </c>
      <c r="M642" s="10">
        <v>209.97500587973849</v>
      </c>
      <c r="N642" s="10">
        <v>230.97250646771235</v>
      </c>
    </row>
    <row r="643" spans="1:14">
      <c r="A643" t="s">
        <v>1967</v>
      </c>
      <c r="B643" t="s">
        <v>6868</v>
      </c>
      <c r="C643" t="s">
        <v>6853</v>
      </c>
      <c r="D643" t="s">
        <v>11</v>
      </c>
      <c r="E643" t="s">
        <v>13</v>
      </c>
      <c r="F643" t="s">
        <v>1970</v>
      </c>
      <c r="G643" t="s">
        <v>12</v>
      </c>
      <c r="I643" t="s">
        <v>6868</v>
      </c>
      <c r="J643" t="s">
        <v>8186</v>
      </c>
      <c r="K643" s="11">
        <v>96.14995205314446</v>
      </c>
      <c r="L643" s="9">
        <v>0.26751133375467878</v>
      </c>
      <c r="M643" s="10">
        <v>316.59575671286012</v>
      </c>
      <c r="N643" s="10">
        <v>348.25533238414619</v>
      </c>
    </row>
    <row r="644" spans="1:14">
      <c r="A644" t="s">
        <v>1967</v>
      </c>
      <c r="B644" t="s">
        <v>6869</v>
      </c>
      <c r="C644" t="s">
        <v>6870</v>
      </c>
      <c r="D644" t="s">
        <v>11</v>
      </c>
      <c r="E644" t="s">
        <v>13</v>
      </c>
      <c r="F644" t="s">
        <v>1970</v>
      </c>
      <c r="G644" t="s">
        <v>12</v>
      </c>
      <c r="I644" t="s">
        <v>6869</v>
      </c>
      <c r="J644" t="s">
        <v>8187</v>
      </c>
      <c r="K644" s="11">
        <v>16.281032786011643</v>
      </c>
      <c r="L644" s="9">
        <v>0.13703392789414501</v>
      </c>
      <c r="M644" s="10">
        <v>105.52174650663579</v>
      </c>
      <c r="N644" s="10">
        <v>116.07392115729938</v>
      </c>
    </row>
    <row r="645" spans="1:14">
      <c r="A645" t="s">
        <v>1967</v>
      </c>
      <c r="B645" t="s">
        <v>6871</v>
      </c>
      <c r="C645" t="s">
        <v>6872</v>
      </c>
      <c r="D645" t="s">
        <v>11</v>
      </c>
      <c r="E645" t="s">
        <v>13</v>
      </c>
      <c r="F645" t="s">
        <v>1970</v>
      </c>
      <c r="G645" t="s">
        <v>12</v>
      </c>
      <c r="I645" t="s">
        <v>6871</v>
      </c>
      <c r="J645" t="s">
        <v>8188</v>
      </c>
      <c r="K645" s="9">
        <v>9.8968240423623879</v>
      </c>
      <c r="L645" s="9">
        <v>0.10653780517902139</v>
      </c>
      <c r="M645" s="10">
        <v>103.75085831512988</v>
      </c>
      <c r="N645" s="10">
        <v>114.12594414664287</v>
      </c>
    </row>
    <row r="646" spans="1:14">
      <c r="A646" t="s">
        <v>1967</v>
      </c>
      <c r="B646" t="s">
        <v>6873</v>
      </c>
      <c r="C646" t="s">
        <v>6874</v>
      </c>
      <c r="D646" t="s">
        <v>11</v>
      </c>
      <c r="E646" t="s">
        <v>13</v>
      </c>
      <c r="F646" t="s">
        <v>1970</v>
      </c>
      <c r="G646" t="s">
        <v>12</v>
      </c>
      <c r="I646" t="s">
        <v>6873</v>
      </c>
      <c r="J646" t="s">
        <v>8189</v>
      </c>
      <c r="K646" s="11">
        <v>24.775128468312644</v>
      </c>
      <c r="L646" s="9">
        <v>0.12946032182873329</v>
      </c>
      <c r="M646" s="10">
        <v>105.46315740871826</v>
      </c>
      <c r="N646" s="10">
        <v>116.00947314959009</v>
      </c>
    </row>
    <row r="647" spans="1:14">
      <c r="A647" t="s">
        <v>1967</v>
      </c>
      <c r="B647" t="s">
        <v>6875</v>
      </c>
      <c r="C647" t="s">
        <v>6876</v>
      </c>
      <c r="D647" t="s">
        <v>11</v>
      </c>
      <c r="E647" t="s">
        <v>13</v>
      </c>
      <c r="F647" t="s">
        <v>1970</v>
      </c>
      <c r="G647" t="s">
        <v>12</v>
      </c>
      <c r="I647" t="s">
        <v>6875</v>
      </c>
      <c r="J647" t="s">
        <v>8190</v>
      </c>
      <c r="K647" s="9">
        <v>5.0617446349242039</v>
      </c>
      <c r="L647" s="9">
        <v>0.11962993732902991</v>
      </c>
      <c r="M647" s="10">
        <v>271.58192546905667</v>
      </c>
      <c r="N647" s="10">
        <v>298.74011801596237</v>
      </c>
    </row>
    <row r="648" spans="1:14">
      <c r="A648" t="s">
        <v>1967</v>
      </c>
      <c r="B648" t="s">
        <v>6877</v>
      </c>
      <c r="C648" t="s">
        <v>6878</v>
      </c>
      <c r="D648" t="s">
        <v>11</v>
      </c>
      <c r="E648" t="s">
        <v>13</v>
      </c>
      <c r="F648" t="s">
        <v>1970</v>
      </c>
      <c r="G648" t="s">
        <v>12</v>
      </c>
      <c r="I648" t="s">
        <v>6877</v>
      </c>
      <c r="J648" t="s">
        <v>8191</v>
      </c>
      <c r="K648" s="11">
        <v>28.057990995879511</v>
      </c>
      <c r="L648" s="9">
        <v>0.1512692283846821</v>
      </c>
      <c r="M648" s="10">
        <v>347.78908794453031</v>
      </c>
      <c r="N648" s="10">
        <v>382.56799673898337</v>
      </c>
    </row>
    <row r="649" spans="1:14">
      <c r="A649" t="s">
        <v>1967</v>
      </c>
      <c r="B649" t="s">
        <v>6879</v>
      </c>
      <c r="C649" t="s">
        <v>6880</v>
      </c>
      <c r="D649" t="s">
        <v>11</v>
      </c>
      <c r="E649" t="s">
        <v>13</v>
      </c>
      <c r="F649" t="s">
        <v>1970</v>
      </c>
      <c r="G649" t="s">
        <v>12</v>
      </c>
      <c r="I649" t="s">
        <v>6879</v>
      </c>
      <c r="J649" t="s">
        <v>8192</v>
      </c>
      <c r="K649" s="11">
        <v>57.788322016580807</v>
      </c>
      <c r="L649" s="9">
        <v>0.21465746809449249</v>
      </c>
      <c r="M649" s="10">
        <v>154.13889596040428</v>
      </c>
      <c r="N649" s="10">
        <v>169.55278555644472</v>
      </c>
    </row>
    <row r="650" spans="1:14">
      <c r="A650" t="s">
        <v>1967</v>
      </c>
      <c r="B650" t="s">
        <v>6881</v>
      </c>
      <c r="C650" t="s">
        <v>6882</v>
      </c>
      <c r="D650" t="s">
        <v>11</v>
      </c>
      <c r="E650" t="s">
        <v>13</v>
      </c>
      <c r="F650" t="s">
        <v>1970</v>
      </c>
      <c r="G650" t="s">
        <v>12</v>
      </c>
      <c r="I650" t="s">
        <v>6881</v>
      </c>
      <c r="J650" t="s">
        <v>8193</v>
      </c>
      <c r="K650" s="11">
        <v>29.450904222180963</v>
      </c>
      <c r="L650" s="9">
        <v>0.1635978228090938</v>
      </c>
      <c r="M650" s="10">
        <v>181.78576524833613</v>
      </c>
      <c r="N650" s="10">
        <v>199.96434177316976</v>
      </c>
    </row>
    <row r="651" spans="1:14">
      <c r="A651" t="s">
        <v>1967</v>
      </c>
      <c r="B651" t="s">
        <v>6883</v>
      </c>
      <c r="C651" t="s">
        <v>6884</v>
      </c>
      <c r="D651" t="s">
        <v>11</v>
      </c>
      <c r="E651" t="s">
        <v>13</v>
      </c>
      <c r="F651" t="s">
        <v>1970</v>
      </c>
      <c r="G651" t="s">
        <v>12</v>
      </c>
      <c r="I651" t="s">
        <v>6883</v>
      </c>
      <c r="J651" t="s">
        <v>8194</v>
      </c>
      <c r="K651" s="9">
        <v>6.1741294381098566</v>
      </c>
      <c r="L651" s="9">
        <v>0.13699060627161469</v>
      </c>
      <c r="M651" s="11">
        <v>68.435977509503658</v>
      </c>
      <c r="N651" s="11">
        <v>75.279575260454024</v>
      </c>
    </row>
    <row r="652" spans="1:14">
      <c r="A652" t="s">
        <v>1967</v>
      </c>
      <c r="B652" t="s">
        <v>6885</v>
      </c>
      <c r="C652" t="s">
        <v>6886</v>
      </c>
      <c r="D652" t="s">
        <v>11</v>
      </c>
      <c r="E652" t="s">
        <v>13</v>
      </c>
      <c r="F652" t="s">
        <v>1970</v>
      </c>
      <c r="G652" t="s">
        <v>12</v>
      </c>
      <c r="I652" t="s">
        <v>6885</v>
      </c>
      <c r="J652" t="s">
        <v>8195</v>
      </c>
      <c r="K652" s="11">
        <v>18.116392433554569</v>
      </c>
      <c r="L652" s="9">
        <v>0.1322024613245778</v>
      </c>
      <c r="M652" s="10">
        <v>140.5433687285981</v>
      </c>
      <c r="N652" s="10">
        <v>154.59770560145793</v>
      </c>
    </row>
    <row r="653" spans="1:14">
      <c r="A653" t="s">
        <v>1967</v>
      </c>
      <c r="B653" t="s">
        <v>6887</v>
      </c>
      <c r="C653" t="s">
        <v>6888</v>
      </c>
      <c r="D653" t="s">
        <v>11</v>
      </c>
      <c r="E653" t="s">
        <v>13</v>
      </c>
      <c r="F653" t="s">
        <v>1970</v>
      </c>
      <c r="G653" t="s">
        <v>12</v>
      </c>
      <c r="I653" t="s">
        <v>6887</v>
      </c>
      <c r="J653" t="s">
        <v>8196</v>
      </c>
      <c r="K653" s="9">
        <v>7.8733056925520959</v>
      </c>
      <c r="L653" s="9">
        <v>0.1555577282247167</v>
      </c>
      <c r="M653" s="11">
        <v>36.238133675578929</v>
      </c>
      <c r="N653" s="11">
        <v>39.861947043136823</v>
      </c>
    </row>
    <row r="654" spans="1:14">
      <c r="A654" t="s">
        <v>1967</v>
      </c>
      <c r="B654" t="s">
        <v>6889</v>
      </c>
      <c r="C654" t="s">
        <v>6890</v>
      </c>
      <c r="D654" t="s">
        <v>11</v>
      </c>
      <c r="E654" t="s">
        <v>13</v>
      </c>
      <c r="F654" t="s">
        <v>1970</v>
      </c>
      <c r="G654" t="s">
        <v>12</v>
      </c>
      <c r="I654" t="s">
        <v>6889</v>
      </c>
      <c r="J654" t="s">
        <v>8197</v>
      </c>
      <c r="K654" s="9">
        <v>3.9861505160619242</v>
      </c>
      <c r="L654" s="9">
        <v>0.31835528431456672</v>
      </c>
      <c r="M654" s="11">
        <v>27.135730613723872</v>
      </c>
      <c r="N654" s="11">
        <v>29.849303675096262</v>
      </c>
    </row>
    <row r="655" spans="1:14">
      <c r="A655" t="s">
        <v>1967</v>
      </c>
      <c r="B655" t="s">
        <v>6891</v>
      </c>
      <c r="C655" t="s">
        <v>6892</v>
      </c>
      <c r="D655" t="s">
        <v>11</v>
      </c>
      <c r="E655" t="s">
        <v>13</v>
      </c>
      <c r="F655" t="s">
        <v>1970</v>
      </c>
      <c r="G655" t="s">
        <v>12</v>
      </c>
      <c r="I655" t="s">
        <v>6891</v>
      </c>
      <c r="J655" t="s">
        <v>8198</v>
      </c>
      <c r="K655" s="9">
        <v>2.1272329096366698</v>
      </c>
      <c r="L655" s="9">
        <v>0.15279996747129301</v>
      </c>
      <c r="M655" s="11">
        <v>18.372187283331183</v>
      </c>
      <c r="N655" s="11">
        <v>20.209406011664303</v>
      </c>
    </row>
    <row r="656" spans="1:14">
      <c r="A656" t="s">
        <v>1967</v>
      </c>
      <c r="B656" t="s">
        <v>6893</v>
      </c>
      <c r="C656" t="s">
        <v>6894</v>
      </c>
      <c r="D656" t="s">
        <v>11</v>
      </c>
      <c r="E656" t="s">
        <v>13</v>
      </c>
      <c r="F656" t="s">
        <v>1970</v>
      </c>
      <c r="G656" t="s">
        <v>12</v>
      </c>
      <c r="I656" t="s">
        <v>6893</v>
      </c>
      <c r="J656" t="s">
        <v>8199</v>
      </c>
      <c r="K656" s="9">
        <v>0.11149297987937609</v>
      </c>
      <c r="L656" s="9">
        <v>0.1274004959297024</v>
      </c>
      <c r="M656" s="9">
        <v>7.2163721182116429</v>
      </c>
      <c r="N656" s="9">
        <v>7.9380093300328083</v>
      </c>
    </row>
    <row r="657" spans="1:14">
      <c r="A657" t="s">
        <v>1967</v>
      </c>
      <c r="B657" t="s">
        <v>6895</v>
      </c>
      <c r="C657" t="s">
        <v>6896</v>
      </c>
      <c r="D657" t="s">
        <v>11</v>
      </c>
      <c r="E657" t="s">
        <v>13</v>
      </c>
      <c r="F657" t="s">
        <v>1970</v>
      </c>
      <c r="G657" t="s">
        <v>12</v>
      </c>
      <c r="I657" t="s">
        <v>6895</v>
      </c>
      <c r="J657" t="s">
        <v>8200</v>
      </c>
      <c r="K657" s="9">
        <v>5.6450450437005104</v>
      </c>
      <c r="L657" s="9">
        <v>0.5216863022763768</v>
      </c>
      <c r="M657" s="11">
        <v>24.774787024932081</v>
      </c>
      <c r="N657" s="11">
        <v>27.252265727425293</v>
      </c>
    </row>
    <row r="658" spans="1:14">
      <c r="A658" t="s">
        <v>1967</v>
      </c>
      <c r="B658" t="s">
        <v>6897</v>
      </c>
      <c r="C658" t="s">
        <v>6898</v>
      </c>
      <c r="D658" t="s">
        <v>11</v>
      </c>
      <c r="E658" t="s">
        <v>13</v>
      </c>
      <c r="F658" t="s">
        <v>1970</v>
      </c>
      <c r="G658" t="s">
        <v>12</v>
      </c>
      <c r="I658" t="s">
        <v>6897</v>
      </c>
      <c r="J658" t="s">
        <v>8201</v>
      </c>
      <c r="K658" s="11">
        <v>44.132262402271543</v>
      </c>
      <c r="L658" s="9">
        <v>0.33877903648222951</v>
      </c>
      <c r="M658" s="11">
        <v>22.577774422553329</v>
      </c>
      <c r="N658" s="11">
        <v>24.835551864808664</v>
      </c>
    </row>
    <row r="659" spans="1:14">
      <c r="A659" t="s">
        <v>1967</v>
      </c>
      <c r="B659" t="s">
        <v>6899</v>
      </c>
      <c r="C659" t="s">
        <v>6900</v>
      </c>
      <c r="D659" t="s">
        <v>11</v>
      </c>
      <c r="E659" t="s">
        <v>13</v>
      </c>
      <c r="F659" t="s">
        <v>1970</v>
      </c>
      <c r="G659" t="s">
        <v>12</v>
      </c>
      <c r="I659" t="s">
        <v>6899</v>
      </c>
      <c r="J659" t="s">
        <v>8202</v>
      </c>
      <c r="K659" s="11">
        <v>28.65296164408473</v>
      </c>
      <c r="L659" s="9">
        <v>0.38872176409748432</v>
      </c>
      <c r="M659" s="11">
        <v>13.506533035710202</v>
      </c>
      <c r="N659" s="11">
        <v>14.857186339281224</v>
      </c>
    </row>
    <row r="660" spans="1:14">
      <c r="A660" t="s">
        <v>1967</v>
      </c>
      <c r="B660" t="s">
        <v>6901</v>
      </c>
      <c r="C660" t="s">
        <v>6902</v>
      </c>
      <c r="D660" t="s">
        <v>11</v>
      </c>
      <c r="E660" t="s">
        <v>13</v>
      </c>
      <c r="F660" t="s">
        <v>1970</v>
      </c>
      <c r="G660" t="s">
        <v>12</v>
      </c>
      <c r="I660" t="s">
        <v>6901</v>
      </c>
      <c r="J660" t="s">
        <v>8203</v>
      </c>
      <c r="K660" s="9">
        <v>9.3983953427017717</v>
      </c>
      <c r="L660" s="9">
        <v>0.10063185037298571</v>
      </c>
      <c r="M660" s="11">
        <v>68.846210497975989</v>
      </c>
      <c r="N660" s="11">
        <v>75.73083154777359</v>
      </c>
    </row>
    <row r="661" spans="1:14">
      <c r="A661" t="s">
        <v>1967</v>
      </c>
      <c r="B661" t="s">
        <v>6903</v>
      </c>
      <c r="C661" t="s">
        <v>6904</v>
      </c>
      <c r="D661" t="s">
        <v>11</v>
      </c>
      <c r="E661" t="s">
        <v>13</v>
      </c>
      <c r="F661" t="s">
        <v>1970</v>
      </c>
      <c r="G661" t="s">
        <v>12</v>
      </c>
      <c r="I661" t="s">
        <v>6903</v>
      </c>
      <c r="J661" t="s">
        <v>8204</v>
      </c>
      <c r="K661" s="11">
        <v>79.661709988984526</v>
      </c>
      <c r="L661" s="9">
        <v>0.2255731723490669</v>
      </c>
      <c r="M661" s="10">
        <v>113.74105164782476</v>
      </c>
      <c r="N661" s="10">
        <v>125.11515681260725</v>
      </c>
    </row>
    <row r="662" spans="1:14">
      <c r="A662" t="s">
        <v>1967</v>
      </c>
      <c r="B662" t="s">
        <v>6905</v>
      </c>
      <c r="C662" t="s">
        <v>6906</v>
      </c>
      <c r="D662" t="s">
        <v>11</v>
      </c>
      <c r="E662" t="s">
        <v>13</v>
      </c>
      <c r="F662" t="s">
        <v>1970</v>
      </c>
      <c r="G662" t="s">
        <v>12</v>
      </c>
      <c r="I662" t="s">
        <v>6905</v>
      </c>
      <c r="J662" t="s">
        <v>8205</v>
      </c>
      <c r="K662" s="11">
        <v>11.746819282683791</v>
      </c>
      <c r="L662" s="9">
        <v>0.35827855858763907</v>
      </c>
      <c r="M662" s="11">
        <v>28.69492265258997</v>
      </c>
      <c r="N662" s="11">
        <v>31.564414917848968</v>
      </c>
    </row>
    <row r="663" spans="1:14">
      <c r="A663" t="s">
        <v>1967</v>
      </c>
      <c r="B663" t="s">
        <v>6907</v>
      </c>
      <c r="C663" t="s">
        <v>6908</v>
      </c>
      <c r="D663" t="s">
        <v>11</v>
      </c>
      <c r="E663" t="s">
        <v>13</v>
      </c>
      <c r="F663" t="s">
        <v>1970</v>
      </c>
      <c r="G663" t="s">
        <v>12</v>
      </c>
      <c r="I663" t="s">
        <v>6907</v>
      </c>
      <c r="J663" t="s">
        <v>8206</v>
      </c>
      <c r="K663" s="11">
        <v>74.615005788354125</v>
      </c>
      <c r="L663" s="9">
        <v>0.32951263485524118</v>
      </c>
      <c r="M663" s="11">
        <v>42.866403886332655</v>
      </c>
      <c r="N663" s="11">
        <v>47.153044274965922</v>
      </c>
    </row>
    <row r="664" spans="1:14">
      <c r="A664" t="s">
        <v>1967</v>
      </c>
      <c r="B664" t="s">
        <v>6909</v>
      </c>
      <c r="C664" t="s">
        <v>6910</v>
      </c>
      <c r="D664" t="s">
        <v>11</v>
      </c>
      <c r="E664" t="s">
        <v>13</v>
      </c>
      <c r="F664" t="s">
        <v>1970</v>
      </c>
      <c r="G664" t="s">
        <v>12</v>
      </c>
      <c r="I664" t="s">
        <v>6909</v>
      </c>
      <c r="J664" t="s">
        <v>8207</v>
      </c>
      <c r="K664" s="9">
        <v>5.8260226515907778</v>
      </c>
      <c r="L664" s="9">
        <v>0.12232067382194881</v>
      </c>
      <c r="M664" s="11">
        <v>56.856754092536612</v>
      </c>
      <c r="N664" s="11">
        <v>62.542429501790281</v>
      </c>
    </row>
    <row r="665" spans="1:14">
      <c r="A665" t="s">
        <v>1967</v>
      </c>
      <c r="B665" t="s">
        <v>6911</v>
      </c>
      <c r="C665" t="s">
        <v>6912</v>
      </c>
      <c r="D665" t="s">
        <v>11</v>
      </c>
      <c r="E665" t="s">
        <v>13</v>
      </c>
      <c r="F665" t="s">
        <v>1970</v>
      </c>
      <c r="G665" t="s">
        <v>12</v>
      </c>
      <c r="I665" t="s">
        <v>6911</v>
      </c>
      <c r="J665" t="s">
        <v>8208</v>
      </c>
      <c r="K665" s="11">
        <v>14.66377349942011</v>
      </c>
      <c r="L665" s="9">
        <v>0.13023299080388381</v>
      </c>
      <c r="M665" s="11">
        <v>25.784411511101784</v>
      </c>
      <c r="N665" s="11">
        <v>28.362852662211964</v>
      </c>
    </row>
    <row r="666" spans="1:14">
      <c r="A666" t="s">
        <v>1967</v>
      </c>
      <c r="B666" t="s">
        <v>6913</v>
      </c>
      <c r="C666" t="s">
        <v>6914</v>
      </c>
      <c r="D666" t="s">
        <v>11</v>
      </c>
      <c r="E666" t="s">
        <v>13</v>
      </c>
      <c r="F666" t="s">
        <v>1970</v>
      </c>
      <c r="G666" t="s">
        <v>12</v>
      </c>
      <c r="I666" t="s">
        <v>6913</v>
      </c>
      <c r="J666" t="s">
        <v>8209</v>
      </c>
      <c r="K666" s="11">
        <v>50.048041900288624</v>
      </c>
      <c r="L666" s="9">
        <v>0.36996500316572889</v>
      </c>
      <c r="M666" s="11">
        <v>91.341465515808295</v>
      </c>
      <c r="N666" s="10">
        <v>100.47561206738914</v>
      </c>
    </row>
    <row r="667" spans="1:14">
      <c r="A667" t="s">
        <v>1967</v>
      </c>
      <c r="B667" t="s">
        <v>6915</v>
      </c>
      <c r="C667" t="s">
        <v>6916</v>
      </c>
      <c r="D667" t="s">
        <v>11</v>
      </c>
      <c r="E667" t="s">
        <v>13</v>
      </c>
      <c r="F667" t="s">
        <v>1970</v>
      </c>
      <c r="G667" t="s">
        <v>12</v>
      </c>
      <c r="I667" t="s">
        <v>6915</v>
      </c>
      <c r="J667" t="s">
        <v>8210</v>
      </c>
      <c r="K667" s="11">
        <v>30.207312154499352</v>
      </c>
      <c r="L667" s="9">
        <v>0.34987848931998589</v>
      </c>
      <c r="M667" s="11">
        <v>93.722966292375276</v>
      </c>
      <c r="N667" s="10">
        <v>103.09526292161281</v>
      </c>
    </row>
    <row r="668" spans="1:14">
      <c r="A668" t="s">
        <v>1967</v>
      </c>
      <c r="B668" t="s">
        <v>6917</v>
      </c>
      <c r="C668" t="s">
        <v>6918</v>
      </c>
      <c r="D668" t="s">
        <v>11</v>
      </c>
      <c r="E668" t="s">
        <v>13</v>
      </c>
      <c r="F668" t="s">
        <v>1970</v>
      </c>
      <c r="G668" t="s">
        <v>12</v>
      </c>
      <c r="I668" t="s">
        <v>6917</v>
      </c>
      <c r="J668" t="s">
        <v>8211</v>
      </c>
      <c r="K668" s="11">
        <v>51.632226838392256</v>
      </c>
      <c r="L668" s="9">
        <v>0.26860895077795249</v>
      </c>
      <c r="M668" s="10">
        <v>116.78586063233678</v>
      </c>
      <c r="N668" s="10">
        <v>128.46444669557047</v>
      </c>
    </row>
    <row r="669" spans="1:14">
      <c r="A669" t="s">
        <v>1967</v>
      </c>
      <c r="B669" t="s">
        <v>6919</v>
      </c>
      <c r="C669" t="s">
        <v>6920</v>
      </c>
      <c r="D669" t="s">
        <v>11</v>
      </c>
      <c r="E669" t="s">
        <v>13</v>
      </c>
      <c r="F669" t="s">
        <v>1970</v>
      </c>
      <c r="G669" t="s">
        <v>12</v>
      </c>
      <c r="I669" t="s">
        <v>6919</v>
      </c>
      <c r="J669" t="s">
        <v>8212</v>
      </c>
      <c r="K669" s="11">
        <v>70.546208634440333</v>
      </c>
      <c r="L669" s="9">
        <v>0.23878337282572121</v>
      </c>
      <c r="M669" s="10">
        <v>450.02444350938759</v>
      </c>
      <c r="N669" s="10">
        <v>495.02688786032638</v>
      </c>
    </row>
    <row r="670" spans="1:14">
      <c r="A670" t="s">
        <v>1967</v>
      </c>
      <c r="B670" t="s">
        <v>6921</v>
      </c>
      <c r="C670" t="s">
        <v>6922</v>
      </c>
      <c r="D670" t="s">
        <v>11</v>
      </c>
      <c r="E670" t="s">
        <v>13</v>
      </c>
      <c r="F670" t="s">
        <v>1970</v>
      </c>
      <c r="G670" t="s">
        <v>12</v>
      </c>
      <c r="I670" t="s">
        <v>6921</v>
      </c>
      <c r="J670" t="s">
        <v>8213</v>
      </c>
      <c r="K670" s="11">
        <v>22.904004522536177</v>
      </c>
      <c r="L670" s="9">
        <v>0.19752835157329379</v>
      </c>
      <c r="M670" s="10">
        <v>104.88814072743816</v>
      </c>
      <c r="N670" s="10">
        <v>115.37695480018198</v>
      </c>
    </row>
    <row r="671" spans="1:14">
      <c r="A671" t="s">
        <v>1967</v>
      </c>
      <c r="B671" t="s">
        <v>6923</v>
      </c>
      <c r="C671" t="s">
        <v>6922</v>
      </c>
      <c r="D671" t="s">
        <v>11</v>
      </c>
      <c r="E671" t="s">
        <v>13</v>
      </c>
      <c r="F671" t="s">
        <v>1970</v>
      </c>
      <c r="G671" t="s">
        <v>12</v>
      </c>
      <c r="I671" t="s">
        <v>6923</v>
      </c>
      <c r="J671" t="s">
        <v>8214</v>
      </c>
      <c r="K671" s="11">
        <v>11.192897228103847</v>
      </c>
      <c r="L671" s="9">
        <v>0.1376540118450536</v>
      </c>
      <c r="M671" s="10">
        <v>152.25145091961963</v>
      </c>
      <c r="N671" s="10">
        <v>167.47659601158159</v>
      </c>
    </row>
    <row r="672" spans="1:14">
      <c r="A672" t="s">
        <v>1967</v>
      </c>
      <c r="B672" t="s">
        <v>6924</v>
      </c>
      <c r="C672" t="s">
        <v>6925</v>
      </c>
      <c r="D672" t="s">
        <v>11</v>
      </c>
      <c r="E672" t="s">
        <v>13</v>
      </c>
      <c r="F672" t="s">
        <v>1970</v>
      </c>
      <c r="G672" t="s">
        <v>12</v>
      </c>
      <c r="I672" t="s">
        <v>6924</v>
      </c>
      <c r="J672" t="s">
        <v>8215</v>
      </c>
      <c r="K672" s="11">
        <v>15.395767843348871</v>
      </c>
      <c r="L672" s="9">
        <v>0.20294508314718829</v>
      </c>
      <c r="M672" s="10">
        <v>227.82110644380529</v>
      </c>
      <c r="N672" s="10">
        <v>250.60321708818583</v>
      </c>
    </row>
    <row r="673" spans="1:14">
      <c r="A673" t="s">
        <v>1967</v>
      </c>
      <c r="B673" t="s">
        <v>6926</v>
      </c>
      <c r="C673" t="s">
        <v>6927</v>
      </c>
      <c r="D673" t="s">
        <v>11</v>
      </c>
      <c r="E673" t="s">
        <v>13</v>
      </c>
      <c r="F673" t="s">
        <v>1970</v>
      </c>
      <c r="G673" t="s">
        <v>12</v>
      </c>
      <c r="I673" t="s">
        <v>6926</v>
      </c>
      <c r="J673" t="s">
        <v>8216</v>
      </c>
      <c r="K673" s="9">
        <v>9.2639145053828607</v>
      </c>
      <c r="L673" s="9">
        <v>0.10819314089414719</v>
      </c>
      <c r="M673" s="10">
        <v>297.92365406894328</v>
      </c>
      <c r="N673" s="10">
        <v>327.71601947583764</v>
      </c>
    </row>
    <row r="674" spans="1:14">
      <c r="A674" t="s">
        <v>1967</v>
      </c>
      <c r="B674" t="s">
        <v>6928</v>
      </c>
      <c r="C674" t="s">
        <v>6929</v>
      </c>
      <c r="D674" t="s">
        <v>11</v>
      </c>
      <c r="E674" t="s">
        <v>13</v>
      </c>
      <c r="F674" t="s">
        <v>1970</v>
      </c>
      <c r="G674" t="s">
        <v>12</v>
      </c>
      <c r="I674" t="s">
        <v>6928</v>
      </c>
      <c r="J674" t="s">
        <v>8217</v>
      </c>
      <c r="K674" s="11">
        <v>29.785238190336571</v>
      </c>
      <c r="L674" s="9">
        <v>0.2311296377432466</v>
      </c>
      <c r="M674" s="10">
        <v>308.72938626229848</v>
      </c>
      <c r="N674" s="10">
        <v>339.60232488852836</v>
      </c>
    </row>
    <row r="675" spans="1:14">
      <c r="A675" t="s">
        <v>1967</v>
      </c>
      <c r="B675" t="s">
        <v>6930</v>
      </c>
      <c r="C675" t="s">
        <v>6931</v>
      </c>
      <c r="D675" t="s">
        <v>11</v>
      </c>
      <c r="E675" t="s">
        <v>13</v>
      </c>
      <c r="F675" t="s">
        <v>1970</v>
      </c>
      <c r="G675" t="s">
        <v>12</v>
      </c>
      <c r="I675" t="s">
        <v>6930</v>
      </c>
      <c r="J675" t="s">
        <v>8218</v>
      </c>
      <c r="K675" s="11">
        <v>33.380966579625955</v>
      </c>
      <c r="L675" s="9">
        <v>0.28781130258895687</v>
      </c>
      <c r="M675" s="10">
        <v>267.31302843499839</v>
      </c>
      <c r="N675" s="10">
        <v>294.04433127849825</v>
      </c>
    </row>
    <row r="676" spans="1:14">
      <c r="A676" t="s">
        <v>1967</v>
      </c>
      <c r="B676" t="s">
        <v>6932</v>
      </c>
      <c r="C676" t="s">
        <v>6933</v>
      </c>
      <c r="D676" t="s">
        <v>11</v>
      </c>
      <c r="E676" t="s">
        <v>13</v>
      </c>
      <c r="F676" t="s">
        <v>1970</v>
      </c>
      <c r="G676" t="s">
        <v>12</v>
      </c>
      <c r="I676" t="s">
        <v>6932</v>
      </c>
      <c r="J676" t="s">
        <v>8219</v>
      </c>
      <c r="K676" s="11">
        <v>86.402910621971259</v>
      </c>
      <c r="L676" s="9">
        <v>0.27682039304818329</v>
      </c>
      <c r="M676" s="10">
        <v>196.94268060797839</v>
      </c>
      <c r="N676" s="10">
        <v>216.63694866877626</v>
      </c>
    </row>
    <row r="677" spans="1:14">
      <c r="A677" t="s">
        <v>1967</v>
      </c>
      <c r="B677" t="s">
        <v>6934</v>
      </c>
      <c r="C677" t="s">
        <v>6933</v>
      </c>
      <c r="D677" t="s">
        <v>11</v>
      </c>
      <c r="E677" t="s">
        <v>13</v>
      </c>
      <c r="F677" t="s">
        <v>1970</v>
      </c>
      <c r="G677" t="s">
        <v>12</v>
      </c>
      <c r="I677" t="s">
        <v>6934</v>
      </c>
      <c r="J677" t="s">
        <v>8220</v>
      </c>
      <c r="K677" s="9">
        <v>7.6839561135040135</v>
      </c>
      <c r="L677" s="9">
        <v>0.13452476289121801</v>
      </c>
      <c r="M677" s="11">
        <v>93.372691740133362</v>
      </c>
      <c r="N677" s="10">
        <v>102.70996091414671</v>
      </c>
    </row>
    <row r="678" spans="1:14">
      <c r="A678" t="s">
        <v>1967</v>
      </c>
      <c r="B678" t="s">
        <v>6935</v>
      </c>
      <c r="C678" t="s">
        <v>6936</v>
      </c>
      <c r="D678" t="s">
        <v>11</v>
      </c>
      <c r="E678" t="s">
        <v>13</v>
      </c>
      <c r="F678" t="s">
        <v>1970</v>
      </c>
      <c r="G678" t="s">
        <v>12</v>
      </c>
      <c r="I678" t="s">
        <v>6935</v>
      </c>
      <c r="J678" t="s">
        <v>8221</v>
      </c>
      <c r="K678" s="10">
        <v>100.3631338807218</v>
      </c>
      <c r="L678" s="9">
        <v>0.27788563711771241</v>
      </c>
      <c r="M678" s="10">
        <v>351.60505619233146</v>
      </c>
      <c r="N678" s="10">
        <v>386.76556181156462</v>
      </c>
    </row>
    <row r="679" spans="1:14">
      <c r="A679" t="s">
        <v>1967</v>
      </c>
      <c r="B679" t="s">
        <v>6937</v>
      </c>
      <c r="C679" t="s">
        <v>6938</v>
      </c>
      <c r="D679" t="s">
        <v>11</v>
      </c>
      <c r="E679" t="s">
        <v>13</v>
      </c>
      <c r="F679" t="s">
        <v>1970</v>
      </c>
      <c r="G679" t="s">
        <v>12</v>
      </c>
      <c r="I679" t="s">
        <v>6937</v>
      </c>
      <c r="J679" t="s">
        <v>8222</v>
      </c>
      <c r="K679" s="11">
        <v>10.326692471734365</v>
      </c>
      <c r="L679" s="9">
        <v>0.1706965583008441</v>
      </c>
      <c r="M679" s="11">
        <v>70.42490573863995</v>
      </c>
      <c r="N679" s="11">
        <v>77.467396312503951</v>
      </c>
    </row>
    <row r="680" spans="1:14">
      <c r="A680" t="s">
        <v>1967</v>
      </c>
      <c r="B680" t="s">
        <v>6939</v>
      </c>
      <c r="C680" t="s">
        <v>6940</v>
      </c>
      <c r="D680" t="s">
        <v>11</v>
      </c>
      <c r="E680" t="s">
        <v>13</v>
      </c>
      <c r="F680" t="s">
        <v>1970</v>
      </c>
      <c r="G680" t="s">
        <v>12</v>
      </c>
      <c r="I680" t="s">
        <v>6939</v>
      </c>
      <c r="J680" t="s">
        <v>8223</v>
      </c>
      <c r="K680" s="11">
        <v>29.423506140055128</v>
      </c>
      <c r="L680" s="9">
        <v>0.26822909709925419</v>
      </c>
      <c r="M680" s="11">
        <v>63.129318135057652</v>
      </c>
      <c r="N680" s="11">
        <v>69.442249948563429</v>
      </c>
    </row>
    <row r="681" spans="1:14">
      <c r="A681" t="s">
        <v>1967</v>
      </c>
      <c r="B681" t="s">
        <v>6941</v>
      </c>
      <c r="C681" t="s">
        <v>6942</v>
      </c>
      <c r="D681" t="s">
        <v>11</v>
      </c>
      <c r="E681" t="s">
        <v>13</v>
      </c>
      <c r="F681" t="s">
        <v>1970</v>
      </c>
      <c r="G681" t="s">
        <v>12</v>
      </c>
      <c r="I681" t="s">
        <v>6941</v>
      </c>
      <c r="J681" t="s">
        <v>8224</v>
      </c>
      <c r="K681" s="11">
        <v>35.792204607175393</v>
      </c>
      <c r="L681" s="9">
        <v>0.27621678568540081</v>
      </c>
      <c r="M681" s="10">
        <v>146.70000801991236</v>
      </c>
      <c r="N681" s="10">
        <v>161.37000882190361</v>
      </c>
    </row>
    <row r="682" spans="1:14">
      <c r="A682" t="s">
        <v>1967</v>
      </c>
      <c r="B682" t="s">
        <v>6943</v>
      </c>
      <c r="C682" t="s">
        <v>6944</v>
      </c>
      <c r="D682" t="s">
        <v>11</v>
      </c>
      <c r="E682" t="s">
        <v>13</v>
      </c>
      <c r="F682" t="s">
        <v>1970</v>
      </c>
      <c r="G682" t="s">
        <v>12</v>
      </c>
      <c r="I682" t="s">
        <v>6943</v>
      </c>
      <c r="J682" t="s">
        <v>8225</v>
      </c>
      <c r="K682" s="11">
        <v>10.450669299489233</v>
      </c>
      <c r="L682" s="9">
        <v>0.16175910222248269</v>
      </c>
      <c r="M682" s="10">
        <v>303.74537963711867</v>
      </c>
      <c r="N682" s="10">
        <v>334.11991760083055</v>
      </c>
    </row>
    <row r="683" spans="1:14">
      <c r="A683" t="s">
        <v>1967</v>
      </c>
      <c r="B683" t="s">
        <v>6945</v>
      </c>
      <c r="C683" t="s">
        <v>6944</v>
      </c>
      <c r="D683" t="s">
        <v>11</v>
      </c>
      <c r="E683" t="s">
        <v>13</v>
      </c>
      <c r="F683" t="s">
        <v>1970</v>
      </c>
      <c r="G683" t="s">
        <v>12</v>
      </c>
      <c r="I683" t="s">
        <v>6945</v>
      </c>
      <c r="J683" t="s">
        <v>8226</v>
      </c>
      <c r="K683" s="11">
        <v>88.628397048312138</v>
      </c>
      <c r="L683" s="9">
        <v>0.23444562360995341</v>
      </c>
      <c r="M683" s="10">
        <v>506.3418173487932</v>
      </c>
      <c r="N683" s="10">
        <v>556.9759990836726</v>
      </c>
    </row>
    <row r="684" spans="1:14">
      <c r="A684" t="s">
        <v>1967</v>
      </c>
      <c r="B684" t="s">
        <v>6946</v>
      </c>
      <c r="C684" t="s">
        <v>6947</v>
      </c>
      <c r="D684" t="s">
        <v>11</v>
      </c>
      <c r="E684" t="s">
        <v>13</v>
      </c>
      <c r="F684" t="s">
        <v>1970</v>
      </c>
      <c r="G684" t="s">
        <v>12</v>
      </c>
      <c r="I684" t="s">
        <v>6946</v>
      </c>
      <c r="J684" t="s">
        <v>8227</v>
      </c>
      <c r="K684" s="11">
        <v>54.537970057598486</v>
      </c>
      <c r="L684" s="9">
        <v>0.14572135328768601</v>
      </c>
      <c r="M684" s="10">
        <v>425.18434404921351</v>
      </c>
      <c r="N684" s="10">
        <v>467.70277845413489</v>
      </c>
    </row>
    <row r="685" spans="1:14">
      <c r="A685" t="s">
        <v>1967</v>
      </c>
      <c r="B685" t="s">
        <v>6948</v>
      </c>
      <c r="C685" t="s">
        <v>6944</v>
      </c>
      <c r="D685" t="s">
        <v>11</v>
      </c>
      <c r="E685" t="s">
        <v>13</v>
      </c>
      <c r="F685" t="s">
        <v>1970</v>
      </c>
      <c r="G685" t="s">
        <v>12</v>
      </c>
      <c r="I685" t="s">
        <v>6948</v>
      </c>
      <c r="J685" t="s">
        <v>8228</v>
      </c>
      <c r="K685" s="11">
        <v>17.084502393883497</v>
      </c>
      <c r="L685" s="9">
        <v>0.1276210229926858</v>
      </c>
      <c r="M685" s="10">
        <v>163.65781041176172</v>
      </c>
      <c r="N685" s="10">
        <v>180.02359145293789</v>
      </c>
    </row>
    <row r="686" spans="1:14">
      <c r="A686" t="s">
        <v>1967</v>
      </c>
      <c r="B686" t="s">
        <v>6949</v>
      </c>
      <c r="C686" t="s">
        <v>6947</v>
      </c>
      <c r="D686" t="s">
        <v>11</v>
      </c>
      <c r="E686" t="s">
        <v>13</v>
      </c>
      <c r="F686" t="s">
        <v>1970</v>
      </c>
      <c r="G686" t="s">
        <v>12</v>
      </c>
      <c r="I686" t="s">
        <v>6949</v>
      </c>
      <c r="J686" t="s">
        <v>8229</v>
      </c>
      <c r="K686" s="11">
        <v>48.700337437794083</v>
      </c>
      <c r="L686" s="9">
        <v>0.1685260573462635</v>
      </c>
      <c r="M686" s="10">
        <v>341.53524659956122</v>
      </c>
      <c r="N686" s="10">
        <v>375.68877125951735</v>
      </c>
    </row>
    <row r="687" spans="1:14">
      <c r="A687" t="s">
        <v>1967</v>
      </c>
      <c r="B687" t="s">
        <v>6950</v>
      </c>
      <c r="C687" t="s">
        <v>6951</v>
      </c>
      <c r="D687" t="s">
        <v>11</v>
      </c>
      <c r="E687" t="s">
        <v>13</v>
      </c>
      <c r="F687" t="s">
        <v>1970</v>
      </c>
      <c r="G687" t="s">
        <v>12</v>
      </c>
      <c r="I687" t="s">
        <v>6950</v>
      </c>
      <c r="J687" t="s">
        <v>8230</v>
      </c>
      <c r="K687" s="11">
        <v>29.858101299459214</v>
      </c>
      <c r="L687" s="9">
        <v>0.1349014015310924</v>
      </c>
      <c r="M687" s="11">
        <v>82.026423933970506</v>
      </c>
      <c r="N687" s="11">
        <v>90.229066327367562</v>
      </c>
    </row>
    <row r="688" spans="1:14">
      <c r="A688" t="s">
        <v>1967</v>
      </c>
      <c r="B688" t="s">
        <v>6952</v>
      </c>
      <c r="C688" t="s">
        <v>6953</v>
      </c>
      <c r="D688" t="s">
        <v>11</v>
      </c>
      <c r="E688" t="s">
        <v>13</v>
      </c>
      <c r="F688" t="s">
        <v>1970</v>
      </c>
      <c r="G688" t="s">
        <v>12</v>
      </c>
      <c r="I688" t="s">
        <v>6952</v>
      </c>
      <c r="J688" t="s">
        <v>8231</v>
      </c>
      <c r="K688" s="9">
        <v>0.76115420553171298</v>
      </c>
      <c r="L688" s="12">
        <v>8.2528193003812395E-2</v>
      </c>
      <c r="M688" s="10">
        <v>187.98822368521027</v>
      </c>
      <c r="N688" s="10">
        <v>206.7870460537313</v>
      </c>
    </row>
    <row r="689" spans="1:14">
      <c r="A689" t="s">
        <v>1967</v>
      </c>
      <c r="B689" t="s">
        <v>6954</v>
      </c>
      <c r="C689" t="s">
        <v>6955</v>
      </c>
      <c r="D689" t="s">
        <v>11</v>
      </c>
      <c r="E689" t="s">
        <v>13</v>
      </c>
      <c r="F689" t="s">
        <v>1970</v>
      </c>
      <c r="G689" t="s">
        <v>12</v>
      </c>
      <c r="I689" t="s">
        <v>6954</v>
      </c>
      <c r="J689" t="s">
        <v>8232</v>
      </c>
      <c r="K689" s="9">
        <v>0.33109421525514993</v>
      </c>
      <c r="L689" s="12">
        <v>9.4917875119699902E-2</v>
      </c>
      <c r="M689" s="10">
        <v>156.57388891145777</v>
      </c>
      <c r="N689" s="10">
        <v>172.23127780260356</v>
      </c>
    </row>
    <row r="690" spans="1:14">
      <c r="A690" t="s">
        <v>1967</v>
      </c>
      <c r="B690" t="s">
        <v>6956</v>
      </c>
      <c r="C690" t="s">
        <v>6957</v>
      </c>
      <c r="D690" t="s">
        <v>11</v>
      </c>
      <c r="E690" t="s">
        <v>13</v>
      </c>
      <c r="F690" t="s">
        <v>1970</v>
      </c>
      <c r="G690" t="s">
        <v>12</v>
      </c>
      <c r="I690" t="s">
        <v>6956</v>
      </c>
      <c r="J690" t="s">
        <v>8233</v>
      </c>
      <c r="K690" s="11">
        <v>11.477687429352994</v>
      </c>
      <c r="L690" s="9">
        <v>0.22029915007447931</v>
      </c>
      <c r="M690" s="10">
        <v>101.66367527820664</v>
      </c>
      <c r="N690" s="10">
        <v>111.83004280602731</v>
      </c>
    </row>
    <row r="691" spans="1:14">
      <c r="A691" t="s">
        <v>1967</v>
      </c>
      <c r="B691" t="s">
        <v>6958</v>
      </c>
      <c r="C691" t="s">
        <v>6959</v>
      </c>
      <c r="D691" t="s">
        <v>11</v>
      </c>
      <c r="E691" t="s">
        <v>13</v>
      </c>
      <c r="F691" t="s">
        <v>1970</v>
      </c>
      <c r="G691" t="s">
        <v>12</v>
      </c>
      <c r="I691" t="s">
        <v>6958</v>
      </c>
      <c r="J691" t="s">
        <v>8234</v>
      </c>
      <c r="K691" s="9">
        <v>9.6457434828667097</v>
      </c>
      <c r="L691" s="9">
        <v>0.16560202278133371</v>
      </c>
      <c r="M691" s="11">
        <v>49.411196888527805</v>
      </c>
      <c r="N691" s="11">
        <v>54.352316577380591</v>
      </c>
    </row>
    <row r="692" spans="1:14">
      <c r="A692" t="s">
        <v>1967</v>
      </c>
      <c r="B692" t="s">
        <v>6960</v>
      </c>
      <c r="C692" t="s">
        <v>6961</v>
      </c>
      <c r="D692" t="s">
        <v>11</v>
      </c>
      <c r="E692" t="s">
        <v>13</v>
      </c>
      <c r="F692" t="s">
        <v>1970</v>
      </c>
      <c r="G692" t="s">
        <v>12</v>
      </c>
      <c r="I692" t="s">
        <v>6960</v>
      </c>
      <c r="J692" t="s">
        <v>8235</v>
      </c>
      <c r="K692" s="9">
        <v>5.3839439029617759</v>
      </c>
      <c r="L692" s="9">
        <v>0.18862686014649269</v>
      </c>
      <c r="M692" s="11">
        <v>92.3637855572061</v>
      </c>
      <c r="N692" s="10">
        <v>101.60016411292672</v>
      </c>
    </row>
    <row r="693" spans="1:14">
      <c r="A693" t="s">
        <v>1967</v>
      </c>
      <c r="B693" t="s">
        <v>6962</v>
      </c>
      <c r="C693" t="s">
        <v>6963</v>
      </c>
      <c r="D693" t="s">
        <v>11</v>
      </c>
      <c r="E693" t="s">
        <v>13</v>
      </c>
      <c r="F693" t="s">
        <v>1970</v>
      </c>
      <c r="G693" t="s">
        <v>12</v>
      </c>
      <c r="I693" t="s">
        <v>6962</v>
      </c>
      <c r="J693" t="s">
        <v>8236</v>
      </c>
      <c r="K693" s="9">
        <v>8.7094982021038483</v>
      </c>
      <c r="L693" s="9">
        <v>0.24227972812829299</v>
      </c>
      <c r="M693" s="11">
        <v>70.498690468109203</v>
      </c>
      <c r="N693" s="11">
        <v>77.548559514920129</v>
      </c>
    </row>
    <row r="694" spans="1:14">
      <c r="A694" t="s">
        <v>1967</v>
      </c>
      <c r="B694" t="s">
        <v>6964</v>
      </c>
      <c r="C694" t="s">
        <v>6965</v>
      </c>
      <c r="D694" t="s">
        <v>11</v>
      </c>
      <c r="E694" t="s">
        <v>13</v>
      </c>
      <c r="F694" t="s">
        <v>1970</v>
      </c>
      <c r="G694" t="s">
        <v>12</v>
      </c>
      <c r="I694" t="s">
        <v>6964</v>
      </c>
      <c r="J694" t="s">
        <v>8237</v>
      </c>
      <c r="K694" s="9">
        <v>6.5845233157164564</v>
      </c>
      <c r="L694" s="9">
        <v>0.3499560169258068</v>
      </c>
      <c r="M694" s="11">
        <v>63.247088632081656</v>
      </c>
      <c r="N694" s="11">
        <v>69.571797495289829</v>
      </c>
    </row>
    <row r="695" spans="1:14">
      <c r="A695" t="s">
        <v>1967</v>
      </c>
      <c r="B695" t="s">
        <v>6966</v>
      </c>
      <c r="C695" t="s">
        <v>6967</v>
      </c>
      <c r="D695" t="s">
        <v>11</v>
      </c>
      <c r="E695" t="s">
        <v>13</v>
      </c>
      <c r="F695" t="s">
        <v>1970</v>
      </c>
      <c r="G695" t="s">
        <v>12</v>
      </c>
      <c r="I695" t="s">
        <v>6966</v>
      </c>
      <c r="J695" t="s">
        <v>8238</v>
      </c>
      <c r="K695" s="11">
        <v>10.203727266680064</v>
      </c>
      <c r="L695" s="9">
        <v>0.1271147789398461</v>
      </c>
      <c r="M695" s="11">
        <v>46.369968691632337</v>
      </c>
      <c r="N695" s="11">
        <v>51.006965560795578</v>
      </c>
    </row>
    <row r="696" spans="1:14">
      <c r="A696" t="s">
        <v>1967</v>
      </c>
      <c r="B696" t="s">
        <v>6968</v>
      </c>
      <c r="C696" t="s">
        <v>6969</v>
      </c>
      <c r="D696" t="s">
        <v>11</v>
      </c>
      <c r="E696" t="s">
        <v>13</v>
      </c>
      <c r="F696" t="s">
        <v>1970</v>
      </c>
      <c r="G696" t="s">
        <v>12</v>
      </c>
      <c r="I696" t="s">
        <v>6968</v>
      </c>
      <c r="J696" t="s">
        <v>8239</v>
      </c>
      <c r="K696" s="9">
        <v>6.8605908115669951</v>
      </c>
      <c r="L696" s="9">
        <v>0.19368118744128041</v>
      </c>
      <c r="M696" s="11">
        <v>23.06450491600652</v>
      </c>
      <c r="N696" s="11">
        <v>25.370955407607173</v>
      </c>
    </row>
    <row r="697" spans="1:14">
      <c r="A697" t="s">
        <v>1967</v>
      </c>
      <c r="B697" t="s">
        <v>6970</v>
      </c>
      <c r="C697" t="s">
        <v>6971</v>
      </c>
      <c r="D697" t="s">
        <v>11</v>
      </c>
      <c r="E697" t="s">
        <v>13</v>
      </c>
      <c r="F697" t="s">
        <v>1970</v>
      </c>
      <c r="G697" t="s">
        <v>12</v>
      </c>
      <c r="I697" t="s">
        <v>6970</v>
      </c>
      <c r="J697" t="s">
        <v>8240</v>
      </c>
      <c r="K697" s="9">
        <v>5.0204025752861963</v>
      </c>
      <c r="L697" s="9">
        <v>0.1959645604147541</v>
      </c>
      <c r="M697" s="11">
        <v>30.424590608984104</v>
      </c>
      <c r="N697" s="11">
        <v>33.46704966988252</v>
      </c>
    </row>
    <row r="698" spans="1:14">
      <c r="A698" t="s">
        <v>1967</v>
      </c>
      <c r="B698" t="s">
        <v>6972</v>
      </c>
      <c r="C698" t="s">
        <v>6973</v>
      </c>
      <c r="D698" t="s">
        <v>11</v>
      </c>
      <c r="E698" t="s">
        <v>13</v>
      </c>
      <c r="F698" t="s">
        <v>1970</v>
      </c>
      <c r="G698" t="s">
        <v>12</v>
      </c>
      <c r="I698" t="s">
        <v>6972</v>
      </c>
      <c r="J698" t="s">
        <v>8241</v>
      </c>
      <c r="K698" s="11">
        <v>19.332899651620824</v>
      </c>
      <c r="L698" s="9">
        <v>0.16033528044049819</v>
      </c>
      <c r="M698" s="11">
        <v>28.674110888693164</v>
      </c>
      <c r="N698" s="11">
        <v>31.541521977562482</v>
      </c>
    </row>
    <row r="699" spans="1:14">
      <c r="A699" t="s">
        <v>1967</v>
      </c>
      <c r="B699" t="s">
        <v>6974</v>
      </c>
      <c r="C699" t="s">
        <v>6975</v>
      </c>
      <c r="D699" t="s">
        <v>11</v>
      </c>
      <c r="E699" t="s">
        <v>13</v>
      </c>
      <c r="F699" t="s">
        <v>1970</v>
      </c>
      <c r="G699" t="s">
        <v>12</v>
      </c>
      <c r="I699" t="s">
        <v>6974</v>
      </c>
      <c r="J699" t="s">
        <v>8242</v>
      </c>
      <c r="K699" s="11">
        <v>44.807388094973902</v>
      </c>
      <c r="L699" s="9">
        <v>0.19018582100588641</v>
      </c>
      <c r="M699" s="11">
        <v>19.726096787208487</v>
      </c>
      <c r="N699" s="11">
        <v>21.698706465929337</v>
      </c>
    </row>
    <row r="700" spans="1:14">
      <c r="A700" t="s">
        <v>1967</v>
      </c>
      <c r="B700" t="s">
        <v>6976</v>
      </c>
      <c r="C700" t="s">
        <v>6977</v>
      </c>
      <c r="D700" t="s">
        <v>11</v>
      </c>
      <c r="E700" t="s">
        <v>13</v>
      </c>
      <c r="F700" t="s">
        <v>1970</v>
      </c>
      <c r="G700" t="s">
        <v>12</v>
      </c>
      <c r="I700" t="s">
        <v>6976</v>
      </c>
      <c r="J700" t="s">
        <v>8243</v>
      </c>
      <c r="K700" s="11">
        <v>36.320672084587756</v>
      </c>
      <c r="L700" s="9">
        <v>0.26640179025906741</v>
      </c>
      <c r="M700" s="11">
        <v>28.7407120725684</v>
      </c>
      <c r="N700" s="11">
        <v>31.614783279825243</v>
      </c>
    </row>
    <row r="701" spans="1:14">
      <c r="A701" t="s">
        <v>1967</v>
      </c>
      <c r="B701" t="s">
        <v>6978</v>
      </c>
      <c r="C701" t="s">
        <v>6979</v>
      </c>
      <c r="D701" t="s">
        <v>11</v>
      </c>
      <c r="E701" t="s">
        <v>13</v>
      </c>
      <c r="F701" t="s">
        <v>1970</v>
      </c>
      <c r="G701" t="s">
        <v>12</v>
      </c>
      <c r="I701" t="s">
        <v>6978</v>
      </c>
      <c r="J701" t="s">
        <v>8244</v>
      </c>
      <c r="K701" s="11">
        <v>24.205367820383945</v>
      </c>
      <c r="L701" s="9">
        <v>0.13351173371580399</v>
      </c>
      <c r="M701" s="11">
        <v>14.78091953704439</v>
      </c>
      <c r="N701" s="11">
        <v>16.259011490748829</v>
      </c>
    </row>
    <row r="702" spans="1:14">
      <c r="A702" t="s">
        <v>1967</v>
      </c>
      <c r="B702" t="s">
        <v>6980</v>
      </c>
      <c r="C702" t="s">
        <v>6981</v>
      </c>
      <c r="D702" t="s">
        <v>11</v>
      </c>
      <c r="E702" t="s">
        <v>13</v>
      </c>
      <c r="F702" t="s">
        <v>1970</v>
      </c>
      <c r="G702" t="s">
        <v>12</v>
      </c>
      <c r="I702" t="s">
        <v>6980</v>
      </c>
      <c r="J702" t="s">
        <v>8245</v>
      </c>
      <c r="K702" s="9">
        <v>0.96872324549473954</v>
      </c>
      <c r="L702" s="9">
        <v>0.20785822524965231</v>
      </c>
      <c r="M702" s="10">
        <v>368.2766983740633</v>
      </c>
      <c r="N702" s="10">
        <v>405.10436821146965</v>
      </c>
    </row>
    <row r="703" spans="1:14">
      <c r="A703" t="s">
        <v>1967</v>
      </c>
      <c r="B703" t="s">
        <v>6982</v>
      </c>
      <c r="C703" t="s">
        <v>6983</v>
      </c>
      <c r="D703" t="s">
        <v>11</v>
      </c>
      <c r="E703" t="s">
        <v>13</v>
      </c>
      <c r="F703" t="s">
        <v>1970</v>
      </c>
      <c r="G703" t="s">
        <v>12</v>
      </c>
      <c r="I703" t="s">
        <v>6982</v>
      </c>
      <c r="J703" t="s">
        <v>8246</v>
      </c>
      <c r="K703" s="12">
        <v>3.0288783946173937E-2</v>
      </c>
      <c r="L703" s="9">
        <v>0.28091263694412072</v>
      </c>
      <c r="M703" s="10">
        <v>137.36563836626817</v>
      </c>
      <c r="N703" s="10">
        <v>151.102202202895</v>
      </c>
    </row>
    <row r="704" spans="1:14">
      <c r="A704" t="s">
        <v>1967</v>
      </c>
      <c r="B704" t="s">
        <v>6984</v>
      </c>
      <c r="C704" t="s">
        <v>6985</v>
      </c>
      <c r="D704" t="s">
        <v>11</v>
      </c>
      <c r="E704" t="s">
        <v>13</v>
      </c>
      <c r="F704" t="s">
        <v>1970</v>
      </c>
      <c r="G704" t="s">
        <v>12</v>
      </c>
      <c r="I704" t="s">
        <v>6984</v>
      </c>
      <c r="J704" t="s">
        <v>8247</v>
      </c>
      <c r="K704" s="12">
        <v>1.8297007836543328E-2</v>
      </c>
      <c r="L704" s="9">
        <v>0.17214777135651191</v>
      </c>
      <c r="M704" s="10">
        <v>241.0879266938056</v>
      </c>
      <c r="N704" s="10">
        <v>265.19671936318616</v>
      </c>
    </row>
    <row r="705" spans="1:14">
      <c r="A705" t="s">
        <v>1967</v>
      </c>
      <c r="B705" t="s">
        <v>6986</v>
      </c>
      <c r="C705" t="s">
        <v>6987</v>
      </c>
      <c r="D705" t="s">
        <v>11</v>
      </c>
      <c r="E705" t="s">
        <v>13</v>
      </c>
      <c r="F705" t="s">
        <v>1970</v>
      </c>
      <c r="G705" t="s">
        <v>12</v>
      </c>
      <c r="I705" t="s">
        <v>6986</v>
      </c>
      <c r="J705" t="s">
        <v>8248</v>
      </c>
      <c r="K705" s="9">
        <v>1.899731299684434</v>
      </c>
      <c r="L705" s="9">
        <v>0.37227968923972871</v>
      </c>
      <c r="M705" s="10">
        <v>178.29589328286417</v>
      </c>
      <c r="N705" s="10">
        <v>196.1254826111506</v>
      </c>
    </row>
    <row r="706" spans="1:14">
      <c r="A706" t="s">
        <v>1967</v>
      </c>
      <c r="B706" t="s">
        <v>6988</v>
      </c>
      <c r="C706" t="s">
        <v>6989</v>
      </c>
      <c r="D706" t="s">
        <v>11</v>
      </c>
      <c r="E706" t="s">
        <v>13</v>
      </c>
      <c r="F706" t="s">
        <v>1970</v>
      </c>
      <c r="G706" t="s">
        <v>12</v>
      </c>
      <c r="I706" t="s">
        <v>6988</v>
      </c>
      <c r="J706" t="s">
        <v>8249</v>
      </c>
      <c r="K706" s="9">
        <v>4.8828170800701978</v>
      </c>
      <c r="L706" s="9">
        <v>0.30446426099583779</v>
      </c>
      <c r="M706" s="11">
        <v>44.726600290014481</v>
      </c>
      <c r="N706" s="11">
        <v>49.199260319015934</v>
      </c>
    </row>
    <row r="707" spans="1:14">
      <c r="A707" t="s">
        <v>1967</v>
      </c>
      <c r="B707" t="s">
        <v>6990</v>
      </c>
      <c r="C707" t="s">
        <v>6991</v>
      </c>
      <c r="D707" t="s">
        <v>11</v>
      </c>
      <c r="E707" t="s">
        <v>13</v>
      </c>
      <c r="F707" t="s">
        <v>1970</v>
      </c>
      <c r="G707" t="s">
        <v>12</v>
      </c>
      <c r="I707" t="s">
        <v>6990</v>
      </c>
      <c r="J707" t="s">
        <v>8250</v>
      </c>
      <c r="K707" s="9">
        <v>7.6497810049421515</v>
      </c>
      <c r="L707" s="9">
        <v>0.31396820033467571</v>
      </c>
      <c r="M707" s="11">
        <v>45.145612578239742</v>
      </c>
      <c r="N707" s="11">
        <v>49.66017383606372</v>
      </c>
    </row>
    <row r="708" spans="1:14">
      <c r="A708" t="s">
        <v>1967</v>
      </c>
      <c r="B708" t="s">
        <v>6992</v>
      </c>
      <c r="C708" t="s">
        <v>6993</v>
      </c>
      <c r="D708" t="s">
        <v>11</v>
      </c>
      <c r="E708" t="s">
        <v>13</v>
      </c>
      <c r="F708" t="s">
        <v>1970</v>
      </c>
      <c r="G708" t="s">
        <v>12</v>
      </c>
      <c r="I708" t="s">
        <v>6992</v>
      </c>
      <c r="J708" t="s">
        <v>8251</v>
      </c>
      <c r="K708" s="9">
        <v>4.6834977531356126</v>
      </c>
      <c r="L708" s="9">
        <v>0.3130519845184741</v>
      </c>
      <c r="M708" s="11">
        <v>67.335301664055152</v>
      </c>
      <c r="N708" s="11">
        <v>74.068831830460667</v>
      </c>
    </row>
    <row r="709" spans="1:14">
      <c r="A709" t="s">
        <v>1967</v>
      </c>
      <c r="B709" t="s">
        <v>6994</v>
      </c>
      <c r="C709" t="s">
        <v>6995</v>
      </c>
      <c r="D709" t="s">
        <v>11</v>
      </c>
      <c r="E709" t="s">
        <v>13</v>
      </c>
      <c r="F709" t="s">
        <v>1970</v>
      </c>
      <c r="G709" t="s">
        <v>12</v>
      </c>
      <c r="I709" t="s">
        <v>6994</v>
      </c>
      <c r="J709" t="s">
        <v>8252</v>
      </c>
      <c r="K709" s="9">
        <v>0.27066515065379043</v>
      </c>
      <c r="L709" s="9">
        <v>0.36860947990803439</v>
      </c>
      <c r="M709" s="11">
        <v>38.755745828312961</v>
      </c>
      <c r="N709" s="11">
        <v>42.631320411144259</v>
      </c>
    </row>
    <row r="710" spans="1:14">
      <c r="A710" t="s">
        <v>1967</v>
      </c>
      <c r="B710" t="s">
        <v>6996</v>
      </c>
      <c r="C710" t="s">
        <v>6997</v>
      </c>
      <c r="D710" t="s">
        <v>11</v>
      </c>
      <c r="E710" t="s">
        <v>13</v>
      </c>
      <c r="F710" t="s">
        <v>1970</v>
      </c>
      <c r="G710" t="s">
        <v>12</v>
      </c>
      <c r="I710" t="s">
        <v>6996</v>
      </c>
      <c r="J710" t="s">
        <v>8253</v>
      </c>
      <c r="K710" s="9">
        <v>2.0152897561031566</v>
      </c>
      <c r="L710" s="9">
        <v>0.29374218374248051</v>
      </c>
      <c r="M710" s="11">
        <v>47.821563048920908</v>
      </c>
      <c r="N710" s="11">
        <v>52.603719353813005</v>
      </c>
    </row>
    <row r="711" spans="1:14">
      <c r="A711" t="s">
        <v>1967</v>
      </c>
      <c r="B711" t="s">
        <v>6998</v>
      </c>
      <c r="C711" t="s">
        <v>6999</v>
      </c>
      <c r="D711" t="s">
        <v>11</v>
      </c>
      <c r="E711" t="s">
        <v>13</v>
      </c>
      <c r="F711" t="s">
        <v>1970</v>
      </c>
      <c r="G711" t="s">
        <v>12</v>
      </c>
      <c r="I711" t="s">
        <v>6998</v>
      </c>
      <c r="J711" t="s">
        <v>8254</v>
      </c>
      <c r="K711" s="9">
        <v>1.6998670962440983</v>
      </c>
      <c r="L711" s="9">
        <v>0.23650721159991039</v>
      </c>
      <c r="M711" s="11">
        <v>36.117469120936697</v>
      </c>
      <c r="N711" s="11">
        <v>39.729216033030369</v>
      </c>
    </row>
    <row r="712" spans="1:14">
      <c r="A712" t="s">
        <v>1967</v>
      </c>
      <c r="B712" t="s">
        <v>7000</v>
      </c>
      <c r="C712" t="s">
        <v>7001</v>
      </c>
      <c r="D712" t="s">
        <v>11</v>
      </c>
      <c r="E712" t="s">
        <v>13</v>
      </c>
      <c r="F712" t="s">
        <v>1970</v>
      </c>
      <c r="G712" t="s">
        <v>12</v>
      </c>
      <c r="I712" t="s">
        <v>7000</v>
      </c>
      <c r="J712" t="s">
        <v>8255</v>
      </c>
      <c r="K712" s="9">
        <v>2.3742143556771853</v>
      </c>
      <c r="L712" s="9">
        <v>0.2447652980219959</v>
      </c>
      <c r="M712" s="11">
        <v>43.041340670664482</v>
      </c>
      <c r="N712" s="11">
        <v>47.345474737730932</v>
      </c>
    </row>
    <row r="713" spans="1:14">
      <c r="A713" t="s">
        <v>1967</v>
      </c>
      <c r="B713" t="s">
        <v>7002</v>
      </c>
      <c r="C713" t="s">
        <v>7003</v>
      </c>
      <c r="D713" t="s">
        <v>11</v>
      </c>
      <c r="E713" t="s">
        <v>13</v>
      </c>
      <c r="F713" t="s">
        <v>1970</v>
      </c>
      <c r="G713" t="s">
        <v>12</v>
      </c>
      <c r="I713" t="s">
        <v>7002</v>
      </c>
      <c r="J713" t="s">
        <v>8256</v>
      </c>
      <c r="K713" s="9">
        <v>0.21647804409173346</v>
      </c>
      <c r="L713" s="9">
        <v>0.2029038971364204</v>
      </c>
      <c r="M713" s="11">
        <v>50.928832629367868</v>
      </c>
      <c r="N713" s="11">
        <v>56.021715892304663</v>
      </c>
    </row>
    <row r="714" spans="1:14">
      <c r="A714" t="s">
        <v>1967</v>
      </c>
      <c r="B714" t="s">
        <v>7004</v>
      </c>
      <c r="C714" t="s">
        <v>7003</v>
      </c>
      <c r="D714" t="s">
        <v>11</v>
      </c>
      <c r="E714" t="s">
        <v>13</v>
      </c>
      <c r="F714" t="s">
        <v>1970</v>
      </c>
      <c r="G714" t="s">
        <v>12</v>
      </c>
      <c r="I714" t="s">
        <v>7004</v>
      </c>
      <c r="J714" t="s">
        <v>8257</v>
      </c>
      <c r="K714" s="9">
        <v>0.21870769177417121</v>
      </c>
      <c r="L714" s="9">
        <v>0.30376345511173097</v>
      </c>
      <c r="M714" s="11">
        <v>11.034663469334175</v>
      </c>
      <c r="N714" s="11">
        <v>12.138129816267593</v>
      </c>
    </row>
    <row r="715" spans="1:14">
      <c r="A715" t="s">
        <v>1967</v>
      </c>
      <c r="B715" t="s">
        <v>7005</v>
      </c>
      <c r="C715" t="s">
        <v>7006</v>
      </c>
      <c r="D715" t="s">
        <v>11</v>
      </c>
      <c r="E715" t="s">
        <v>13</v>
      </c>
      <c r="F715" t="s">
        <v>1970</v>
      </c>
      <c r="G715" t="s">
        <v>12</v>
      </c>
      <c r="I715" t="s">
        <v>7005</v>
      </c>
      <c r="J715" t="s">
        <v>8258</v>
      </c>
      <c r="K715" s="9">
        <v>1.4162720453775151</v>
      </c>
      <c r="L715" s="9">
        <v>0.25325139501298061</v>
      </c>
      <c r="M715" s="11">
        <v>27.635204195541537</v>
      </c>
      <c r="N715" s="11">
        <v>30.398724615095691</v>
      </c>
    </row>
    <row r="716" spans="1:14">
      <c r="A716" t="s">
        <v>1967</v>
      </c>
      <c r="B716" t="s">
        <v>7007</v>
      </c>
      <c r="C716" t="s">
        <v>7008</v>
      </c>
      <c r="D716" t="s">
        <v>11</v>
      </c>
      <c r="E716" t="s">
        <v>13</v>
      </c>
      <c r="F716" t="s">
        <v>1970</v>
      </c>
      <c r="G716" t="s">
        <v>12</v>
      </c>
      <c r="I716" t="s">
        <v>7007</v>
      </c>
      <c r="J716" t="s">
        <v>8259</v>
      </c>
      <c r="K716" s="11">
        <v>54.349190251381359</v>
      </c>
      <c r="L716" s="9">
        <v>0.15275344486972969</v>
      </c>
      <c r="M716" s="11">
        <v>61.015576137072451</v>
      </c>
      <c r="N716" s="11">
        <v>67.117133750779701</v>
      </c>
    </row>
    <row r="717" spans="1:14">
      <c r="A717" t="s">
        <v>1967</v>
      </c>
      <c r="B717" t="s">
        <v>7009</v>
      </c>
      <c r="C717" t="s">
        <v>7010</v>
      </c>
      <c r="D717" t="s">
        <v>11</v>
      </c>
      <c r="E717" t="s">
        <v>13</v>
      </c>
      <c r="F717" t="s">
        <v>1970</v>
      </c>
      <c r="G717" t="s">
        <v>12</v>
      </c>
      <c r="I717" t="s">
        <v>7009</v>
      </c>
      <c r="J717" t="s">
        <v>8260</v>
      </c>
      <c r="K717" s="11">
        <v>49.934990041041154</v>
      </c>
      <c r="L717" s="9">
        <v>0.1897148669870482</v>
      </c>
      <c r="M717" s="11">
        <v>68.993039227873723</v>
      </c>
      <c r="N717" s="11">
        <v>75.892343150661105</v>
      </c>
    </row>
    <row r="718" spans="1:14">
      <c r="A718" t="s">
        <v>1967</v>
      </c>
      <c r="B718" t="s">
        <v>7011</v>
      </c>
      <c r="C718" t="s">
        <v>7012</v>
      </c>
      <c r="D718" t="s">
        <v>11</v>
      </c>
      <c r="E718" t="s">
        <v>13</v>
      </c>
      <c r="F718" t="s">
        <v>1970</v>
      </c>
      <c r="G718" t="s">
        <v>12</v>
      </c>
      <c r="I718" t="s">
        <v>7011</v>
      </c>
      <c r="J718" t="s">
        <v>8261</v>
      </c>
      <c r="K718" s="11">
        <v>67.434074478216118</v>
      </c>
      <c r="L718" s="9">
        <v>0.148864803520984</v>
      </c>
      <c r="M718" s="11">
        <v>86.467228707102677</v>
      </c>
      <c r="N718" s="11">
        <v>95.113951577812955</v>
      </c>
    </row>
    <row r="719" spans="1:14">
      <c r="A719" t="s">
        <v>1967</v>
      </c>
      <c r="B719" t="s">
        <v>7013</v>
      </c>
      <c r="C719" t="s">
        <v>7014</v>
      </c>
      <c r="D719" t="s">
        <v>11</v>
      </c>
      <c r="E719" t="s">
        <v>13</v>
      </c>
      <c r="F719" t="s">
        <v>1970</v>
      </c>
      <c r="G719" t="s">
        <v>12</v>
      </c>
      <c r="I719" t="s">
        <v>7013</v>
      </c>
      <c r="J719" t="s">
        <v>8262</v>
      </c>
      <c r="K719" s="11">
        <v>38.456695521950678</v>
      </c>
      <c r="L719" s="9">
        <v>0.15971216900902149</v>
      </c>
      <c r="M719" s="11">
        <v>70.807661974473845</v>
      </c>
      <c r="N719" s="11">
        <v>77.888428171921234</v>
      </c>
    </row>
    <row r="720" spans="1:14">
      <c r="A720" t="s">
        <v>1967</v>
      </c>
      <c r="B720" t="s">
        <v>7015</v>
      </c>
      <c r="C720" t="s">
        <v>7016</v>
      </c>
      <c r="D720" t="s">
        <v>11</v>
      </c>
      <c r="E720" t="s">
        <v>13</v>
      </c>
      <c r="F720" t="s">
        <v>1970</v>
      </c>
      <c r="G720" t="s">
        <v>12</v>
      </c>
      <c r="I720" t="s">
        <v>7015</v>
      </c>
      <c r="J720" t="s">
        <v>8263</v>
      </c>
      <c r="K720" s="11">
        <v>29.689990054177027</v>
      </c>
      <c r="L720" s="9">
        <v>0.1447760583490475</v>
      </c>
      <c r="M720" s="10">
        <v>102.15786809339887</v>
      </c>
      <c r="N720" s="10">
        <v>112.37365490273878</v>
      </c>
    </row>
    <row r="721" spans="1:14">
      <c r="A721" t="s">
        <v>1967</v>
      </c>
      <c r="B721" t="s">
        <v>7017</v>
      </c>
      <c r="C721" t="s">
        <v>7018</v>
      </c>
      <c r="D721" t="s">
        <v>11</v>
      </c>
      <c r="E721" t="s">
        <v>13</v>
      </c>
      <c r="F721" t="s">
        <v>1970</v>
      </c>
      <c r="G721" t="s">
        <v>12</v>
      </c>
      <c r="I721" t="s">
        <v>7017</v>
      </c>
      <c r="J721" t="s">
        <v>8264</v>
      </c>
      <c r="K721" s="9">
        <v>2.1928128174175874</v>
      </c>
      <c r="L721" s="9">
        <v>0.15739931655484571</v>
      </c>
      <c r="M721" s="11">
        <v>28.11006464856958</v>
      </c>
      <c r="N721" s="11">
        <v>30.921071113426539</v>
      </c>
    </row>
    <row r="722" spans="1:14">
      <c r="A722" t="s">
        <v>1967</v>
      </c>
      <c r="B722" t="s">
        <v>7019</v>
      </c>
      <c r="C722" t="s">
        <v>7020</v>
      </c>
      <c r="D722" t="s">
        <v>11</v>
      </c>
      <c r="E722" t="s">
        <v>13</v>
      </c>
      <c r="F722" t="s">
        <v>1970</v>
      </c>
      <c r="G722" t="s">
        <v>12</v>
      </c>
      <c r="I722" t="s">
        <v>7019</v>
      </c>
      <c r="J722" t="s">
        <v>8265</v>
      </c>
      <c r="K722" s="9">
        <v>2.8536419255995513</v>
      </c>
      <c r="L722" s="9">
        <v>0.1460108990081373</v>
      </c>
      <c r="M722" s="11">
        <v>35.026220121185439</v>
      </c>
      <c r="N722" s="11">
        <v>38.528842133303989</v>
      </c>
    </row>
    <row r="723" spans="1:14">
      <c r="A723" t="s">
        <v>1967</v>
      </c>
      <c r="B723" t="s">
        <v>7021</v>
      </c>
      <c r="C723" t="s">
        <v>7022</v>
      </c>
      <c r="D723" t="s">
        <v>11</v>
      </c>
      <c r="E723" t="s">
        <v>13</v>
      </c>
      <c r="F723" t="s">
        <v>1970</v>
      </c>
      <c r="G723" t="s">
        <v>12</v>
      </c>
      <c r="I723" t="s">
        <v>7021</v>
      </c>
      <c r="J723" t="s">
        <v>8266</v>
      </c>
      <c r="K723" s="9">
        <v>0.17773520510209165</v>
      </c>
      <c r="L723" s="9">
        <v>0.56640266888923885</v>
      </c>
      <c r="M723" s="10">
        <v>203.19155176281879</v>
      </c>
      <c r="N723" s="10">
        <v>223.51070693910069</v>
      </c>
    </row>
    <row r="724" spans="1:14">
      <c r="A724" t="s">
        <v>1967</v>
      </c>
      <c r="B724" t="s">
        <v>7023</v>
      </c>
      <c r="C724" t="s">
        <v>7024</v>
      </c>
      <c r="D724" t="s">
        <v>11</v>
      </c>
      <c r="E724" t="s">
        <v>13</v>
      </c>
      <c r="F724" t="s">
        <v>1970</v>
      </c>
      <c r="G724" t="s">
        <v>12</v>
      </c>
      <c r="I724" t="s">
        <v>7023</v>
      </c>
      <c r="J724" t="s">
        <v>8267</v>
      </c>
      <c r="K724" s="9">
        <v>1.6941619151902139</v>
      </c>
      <c r="L724" s="9">
        <v>0.30208050933218472</v>
      </c>
      <c r="M724" s="11">
        <v>13.415542296351465</v>
      </c>
      <c r="N724" s="11">
        <v>14.757096525986611</v>
      </c>
    </row>
    <row r="725" spans="1:14">
      <c r="A725" t="s">
        <v>1967</v>
      </c>
      <c r="B725" t="s">
        <v>7025</v>
      </c>
      <c r="C725" t="s">
        <v>7026</v>
      </c>
      <c r="D725" t="s">
        <v>11</v>
      </c>
      <c r="E725" t="s">
        <v>13</v>
      </c>
      <c r="F725" t="s">
        <v>1970</v>
      </c>
      <c r="G725" t="s">
        <v>12</v>
      </c>
      <c r="I725" t="s">
        <v>7025</v>
      </c>
      <c r="J725" t="s">
        <v>8268</v>
      </c>
      <c r="K725" s="9">
        <v>4.8562391890166765</v>
      </c>
      <c r="L725" s="9">
        <v>0.2601298937766382</v>
      </c>
      <c r="M725" s="11">
        <v>43.402690353115673</v>
      </c>
      <c r="N725" s="11">
        <v>47.742959388427245</v>
      </c>
    </row>
    <row r="726" spans="1:14">
      <c r="A726" t="s">
        <v>1967</v>
      </c>
      <c r="B726" t="s">
        <v>7027</v>
      </c>
      <c r="C726" t="s">
        <v>7028</v>
      </c>
      <c r="D726" t="s">
        <v>11</v>
      </c>
      <c r="E726" t="s">
        <v>13</v>
      </c>
      <c r="F726" t="s">
        <v>1970</v>
      </c>
      <c r="G726" t="s">
        <v>12</v>
      </c>
      <c r="I726" t="s">
        <v>7027</v>
      </c>
      <c r="J726" t="s">
        <v>8269</v>
      </c>
      <c r="K726" s="11">
        <v>19.581148871324899</v>
      </c>
      <c r="L726" s="9">
        <v>0.2845574925944116</v>
      </c>
      <c r="M726" s="11">
        <v>84.825791671632317</v>
      </c>
      <c r="N726" s="11">
        <v>93.308370838795554</v>
      </c>
    </row>
    <row r="727" spans="1:14">
      <c r="A727" t="s">
        <v>1967</v>
      </c>
      <c r="B727" t="s">
        <v>7029</v>
      </c>
      <c r="C727" t="s">
        <v>7030</v>
      </c>
      <c r="D727" t="s">
        <v>11</v>
      </c>
      <c r="E727" t="s">
        <v>13</v>
      </c>
      <c r="F727" t="s">
        <v>1970</v>
      </c>
      <c r="G727" t="s">
        <v>12</v>
      </c>
      <c r="I727" t="s">
        <v>7029</v>
      </c>
      <c r="J727" t="s">
        <v>8270</v>
      </c>
      <c r="K727" s="11">
        <v>18.830613193635568</v>
      </c>
      <c r="L727" s="9">
        <v>0.28488962627292452</v>
      </c>
      <c r="M727" s="11">
        <v>85.325017981282301</v>
      </c>
      <c r="N727" s="11">
        <v>93.857519779410538</v>
      </c>
    </row>
    <row r="728" spans="1:14">
      <c r="A728" t="s">
        <v>1967</v>
      </c>
      <c r="B728" t="s">
        <v>7031</v>
      </c>
      <c r="C728" t="s">
        <v>7032</v>
      </c>
      <c r="D728" t="s">
        <v>11</v>
      </c>
      <c r="E728" t="s">
        <v>13</v>
      </c>
      <c r="F728" t="s">
        <v>1970</v>
      </c>
      <c r="G728" t="s">
        <v>12</v>
      </c>
      <c r="I728" t="s">
        <v>7031</v>
      </c>
      <c r="J728" t="s">
        <v>8271</v>
      </c>
      <c r="K728" s="9">
        <v>3.8190470264568313</v>
      </c>
      <c r="L728" s="9">
        <v>0.18883085986309059</v>
      </c>
      <c r="M728" s="11">
        <v>68.430895881116172</v>
      </c>
      <c r="N728" s="11">
        <v>75.273985469227796</v>
      </c>
    </row>
    <row r="729" spans="1:14">
      <c r="A729" t="s">
        <v>1967</v>
      </c>
      <c r="B729" t="s">
        <v>7033</v>
      </c>
      <c r="C729" t="s">
        <v>7034</v>
      </c>
      <c r="D729" t="s">
        <v>11</v>
      </c>
      <c r="E729" t="s">
        <v>13</v>
      </c>
      <c r="F729" t="s">
        <v>1970</v>
      </c>
      <c r="G729" t="s">
        <v>12</v>
      </c>
      <c r="I729" t="s">
        <v>7033</v>
      </c>
      <c r="J729" t="s">
        <v>8272</v>
      </c>
      <c r="K729" s="9">
        <v>6.218153500276113</v>
      </c>
      <c r="L729" s="9">
        <v>0.1821187554957307</v>
      </c>
      <c r="M729" s="11">
        <v>75.996317461131923</v>
      </c>
      <c r="N729" s="11">
        <v>83.595949207245127</v>
      </c>
    </row>
    <row r="730" spans="1:14">
      <c r="A730" t="s">
        <v>1967</v>
      </c>
      <c r="B730" t="s">
        <v>7035</v>
      </c>
      <c r="C730" t="s">
        <v>7036</v>
      </c>
      <c r="D730" t="s">
        <v>11</v>
      </c>
      <c r="E730" t="s">
        <v>13</v>
      </c>
      <c r="F730" t="s">
        <v>1970</v>
      </c>
      <c r="G730" t="s">
        <v>12</v>
      </c>
      <c r="I730" t="s">
        <v>7035</v>
      </c>
      <c r="J730" t="s">
        <v>8273</v>
      </c>
      <c r="K730" s="11">
        <v>16.798326736314582</v>
      </c>
      <c r="L730" s="9">
        <v>0.26440955042003639</v>
      </c>
      <c r="M730" s="10">
        <v>572.6649146915222</v>
      </c>
      <c r="N730" s="10">
        <v>629.93140616067444</v>
      </c>
    </row>
    <row r="731" spans="1:14">
      <c r="A731" t="s">
        <v>1967</v>
      </c>
      <c r="B731" t="s">
        <v>7037</v>
      </c>
      <c r="C731" t="s">
        <v>7036</v>
      </c>
      <c r="D731" t="s">
        <v>11</v>
      </c>
      <c r="E731" t="s">
        <v>13</v>
      </c>
      <c r="F731" t="s">
        <v>1970</v>
      </c>
      <c r="G731" t="s">
        <v>12</v>
      </c>
      <c r="I731" t="s">
        <v>7037</v>
      </c>
      <c r="J731" t="s">
        <v>8274</v>
      </c>
      <c r="K731" s="11">
        <v>15.879714563396917</v>
      </c>
      <c r="L731" s="9">
        <v>0.26825391255278558</v>
      </c>
      <c r="M731" s="10">
        <v>440.12002968741376</v>
      </c>
      <c r="N731" s="10">
        <v>484.13203265615516</v>
      </c>
    </row>
    <row r="732" spans="1:14">
      <c r="A732" t="s">
        <v>1967</v>
      </c>
      <c r="B732" t="s">
        <v>7038</v>
      </c>
      <c r="C732" t="s">
        <v>7039</v>
      </c>
      <c r="D732" t="s">
        <v>11</v>
      </c>
      <c r="E732" t="s">
        <v>13</v>
      </c>
      <c r="F732" t="s">
        <v>1970</v>
      </c>
      <c r="G732" t="s">
        <v>12</v>
      </c>
      <c r="I732" t="s">
        <v>7038</v>
      </c>
      <c r="J732" t="s">
        <v>8275</v>
      </c>
      <c r="K732" s="11">
        <v>14.433466812662116</v>
      </c>
      <c r="L732" s="9">
        <v>0.20040525538312809</v>
      </c>
      <c r="M732" s="10">
        <v>339.39462174138657</v>
      </c>
      <c r="N732" s="10">
        <v>373.33408391552524</v>
      </c>
    </row>
    <row r="733" spans="1:14">
      <c r="A733" t="s">
        <v>1967</v>
      </c>
      <c r="B733" t="s">
        <v>7040</v>
      </c>
      <c r="C733" t="s">
        <v>7036</v>
      </c>
      <c r="D733" t="s">
        <v>11</v>
      </c>
      <c r="E733" t="s">
        <v>13</v>
      </c>
      <c r="F733" t="s">
        <v>1970</v>
      </c>
      <c r="G733" t="s">
        <v>12</v>
      </c>
      <c r="I733" t="s">
        <v>7040</v>
      </c>
      <c r="J733" t="s">
        <v>8276</v>
      </c>
      <c r="K733" s="11">
        <v>19.033316982801171</v>
      </c>
      <c r="L733" s="9">
        <v>0.2725839032489768</v>
      </c>
      <c r="M733" s="10">
        <v>450.56398990028441</v>
      </c>
      <c r="N733" s="10">
        <v>495.62038889031288</v>
      </c>
    </row>
    <row r="734" spans="1:14">
      <c r="A734" t="s">
        <v>1967</v>
      </c>
      <c r="B734" t="s">
        <v>7041</v>
      </c>
      <c r="C734" t="s">
        <v>7042</v>
      </c>
      <c r="D734" t="s">
        <v>11</v>
      </c>
      <c r="E734" t="s">
        <v>13</v>
      </c>
      <c r="F734" t="s">
        <v>1970</v>
      </c>
      <c r="G734" t="s">
        <v>12</v>
      </c>
      <c r="I734" t="s">
        <v>7041</v>
      </c>
      <c r="J734" t="s">
        <v>8277</v>
      </c>
      <c r="K734" s="9">
        <v>2.4818457446808511</v>
      </c>
      <c r="L734" s="9">
        <v>0.29626429699864498</v>
      </c>
      <c r="M734" s="10">
        <v>0</v>
      </c>
      <c r="N734" s="10">
        <v>0</v>
      </c>
    </row>
    <row r="735" spans="1:14">
      <c r="A735" t="s">
        <v>1967</v>
      </c>
      <c r="B735" t="s">
        <v>7043</v>
      </c>
      <c r="C735" t="s">
        <v>7042</v>
      </c>
      <c r="D735" t="s">
        <v>11</v>
      </c>
      <c r="E735" t="s">
        <v>13</v>
      </c>
      <c r="F735" t="s">
        <v>1970</v>
      </c>
      <c r="G735" t="s">
        <v>12</v>
      </c>
      <c r="I735" t="s">
        <v>7043</v>
      </c>
      <c r="J735" t="s">
        <v>8278</v>
      </c>
      <c r="K735" s="9">
        <v>2.0904213549686128</v>
      </c>
      <c r="L735" s="9">
        <v>0.31562864066159341</v>
      </c>
      <c r="M735" s="10">
        <v>0</v>
      </c>
      <c r="N735" s="10">
        <v>0</v>
      </c>
    </row>
    <row r="736" spans="1:14">
      <c r="A736" t="s">
        <v>1967</v>
      </c>
      <c r="B736" t="s">
        <v>7044</v>
      </c>
      <c r="C736" t="s">
        <v>7045</v>
      </c>
      <c r="D736" t="s">
        <v>11</v>
      </c>
      <c r="E736" t="s">
        <v>13</v>
      </c>
      <c r="F736" t="s">
        <v>1970</v>
      </c>
      <c r="G736" t="s">
        <v>12</v>
      </c>
      <c r="I736" t="s">
        <v>7044</v>
      </c>
      <c r="J736" t="s">
        <v>8279</v>
      </c>
      <c r="K736" s="9">
        <v>3.6682956341285879</v>
      </c>
      <c r="L736" s="9">
        <v>0.17646134774798791</v>
      </c>
      <c r="M736" s="11">
        <v>35.410957489413299</v>
      </c>
      <c r="N736" s="11">
        <v>38.95205323835463</v>
      </c>
    </row>
    <row r="737" spans="1:14">
      <c r="A737" t="s">
        <v>1967</v>
      </c>
      <c r="B737" t="s">
        <v>7046</v>
      </c>
      <c r="C737" t="s">
        <v>7047</v>
      </c>
      <c r="D737" t="s">
        <v>11</v>
      </c>
      <c r="E737" t="s">
        <v>13</v>
      </c>
      <c r="F737" t="s">
        <v>1970</v>
      </c>
      <c r="G737" t="s">
        <v>12</v>
      </c>
      <c r="I737" t="s">
        <v>7046</v>
      </c>
      <c r="J737" t="s">
        <v>8280</v>
      </c>
      <c r="K737" s="11">
        <v>42.447064614441814</v>
      </c>
      <c r="L737" s="9">
        <v>0.23297988765026659</v>
      </c>
      <c r="M737" s="11">
        <v>37.994444052873504</v>
      </c>
      <c r="N737" s="11">
        <v>41.793888458160858</v>
      </c>
    </row>
    <row r="738" spans="1:14">
      <c r="A738" t="s">
        <v>1967</v>
      </c>
      <c r="B738" t="s">
        <v>7048</v>
      </c>
      <c r="C738" t="s">
        <v>7049</v>
      </c>
      <c r="D738" t="s">
        <v>11</v>
      </c>
      <c r="E738" t="s">
        <v>13</v>
      </c>
      <c r="F738" t="s">
        <v>1970</v>
      </c>
      <c r="G738" t="s">
        <v>12</v>
      </c>
      <c r="I738" t="s">
        <v>7048</v>
      </c>
      <c r="J738" t="s">
        <v>8281</v>
      </c>
      <c r="K738" s="9">
        <v>7.869323249854026</v>
      </c>
      <c r="L738" s="9">
        <v>0.1806578498744886</v>
      </c>
      <c r="M738" s="11">
        <v>58.106056610443375</v>
      </c>
      <c r="N738" s="11">
        <v>63.916662271487716</v>
      </c>
    </row>
    <row r="739" spans="1:14">
      <c r="A739" t="s">
        <v>1967</v>
      </c>
      <c r="B739" t="s">
        <v>7050</v>
      </c>
      <c r="C739" t="s">
        <v>7051</v>
      </c>
      <c r="D739" t="s">
        <v>11</v>
      </c>
      <c r="E739" t="s">
        <v>13</v>
      </c>
      <c r="F739" t="s">
        <v>1970</v>
      </c>
      <c r="G739" t="s">
        <v>12</v>
      </c>
      <c r="I739" t="s">
        <v>7050</v>
      </c>
      <c r="J739" t="s">
        <v>8282</v>
      </c>
      <c r="K739" s="9">
        <v>0.84084624379407957</v>
      </c>
      <c r="L739" s="9">
        <v>0.11897852997632551</v>
      </c>
      <c r="M739" s="11">
        <v>29.148310400725848</v>
      </c>
      <c r="N739" s="11">
        <v>32.063141440798432</v>
      </c>
    </row>
    <row r="740" spans="1:14">
      <c r="A740" t="s">
        <v>1967</v>
      </c>
      <c r="B740" t="s">
        <v>7052</v>
      </c>
      <c r="C740" t="s">
        <v>7053</v>
      </c>
      <c r="D740" t="s">
        <v>11</v>
      </c>
      <c r="E740" t="s">
        <v>13</v>
      </c>
      <c r="F740" t="s">
        <v>1970</v>
      </c>
      <c r="G740" t="s">
        <v>12</v>
      </c>
      <c r="I740" t="s">
        <v>7052</v>
      </c>
      <c r="J740" t="s">
        <v>8283</v>
      </c>
      <c r="K740" s="9">
        <v>3.2260405544130473</v>
      </c>
      <c r="L740" s="9">
        <v>0.19548008431894301</v>
      </c>
      <c r="M740" s="11">
        <v>50.132270017733056</v>
      </c>
      <c r="N740" s="11">
        <v>55.145497019506365</v>
      </c>
    </row>
    <row r="741" spans="1:14">
      <c r="A741" t="s">
        <v>1967</v>
      </c>
      <c r="B741" t="s">
        <v>7054</v>
      </c>
      <c r="C741" t="s">
        <v>7055</v>
      </c>
      <c r="D741" t="s">
        <v>11</v>
      </c>
      <c r="E741" t="s">
        <v>13</v>
      </c>
      <c r="F741" t="s">
        <v>1970</v>
      </c>
      <c r="G741" t="s">
        <v>12</v>
      </c>
      <c r="I741" t="s">
        <v>7054</v>
      </c>
      <c r="J741" t="s">
        <v>8284</v>
      </c>
      <c r="K741" s="9">
        <v>8.7509096431333191</v>
      </c>
      <c r="L741" s="9">
        <v>0.1920122128842362</v>
      </c>
      <c r="M741" s="11">
        <v>35.900326696635467</v>
      </c>
      <c r="N741" s="11">
        <v>39.490359366299018</v>
      </c>
    </row>
    <row r="742" spans="1:14">
      <c r="A742" t="s">
        <v>1967</v>
      </c>
      <c r="B742" t="s">
        <v>7056</v>
      </c>
      <c r="C742" t="s">
        <v>7057</v>
      </c>
      <c r="D742" t="s">
        <v>11</v>
      </c>
      <c r="E742" t="s">
        <v>13</v>
      </c>
      <c r="F742" t="s">
        <v>1970</v>
      </c>
      <c r="G742" t="s">
        <v>12</v>
      </c>
      <c r="I742" t="s">
        <v>7056</v>
      </c>
      <c r="J742" t="s">
        <v>8285</v>
      </c>
      <c r="K742" s="9">
        <v>4.0671905132711732</v>
      </c>
      <c r="L742" s="9">
        <v>0.1379227338973619</v>
      </c>
      <c r="M742" s="10">
        <v>747.67678441840246</v>
      </c>
      <c r="N742" s="10">
        <v>822.44446286024277</v>
      </c>
    </row>
    <row r="743" spans="1:14">
      <c r="A743" t="s">
        <v>1967</v>
      </c>
      <c r="B743" t="s">
        <v>7058</v>
      </c>
      <c r="C743" t="s">
        <v>7059</v>
      </c>
      <c r="D743" t="s">
        <v>11</v>
      </c>
      <c r="E743" t="s">
        <v>13</v>
      </c>
      <c r="F743" t="s">
        <v>1970</v>
      </c>
      <c r="G743" t="s">
        <v>12</v>
      </c>
      <c r="I743" t="s">
        <v>7058</v>
      </c>
      <c r="J743" t="s">
        <v>8286</v>
      </c>
      <c r="K743" s="11">
        <v>34.968870022468721</v>
      </c>
      <c r="L743" s="9">
        <v>0.23388484129646689</v>
      </c>
      <c r="M743" s="10">
        <v>491.55322252582971</v>
      </c>
      <c r="N743" s="10">
        <v>540.70854477841272</v>
      </c>
    </row>
    <row r="744" spans="1:14">
      <c r="A744" t="s">
        <v>1967</v>
      </c>
      <c r="B744" t="s">
        <v>7060</v>
      </c>
      <c r="C744" t="s">
        <v>7059</v>
      </c>
      <c r="D744" t="s">
        <v>11</v>
      </c>
      <c r="E744" t="s">
        <v>13</v>
      </c>
      <c r="F744" t="s">
        <v>1970</v>
      </c>
      <c r="G744" t="s">
        <v>12</v>
      </c>
      <c r="I744" t="s">
        <v>7060</v>
      </c>
      <c r="J744" t="s">
        <v>8287</v>
      </c>
      <c r="K744" s="11">
        <v>37.216640902038492</v>
      </c>
      <c r="L744" s="9">
        <v>0.25766316537173217</v>
      </c>
      <c r="M744" s="10">
        <v>232.77498379877989</v>
      </c>
      <c r="N744" s="10">
        <v>256.0524821786579</v>
      </c>
    </row>
    <row r="745" spans="1:14">
      <c r="A745" t="s">
        <v>1967</v>
      </c>
      <c r="B745" t="s">
        <v>7061</v>
      </c>
      <c r="C745" t="s">
        <v>7062</v>
      </c>
      <c r="D745" t="s">
        <v>11</v>
      </c>
      <c r="E745" t="s">
        <v>13</v>
      </c>
      <c r="F745" t="s">
        <v>1970</v>
      </c>
      <c r="G745" t="s">
        <v>12</v>
      </c>
      <c r="I745" t="s">
        <v>7061</v>
      </c>
      <c r="J745" t="s">
        <v>8288</v>
      </c>
      <c r="K745" s="11">
        <v>39.56427620471198</v>
      </c>
      <c r="L745" s="9">
        <v>0.236282239961327</v>
      </c>
      <c r="M745" s="10">
        <v>473.91106393037973</v>
      </c>
      <c r="N745" s="10">
        <v>521.30217032341773</v>
      </c>
    </row>
    <row r="746" spans="1:14">
      <c r="A746" t="s">
        <v>1967</v>
      </c>
      <c r="B746" t="s">
        <v>7063</v>
      </c>
      <c r="C746" t="s">
        <v>7064</v>
      </c>
      <c r="D746" t="s">
        <v>11</v>
      </c>
      <c r="E746" t="s">
        <v>13</v>
      </c>
      <c r="F746" t="s">
        <v>1970</v>
      </c>
      <c r="G746" t="s">
        <v>12</v>
      </c>
      <c r="I746" t="s">
        <v>7063</v>
      </c>
      <c r="J746" t="s">
        <v>8289</v>
      </c>
      <c r="K746" s="9">
        <v>2.6841406348518575</v>
      </c>
      <c r="L746" s="9">
        <v>0.1424681502690375</v>
      </c>
      <c r="M746" s="10">
        <v>804.92659313302681</v>
      </c>
      <c r="N746" s="10">
        <v>885.41925244632955</v>
      </c>
    </row>
    <row r="747" spans="1:14">
      <c r="A747" t="s">
        <v>1967</v>
      </c>
      <c r="B747" t="s">
        <v>7065</v>
      </c>
      <c r="C747" t="s">
        <v>7066</v>
      </c>
      <c r="D747" t="s">
        <v>11</v>
      </c>
      <c r="E747" t="s">
        <v>13</v>
      </c>
      <c r="F747" t="s">
        <v>1970</v>
      </c>
      <c r="G747" t="s">
        <v>12</v>
      </c>
      <c r="I747" t="s">
        <v>7065</v>
      </c>
      <c r="J747" t="s">
        <v>8290</v>
      </c>
      <c r="K747" s="11">
        <v>14.947567238835795</v>
      </c>
      <c r="L747" s="9">
        <v>0.17214298984633461</v>
      </c>
      <c r="M747" s="10">
        <v>553.12046482595701</v>
      </c>
      <c r="N747" s="10">
        <v>608.43251130855276</v>
      </c>
    </row>
    <row r="748" spans="1:14">
      <c r="A748" t="s">
        <v>1967</v>
      </c>
      <c r="B748" t="s">
        <v>7067</v>
      </c>
      <c r="C748" t="s">
        <v>7068</v>
      </c>
      <c r="D748" t="s">
        <v>11</v>
      </c>
      <c r="E748" t="s">
        <v>13</v>
      </c>
      <c r="F748" t="s">
        <v>1970</v>
      </c>
      <c r="G748" t="s">
        <v>12</v>
      </c>
      <c r="I748" t="s">
        <v>7067</v>
      </c>
      <c r="J748" t="s">
        <v>8291</v>
      </c>
      <c r="K748" s="11">
        <v>30.659080897646753</v>
      </c>
      <c r="L748" s="9">
        <v>0.25187678770620631</v>
      </c>
      <c r="M748" s="10">
        <v>363.27940025590681</v>
      </c>
      <c r="N748" s="10">
        <v>399.6073402814975</v>
      </c>
    </row>
    <row r="749" spans="1:14">
      <c r="A749" t="s">
        <v>1967</v>
      </c>
      <c r="B749" t="s">
        <v>7069</v>
      </c>
      <c r="C749" t="s">
        <v>7070</v>
      </c>
      <c r="D749" t="s">
        <v>11</v>
      </c>
      <c r="E749" t="s">
        <v>13</v>
      </c>
      <c r="F749" t="s">
        <v>1970</v>
      </c>
      <c r="G749" t="s">
        <v>12</v>
      </c>
      <c r="I749" t="s">
        <v>7069</v>
      </c>
      <c r="J749" t="s">
        <v>8292</v>
      </c>
      <c r="K749" s="11">
        <v>10.868983062144677</v>
      </c>
      <c r="L749" s="9">
        <v>0.24155092981511039</v>
      </c>
      <c r="M749" s="10">
        <v>955.28200977068479</v>
      </c>
      <c r="N749" s="10">
        <v>1050.8102107477534</v>
      </c>
    </row>
    <row r="750" spans="1:14">
      <c r="A750" t="s">
        <v>1967</v>
      </c>
      <c r="B750" t="s">
        <v>7071</v>
      </c>
      <c r="C750" t="s">
        <v>7068</v>
      </c>
      <c r="D750" t="s">
        <v>11</v>
      </c>
      <c r="E750" t="s">
        <v>13</v>
      </c>
      <c r="F750" t="s">
        <v>1970</v>
      </c>
      <c r="G750" t="s">
        <v>12</v>
      </c>
      <c r="I750" t="s">
        <v>7071</v>
      </c>
      <c r="J750" t="s">
        <v>8293</v>
      </c>
      <c r="K750" s="11">
        <v>26.683092838134911</v>
      </c>
      <c r="L750" s="9">
        <v>0.2079520494798236</v>
      </c>
      <c r="M750" s="10">
        <v>154.12779293996095</v>
      </c>
      <c r="N750" s="10">
        <v>169.54057223395705</v>
      </c>
    </row>
    <row r="751" spans="1:14">
      <c r="A751" t="s">
        <v>1967</v>
      </c>
      <c r="B751" t="s">
        <v>7072</v>
      </c>
      <c r="C751" t="s">
        <v>7073</v>
      </c>
      <c r="D751" t="s">
        <v>11</v>
      </c>
      <c r="E751" t="s">
        <v>13</v>
      </c>
      <c r="F751" t="s">
        <v>1970</v>
      </c>
      <c r="G751" t="s">
        <v>12</v>
      </c>
      <c r="I751" t="s">
        <v>7072</v>
      </c>
      <c r="J751" t="s">
        <v>8294</v>
      </c>
      <c r="K751" s="11">
        <v>64.607458329819764</v>
      </c>
      <c r="L751" s="9">
        <v>0.22651065928283851</v>
      </c>
      <c r="M751" s="10">
        <v>212.22907829669529</v>
      </c>
      <c r="N751" s="10">
        <v>233.45198612636483</v>
      </c>
    </row>
    <row r="752" spans="1:14">
      <c r="A752" t="s">
        <v>1967</v>
      </c>
      <c r="B752" t="s">
        <v>7074</v>
      </c>
      <c r="C752" t="s">
        <v>7075</v>
      </c>
      <c r="D752" t="s">
        <v>11</v>
      </c>
      <c r="E752" t="s">
        <v>13</v>
      </c>
      <c r="F752" t="s">
        <v>1970</v>
      </c>
      <c r="G752" t="s">
        <v>12</v>
      </c>
      <c r="I752" t="s">
        <v>7074</v>
      </c>
      <c r="J752" t="s">
        <v>8295</v>
      </c>
      <c r="K752" s="11">
        <v>91.932464366513841</v>
      </c>
      <c r="L752" s="9">
        <v>0.30386345505774509</v>
      </c>
      <c r="M752" s="10">
        <v>108.16259447743739</v>
      </c>
      <c r="N752" s="10">
        <v>118.97885392518114</v>
      </c>
    </row>
    <row r="753" spans="1:14">
      <c r="A753" t="s">
        <v>1967</v>
      </c>
      <c r="B753" t="s">
        <v>7076</v>
      </c>
      <c r="C753" t="s">
        <v>7077</v>
      </c>
      <c r="D753" t="s">
        <v>11</v>
      </c>
      <c r="E753" t="s">
        <v>13</v>
      </c>
      <c r="F753" t="s">
        <v>1970</v>
      </c>
      <c r="G753" t="s">
        <v>12</v>
      </c>
      <c r="I753" t="s">
        <v>7076</v>
      </c>
      <c r="J753" t="s">
        <v>8296</v>
      </c>
      <c r="K753" s="10">
        <v>267.80763061696058</v>
      </c>
      <c r="L753" s="9">
        <v>0.31142318774902161</v>
      </c>
      <c r="M753" s="11">
        <v>99.787856124603834</v>
      </c>
      <c r="N753" s="10">
        <v>109.76664173706423</v>
      </c>
    </row>
    <row r="754" spans="1:14">
      <c r="A754" t="s">
        <v>1967</v>
      </c>
      <c r="B754" t="s">
        <v>7078</v>
      </c>
      <c r="C754" t="s">
        <v>7079</v>
      </c>
      <c r="D754" t="s">
        <v>11</v>
      </c>
      <c r="E754" t="s">
        <v>13</v>
      </c>
      <c r="F754" t="s">
        <v>1970</v>
      </c>
      <c r="G754" t="s">
        <v>12</v>
      </c>
      <c r="I754" t="s">
        <v>7078</v>
      </c>
      <c r="J754" t="s">
        <v>8297</v>
      </c>
      <c r="K754" s="10">
        <v>284.84097130366126</v>
      </c>
      <c r="L754" s="9">
        <v>0.27774283935544591</v>
      </c>
      <c r="M754" s="10">
        <v>105.54205770518509</v>
      </c>
      <c r="N754" s="10">
        <v>116.09626347570361</v>
      </c>
    </row>
    <row r="755" spans="1:14">
      <c r="A755" t="s">
        <v>1967</v>
      </c>
      <c r="B755" t="s">
        <v>7080</v>
      </c>
      <c r="C755" t="s">
        <v>7081</v>
      </c>
      <c r="D755" t="s">
        <v>11</v>
      </c>
      <c r="E755" t="s">
        <v>13</v>
      </c>
      <c r="F755" t="s">
        <v>1970</v>
      </c>
      <c r="G755" t="s">
        <v>12</v>
      </c>
      <c r="I755" t="s">
        <v>7080</v>
      </c>
      <c r="J755" t="s">
        <v>8298</v>
      </c>
      <c r="K755" s="10">
        <v>584.33891284100798</v>
      </c>
      <c r="L755" s="9">
        <v>0.3356409691566476</v>
      </c>
      <c r="M755" s="10">
        <v>133.01601369757745</v>
      </c>
      <c r="N755" s="10">
        <v>146.3176150673352</v>
      </c>
    </row>
    <row r="756" spans="1:14">
      <c r="A756" t="s">
        <v>1967</v>
      </c>
      <c r="B756" t="s">
        <v>7082</v>
      </c>
      <c r="C756" t="s">
        <v>7083</v>
      </c>
      <c r="D756" t="s">
        <v>11</v>
      </c>
      <c r="E756" t="s">
        <v>13</v>
      </c>
      <c r="F756" t="s">
        <v>1970</v>
      </c>
      <c r="G756" t="s">
        <v>12</v>
      </c>
      <c r="I756" t="s">
        <v>7082</v>
      </c>
      <c r="J756" t="s">
        <v>8299</v>
      </c>
      <c r="K756" s="10">
        <v>234.0868609738545</v>
      </c>
      <c r="L756" s="9">
        <v>0.34355535633235179</v>
      </c>
      <c r="M756" s="10">
        <v>117.60544979249326</v>
      </c>
      <c r="N756" s="10">
        <v>129.36599477174261</v>
      </c>
    </row>
    <row r="757" spans="1:14">
      <c r="A757" t="s">
        <v>1967</v>
      </c>
      <c r="B757" t="s">
        <v>7084</v>
      </c>
      <c r="C757" t="s">
        <v>7085</v>
      </c>
      <c r="D757" t="s">
        <v>11</v>
      </c>
      <c r="E757" t="s">
        <v>13</v>
      </c>
      <c r="F757" t="s">
        <v>1970</v>
      </c>
      <c r="G757" t="s">
        <v>12</v>
      </c>
      <c r="I757" t="s">
        <v>7084</v>
      </c>
      <c r="J757" t="s">
        <v>8300</v>
      </c>
      <c r="K757" s="10">
        <v>742.16920423282272</v>
      </c>
      <c r="L757" s="9">
        <v>0.34476977821421317</v>
      </c>
      <c r="M757" s="10">
        <v>112.53317357633622</v>
      </c>
      <c r="N757" s="10">
        <v>123.78649093396986</v>
      </c>
    </row>
    <row r="758" spans="1:14">
      <c r="A758" t="s">
        <v>1967</v>
      </c>
      <c r="B758" t="s">
        <v>7086</v>
      </c>
      <c r="C758" t="s">
        <v>7087</v>
      </c>
      <c r="D758" t="s">
        <v>11</v>
      </c>
      <c r="E758" t="s">
        <v>13</v>
      </c>
      <c r="F758" t="s">
        <v>1970</v>
      </c>
      <c r="G758" t="s">
        <v>12</v>
      </c>
      <c r="I758" t="s">
        <v>7086</v>
      </c>
      <c r="J758" t="s">
        <v>8301</v>
      </c>
      <c r="K758" s="9">
        <v>7.6590026837258725</v>
      </c>
      <c r="L758" s="9">
        <v>0.1480156989127801</v>
      </c>
      <c r="M758" s="10">
        <v>153.23763023885033</v>
      </c>
      <c r="N758" s="10">
        <v>168.56139326273538</v>
      </c>
    </row>
    <row r="759" spans="1:14">
      <c r="A759" t="s">
        <v>1967</v>
      </c>
      <c r="B759" t="s">
        <v>7088</v>
      </c>
      <c r="C759" t="s">
        <v>7089</v>
      </c>
      <c r="D759" t="s">
        <v>11</v>
      </c>
      <c r="E759" t="s">
        <v>13</v>
      </c>
      <c r="F759" t="s">
        <v>1970</v>
      </c>
      <c r="G759" t="s">
        <v>12</v>
      </c>
      <c r="I759" t="s">
        <v>7088</v>
      </c>
      <c r="J759" t="s">
        <v>8302</v>
      </c>
      <c r="K759" s="9">
        <v>4.7167884528084718</v>
      </c>
      <c r="L759" s="9">
        <v>0.21932082699166849</v>
      </c>
      <c r="M759" s="10">
        <v>372.72375075448809</v>
      </c>
      <c r="N759" s="10">
        <v>409.99612582993694</v>
      </c>
    </row>
    <row r="760" spans="1:14">
      <c r="A760" t="s">
        <v>1967</v>
      </c>
      <c r="B760" t="s">
        <v>7090</v>
      </c>
      <c r="C760" t="s">
        <v>7091</v>
      </c>
      <c r="D760" t="s">
        <v>11</v>
      </c>
      <c r="E760" t="s">
        <v>13</v>
      </c>
      <c r="F760" t="s">
        <v>1970</v>
      </c>
      <c r="G760" t="s">
        <v>12</v>
      </c>
      <c r="I760" t="s">
        <v>7090</v>
      </c>
      <c r="J760" t="s">
        <v>8303</v>
      </c>
      <c r="K760" s="10">
        <v>341.74257478137895</v>
      </c>
      <c r="L760" s="9">
        <v>0.36604660960750851</v>
      </c>
      <c r="M760" s="10">
        <v>188.03708330229679</v>
      </c>
      <c r="N760" s="10">
        <v>206.84079163252648</v>
      </c>
    </row>
    <row r="761" spans="1:14">
      <c r="A761" t="s">
        <v>1967</v>
      </c>
      <c r="B761" t="s">
        <v>7092</v>
      </c>
      <c r="C761" t="s">
        <v>7093</v>
      </c>
      <c r="D761" t="s">
        <v>11</v>
      </c>
      <c r="E761" t="s">
        <v>13</v>
      </c>
      <c r="F761" t="s">
        <v>1970</v>
      </c>
      <c r="G761" t="s">
        <v>12</v>
      </c>
      <c r="I761" t="s">
        <v>7092</v>
      </c>
      <c r="J761" t="s">
        <v>8304</v>
      </c>
      <c r="K761" s="11">
        <v>76.226079690643303</v>
      </c>
      <c r="L761" s="9">
        <v>0.31719834914166511</v>
      </c>
      <c r="M761" s="10">
        <v>306.48363061184455</v>
      </c>
      <c r="N761" s="10">
        <v>337.131993673029</v>
      </c>
    </row>
    <row r="762" spans="1:14">
      <c r="A762" t="s">
        <v>1967</v>
      </c>
      <c r="B762" t="s">
        <v>7094</v>
      </c>
      <c r="C762" t="s">
        <v>7095</v>
      </c>
      <c r="D762" t="s">
        <v>11</v>
      </c>
      <c r="E762" t="s">
        <v>13</v>
      </c>
      <c r="F762" t="s">
        <v>1970</v>
      </c>
      <c r="G762" t="s">
        <v>12</v>
      </c>
      <c r="I762" t="s">
        <v>7094</v>
      </c>
      <c r="J762" t="s">
        <v>8305</v>
      </c>
      <c r="K762" s="11">
        <v>48.484450120150179</v>
      </c>
      <c r="L762" s="9">
        <v>0.23044535594681581</v>
      </c>
      <c r="M762" s="10">
        <v>233.75702236385985</v>
      </c>
      <c r="N762" s="10">
        <v>257.13272460024587</v>
      </c>
    </row>
    <row r="763" spans="1:14">
      <c r="A763" t="s">
        <v>1967</v>
      </c>
      <c r="B763" t="s">
        <v>7096</v>
      </c>
      <c r="C763" t="s">
        <v>7097</v>
      </c>
      <c r="D763" t="s">
        <v>11</v>
      </c>
      <c r="E763" t="s">
        <v>13</v>
      </c>
      <c r="F763" t="s">
        <v>1970</v>
      </c>
      <c r="G763" t="s">
        <v>12</v>
      </c>
      <c r="I763" t="s">
        <v>7096</v>
      </c>
      <c r="J763" t="s">
        <v>8306</v>
      </c>
      <c r="K763" s="10">
        <v>203.85627467607333</v>
      </c>
      <c r="L763" s="9">
        <v>0.3376419513146105</v>
      </c>
      <c r="M763" s="10">
        <v>193.59442016615117</v>
      </c>
      <c r="N763" s="10">
        <v>212.9538621827663</v>
      </c>
    </row>
    <row r="764" spans="1:14">
      <c r="A764" t="s">
        <v>1967</v>
      </c>
      <c r="B764" t="s">
        <v>7098</v>
      </c>
      <c r="C764" t="s">
        <v>7099</v>
      </c>
      <c r="D764" t="s">
        <v>11</v>
      </c>
      <c r="E764" t="s">
        <v>13</v>
      </c>
      <c r="F764" t="s">
        <v>1970</v>
      </c>
      <c r="G764" t="s">
        <v>12</v>
      </c>
      <c r="I764" t="s">
        <v>7098</v>
      </c>
      <c r="J764" t="s">
        <v>8307</v>
      </c>
      <c r="K764" s="10">
        <v>348.55423871434198</v>
      </c>
      <c r="L764" s="9">
        <v>0.35899832403386789</v>
      </c>
      <c r="M764" s="10">
        <v>270.97518257375168</v>
      </c>
      <c r="N764" s="10">
        <v>298.07270083112689</v>
      </c>
    </row>
    <row r="765" spans="1:14">
      <c r="A765" t="s">
        <v>1967</v>
      </c>
      <c r="B765" t="s">
        <v>7100</v>
      </c>
      <c r="C765" t="s">
        <v>7101</v>
      </c>
      <c r="D765" t="s">
        <v>11</v>
      </c>
      <c r="E765" t="s">
        <v>13</v>
      </c>
      <c r="F765" t="s">
        <v>1970</v>
      </c>
      <c r="G765" t="s">
        <v>12</v>
      </c>
      <c r="I765" t="s">
        <v>7100</v>
      </c>
      <c r="J765" t="s">
        <v>8308</v>
      </c>
      <c r="K765" s="12">
        <v>1.273191443167131E-2</v>
      </c>
      <c r="L765" s="13">
        <v>8.6134485468077008E-3</v>
      </c>
      <c r="M765" s="11">
        <v>17.603702179662044</v>
      </c>
      <c r="N765" s="11">
        <v>19.364072397628249</v>
      </c>
    </row>
    <row r="766" spans="1:14">
      <c r="A766" t="s">
        <v>1967</v>
      </c>
      <c r="B766" t="s">
        <v>7102</v>
      </c>
      <c r="C766" t="s">
        <v>7103</v>
      </c>
      <c r="D766" t="s">
        <v>11</v>
      </c>
      <c r="E766" t="s">
        <v>13</v>
      </c>
      <c r="F766" t="s">
        <v>1970</v>
      </c>
      <c r="G766" t="s">
        <v>12</v>
      </c>
      <c r="I766" t="s">
        <v>7102</v>
      </c>
      <c r="J766" t="s">
        <v>8309</v>
      </c>
      <c r="K766" s="12">
        <v>7.9186961746445017E-2</v>
      </c>
      <c r="L766" s="13">
        <v>3.2252417848006999E-3</v>
      </c>
      <c r="M766" s="11">
        <v>23.485838286648217</v>
      </c>
      <c r="N766" s="11">
        <v>25.834422115313043</v>
      </c>
    </row>
    <row r="767" spans="1:14">
      <c r="A767" t="s">
        <v>1967</v>
      </c>
      <c r="B767" t="s">
        <v>7104</v>
      </c>
      <c r="C767" t="s">
        <v>7105</v>
      </c>
      <c r="D767" t="s">
        <v>11</v>
      </c>
      <c r="E767" t="s">
        <v>13</v>
      </c>
      <c r="F767" t="s">
        <v>1970</v>
      </c>
      <c r="G767" t="s">
        <v>12</v>
      </c>
      <c r="I767" t="s">
        <v>7104</v>
      </c>
      <c r="J767" t="s">
        <v>8310</v>
      </c>
      <c r="K767" s="11">
        <v>91.681810754239009</v>
      </c>
      <c r="L767" s="9">
        <v>0.30876950094927808</v>
      </c>
      <c r="M767" s="10">
        <v>160.57930148882144</v>
      </c>
      <c r="N767" s="10">
        <v>176.63723163770359</v>
      </c>
    </row>
    <row r="768" spans="1:14">
      <c r="A768" t="s">
        <v>1967</v>
      </c>
      <c r="B768" t="s">
        <v>7106</v>
      </c>
      <c r="C768" t="s">
        <v>7107</v>
      </c>
      <c r="D768" t="s">
        <v>11</v>
      </c>
      <c r="E768" t="s">
        <v>13</v>
      </c>
      <c r="F768" t="s">
        <v>1970</v>
      </c>
      <c r="G768" t="s">
        <v>12</v>
      </c>
      <c r="I768" t="s">
        <v>7106</v>
      </c>
      <c r="J768" t="s">
        <v>8311</v>
      </c>
      <c r="K768" s="10">
        <v>201.00633492543997</v>
      </c>
      <c r="L768" s="9">
        <v>0.3270806017966732</v>
      </c>
      <c r="M768" s="10">
        <v>256.58868489678525</v>
      </c>
      <c r="N768" s="10">
        <v>282.24755338646378</v>
      </c>
    </row>
    <row r="769" spans="1:14">
      <c r="A769" t="s">
        <v>1967</v>
      </c>
      <c r="B769" t="s">
        <v>7108</v>
      </c>
      <c r="C769" t="s">
        <v>7105</v>
      </c>
      <c r="D769" t="s">
        <v>11</v>
      </c>
      <c r="E769" t="s">
        <v>13</v>
      </c>
      <c r="F769" t="s">
        <v>1970</v>
      </c>
      <c r="G769" t="s">
        <v>12</v>
      </c>
      <c r="I769" t="s">
        <v>7108</v>
      </c>
      <c r="J769" t="s">
        <v>8312</v>
      </c>
      <c r="K769" s="10">
        <v>263.70066181283642</v>
      </c>
      <c r="L769" s="9">
        <v>0.2511725772934767</v>
      </c>
      <c r="M769" s="10">
        <v>636.82506361377796</v>
      </c>
      <c r="N769" s="10">
        <v>700.50756997515577</v>
      </c>
    </row>
    <row r="770" spans="1:14">
      <c r="A770" t="s">
        <v>1967</v>
      </c>
      <c r="B770" t="s">
        <v>7109</v>
      </c>
      <c r="C770" t="s">
        <v>7107</v>
      </c>
      <c r="D770" t="s">
        <v>11</v>
      </c>
      <c r="E770" t="s">
        <v>13</v>
      </c>
      <c r="F770" t="s">
        <v>1970</v>
      </c>
      <c r="G770" t="s">
        <v>12</v>
      </c>
      <c r="I770" t="s">
        <v>7109</v>
      </c>
      <c r="J770" t="s">
        <v>8313</v>
      </c>
      <c r="K770" s="10">
        <v>133.15504723322252</v>
      </c>
      <c r="L770" s="9">
        <v>0.24318647065118709</v>
      </c>
      <c r="M770" s="10">
        <v>602.74789300974408</v>
      </c>
      <c r="N770" s="10">
        <v>663.02268231071855</v>
      </c>
    </row>
    <row r="771" spans="1:14">
      <c r="A771" t="s">
        <v>1967</v>
      </c>
      <c r="B771" t="s">
        <v>7110</v>
      </c>
      <c r="C771" t="s">
        <v>7107</v>
      </c>
      <c r="D771" t="s">
        <v>11</v>
      </c>
      <c r="E771" t="s">
        <v>13</v>
      </c>
      <c r="F771" t="s">
        <v>1970</v>
      </c>
      <c r="G771" t="s">
        <v>12</v>
      </c>
      <c r="I771" t="s">
        <v>7110</v>
      </c>
      <c r="J771" t="s">
        <v>8314</v>
      </c>
      <c r="K771" s="10">
        <v>132.49185278458586</v>
      </c>
      <c r="L771" s="9">
        <v>0.2391768038724279</v>
      </c>
      <c r="M771" s="10">
        <v>305.6977878620101</v>
      </c>
      <c r="N771" s="10">
        <v>336.26756664821113</v>
      </c>
    </row>
    <row r="772" spans="1:14">
      <c r="A772" t="s">
        <v>1967</v>
      </c>
      <c r="B772" t="s">
        <v>7111</v>
      </c>
      <c r="C772" t="s">
        <v>7112</v>
      </c>
      <c r="D772" t="s">
        <v>11</v>
      </c>
      <c r="E772" t="s">
        <v>13</v>
      </c>
      <c r="F772" t="s">
        <v>1970</v>
      </c>
      <c r="G772" t="s">
        <v>12</v>
      </c>
      <c r="I772" t="s">
        <v>7111</v>
      </c>
      <c r="J772" t="s">
        <v>8315</v>
      </c>
      <c r="K772" s="10">
        <v>146.45173655148841</v>
      </c>
      <c r="L772" s="9">
        <v>0.26607510473451401</v>
      </c>
      <c r="M772" s="10">
        <v>206.61360608394497</v>
      </c>
      <c r="N772" s="10">
        <v>227.27496669233949</v>
      </c>
    </row>
    <row r="773" spans="1:14">
      <c r="A773" t="s">
        <v>1967</v>
      </c>
      <c r="B773" t="s">
        <v>7113</v>
      </c>
      <c r="C773" t="s">
        <v>7114</v>
      </c>
      <c r="D773" t="s">
        <v>11</v>
      </c>
      <c r="E773" t="s">
        <v>13</v>
      </c>
      <c r="F773" t="s">
        <v>1970</v>
      </c>
      <c r="G773" t="s">
        <v>12</v>
      </c>
      <c r="I773" t="s">
        <v>7113</v>
      </c>
      <c r="J773" t="s">
        <v>8316</v>
      </c>
      <c r="K773" s="10">
        <v>104.57265036389285</v>
      </c>
      <c r="L773" s="9">
        <v>0.1482135267767731</v>
      </c>
      <c r="M773" s="10">
        <v>173.54977283944481</v>
      </c>
      <c r="N773" s="10">
        <v>190.90475012338931</v>
      </c>
    </row>
    <row r="774" spans="1:14">
      <c r="A774" t="s">
        <v>1967</v>
      </c>
      <c r="B774" t="s">
        <v>7115</v>
      </c>
      <c r="C774" t="s">
        <v>7116</v>
      </c>
      <c r="D774" t="s">
        <v>11</v>
      </c>
      <c r="E774" t="s">
        <v>13</v>
      </c>
      <c r="F774" t="s">
        <v>1970</v>
      </c>
      <c r="G774" t="s">
        <v>12</v>
      </c>
      <c r="I774" t="s">
        <v>7115</v>
      </c>
      <c r="J774" t="s">
        <v>8317</v>
      </c>
      <c r="K774" s="11">
        <v>30.376334398580372</v>
      </c>
      <c r="L774" s="9">
        <v>0.23382810235283841</v>
      </c>
      <c r="M774" s="10">
        <v>170.7216471321949</v>
      </c>
      <c r="N774" s="10">
        <v>187.79381184541441</v>
      </c>
    </row>
    <row r="775" spans="1:14">
      <c r="A775" t="s">
        <v>1967</v>
      </c>
      <c r="B775" t="s">
        <v>7117</v>
      </c>
      <c r="C775" t="s">
        <v>7118</v>
      </c>
      <c r="D775" t="s">
        <v>11</v>
      </c>
      <c r="E775" t="s">
        <v>13</v>
      </c>
      <c r="F775" t="s">
        <v>1970</v>
      </c>
      <c r="G775" t="s">
        <v>12</v>
      </c>
      <c r="I775" t="s">
        <v>7117</v>
      </c>
      <c r="J775" t="s">
        <v>8318</v>
      </c>
      <c r="K775" s="10">
        <v>148.03939231616255</v>
      </c>
      <c r="L775" s="9">
        <v>0.28351462943758071</v>
      </c>
      <c r="M775" s="10">
        <v>256.51070713042259</v>
      </c>
      <c r="N775" s="10">
        <v>282.16177784346485</v>
      </c>
    </row>
    <row r="776" spans="1:14">
      <c r="A776" t="s">
        <v>1967</v>
      </c>
      <c r="B776" t="s">
        <v>7119</v>
      </c>
      <c r="C776" t="s">
        <v>7120</v>
      </c>
      <c r="D776" t="s">
        <v>11</v>
      </c>
      <c r="E776" t="s">
        <v>13</v>
      </c>
      <c r="F776" t="s">
        <v>1970</v>
      </c>
      <c r="G776" t="s">
        <v>12</v>
      </c>
      <c r="I776" t="s">
        <v>7119</v>
      </c>
      <c r="J776" t="s">
        <v>8319</v>
      </c>
      <c r="K776" s="11">
        <v>79.775381663625936</v>
      </c>
      <c r="L776" s="9">
        <v>0.24035966791772281</v>
      </c>
      <c r="M776" s="10">
        <v>622.07714836940283</v>
      </c>
      <c r="N776" s="10">
        <v>684.28486320634318</v>
      </c>
    </row>
    <row r="777" spans="1:14">
      <c r="A777" t="s">
        <v>1967</v>
      </c>
      <c r="B777" t="s">
        <v>7121</v>
      </c>
      <c r="C777" t="s">
        <v>7112</v>
      </c>
      <c r="D777" t="s">
        <v>11</v>
      </c>
      <c r="E777" t="s">
        <v>13</v>
      </c>
      <c r="F777" t="s">
        <v>1970</v>
      </c>
      <c r="G777" t="s">
        <v>12</v>
      </c>
      <c r="I777" t="s">
        <v>7121</v>
      </c>
      <c r="J777" t="s">
        <v>8320</v>
      </c>
      <c r="K777" s="10">
        <v>171.56050178366306</v>
      </c>
      <c r="L777" s="9">
        <v>0.3371224681983277</v>
      </c>
      <c r="M777" s="10">
        <v>348.99551733615323</v>
      </c>
      <c r="N777" s="10">
        <v>383.89506906976857</v>
      </c>
    </row>
    <row r="778" spans="1:14">
      <c r="A778" t="s">
        <v>1967</v>
      </c>
      <c r="B778" t="s">
        <v>7122</v>
      </c>
      <c r="C778" t="s">
        <v>7123</v>
      </c>
      <c r="D778" t="s">
        <v>11</v>
      </c>
      <c r="E778" t="s">
        <v>13</v>
      </c>
      <c r="F778" t="s">
        <v>1970</v>
      </c>
      <c r="G778" t="s">
        <v>12</v>
      </c>
      <c r="I778" t="s">
        <v>7122</v>
      </c>
      <c r="J778" t="s">
        <v>8321</v>
      </c>
      <c r="K778" s="10">
        <v>274.35650202280254</v>
      </c>
      <c r="L778" s="9">
        <v>0.2748836215362418</v>
      </c>
      <c r="M778" s="10">
        <v>285.78694309899623</v>
      </c>
      <c r="N778" s="10">
        <v>314.36563740889591</v>
      </c>
    </row>
    <row r="779" spans="1:14">
      <c r="A779" t="s">
        <v>1967</v>
      </c>
      <c r="B779" t="s">
        <v>7124</v>
      </c>
      <c r="C779" t="s">
        <v>7125</v>
      </c>
      <c r="D779" t="s">
        <v>11</v>
      </c>
      <c r="E779" t="s">
        <v>13</v>
      </c>
      <c r="F779" t="s">
        <v>1970</v>
      </c>
      <c r="G779" t="s">
        <v>12</v>
      </c>
      <c r="I779" t="s">
        <v>7124</v>
      </c>
      <c r="J779" t="s">
        <v>8322</v>
      </c>
      <c r="K779" s="10">
        <v>136.73218642624767</v>
      </c>
      <c r="L779" s="9">
        <v>0.29790963257723369</v>
      </c>
      <c r="M779" s="10">
        <v>588.53473582368156</v>
      </c>
      <c r="N779" s="10">
        <v>647.38820940604978</v>
      </c>
    </row>
    <row r="780" spans="1:14">
      <c r="A780" t="s">
        <v>1967</v>
      </c>
      <c r="B780" t="s">
        <v>7126</v>
      </c>
      <c r="C780" t="s">
        <v>7127</v>
      </c>
      <c r="D780" t="s">
        <v>11</v>
      </c>
      <c r="E780" t="s">
        <v>13</v>
      </c>
      <c r="F780" t="s">
        <v>1970</v>
      </c>
      <c r="G780" t="s">
        <v>12</v>
      </c>
      <c r="I780" t="s">
        <v>7126</v>
      </c>
      <c r="J780" t="s">
        <v>8323</v>
      </c>
      <c r="K780" s="10">
        <v>157.21470750767944</v>
      </c>
      <c r="L780" s="9">
        <v>0.3264121139511707</v>
      </c>
      <c r="M780" s="10">
        <v>343.77291222921542</v>
      </c>
      <c r="N780" s="10">
        <v>378.15020345213702</v>
      </c>
    </row>
    <row r="781" spans="1:14">
      <c r="A781" t="s">
        <v>1967</v>
      </c>
      <c r="B781" t="s">
        <v>7128</v>
      </c>
      <c r="C781" t="s">
        <v>7129</v>
      </c>
      <c r="D781" t="s">
        <v>11</v>
      </c>
      <c r="E781" t="s">
        <v>13</v>
      </c>
      <c r="F781" t="s">
        <v>1970</v>
      </c>
      <c r="G781" t="s">
        <v>12</v>
      </c>
      <c r="I781" t="s">
        <v>7128</v>
      </c>
      <c r="J781" t="s">
        <v>8324</v>
      </c>
      <c r="K781" s="11">
        <v>59.239539437463101</v>
      </c>
      <c r="L781" s="9">
        <v>0.1918690423874968</v>
      </c>
      <c r="M781" s="10">
        <v>604.55906194794682</v>
      </c>
      <c r="N781" s="10">
        <v>665.01496814274151</v>
      </c>
    </row>
    <row r="782" spans="1:14">
      <c r="A782" t="s">
        <v>1967</v>
      </c>
      <c r="B782" t="s">
        <v>7130</v>
      </c>
      <c r="C782" t="s">
        <v>7131</v>
      </c>
      <c r="D782" t="s">
        <v>11</v>
      </c>
      <c r="E782" t="s">
        <v>13</v>
      </c>
      <c r="F782" t="s">
        <v>1970</v>
      </c>
      <c r="G782" t="s">
        <v>12</v>
      </c>
      <c r="I782" t="s">
        <v>7130</v>
      </c>
      <c r="J782" t="s">
        <v>8325</v>
      </c>
      <c r="K782" s="10">
        <v>131.98092421278946</v>
      </c>
      <c r="L782" s="9">
        <v>0.25275566836356222</v>
      </c>
      <c r="M782" s="10">
        <v>420.6228299277555</v>
      </c>
      <c r="N782" s="10">
        <v>462.68511292053108</v>
      </c>
    </row>
    <row r="783" spans="1:14">
      <c r="A783" t="s">
        <v>1967</v>
      </c>
      <c r="B783" t="s">
        <v>7132</v>
      </c>
      <c r="C783" t="s">
        <v>7133</v>
      </c>
      <c r="D783" t="s">
        <v>11</v>
      </c>
      <c r="E783" t="s">
        <v>13</v>
      </c>
      <c r="F783" t="s">
        <v>1970</v>
      </c>
      <c r="G783" t="s">
        <v>12</v>
      </c>
      <c r="I783" t="s">
        <v>7132</v>
      </c>
      <c r="J783" t="s">
        <v>8326</v>
      </c>
      <c r="K783" s="10">
        <v>378.32016972528987</v>
      </c>
      <c r="L783" s="9">
        <v>0.44417928177937488</v>
      </c>
      <c r="M783" s="10">
        <v>533.84043937262379</v>
      </c>
      <c r="N783" s="10">
        <v>587.22448330988618</v>
      </c>
    </row>
    <row r="784" spans="1:14">
      <c r="A784" t="s">
        <v>1967</v>
      </c>
      <c r="B784" t="s">
        <v>7134</v>
      </c>
      <c r="C784" t="s">
        <v>7135</v>
      </c>
      <c r="D784" t="s">
        <v>11</v>
      </c>
      <c r="E784" t="s">
        <v>13</v>
      </c>
      <c r="F784" t="s">
        <v>1970</v>
      </c>
      <c r="G784" t="s">
        <v>12</v>
      </c>
      <c r="I784" t="s">
        <v>7134</v>
      </c>
      <c r="J784" t="s">
        <v>8327</v>
      </c>
      <c r="K784" s="10">
        <v>151.23623958614778</v>
      </c>
      <c r="L784" s="9">
        <v>0.34330832518023963</v>
      </c>
      <c r="M784" s="10">
        <v>611.1158935427635</v>
      </c>
      <c r="N784" s="10">
        <v>672.22748289703986</v>
      </c>
    </row>
    <row r="785" spans="1:14">
      <c r="A785" t="s">
        <v>1967</v>
      </c>
      <c r="B785" t="s">
        <v>7136</v>
      </c>
      <c r="C785" t="s">
        <v>7133</v>
      </c>
      <c r="D785" t="s">
        <v>11</v>
      </c>
      <c r="E785" t="s">
        <v>13</v>
      </c>
      <c r="F785" t="s">
        <v>1970</v>
      </c>
      <c r="G785" t="s">
        <v>12</v>
      </c>
      <c r="I785" t="s">
        <v>7136</v>
      </c>
      <c r="J785" t="s">
        <v>8328</v>
      </c>
      <c r="K785" s="10">
        <v>205.53346974962878</v>
      </c>
      <c r="L785" s="9">
        <v>0.3317989833117071</v>
      </c>
      <c r="M785" s="10">
        <v>812.55506080128896</v>
      </c>
      <c r="N785" s="10">
        <v>893.81056688141791</v>
      </c>
    </row>
    <row r="786" spans="1:14">
      <c r="A786" t="s">
        <v>1967</v>
      </c>
      <c r="B786" t="s">
        <v>7137</v>
      </c>
      <c r="C786" t="s">
        <v>7138</v>
      </c>
      <c r="D786" t="s">
        <v>11</v>
      </c>
      <c r="E786" t="s">
        <v>13</v>
      </c>
      <c r="F786" t="s">
        <v>1970</v>
      </c>
      <c r="G786" t="s">
        <v>12</v>
      </c>
      <c r="I786" t="s">
        <v>7137</v>
      </c>
      <c r="J786" t="s">
        <v>8329</v>
      </c>
      <c r="K786" s="11">
        <v>23.938817174608339</v>
      </c>
      <c r="L786" s="9">
        <v>0.15811337875160389</v>
      </c>
      <c r="M786" s="10">
        <v>246.82081074779649</v>
      </c>
      <c r="N786" s="10">
        <v>271.50289182257615</v>
      </c>
    </row>
    <row r="787" spans="1:14">
      <c r="A787" t="s">
        <v>1967</v>
      </c>
      <c r="B787" t="s">
        <v>7139</v>
      </c>
      <c r="C787" t="s">
        <v>7138</v>
      </c>
      <c r="D787" t="s">
        <v>11</v>
      </c>
      <c r="E787" t="s">
        <v>13</v>
      </c>
      <c r="F787" t="s">
        <v>1970</v>
      </c>
      <c r="G787" t="s">
        <v>12</v>
      </c>
      <c r="I787" t="s">
        <v>7139</v>
      </c>
      <c r="J787" t="s">
        <v>8330</v>
      </c>
      <c r="K787" s="11">
        <v>56.431887620753614</v>
      </c>
      <c r="L787" s="9">
        <v>0.1793021578861258</v>
      </c>
      <c r="M787" s="10">
        <v>216.19355957762883</v>
      </c>
      <c r="N787" s="10">
        <v>237.81291553539174</v>
      </c>
    </row>
    <row r="788" spans="1:14">
      <c r="A788" t="s">
        <v>1967</v>
      </c>
      <c r="B788" t="s">
        <v>7140</v>
      </c>
      <c r="C788" t="s">
        <v>7138</v>
      </c>
      <c r="D788" t="s">
        <v>11</v>
      </c>
      <c r="E788" t="s">
        <v>13</v>
      </c>
      <c r="F788" t="s">
        <v>1970</v>
      </c>
      <c r="G788" t="s">
        <v>12</v>
      </c>
      <c r="I788" t="s">
        <v>7140</v>
      </c>
      <c r="J788" t="s">
        <v>8331</v>
      </c>
      <c r="K788" s="10">
        <v>120.3220161152425</v>
      </c>
      <c r="L788" s="9">
        <v>0.3617443683847093</v>
      </c>
      <c r="M788" s="10">
        <v>316.23608752376242</v>
      </c>
      <c r="N788" s="10">
        <v>347.85969627613866</v>
      </c>
    </row>
    <row r="789" spans="1:14">
      <c r="A789" t="s">
        <v>1967</v>
      </c>
      <c r="B789" t="s">
        <v>7141</v>
      </c>
      <c r="C789" t="s">
        <v>7138</v>
      </c>
      <c r="D789" t="s">
        <v>11</v>
      </c>
      <c r="E789" t="s">
        <v>13</v>
      </c>
      <c r="F789" t="s">
        <v>1970</v>
      </c>
      <c r="G789" t="s">
        <v>12</v>
      </c>
      <c r="I789" t="s">
        <v>7141</v>
      </c>
      <c r="J789" t="s">
        <v>8332</v>
      </c>
      <c r="K789" s="11">
        <v>83.491913414438642</v>
      </c>
      <c r="L789" s="9">
        <v>0.35691129322538878</v>
      </c>
      <c r="M789" s="10">
        <v>171.18672288066884</v>
      </c>
      <c r="N789" s="10">
        <v>188.30539516873574</v>
      </c>
    </row>
    <row r="790" spans="1:14">
      <c r="A790" t="s">
        <v>1967</v>
      </c>
      <c r="B790" t="s">
        <v>7142</v>
      </c>
      <c r="C790" t="s">
        <v>7143</v>
      </c>
      <c r="D790" t="s">
        <v>11</v>
      </c>
      <c r="E790" t="s">
        <v>13</v>
      </c>
      <c r="F790" t="s">
        <v>1970</v>
      </c>
      <c r="G790" t="s">
        <v>12</v>
      </c>
      <c r="I790" t="s">
        <v>7142</v>
      </c>
      <c r="J790" t="s">
        <v>8333</v>
      </c>
      <c r="K790" s="10">
        <v>282.41325855732288</v>
      </c>
      <c r="L790" s="9">
        <v>0.40566845389631179</v>
      </c>
      <c r="M790" s="10">
        <v>280.83664761799002</v>
      </c>
      <c r="N790" s="10">
        <v>308.92031237978904</v>
      </c>
    </row>
    <row r="791" spans="1:14">
      <c r="A791" t="s">
        <v>1967</v>
      </c>
      <c r="B791" t="s">
        <v>7144</v>
      </c>
      <c r="C791" t="s">
        <v>7135</v>
      </c>
      <c r="D791" t="s">
        <v>11</v>
      </c>
      <c r="E791" t="s">
        <v>13</v>
      </c>
      <c r="F791" t="s">
        <v>1970</v>
      </c>
      <c r="G791" t="s">
        <v>12</v>
      </c>
      <c r="I791" t="s">
        <v>7144</v>
      </c>
      <c r="J791" t="s">
        <v>8334</v>
      </c>
      <c r="K791" s="11">
        <v>49.574396388390014</v>
      </c>
      <c r="L791" s="9">
        <v>0.32973772936751727</v>
      </c>
      <c r="M791" s="10">
        <v>276.25807454588414</v>
      </c>
      <c r="N791" s="10">
        <v>303.88388200047257</v>
      </c>
    </row>
    <row r="792" spans="1:14">
      <c r="A792" t="s">
        <v>1967</v>
      </c>
      <c r="B792" t="s">
        <v>7145</v>
      </c>
      <c r="C792" t="s">
        <v>7143</v>
      </c>
      <c r="D792" t="s">
        <v>11</v>
      </c>
      <c r="E792" t="s">
        <v>13</v>
      </c>
      <c r="F792" t="s">
        <v>1970</v>
      </c>
      <c r="G792" t="s">
        <v>12</v>
      </c>
      <c r="I792" t="s">
        <v>7145</v>
      </c>
      <c r="J792" t="s">
        <v>8335</v>
      </c>
      <c r="K792" s="10">
        <v>171.19168407623695</v>
      </c>
      <c r="L792" s="9">
        <v>0.32816514779397737</v>
      </c>
      <c r="M792" s="10">
        <v>438.98008567323359</v>
      </c>
      <c r="N792" s="10">
        <v>482.878094240557</v>
      </c>
    </row>
    <row r="793" spans="1:14">
      <c r="A793" t="s">
        <v>1967</v>
      </c>
      <c r="B793" t="s">
        <v>7146</v>
      </c>
      <c r="C793" t="s">
        <v>7147</v>
      </c>
      <c r="D793" t="s">
        <v>11</v>
      </c>
      <c r="E793" t="s">
        <v>13</v>
      </c>
      <c r="F793" t="s">
        <v>1970</v>
      </c>
      <c r="G793" t="s">
        <v>12</v>
      </c>
      <c r="I793" t="s">
        <v>7146</v>
      </c>
      <c r="J793" t="s">
        <v>8336</v>
      </c>
      <c r="K793" s="11">
        <v>44.806327415452849</v>
      </c>
      <c r="L793" s="9">
        <v>0.2268667595065699</v>
      </c>
      <c r="M793" s="10">
        <v>380.41601493911912</v>
      </c>
      <c r="N793" s="10">
        <v>418.45761643303109</v>
      </c>
    </row>
    <row r="794" spans="1:14">
      <c r="A794" t="s">
        <v>1967</v>
      </c>
      <c r="B794" t="s">
        <v>7148</v>
      </c>
      <c r="C794" t="s">
        <v>7149</v>
      </c>
      <c r="D794" t="s">
        <v>11</v>
      </c>
      <c r="E794" t="s">
        <v>13</v>
      </c>
      <c r="F794" t="s">
        <v>1970</v>
      </c>
      <c r="G794" t="s">
        <v>12</v>
      </c>
      <c r="I794" t="s">
        <v>7148</v>
      </c>
      <c r="J794" t="s">
        <v>8337</v>
      </c>
      <c r="K794" s="10">
        <v>120.16290341188483</v>
      </c>
      <c r="L794" s="9">
        <v>0.3258894876567518</v>
      </c>
      <c r="M794" s="10">
        <v>166.65452355049246</v>
      </c>
      <c r="N794" s="10">
        <v>183.31997590554172</v>
      </c>
    </row>
    <row r="795" spans="1:14">
      <c r="A795" t="s">
        <v>1967</v>
      </c>
      <c r="B795" t="s">
        <v>7150</v>
      </c>
      <c r="C795" t="s">
        <v>7151</v>
      </c>
      <c r="D795" t="s">
        <v>11</v>
      </c>
      <c r="E795" t="s">
        <v>13</v>
      </c>
      <c r="F795" t="s">
        <v>1970</v>
      </c>
      <c r="G795" t="s">
        <v>12</v>
      </c>
      <c r="I795" t="s">
        <v>7150</v>
      </c>
      <c r="J795" t="s">
        <v>8338</v>
      </c>
      <c r="K795" s="11">
        <v>39.230580226062038</v>
      </c>
      <c r="L795" s="9">
        <v>0.2383940657370531</v>
      </c>
      <c r="M795" s="10">
        <v>255.9604424285142</v>
      </c>
      <c r="N795" s="10">
        <v>281.55648667136563</v>
      </c>
    </row>
    <row r="796" spans="1:14">
      <c r="A796" t="s">
        <v>1967</v>
      </c>
      <c r="B796" t="s">
        <v>7152</v>
      </c>
      <c r="C796" t="s">
        <v>7153</v>
      </c>
      <c r="D796" t="s">
        <v>11</v>
      </c>
      <c r="E796" t="s">
        <v>13</v>
      </c>
      <c r="F796" t="s">
        <v>1970</v>
      </c>
      <c r="G796" t="s">
        <v>12</v>
      </c>
      <c r="I796" t="s">
        <v>7152</v>
      </c>
      <c r="J796" t="s">
        <v>8339</v>
      </c>
      <c r="K796" s="11">
        <v>33.74728786800145</v>
      </c>
      <c r="L796" s="9">
        <v>0.29231759722121581</v>
      </c>
      <c r="M796" s="10">
        <v>105.24155449698654</v>
      </c>
      <c r="N796" s="10">
        <v>115.76570994668521</v>
      </c>
    </row>
    <row r="797" spans="1:14">
      <c r="A797" t="s">
        <v>1967</v>
      </c>
      <c r="B797" t="s">
        <v>7154</v>
      </c>
      <c r="C797" t="s">
        <v>7155</v>
      </c>
      <c r="D797" t="s">
        <v>11</v>
      </c>
      <c r="E797" t="s">
        <v>13</v>
      </c>
      <c r="F797" t="s">
        <v>1970</v>
      </c>
      <c r="G797" t="s">
        <v>12</v>
      </c>
      <c r="I797" t="s">
        <v>7154</v>
      </c>
      <c r="J797" t="s">
        <v>8340</v>
      </c>
      <c r="K797" s="9">
        <v>2.0820661936736324</v>
      </c>
      <c r="L797" s="9">
        <v>0.191971129370407</v>
      </c>
      <c r="M797" s="10">
        <v>405.88849092842952</v>
      </c>
      <c r="N797" s="10">
        <v>446.47734002127248</v>
      </c>
    </row>
    <row r="798" spans="1:14">
      <c r="A798" t="s">
        <v>1967</v>
      </c>
      <c r="B798" t="s">
        <v>7156</v>
      </c>
      <c r="C798" t="s">
        <v>7157</v>
      </c>
      <c r="D798" t="s">
        <v>11</v>
      </c>
      <c r="E798" t="s">
        <v>13</v>
      </c>
      <c r="F798" t="s">
        <v>1970</v>
      </c>
      <c r="G798" t="s">
        <v>12</v>
      </c>
      <c r="I798" t="s">
        <v>7156</v>
      </c>
      <c r="J798" t="s">
        <v>8341</v>
      </c>
      <c r="K798" s="9">
        <v>5.9552281573881931</v>
      </c>
      <c r="L798" s="9">
        <v>0.16220634342612689</v>
      </c>
      <c r="M798" s="11">
        <v>69.157574276903006</v>
      </c>
      <c r="N798" s="11">
        <v>76.073331704593315</v>
      </c>
    </row>
    <row r="799" spans="1:14">
      <c r="A799" t="s">
        <v>1967</v>
      </c>
      <c r="B799" t="s">
        <v>7158</v>
      </c>
      <c r="C799" t="s">
        <v>7159</v>
      </c>
      <c r="D799" t="s">
        <v>11</v>
      </c>
      <c r="E799" t="s">
        <v>13</v>
      </c>
      <c r="F799" t="s">
        <v>1970</v>
      </c>
      <c r="G799" t="s">
        <v>12</v>
      </c>
      <c r="I799" t="s">
        <v>7158</v>
      </c>
      <c r="J799" t="s">
        <v>8342</v>
      </c>
      <c r="K799" s="9">
        <v>1.7434230944213187</v>
      </c>
      <c r="L799" s="9">
        <v>0.15598825065016031</v>
      </c>
      <c r="M799" s="10">
        <v>209.42264460164321</v>
      </c>
      <c r="N799" s="10">
        <v>230.36490906180757</v>
      </c>
    </row>
    <row r="800" spans="1:14">
      <c r="A800" t="s">
        <v>1967</v>
      </c>
      <c r="B800" t="s">
        <v>7160</v>
      </c>
      <c r="C800" t="s">
        <v>7161</v>
      </c>
      <c r="D800" t="s">
        <v>11</v>
      </c>
      <c r="E800" t="s">
        <v>13</v>
      </c>
      <c r="F800" t="s">
        <v>1970</v>
      </c>
      <c r="G800" t="s">
        <v>12</v>
      </c>
      <c r="I800" t="s">
        <v>7160</v>
      </c>
      <c r="J800" t="s">
        <v>8343</v>
      </c>
      <c r="K800" s="11">
        <v>16.967936329801404</v>
      </c>
      <c r="L800" s="9">
        <v>0.19302049756276801</v>
      </c>
      <c r="M800" s="10">
        <v>270.99012364214207</v>
      </c>
      <c r="N800" s="10">
        <v>298.08913600635628</v>
      </c>
    </row>
    <row r="801" spans="1:14">
      <c r="A801" t="s">
        <v>1967</v>
      </c>
      <c r="B801" t="s">
        <v>7162</v>
      </c>
      <c r="C801" t="s">
        <v>7163</v>
      </c>
      <c r="D801" t="s">
        <v>11</v>
      </c>
      <c r="E801" t="s">
        <v>13</v>
      </c>
      <c r="F801" t="s">
        <v>1970</v>
      </c>
      <c r="G801" t="s">
        <v>12</v>
      </c>
      <c r="I801" t="s">
        <v>7162</v>
      </c>
      <c r="J801" t="s">
        <v>8344</v>
      </c>
      <c r="K801" s="13">
        <v>3.8959441666808303E-3</v>
      </c>
      <c r="L801" s="12">
        <v>8.3213282568357999E-2</v>
      </c>
      <c r="M801" s="9">
        <v>6.403931548308436</v>
      </c>
      <c r="N801" s="9">
        <v>7.0443247031392806</v>
      </c>
    </row>
    <row r="802" spans="1:14">
      <c r="A802" t="s">
        <v>1967</v>
      </c>
      <c r="B802" t="s">
        <v>7164</v>
      </c>
      <c r="C802" t="s">
        <v>7165</v>
      </c>
      <c r="D802" t="s">
        <v>11</v>
      </c>
      <c r="E802" t="s">
        <v>13</v>
      </c>
      <c r="F802" t="s">
        <v>1970</v>
      </c>
      <c r="G802" t="s">
        <v>12</v>
      </c>
      <c r="I802" t="s">
        <v>7164</v>
      </c>
      <c r="J802" t="s">
        <v>8345</v>
      </c>
      <c r="K802" s="12">
        <v>1.6353525235066512E-2</v>
      </c>
      <c r="L802" s="12">
        <v>8.5509877232473594E-2</v>
      </c>
      <c r="M802" s="11">
        <v>15.178301278682261</v>
      </c>
      <c r="N802" s="11">
        <v>16.696131406550489</v>
      </c>
    </row>
    <row r="803" spans="1:14">
      <c r="A803" t="s">
        <v>1967</v>
      </c>
      <c r="B803" t="s">
        <v>7166</v>
      </c>
      <c r="C803" t="s">
        <v>7167</v>
      </c>
      <c r="D803" t="s">
        <v>11</v>
      </c>
      <c r="E803" t="s">
        <v>13</v>
      </c>
      <c r="F803" t="s">
        <v>1970</v>
      </c>
      <c r="G803" t="s">
        <v>12</v>
      </c>
      <c r="I803" t="s">
        <v>7166</v>
      </c>
      <c r="J803" t="s">
        <v>8346</v>
      </c>
      <c r="K803" s="12">
        <v>1.8346385263930332E-2</v>
      </c>
      <c r="L803" s="12">
        <v>4.5717822597475997E-2</v>
      </c>
      <c r="M803" s="11">
        <v>74.470437001759905</v>
      </c>
      <c r="N803" s="11">
        <v>81.917480701935901</v>
      </c>
    </row>
    <row r="804" spans="1:14">
      <c r="A804" t="s">
        <v>1967</v>
      </c>
      <c r="B804" t="s">
        <v>7168</v>
      </c>
      <c r="C804" t="s">
        <v>7169</v>
      </c>
      <c r="D804" t="s">
        <v>11</v>
      </c>
      <c r="E804" t="s">
        <v>13</v>
      </c>
      <c r="F804" t="s">
        <v>1970</v>
      </c>
      <c r="G804" t="s">
        <v>12</v>
      </c>
      <c r="I804" t="s">
        <v>7168</v>
      </c>
      <c r="J804" t="s">
        <v>8347</v>
      </c>
      <c r="K804" s="12">
        <v>9.344500330111434E-2</v>
      </c>
      <c r="L804" s="12">
        <v>2.17194816319955E-2</v>
      </c>
      <c r="M804" s="10">
        <v>122.96454975195796</v>
      </c>
      <c r="N804" s="10">
        <v>135.26100472715376</v>
      </c>
    </row>
    <row r="805" spans="1:14">
      <c r="A805" t="s">
        <v>1967</v>
      </c>
      <c r="B805" t="s">
        <v>7170</v>
      </c>
      <c r="C805" t="s">
        <v>7171</v>
      </c>
      <c r="D805" t="s">
        <v>11</v>
      </c>
      <c r="E805" t="s">
        <v>13</v>
      </c>
      <c r="F805" t="s">
        <v>1970</v>
      </c>
      <c r="G805" t="s">
        <v>12</v>
      </c>
      <c r="I805" t="s">
        <v>7170</v>
      </c>
      <c r="J805" t="s">
        <v>8348</v>
      </c>
      <c r="K805" s="9">
        <v>3.2529883555417802</v>
      </c>
      <c r="L805" s="12">
        <v>4.7023554743632401E-2</v>
      </c>
      <c r="M805" s="11">
        <v>14.059780897477999</v>
      </c>
      <c r="N805" s="11">
        <v>15.465758987225801</v>
      </c>
    </row>
    <row r="806" spans="1:14">
      <c r="A806" t="s">
        <v>1967</v>
      </c>
      <c r="B806" t="s">
        <v>7172</v>
      </c>
      <c r="C806" t="s">
        <v>7173</v>
      </c>
      <c r="D806" t="s">
        <v>11</v>
      </c>
      <c r="E806" t="s">
        <v>13</v>
      </c>
      <c r="F806" t="s">
        <v>1970</v>
      </c>
      <c r="G806" t="s">
        <v>12</v>
      </c>
      <c r="I806" t="s">
        <v>7172</v>
      </c>
      <c r="J806" t="s">
        <v>8349</v>
      </c>
      <c r="K806" s="11">
        <v>11.564915308901913</v>
      </c>
      <c r="L806" s="12">
        <v>4.9453222901354399E-2</v>
      </c>
      <c r="M806" s="11">
        <v>25.402649886953583</v>
      </c>
      <c r="N806" s="11">
        <v>27.942914875648942</v>
      </c>
    </row>
    <row r="807" spans="1:14">
      <c r="A807" t="s">
        <v>1967</v>
      </c>
      <c r="B807" t="s">
        <v>7174</v>
      </c>
      <c r="C807" t="s">
        <v>7175</v>
      </c>
      <c r="D807" t="s">
        <v>11</v>
      </c>
      <c r="E807" t="s">
        <v>13</v>
      </c>
      <c r="F807" t="s">
        <v>1970</v>
      </c>
      <c r="G807" t="s">
        <v>12</v>
      </c>
      <c r="I807" t="s">
        <v>7174</v>
      </c>
      <c r="J807" t="s">
        <v>8350</v>
      </c>
      <c r="K807" s="11">
        <v>59.614709415548305</v>
      </c>
      <c r="L807" s="9">
        <v>0.3714154793409401</v>
      </c>
      <c r="M807" s="10">
        <v>101.43397908210244</v>
      </c>
      <c r="N807" s="10">
        <v>111.57737699031269</v>
      </c>
    </row>
    <row r="808" spans="1:14">
      <c r="A808" t="s">
        <v>1967</v>
      </c>
      <c r="B808" t="s">
        <v>7176</v>
      </c>
      <c r="C808" t="s">
        <v>7177</v>
      </c>
      <c r="D808" t="s">
        <v>11</v>
      </c>
      <c r="E808" t="s">
        <v>13</v>
      </c>
      <c r="F808" t="s">
        <v>1970</v>
      </c>
      <c r="G808" t="s">
        <v>12</v>
      </c>
      <c r="I808" t="s">
        <v>7176</v>
      </c>
      <c r="J808" t="s">
        <v>8351</v>
      </c>
      <c r="K808" s="11">
        <v>21.851595790106057</v>
      </c>
      <c r="L808" s="9">
        <v>0.25282106425230361</v>
      </c>
      <c r="M808" s="11">
        <v>70.551205945539635</v>
      </c>
      <c r="N808" s="11">
        <v>77.606326540093605</v>
      </c>
    </row>
    <row r="809" spans="1:14">
      <c r="A809" t="s">
        <v>1967</v>
      </c>
      <c r="B809" t="s">
        <v>7178</v>
      </c>
      <c r="C809" t="s">
        <v>7179</v>
      </c>
      <c r="D809" t="s">
        <v>11</v>
      </c>
      <c r="E809" t="s">
        <v>13</v>
      </c>
      <c r="F809" t="s">
        <v>1970</v>
      </c>
      <c r="G809" t="s">
        <v>12</v>
      </c>
      <c r="I809" t="s">
        <v>7178</v>
      </c>
      <c r="J809" t="s">
        <v>8352</v>
      </c>
      <c r="K809" s="11">
        <v>19.800068815240731</v>
      </c>
      <c r="L809" s="9">
        <v>0.22932815197325879</v>
      </c>
      <c r="M809" s="10">
        <v>131.34603752387466</v>
      </c>
      <c r="N809" s="10">
        <v>144.48064127626213</v>
      </c>
    </row>
    <row r="810" spans="1:14">
      <c r="A810" t="s">
        <v>1967</v>
      </c>
      <c r="B810" t="s">
        <v>7180</v>
      </c>
      <c r="C810" t="s">
        <v>7181</v>
      </c>
      <c r="D810" t="s">
        <v>11</v>
      </c>
      <c r="E810" t="s">
        <v>13</v>
      </c>
      <c r="F810" t="s">
        <v>1970</v>
      </c>
      <c r="G810" t="s">
        <v>12</v>
      </c>
      <c r="I810" t="s">
        <v>7180</v>
      </c>
      <c r="J810" t="s">
        <v>8353</v>
      </c>
      <c r="K810" s="11">
        <v>45.062750227161658</v>
      </c>
      <c r="L810" s="9">
        <v>0.31594249872804098</v>
      </c>
      <c r="M810" s="10">
        <v>159.37958658264847</v>
      </c>
      <c r="N810" s="10">
        <v>175.31754524091332</v>
      </c>
    </row>
    <row r="811" spans="1:14">
      <c r="A811" t="s">
        <v>1967</v>
      </c>
      <c r="B811" t="s">
        <v>7182</v>
      </c>
      <c r="C811" t="s">
        <v>7183</v>
      </c>
      <c r="D811" t="s">
        <v>11</v>
      </c>
      <c r="E811" t="s">
        <v>13</v>
      </c>
      <c r="F811" t="s">
        <v>1970</v>
      </c>
      <c r="G811" t="s">
        <v>12</v>
      </c>
      <c r="I811" t="s">
        <v>7182</v>
      </c>
      <c r="J811" t="s">
        <v>8354</v>
      </c>
      <c r="K811" s="11">
        <v>53.176100927729614</v>
      </c>
      <c r="L811" s="9">
        <v>0.39349949038331539</v>
      </c>
      <c r="M811" s="10">
        <v>112.24472716493068</v>
      </c>
      <c r="N811" s="10">
        <v>123.46919988142376</v>
      </c>
    </row>
    <row r="812" spans="1:14">
      <c r="A812" t="s">
        <v>1967</v>
      </c>
      <c r="B812" t="s">
        <v>7184</v>
      </c>
      <c r="C812" t="s">
        <v>7185</v>
      </c>
      <c r="D812" t="s">
        <v>11</v>
      </c>
      <c r="E812" t="s">
        <v>13</v>
      </c>
      <c r="F812" t="s">
        <v>1970</v>
      </c>
      <c r="G812" t="s">
        <v>12</v>
      </c>
      <c r="I812" t="s">
        <v>7184</v>
      </c>
      <c r="J812" t="s">
        <v>8355</v>
      </c>
      <c r="K812" s="11">
        <v>10.262731882946062</v>
      </c>
      <c r="L812" s="9">
        <v>0.24687690317154429</v>
      </c>
      <c r="M812" s="10">
        <v>171.59254144686244</v>
      </c>
      <c r="N812" s="10">
        <v>188.7517955915487</v>
      </c>
    </row>
    <row r="813" spans="1:14">
      <c r="A813" t="s">
        <v>1967</v>
      </c>
      <c r="B813" t="s">
        <v>7186</v>
      </c>
      <c r="C813" t="s">
        <v>7187</v>
      </c>
      <c r="D813" t="s">
        <v>11</v>
      </c>
      <c r="E813" t="s">
        <v>13</v>
      </c>
      <c r="F813" t="s">
        <v>1970</v>
      </c>
      <c r="G813" t="s">
        <v>12</v>
      </c>
      <c r="I813" t="s">
        <v>7186</v>
      </c>
      <c r="J813" t="s">
        <v>8356</v>
      </c>
      <c r="K813" s="10">
        <v>121.00551728749471</v>
      </c>
      <c r="L813" s="9">
        <v>0.47599154204672262</v>
      </c>
      <c r="M813" s="10">
        <v>126.27318297727452</v>
      </c>
      <c r="N813" s="10">
        <v>138.90050127500197</v>
      </c>
    </row>
    <row r="814" spans="1:14">
      <c r="A814" t="s">
        <v>1967</v>
      </c>
      <c r="B814" t="s">
        <v>7188</v>
      </c>
      <c r="C814" t="s">
        <v>7189</v>
      </c>
      <c r="D814" t="s">
        <v>11</v>
      </c>
      <c r="E814" t="s">
        <v>13</v>
      </c>
      <c r="F814" t="s">
        <v>1970</v>
      </c>
      <c r="G814" t="s">
        <v>12</v>
      </c>
      <c r="I814" t="s">
        <v>7188</v>
      </c>
      <c r="J814" t="s">
        <v>8357</v>
      </c>
      <c r="K814" s="11">
        <v>59.744023083871141</v>
      </c>
      <c r="L814" s="9">
        <v>0.61144782894346494</v>
      </c>
      <c r="M814" s="10">
        <v>131.30013979649704</v>
      </c>
      <c r="N814" s="10">
        <v>144.43015377614674</v>
      </c>
    </row>
    <row r="815" spans="1:14">
      <c r="A815" t="s">
        <v>1967</v>
      </c>
      <c r="B815" t="s">
        <v>7190</v>
      </c>
      <c r="C815" t="s">
        <v>7191</v>
      </c>
      <c r="D815" t="s">
        <v>11</v>
      </c>
      <c r="E815" t="s">
        <v>13</v>
      </c>
      <c r="F815" t="s">
        <v>1970</v>
      </c>
      <c r="G815" t="s">
        <v>12</v>
      </c>
      <c r="I815" t="s">
        <v>7190</v>
      </c>
      <c r="J815" t="s">
        <v>8358</v>
      </c>
      <c r="K815" s="11">
        <v>75.897213562202609</v>
      </c>
      <c r="L815" s="9">
        <v>0.49738265986877889</v>
      </c>
      <c r="M815" s="11">
        <v>89.064888762642894</v>
      </c>
      <c r="N815" s="11">
        <v>97.971377638907185</v>
      </c>
    </row>
    <row r="816" spans="1:14">
      <c r="A816" t="s">
        <v>1967</v>
      </c>
      <c r="B816" t="s">
        <v>7192</v>
      </c>
      <c r="C816" t="s">
        <v>7193</v>
      </c>
      <c r="D816" t="s">
        <v>11</v>
      </c>
      <c r="E816" t="s">
        <v>13</v>
      </c>
      <c r="F816" t="s">
        <v>1970</v>
      </c>
      <c r="G816" t="s">
        <v>12</v>
      </c>
      <c r="I816" t="s">
        <v>7192</v>
      </c>
      <c r="J816" t="s">
        <v>8359</v>
      </c>
      <c r="K816" s="9">
        <v>5.3788865871730014</v>
      </c>
      <c r="L816" s="9">
        <v>0.21364725906340989</v>
      </c>
      <c r="M816" s="11">
        <v>19.324816931272512</v>
      </c>
      <c r="N816" s="11">
        <v>21.257298624399766</v>
      </c>
    </row>
    <row r="817" spans="1:14">
      <c r="A817" t="s">
        <v>1967</v>
      </c>
      <c r="B817" t="s">
        <v>7194</v>
      </c>
      <c r="C817" t="s">
        <v>7195</v>
      </c>
      <c r="D817" t="s">
        <v>11</v>
      </c>
      <c r="E817" t="s">
        <v>13</v>
      </c>
      <c r="F817" t="s">
        <v>1970</v>
      </c>
      <c r="G817" t="s">
        <v>12</v>
      </c>
      <c r="I817" t="s">
        <v>7194</v>
      </c>
      <c r="J817" t="s">
        <v>8360</v>
      </c>
      <c r="K817" s="9">
        <v>2.2670360408410852</v>
      </c>
      <c r="L817" s="9">
        <v>0.15517565835405489</v>
      </c>
      <c r="M817" s="11">
        <v>14.977705800253556</v>
      </c>
      <c r="N817" s="11">
        <v>16.475476380278913</v>
      </c>
    </row>
    <row r="818" spans="1:14">
      <c r="A818" t="s">
        <v>1967</v>
      </c>
      <c r="B818" t="s">
        <v>7196</v>
      </c>
      <c r="C818" t="s">
        <v>7197</v>
      </c>
      <c r="D818" t="s">
        <v>11</v>
      </c>
      <c r="E818" t="s">
        <v>13</v>
      </c>
      <c r="F818" t="s">
        <v>1970</v>
      </c>
      <c r="G818" t="s">
        <v>12</v>
      </c>
      <c r="I818" t="s">
        <v>7196</v>
      </c>
      <c r="J818" t="s">
        <v>8361</v>
      </c>
      <c r="K818" s="9">
        <v>9.9000568317974924</v>
      </c>
      <c r="L818" s="9">
        <v>0.19568778516888119</v>
      </c>
      <c r="M818" s="11">
        <v>33.910195073465218</v>
      </c>
      <c r="N818" s="11">
        <v>37.301214580811745</v>
      </c>
    </row>
    <row r="819" spans="1:14">
      <c r="A819" t="s">
        <v>1967</v>
      </c>
      <c r="B819" t="s">
        <v>7198</v>
      </c>
      <c r="C819" t="s">
        <v>7199</v>
      </c>
      <c r="D819" t="s">
        <v>11</v>
      </c>
      <c r="E819" t="s">
        <v>13</v>
      </c>
      <c r="F819" t="s">
        <v>1970</v>
      </c>
      <c r="G819" t="s">
        <v>12</v>
      </c>
      <c r="I819" t="s">
        <v>7198</v>
      </c>
      <c r="J819" t="s">
        <v>8362</v>
      </c>
      <c r="K819" s="9">
        <v>0.41154951561165204</v>
      </c>
      <c r="L819" s="9">
        <v>0.14152640726086399</v>
      </c>
      <c r="M819" s="11">
        <v>21.624160776800128</v>
      </c>
      <c r="N819" s="11">
        <v>23.786576854480142</v>
      </c>
    </row>
    <row r="820" spans="1:14">
      <c r="A820" t="s">
        <v>1967</v>
      </c>
      <c r="B820" t="s">
        <v>7200</v>
      </c>
      <c r="C820" t="s">
        <v>7201</v>
      </c>
      <c r="D820" t="s">
        <v>11</v>
      </c>
      <c r="E820" t="s">
        <v>13</v>
      </c>
      <c r="F820" t="s">
        <v>1970</v>
      </c>
      <c r="G820" t="s">
        <v>12</v>
      </c>
      <c r="I820" t="s">
        <v>7200</v>
      </c>
      <c r="J820" t="s">
        <v>8363</v>
      </c>
      <c r="K820" s="9">
        <v>0.26732866351610313</v>
      </c>
      <c r="L820" s="12">
        <v>8.8404330996589398E-2</v>
      </c>
      <c r="M820" s="11">
        <v>21.486001768835056</v>
      </c>
      <c r="N820" s="11">
        <v>23.634601945718565</v>
      </c>
    </row>
    <row r="821" spans="1:14">
      <c r="A821" t="s">
        <v>1967</v>
      </c>
      <c r="B821" t="s">
        <v>7202</v>
      </c>
      <c r="C821" t="s">
        <v>7203</v>
      </c>
      <c r="D821" t="s">
        <v>11</v>
      </c>
      <c r="E821" t="s">
        <v>13</v>
      </c>
      <c r="F821" t="s">
        <v>1970</v>
      </c>
      <c r="G821" t="s">
        <v>12</v>
      </c>
      <c r="I821" t="s">
        <v>7202</v>
      </c>
      <c r="J821" t="s">
        <v>8364</v>
      </c>
      <c r="K821" s="9">
        <v>1.632392563854939</v>
      </c>
      <c r="L821" s="9">
        <v>0.11590121452709939</v>
      </c>
      <c r="M821" s="11">
        <v>17.884837417779661</v>
      </c>
      <c r="N821" s="11">
        <v>19.673321159557627</v>
      </c>
    </row>
    <row r="822" spans="1:14">
      <c r="A822" t="s">
        <v>1967</v>
      </c>
      <c r="B822" t="s">
        <v>7204</v>
      </c>
      <c r="C822" t="s">
        <v>7205</v>
      </c>
      <c r="D822" t="s">
        <v>11</v>
      </c>
      <c r="E822" t="s">
        <v>13</v>
      </c>
      <c r="F822" t="s">
        <v>1970</v>
      </c>
      <c r="G822" t="s">
        <v>12</v>
      </c>
      <c r="I822" t="s">
        <v>7204</v>
      </c>
      <c r="J822" t="s">
        <v>8365</v>
      </c>
      <c r="K822" s="11">
        <v>15.051265693840836</v>
      </c>
      <c r="L822" s="9">
        <v>0.13149990887865809</v>
      </c>
      <c r="M822" s="10">
        <v>210.77376698933068</v>
      </c>
      <c r="N822" s="10">
        <v>231.85114368826376</v>
      </c>
    </row>
    <row r="823" spans="1:14">
      <c r="A823" t="s">
        <v>1967</v>
      </c>
      <c r="B823" t="s">
        <v>7206</v>
      </c>
      <c r="C823" t="s">
        <v>7205</v>
      </c>
      <c r="D823" t="s">
        <v>11</v>
      </c>
      <c r="E823" t="s">
        <v>13</v>
      </c>
      <c r="F823" t="s">
        <v>1970</v>
      </c>
      <c r="G823" t="s">
        <v>12</v>
      </c>
      <c r="I823" t="s">
        <v>7206</v>
      </c>
      <c r="J823" t="s">
        <v>8366</v>
      </c>
      <c r="K823" s="11">
        <v>10.925688978365191</v>
      </c>
      <c r="L823" s="9">
        <v>0.15275872948629429</v>
      </c>
      <c r="M823" s="10">
        <v>268.01112162607143</v>
      </c>
      <c r="N823" s="10">
        <v>294.81223378867861</v>
      </c>
    </row>
    <row r="824" spans="1:14">
      <c r="A824" t="s">
        <v>1967</v>
      </c>
      <c r="B824" t="s">
        <v>7207</v>
      </c>
      <c r="C824" t="s">
        <v>7208</v>
      </c>
      <c r="D824" t="s">
        <v>11</v>
      </c>
      <c r="E824" t="s">
        <v>13</v>
      </c>
      <c r="F824" t="s">
        <v>1970</v>
      </c>
      <c r="G824" t="s">
        <v>12</v>
      </c>
      <c r="I824" t="s">
        <v>7207</v>
      </c>
      <c r="J824" t="s">
        <v>8367</v>
      </c>
      <c r="K824" s="11">
        <v>23.849989053274939</v>
      </c>
      <c r="L824" s="9">
        <v>0.16933825493065971</v>
      </c>
      <c r="M824" s="10">
        <v>306.1575160846424</v>
      </c>
      <c r="N824" s="10">
        <v>336.77326769310667</v>
      </c>
    </row>
    <row r="825" spans="1:14">
      <c r="A825" t="s">
        <v>1967</v>
      </c>
      <c r="B825" t="s">
        <v>7209</v>
      </c>
      <c r="C825" t="s">
        <v>7210</v>
      </c>
      <c r="D825" t="s">
        <v>11</v>
      </c>
      <c r="E825" t="s">
        <v>13</v>
      </c>
      <c r="F825" t="s">
        <v>1970</v>
      </c>
      <c r="G825" t="s">
        <v>12</v>
      </c>
      <c r="I825" t="s">
        <v>7209</v>
      </c>
      <c r="J825" t="s">
        <v>8368</v>
      </c>
      <c r="K825" s="11">
        <v>24.895819046579653</v>
      </c>
      <c r="L825" s="9">
        <v>0.20178734632757311</v>
      </c>
      <c r="M825" s="10">
        <v>194.17701158193807</v>
      </c>
      <c r="N825" s="10">
        <v>213.59471274013191</v>
      </c>
    </row>
    <row r="826" spans="1:14">
      <c r="A826" t="s">
        <v>1967</v>
      </c>
      <c r="B826" t="s">
        <v>7211</v>
      </c>
      <c r="C826" t="s">
        <v>7210</v>
      </c>
      <c r="D826" t="s">
        <v>11</v>
      </c>
      <c r="E826" t="s">
        <v>13</v>
      </c>
      <c r="F826" t="s">
        <v>1970</v>
      </c>
      <c r="G826" t="s">
        <v>12</v>
      </c>
      <c r="I826" t="s">
        <v>7211</v>
      </c>
      <c r="J826" t="s">
        <v>8369</v>
      </c>
      <c r="K826" s="11">
        <v>11.239013104621026</v>
      </c>
      <c r="L826" s="9">
        <v>0.13580006897046171</v>
      </c>
      <c r="M826" s="11">
        <v>96.391176558741364</v>
      </c>
      <c r="N826" s="10">
        <v>106.03029421461551</v>
      </c>
    </row>
    <row r="827" spans="1:14">
      <c r="A827" t="s">
        <v>1967</v>
      </c>
      <c r="B827" t="s">
        <v>7212</v>
      </c>
      <c r="C827" t="s">
        <v>7213</v>
      </c>
      <c r="D827" t="s">
        <v>11</v>
      </c>
      <c r="E827" t="s">
        <v>13</v>
      </c>
      <c r="F827" t="s">
        <v>1970</v>
      </c>
      <c r="G827" t="s">
        <v>12</v>
      </c>
      <c r="I827" t="s">
        <v>7212</v>
      </c>
      <c r="J827" t="s">
        <v>8370</v>
      </c>
      <c r="K827" s="9">
        <v>7.6948665051820626</v>
      </c>
      <c r="L827" s="9">
        <v>0.12827653921567991</v>
      </c>
      <c r="M827" s="10">
        <v>161.41577060573223</v>
      </c>
      <c r="N827" s="10">
        <v>177.55734766630547</v>
      </c>
    </row>
    <row r="828" spans="1:14">
      <c r="A828" t="s">
        <v>1967</v>
      </c>
      <c r="B828" t="s">
        <v>7214</v>
      </c>
      <c r="C828" t="s">
        <v>7215</v>
      </c>
      <c r="D828" t="s">
        <v>11</v>
      </c>
      <c r="E828" t="s">
        <v>13</v>
      </c>
      <c r="F828" t="s">
        <v>1970</v>
      </c>
      <c r="G828" t="s">
        <v>12</v>
      </c>
      <c r="I828" t="s">
        <v>7214</v>
      </c>
      <c r="J828" t="s">
        <v>8371</v>
      </c>
      <c r="K828" s="12">
        <v>6.7175395618866651E-2</v>
      </c>
      <c r="L828" s="9">
        <v>0.1656756871142441</v>
      </c>
      <c r="M828" s="10">
        <v>161.25035804592096</v>
      </c>
      <c r="N828" s="10">
        <v>177.37539385051306</v>
      </c>
    </row>
    <row r="829" spans="1:14">
      <c r="A829" t="s">
        <v>1967</v>
      </c>
      <c r="B829" t="s">
        <v>7216</v>
      </c>
      <c r="C829" t="s">
        <v>7217</v>
      </c>
      <c r="D829" t="s">
        <v>11</v>
      </c>
      <c r="E829" t="s">
        <v>13</v>
      </c>
      <c r="F829" t="s">
        <v>1970</v>
      </c>
      <c r="G829" t="s">
        <v>12</v>
      </c>
      <c r="I829" t="s">
        <v>7216</v>
      </c>
      <c r="J829" t="s">
        <v>8372</v>
      </c>
      <c r="K829" s="9">
        <v>0.21812827605483309</v>
      </c>
      <c r="L829" s="9">
        <v>0.19981974004570291</v>
      </c>
      <c r="M829" s="11">
        <v>45.743767145686633</v>
      </c>
      <c r="N829" s="11">
        <v>50.318143860255297</v>
      </c>
    </row>
    <row r="830" spans="1:14">
      <c r="A830" t="s">
        <v>1967</v>
      </c>
      <c r="B830" t="s">
        <v>7218</v>
      </c>
      <c r="C830" t="s">
        <v>7219</v>
      </c>
      <c r="D830" t="s">
        <v>11</v>
      </c>
      <c r="E830" t="s">
        <v>13</v>
      </c>
      <c r="F830" t="s">
        <v>1970</v>
      </c>
      <c r="G830" t="s">
        <v>12</v>
      </c>
      <c r="I830" t="s">
        <v>7218</v>
      </c>
      <c r="J830" t="s">
        <v>8373</v>
      </c>
      <c r="K830" s="11">
        <v>27.184125472111848</v>
      </c>
      <c r="L830" s="9">
        <v>0.14652793378341811</v>
      </c>
      <c r="M830" s="11">
        <v>25.775793011132681</v>
      </c>
      <c r="N830" s="11">
        <v>28.353372312245952</v>
      </c>
    </row>
    <row r="831" spans="1:14">
      <c r="A831" t="s">
        <v>1967</v>
      </c>
      <c r="B831" t="s">
        <v>7220</v>
      </c>
      <c r="C831" t="s">
        <v>7221</v>
      </c>
      <c r="D831" t="s">
        <v>11</v>
      </c>
      <c r="E831" t="s">
        <v>13</v>
      </c>
      <c r="F831" t="s">
        <v>1970</v>
      </c>
      <c r="G831" t="s">
        <v>12</v>
      </c>
      <c r="I831" t="s">
        <v>7220</v>
      </c>
      <c r="J831" t="s">
        <v>8374</v>
      </c>
      <c r="K831" s="11">
        <v>16.333339458149943</v>
      </c>
      <c r="L831" s="9">
        <v>0.13891494451305511</v>
      </c>
      <c r="M831" s="11">
        <v>35.881488578103394</v>
      </c>
      <c r="N831" s="11">
        <v>39.469637435913739</v>
      </c>
    </row>
    <row r="832" spans="1:14">
      <c r="A832" t="s">
        <v>1967</v>
      </c>
      <c r="B832" t="s">
        <v>7222</v>
      </c>
      <c r="C832" t="s">
        <v>7223</v>
      </c>
      <c r="D832" t="s">
        <v>11</v>
      </c>
      <c r="E832" t="s">
        <v>13</v>
      </c>
      <c r="F832" t="s">
        <v>1970</v>
      </c>
      <c r="G832" t="s">
        <v>12</v>
      </c>
      <c r="I832" t="s">
        <v>7222</v>
      </c>
      <c r="J832" t="s">
        <v>8375</v>
      </c>
      <c r="K832" s="11">
        <v>89.882293869838364</v>
      </c>
      <c r="L832" s="9">
        <v>0.19230591641397299</v>
      </c>
      <c r="M832" s="11">
        <v>29.318024383636168</v>
      </c>
      <c r="N832" s="11">
        <v>32.24982682199979</v>
      </c>
    </row>
    <row r="833" spans="1:14">
      <c r="A833" t="s">
        <v>1967</v>
      </c>
      <c r="B833" t="s">
        <v>7224</v>
      </c>
      <c r="C833" t="s">
        <v>7225</v>
      </c>
      <c r="D833" t="s">
        <v>11</v>
      </c>
      <c r="E833" t="s">
        <v>13</v>
      </c>
      <c r="F833" t="s">
        <v>1970</v>
      </c>
      <c r="G833" t="s">
        <v>12</v>
      </c>
      <c r="I833" t="s">
        <v>7224</v>
      </c>
      <c r="J833" t="s">
        <v>8376</v>
      </c>
      <c r="K833" s="9">
        <v>0.63574139705219246</v>
      </c>
      <c r="L833" s="12">
        <v>2.0614512131476199E-2</v>
      </c>
      <c r="M833" s="11">
        <v>29.608700984774643</v>
      </c>
      <c r="N833" s="11">
        <v>32.569571083252107</v>
      </c>
    </row>
    <row r="834" spans="1:14">
      <c r="A834" t="s">
        <v>1967</v>
      </c>
      <c r="B834" t="s">
        <v>7226</v>
      </c>
      <c r="C834" t="s">
        <v>7227</v>
      </c>
      <c r="D834" t="s">
        <v>11</v>
      </c>
      <c r="E834" t="s">
        <v>13</v>
      </c>
      <c r="F834" t="s">
        <v>1970</v>
      </c>
      <c r="G834" t="s">
        <v>12</v>
      </c>
      <c r="I834" t="s">
        <v>7226</v>
      </c>
      <c r="J834" t="s">
        <v>8377</v>
      </c>
      <c r="K834" s="11">
        <v>28.782200867882199</v>
      </c>
      <c r="L834" s="12">
        <v>8.7976897704359402E-2</v>
      </c>
      <c r="M834" s="11">
        <v>21.146877704967768</v>
      </c>
      <c r="N834" s="11">
        <v>23.261565475464547</v>
      </c>
    </row>
    <row r="835" spans="1:14">
      <c r="A835" t="s">
        <v>1967</v>
      </c>
      <c r="B835" t="s">
        <v>7228</v>
      </c>
      <c r="C835" t="s">
        <v>7229</v>
      </c>
      <c r="D835" t="s">
        <v>11</v>
      </c>
      <c r="E835" t="s">
        <v>13</v>
      </c>
      <c r="F835" t="s">
        <v>1970</v>
      </c>
      <c r="G835" t="s">
        <v>12</v>
      </c>
      <c r="I835" t="s">
        <v>7228</v>
      </c>
      <c r="J835" t="s">
        <v>8378</v>
      </c>
      <c r="K835" s="9">
        <v>0.16176261867321273</v>
      </c>
      <c r="L835" s="9">
        <v>0.49549892574706411</v>
      </c>
      <c r="M835" s="10">
        <v>160.51879648693412</v>
      </c>
      <c r="N835" s="10">
        <v>176.57067613562754</v>
      </c>
    </row>
    <row r="836" spans="1:14">
      <c r="A836" t="s">
        <v>1967</v>
      </c>
      <c r="B836" t="s">
        <v>7230</v>
      </c>
      <c r="C836" t="s">
        <v>7231</v>
      </c>
      <c r="D836" t="s">
        <v>11</v>
      </c>
      <c r="E836" t="s">
        <v>13</v>
      </c>
      <c r="F836" t="s">
        <v>1970</v>
      </c>
      <c r="G836" t="s">
        <v>12</v>
      </c>
      <c r="I836" t="s">
        <v>7230</v>
      </c>
      <c r="J836" t="s">
        <v>8379</v>
      </c>
      <c r="K836" s="9">
        <v>1.6430755153135161</v>
      </c>
      <c r="L836" s="9">
        <v>0.39184668941511008</v>
      </c>
      <c r="M836" s="11">
        <v>50.045866133946966</v>
      </c>
      <c r="N836" s="11">
        <v>55.050452747341666</v>
      </c>
    </row>
    <row r="837" spans="1:14">
      <c r="A837" t="s">
        <v>1967</v>
      </c>
      <c r="B837" t="s">
        <v>7232</v>
      </c>
      <c r="C837" t="s">
        <v>7233</v>
      </c>
      <c r="D837" t="s">
        <v>11</v>
      </c>
      <c r="E837" t="s">
        <v>13</v>
      </c>
      <c r="F837" t="s">
        <v>1970</v>
      </c>
      <c r="G837" t="s">
        <v>12</v>
      </c>
      <c r="I837" t="s">
        <v>7232</v>
      </c>
      <c r="J837" t="s">
        <v>8380</v>
      </c>
      <c r="K837" s="11">
        <v>10.838479105227895</v>
      </c>
      <c r="L837" s="9">
        <v>0.3172987759624476</v>
      </c>
      <c r="M837" s="11">
        <v>33.322775908762893</v>
      </c>
      <c r="N837" s="11">
        <v>36.655053499639187</v>
      </c>
    </row>
    <row r="838" spans="1:14">
      <c r="A838" t="s">
        <v>1967</v>
      </c>
      <c r="B838" t="s">
        <v>7234</v>
      </c>
      <c r="C838" t="s">
        <v>7235</v>
      </c>
      <c r="D838" t="s">
        <v>11</v>
      </c>
      <c r="E838" t="s">
        <v>13</v>
      </c>
      <c r="F838" t="s">
        <v>1970</v>
      </c>
      <c r="G838" t="s">
        <v>12</v>
      </c>
      <c r="I838" t="s">
        <v>7234</v>
      </c>
      <c r="J838" t="s">
        <v>8381</v>
      </c>
      <c r="K838" s="9">
        <v>0.93604325069055194</v>
      </c>
      <c r="L838" s="9">
        <v>0.28002368682561968</v>
      </c>
      <c r="M838" s="10">
        <v>108.85905690223009</v>
      </c>
      <c r="N838" s="10">
        <v>119.74496259245311</v>
      </c>
    </row>
    <row r="839" spans="1:14">
      <c r="A839" t="s">
        <v>1967</v>
      </c>
      <c r="B839" t="s">
        <v>7236</v>
      </c>
      <c r="C839" t="s">
        <v>7237</v>
      </c>
      <c r="D839" t="s">
        <v>11</v>
      </c>
      <c r="E839" t="s">
        <v>13</v>
      </c>
      <c r="F839" t="s">
        <v>1970</v>
      </c>
      <c r="G839" t="s">
        <v>12</v>
      </c>
      <c r="I839" t="s">
        <v>7236</v>
      </c>
      <c r="J839" t="s">
        <v>8382</v>
      </c>
      <c r="K839" s="11">
        <v>15.734568055384669</v>
      </c>
      <c r="L839" s="9">
        <v>0.35516933703391518</v>
      </c>
      <c r="M839" s="11">
        <v>31.515747335391389</v>
      </c>
      <c r="N839" s="11">
        <v>34.667322068930531</v>
      </c>
    </row>
    <row r="840" spans="1:14">
      <c r="A840" t="s">
        <v>1967</v>
      </c>
      <c r="B840" t="s">
        <v>7238</v>
      </c>
      <c r="C840" t="s">
        <v>7239</v>
      </c>
      <c r="D840" t="s">
        <v>11</v>
      </c>
      <c r="E840" t="s">
        <v>13</v>
      </c>
      <c r="F840" t="s">
        <v>1970</v>
      </c>
      <c r="G840" t="s">
        <v>12</v>
      </c>
      <c r="I840" t="s">
        <v>7238</v>
      </c>
      <c r="J840" t="s">
        <v>8383</v>
      </c>
      <c r="K840" s="11">
        <v>31.316931341985164</v>
      </c>
      <c r="L840" s="9">
        <v>0.2468536360183162</v>
      </c>
      <c r="M840" s="10">
        <v>127.87447847026829</v>
      </c>
      <c r="N840" s="10">
        <v>140.66192631729513</v>
      </c>
    </row>
    <row r="841" spans="1:14">
      <c r="A841" t="s">
        <v>1967</v>
      </c>
      <c r="B841" t="s">
        <v>7240</v>
      </c>
      <c r="C841" t="s">
        <v>7241</v>
      </c>
      <c r="D841" t="s">
        <v>11</v>
      </c>
      <c r="E841" t="s">
        <v>13</v>
      </c>
      <c r="F841" t="s">
        <v>1970</v>
      </c>
      <c r="G841" t="s">
        <v>12</v>
      </c>
      <c r="I841" t="s">
        <v>7240</v>
      </c>
      <c r="J841" t="s">
        <v>8384</v>
      </c>
      <c r="K841" s="9">
        <v>2.1131876563703171</v>
      </c>
      <c r="L841" s="9">
        <v>0.13186427726574951</v>
      </c>
      <c r="M841" s="11">
        <v>40.897030707341059</v>
      </c>
      <c r="N841" s="11">
        <v>44.98673377807517</v>
      </c>
    </row>
    <row r="842" spans="1:14">
      <c r="A842" t="s">
        <v>1967</v>
      </c>
      <c r="B842" t="s">
        <v>7242</v>
      </c>
      <c r="C842" t="s">
        <v>7243</v>
      </c>
      <c r="D842" t="s">
        <v>11</v>
      </c>
      <c r="E842" t="s">
        <v>13</v>
      </c>
      <c r="F842" t="s">
        <v>1970</v>
      </c>
      <c r="G842" t="s">
        <v>12</v>
      </c>
      <c r="I842" t="s">
        <v>7242</v>
      </c>
      <c r="J842" t="s">
        <v>8385</v>
      </c>
      <c r="K842" s="11">
        <v>15.45007947339705</v>
      </c>
      <c r="L842" s="9">
        <v>0.28946402298494889</v>
      </c>
      <c r="M842" s="11">
        <v>53.525612304475139</v>
      </c>
      <c r="N842" s="11">
        <v>58.878173534922659</v>
      </c>
    </row>
    <row r="843" spans="1:14">
      <c r="A843" t="s">
        <v>1967</v>
      </c>
      <c r="B843" t="s">
        <v>7244</v>
      </c>
      <c r="C843" t="s">
        <v>7245</v>
      </c>
      <c r="D843" t="s">
        <v>11</v>
      </c>
      <c r="E843" t="s">
        <v>13</v>
      </c>
      <c r="F843" t="s">
        <v>1970</v>
      </c>
      <c r="G843" t="s">
        <v>12</v>
      </c>
      <c r="I843" t="s">
        <v>7244</v>
      </c>
      <c r="J843" t="s">
        <v>8386</v>
      </c>
      <c r="K843" s="9">
        <v>1.0132096944551265</v>
      </c>
      <c r="L843" s="9">
        <v>0.11254003152295811</v>
      </c>
      <c r="M843" s="11">
        <v>65.820849046553505</v>
      </c>
      <c r="N843" s="11">
        <v>72.402933951208865</v>
      </c>
    </row>
    <row r="844" spans="1:14">
      <c r="A844" t="s">
        <v>1967</v>
      </c>
      <c r="B844" t="s">
        <v>7246</v>
      </c>
      <c r="C844" t="s">
        <v>7247</v>
      </c>
      <c r="D844" t="s">
        <v>11</v>
      </c>
      <c r="E844" t="s">
        <v>13</v>
      </c>
      <c r="F844" t="s">
        <v>1970</v>
      </c>
      <c r="G844" t="s">
        <v>12</v>
      </c>
      <c r="I844" t="s">
        <v>7246</v>
      </c>
      <c r="J844" t="s">
        <v>8387</v>
      </c>
      <c r="K844" s="11">
        <v>33.258933206597419</v>
      </c>
      <c r="L844" s="9">
        <v>0.31189797068338998</v>
      </c>
      <c r="M844" s="11">
        <v>78.287839637889448</v>
      </c>
      <c r="N844" s="11">
        <v>86.116623601678398</v>
      </c>
    </row>
    <row r="845" spans="1:14">
      <c r="A845" t="s">
        <v>1967</v>
      </c>
      <c r="B845" t="s">
        <v>7248</v>
      </c>
      <c r="C845" t="s">
        <v>7249</v>
      </c>
      <c r="D845" t="s">
        <v>11</v>
      </c>
      <c r="E845" t="s">
        <v>13</v>
      </c>
      <c r="F845" t="s">
        <v>1970</v>
      </c>
      <c r="G845" t="s">
        <v>12</v>
      </c>
      <c r="I845" t="s">
        <v>7248</v>
      </c>
      <c r="J845" t="s">
        <v>8388</v>
      </c>
      <c r="K845" s="11">
        <v>75.134266452242855</v>
      </c>
      <c r="L845" s="9">
        <v>0.34455812600751612</v>
      </c>
      <c r="M845" s="10">
        <v>100.44726123444531</v>
      </c>
      <c r="N845" s="10">
        <v>110.49198735788984</v>
      </c>
    </row>
    <row r="846" spans="1:14">
      <c r="A846" t="s">
        <v>1967</v>
      </c>
      <c r="B846" t="s">
        <v>7250</v>
      </c>
      <c r="C846" t="s">
        <v>7251</v>
      </c>
      <c r="D846" t="s">
        <v>11</v>
      </c>
      <c r="E846" t="s">
        <v>13</v>
      </c>
      <c r="F846" t="s">
        <v>1970</v>
      </c>
      <c r="G846" t="s">
        <v>12</v>
      </c>
      <c r="I846" t="s">
        <v>7250</v>
      </c>
      <c r="J846" t="s">
        <v>8389</v>
      </c>
      <c r="K846" s="11">
        <v>86.448130145224937</v>
      </c>
      <c r="L846" s="9">
        <v>0.22692052150494441</v>
      </c>
      <c r="M846" s="10">
        <v>506.73438659633501</v>
      </c>
      <c r="N846" s="10">
        <v>557.40782525596853</v>
      </c>
    </row>
    <row r="847" spans="1:14">
      <c r="A847" t="s">
        <v>1967</v>
      </c>
      <c r="B847" t="s">
        <v>7252</v>
      </c>
      <c r="C847" t="s">
        <v>7251</v>
      </c>
      <c r="D847" t="s">
        <v>11</v>
      </c>
      <c r="E847" t="s">
        <v>13</v>
      </c>
      <c r="F847" t="s">
        <v>1970</v>
      </c>
      <c r="G847" t="s">
        <v>12</v>
      </c>
      <c r="I847" t="s">
        <v>7252</v>
      </c>
      <c r="J847" t="s">
        <v>8390</v>
      </c>
      <c r="K847" s="10">
        <v>125.39681824891481</v>
      </c>
      <c r="L847" s="9">
        <v>0.3763564752589828</v>
      </c>
      <c r="M847" s="10">
        <v>433.09569125859127</v>
      </c>
      <c r="N847" s="10">
        <v>476.40526038445046</v>
      </c>
    </row>
    <row r="848" spans="1:14">
      <c r="A848" t="s">
        <v>1967</v>
      </c>
      <c r="B848" t="s">
        <v>7253</v>
      </c>
      <c r="C848" t="s">
        <v>7251</v>
      </c>
      <c r="D848" t="s">
        <v>11</v>
      </c>
      <c r="E848" t="s">
        <v>13</v>
      </c>
      <c r="F848" t="s">
        <v>1970</v>
      </c>
      <c r="G848" t="s">
        <v>12</v>
      </c>
      <c r="I848" t="s">
        <v>7253</v>
      </c>
      <c r="J848" t="s">
        <v>8391</v>
      </c>
      <c r="K848" s="11">
        <v>50.444964526879069</v>
      </c>
      <c r="L848" s="9">
        <v>0.1820355704459071</v>
      </c>
      <c r="M848" s="10">
        <v>382.26735289065942</v>
      </c>
      <c r="N848" s="10">
        <v>420.4940881797254</v>
      </c>
    </row>
    <row r="849" spans="1:14">
      <c r="A849" t="s">
        <v>1967</v>
      </c>
      <c r="B849" t="s">
        <v>7254</v>
      </c>
      <c r="C849" t="s">
        <v>7255</v>
      </c>
      <c r="D849" t="s">
        <v>11</v>
      </c>
      <c r="E849" t="s">
        <v>13</v>
      </c>
      <c r="F849" t="s">
        <v>1970</v>
      </c>
      <c r="G849" t="s">
        <v>12</v>
      </c>
      <c r="I849" t="s">
        <v>7254</v>
      </c>
      <c r="J849" t="s">
        <v>8392</v>
      </c>
      <c r="K849" s="11">
        <v>16.88926655650825</v>
      </c>
      <c r="L849" s="9">
        <v>0.13618129474694149</v>
      </c>
      <c r="M849" s="11">
        <v>82.555663084614935</v>
      </c>
      <c r="N849" s="11">
        <v>90.811229393076431</v>
      </c>
    </row>
    <row r="850" spans="1:14">
      <c r="A850" t="s">
        <v>1967</v>
      </c>
      <c r="B850" t="s">
        <v>7256</v>
      </c>
      <c r="C850" t="s">
        <v>7257</v>
      </c>
      <c r="D850" t="s">
        <v>11</v>
      </c>
      <c r="E850" t="s">
        <v>13</v>
      </c>
      <c r="F850" t="s">
        <v>1970</v>
      </c>
      <c r="G850" t="s">
        <v>12</v>
      </c>
      <c r="I850" t="s">
        <v>7256</v>
      </c>
      <c r="J850" t="s">
        <v>8393</v>
      </c>
      <c r="K850" s="11">
        <v>21.850776409927175</v>
      </c>
      <c r="L850" s="9">
        <v>0.1624451038817889</v>
      </c>
      <c r="M850" s="10">
        <v>144.56143153168071</v>
      </c>
      <c r="N850" s="10">
        <v>159.0175746848488</v>
      </c>
    </row>
    <row r="851" spans="1:14">
      <c r="A851" t="s">
        <v>1967</v>
      </c>
      <c r="B851" t="s">
        <v>7258</v>
      </c>
      <c r="C851" t="s">
        <v>7259</v>
      </c>
      <c r="D851" t="s">
        <v>11</v>
      </c>
      <c r="E851" t="s">
        <v>13</v>
      </c>
      <c r="F851" t="s">
        <v>1970</v>
      </c>
      <c r="G851" t="s">
        <v>12</v>
      </c>
      <c r="I851" t="s">
        <v>7258</v>
      </c>
      <c r="J851" t="s">
        <v>8394</v>
      </c>
      <c r="K851" s="11">
        <v>15.376942672332788</v>
      </c>
      <c r="L851" s="9">
        <v>0.13257643504194089</v>
      </c>
      <c r="M851" s="10">
        <v>211.45770296242085</v>
      </c>
      <c r="N851" s="10">
        <v>232.60347325866294</v>
      </c>
    </row>
    <row r="852" spans="1:14">
      <c r="A852" t="s">
        <v>1967</v>
      </c>
      <c r="B852" t="s">
        <v>7260</v>
      </c>
      <c r="C852" t="s">
        <v>7261</v>
      </c>
      <c r="D852" t="s">
        <v>11</v>
      </c>
      <c r="E852" t="s">
        <v>13</v>
      </c>
      <c r="F852" t="s">
        <v>1970</v>
      </c>
      <c r="G852" t="s">
        <v>12</v>
      </c>
      <c r="I852" t="s">
        <v>7260</v>
      </c>
      <c r="J852" t="s">
        <v>8395</v>
      </c>
      <c r="K852" s="9">
        <v>4.2256812942708839</v>
      </c>
      <c r="L852" s="9">
        <v>0.1173506679912719</v>
      </c>
      <c r="M852" s="10">
        <v>153.25738001282883</v>
      </c>
      <c r="N852" s="10">
        <v>168.58311801411173</v>
      </c>
    </row>
    <row r="853" spans="1:14">
      <c r="A853" t="s">
        <v>1967</v>
      </c>
      <c r="B853" t="s">
        <v>7262</v>
      </c>
      <c r="C853" t="s">
        <v>7263</v>
      </c>
      <c r="D853" t="s">
        <v>11</v>
      </c>
      <c r="E853" t="s">
        <v>13</v>
      </c>
      <c r="F853" t="s">
        <v>1970</v>
      </c>
      <c r="G853" t="s">
        <v>12</v>
      </c>
      <c r="I853" t="s">
        <v>7262</v>
      </c>
      <c r="J853" t="s">
        <v>8396</v>
      </c>
      <c r="K853" s="10">
        <v>227.2963165699189</v>
      </c>
      <c r="L853" s="9">
        <v>0.44296044619436259</v>
      </c>
      <c r="M853" s="10">
        <v>220.10374904828868</v>
      </c>
      <c r="N853" s="10">
        <v>242.11412395311757</v>
      </c>
    </row>
    <row r="854" spans="1:14">
      <c r="A854" t="s">
        <v>1967</v>
      </c>
      <c r="B854" t="s">
        <v>7264</v>
      </c>
      <c r="C854" t="s">
        <v>7265</v>
      </c>
      <c r="D854" t="s">
        <v>11</v>
      </c>
      <c r="E854" t="s">
        <v>13</v>
      </c>
      <c r="F854" t="s">
        <v>1970</v>
      </c>
      <c r="G854" t="s">
        <v>12</v>
      </c>
      <c r="I854" t="s">
        <v>7264</v>
      </c>
      <c r="J854" t="s">
        <v>8397</v>
      </c>
      <c r="K854" s="10">
        <v>357.92923348423443</v>
      </c>
      <c r="L854" s="9">
        <v>0.48033804261479751</v>
      </c>
      <c r="M854" s="10">
        <v>279.36147041695574</v>
      </c>
      <c r="N854" s="10">
        <v>307.29761745865136</v>
      </c>
    </row>
    <row r="855" spans="1:14">
      <c r="A855" t="s">
        <v>1967</v>
      </c>
      <c r="B855" t="s">
        <v>7266</v>
      </c>
      <c r="C855" t="s">
        <v>7267</v>
      </c>
      <c r="D855" t="s">
        <v>11</v>
      </c>
      <c r="E855" t="s">
        <v>13</v>
      </c>
      <c r="F855" t="s">
        <v>1970</v>
      </c>
      <c r="G855" t="s">
        <v>12</v>
      </c>
      <c r="I855" t="s">
        <v>7266</v>
      </c>
      <c r="J855" t="s">
        <v>8398</v>
      </c>
      <c r="K855" s="11">
        <v>14.211274061280024</v>
      </c>
      <c r="L855" s="9">
        <v>0.17675056824787089</v>
      </c>
      <c r="M855" s="11">
        <v>96.480465385614735</v>
      </c>
      <c r="N855" s="10">
        <v>106.12851192417622</v>
      </c>
    </row>
    <row r="856" spans="1:14">
      <c r="A856" t="s">
        <v>1967</v>
      </c>
      <c r="B856" t="s">
        <v>7268</v>
      </c>
      <c r="C856" t="s">
        <v>7269</v>
      </c>
      <c r="D856" t="s">
        <v>11</v>
      </c>
      <c r="E856" t="s">
        <v>13</v>
      </c>
      <c r="F856" t="s">
        <v>1970</v>
      </c>
      <c r="G856" t="s">
        <v>12</v>
      </c>
      <c r="I856" t="s">
        <v>7268</v>
      </c>
      <c r="J856" t="s">
        <v>8399</v>
      </c>
      <c r="K856" s="11">
        <v>69.860042676603626</v>
      </c>
      <c r="L856" s="9">
        <v>0.23262493442363619</v>
      </c>
      <c r="M856" s="11">
        <v>94.951605413622616</v>
      </c>
      <c r="N856" s="10">
        <v>104.44676595498488</v>
      </c>
    </row>
    <row r="857" spans="1:14">
      <c r="A857" t="s">
        <v>1967</v>
      </c>
      <c r="B857" t="s">
        <v>7270</v>
      </c>
      <c r="C857" t="s">
        <v>7269</v>
      </c>
      <c r="D857" t="s">
        <v>11</v>
      </c>
      <c r="E857" t="s">
        <v>13</v>
      </c>
      <c r="F857" t="s">
        <v>1970</v>
      </c>
      <c r="G857" t="s">
        <v>12</v>
      </c>
      <c r="I857" t="s">
        <v>7270</v>
      </c>
      <c r="J857" t="s">
        <v>8400</v>
      </c>
      <c r="K857" s="10">
        <v>152.57758855947986</v>
      </c>
      <c r="L857" s="9">
        <v>0.40938262013022247</v>
      </c>
      <c r="M857" s="10">
        <v>167.91885225988577</v>
      </c>
      <c r="N857" s="10">
        <v>184.71073748587435</v>
      </c>
    </row>
    <row r="858" spans="1:14">
      <c r="A858" t="s">
        <v>1967</v>
      </c>
      <c r="B858" t="s">
        <v>7271</v>
      </c>
      <c r="C858" t="s">
        <v>7272</v>
      </c>
      <c r="D858" t="s">
        <v>11</v>
      </c>
      <c r="E858" t="s">
        <v>13</v>
      </c>
      <c r="F858" t="s">
        <v>1970</v>
      </c>
      <c r="G858" t="s">
        <v>12</v>
      </c>
      <c r="I858" t="s">
        <v>7271</v>
      </c>
      <c r="J858" t="s">
        <v>8401</v>
      </c>
      <c r="K858" s="11">
        <v>23.731747377286986</v>
      </c>
      <c r="L858" s="9">
        <v>0.1239609190675396</v>
      </c>
      <c r="M858" s="10">
        <v>165.32651005295511</v>
      </c>
      <c r="N858" s="10">
        <v>181.85916105825063</v>
      </c>
    </row>
    <row r="859" spans="1:14">
      <c r="A859" t="s">
        <v>1967</v>
      </c>
      <c r="B859" t="s">
        <v>7273</v>
      </c>
      <c r="C859" t="s">
        <v>7274</v>
      </c>
      <c r="D859" t="s">
        <v>11</v>
      </c>
      <c r="E859" t="s">
        <v>13</v>
      </c>
      <c r="F859" t="s">
        <v>1970</v>
      </c>
      <c r="G859" t="s">
        <v>12</v>
      </c>
      <c r="I859" t="s">
        <v>7273</v>
      </c>
      <c r="J859" t="s">
        <v>8402</v>
      </c>
      <c r="K859" s="9">
        <v>1.8631093605353259</v>
      </c>
      <c r="L859" s="12">
        <v>8.2650457071287403E-2</v>
      </c>
      <c r="M859" s="11">
        <v>42.549226134694052</v>
      </c>
      <c r="N859" s="11">
        <v>46.804148748163463</v>
      </c>
    </row>
    <row r="860" spans="1:14">
      <c r="A860" t="s">
        <v>1967</v>
      </c>
      <c r="B860" t="s">
        <v>7275</v>
      </c>
      <c r="C860" t="s">
        <v>7276</v>
      </c>
      <c r="D860" t="s">
        <v>11</v>
      </c>
      <c r="E860" t="s">
        <v>13</v>
      </c>
      <c r="F860" t="s">
        <v>1970</v>
      </c>
      <c r="G860" t="s">
        <v>12</v>
      </c>
      <c r="I860" t="s">
        <v>7275</v>
      </c>
      <c r="J860" t="s">
        <v>8403</v>
      </c>
      <c r="K860" s="11">
        <v>16.634268741259646</v>
      </c>
      <c r="L860" s="9">
        <v>0.19326805050094439</v>
      </c>
      <c r="M860" s="11">
        <v>82.367454868206096</v>
      </c>
      <c r="N860" s="11">
        <v>90.60420035502672</v>
      </c>
    </row>
    <row r="861" spans="1:14">
      <c r="A861" t="s">
        <v>1967</v>
      </c>
      <c r="B861" t="s">
        <v>7277</v>
      </c>
      <c r="C861" t="s">
        <v>7278</v>
      </c>
      <c r="D861" t="s">
        <v>11</v>
      </c>
      <c r="E861" t="s">
        <v>13</v>
      </c>
      <c r="F861" t="s">
        <v>1970</v>
      </c>
      <c r="G861" t="s">
        <v>12</v>
      </c>
      <c r="I861" t="s">
        <v>7277</v>
      </c>
      <c r="J861" t="s">
        <v>8404</v>
      </c>
      <c r="K861" s="9">
        <v>9.7394887917143258</v>
      </c>
      <c r="L861" s="9">
        <v>0.1439610396731186</v>
      </c>
      <c r="M861" s="10">
        <v>161.09286686032516</v>
      </c>
      <c r="N861" s="10">
        <v>177.20215354635769</v>
      </c>
    </row>
    <row r="862" spans="1:14">
      <c r="A862" t="s">
        <v>1967</v>
      </c>
      <c r="B862" t="s">
        <v>7279</v>
      </c>
      <c r="C862" t="s">
        <v>7280</v>
      </c>
      <c r="D862" t="s">
        <v>11</v>
      </c>
      <c r="E862" t="s">
        <v>13</v>
      </c>
      <c r="F862" t="s">
        <v>1970</v>
      </c>
      <c r="G862" t="s">
        <v>12</v>
      </c>
      <c r="I862" t="s">
        <v>7279</v>
      </c>
      <c r="J862" t="s">
        <v>8405</v>
      </c>
      <c r="K862" s="11">
        <v>13.4681152698861</v>
      </c>
      <c r="L862" s="9">
        <v>0.11933926210652029</v>
      </c>
      <c r="M862" s="11">
        <v>97.815299546727687</v>
      </c>
      <c r="N862" s="10">
        <v>107.59682950140046</v>
      </c>
    </row>
    <row r="863" spans="1:14">
      <c r="A863" t="s">
        <v>1967</v>
      </c>
      <c r="B863" t="s">
        <v>7281</v>
      </c>
      <c r="C863" t="s">
        <v>7282</v>
      </c>
      <c r="D863" t="s">
        <v>11</v>
      </c>
      <c r="E863" t="s">
        <v>13</v>
      </c>
      <c r="F863" t="s">
        <v>1970</v>
      </c>
      <c r="G863" t="s">
        <v>12</v>
      </c>
      <c r="I863" t="s">
        <v>7281</v>
      </c>
      <c r="J863" t="s">
        <v>8406</v>
      </c>
      <c r="K863" s="9">
        <v>4.8552200091022257</v>
      </c>
      <c r="L863" s="9">
        <v>0.1014921957709989</v>
      </c>
      <c r="M863" s="11">
        <v>77.59602580867562</v>
      </c>
      <c r="N863" s="11">
        <v>85.355628389543185</v>
      </c>
    </row>
    <row r="864" spans="1:14">
      <c r="A864" t="s">
        <v>1967</v>
      </c>
      <c r="B864" t="s">
        <v>7283</v>
      </c>
      <c r="C864" t="s">
        <v>7284</v>
      </c>
      <c r="D864" t="s">
        <v>11</v>
      </c>
      <c r="E864" t="s">
        <v>13</v>
      </c>
      <c r="F864" t="s">
        <v>1970</v>
      </c>
      <c r="G864" t="s">
        <v>12</v>
      </c>
      <c r="I864" t="s">
        <v>7283</v>
      </c>
      <c r="J864" t="s">
        <v>8407</v>
      </c>
      <c r="K864" s="9">
        <v>0.64519150473857079</v>
      </c>
      <c r="L864" s="9">
        <v>0.17330927032667931</v>
      </c>
      <c r="M864" s="10">
        <v>176.87852454139414</v>
      </c>
      <c r="N864" s="10">
        <v>194.56637699553357</v>
      </c>
    </row>
    <row r="865" spans="1:14">
      <c r="A865" t="s">
        <v>1967</v>
      </c>
      <c r="B865" t="s">
        <v>7285</v>
      </c>
      <c r="C865" t="s">
        <v>7286</v>
      </c>
      <c r="D865" t="s">
        <v>11</v>
      </c>
      <c r="E865" t="s">
        <v>13</v>
      </c>
      <c r="F865" t="s">
        <v>1970</v>
      </c>
      <c r="G865" t="s">
        <v>12</v>
      </c>
      <c r="I865" t="s">
        <v>7285</v>
      </c>
      <c r="J865" t="s">
        <v>8408</v>
      </c>
      <c r="K865" s="9">
        <v>0.40031757038553206</v>
      </c>
      <c r="L865" s="9">
        <v>0.1264581279217574</v>
      </c>
      <c r="M865" s="10">
        <v>132.53814887956514</v>
      </c>
      <c r="N865" s="10">
        <v>145.79196376752168</v>
      </c>
    </row>
    <row r="866" spans="1:14">
      <c r="A866" t="s">
        <v>1967</v>
      </c>
      <c r="B866" t="s">
        <v>7287</v>
      </c>
      <c r="C866" t="s">
        <v>7288</v>
      </c>
      <c r="D866" t="s">
        <v>11</v>
      </c>
      <c r="E866" t="s">
        <v>13</v>
      </c>
      <c r="F866" t="s">
        <v>1970</v>
      </c>
      <c r="G866" t="s">
        <v>12</v>
      </c>
      <c r="I866" t="s">
        <v>7287</v>
      </c>
      <c r="J866" t="s">
        <v>8409</v>
      </c>
      <c r="K866" s="9">
        <v>0.16648139533435402</v>
      </c>
      <c r="L866" s="13">
        <v>5.0489843500311996E-3</v>
      </c>
      <c r="M866" s="10">
        <v>187.64338318215241</v>
      </c>
      <c r="N866" s="10">
        <v>206.40772150036767</v>
      </c>
    </row>
    <row r="867" spans="1:14">
      <c r="A867" t="s">
        <v>1967</v>
      </c>
      <c r="B867" t="s">
        <v>7289</v>
      </c>
      <c r="C867" t="s">
        <v>7290</v>
      </c>
      <c r="D867" t="s">
        <v>11</v>
      </c>
      <c r="E867" t="s">
        <v>13</v>
      </c>
      <c r="F867" t="s">
        <v>1970</v>
      </c>
      <c r="G867" t="s">
        <v>12</v>
      </c>
      <c r="I867" t="s">
        <v>7289</v>
      </c>
      <c r="J867" t="s">
        <v>8410</v>
      </c>
      <c r="K867" s="12">
        <v>1.4250000000000001E-2</v>
      </c>
      <c r="L867" s="13">
        <v>2.5563826366871E-3</v>
      </c>
      <c r="M867" s="10">
        <v>256.24787800136806</v>
      </c>
      <c r="N867" s="10">
        <v>281.87266580150492</v>
      </c>
    </row>
    <row r="868" spans="1:14">
      <c r="A868" t="s">
        <v>1967</v>
      </c>
      <c r="B868" t="s">
        <v>7291</v>
      </c>
      <c r="C868" t="s">
        <v>7292</v>
      </c>
      <c r="D868" t="s">
        <v>11</v>
      </c>
      <c r="E868" t="s">
        <v>13</v>
      </c>
      <c r="F868" t="s">
        <v>1970</v>
      </c>
      <c r="G868" t="s">
        <v>12</v>
      </c>
      <c r="I868" t="s">
        <v>7291</v>
      </c>
      <c r="J868" t="s">
        <v>8411</v>
      </c>
      <c r="K868" s="9">
        <v>5.3442073346075754</v>
      </c>
      <c r="L868" s="12">
        <v>8.3377568646614095E-2</v>
      </c>
      <c r="M868" s="11">
        <v>63.258817825219154</v>
      </c>
      <c r="N868" s="11">
        <v>69.584699607741072</v>
      </c>
    </row>
    <row r="869" spans="1:14">
      <c r="A869" t="s">
        <v>1967</v>
      </c>
      <c r="B869" t="s">
        <v>7293</v>
      </c>
      <c r="C869" t="s">
        <v>7294</v>
      </c>
      <c r="D869" t="s">
        <v>11</v>
      </c>
      <c r="E869" t="s">
        <v>13</v>
      </c>
      <c r="F869" t="s">
        <v>1970</v>
      </c>
      <c r="G869" t="s">
        <v>12</v>
      </c>
      <c r="I869" t="s">
        <v>7293</v>
      </c>
      <c r="J869" t="s">
        <v>8412</v>
      </c>
      <c r="K869" s="9">
        <v>4.8336467547933086</v>
      </c>
      <c r="L869" s="12">
        <v>6.0185532318676099E-2</v>
      </c>
      <c r="M869" s="11">
        <v>34.871405133278564</v>
      </c>
      <c r="N869" s="11">
        <v>38.358545646606423</v>
      </c>
    </row>
    <row r="870" spans="1:14">
      <c r="A870" t="s">
        <v>1967</v>
      </c>
      <c r="B870" t="s">
        <v>7295</v>
      </c>
      <c r="C870" t="s">
        <v>7296</v>
      </c>
      <c r="D870" t="s">
        <v>11</v>
      </c>
      <c r="E870" t="s">
        <v>13</v>
      </c>
      <c r="F870" t="s">
        <v>1970</v>
      </c>
      <c r="G870" t="s">
        <v>12</v>
      </c>
      <c r="I870" t="s">
        <v>7295</v>
      </c>
      <c r="J870" t="s">
        <v>8413</v>
      </c>
      <c r="K870" s="11">
        <v>15.877196348455355</v>
      </c>
      <c r="L870" s="9">
        <v>0.2496362084231013</v>
      </c>
      <c r="M870" s="10">
        <v>211.70417614182111</v>
      </c>
      <c r="N870" s="10">
        <v>232.87459375600324</v>
      </c>
    </row>
    <row r="871" spans="1:14">
      <c r="A871" t="s">
        <v>1967</v>
      </c>
      <c r="B871" t="s">
        <v>7297</v>
      </c>
      <c r="C871" t="s">
        <v>7298</v>
      </c>
      <c r="D871" t="s">
        <v>11</v>
      </c>
      <c r="E871" t="s">
        <v>13</v>
      </c>
      <c r="F871" t="s">
        <v>1970</v>
      </c>
      <c r="G871" t="s">
        <v>12</v>
      </c>
      <c r="I871" t="s">
        <v>7297</v>
      </c>
      <c r="J871" t="s">
        <v>8414</v>
      </c>
      <c r="K871" s="11">
        <v>70.368782444280967</v>
      </c>
      <c r="L871" s="9">
        <v>0.30075690576396319</v>
      </c>
      <c r="M871" s="10">
        <v>107.22160898138796</v>
      </c>
      <c r="N871" s="10">
        <v>117.94376987952677</v>
      </c>
    </row>
    <row r="872" spans="1:14">
      <c r="A872" t="s">
        <v>1967</v>
      </c>
      <c r="B872" t="s">
        <v>7299</v>
      </c>
      <c r="C872" t="s">
        <v>7300</v>
      </c>
      <c r="D872" t="s">
        <v>11</v>
      </c>
      <c r="E872" t="s">
        <v>13</v>
      </c>
      <c r="F872" t="s">
        <v>1970</v>
      </c>
      <c r="G872" t="s">
        <v>12</v>
      </c>
      <c r="I872" t="s">
        <v>7299</v>
      </c>
      <c r="J872" t="s">
        <v>8415</v>
      </c>
      <c r="K872" s="11">
        <v>11.716990784581089</v>
      </c>
      <c r="L872" s="9">
        <v>0.1744717338789421</v>
      </c>
      <c r="M872" s="10">
        <v>170.71893174875797</v>
      </c>
      <c r="N872" s="10">
        <v>187.79082492363378</v>
      </c>
    </row>
    <row r="873" spans="1:14">
      <c r="A873" t="s">
        <v>1967</v>
      </c>
      <c r="B873" t="s">
        <v>7301</v>
      </c>
      <c r="C873" t="s">
        <v>7300</v>
      </c>
      <c r="D873" t="s">
        <v>11</v>
      </c>
      <c r="E873" t="s">
        <v>13</v>
      </c>
      <c r="F873" t="s">
        <v>1970</v>
      </c>
      <c r="G873" t="s">
        <v>12</v>
      </c>
      <c r="I873" t="s">
        <v>7301</v>
      </c>
      <c r="J873" t="s">
        <v>8416</v>
      </c>
      <c r="K873" s="11">
        <v>26.077146420476705</v>
      </c>
      <c r="L873" s="9">
        <v>0.2400845971191877</v>
      </c>
      <c r="M873" s="10">
        <v>123.52529257013268</v>
      </c>
      <c r="N873" s="10">
        <v>135.87782182714597</v>
      </c>
    </row>
    <row r="874" spans="1:14">
      <c r="A874" t="s">
        <v>1967</v>
      </c>
      <c r="B874" t="s">
        <v>7302</v>
      </c>
      <c r="C874" t="s">
        <v>7300</v>
      </c>
      <c r="D874" t="s">
        <v>11</v>
      </c>
      <c r="E874" t="s">
        <v>13</v>
      </c>
      <c r="F874" t="s">
        <v>1970</v>
      </c>
      <c r="G874" t="s">
        <v>12</v>
      </c>
      <c r="I874" t="s">
        <v>7302</v>
      </c>
      <c r="J874" t="s">
        <v>8417</v>
      </c>
      <c r="K874" s="11">
        <v>57.353196520919546</v>
      </c>
      <c r="L874" s="9">
        <v>0.39945765106239178</v>
      </c>
      <c r="M874" s="10">
        <v>182.40893868518063</v>
      </c>
      <c r="N874" s="10">
        <v>200.6498325536987</v>
      </c>
    </row>
    <row r="875" spans="1:14">
      <c r="A875" t="s">
        <v>1967</v>
      </c>
      <c r="B875" t="s">
        <v>7303</v>
      </c>
      <c r="C875" t="s">
        <v>7304</v>
      </c>
      <c r="D875" t="s">
        <v>11</v>
      </c>
      <c r="E875" t="s">
        <v>13</v>
      </c>
      <c r="F875" t="s">
        <v>1970</v>
      </c>
      <c r="G875" t="s">
        <v>12</v>
      </c>
      <c r="I875" t="s">
        <v>7303</v>
      </c>
      <c r="J875" t="s">
        <v>8418</v>
      </c>
      <c r="K875" s="11">
        <v>46.400198789110249</v>
      </c>
      <c r="L875" s="9">
        <v>0.2962518749253355</v>
      </c>
      <c r="M875" s="10">
        <v>127.79865176360951</v>
      </c>
      <c r="N875" s="10">
        <v>140.57851693997048</v>
      </c>
    </row>
    <row r="876" spans="1:14">
      <c r="A876" t="s">
        <v>1967</v>
      </c>
      <c r="B876" t="s">
        <v>7305</v>
      </c>
      <c r="C876" t="s">
        <v>7306</v>
      </c>
      <c r="D876" t="s">
        <v>11</v>
      </c>
      <c r="E876" t="s">
        <v>13</v>
      </c>
      <c r="F876" t="s">
        <v>1970</v>
      </c>
      <c r="G876" t="s">
        <v>12</v>
      </c>
      <c r="I876" t="s">
        <v>7305</v>
      </c>
      <c r="J876" t="s">
        <v>8419</v>
      </c>
      <c r="K876" s="11">
        <v>87.126773694002793</v>
      </c>
      <c r="L876" s="9">
        <v>0.33775052241773351</v>
      </c>
      <c r="M876" s="10">
        <v>151.56850176249995</v>
      </c>
      <c r="N876" s="10">
        <v>166.72535193874995</v>
      </c>
    </row>
    <row r="877" spans="1:14">
      <c r="A877" t="s">
        <v>1967</v>
      </c>
      <c r="B877" t="s">
        <v>7307</v>
      </c>
      <c r="C877" t="s">
        <v>7308</v>
      </c>
      <c r="D877" t="s">
        <v>11</v>
      </c>
      <c r="E877" t="s">
        <v>13</v>
      </c>
      <c r="F877" t="s">
        <v>1970</v>
      </c>
      <c r="G877" t="s">
        <v>12</v>
      </c>
      <c r="I877" t="s">
        <v>7307</v>
      </c>
      <c r="J877" t="s">
        <v>8420</v>
      </c>
      <c r="K877" s="10">
        <v>138.68825317958346</v>
      </c>
      <c r="L877" s="9">
        <v>0.37592989559876611</v>
      </c>
      <c r="M877" s="10">
        <v>220.9589630253044</v>
      </c>
      <c r="N877" s="10">
        <v>243.05485932783486</v>
      </c>
    </row>
    <row r="878" spans="1:14">
      <c r="A878" t="s">
        <v>1967</v>
      </c>
      <c r="B878" t="s">
        <v>7309</v>
      </c>
      <c r="C878" t="s">
        <v>7310</v>
      </c>
      <c r="D878" t="s">
        <v>11</v>
      </c>
      <c r="E878" t="s">
        <v>13</v>
      </c>
      <c r="F878" t="s">
        <v>1970</v>
      </c>
      <c r="G878" t="s">
        <v>12</v>
      </c>
      <c r="I878" t="s">
        <v>7309</v>
      </c>
      <c r="J878" t="s">
        <v>8421</v>
      </c>
      <c r="K878" s="11">
        <v>23.86199514751328</v>
      </c>
      <c r="L878" s="9">
        <v>0.41297219231095472</v>
      </c>
      <c r="M878" s="11">
        <v>45.323908256965083</v>
      </c>
      <c r="N878" s="11">
        <v>49.856299082661593</v>
      </c>
    </row>
    <row r="879" spans="1:14">
      <c r="A879" t="s">
        <v>1967</v>
      </c>
      <c r="B879" t="s">
        <v>7311</v>
      </c>
      <c r="C879" t="s">
        <v>7312</v>
      </c>
      <c r="D879" t="s">
        <v>11</v>
      </c>
      <c r="E879" t="s">
        <v>13</v>
      </c>
      <c r="F879" t="s">
        <v>1970</v>
      </c>
      <c r="G879" t="s">
        <v>12</v>
      </c>
      <c r="I879" t="s">
        <v>7311</v>
      </c>
      <c r="J879" t="s">
        <v>8422</v>
      </c>
      <c r="K879" s="9">
        <v>5.64975</v>
      </c>
      <c r="L879" s="9">
        <v>0.1965511465168156</v>
      </c>
      <c r="M879" s="11">
        <v>25.132526993250224</v>
      </c>
      <c r="N879" s="11">
        <v>27.64577969257525</v>
      </c>
    </row>
    <row r="880" spans="1:14">
      <c r="A880" t="s">
        <v>1967</v>
      </c>
      <c r="B880" t="s">
        <v>7313</v>
      </c>
      <c r="C880" t="s">
        <v>7314</v>
      </c>
      <c r="D880" t="s">
        <v>11</v>
      </c>
      <c r="E880" t="s">
        <v>13</v>
      </c>
      <c r="F880" t="s">
        <v>1970</v>
      </c>
      <c r="G880" t="s">
        <v>12</v>
      </c>
      <c r="I880" t="s">
        <v>7313</v>
      </c>
      <c r="J880" t="s">
        <v>8423</v>
      </c>
      <c r="K880" s="9">
        <v>1.1509627472287989</v>
      </c>
      <c r="L880" s="9">
        <v>0.1826924269784635</v>
      </c>
      <c r="M880" s="11">
        <v>54.490520282060771</v>
      </c>
      <c r="N880" s="11">
        <v>59.939572310266854</v>
      </c>
    </row>
    <row r="881" spans="1:14">
      <c r="A881" t="s">
        <v>1967</v>
      </c>
      <c r="B881" t="s">
        <v>7315</v>
      </c>
      <c r="C881" t="s">
        <v>7316</v>
      </c>
      <c r="D881" t="s">
        <v>11</v>
      </c>
      <c r="E881" t="s">
        <v>13</v>
      </c>
      <c r="F881" t="s">
        <v>1970</v>
      </c>
      <c r="G881" t="s">
        <v>12</v>
      </c>
      <c r="I881" t="s">
        <v>7315</v>
      </c>
      <c r="J881" t="s">
        <v>8424</v>
      </c>
      <c r="K881" s="9">
        <v>8.3365786700535587</v>
      </c>
      <c r="L881" s="9">
        <v>0.24034181109294639</v>
      </c>
      <c r="M881" s="11">
        <v>29.920186944846154</v>
      </c>
      <c r="N881" s="11">
        <v>32.912205639330772</v>
      </c>
    </row>
    <row r="882" spans="1:14">
      <c r="A882" t="s">
        <v>1967</v>
      </c>
      <c r="B882" t="s">
        <v>7317</v>
      </c>
      <c r="C882" t="s">
        <v>7318</v>
      </c>
      <c r="D882" t="s">
        <v>11</v>
      </c>
      <c r="E882" t="s">
        <v>13</v>
      </c>
      <c r="F882" t="s">
        <v>1970</v>
      </c>
      <c r="G882" t="s">
        <v>12</v>
      </c>
      <c r="I882" t="s">
        <v>7317</v>
      </c>
      <c r="J882" t="s">
        <v>8425</v>
      </c>
      <c r="K882" s="10">
        <v>102.70897326883788</v>
      </c>
      <c r="L882" s="9">
        <v>0.39319824563592681</v>
      </c>
      <c r="M882" s="10">
        <v>153.12395742518029</v>
      </c>
      <c r="N882" s="10">
        <v>168.43635316769834</v>
      </c>
    </row>
    <row r="883" spans="1:14">
      <c r="A883" t="s">
        <v>1967</v>
      </c>
      <c r="B883" t="s">
        <v>7319</v>
      </c>
      <c r="C883" t="s">
        <v>7318</v>
      </c>
      <c r="D883" t="s">
        <v>11</v>
      </c>
      <c r="E883" t="s">
        <v>13</v>
      </c>
      <c r="F883" t="s">
        <v>1970</v>
      </c>
      <c r="G883" t="s">
        <v>12</v>
      </c>
      <c r="I883" t="s">
        <v>7319</v>
      </c>
      <c r="J883" t="s">
        <v>8426</v>
      </c>
      <c r="K883" s="11">
        <v>29.993327271078957</v>
      </c>
      <c r="L883" s="9">
        <v>0.35996905463711742</v>
      </c>
      <c r="M883" s="11">
        <v>43.505490090403271</v>
      </c>
      <c r="N883" s="11">
        <v>47.856039099443599</v>
      </c>
    </row>
    <row r="884" spans="1:14">
      <c r="A884" t="s">
        <v>1967</v>
      </c>
      <c r="B884" t="s">
        <v>7320</v>
      </c>
      <c r="C884" t="s">
        <v>7321</v>
      </c>
      <c r="D884" t="s">
        <v>11</v>
      </c>
      <c r="E884" t="s">
        <v>13</v>
      </c>
      <c r="F884" t="s">
        <v>1970</v>
      </c>
      <c r="G884" t="s">
        <v>12</v>
      </c>
      <c r="I884" t="s">
        <v>7320</v>
      </c>
      <c r="J884" t="s">
        <v>8427</v>
      </c>
      <c r="K884" s="11">
        <v>11.1080337312184</v>
      </c>
      <c r="L884" s="9">
        <v>0.26580237634558002</v>
      </c>
      <c r="M884" s="11">
        <v>35.468727028095017</v>
      </c>
      <c r="N884" s="11">
        <v>39.015599730904519</v>
      </c>
    </row>
    <row r="885" spans="1:14">
      <c r="A885" t="s">
        <v>1967</v>
      </c>
      <c r="B885" t="s">
        <v>7322</v>
      </c>
      <c r="C885" t="s">
        <v>7323</v>
      </c>
      <c r="D885" t="s">
        <v>11</v>
      </c>
      <c r="E885" t="s">
        <v>13</v>
      </c>
      <c r="F885" t="s">
        <v>1970</v>
      </c>
      <c r="G885" t="s">
        <v>12</v>
      </c>
      <c r="I885" t="s">
        <v>7322</v>
      </c>
      <c r="J885" t="s">
        <v>8428</v>
      </c>
      <c r="K885" s="9">
        <v>9.8119848688243678</v>
      </c>
      <c r="L885" s="9">
        <v>0.1325794831241251</v>
      </c>
      <c r="M885" s="11">
        <v>54.564237446434845</v>
      </c>
      <c r="N885" s="11">
        <v>60.020661191078332</v>
      </c>
    </row>
    <row r="886" spans="1:14">
      <c r="A886" t="s">
        <v>1967</v>
      </c>
      <c r="B886" t="s">
        <v>7324</v>
      </c>
      <c r="C886" t="s">
        <v>7325</v>
      </c>
      <c r="D886" t="s">
        <v>11</v>
      </c>
      <c r="E886" t="s">
        <v>13</v>
      </c>
      <c r="F886" t="s">
        <v>1970</v>
      </c>
      <c r="G886" t="s">
        <v>12</v>
      </c>
      <c r="I886" t="s">
        <v>7324</v>
      </c>
      <c r="J886" t="s">
        <v>8429</v>
      </c>
      <c r="K886" s="9">
        <v>7.6237188162528025</v>
      </c>
      <c r="L886" s="9">
        <v>0.1254208312642637</v>
      </c>
      <c r="M886" s="11">
        <v>79.703124590052667</v>
      </c>
      <c r="N886" s="11">
        <v>87.673437049057938</v>
      </c>
    </row>
    <row r="887" spans="1:14">
      <c r="A887" t="s">
        <v>1967</v>
      </c>
      <c r="B887" t="s">
        <v>7326</v>
      </c>
      <c r="C887" t="s">
        <v>7327</v>
      </c>
      <c r="D887" t="s">
        <v>11</v>
      </c>
      <c r="E887" t="s">
        <v>13</v>
      </c>
      <c r="F887" t="s">
        <v>1970</v>
      </c>
      <c r="G887" t="s">
        <v>12</v>
      </c>
      <c r="I887" t="s">
        <v>7326</v>
      </c>
      <c r="J887" t="s">
        <v>8430</v>
      </c>
      <c r="K887" s="11">
        <v>13.75423851622293</v>
      </c>
      <c r="L887" s="9">
        <v>0.12568379058422099</v>
      </c>
      <c r="M887" s="11">
        <v>69.401714587833382</v>
      </c>
      <c r="N887" s="11">
        <v>76.341886046616722</v>
      </c>
    </row>
    <row r="888" spans="1:14">
      <c r="A888" t="s">
        <v>1967</v>
      </c>
      <c r="B888" t="s">
        <v>7328</v>
      </c>
      <c r="C888" t="s">
        <v>7329</v>
      </c>
      <c r="D888" t="s">
        <v>11</v>
      </c>
      <c r="E888" t="s">
        <v>13</v>
      </c>
      <c r="F888" t="s">
        <v>1970</v>
      </c>
      <c r="G888" t="s">
        <v>12</v>
      </c>
      <c r="I888" t="s">
        <v>7328</v>
      </c>
      <c r="J888" t="s">
        <v>8431</v>
      </c>
      <c r="K888" s="11">
        <v>11.167095196127477</v>
      </c>
      <c r="L888" s="9">
        <v>0.1954080952514638</v>
      </c>
      <c r="M888" s="11">
        <v>43.553994326998257</v>
      </c>
      <c r="N888" s="11">
        <v>47.909393759698084</v>
      </c>
    </row>
    <row r="889" spans="1:14">
      <c r="A889" t="s">
        <v>1967</v>
      </c>
      <c r="B889" t="s">
        <v>7330</v>
      </c>
      <c r="C889" t="s">
        <v>7331</v>
      </c>
      <c r="D889" t="s">
        <v>11</v>
      </c>
      <c r="E889" t="s">
        <v>13</v>
      </c>
      <c r="F889" t="s">
        <v>1970</v>
      </c>
      <c r="G889" t="s">
        <v>12</v>
      </c>
      <c r="I889" t="s">
        <v>7330</v>
      </c>
      <c r="J889" t="s">
        <v>8432</v>
      </c>
      <c r="K889" s="9">
        <v>6.4455356844895197</v>
      </c>
      <c r="L889" s="9">
        <v>0.26181302480725971</v>
      </c>
      <c r="M889" s="11">
        <v>65.483819964443796</v>
      </c>
      <c r="N889" s="11">
        <v>72.032201960888187</v>
      </c>
    </row>
    <row r="890" spans="1:14">
      <c r="A890" t="s">
        <v>1967</v>
      </c>
      <c r="B890" t="s">
        <v>7332</v>
      </c>
      <c r="C890" t="s">
        <v>7333</v>
      </c>
      <c r="D890" t="s">
        <v>11</v>
      </c>
      <c r="E890" t="s">
        <v>13</v>
      </c>
      <c r="F890" t="s">
        <v>1970</v>
      </c>
      <c r="G890" t="s">
        <v>12</v>
      </c>
      <c r="I890" t="s">
        <v>7332</v>
      </c>
      <c r="J890" t="s">
        <v>8433</v>
      </c>
      <c r="K890" s="9">
        <v>2.5201990947465656</v>
      </c>
      <c r="L890" s="9">
        <v>0.1256595731225571</v>
      </c>
      <c r="M890" s="11">
        <v>76.408152617421536</v>
      </c>
      <c r="N890" s="11">
        <v>84.048967879163698</v>
      </c>
    </row>
    <row r="891" spans="1:14">
      <c r="A891" t="s">
        <v>1967</v>
      </c>
      <c r="B891" t="s">
        <v>7334</v>
      </c>
      <c r="C891" t="s">
        <v>7335</v>
      </c>
      <c r="D891" t="s">
        <v>11</v>
      </c>
      <c r="E891" t="s">
        <v>13</v>
      </c>
      <c r="F891" t="s">
        <v>1970</v>
      </c>
      <c r="G891" t="s">
        <v>12</v>
      </c>
      <c r="I891" t="s">
        <v>7334</v>
      </c>
      <c r="J891" t="s">
        <v>8434</v>
      </c>
      <c r="K891" s="9">
        <v>1.0942593066333577</v>
      </c>
      <c r="L891" s="9">
        <v>0.1992690679053522</v>
      </c>
      <c r="M891" s="11">
        <v>59.800076218468789</v>
      </c>
      <c r="N891" s="11">
        <v>65.780083840315669</v>
      </c>
    </row>
    <row r="892" spans="1:14">
      <c r="A892" t="s">
        <v>1967</v>
      </c>
      <c r="B892" t="s">
        <v>7336</v>
      </c>
      <c r="C892" t="s">
        <v>7337</v>
      </c>
      <c r="D892" t="s">
        <v>11</v>
      </c>
      <c r="E892" t="s">
        <v>13</v>
      </c>
      <c r="F892" t="s">
        <v>1970</v>
      </c>
      <c r="G892" t="s">
        <v>12</v>
      </c>
      <c r="I892" t="s">
        <v>7336</v>
      </c>
      <c r="J892" t="s">
        <v>8435</v>
      </c>
      <c r="K892" s="9">
        <v>1.1292507650217598</v>
      </c>
      <c r="L892" s="9">
        <v>0.2056427421440471</v>
      </c>
      <c r="M892" s="11">
        <v>20.603092113752329</v>
      </c>
      <c r="N892" s="11">
        <v>22.663401325127563</v>
      </c>
    </row>
    <row r="893" spans="1:14">
      <c r="A893" t="s">
        <v>1967</v>
      </c>
      <c r="B893" t="s">
        <v>7338</v>
      </c>
      <c r="C893" t="s">
        <v>7339</v>
      </c>
      <c r="D893" t="s">
        <v>11</v>
      </c>
      <c r="E893" t="s">
        <v>13</v>
      </c>
      <c r="F893" t="s">
        <v>1970</v>
      </c>
      <c r="G893" t="s">
        <v>12</v>
      </c>
      <c r="I893" t="s">
        <v>7338</v>
      </c>
      <c r="J893" t="s">
        <v>8436</v>
      </c>
      <c r="K893" s="12">
        <v>4.1708900933846806E-2</v>
      </c>
      <c r="L893" s="9">
        <v>0.25961693054932222</v>
      </c>
      <c r="M893" s="11">
        <v>41.900802379343681</v>
      </c>
      <c r="N893" s="11">
        <v>46.090882617278055</v>
      </c>
    </row>
    <row r="894" spans="1:14">
      <c r="A894" t="s">
        <v>1967</v>
      </c>
      <c r="B894" t="s">
        <v>7340</v>
      </c>
      <c r="C894" t="s">
        <v>7341</v>
      </c>
      <c r="D894" t="s">
        <v>11</v>
      </c>
      <c r="E894" t="s">
        <v>13</v>
      </c>
      <c r="F894" t="s">
        <v>1970</v>
      </c>
      <c r="G894" t="s">
        <v>12</v>
      </c>
      <c r="I894" t="s">
        <v>7340</v>
      </c>
      <c r="J894" t="s">
        <v>8437</v>
      </c>
      <c r="K894" s="9">
        <v>0.21931096256435592</v>
      </c>
      <c r="L894" s="9">
        <v>0.37408794887815838</v>
      </c>
      <c r="M894" s="10">
        <v>160.63236441804324</v>
      </c>
      <c r="N894" s="10">
        <v>176.69560085984759</v>
      </c>
    </row>
    <row r="895" spans="1:14">
      <c r="A895" t="s">
        <v>1967</v>
      </c>
      <c r="B895" t="s">
        <v>7342</v>
      </c>
      <c r="C895" t="s">
        <v>7343</v>
      </c>
      <c r="D895" t="s">
        <v>11</v>
      </c>
      <c r="E895" t="s">
        <v>13</v>
      </c>
      <c r="F895" t="s">
        <v>1970</v>
      </c>
      <c r="G895" t="s">
        <v>12</v>
      </c>
      <c r="I895" t="s">
        <v>7342</v>
      </c>
      <c r="J895" t="s">
        <v>8438</v>
      </c>
      <c r="K895" s="9">
        <v>4.4721927068661866</v>
      </c>
      <c r="L895" s="9">
        <v>0.12865287020581739</v>
      </c>
      <c r="M895" s="11">
        <v>79.527572838375491</v>
      </c>
      <c r="N895" s="11">
        <v>87.480330122213047</v>
      </c>
    </row>
    <row r="896" spans="1:14">
      <c r="A896" t="s">
        <v>1967</v>
      </c>
      <c r="B896" t="s">
        <v>7344</v>
      </c>
      <c r="C896" t="s">
        <v>7345</v>
      </c>
      <c r="D896" t="s">
        <v>11</v>
      </c>
      <c r="E896" t="s">
        <v>13</v>
      </c>
      <c r="F896" t="s">
        <v>1970</v>
      </c>
      <c r="G896" t="s">
        <v>12</v>
      </c>
      <c r="I896" t="s">
        <v>7344</v>
      </c>
      <c r="J896" t="s">
        <v>8439</v>
      </c>
      <c r="K896" s="11">
        <v>10.136109959888824</v>
      </c>
      <c r="L896" s="9">
        <v>0.14619395909912969</v>
      </c>
      <c r="M896" s="10">
        <v>205.61931148739671</v>
      </c>
      <c r="N896" s="10">
        <v>226.1812426361364</v>
      </c>
    </row>
    <row r="897" spans="1:14">
      <c r="A897" t="s">
        <v>1967</v>
      </c>
      <c r="B897" t="s">
        <v>7346</v>
      </c>
      <c r="C897" t="s">
        <v>7347</v>
      </c>
      <c r="D897" t="s">
        <v>11</v>
      </c>
      <c r="E897" t="s">
        <v>13</v>
      </c>
      <c r="F897" t="s">
        <v>1970</v>
      </c>
      <c r="G897" t="s">
        <v>12</v>
      </c>
      <c r="I897" t="s">
        <v>7346</v>
      </c>
      <c r="J897" t="s">
        <v>8440</v>
      </c>
      <c r="K897" s="11">
        <v>18.940503633858299</v>
      </c>
      <c r="L897" s="9">
        <v>0.2211623261742702</v>
      </c>
      <c r="M897" s="10">
        <v>151.17121982519222</v>
      </c>
      <c r="N897" s="10">
        <v>166.28834180771145</v>
      </c>
    </row>
    <row r="898" spans="1:14">
      <c r="A898" t="s">
        <v>1967</v>
      </c>
      <c r="B898" t="s">
        <v>7348</v>
      </c>
      <c r="C898" t="s">
        <v>7349</v>
      </c>
      <c r="D898" t="s">
        <v>11</v>
      </c>
      <c r="E898" t="s">
        <v>13</v>
      </c>
      <c r="F898" t="s">
        <v>1970</v>
      </c>
      <c r="G898" t="s">
        <v>12</v>
      </c>
      <c r="I898" t="s">
        <v>7348</v>
      </c>
      <c r="J898" t="s">
        <v>8441</v>
      </c>
      <c r="K898" s="9">
        <v>2.8978958262264007</v>
      </c>
      <c r="L898" s="9">
        <v>0.16341202253219361</v>
      </c>
      <c r="M898" s="10">
        <v>184.29882363051507</v>
      </c>
      <c r="N898" s="10">
        <v>202.72870599356659</v>
      </c>
    </row>
    <row r="899" spans="1:14">
      <c r="A899" t="s">
        <v>1967</v>
      </c>
      <c r="B899" t="s">
        <v>7350</v>
      </c>
      <c r="C899" t="s">
        <v>7351</v>
      </c>
      <c r="D899" t="s">
        <v>11</v>
      </c>
      <c r="E899" t="s">
        <v>13</v>
      </c>
      <c r="F899" t="s">
        <v>1970</v>
      </c>
      <c r="G899" t="s">
        <v>12</v>
      </c>
      <c r="I899" t="s">
        <v>7350</v>
      </c>
      <c r="J899" t="s">
        <v>8442</v>
      </c>
      <c r="K899" s="11">
        <v>14.648749872699799</v>
      </c>
      <c r="L899" s="9">
        <v>0.1567265792300524</v>
      </c>
      <c r="M899" s="10">
        <v>106.62567993805568</v>
      </c>
      <c r="N899" s="10">
        <v>117.28824793186126</v>
      </c>
    </row>
    <row r="900" spans="1:14">
      <c r="A900" t="s">
        <v>1967</v>
      </c>
      <c r="B900" t="s">
        <v>7352</v>
      </c>
      <c r="C900" t="s">
        <v>7353</v>
      </c>
      <c r="D900" t="s">
        <v>11</v>
      </c>
      <c r="E900" t="s">
        <v>13</v>
      </c>
      <c r="F900" t="s">
        <v>1970</v>
      </c>
      <c r="G900" t="s">
        <v>12</v>
      </c>
      <c r="I900" t="s">
        <v>7352</v>
      </c>
      <c r="J900" t="s">
        <v>8443</v>
      </c>
      <c r="K900" s="9">
        <v>5.0452993535950279</v>
      </c>
      <c r="L900" s="9">
        <v>0.17145929498352699</v>
      </c>
      <c r="M900" s="11">
        <v>99.229606844473764</v>
      </c>
      <c r="N900" s="10">
        <v>109.15256752892115</v>
      </c>
    </row>
    <row r="901" spans="1:14">
      <c r="A901" t="s">
        <v>1967</v>
      </c>
      <c r="B901" t="s">
        <v>7354</v>
      </c>
      <c r="C901" t="s">
        <v>7355</v>
      </c>
      <c r="D901" t="s">
        <v>11</v>
      </c>
      <c r="E901" t="s">
        <v>13</v>
      </c>
      <c r="F901" t="s">
        <v>1970</v>
      </c>
      <c r="G901" t="s">
        <v>12</v>
      </c>
      <c r="I901" t="s">
        <v>7354</v>
      </c>
      <c r="J901" t="s">
        <v>8444</v>
      </c>
      <c r="K901" s="9">
        <v>2.7752941650497176</v>
      </c>
      <c r="L901" s="9">
        <v>0.17903482315956851</v>
      </c>
      <c r="M901" s="10">
        <v>110.83926520355182</v>
      </c>
      <c r="N901" s="10">
        <v>121.92319172390701</v>
      </c>
    </row>
    <row r="902" spans="1:14">
      <c r="A902" t="s">
        <v>1967</v>
      </c>
      <c r="B902" t="s">
        <v>7356</v>
      </c>
      <c r="C902" t="s">
        <v>7357</v>
      </c>
      <c r="D902" t="s">
        <v>11</v>
      </c>
      <c r="E902" t="s">
        <v>13</v>
      </c>
      <c r="F902" t="s">
        <v>1970</v>
      </c>
      <c r="G902" t="s">
        <v>12</v>
      </c>
      <c r="I902" t="s">
        <v>7356</v>
      </c>
      <c r="J902" t="s">
        <v>8445</v>
      </c>
      <c r="K902" s="9">
        <v>0.36421844651065022</v>
      </c>
      <c r="L902" s="12">
        <v>8.8768550967463999E-2</v>
      </c>
      <c r="M902" s="10">
        <v>111.99504348531472</v>
      </c>
      <c r="N902" s="10">
        <v>123.1945478338462</v>
      </c>
    </row>
    <row r="903" spans="1:14">
      <c r="A903" t="s">
        <v>1967</v>
      </c>
      <c r="B903" t="s">
        <v>7358</v>
      </c>
      <c r="C903" t="s">
        <v>7359</v>
      </c>
      <c r="D903" t="s">
        <v>11</v>
      </c>
      <c r="E903" t="s">
        <v>13</v>
      </c>
      <c r="F903" t="s">
        <v>1970</v>
      </c>
      <c r="G903" t="s">
        <v>12</v>
      </c>
      <c r="I903" t="s">
        <v>7358</v>
      </c>
      <c r="J903" t="s">
        <v>8446</v>
      </c>
      <c r="K903" s="9">
        <v>0.60921171010189534</v>
      </c>
      <c r="L903" s="9">
        <v>0.104564071584528</v>
      </c>
      <c r="M903" s="10">
        <v>154.91935247322914</v>
      </c>
      <c r="N903" s="10">
        <v>170.41128772055205</v>
      </c>
    </row>
    <row r="904" spans="1:14">
      <c r="A904" t="s">
        <v>1967</v>
      </c>
      <c r="B904" t="s">
        <v>7360</v>
      </c>
      <c r="C904" t="s">
        <v>7361</v>
      </c>
      <c r="D904" t="s">
        <v>11</v>
      </c>
      <c r="E904" t="s">
        <v>13</v>
      </c>
      <c r="F904" t="s">
        <v>1970</v>
      </c>
      <c r="G904" t="s">
        <v>12</v>
      </c>
      <c r="I904" t="s">
        <v>7360</v>
      </c>
      <c r="J904" t="s">
        <v>8447</v>
      </c>
      <c r="K904" s="11">
        <v>53.734500855299409</v>
      </c>
      <c r="L904" s="9">
        <v>0.29709595098537772</v>
      </c>
      <c r="M904" s="11">
        <v>57.095354246337536</v>
      </c>
      <c r="N904" s="11">
        <v>62.804889670971292</v>
      </c>
    </row>
    <row r="905" spans="1:14">
      <c r="A905" t="s">
        <v>1967</v>
      </c>
      <c r="B905" t="s">
        <v>7362</v>
      </c>
      <c r="C905" t="s">
        <v>7363</v>
      </c>
      <c r="D905" t="s">
        <v>11</v>
      </c>
      <c r="E905" t="s">
        <v>13</v>
      </c>
      <c r="F905" t="s">
        <v>1970</v>
      </c>
      <c r="G905" t="s">
        <v>12</v>
      </c>
      <c r="I905" t="s">
        <v>7362</v>
      </c>
      <c r="J905" t="s">
        <v>8448</v>
      </c>
      <c r="K905" s="9">
        <v>1.8286158916176931</v>
      </c>
      <c r="L905" s="9">
        <v>0.2108586687767566</v>
      </c>
      <c r="M905" s="11">
        <v>59.814353259973466</v>
      </c>
      <c r="N905" s="11">
        <v>65.795788585970811</v>
      </c>
    </row>
    <row r="906" spans="1:14">
      <c r="A906" t="s">
        <v>1967</v>
      </c>
      <c r="B906" t="s">
        <v>7364</v>
      </c>
      <c r="C906" t="s">
        <v>7365</v>
      </c>
      <c r="D906" t="s">
        <v>11</v>
      </c>
      <c r="E906" t="s">
        <v>13</v>
      </c>
      <c r="F906" t="s">
        <v>1970</v>
      </c>
      <c r="G906" t="s">
        <v>12</v>
      </c>
      <c r="I906" t="s">
        <v>7364</v>
      </c>
      <c r="J906" t="s">
        <v>8449</v>
      </c>
      <c r="K906" s="11">
        <v>29.535223831168874</v>
      </c>
      <c r="L906" s="9">
        <v>0.29738612889487459</v>
      </c>
      <c r="M906" s="11">
        <v>51.714145354610224</v>
      </c>
      <c r="N906" s="11">
        <v>56.885559890071249</v>
      </c>
    </row>
    <row r="907" spans="1:14">
      <c r="A907" t="s">
        <v>1967</v>
      </c>
      <c r="B907" t="s">
        <v>7366</v>
      </c>
      <c r="C907" t="s">
        <v>7367</v>
      </c>
      <c r="D907" t="s">
        <v>11</v>
      </c>
      <c r="E907" t="s">
        <v>13</v>
      </c>
      <c r="F907" t="s">
        <v>1970</v>
      </c>
      <c r="G907" t="s">
        <v>12</v>
      </c>
      <c r="I907" t="s">
        <v>7366</v>
      </c>
      <c r="J907" t="s">
        <v>8450</v>
      </c>
      <c r="K907" s="11">
        <v>70.275689156787706</v>
      </c>
      <c r="L907" s="9">
        <v>0.27821275300921189</v>
      </c>
      <c r="M907" s="11">
        <v>86.383308813551878</v>
      </c>
      <c r="N907" s="11">
        <v>95.02163969490708</v>
      </c>
    </row>
    <row r="908" spans="1:14">
      <c r="A908" t="s">
        <v>1967</v>
      </c>
      <c r="B908" t="s">
        <v>7368</v>
      </c>
      <c r="C908" t="s">
        <v>7369</v>
      </c>
      <c r="D908" t="s">
        <v>11</v>
      </c>
      <c r="E908" t="s">
        <v>13</v>
      </c>
      <c r="F908" t="s">
        <v>1970</v>
      </c>
      <c r="G908" t="s">
        <v>12</v>
      </c>
      <c r="I908" t="s">
        <v>7368</v>
      </c>
      <c r="J908" t="s">
        <v>8451</v>
      </c>
      <c r="K908" s="11">
        <v>24.222186074485279</v>
      </c>
      <c r="L908" s="9">
        <v>0.3095330389599647</v>
      </c>
      <c r="M908" s="11">
        <v>53.805596814882222</v>
      </c>
      <c r="N908" s="11">
        <v>59.186156496370451</v>
      </c>
    </row>
    <row r="909" spans="1:14">
      <c r="A909" t="s">
        <v>1967</v>
      </c>
      <c r="B909" t="s">
        <v>7370</v>
      </c>
      <c r="C909" t="s">
        <v>7371</v>
      </c>
      <c r="D909" t="s">
        <v>11</v>
      </c>
      <c r="E909" t="s">
        <v>13</v>
      </c>
      <c r="F909" t="s">
        <v>1970</v>
      </c>
      <c r="G909" t="s">
        <v>12</v>
      </c>
      <c r="I909" t="s">
        <v>7370</v>
      </c>
      <c r="J909" t="s">
        <v>8452</v>
      </c>
      <c r="K909" s="11">
        <v>49.011392587434841</v>
      </c>
      <c r="L909" s="9">
        <v>0.28708602814041412</v>
      </c>
      <c r="M909" s="11">
        <v>63.29085950821591</v>
      </c>
      <c r="N909" s="11">
        <v>69.61994545903751</v>
      </c>
    </row>
    <row r="910" spans="1:14">
      <c r="A910" t="s">
        <v>1967</v>
      </c>
      <c r="B910" t="s">
        <v>7372</v>
      </c>
      <c r="C910" t="s">
        <v>7373</v>
      </c>
      <c r="D910" t="s">
        <v>11</v>
      </c>
      <c r="E910" t="s">
        <v>13</v>
      </c>
      <c r="F910" t="s">
        <v>1970</v>
      </c>
      <c r="G910" t="s">
        <v>12</v>
      </c>
      <c r="I910" t="s">
        <v>7372</v>
      </c>
      <c r="J910" t="s">
        <v>8453</v>
      </c>
      <c r="K910" s="11">
        <v>96.720579476140429</v>
      </c>
      <c r="L910" s="9">
        <v>0.29725118194474232</v>
      </c>
      <c r="M910" s="11">
        <v>64.384335425753775</v>
      </c>
      <c r="N910" s="11">
        <v>70.822768968329157</v>
      </c>
    </row>
    <row r="911" spans="1:14">
      <c r="A911" t="s">
        <v>1967</v>
      </c>
      <c r="B911" t="s">
        <v>7374</v>
      </c>
      <c r="C911" t="s">
        <v>7375</v>
      </c>
      <c r="D911" t="s">
        <v>11</v>
      </c>
      <c r="E911" t="s">
        <v>13</v>
      </c>
      <c r="F911" t="s">
        <v>1970</v>
      </c>
      <c r="G911" t="s">
        <v>12</v>
      </c>
      <c r="I911" t="s">
        <v>7374</v>
      </c>
      <c r="J911" t="s">
        <v>8454</v>
      </c>
      <c r="K911" s="11">
        <v>47.964287072636601</v>
      </c>
      <c r="L911" s="9">
        <v>0.3131963051600124</v>
      </c>
      <c r="M911" s="11">
        <v>55.30136230019562</v>
      </c>
      <c r="N911" s="11">
        <v>60.831498530215185</v>
      </c>
    </row>
    <row r="912" spans="1:14">
      <c r="A912" t="s">
        <v>1967</v>
      </c>
      <c r="B912" t="s">
        <v>7376</v>
      </c>
      <c r="C912" t="s">
        <v>7377</v>
      </c>
      <c r="D912" t="s">
        <v>11</v>
      </c>
      <c r="E912" t="s">
        <v>13</v>
      </c>
      <c r="F912" t="s">
        <v>1970</v>
      </c>
      <c r="G912" t="s">
        <v>12</v>
      </c>
      <c r="I912" t="s">
        <v>7376</v>
      </c>
      <c r="J912" t="s">
        <v>8455</v>
      </c>
      <c r="K912" s="11">
        <v>99.453971123049072</v>
      </c>
      <c r="L912" s="9">
        <v>0.29801131599865122</v>
      </c>
      <c r="M912" s="11">
        <v>62.495605496882312</v>
      </c>
      <c r="N912" s="11">
        <v>68.745166046570546</v>
      </c>
    </row>
    <row r="913" spans="1:14">
      <c r="A913" t="s">
        <v>1967</v>
      </c>
      <c r="B913" t="s">
        <v>7378</v>
      </c>
      <c r="C913" t="s">
        <v>7379</v>
      </c>
      <c r="D913" t="s">
        <v>11</v>
      </c>
      <c r="E913" t="s">
        <v>13</v>
      </c>
      <c r="F913" t="s">
        <v>1970</v>
      </c>
      <c r="G913" t="s">
        <v>12</v>
      </c>
      <c r="I913" t="s">
        <v>7378</v>
      </c>
      <c r="J913" t="s">
        <v>8456</v>
      </c>
      <c r="K913" s="11">
        <v>17.761276967215643</v>
      </c>
      <c r="L913" s="9">
        <v>0.3399895921077129</v>
      </c>
      <c r="M913" s="10">
        <v>121.55467499957322</v>
      </c>
      <c r="N913" s="10">
        <v>133.71014249953055</v>
      </c>
    </row>
    <row r="914" spans="1:14">
      <c r="A914" t="s">
        <v>1967</v>
      </c>
      <c r="B914" t="s">
        <v>7380</v>
      </c>
      <c r="C914" t="s">
        <v>7381</v>
      </c>
      <c r="D914" t="s">
        <v>11</v>
      </c>
      <c r="E914" t="s">
        <v>13</v>
      </c>
      <c r="F914" t="s">
        <v>1970</v>
      </c>
      <c r="G914" t="s">
        <v>12</v>
      </c>
      <c r="I914" t="s">
        <v>7380</v>
      </c>
      <c r="J914" t="s">
        <v>8457</v>
      </c>
      <c r="K914" s="11">
        <v>31.31311250775531</v>
      </c>
      <c r="L914" s="9">
        <v>0.30027818010139118</v>
      </c>
      <c r="M914" s="11">
        <v>66.228752390275545</v>
      </c>
      <c r="N914" s="11">
        <v>72.85162762930311</v>
      </c>
    </row>
    <row r="915" spans="1:14">
      <c r="A915" t="s">
        <v>1967</v>
      </c>
      <c r="B915" t="s">
        <v>7382</v>
      </c>
      <c r="C915" t="s">
        <v>7383</v>
      </c>
      <c r="D915" t="s">
        <v>11</v>
      </c>
      <c r="E915" t="s">
        <v>13</v>
      </c>
      <c r="F915" t="s">
        <v>1970</v>
      </c>
      <c r="G915" t="s">
        <v>12</v>
      </c>
      <c r="I915" t="s">
        <v>7382</v>
      </c>
      <c r="J915" t="s">
        <v>8458</v>
      </c>
      <c r="K915" s="11">
        <v>28.92235400124277</v>
      </c>
      <c r="L915" s="9">
        <v>0.33568315034679153</v>
      </c>
      <c r="M915" s="10">
        <v>112.4604914732888</v>
      </c>
      <c r="N915" s="10">
        <v>123.70654062061769</v>
      </c>
    </row>
    <row r="916" spans="1:14">
      <c r="A916" t="s">
        <v>1967</v>
      </c>
      <c r="B916" t="s">
        <v>7384</v>
      </c>
      <c r="C916" t="s">
        <v>7385</v>
      </c>
      <c r="D916" t="s">
        <v>11</v>
      </c>
      <c r="E916" t="s">
        <v>13</v>
      </c>
      <c r="F916" t="s">
        <v>1970</v>
      </c>
      <c r="G916" t="s">
        <v>12</v>
      </c>
      <c r="I916" t="s">
        <v>7384</v>
      </c>
      <c r="J916" t="s">
        <v>8459</v>
      </c>
      <c r="K916" s="11">
        <v>25.949363025732065</v>
      </c>
      <c r="L916" s="9">
        <v>0.3425232843193981</v>
      </c>
      <c r="M916" s="11">
        <v>94.287630826090364</v>
      </c>
      <c r="N916" s="10">
        <v>103.7163939086994</v>
      </c>
    </row>
    <row r="917" spans="1:14">
      <c r="A917" t="s">
        <v>1967</v>
      </c>
      <c r="B917" t="s">
        <v>7386</v>
      </c>
      <c r="C917" t="s">
        <v>7387</v>
      </c>
      <c r="D917" t="s">
        <v>11</v>
      </c>
      <c r="E917" t="s">
        <v>13</v>
      </c>
      <c r="F917" t="s">
        <v>1970</v>
      </c>
      <c r="G917" t="s">
        <v>12</v>
      </c>
      <c r="I917" t="s">
        <v>7386</v>
      </c>
      <c r="J917" t="s">
        <v>8460</v>
      </c>
      <c r="K917" s="11">
        <v>37.232382632119489</v>
      </c>
      <c r="L917" s="9">
        <v>0.32783604939530891</v>
      </c>
      <c r="M917" s="10">
        <v>106.53414650852908</v>
      </c>
      <c r="N917" s="10">
        <v>117.187561159382</v>
      </c>
    </row>
    <row r="918" spans="1:14">
      <c r="A918" t="s">
        <v>1967</v>
      </c>
      <c r="B918" t="s">
        <v>7388</v>
      </c>
      <c r="C918" t="s">
        <v>7389</v>
      </c>
      <c r="D918" t="s">
        <v>11</v>
      </c>
      <c r="E918" t="s">
        <v>13</v>
      </c>
      <c r="F918" t="s">
        <v>1970</v>
      </c>
      <c r="G918" t="s">
        <v>12</v>
      </c>
      <c r="I918" t="s">
        <v>7388</v>
      </c>
      <c r="J918" t="s">
        <v>8461</v>
      </c>
      <c r="K918" s="11">
        <v>29.424026457013589</v>
      </c>
      <c r="L918" s="9">
        <v>0.1721468344304776</v>
      </c>
      <c r="M918" s="11">
        <v>89.660635971957262</v>
      </c>
      <c r="N918" s="11">
        <v>98.62669956915299</v>
      </c>
    </row>
    <row r="919" spans="1:14">
      <c r="A919" t="s">
        <v>1967</v>
      </c>
      <c r="B919" t="s">
        <v>7390</v>
      </c>
      <c r="C919" t="s">
        <v>7391</v>
      </c>
      <c r="D919" t="s">
        <v>11</v>
      </c>
      <c r="E919" t="s">
        <v>13</v>
      </c>
      <c r="F919" t="s">
        <v>1970</v>
      </c>
      <c r="G919" t="s">
        <v>12</v>
      </c>
      <c r="I919" t="s">
        <v>7390</v>
      </c>
      <c r="J919" t="s">
        <v>8462</v>
      </c>
      <c r="K919" s="11">
        <v>56.137947975714496</v>
      </c>
      <c r="L919" s="9">
        <v>0.16252287700599061</v>
      </c>
      <c r="M919" s="10">
        <v>150.78025998698158</v>
      </c>
      <c r="N919" s="10">
        <v>165.85828598567974</v>
      </c>
    </row>
    <row r="920" spans="1:14">
      <c r="A920" t="s">
        <v>1967</v>
      </c>
      <c r="B920" t="s">
        <v>7392</v>
      </c>
      <c r="C920" t="s">
        <v>7393</v>
      </c>
      <c r="D920" t="s">
        <v>11</v>
      </c>
      <c r="E920" t="s">
        <v>13</v>
      </c>
      <c r="F920" t="s">
        <v>1970</v>
      </c>
      <c r="G920" t="s">
        <v>12</v>
      </c>
      <c r="I920" t="s">
        <v>7392</v>
      </c>
      <c r="J920" t="s">
        <v>8463</v>
      </c>
      <c r="K920" s="10">
        <v>120.04372020059408</v>
      </c>
      <c r="L920" s="9">
        <v>0.160429447145989</v>
      </c>
      <c r="M920" s="10">
        <v>136.4110650348849</v>
      </c>
      <c r="N920" s="10">
        <v>150.05217153837341</v>
      </c>
    </row>
    <row r="921" spans="1:14">
      <c r="A921" t="s">
        <v>1967</v>
      </c>
      <c r="B921" t="s">
        <v>7394</v>
      </c>
      <c r="C921" t="s">
        <v>7395</v>
      </c>
      <c r="D921" t="s">
        <v>11</v>
      </c>
      <c r="E921" t="s">
        <v>13</v>
      </c>
      <c r="F921" t="s">
        <v>1970</v>
      </c>
      <c r="G921" t="s">
        <v>12</v>
      </c>
      <c r="I921" t="s">
        <v>7394</v>
      </c>
      <c r="J921" t="s">
        <v>8464</v>
      </c>
      <c r="K921" s="11">
        <v>80.956966165111922</v>
      </c>
      <c r="L921" s="9">
        <v>0.1188346369917935</v>
      </c>
      <c r="M921" s="10">
        <v>214.05539997568167</v>
      </c>
      <c r="N921" s="10">
        <v>235.46093997324985</v>
      </c>
    </row>
    <row r="922" spans="1:14">
      <c r="A922" t="s">
        <v>1967</v>
      </c>
      <c r="B922" t="s">
        <v>7396</v>
      </c>
      <c r="C922" t="s">
        <v>7397</v>
      </c>
      <c r="D922" t="s">
        <v>11</v>
      </c>
      <c r="E922" t="s">
        <v>13</v>
      </c>
      <c r="F922" t="s">
        <v>1970</v>
      </c>
      <c r="G922" t="s">
        <v>12</v>
      </c>
      <c r="I922" t="s">
        <v>7396</v>
      </c>
      <c r="J922" t="s">
        <v>8465</v>
      </c>
      <c r="K922" s="10">
        <v>144.4181150664904</v>
      </c>
      <c r="L922" s="9">
        <v>0.20067930597568659</v>
      </c>
      <c r="M922" s="10">
        <v>142.52066303021806</v>
      </c>
      <c r="N922" s="10">
        <v>156.77272933323988</v>
      </c>
    </row>
    <row r="923" spans="1:14">
      <c r="A923" t="s">
        <v>1967</v>
      </c>
      <c r="B923" t="s">
        <v>7398</v>
      </c>
      <c r="C923" t="s">
        <v>7399</v>
      </c>
      <c r="D923" t="s">
        <v>11</v>
      </c>
      <c r="E923" t="s">
        <v>13</v>
      </c>
      <c r="F923" t="s">
        <v>1970</v>
      </c>
      <c r="G923" t="s">
        <v>12</v>
      </c>
      <c r="I923" t="s">
        <v>7398</v>
      </c>
      <c r="J923" t="s">
        <v>8466</v>
      </c>
      <c r="K923" s="10">
        <v>134.21217145457754</v>
      </c>
      <c r="L923" s="9">
        <v>0.12645982647067619</v>
      </c>
      <c r="M923" s="10">
        <v>152.30257912597293</v>
      </c>
      <c r="N923" s="10">
        <v>167.53283703857022</v>
      </c>
    </row>
    <row r="924" spans="1:14">
      <c r="A924" t="s">
        <v>1967</v>
      </c>
      <c r="B924" t="s">
        <v>7400</v>
      </c>
      <c r="C924" t="s">
        <v>7401</v>
      </c>
      <c r="D924" t="s">
        <v>11</v>
      </c>
      <c r="E924" t="s">
        <v>13</v>
      </c>
      <c r="F924" t="s">
        <v>1970</v>
      </c>
      <c r="G924" t="s">
        <v>12</v>
      </c>
      <c r="I924" t="s">
        <v>7400</v>
      </c>
      <c r="J924" t="s">
        <v>8467</v>
      </c>
      <c r="K924" s="11">
        <v>62.317905019446329</v>
      </c>
      <c r="L924" s="9">
        <v>0.1626936623809942</v>
      </c>
      <c r="M924" s="10">
        <v>110.04298427625049</v>
      </c>
      <c r="N924" s="10">
        <v>121.04728270387555</v>
      </c>
    </row>
    <row r="925" spans="1:14">
      <c r="A925" t="s">
        <v>1967</v>
      </c>
      <c r="B925" t="s">
        <v>7402</v>
      </c>
      <c r="C925" t="s">
        <v>7403</v>
      </c>
      <c r="D925" t="s">
        <v>11</v>
      </c>
      <c r="E925" t="s">
        <v>13</v>
      </c>
      <c r="F925" t="s">
        <v>1970</v>
      </c>
      <c r="G925" t="s">
        <v>12</v>
      </c>
      <c r="I925" t="s">
        <v>7402</v>
      </c>
      <c r="J925" t="s">
        <v>8468</v>
      </c>
      <c r="K925" s="11">
        <v>58.178953219653685</v>
      </c>
      <c r="L925" s="9">
        <v>0.13734879471002739</v>
      </c>
      <c r="M925" s="10">
        <v>172.54943710688596</v>
      </c>
      <c r="N925" s="10">
        <v>189.80438081757458</v>
      </c>
    </row>
    <row r="926" spans="1:14">
      <c r="A926" t="s">
        <v>1967</v>
      </c>
      <c r="B926" t="s">
        <v>7404</v>
      </c>
      <c r="C926" t="s">
        <v>7405</v>
      </c>
      <c r="D926" t="s">
        <v>11</v>
      </c>
      <c r="E926" t="s">
        <v>13</v>
      </c>
      <c r="F926" t="s">
        <v>1970</v>
      </c>
      <c r="G926" t="s">
        <v>12</v>
      </c>
      <c r="I926" t="s">
        <v>7404</v>
      </c>
      <c r="J926" t="s">
        <v>8469</v>
      </c>
      <c r="K926" s="10">
        <v>260.33174903114121</v>
      </c>
      <c r="L926" s="9">
        <v>0.31138549072396049</v>
      </c>
      <c r="M926" s="11">
        <v>70.026077793119242</v>
      </c>
      <c r="N926" s="11">
        <v>77.028685572431172</v>
      </c>
    </row>
    <row r="927" spans="1:14">
      <c r="A927" t="s">
        <v>1967</v>
      </c>
      <c r="B927" t="s">
        <v>7406</v>
      </c>
      <c r="C927" t="s">
        <v>7407</v>
      </c>
      <c r="D927" t="s">
        <v>11</v>
      </c>
      <c r="E927" t="s">
        <v>13</v>
      </c>
      <c r="F927" t="s">
        <v>1970</v>
      </c>
      <c r="G927" t="s">
        <v>12</v>
      </c>
      <c r="I927" t="s">
        <v>7406</v>
      </c>
      <c r="J927" t="s">
        <v>8470</v>
      </c>
      <c r="K927" s="10">
        <v>496.65208743614818</v>
      </c>
      <c r="L927" s="9">
        <v>0.40087720226718071</v>
      </c>
      <c r="M927" s="10">
        <v>153.57706025685707</v>
      </c>
      <c r="N927" s="10">
        <v>168.9347662825428</v>
      </c>
    </row>
    <row r="928" spans="1:14">
      <c r="A928" t="s">
        <v>1967</v>
      </c>
      <c r="B928" t="s">
        <v>7408</v>
      </c>
      <c r="C928" t="s">
        <v>7409</v>
      </c>
      <c r="D928" t="s">
        <v>11</v>
      </c>
      <c r="E928" t="s">
        <v>13</v>
      </c>
      <c r="F928" t="s">
        <v>1970</v>
      </c>
      <c r="G928" t="s">
        <v>12</v>
      </c>
      <c r="I928" t="s">
        <v>7408</v>
      </c>
      <c r="J928" t="s">
        <v>8471</v>
      </c>
      <c r="K928" s="11">
        <v>87.199614753771783</v>
      </c>
      <c r="L928" s="9">
        <v>0.26695852923802998</v>
      </c>
      <c r="M928" s="10">
        <v>148.92063053479578</v>
      </c>
      <c r="N928" s="10">
        <v>163.81269358827538</v>
      </c>
    </row>
    <row r="929" spans="1:14">
      <c r="A929" t="s">
        <v>1967</v>
      </c>
      <c r="B929" t="s">
        <v>7410</v>
      </c>
      <c r="C929" t="s">
        <v>7411</v>
      </c>
      <c r="D929" t="s">
        <v>11</v>
      </c>
      <c r="E929" t="s">
        <v>13</v>
      </c>
      <c r="F929" t="s">
        <v>1970</v>
      </c>
      <c r="G929" t="s">
        <v>12</v>
      </c>
      <c r="I929" t="s">
        <v>7410</v>
      </c>
      <c r="J929" t="s">
        <v>8472</v>
      </c>
      <c r="K929" s="10">
        <v>156.1973335905995</v>
      </c>
      <c r="L929" s="9">
        <v>0.3071294874461149</v>
      </c>
      <c r="M929" s="10">
        <v>165.40713816914723</v>
      </c>
      <c r="N929" s="10">
        <v>181.94785198606198</v>
      </c>
    </row>
    <row r="930" spans="1:14">
      <c r="A930" t="s">
        <v>1967</v>
      </c>
      <c r="B930" t="s">
        <v>7412</v>
      </c>
      <c r="C930" t="s">
        <v>7413</v>
      </c>
      <c r="D930" t="s">
        <v>11</v>
      </c>
      <c r="E930" t="s">
        <v>13</v>
      </c>
      <c r="F930" t="s">
        <v>1970</v>
      </c>
      <c r="G930" t="s">
        <v>12</v>
      </c>
      <c r="I930" t="s">
        <v>7412</v>
      </c>
      <c r="J930" t="s">
        <v>8473</v>
      </c>
      <c r="K930" s="9">
        <v>6.983623261153312</v>
      </c>
      <c r="L930" s="9">
        <v>0.1240632103527972</v>
      </c>
      <c r="M930" s="10">
        <v>1242.4159627709123</v>
      </c>
      <c r="N930" s="10">
        <v>1366.6575590480036</v>
      </c>
    </row>
    <row r="931" spans="1:14">
      <c r="A931" t="s">
        <v>1967</v>
      </c>
      <c r="B931" t="s">
        <v>7414</v>
      </c>
      <c r="C931" t="s">
        <v>7415</v>
      </c>
      <c r="D931" t="s">
        <v>11</v>
      </c>
      <c r="E931" t="s">
        <v>13</v>
      </c>
      <c r="F931" t="s">
        <v>1970</v>
      </c>
      <c r="G931" t="s">
        <v>12</v>
      </c>
      <c r="I931" t="s">
        <v>7414</v>
      </c>
      <c r="J931" t="s">
        <v>8474</v>
      </c>
      <c r="K931" s="10">
        <v>131.74816393625576</v>
      </c>
      <c r="L931" s="9">
        <v>0.354739722754709</v>
      </c>
      <c r="M931" s="10">
        <v>1036.0040780475797</v>
      </c>
      <c r="N931" s="10">
        <v>1139.6044858523378</v>
      </c>
    </row>
    <row r="932" spans="1:14">
      <c r="A932" t="s">
        <v>1967</v>
      </c>
      <c r="B932" t="s">
        <v>7416</v>
      </c>
      <c r="C932" t="s">
        <v>7417</v>
      </c>
      <c r="D932" t="s">
        <v>11</v>
      </c>
      <c r="E932" t="s">
        <v>13</v>
      </c>
      <c r="F932" t="s">
        <v>1970</v>
      </c>
      <c r="G932" t="s">
        <v>12</v>
      </c>
      <c r="I932" t="s">
        <v>7416</v>
      </c>
      <c r="J932" t="s">
        <v>8475</v>
      </c>
      <c r="K932" s="10">
        <v>117.54735201200941</v>
      </c>
      <c r="L932" s="9">
        <v>0.42038779983125552</v>
      </c>
      <c r="M932" s="10">
        <v>198.42482120494023</v>
      </c>
      <c r="N932" s="10">
        <v>218.26730332543428</v>
      </c>
    </row>
    <row r="933" spans="1:14">
      <c r="A933" t="s">
        <v>1967</v>
      </c>
      <c r="B933" t="s">
        <v>7418</v>
      </c>
      <c r="C933" t="s">
        <v>7419</v>
      </c>
      <c r="D933" t="s">
        <v>11</v>
      </c>
      <c r="E933" t="s">
        <v>13</v>
      </c>
      <c r="F933" t="s">
        <v>1970</v>
      </c>
      <c r="G933" t="s">
        <v>12</v>
      </c>
      <c r="I933" t="s">
        <v>7418</v>
      </c>
      <c r="J933" t="s">
        <v>8476</v>
      </c>
      <c r="K933" s="10">
        <v>210.76152256016297</v>
      </c>
      <c r="L933" s="9">
        <v>0.39578686012857789</v>
      </c>
      <c r="M933" s="10">
        <v>262.24691126998204</v>
      </c>
      <c r="N933" s="10">
        <v>288.47160239698024</v>
      </c>
    </row>
    <row r="934" spans="1:14">
      <c r="A934" t="s">
        <v>1967</v>
      </c>
      <c r="B934" t="s">
        <v>7420</v>
      </c>
      <c r="C934" t="s">
        <v>7421</v>
      </c>
      <c r="D934" t="s">
        <v>11</v>
      </c>
      <c r="E934" t="s">
        <v>13</v>
      </c>
      <c r="F934" t="s">
        <v>1970</v>
      </c>
      <c r="G934" t="s">
        <v>12</v>
      </c>
      <c r="I934" t="s">
        <v>7420</v>
      </c>
      <c r="J934" t="s">
        <v>8477</v>
      </c>
      <c r="K934" s="10">
        <v>429.93239810982959</v>
      </c>
      <c r="L934" s="9">
        <v>0.41793333284791229</v>
      </c>
      <c r="M934" s="10">
        <v>196.51058664856561</v>
      </c>
      <c r="N934" s="10">
        <v>216.16164531342218</v>
      </c>
    </row>
    <row r="935" spans="1:14">
      <c r="A935" t="s">
        <v>1967</v>
      </c>
      <c r="B935" t="s">
        <v>7422</v>
      </c>
      <c r="C935" t="s">
        <v>7423</v>
      </c>
      <c r="D935" t="s">
        <v>11</v>
      </c>
      <c r="E935" t="s">
        <v>13</v>
      </c>
      <c r="F935" t="s">
        <v>1970</v>
      </c>
      <c r="G935" t="s">
        <v>12</v>
      </c>
      <c r="I935" t="s">
        <v>7422</v>
      </c>
      <c r="J935" t="s">
        <v>8478</v>
      </c>
      <c r="K935" s="11">
        <v>21.816301566125684</v>
      </c>
      <c r="L935" s="9">
        <v>0.1608675853907767</v>
      </c>
      <c r="M935" s="11">
        <v>29.967506827457846</v>
      </c>
      <c r="N935" s="11">
        <v>32.96425751020363</v>
      </c>
    </row>
    <row r="936" spans="1:14">
      <c r="A936" t="s">
        <v>1967</v>
      </c>
      <c r="B936" t="s">
        <v>7424</v>
      </c>
      <c r="C936" t="s">
        <v>7425</v>
      </c>
      <c r="D936" t="s">
        <v>11</v>
      </c>
      <c r="E936" t="s">
        <v>13</v>
      </c>
      <c r="F936" t="s">
        <v>1970</v>
      </c>
      <c r="G936" t="s">
        <v>12</v>
      </c>
      <c r="I936" t="s">
        <v>7424</v>
      </c>
      <c r="J936" t="s">
        <v>8479</v>
      </c>
      <c r="K936" s="11">
        <v>65.470582840543244</v>
      </c>
      <c r="L936" s="9">
        <v>0.18628818998013769</v>
      </c>
      <c r="M936" s="11">
        <v>42.848783930166533</v>
      </c>
      <c r="N936" s="11">
        <v>47.133662323183188</v>
      </c>
    </row>
    <row r="937" spans="1:14">
      <c r="A937" t="s">
        <v>1967</v>
      </c>
      <c r="B937" t="s">
        <v>7426</v>
      </c>
      <c r="C937" t="s">
        <v>7427</v>
      </c>
      <c r="D937" t="s">
        <v>11</v>
      </c>
      <c r="E937" t="s">
        <v>13</v>
      </c>
      <c r="F937" t="s">
        <v>1970</v>
      </c>
      <c r="G937" t="s">
        <v>12</v>
      </c>
      <c r="I937" t="s">
        <v>7426</v>
      </c>
      <c r="J937" t="s">
        <v>8480</v>
      </c>
      <c r="K937" s="11">
        <v>13.061413797687679</v>
      </c>
      <c r="L937" s="9">
        <v>0.2657484049471534</v>
      </c>
      <c r="M937" s="11">
        <v>47.788914837631573</v>
      </c>
      <c r="N937" s="11">
        <v>52.567806321394734</v>
      </c>
    </row>
    <row r="938" spans="1:14">
      <c r="A938" t="s">
        <v>1967</v>
      </c>
      <c r="B938" t="s">
        <v>7428</v>
      </c>
      <c r="C938" t="s">
        <v>7429</v>
      </c>
      <c r="D938" t="s">
        <v>11</v>
      </c>
      <c r="E938" t="s">
        <v>13</v>
      </c>
      <c r="F938" t="s">
        <v>1970</v>
      </c>
      <c r="G938" t="s">
        <v>12</v>
      </c>
      <c r="I938" t="s">
        <v>7428</v>
      </c>
      <c r="J938" t="s">
        <v>8481</v>
      </c>
      <c r="K938" s="11">
        <v>37.131773545792136</v>
      </c>
      <c r="L938" s="9">
        <v>0.26421625969902518</v>
      </c>
      <c r="M938" s="11">
        <v>47.318436009060768</v>
      </c>
      <c r="N938" s="11">
        <v>52.05027960996685</v>
      </c>
    </row>
    <row r="939" spans="1:14">
      <c r="A939" t="s">
        <v>1967</v>
      </c>
      <c r="B939" t="s">
        <v>7430</v>
      </c>
      <c r="C939" t="s">
        <v>7431</v>
      </c>
      <c r="D939" t="s">
        <v>11</v>
      </c>
      <c r="E939" t="s">
        <v>13</v>
      </c>
      <c r="F939" t="s">
        <v>1970</v>
      </c>
      <c r="G939" t="s">
        <v>12</v>
      </c>
      <c r="I939" t="s">
        <v>7430</v>
      </c>
      <c r="J939" t="s">
        <v>8482</v>
      </c>
      <c r="K939" s="11">
        <v>40.48292415716169</v>
      </c>
      <c r="L939" s="9">
        <v>0.2228948862316309</v>
      </c>
      <c r="M939" s="11">
        <v>80.458161615838875</v>
      </c>
      <c r="N939" s="11">
        <v>88.503977777422776</v>
      </c>
    </row>
    <row r="940" spans="1:14">
      <c r="A940" t="s">
        <v>1967</v>
      </c>
      <c r="B940" t="s">
        <v>7432</v>
      </c>
      <c r="C940" t="s">
        <v>7433</v>
      </c>
      <c r="D940" t="s">
        <v>11</v>
      </c>
      <c r="E940" t="s">
        <v>13</v>
      </c>
      <c r="F940" t="s">
        <v>1970</v>
      </c>
      <c r="G940" t="s">
        <v>12</v>
      </c>
      <c r="I940" t="s">
        <v>7432</v>
      </c>
      <c r="J940" t="s">
        <v>8483</v>
      </c>
      <c r="K940" s="11">
        <v>62.412836783435019</v>
      </c>
      <c r="L940" s="9">
        <v>0.197863323641633</v>
      </c>
      <c r="M940" s="11">
        <v>55.334532929030217</v>
      </c>
      <c r="N940" s="11">
        <v>60.867986221933243</v>
      </c>
    </row>
    <row r="941" spans="1:14">
      <c r="A941" t="s">
        <v>1967</v>
      </c>
      <c r="B941" t="s">
        <v>7434</v>
      </c>
      <c r="C941" t="s">
        <v>7435</v>
      </c>
      <c r="D941" t="s">
        <v>11</v>
      </c>
      <c r="E941" t="s">
        <v>13</v>
      </c>
      <c r="F941" t="s">
        <v>1970</v>
      </c>
      <c r="G941" t="s">
        <v>12</v>
      </c>
      <c r="I941" t="s">
        <v>7434</v>
      </c>
      <c r="J941" t="s">
        <v>8484</v>
      </c>
      <c r="K941" s="11">
        <v>58.583749096014685</v>
      </c>
      <c r="L941" s="9">
        <v>0.27597536738274869</v>
      </c>
      <c r="M941" s="11">
        <v>45.18425516798527</v>
      </c>
      <c r="N941" s="11">
        <v>49.7026806847838</v>
      </c>
    </row>
    <row r="942" spans="1:14">
      <c r="A942" t="s">
        <v>1967</v>
      </c>
      <c r="B942" t="s">
        <v>7436</v>
      </c>
      <c r="C942" t="s">
        <v>7437</v>
      </c>
      <c r="D942" t="s">
        <v>11</v>
      </c>
      <c r="E942" t="s">
        <v>13</v>
      </c>
      <c r="F942" t="s">
        <v>1970</v>
      </c>
      <c r="G942" t="s">
        <v>12</v>
      </c>
      <c r="I942" t="s">
        <v>7436</v>
      </c>
      <c r="J942" t="s">
        <v>8485</v>
      </c>
      <c r="K942" s="11">
        <v>21.380010025446214</v>
      </c>
      <c r="L942" s="9">
        <v>0.3677211207011139</v>
      </c>
      <c r="M942" s="10">
        <v>115.8686153398115</v>
      </c>
      <c r="N942" s="10">
        <v>127.45547687379266</v>
      </c>
    </row>
    <row r="943" spans="1:14">
      <c r="A943" t="s">
        <v>1967</v>
      </c>
      <c r="B943" t="s">
        <v>7438</v>
      </c>
      <c r="C943" t="s">
        <v>7439</v>
      </c>
      <c r="D943" t="s">
        <v>11</v>
      </c>
      <c r="E943" t="s">
        <v>13</v>
      </c>
      <c r="F943" t="s">
        <v>1970</v>
      </c>
      <c r="G943" t="s">
        <v>12</v>
      </c>
      <c r="I943" t="s">
        <v>7438</v>
      </c>
      <c r="J943" t="s">
        <v>8486</v>
      </c>
      <c r="K943" s="11">
        <v>85.764837311185588</v>
      </c>
      <c r="L943" s="9">
        <v>0.317145085137372</v>
      </c>
      <c r="M943" s="11">
        <v>69.458627648980439</v>
      </c>
      <c r="N943" s="11">
        <v>76.404490413878491</v>
      </c>
    </row>
    <row r="944" spans="1:14">
      <c r="A944" t="s">
        <v>1967</v>
      </c>
      <c r="B944" t="s">
        <v>7440</v>
      </c>
      <c r="C944" t="s">
        <v>7441</v>
      </c>
      <c r="D944" t="s">
        <v>11</v>
      </c>
      <c r="E944" t="s">
        <v>13</v>
      </c>
      <c r="F944" t="s">
        <v>1970</v>
      </c>
      <c r="G944" t="s">
        <v>12</v>
      </c>
      <c r="I944" t="s">
        <v>7440</v>
      </c>
      <c r="J944" t="s">
        <v>8487</v>
      </c>
      <c r="K944" s="10">
        <v>117.34375654870735</v>
      </c>
      <c r="L944" s="9">
        <v>0.42274931589630438</v>
      </c>
      <c r="M944" s="10">
        <v>299.51615436904427</v>
      </c>
      <c r="N944" s="10">
        <v>329.46776980594871</v>
      </c>
    </row>
    <row r="945" spans="1:14">
      <c r="A945" t="s">
        <v>1967</v>
      </c>
      <c r="B945" t="s">
        <v>7442</v>
      </c>
      <c r="C945" t="s">
        <v>7443</v>
      </c>
      <c r="D945" t="s">
        <v>11</v>
      </c>
      <c r="E945" t="s">
        <v>13</v>
      </c>
      <c r="F945" t="s">
        <v>1970</v>
      </c>
      <c r="G945" t="s">
        <v>12</v>
      </c>
      <c r="I945" t="s">
        <v>7442</v>
      </c>
      <c r="J945" t="s">
        <v>8488</v>
      </c>
      <c r="K945" s="11">
        <v>45.697053265209128</v>
      </c>
      <c r="L945" s="9">
        <v>0.354893071513397</v>
      </c>
      <c r="M945" s="10">
        <v>214.07457116918573</v>
      </c>
      <c r="N945" s="10">
        <v>235.48202828610431</v>
      </c>
    </row>
    <row r="946" spans="1:14">
      <c r="A946" t="s">
        <v>1967</v>
      </c>
      <c r="B946" t="s">
        <v>7444</v>
      </c>
      <c r="C946" t="s">
        <v>7445</v>
      </c>
      <c r="D946" t="s">
        <v>11</v>
      </c>
      <c r="E946" t="s">
        <v>13</v>
      </c>
      <c r="F946" t="s">
        <v>1970</v>
      </c>
      <c r="G946" t="s">
        <v>12</v>
      </c>
      <c r="I946" t="s">
        <v>7444</v>
      </c>
      <c r="J946" t="s">
        <v>8489</v>
      </c>
      <c r="K946" s="10">
        <v>122.09270736819148</v>
      </c>
      <c r="L946" s="9">
        <v>0.34527602759696668</v>
      </c>
      <c r="M946" s="10">
        <v>150.18226366188739</v>
      </c>
      <c r="N946" s="10">
        <v>165.20049002807613</v>
      </c>
    </row>
    <row r="947" spans="1:14">
      <c r="A947" t="s">
        <v>1967</v>
      </c>
      <c r="B947" t="s">
        <v>7446</v>
      </c>
      <c r="C947" t="s">
        <v>7447</v>
      </c>
      <c r="D947" t="s">
        <v>11</v>
      </c>
      <c r="E947" t="s">
        <v>13</v>
      </c>
      <c r="F947" t="s">
        <v>1970</v>
      </c>
      <c r="G947" t="s">
        <v>12</v>
      </c>
      <c r="I947" t="s">
        <v>7446</v>
      </c>
      <c r="J947" t="s">
        <v>8490</v>
      </c>
      <c r="K947" s="9">
        <v>2.3332937378027507</v>
      </c>
      <c r="L947" s="9">
        <v>0.1196169215428582</v>
      </c>
      <c r="M947" s="11">
        <v>70.291121963904644</v>
      </c>
      <c r="N947" s="11">
        <v>77.320234160295115</v>
      </c>
    </row>
    <row r="948" spans="1:14">
      <c r="A948" t="s">
        <v>1967</v>
      </c>
      <c r="B948" t="s">
        <v>7448</v>
      </c>
      <c r="C948" t="s">
        <v>7449</v>
      </c>
      <c r="D948" t="s">
        <v>11</v>
      </c>
      <c r="E948" t="s">
        <v>13</v>
      </c>
      <c r="F948" t="s">
        <v>1970</v>
      </c>
      <c r="G948" t="s">
        <v>12</v>
      </c>
      <c r="I948" t="s">
        <v>7448</v>
      </c>
      <c r="J948" t="s">
        <v>8491</v>
      </c>
      <c r="K948" s="9">
        <v>5.1491306293121006</v>
      </c>
      <c r="L948" s="9">
        <v>0.1508531121051318</v>
      </c>
      <c r="M948" s="11">
        <v>95.056746570469755</v>
      </c>
      <c r="N948" s="10">
        <v>104.56242122751674</v>
      </c>
    </row>
    <row r="949" spans="1:14">
      <c r="A949" t="s">
        <v>1967</v>
      </c>
      <c r="B949" t="s">
        <v>7450</v>
      </c>
      <c r="C949" t="s">
        <v>7443</v>
      </c>
      <c r="D949" t="s">
        <v>11</v>
      </c>
      <c r="E949" t="s">
        <v>13</v>
      </c>
      <c r="F949" t="s">
        <v>1970</v>
      </c>
      <c r="G949" t="s">
        <v>12</v>
      </c>
      <c r="I949" t="s">
        <v>7450</v>
      </c>
      <c r="J949" t="s">
        <v>8492</v>
      </c>
      <c r="K949" s="11">
        <v>93.313129038447883</v>
      </c>
      <c r="L949" s="9">
        <v>0.3471589046857198</v>
      </c>
      <c r="M949" s="10">
        <v>126.71118701484022</v>
      </c>
      <c r="N949" s="10">
        <v>139.38230571632425</v>
      </c>
    </row>
    <row r="950" spans="1:14">
      <c r="A950" t="s">
        <v>1967</v>
      </c>
      <c r="B950" t="s">
        <v>7451</v>
      </c>
      <c r="C950" t="s">
        <v>7452</v>
      </c>
      <c r="D950" t="s">
        <v>11</v>
      </c>
      <c r="E950" t="s">
        <v>13</v>
      </c>
      <c r="F950" t="s">
        <v>1970</v>
      </c>
      <c r="G950" t="s">
        <v>12</v>
      </c>
      <c r="I950" t="s">
        <v>7451</v>
      </c>
      <c r="J950" t="s">
        <v>8493</v>
      </c>
      <c r="K950" s="11">
        <v>19.164014822120009</v>
      </c>
      <c r="L950" s="9">
        <v>0.3019724774738779</v>
      </c>
      <c r="M950" s="11">
        <v>70.304209855499153</v>
      </c>
      <c r="N950" s="11">
        <v>77.334630841049076</v>
      </c>
    </row>
    <row r="951" spans="1:14">
      <c r="A951" t="s">
        <v>1967</v>
      </c>
      <c r="B951" t="s">
        <v>7453</v>
      </c>
      <c r="C951" t="s">
        <v>7454</v>
      </c>
      <c r="D951" t="s">
        <v>11</v>
      </c>
      <c r="E951" t="s">
        <v>13</v>
      </c>
      <c r="F951" t="s">
        <v>1970</v>
      </c>
      <c r="G951" t="s">
        <v>12</v>
      </c>
      <c r="I951" t="s">
        <v>7453</v>
      </c>
      <c r="J951" t="s">
        <v>8494</v>
      </c>
      <c r="K951" s="9">
        <v>7.7610918898638896</v>
      </c>
      <c r="L951" s="9">
        <v>0.15944439496860549</v>
      </c>
      <c r="M951" s="11">
        <v>71.957649211421568</v>
      </c>
      <c r="N951" s="11">
        <v>79.153414132563725</v>
      </c>
    </row>
    <row r="952" spans="1:14">
      <c r="A952" t="s">
        <v>1967</v>
      </c>
      <c r="B952" t="s">
        <v>7455</v>
      </c>
      <c r="C952" t="s">
        <v>7456</v>
      </c>
      <c r="D952" t="s">
        <v>11</v>
      </c>
      <c r="E952" t="s">
        <v>13</v>
      </c>
      <c r="F952" t="s">
        <v>1970</v>
      </c>
      <c r="G952" t="s">
        <v>12</v>
      </c>
      <c r="I952" t="s">
        <v>7455</v>
      </c>
      <c r="J952" t="s">
        <v>8495</v>
      </c>
      <c r="K952" s="9">
        <v>9.059177406953852</v>
      </c>
      <c r="L952" s="9">
        <v>0.10559659178771789</v>
      </c>
      <c r="M952" s="10">
        <v>310.58703096060776</v>
      </c>
      <c r="N952" s="10">
        <v>341.64573405666857</v>
      </c>
    </row>
    <row r="953" spans="1:14">
      <c r="A953" t="s">
        <v>1967</v>
      </c>
      <c r="B953" t="s">
        <v>7457</v>
      </c>
      <c r="C953" t="s">
        <v>7458</v>
      </c>
      <c r="D953" t="s">
        <v>11</v>
      </c>
      <c r="E953" t="s">
        <v>13</v>
      </c>
      <c r="F953" t="s">
        <v>1970</v>
      </c>
      <c r="G953" t="s">
        <v>12</v>
      </c>
      <c r="I953" t="s">
        <v>7457</v>
      </c>
      <c r="J953" t="s">
        <v>8496</v>
      </c>
      <c r="K953" s="9">
        <v>3.2664180979747588</v>
      </c>
      <c r="L953" s="9">
        <v>0.22281223461683811</v>
      </c>
      <c r="M953" s="11">
        <v>66.249739951112275</v>
      </c>
      <c r="N953" s="11">
        <v>72.874713946223508</v>
      </c>
    </row>
    <row r="954" spans="1:14">
      <c r="A954" t="s">
        <v>1967</v>
      </c>
      <c r="B954" t="s">
        <v>7459</v>
      </c>
      <c r="C954" t="s">
        <v>7460</v>
      </c>
      <c r="D954" t="s">
        <v>11</v>
      </c>
      <c r="E954" t="s">
        <v>13</v>
      </c>
      <c r="F954" t="s">
        <v>1970</v>
      </c>
      <c r="G954" t="s">
        <v>12</v>
      </c>
      <c r="I954" t="s">
        <v>7459</v>
      </c>
      <c r="J954" t="s">
        <v>8497</v>
      </c>
      <c r="K954" s="11">
        <v>10.174067540474397</v>
      </c>
      <c r="L954" s="9">
        <v>0.1186369636817196</v>
      </c>
      <c r="M954" s="10">
        <v>111.55178816459772</v>
      </c>
      <c r="N954" s="10">
        <v>122.7069669810575</v>
      </c>
    </row>
    <row r="955" spans="1:14">
      <c r="A955" t="s">
        <v>1967</v>
      </c>
      <c r="B955" t="s">
        <v>7461</v>
      </c>
      <c r="C955" t="s">
        <v>7462</v>
      </c>
      <c r="D955" t="s">
        <v>11</v>
      </c>
      <c r="E955" t="s">
        <v>13</v>
      </c>
      <c r="F955" t="s">
        <v>1970</v>
      </c>
      <c r="G955" t="s">
        <v>12</v>
      </c>
      <c r="I955" t="s">
        <v>7461</v>
      </c>
      <c r="J955" t="s">
        <v>8498</v>
      </c>
      <c r="K955" s="11">
        <v>12.35767257052763</v>
      </c>
      <c r="L955" s="9">
        <v>0.1872700254278867</v>
      </c>
      <c r="M955" s="11">
        <v>72.849384203954671</v>
      </c>
      <c r="N955" s="11">
        <v>80.134322624350148</v>
      </c>
    </row>
    <row r="956" spans="1:14">
      <c r="A956" t="s">
        <v>1967</v>
      </c>
      <c r="B956" t="s">
        <v>7463</v>
      </c>
      <c r="C956" t="s">
        <v>7464</v>
      </c>
      <c r="D956" t="s">
        <v>11</v>
      </c>
      <c r="E956" t="s">
        <v>13</v>
      </c>
      <c r="F956" t="s">
        <v>1970</v>
      </c>
      <c r="G956" t="s">
        <v>12</v>
      </c>
      <c r="I956" t="s">
        <v>7463</v>
      </c>
      <c r="J956" t="s">
        <v>8499</v>
      </c>
      <c r="K956" s="11">
        <v>19.355286999351289</v>
      </c>
      <c r="L956" s="9">
        <v>0.35326465078776731</v>
      </c>
      <c r="M956" s="11">
        <v>85.235924472336393</v>
      </c>
      <c r="N956" s="11">
        <v>93.759516919570046</v>
      </c>
    </row>
    <row r="957" spans="1:14">
      <c r="A957" t="s">
        <v>1967</v>
      </c>
      <c r="B957" t="s">
        <v>7465</v>
      </c>
      <c r="C957" t="s">
        <v>7460</v>
      </c>
      <c r="D957" t="s">
        <v>11</v>
      </c>
      <c r="E957" t="s">
        <v>13</v>
      </c>
      <c r="F957" t="s">
        <v>1970</v>
      </c>
      <c r="G957" t="s">
        <v>12</v>
      </c>
      <c r="I957" t="s">
        <v>7465</v>
      </c>
      <c r="J957" t="s">
        <v>8500</v>
      </c>
      <c r="K957" s="11">
        <v>14.142479798978336</v>
      </c>
      <c r="L957" s="9">
        <v>0.1326772952996059</v>
      </c>
      <c r="M957" s="10">
        <v>205.31997834414256</v>
      </c>
      <c r="N957" s="10">
        <v>225.85197617855684</v>
      </c>
    </row>
    <row r="958" spans="1:14">
      <c r="A958" t="s">
        <v>1967</v>
      </c>
      <c r="B958" t="s">
        <v>7466</v>
      </c>
      <c r="C958" t="s">
        <v>7467</v>
      </c>
      <c r="D958" t="s">
        <v>11</v>
      </c>
      <c r="E958" t="s">
        <v>13</v>
      </c>
      <c r="F958" t="s">
        <v>1970</v>
      </c>
      <c r="G958" t="s">
        <v>12</v>
      </c>
      <c r="I958" t="s">
        <v>7466</v>
      </c>
      <c r="J958" t="s">
        <v>8501</v>
      </c>
      <c r="K958" s="11">
        <v>39.937288212776387</v>
      </c>
      <c r="L958" s="9">
        <v>0.17726663043531721</v>
      </c>
      <c r="M958" s="10">
        <v>110.53691974573836</v>
      </c>
      <c r="N958" s="10">
        <v>121.59061172031221</v>
      </c>
    </row>
    <row r="959" spans="1:14">
      <c r="A959" t="s">
        <v>1967</v>
      </c>
      <c r="B959" t="s">
        <v>7468</v>
      </c>
      <c r="C959" t="s">
        <v>7469</v>
      </c>
      <c r="D959" t="s">
        <v>11</v>
      </c>
      <c r="E959" t="s">
        <v>13</v>
      </c>
      <c r="F959" t="s">
        <v>1970</v>
      </c>
      <c r="G959" t="s">
        <v>12</v>
      </c>
      <c r="I959" t="s">
        <v>7468</v>
      </c>
      <c r="J959" t="s">
        <v>8502</v>
      </c>
      <c r="K959" s="11">
        <v>64.502703024798137</v>
      </c>
      <c r="L959" s="9">
        <v>0.14159871771394861</v>
      </c>
      <c r="M959" s="11">
        <v>93.046600198263761</v>
      </c>
      <c r="N959" s="10">
        <v>102.35126021809015</v>
      </c>
    </row>
    <row r="960" spans="1:14">
      <c r="A960" t="s">
        <v>1967</v>
      </c>
      <c r="B960" t="s">
        <v>7470</v>
      </c>
      <c r="C960" t="s">
        <v>7471</v>
      </c>
      <c r="D960" t="s">
        <v>11</v>
      </c>
      <c r="E960" t="s">
        <v>13</v>
      </c>
      <c r="F960" t="s">
        <v>1970</v>
      </c>
      <c r="G960" t="s">
        <v>12</v>
      </c>
      <c r="I960" t="s">
        <v>7470</v>
      </c>
      <c r="J960" t="s">
        <v>8503</v>
      </c>
      <c r="K960" s="11">
        <v>12.794581591243508</v>
      </c>
      <c r="L960" s="9">
        <v>0.19433059497018809</v>
      </c>
      <c r="M960" s="11">
        <v>74.79178360944222</v>
      </c>
      <c r="N960" s="11">
        <v>82.270961970386452</v>
      </c>
    </row>
    <row r="961" spans="1:14">
      <c r="A961" t="s">
        <v>1967</v>
      </c>
      <c r="B961" t="s">
        <v>7472</v>
      </c>
      <c r="C961" t="s">
        <v>7473</v>
      </c>
      <c r="D961" t="s">
        <v>11</v>
      </c>
      <c r="E961" t="s">
        <v>13</v>
      </c>
      <c r="F961" t="s">
        <v>1970</v>
      </c>
      <c r="G961" t="s">
        <v>12</v>
      </c>
      <c r="I961" t="s">
        <v>7472</v>
      </c>
      <c r="J961" t="s">
        <v>8504</v>
      </c>
      <c r="K961" s="11">
        <v>23.228909303747102</v>
      </c>
      <c r="L961" s="9">
        <v>0.13875417080756069</v>
      </c>
      <c r="M961" s="11">
        <v>54.215170830738643</v>
      </c>
      <c r="N961" s="11">
        <v>59.636687913812509</v>
      </c>
    </row>
    <row r="962" spans="1:14">
      <c r="A962" t="s">
        <v>1967</v>
      </c>
      <c r="B962" t="s">
        <v>7474</v>
      </c>
      <c r="C962" t="s">
        <v>7475</v>
      </c>
      <c r="D962" t="s">
        <v>11</v>
      </c>
      <c r="E962" t="s">
        <v>13</v>
      </c>
      <c r="F962" t="s">
        <v>1970</v>
      </c>
      <c r="G962" t="s">
        <v>12</v>
      </c>
      <c r="I962" t="s">
        <v>7474</v>
      </c>
      <c r="J962" t="s">
        <v>8505</v>
      </c>
      <c r="K962" s="11">
        <v>61.045959465574477</v>
      </c>
      <c r="L962" s="9">
        <v>0.1530311614885278</v>
      </c>
      <c r="M962" s="11">
        <v>70.966894456960873</v>
      </c>
      <c r="N962" s="11">
        <v>78.063583902656973</v>
      </c>
    </row>
    <row r="963" spans="1:14">
      <c r="A963" t="s">
        <v>1967</v>
      </c>
      <c r="B963" t="s">
        <v>7476</v>
      </c>
      <c r="C963" t="s">
        <v>7477</v>
      </c>
      <c r="D963" t="s">
        <v>11</v>
      </c>
      <c r="E963" t="s">
        <v>13</v>
      </c>
      <c r="F963" t="s">
        <v>1970</v>
      </c>
      <c r="G963" t="s">
        <v>12</v>
      </c>
      <c r="I963" t="s">
        <v>7476</v>
      </c>
      <c r="J963" t="s">
        <v>8506</v>
      </c>
      <c r="K963" s="11">
        <v>44.338420708826668</v>
      </c>
      <c r="L963" s="9">
        <v>0.18349641461860511</v>
      </c>
      <c r="M963" s="11">
        <v>86.154550785749393</v>
      </c>
      <c r="N963" s="11">
        <v>94.770005864324347</v>
      </c>
    </row>
    <row r="964" spans="1:14">
      <c r="A964" t="s">
        <v>1967</v>
      </c>
      <c r="B964" t="s">
        <v>7478</v>
      </c>
      <c r="C964" t="s">
        <v>7479</v>
      </c>
      <c r="D964" t="s">
        <v>11</v>
      </c>
      <c r="E964" t="s">
        <v>13</v>
      </c>
      <c r="F964" t="s">
        <v>1970</v>
      </c>
      <c r="G964" t="s">
        <v>12</v>
      </c>
      <c r="I964" t="s">
        <v>7478</v>
      </c>
      <c r="J964" t="s">
        <v>8507</v>
      </c>
      <c r="K964" s="9">
        <v>7.2855372332226009</v>
      </c>
      <c r="L964" s="9">
        <v>0.16262521173928651</v>
      </c>
      <c r="M964" s="11">
        <v>54.883272324910095</v>
      </c>
      <c r="N964" s="11">
        <v>60.371599557401112</v>
      </c>
    </row>
    <row r="965" spans="1:14">
      <c r="A965" t="s">
        <v>1967</v>
      </c>
      <c r="B965" t="s">
        <v>7480</v>
      </c>
      <c r="C965" t="s">
        <v>7481</v>
      </c>
      <c r="D965" t="s">
        <v>11</v>
      </c>
      <c r="E965" t="s">
        <v>13</v>
      </c>
      <c r="F965" t="s">
        <v>1970</v>
      </c>
      <c r="G965" t="s">
        <v>12</v>
      </c>
      <c r="I965" t="s">
        <v>7480</v>
      </c>
      <c r="J965" t="s">
        <v>8508</v>
      </c>
      <c r="K965" s="11">
        <v>12.559017211821834</v>
      </c>
      <c r="L965" s="9">
        <v>0.3503127375070314</v>
      </c>
      <c r="M965" s="11">
        <v>76.039589009953502</v>
      </c>
      <c r="N965" s="11">
        <v>83.643547910948854</v>
      </c>
    </row>
    <row r="966" spans="1:14">
      <c r="A966" t="s">
        <v>1967</v>
      </c>
      <c r="B966" t="s">
        <v>7482</v>
      </c>
      <c r="C966" t="s">
        <v>7483</v>
      </c>
      <c r="D966" t="s">
        <v>11</v>
      </c>
      <c r="E966" t="s">
        <v>13</v>
      </c>
      <c r="F966" t="s">
        <v>1970</v>
      </c>
      <c r="G966" t="s">
        <v>12</v>
      </c>
      <c r="I966" t="s">
        <v>7482</v>
      </c>
      <c r="J966" t="s">
        <v>8509</v>
      </c>
      <c r="K966" s="9">
        <v>2.6232303820970269</v>
      </c>
      <c r="L966" s="9">
        <v>0.41388349665299518</v>
      </c>
      <c r="M966" s="10">
        <v>568.97922611553099</v>
      </c>
      <c r="N966" s="10">
        <v>625.87714872708409</v>
      </c>
    </row>
    <row r="967" spans="1:14">
      <c r="A967" t="s">
        <v>1967</v>
      </c>
      <c r="B967" t="s">
        <v>7484</v>
      </c>
      <c r="C967" t="s">
        <v>7483</v>
      </c>
      <c r="D967" t="s">
        <v>11</v>
      </c>
      <c r="E967" t="s">
        <v>13</v>
      </c>
      <c r="F967" t="s">
        <v>1970</v>
      </c>
      <c r="G967" t="s">
        <v>12</v>
      </c>
      <c r="I967" t="s">
        <v>7484</v>
      </c>
      <c r="J967" t="s">
        <v>8510</v>
      </c>
      <c r="K967" s="9">
        <v>8.7440075305586973</v>
      </c>
      <c r="L967" s="9">
        <v>0.13598878305022799</v>
      </c>
      <c r="M967" s="10">
        <v>184.9105004617343</v>
      </c>
      <c r="N967" s="10">
        <v>203.40155050790776</v>
      </c>
    </row>
    <row r="968" spans="1:14">
      <c r="A968" t="s">
        <v>1967</v>
      </c>
      <c r="B968" t="s">
        <v>7485</v>
      </c>
      <c r="C968" t="s">
        <v>7483</v>
      </c>
      <c r="D968" t="s">
        <v>11</v>
      </c>
      <c r="E968" t="s">
        <v>13</v>
      </c>
      <c r="F968" t="s">
        <v>1970</v>
      </c>
      <c r="G968" t="s">
        <v>12</v>
      </c>
      <c r="I968" t="s">
        <v>7485</v>
      </c>
      <c r="J968" t="s">
        <v>8511</v>
      </c>
      <c r="K968" s="10">
        <v>123.20298146298298</v>
      </c>
      <c r="L968" s="9">
        <v>0.28639288911668548</v>
      </c>
      <c r="M968" s="10">
        <v>406.61322611684687</v>
      </c>
      <c r="N968" s="10">
        <v>447.27454872853161</v>
      </c>
    </row>
    <row r="969" spans="1:14">
      <c r="A969" t="s">
        <v>1967</v>
      </c>
      <c r="B969" t="s">
        <v>7486</v>
      </c>
      <c r="C969" t="s">
        <v>7487</v>
      </c>
      <c r="D969" t="s">
        <v>11</v>
      </c>
      <c r="E969" t="s">
        <v>13</v>
      </c>
      <c r="F969" t="s">
        <v>1970</v>
      </c>
      <c r="G969" t="s">
        <v>12</v>
      </c>
      <c r="I969" t="s">
        <v>7486</v>
      </c>
      <c r="J969" t="s">
        <v>8512</v>
      </c>
      <c r="K969" s="11">
        <v>34.264746431810444</v>
      </c>
      <c r="L969" s="9">
        <v>0.1942332361468502</v>
      </c>
      <c r="M969" s="10">
        <v>348.54944061003795</v>
      </c>
      <c r="N969" s="10">
        <v>383.40438467104178</v>
      </c>
    </row>
    <row r="970" spans="1:14">
      <c r="A970" t="s">
        <v>1967</v>
      </c>
      <c r="B970" t="s">
        <v>7488</v>
      </c>
      <c r="C970" t="s">
        <v>7489</v>
      </c>
      <c r="D970" t="s">
        <v>11</v>
      </c>
      <c r="E970" t="s">
        <v>13</v>
      </c>
      <c r="F970" t="s">
        <v>1970</v>
      </c>
      <c r="G970" t="s">
        <v>12</v>
      </c>
      <c r="I970" t="s">
        <v>7488</v>
      </c>
      <c r="J970" t="s">
        <v>8513</v>
      </c>
      <c r="K970" s="11">
        <v>33.060942721365507</v>
      </c>
      <c r="L970" s="9">
        <v>0.15472728584302131</v>
      </c>
      <c r="M970" s="10">
        <v>192.27779365015519</v>
      </c>
      <c r="N970" s="10">
        <v>211.50557301517074</v>
      </c>
    </row>
    <row r="971" spans="1:14">
      <c r="A971" t="s">
        <v>1967</v>
      </c>
      <c r="B971" t="s">
        <v>7490</v>
      </c>
      <c r="C971" t="s">
        <v>7491</v>
      </c>
      <c r="D971" t="s">
        <v>11</v>
      </c>
      <c r="E971" t="s">
        <v>13</v>
      </c>
      <c r="F971" t="s">
        <v>1970</v>
      </c>
      <c r="G971" t="s">
        <v>12</v>
      </c>
      <c r="I971" t="s">
        <v>7490</v>
      </c>
      <c r="J971" t="s">
        <v>8514</v>
      </c>
      <c r="K971" s="11">
        <v>27.07021025581243</v>
      </c>
      <c r="L971" s="9">
        <v>0.1133534793039383</v>
      </c>
      <c r="M971" s="10">
        <v>179.07773746690745</v>
      </c>
      <c r="N971" s="10">
        <v>196.98551121359822</v>
      </c>
    </row>
    <row r="972" spans="1:14">
      <c r="A972" t="s">
        <v>1967</v>
      </c>
      <c r="B972" t="s">
        <v>7492</v>
      </c>
      <c r="C972" t="s">
        <v>7491</v>
      </c>
      <c r="D972" t="s">
        <v>11</v>
      </c>
      <c r="E972" t="s">
        <v>13</v>
      </c>
      <c r="F972" t="s">
        <v>1970</v>
      </c>
      <c r="G972" t="s">
        <v>12</v>
      </c>
      <c r="I972" t="s">
        <v>7492</v>
      </c>
      <c r="J972" t="s">
        <v>8515</v>
      </c>
      <c r="K972" s="11">
        <v>62.016991079396959</v>
      </c>
      <c r="L972" s="9">
        <v>0.21379867090476329</v>
      </c>
      <c r="M972" s="10">
        <v>244.83396316635489</v>
      </c>
      <c r="N972" s="10">
        <v>269.31735948299041</v>
      </c>
    </row>
    <row r="973" spans="1:14">
      <c r="A973" t="s">
        <v>1967</v>
      </c>
      <c r="B973" t="s">
        <v>7493</v>
      </c>
      <c r="C973" t="s">
        <v>7494</v>
      </c>
      <c r="D973" t="s">
        <v>11</v>
      </c>
      <c r="E973" t="s">
        <v>13</v>
      </c>
      <c r="F973" t="s">
        <v>1970</v>
      </c>
      <c r="G973" t="s">
        <v>12</v>
      </c>
      <c r="I973" t="s">
        <v>7493</v>
      </c>
      <c r="J973" t="s">
        <v>8516</v>
      </c>
      <c r="K973" s="10">
        <v>159.77200185325685</v>
      </c>
      <c r="L973" s="9">
        <v>0.24192406102054939</v>
      </c>
      <c r="M973" s="10">
        <v>220.08596131468224</v>
      </c>
      <c r="N973" s="10">
        <v>242.09455744615047</v>
      </c>
    </row>
    <row r="974" spans="1:14">
      <c r="A974" t="s">
        <v>1967</v>
      </c>
      <c r="B974" t="s">
        <v>7495</v>
      </c>
      <c r="C974" t="s">
        <v>7496</v>
      </c>
      <c r="D974" t="s">
        <v>11</v>
      </c>
      <c r="E974" t="s">
        <v>13</v>
      </c>
      <c r="F974" t="s">
        <v>1970</v>
      </c>
      <c r="G974" t="s">
        <v>12</v>
      </c>
      <c r="I974" t="s">
        <v>7495</v>
      </c>
      <c r="J974" t="s">
        <v>8517</v>
      </c>
      <c r="K974" s="9">
        <v>7.6187600542008829</v>
      </c>
      <c r="L974" s="9">
        <v>0.10160941375580169</v>
      </c>
      <c r="M974" s="10">
        <v>203.78095269266717</v>
      </c>
      <c r="N974" s="10">
        <v>224.15904796193391</v>
      </c>
    </row>
    <row r="975" spans="1:14">
      <c r="A975" t="s">
        <v>1967</v>
      </c>
      <c r="B975" t="s">
        <v>7497</v>
      </c>
      <c r="C975" t="s">
        <v>7498</v>
      </c>
      <c r="D975" t="s">
        <v>11</v>
      </c>
      <c r="E975" t="s">
        <v>13</v>
      </c>
      <c r="F975" t="s">
        <v>1970</v>
      </c>
      <c r="G975" t="s">
        <v>12</v>
      </c>
      <c r="I975" t="s">
        <v>7497</v>
      </c>
      <c r="J975" t="s">
        <v>8518</v>
      </c>
      <c r="K975" s="11">
        <v>41.343621488424496</v>
      </c>
      <c r="L975" s="9">
        <v>0.1859808250117348</v>
      </c>
      <c r="M975" s="11">
        <v>97.330389019017602</v>
      </c>
      <c r="N975" s="10">
        <v>107.06342792091937</v>
      </c>
    </row>
    <row r="976" spans="1:14">
      <c r="A976" t="s">
        <v>1967</v>
      </c>
      <c r="B976" t="s">
        <v>7499</v>
      </c>
      <c r="C976" t="s">
        <v>7500</v>
      </c>
      <c r="D976" t="s">
        <v>11</v>
      </c>
      <c r="E976" t="s">
        <v>13</v>
      </c>
      <c r="F976" t="s">
        <v>1970</v>
      </c>
      <c r="G976" t="s">
        <v>12</v>
      </c>
      <c r="I976" t="s">
        <v>7499</v>
      </c>
      <c r="J976" t="s">
        <v>8519</v>
      </c>
      <c r="K976" s="11">
        <v>24.142271496719967</v>
      </c>
      <c r="L976" s="9">
        <v>0.23372714216896889</v>
      </c>
      <c r="M976" s="10">
        <v>165.40913410623045</v>
      </c>
      <c r="N976" s="10">
        <v>181.95004751685352</v>
      </c>
    </row>
    <row r="977" spans="1:14">
      <c r="A977" t="s">
        <v>1967</v>
      </c>
      <c r="B977" t="s">
        <v>7501</v>
      </c>
      <c r="C977" t="s">
        <v>7502</v>
      </c>
      <c r="D977" t="s">
        <v>11</v>
      </c>
      <c r="E977" t="s">
        <v>13</v>
      </c>
      <c r="F977" t="s">
        <v>1970</v>
      </c>
      <c r="G977" t="s">
        <v>12</v>
      </c>
      <c r="I977" t="s">
        <v>7501</v>
      </c>
      <c r="J977" t="s">
        <v>8520</v>
      </c>
      <c r="K977" s="11">
        <v>20.204273499388144</v>
      </c>
      <c r="L977" s="9">
        <v>0.2210399395736731</v>
      </c>
      <c r="M977" s="10">
        <v>152.84219943498388</v>
      </c>
      <c r="N977" s="10">
        <v>168.1264193784823</v>
      </c>
    </row>
    <row r="978" spans="1:14">
      <c r="A978" t="s">
        <v>1967</v>
      </c>
      <c r="B978" t="s">
        <v>7503</v>
      </c>
      <c r="C978" t="s">
        <v>7504</v>
      </c>
      <c r="D978" t="s">
        <v>11</v>
      </c>
      <c r="E978" t="s">
        <v>13</v>
      </c>
      <c r="F978" t="s">
        <v>1970</v>
      </c>
      <c r="G978" t="s">
        <v>12</v>
      </c>
      <c r="I978" t="s">
        <v>7503</v>
      </c>
      <c r="J978" t="s">
        <v>8521</v>
      </c>
      <c r="K978" s="11">
        <v>22.393522448154087</v>
      </c>
      <c r="L978" s="9">
        <v>0.20437738320568219</v>
      </c>
      <c r="M978" s="10">
        <v>248.82800926539463</v>
      </c>
      <c r="N978" s="10">
        <v>273.71081019193412</v>
      </c>
    </row>
    <row r="979" spans="1:14">
      <c r="A979" t="s">
        <v>1967</v>
      </c>
      <c r="B979" t="s">
        <v>7505</v>
      </c>
      <c r="C979" t="s">
        <v>7506</v>
      </c>
      <c r="D979" t="s">
        <v>11</v>
      </c>
      <c r="E979" t="s">
        <v>13</v>
      </c>
      <c r="F979" t="s">
        <v>1970</v>
      </c>
      <c r="G979" t="s">
        <v>12</v>
      </c>
      <c r="I979" t="s">
        <v>7505</v>
      </c>
      <c r="J979" t="s">
        <v>8522</v>
      </c>
      <c r="K979" s="11">
        <v>23.912275399682432</v>
      </c>
      <c r="L979" s="9">
        <v>0.19121215481430259</v>
      </c>
      <c r="M979" s="10">
        <v>152.27687318525821</v>
      </c>
      <c r="N979" s="10">
        <v>167.50456050378403</v>
      </c>
    </row>
    <row r="980" spans="1:14">
      <c r="A980" t="s">
        <v>1967</v>
      </c>
      <c r="B980" t="s">
        <v>7507</v>
      </c>
      <c r="C980" t="s">
        <v>7508</v>
      </c>
      <c r="D980" t="s">
        <v>11</v>
      </c>
      <c r="E980" t="s">
        <v>13</v>
      </c>
      <c r="F980" t="s">
        <v>1970</v>
      </c>
      <c r="G980" t="s">
        <v>12</v>
      </c>
      <c r="I980" t="s">
        <v>7507</v>
      </c>
      <c r="J980" t="s">
        <v>8523</v>
      </c>
      <c r="K980" s="11">
        <v>20.786973811835324</v>
      </c>
      <c r="L980" s="9">
        <v>0.2303134401032485</v>
      </c>
      <c r="M980" s="11">
        <v>89.645673774282699</v>
      </c>
      <c r="N980" s="11">
        <v>98.61024115171098</v>
      </c>
    </row>
    <row r="981" spans="1:14">
      <c r="A981" t="s">
        <v>1967</v>
      </c>
      <c r="B981" t="s">
        <v>7509</v>
      </c>
      <c r="C981" t="s">
        <v>7510</v>
      </c>
      <c r="D981" t="s">
        <v>11</v>
      </c>
      <c r="E981" t="s">
        <v>13</v>
      </c>
      <c r="F981" t="s">
        <v>1970</v>
      </c>
      <c r="G981" t="s">
        <v>12</v>
      </c>
      <c r="I981" t="s">
        <v>7509</v>
      </c>
      <c r="J981" t="s">
        <v>8524</v>
      </c>
      <c r="K981" s="10">
        <v>133.26102610858663</v>
      </c>
      <c r="L981" s="9">
        <v>0.29408173389724712</v>
      </c>
      <c r="M981" s="10">
        <v>241.62860352593964</v>
      </c>
      <c r="N981" s="10">
        <v>265.79146387853365</v>
      </c>
    </row>
    <row r="982" spans="1:14">
      <c r="A982" t="s">
        <v>1967</v>
      </c>
      <c r="B982" t="s">
        <v>7511</v>
      </c>
      <c r="C982" t="s">
        <v>7512</v>
      </c>
      <c r="D982" t="s">
        <v>11</v>
      </c>
      <c r="E982" t="s">
        <v>13</v>
      </c>
      <c r="F982" t="s">
        <v>1970</v>
      </c>
      <c r="G982" t="s">
        <v>12</v>
      </c>
      <c r="I982" t="s">
        <v>7511</v>
      </c>
      <c r="J982" t="s">
        <v>8525</v>
      </c>
      <c r="K982" s="11">
        <v>87.664482687306162</v>
      </c>
      <c r="L982" s="9">
        <v>0.27254985166972512</v>
      </c>
      <c r="M982" s="10">
        <v>415.45332582291991</v>
      </c>
      <c r="N982" s="10">
        <v>456.99865840521193</v>
      </c>
    </row>
    <row r="983" spans="1:14">
      <c r="A983" t="s">
        <v>1967</v>
      </c>
      <c r="B983" t="s">
        <v>7513</v>
      </c>
      <c r="C983" t="s">
        <v>7514</v>
      </c>
      <c r="D983" t="s">
        <v>11</v>
      </c>
      <c r="E983" t="s">
        <v>13</v>
      </c>
      <c r="F983" t="s">
        <v>1970</v>
      </c>
      <c r="G983" t="s">
        <v>12</v>
      </c>
      <c r="I983" t="s">
        <v>7513</v>
      </c>
      <c r="J983" t="s">
        <v>8526</v>
      </c>
      <c r="K983" s="10">
        <v>100.47017805811491</v>
      </c>
      <c r="L983" s="9">
        <v>0.38328406783394547</v>
      </c>
      <c r="M983" s="10">
        <v>347.5983628205646</v>
      </c>
      <c r="N983" s="10">
        <v>382.35819910262109</v>
      </c>
    </row>
    <row r="984" spans="1:14">
      <c r="A984" t="s">
        <v>1967</v>
      </c>
      <c r="B984" t="s">
        <v>7515</v>
      </c>
      <c r="C984" t="s">
        <v>7510</v>
      </c>
      <c r="D984" t="s">
        <v>11</v>
      </c>
      <c r="E984" t="s">
        <v>13</v>
      </c>
      <c r="F984" t="s">
        <v>1970</v>
      </c>
      <c r="G984" t="s">
        <v>12</v>
      </c>
      <c r="I984" t="s">
        <v>7515</v>
      </c>
      <c r="J984" t="s">
        <v>8527</v>
      </c>
      <c r="K984" s="11">
        <v>89.208007761860316</v>
      </c>
      <c r="L984" s="9">
        <v>0.32742655245914581</v>
      </c>
      <c r="M984" s="10">
        <v>567.47642850329862</v>
      </c>
      <c r="N984" s="10">
        <v>624.22407135362857</v>
      </c>
    </row>
    <row r="985" spans="1:14">
      <c r="A985" t="s">
        <v>1967</v>
      </c>
      <c r="B985" t="s">
        <v>7516</v>
      </c>
      <c r="C985" t="s">
        <v>7517</v>
      </c>
      <c r="D985" t="s">
        <v>11</v>
      </c>
      <c r="E985" t="s">
        <v>13</v>
      </c>
      <c r="F985" t="s">
        <v>1970</v>
      </c>
      <c r="G985" t="s">
        <v>12</v>
      </c>
      <c r="I985" t="s">
        <v>7516</v>
      </c>
      <c r="J985" t="s">
        <v>8528</v>
      </c>
      <c r="K985" s="9">
        <v>9.2153105439379601</v>
      </c>
      <c r="L985" s="9">
        <v>0.1539557292976601</v>
      </c>
      <c r="M985" s="10">
        <v>150.50365773203876</v>
      </c>
      <c r="N985" s="10">
        <v>165.55402350524264</v>
      </c>
    </row>
    <row r="986" spans="1:14">
      <c r="A986" t="s">
        <v>1967</v>
      </c>
      <c r="B986" t="s">
        <v>7518</v>
      </c>
      <c r="C986" t="s">
        <v>7519</v>
      </c>
      <c r="D986" t="s">
        <v>11</v>
      </c>
      <c r="E986" t="s">
        <v>13</v>
      </c>
      <c r="F986" t="s">
        <v>1970</v>
      </c>
      <c r="G986" t="s">
        <v>12</v>
      </c>
      <c r="I986" t="s">
        <v>7518</v>
      </c>
      <c r="J986" t="s">
        <v>8529</v>
      </c>
      <c r="K986" s="9">
        <v>3.0906554879634229</v>
      </c>
      <c r="L986" s="9">
        <v>0.14974351548856829</v>
      </c>
      <c r="M986" s="10">
        <v>298.35727674060263</v>
      </c>
      <c r="N986" s="10">
        <v>328.19300441466294</v>
      </c>
    </row>
    <row r="987" spans="1:14">
      <c r="A987" t="s">
        <v>1967</v>
      </c>
      <c r="B987" t="s">
        <v>7520</v>
      </c>
      <c r="C987" t="s">
        <v>7521</v>
      </c>
      <c r="D987" t="s">
        <v>11</v>
      </c>
      <c r="E987" t="s">
        <v>13</v>
      </c>
      <c r="F987" t="s">
        <v>1970</v>
      </c>
      <c r="G987" t="s">
        <v>12</v>
      </c>
      <c r="I987" t="s">
        <v>7520</v>
      </c>
      <c r="J987" t="s">
        <v>8530</v>
      </c>
      <c r="K987" s="11">
        <v>10.806177082777863</v>
      </c>
      <c r="L987" s="9">
        <v>0.1811490798684075</v>
      </c>
      <c r="M987" s="10">
        <v>171.61364982642075</v>
      </c>
      <c r="N987" s="10">
        <v>188.77501480906284</v>
      </c>
    </row>
    <row r="988" spans="1:14">
      <c r="A988" t="s">
        <v>1967</v>
      </c>
      <c r="B988" t="s">
        <v>7522</v>
      </c>
      <c r="C988" t="s">
        <v>7523</v>
      </c>
      <c r="D988" t="s">
        <v>11</v>
      </c>
      <c r="E988" t="s">
        <v>13</v>
      </c>
      <c r="F988" t="s">
        <v>1970</v>
      </c>
      <c r="G988" t="s">
        <v>12</v>
      </c>
      <c r="I988" t="s">
        <v>7522</v>
      </c>
      <c r="J988" t="s">
        <v>8531</v>
      </c>
      <c r="K988" s="9">
        <v>2.0027300070168921</v>
      </c>
      <c r="L988" s="9">
        <v>0.14737748789779789</v>
      </c>
      <c r="M988" s="10">
        <v>172.07521760148569</v>
      </c>
      <c r="N988" s="10">
        <v>189.28273936163427</v>
      </c>
    </row>
    <row r="989" spans="1:14">
      <c r="A989" t="s">
        <v>1967</v>
      </c>
      <c r="B989" t="s">
        <v>7524</v>
      </c>
      <c r="C989" t="s">
        <v>7525</v>
      </c>
      <c r="D989" t="s">
        <v>11</v>
      </c>
      <c r="E989" t="s">
        <v>13</v>
      </c>
      <c r="F989" t="s">
        <v>1970</v>
      </c>
      <c r="G989" t="s">
        <v>12</v>
      </c>
      <c r="I989" t="s">
        <v>7524</v>
      </c>
      <c r="J989" t="s">
        <v>8532</v>
      </c>
      <c r="K989" s="9">
        <v>5.2033844294856024</v>
      </c>
      <c r="L989" s="9">
        <v>0.2435464059259346</v>
      </c>
      <c r="M989" s="10">
        <v>114.8229162394112</v>
      </c>
      <c r="N989" s="10">
        <v>126.30520786335234</v>
      </c>
    </row>
    <row r="990" spans="1:14">
      <c r="A990" t="s">
        <v>1967</v>
      </c>
      <c r="B990" t="s">
        <v>7526</v>
      </c>
      <c r="C990" t="s">
        <v>7527</v>
      </c>
      <c r="D990" t="s">
        <v>11</v>
      </c>
      <c r="E990" t="s">
        <v>13</v>
      </c>
      <c r="F990" t="s">
        <v>1970</v>
      </c>
      <c r="G990" t="s">
        <v>12</v>
      </c>
      <c r="I990" t="s">
        <v>7526</v>
      </c>
      <c r="J990" t="s">
        <v>8533</v>
      </c>
      <c r="K990" s="9">
        <v>2.0464883963164602</v>
      </c>
      <c r="L990" s="9">
        <v>0.2044506952565136</v>
      </c>
      <c r="M990" s="10">
        <v>272.35556327480862</v>
      </c>
      <c r="N990" s="10">
        <v>299.5911196022895</v>
      </c>
    </row>
    <row r="991" spans="1:14">
      <c r="A991" t="s">
        <v>1967</v>
      </c>
      <c r="B991" t="s">
        <v>7528</v>
      </c>
      <c r="C991" t="s">
        <v>7529</v>
      </c>
      <c r="D991" t="s">
        <v>11</v>
      </c>
      <c r="E991" t="s">
        <v>13</v>
      </c>
      <c r="F991" t="s">
        <v>1970</v>
      </c>
      <c r="G991" t="s">
        <v>12</v>
      </c>
      <c r="I991" t="s">
        <v>7528</v>
      </c>
      <c r="J991" t="s">
        <v>8534</v>
      </c>
      <c r="K991" s="9">
        <v>6.0156121151556903</v>
      </c>
      <c r="L991" s="9">
        <v>0.16859705345423881</v>
      </c>
      <c r="M991" s="10">
        <v>247.84865620973488</v>
      </c>
      <c r="N991" s="10">
        <v>272.63352183070839</v>
      </c>
    </row>
    <row r="992" spans="1:14">
      <c r="A992" t="s">
        <v>1967</v>
      </c>
      <c r="B992" t="s">
        <v>7530</v>
      </c>
      <c r="C992" t="s">
        <v>7517</v>
      </c>
      <c r="D992" t="s">
        <v>11</v>
      </c>
      <c r="E992" t="s">
        <v>13</v>
      </c>
      <c r="F992" t="s">
        <v>1970</v>
      </c>
      <c r="G992" t="s">
        <v>12</v>
      </c>
      <c r="I992" t="s">
        <v>7530</v>
      </c>
      <c r="J992" t="s">
        <v>8535</v>
      </c>
      <c r="K992" s="9">
        <v>2.9898885241348143</v>
      </c>
      <c r="L992" s="9">
        <v>0.15430386295278639</v>
      </c>
      <c r="M992" s="10">
        <v>132.04841417610024</v>
      </c>
      <c r="N992" s="10">
        <v>145.25325559371026</v>
      </c>
    </row>
    <row r="993" spans="1:14">
      <c r="A993" t="s">
        <v>1967</v>
      </c>
      <c r="B993" t="s">
        <v>7531</v>
      </c>
      <c r="C993" t="s">
        <v>7532</v>
      </c>
      <c r="D993" t="s">
        <v>11</v>
      </c>
      <c r="E993" t="s">
        <v>13</v>
      </c>
      <c r="F993" t="s">
        <v>1970</v>
      </c>
      <c r="G993" t="s">
        <v>12</v>
      </c>
      <c r="I993" t="s">
        <v>7531</v>
      </c>
      <c r="J993" t="s">
        <v>8536</v>
      </c>
      <c r="K993" s="9">
        <v>9.7261963742876727</v>
      </c>
      <c r="L993" s="9">
        <v>0.17922602977895499</v>
      </c>
      <c r="M993" s="10">
        <v>150.85890887151425</v>
      </c>
      <c r="N993" s="10">
        <v>165.94479975866568</v>
      </c>
    </row>
    <row r="994" spans="1:14">
      <c r="A994" t="s">
        <v>1967</v>
      </c>
      <c r="B994" t="s">
        <v>7533</v>
      </c>
      <c r="C994" t="s">
        <v>7534</v>
      </c>
      <c r="D994" t="s">
        <v>11</v>
      </c>
      <c r="E994" t="s">
        <v>13</v>
      </c>
      <c r="F994" t="s">
        <v>1970</v>
      </c>
      <c r="G994" t="s">
        <v>12</v>
      </c>
      <c r="I994" t="s">
        <v>7533</v>
      </c>
      <c r="J994" t="s">
        <v>8537</v>
      </c>
      <c r="K994" s="11">
        <v>11.778700413338507</v>
      </c>
      <c r="L994" s="9">
        <v>0.24237007288292489</v>
      </c>
      <c r="M994" s="10">
        <v>228.97588645952527</v>
      </c>
      <c r="N994" s="10">
        <v>251.87347510547781</v>
      </c>
    </row>
    <row r="995" spans="1:14">
      <c r="A995" t="s">
        <v>1967</v>
      </c>
      <c r="B995" t="s">
        <v>7535</v>
      </c>
      <c r="C995" t="s">
        <v>7536</v>
      </c>
      <c r="D995" t="s">
        <v>11</v>
      </c>
      <c r="E995" t="s">
        <v>13</v>
      </c>
      <c r="F995" t="s">
        <v>1970</v>
      </c>
      <c r="G995" t="s">
        <v>12</v>
      </c>
      <c r="I995" t="s">
        <v>7535</v>
      </c>
      <c r="J995" t="s">
        <v>8538</v>
      </c>
      <c r="K995" s="9">
        <v>4.0546767337060468</v>
      </c>
      <c r="L995" s="9">
        <v>0.1943874933425398</v>
      </c>
      <c r="M995" s="11">
        <v>99.880329924315362</v>
      </c>
      <c r="N995" s="10">
        <v>109.8683629167469</v>
      </c>
    </row>
    <row r="996" spans="1:14">
      <c r="A996" t="s">
        <v>1967</v>
      </c>
      <c r="B996" t="s">
        <v>7537</v>
      </c>
      <c r="C996" t="s">
        <v>7534</v>
      </c>
      <c r="D996" t="s">
        <v>11</v>
      </c>
      <c r="E996" t="s">
        <v>13</v>
      </c>
      <c r="F996" t="s">
        <v>1970</v>
      </c>
      <c r="G996" t="s">
        <v>12</v>
      </c>
      <c r="I996" t="s">
        <v>7537</v>
      </c>
      <c r="J996" t="s">
        <v>8539</v>
      </c>
      <c r="K996" s="11">
        <v>21.063548677219163</v>
      </c>
      <c r="L996" s="9">
        <v>0.27246855446558849</v>
      </c>
      <c r="M996" s="11">
        <v>89.638684674079798</v>
      </c>
      <c r="N996" s="11">
        <v>98.602553141487789</v>
      </c>
    </row>
    <row r="997" spans="1:14">
      <c r="A997" t="s">
        <v>1967</v>
      </c>
      <c r="B997" t="s">
        <v>7538</v>
      </c>
      <c r="C997" t="s">
        <v>7539</v>
      </c>
      <c r="D997" t="s">
        <v>11</v>
      </c>
      <c r="E997" t="s">
        <v>13</v>
      </c>
      <c r="F997" t="s">
        <v>1970</v>
      </c>
      <c r="G997" t="s">
        <v>12</v>
      </c>
      <c r="I997" t="s">
        <v>7538</v>
      </c>
      <c r="J997" t="s">
        <v>8540</v>
      </c>
      <c r="K997" s="9">
        <v>6.1671091279824797</v>
      </c>
      <c r="L997" s="9">
        <v>0.17971725228024449</v>
      </c>
      <c r="M997" s="10">
        <v>192.57026120772983</v>
      </c>
      <c r="N997" s="10">
        <v>211.82728732850282</v>
      </c>
    </row>
    <row r="998" spans="1:14">
      <c r="A998" t="s">
        <v>1967</v>
      </c>
      <c r="B998" t="s">
        <v>7540</v>
      </c>
      <c r="C998" t="s">
        <v>7541</v>
      </c>
      <c r="D998" t="s">
        <v>11</v>
      </c>
      <c r="E998" t="s">
        <v>13</v>
      </c>
      <c r="F998" t="s">
        <v>1970</v>
      </c>
      <c r="G998" t="s">
        <v>12</v>
      </c>
      <c r="I998" t="s">
        <v>7540</v>
      </c>
      <c r="J998" t="s">
        <v>8541</v>
      </c>
      <c r="K998" s="9">
        <v>6.0185723807091538</v>
      </c>
      <c r="L998" s="9">
        <v>0.21353235180165131</v>
      </c>
      <c r="M998" s="10">
        <v>193.71568940364759</v>
      </c>
      <c r="N998" s="10">
        <v>213.08725834401235</v>
      </c>
    </row>
    <row r="999" spans="1:14">
      <c r="A999" t="s">
        <v>1967</v>
      </c>
      <c r="B999" t="s">
        <v>7542</v>
      </c>
      <c r="C999" t="s">
        <v>7543</v>
      </c>
      <c r="D999" t="s">
        <v>11</v>
      </c>
      <c r="E999" t="s">
        <v>13</v>
      </c>
      <c r="F999" t="s">
        <v>1970</v>
      </c>
      <c r="G999" t="s">
        <v>12</v>
      </c>
      <c r="I999" t="s">
        <v>7542</v>
      </c>
      <c r="J999" t="s">
        <v>8542</v>
      </c>
      <c r="K999" s="9">
        <v>3.9245436491108774</v>
      </c>
      <c r="L999" s="9">
        <v>0.20384276246619279</v>
      </c>
      <c r="M999" s="10">
        <v>115.22493491412035</v>
      </c>
      <c r="N999" s="10">
        <v>126.7474284055324</v>
      </c>
    </row>
    <row r="1000" spans="1:14">
      <c r="A1000" t="s">
        <v>1967</v>
      </c>
      <c r="B1000" t="s">
        <v>7544</v>
      </c>
      <c r="C1000" t="s">
        <v>7545</v>
      </c>
      <c r="D1000" t="s">
        <v>11</v>
      </c>
      <c r="E1000" t="s">
        <v>13</v>
      </c>
      <c r="F1000" t="s">
        <v>1970</v>
      </c>
      <c r="G1000" t="s">
        <v>12</v>
      </c>
      <c r="I1000" t="s">
        <v>7544</v>
      </c>
      <c r="J1000" t="s">
        <v>8543</v>
      </c>
      <c r="K1000" s="9">
        <v>4.3432730949451708</v>
      </c>
      <c r="L1000" s="9">
        <v>0.15598014332201179</v>
      </c>
      <c r="M1000" s="10">
        <v>326.78321027285915</v>
      </c>
      <c r="N1000" s="10">
        <v>359.46153130014511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9ABA-F085-44FD-9CE7-4CB72A10A069}">
  <dimension ref="A1:Z553"/>
  <sheetViews>
    <sheetView workbookViewId="0"/>
  </sheetViews>
  <sheetFormatPr defaultRowHeight="14.25"/>
  <sheetData>
    <row r="1" spans="1:26">
      <c r="A1" t="s">
        <v>0</v>
      </c>
      <c r="I1" t="s">
        <v>1</v>
      </c>
      <c r="P1" t="s">
        <v>0</v>
      </c>
      <c r="X1" t="s">
        <v>1</v>
      </c>
    </row>
    <row r="2" spans="1:26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I2" t="s">
        <v>3</v>
      </c>
      <c r="J2" t="s">
        <v>9</v>
      </c>
      <c r="K2" t="s">
        <v>10</v>
      </c>
      <c r="L2" t="s">
        <v>4190</v>
      </c>
      <c r="M2" t="s">
        <v>4191</v>
      </c>
      <c r="N2" t="s">
        <v>14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X2" t="s">
        <v>3</v>
      </c>
      <c r="Y2" t="s">
        <v>9</v>
      </c>
      <c r="Z2" t="s">
        <v>641</v>
      </c>
    </row>
    <row r="3" spans="1:26">
      <c r="A3" t="s">
        <v>1967</v>
      </c>
      <c r="B3" t="s">
        <v>8860</v>
      </c>
      <c r="C3" t="s">
        <v>8861</v>
      </c>
      <c r="D3" t="s">
        <v>11</v>
      </c>
      <c r="E3" t="s">
        <v>13</v>
      </c>
      <c r="F3" t="s">
        <v>1970</v>
      </c>
      <c r="G3" t="s">
        <v>12</v>
      </c>
      <c r="I3" t="s">
        <v>8860</v>
      </c>
      <c r="J3" t="s">
        <v>9832</v>
      </c>
      <c r="K3" s="9">
        <v>1.089</v>
      </c>
      <c r="L3" s="9">
        <v>0.2863405124168758</v>
      </c>
      <c r="M3" s="10">
        <v>114.61114800151992</v>
      </c>
      <c r="N3" s="10">
        <v>689.73925158978784</v>
      </c>
      <c r="P3" t="s">
        <v>1967</v>
      </c>
      <c r="Q3" t="s">
        <v>10383</v>
      </c>
      <c r="R3" t="s">
        <v>10384</v>
      </c>
      <c r="S3" t="s">
        <v>11</v>
      </c>
      <c r="T3" t="s">
        <v>13</v>
      </c>
      <c r="U3" t="s">
        <v>75</v>
      </c>
      <c r="V3" t="s">
        <v>12</v>
      </c>
      <c r="X3" t="s">
        <v>10383</v>
      </c>
      <c r="Y3" t="s">
        <v>76</v>
      </c>
      <c r="Z3" s="9">
        <v>1</v>
      </c>
    </row>
    <row r="4" spans="1:26">
      <c r="A4" t="s">
        <v>1967</v>
      </c>
      <c r="B4" t="s">
        <v>8862</v>
      </c>
      <c r="C4" t="s">
        <v>8861</v>
      </c>
      <c r="D4" t="s">
        <v>11</v>
      </c>
      <c r="E4" t="s">
        <v>13</v>
      </c>
      <c r="F4" t="s">
        <v>1970</v>
      </c>
      <c r="G4" t="s">
        <v>12</v>
      </c>
      <c r="I4" t="s">
        <v>8862</v>
      </c>
      <c r="J4" t="s">
        <v>9833</v>
      </c>
      <c r="K4" s="11">
        <v>12.99075</v>
      </c>
      <c r="L4" s="9">
        <v>0.482620507348614</v>
      </c>
      <c r="M4" s="10">
        <v>206.47460033829083</v>
      </c>
      <c r="N4" s="10">
        <v>895.53293284729057</v>
      </c>
      <c r="P4" t="s">
        <v>1967</v>
      </c>
      <c r="Q4" t="s">
        <v>10385</v>
      </c>
      <c r="R4" t="s">
        <v>10386</v>
      </c>
      <c r="S4" t="s">
        <v>11</v>
      </c>
      <c r="T4" t="s">
        <v>13</v>
      </c>
      <c r="U4" t="s">
        <v>75</v>
      </c>
      <c r="V4" t="s">
        <v>12</v>
      </c>
      <c r="X4" t="s">
        <v>10385</v>
      </c>
      <c r="Y4" t="s">
        <v>76</v>
      </c>
      <c r="Z4" s="9">
        <v>1</v>
      </c>
    </row>
    <row r="5" spans="1:26">
      <c r="A5" t="s">
        <v>1967</v>
      </c>
      <c r="B5" t="s">
        <v>8863</v>
      </c>
      <c r="C5" t="s">
        <v>8864</v>
      </c>
      <c r="D5" t="s">
        <v>11</v>
      </c>
      <c r="E5" t="s">
        <v>13</v>
      </c>
      <c r="F5" t="s">
        <v>1970</v>
      </c>
      <c r="G5" t="s">
        <v>12</v>
      </c>
      <c r="I5" t="s">
        <v>8863</v>
      </c>
      <c r="J5" t="s">
        <v>9834</v>
      </c>
      <c r="K5" s="9">
        <v>9.15</v>
      </c>
      <c r="L5" s="9">
        <v>0.311215241294516</v>
      </c>
      <c r="M5" s="11">
        <v>55.018787026403352</v>
      </c>
      <c r="N5" s="10">
        <v>544.48416587828706</v>
      </c>
      <c r="P5" t="s">
        <v>1967</v>
      </c>
      <c r="Q5" t="s">
        <v>10387</v>
      </c>
      <c r="R5" t="s">
        <v>10388</v>
      </c>
      <c r="S5" t="s">
        <v>11</v>
      </c>
      <c r="T5" t="s">
        <v>13</v>
      </c>
      <c r="U5" t="s">
        <v>75</v>
      </c>
      <c r="V5" t="s">
        <v>12</v>
      </c>
      <c r="X5" t="s">
        <v>10387</v>
      </c>
      <c r="Y5" t="s">
        <v>76</v>
      </c>
      <c r="Z5" s="9">
        <v>1</v>
      </c>
    </row>
    <row r="6" spans="1:26">
      <c r="A6" t="s">
        <v>1967</v>
      </c>
      <c r="B6" t="s">
        <v>8865</v>
      </c>
      <c r="C6" t="s">
        <v>8866</v>
      </c>
      <c r="D6" t="s">
        <v>11</v>
      </c>
      <c r="E6" t="s">
        <v>13</v>
      </c>
      <c r="F6" t="s">
        <v>1970</v>
      </c>
      <c r="G6" t="s">
        <v>12</v>
      </c>
      <c r="I6" t="s">
        <v>8865</v>
      </c>
      <c r="J6" t="s">
        <v>9835</v>
      </c>
      <c r="K6" s="11">
        <v>15.113250000000001</v>
      </c>
      <c r="L6" s="9">
        <v>0.27978348820297688</v>
      </c>
      <c r="M6" s="11">
        <v>66.96884611127129</v>
      </c>
      <c r="N6" s="10">
        <v>598.02043057849539</v>
      </c>
      <c r="P6" t="s">
        <v>1967</v>
      </c>
      <c r="Q6" t="s">
        <v>10389</v>
      </c>
      <c r="R6" t="s">
        <v>10390</v>
      </c>
      <c r="S6" t="s">
        <v>11</v>
      </c>
      <c r="T6" t="s">
        <v>13</v>
      </c>
      <c r="U6" t="s">
        <v>75</v>
      </c>
      <c r="V6" t="s">
        <v>12</v>
      </c>
      <c r="X6" t="s">
        <v>10389</v>
      </c>
      <c r="Y6" t="s">
        <v>76</v>
      </c>
      <c r="Z6" s="9">
        <v>1</v>
      </c>
    </row>
    <row r="7" spans="1:26">
      <c r="A7" t="s">
        <v>1967</v>
      </c>
      <c r="B7" t="s">
        <v>8867</v>
      </c>
      <c r="C7" t="s">
        <v>8868</v>
      </c>
      <c r="D7" t="s">
        <v>11</v>
      </c>
      <c r="E7" t="s">
        <v>13</v>
      </c>
      <c r="F7" t="s">
        <v>1970</v>
      </c>
      <c r="G7" t="s">
        <v>12</v>
      </c>
      <c r="I7" t="s">
        <v>8867</v>
      </c>
      <c r="J7" t="s">
        <v>9836</v>
      </c>
      <c r="K7" s="9">
        <v>1.2315</v>
      </c>
      <c r="L7" s="9">
        <v>0.2491421647635321</v>
      </c>
      <c r="M7" s="10">
        <v>0</v>
      </c>
      <c r="N7" s="10">
        <v>253.29999999999998</v>
      </c>
      <c r="P7" t="s">
        <v>1967</v>
      </c>
      <c r="Q7" t="s">
        <v>10391</v>
      </c>
      <c r="R7" t="s">
        <v>10392</v>
      </c>
      <c r="S7" t="s">
        <v>11</v>
      </c>
      <c r="T7" t="s">
        <v>13</v>
      </c>
      <c r="U7" t="s">
        <v>75</v>
      </c>
      <c r="V7" t="s">
        <v>12</v>
      </c>
      <c r="X7" t="s">
        <v>10391</v>
      </c>
      <c r="Y7" t="s">
        <v>76</v>
      </c>
      <c r="Z7" s="9">
        <v>1</v>
      </c>
    </row>
    <row r="8" spans="1:26">
      <c r="A8" t="s">
        <v>1967</v>
      </c>
      <c r="B8" t="s">
        <v>8869</v>
      </c>
      <c r="C8" t="s">
        <v>8868</v>
      </c>
      <c r="D8" t="s">
        <v>11</v>
      </c>
      <c r="E8" t="s">
        <v>13</v>
      </c>
      <c r="F8" t="s">
        <v>1970</v>
      </c>
      <c r="G8" t="s">
        <v>12</v>
      </c>
      <c r="I8" t="s">
        <v>8869</v>
      </c>
      <c r="J8" t="s">
        <v>9837</v>
      </c>
      <c r="K8" s="9">
        <v>1.8</v>
      </c>
      <c r="L8" s="9">
        <v>0.2232959939250643</v>
      </c>
      <c r="M8" s="10">
        <v>0</v>
      </c>
      <c r="N8" s="10">
        <v>253.29999999999998</v>
      </c>
      <c r="P8" t="s">
        <v>1967</v>
      </c>
      <c r="Q8" t="s">
        <v>10393</v>
      </c>
      <c r="R8" t="s">
        <v>10394</v>
      </c>
      <c r="S8" t="s">
        <v>11</v>
      </c>
      <c r="T8" t="s">
        <v>13</v>
      </c>
      <c r="U8" t="s">
        <v>75</v>
      </c>
      <c r="V8" t="s">
        <v>12</v>
      </c>
      <c r="X8" t="s">
        <v>10393</v>
      </c>
      <c r="Y8" t="s">
        <v>76</v>
      </c>
      <c r="Z8" s="9">
        <v>1</v>
      </c>
    </row>
    <row r="9" spans="1:26">
      <c r="A9" t="s">
        <v>1967</v>
      </c>
      <c r="B9" t="s">
        <v>8870</v>
      </c>
      <c r="C9" t="s">
        <v>8871</v>
      </c>
      <c r="D9" t="s">
        <v>11</v>
      </c>
      <c r="E9" t="s">
        <v>13</v>
      </c>
      <c r="F9" t="s">
        <v>1970</v>
      </c>
      <c r="G9" t="s">
        <v>12</v>
      </c>
      <c r="I9" t="s">
        <v>8870</v>
      </c>
      <c r="J9" t="s">
        <v>9838</v>
      </c>
      <c r="K9" s="10">
        <v>258.81524999999999</v>
      </c>
      <c r="L9" s="9">
        <v>0.62034035062740789</v>
      </c>
      <c r="M9" s="10">
        <v>323.52705462529866</v>
      </c>
      <c r="N9" s="10">
        <v>981.09827693109321</v>
      </c>
      <c r="P9" t="s">
        <v>1967</v>
      </c>
      <c r="Q9" t="s">
        <v>10395</v>
      </c>
      <c r="R9" t="s">
        <v>10396</v>
      </c>
      <c r="S9" t="s">
        <v>11</v>
      </c>
      <c r="T9" t="s">
        <v>13</v>
      </c>
      <c r="U9" t="s">
        <v>75</v>
      </c>
      <c r="V9" t="s">
        <v>12</v>
      </c>
      <c r="X9" t="s">
        <v>10395</v>
      </c>
      <c r="Y9" t="s">
        <v>76</v>
      </c>
      <c r="Z9" s="9">
        <v>1</v>
      </c>
    </row>
    <row r="10" spans="1:26">
      <c r="A10" t="s">
        <v>1967</v>
      </c>
      <c r="B10" t="s">
        <v>8872</v>
      </c>
      <c r="C10" t="s">
        <v>8873</v>
      </c>
      <c r="D10" t="s">
        <v>11</v>
      </c>
      <c r="E10" t="s">
        <v>13</v>
      </c>
      <c r="F10" t="s">
        <v>1970</v>
      </c>
      <c r="G10" t="s">
        <v>12</v>
      </c>
      <c r="I10" t="s">
        <v>8872</v>
      </c>
      <c r="J10" t="s">
        <v>9839</v>
      </c>
      <c r="K10" s="10">
        <v>168.75</v>
      </c>
      <c r="L10" s="9">
        <v>0.74371121841254084</v>
      </c>
      <c r="M10" s="10">
        <v>592.24150009641369</v>
      </c>
      <c r="N10" s="10">
        <v>1177.5285365704783</v>
      </c>
      <c r="P10" t="s">
        <v>1967</v>
      </c>
      <c r="Q10" t="s">
        <v>10397</v>
      </c>
      <c r="R10" t="s">
        <v>10398</v>
      </c>
      <c r="S10" t="s">
        <v>11</v>
      </c>
      <c r="T10" t="s">
        <v>13</v>
      </c>
      <c r="U10" t="s">
        <v>75</v>
      </c>
      <c r="V10" t="s">
        <v>12</v>
      </c>
      <c r="X10" t="s">
        <v>10397</v>
      </c>
      <c r="Y10" t="s">
        <v>76</v>
      </c>
      <c r="Z10" s="9">
        <v>1</v>
      </c>
    </row>
    <row r="11" spans="1:26">
      <c r="A11" t="s">
        <v>1967</v>
      </c>
      <c r="B11" t="s">
        <v>8874</v>
      </c>
      <c r="C11" t="s">
        <v>8873</v>
      </c>
      <c r="D11" t="s">
        <v>11</v>
      </c>
      <c r="E11" t="s">
        <v>13</v>
      </c>
      <c r="F11" t="s">
        <v>1970</v>
      </c>
      <c r="G11" t="s">
        <v>12</v>
      </c>
      <c r="I11" t="s">
        <v>8874</v>
      </c>
      <c r="J11" t="s">
        <v>9840</v>
      </c>
      <c r="K11" s="10">
        <v>292.48874999999998</v>
      </c>
      <c r="L11" s="9">
        <v>0.71604889107881919</v>
      </c>
      <c r="M11" s="10">
        <v>238.17665411163489</v>
      </c>
      <c r="N11" s="10">
        <v>918.7071341556051</v>
      </c>
      <c r="P11" t="s">
        <v>1967</v>
      </c>
      <c r="Q11" t="s">
        <v>10399</v>
      </c>
      <c r="R11" t="s">
        <v>10400</v>
      </c>
      <c r="S11" t="s">
        <v>11</v>
      </c>
      <c r="T11" t="s">
        <v>13</v>
      </c>
      <c r="U11" t="s">
        <v>75</v>
      </c>
      <c r="V11" t="s">
        <v>12</v>
      </c>
      <c r="X11" t="s">
        <v>10399</v>
      </c>
      <c r="Y11" t="s">
        <v>76</v>
      </c>
      <c r="Z11" s="9">
        <v>1</v>
      </c>
    </row>
    <row r="12" spans="1:26">
      <c r="A12" t="s">
        <v>1967</v>
      </c>
      <c r="B12" t="s">
        <v>8875</v>
      </c>
      <c r="C12" t="s">
        <v>8876</v>
      </c>
      <c r="D12" t="s">
        <v>11</v>
      </c>
      <c r="E12" t="s">
        <v>13</v>
      </c>
      <c r="F12" t="s">
        <v>1970</v>
      </c>
      <c r="G12" t="s">
        <v>12</v>
      </c>
      <c r="I12" t="s">
        <v>8875</v>
      </c>
      <c r="J12" t="s">
        <v>9841</v>
      </c>
      <c r="K12" s="10">
        <v>122.14725</v>
      </c>
      <c r="L12" s="9">
        <v>0.54920356443673046</v>
      </c>
      <c r="M12" s="10">
        <v>156.04036903147497</v>
      </c>
      <c r="N12" s="10">
        <v>847.50172527185669</v>
      </c>
      <c r="P12" t="s">
        <v>1967</v>
      </c>
      <c r="Q12" t="s">
        <v>10401</v>
      </c>
      <c r="R12" t="s">
        <v>10402</v>
      </c>
      <c r="S12" t="s">
        <v>11</v>
      </c>
      <c r="T12" t="s">
        <v>13</v>
      </c>
      <c r="U12" t="s">
        <v>75</v>
      </c>
      <c r="V12" t="s">
        <v>12</v>
      </c>
      <c r="X12" t="s">
        <v>10401</v>
      </c>
      <c r="Y12" t="s">
        <v>76</v>
      </c>
      <c r="Z12" s="9">
        <v>1</v>
      </c>
    </row>
    <row r="13" spans="1:26">
      <c r="A13" t="s">
        <v>1967</v>
      </c>
      <c r="B13" t="s">
        <v>8877</v>
      </c>
      <c r="C13" t="s">
        <v>8878</v>
      </c>
      <c r="D13" t="s">
        <v>11</v>
      </c>
      <c r="E13" t="s">
        <v>13</v>
      </c>
      <c r="F13" t="s">
        <v>1970</v>
      </c>
      <c r="G13" t="s">
        <v>12</v>
      </c>
      <c r="I13" t="s">
        <v>8877</v>
      </c>
      <c r="J13" t="s">
        <v>9842</v>
      </c>
      <c r="K13" s="10">
        <v>131.07075</v>
      </c>
      <c r="L13" s="9">
        <v>0.52029414365816529</v>
      </c>
      <c r="M13" s="10">
        <v>204.91760978102536</v>
      </c>
      <c r="N13" s="10">
        <v>894.39477274992953</v>
      </c>
      <c r="P13" t="s">
        <v>1967</v>
      </c>
      <c r="Q13" t="s">
        <v>10403</v>
      </c>
      <c r="R13" t="s">
        <v>10404</v>
      </c>
      <c r="S13" t="s">
        <v>11</v>
      </c>
      <c r="T13" t="s">
        <v>13</v>
      </c>
      <c r="U13" t="s">
        <v>75</v>
      </c>
      <c r="V13" t="s">
        <v>12</v>
      </c>
      <c r="X13" t="s">
        <v>10403</v>
      </c>
      <c r="Y13" t="s">
        <v>76</v>
      </c>
      <c r="Z13" s="9">
        <v>1</v>
      </c>
    </row>
    <row r="14" spans="1:26">
      <c r="A14" t="s">
        <v>1967</v>
      </c>
      <c r="B14" t="s">
        <v>8879</v>
      </c>
      <c r="C14" t="s">
        <v>8880</v>
      </c>
      <c r="D14" t="s">
        <v>11</v>
      </c>
      <c r="E14" t="s">
        <v>13</v>
      </c>
      <c r="F14" t="s">
        <v>1970</v>
      </c>
      <c r="G14" t="s">
        <v>12</v>
      </c>
      <c r="I14" t="s">
        <v>8879</v>
      </c>
      <c r="J14" t="s">
        <v>9843</v>
      </c>
      <c r="K14" s="10">
        <v>218.25149999999999</v>
      </c>
      <c r="L14" s="9">
        <v>0.62518342813606442</v>
      </c>
      <c r="M14" s="10">
        <v>413.79802713661695</v>
      </c>
      <c r="N14" s="10">
        <v>1047.0863578368669</v>
      </c>
      <c r="P14" t="s">
        <v>1967</v>
      </c>
      <c r="Q14" t="s">
        <v>10405</v>
      </c>
      <c r="R14" t="s">
        <v>10406</v>
      </c>
      <c r="S14" t="s">
        <v>11</v>
      </c>
      <c r="T14" t="s">
        <v>13</v>
      </c>
      <c r="U14" t="s">
        <v>75</v>
      </c>
      <c r="V14" t="s">
        <v>12</v>
      </c>
      <c r="X14" t="s">
        <v>10405</v>
      </c>
      <c r="Y14" t="s">
        <v>76</v>
      </c>
      <c r="Z14" s="9">
        <v>1</v>
      </c>
    </row>
    <row r="15" spans="1:26">
      <c r="A15" t="s">
        <v>1967</v>
      </c>
      <c r="B15" t="s">
        <v>8881</v>
      </c>
      <c r="C15" t="s">
        <v>8880</v>
      </c>
      <c r="D15" t="s">
        <v>11</v>
      </c>
      <c r="E15" t="s">
        <v>13</v>
      </c>
      <c r="F15" t="s">
        <v>1970</v>
      </c>
      <c r="G15" t="s">
        <v>12</v>
      </c>
      <c r="I15" t="s">
        <v>8881</v>
      </c>
      <c r="J15" t="s">
        <v>9844</v>
      </c>
      <c r="K15" s="10">
        <v>203.01150000000001</v>
      </c>
      <c r="L15" s="9">
        <v>0.57802381934819314</v>
      </c>
      <c r="M15" s="10">
        <v>182.58907647565036</v>
      </c>
      <c r="N15" s="10">
        <v>878.07261490370024</v>
      </c>
      <c r="P15" t="s">
        <v>1967</v>
      </c>
      <c r="Q15" t="s">
        <v>10407</v>
      </c>
      <c r="R15" t="s">
        <v>10408</v>
      </c>
      <c r="S15" t="s">
        <v>11</v>
      </c>
      <c r="T15" t="s">
        <v>13</v>
      </c>
      <c r="U15" t="s">
        <v>75</v>
      </c>
      <c r="V15" t="s">
        <v>12</v>
      </c>
      <c r="X15" t="s">
        <v>10407</v>
      </c>
      <c r="Y15" t="s">
        <v>76</v>
      </c>
      <c r="Z15" s="9">
        <v>1</v>
      </c>
    </row>
    <row r="16" spans="1:26">
      <c r="A16" t="s">
        <v>1967</v>
      </c>
      <c r="B16" t="s">
        <v>8882</v>
      </c>
      <c r="C16" t="s">
        <v>8883</v>
      </c>
      <c r="D16" t="s">
        <v>11</v>
      </c>
      <c r="E16" t="s">
        <v>13</v>
      </c>
      <c r="F16" t="s">
        <v>1970</v>
      </c>
      <c r="G16" t="s">
        <v>12</v>
      </c>
      <c r="I16" t="s">
        <v>8882</v>
      </c>
      <c r="J16" t="s">
        <v>9845</v>
      </c>
      <c r="K16" s="10">
        <v>129.42075</v>
      </c>
      <c r="L16" s="9">
        <v>0.5690924521981795</v>
      </c>
      <c r="M16" s="10">
        <v>333.95370243773294</v>
      </c>
      <c r="N16" s="10">
        <v>988.72015648198283</v>
      </c>
      <c r="P16" t="s">
        <v>1967</v>
      </c>
      <c r="Q16" t="s">
        <v>10409</v>
      </c>
      <c r="R16" t="s">
        <v>10410</v>
      </c>
      <c r="S16" t="s">
        <v>11</v>
      </c>
      <c r="T16" t="s">
        <v>13</v>
      </c>
      <c r="U16" t="s">
        <v>75</v>
      </c>
      <c r="V16" t="s">
        <v>12</v>
      </c>
      <c r="X16" t="s">
        <v>10409</v>
      </c>
      <c r="Y16" t="s">
        <v>76</v>
      </c>
      <c r="Z16" s="9">
        <v>1</v>
      </c>
    </row>
    <row r="17" spans="1:26">
      <c r="A17" t="s">
        <v>1967</v>
      </c>
      <c r="B17" t="s">
        <v>8884</v>
      </c>
      <c r="C17" t="s">
        <v>8883</v>
      </c>
      <c r="D17" t="s">
        <v>11</v>
      </c>
      <c r="E17" t="s">
        <v>13</v>
      </c>
      <c r="F17" t="s">
        <v>1970</v>
      </c>
      <c r="G17" t="s">
        <v>12</v>
      </c>
      <c r="I17" t="s">
        <v>8884</v>
      </c>
      <c r="J17" t="s">
        <v>9846</v>
      </c>
      <c r="K17" s="10">
        <v>197.892</v>
      </c>
      <c r="L17" s="9">
        <v>0.55239414152409916</v>
      </c>
      <c r="M17" s="10">
        <v>229.91730443239021</v>
      </c>
      <c r="N17" s="10">
        <v>912.66954954007724</v>
      </c>
      <c r="P17" t="s">
        <v>1967</v>
      </c>
      <c r="Q17" t="s">
        <v>10411</v>
      </c>
      <c r="R17" t="s">
        <v>10412</v>
      </c>
      <c r="S17" t="s">
        <v>11</v>
      </c>
      <c r="T17" t="s">
        <v>13</v>
      </c>
      <c r="U17" t="s">
        <v>75</v>
      </c>
      <c r="V17" t="s">
        <v>12</v>
      </c>
      <c r="X17" t="s">
        <v>10411</v>
      </c>
      <c r="Y17" t="s">
        <v>76</v>
      </c>
      <c r="Z17" s="9">
        <v>1</v>
      </c>
    </row>
    <row r="18" spans="1:26">
      <c r="A18" t="s">
        <v>1967</v>
      </c>
      <c r="B18" t="s">
        <v>8885</v>
      </c>
      <c r="C18" t="s">
        <v>8886</v>
      </c>
      <c r="D18" t="s">
        <v>11</v>
      </c>
      <c r="E18" t="s">
        <v>13</v>
      </c>
      <c r="F18" t="s">
        <v>1970</v>
      </c>
      <c r="G18" t="s">
        <v>12</v>
      </c>
      <c r="I18" t="s">
        <v>8885</v>
      </c>
      <c r="J18" t="s">
        <v>9847</v>
      </c>
      <c r="K18" s="10">
        <v>353.32274999999998</v>
      </c>
      <c r="L18" s="9">
        <v>0.26678167919049178</v>
      </c>
      <c r="M18" s="10">
        <v>1549.4387135956863</v>
      </c>
      <c r="N18" s="10">
        <v>1877.2396996384464</v>
      </c>
      <c r="P18" t="s">
        <v>1967</v>
      </c>
      <c r="Q18" t="s">
        <v>10413</v>
      </c>
      <c r="R18" t="s">
        <v>10414</v>
      </c>
      <c r="S18" t="s">
        <v>11</v>
      </c>
      <c r="T18" t="s">
        <v>13</v>
      </c>
      <c r="U18" t="s">
        <v>75</v>
      </c>
      <c r="V18" t="s">
        <v>12</v>
      </c>
      <c r="X18" t="s">
        <v>10413</v>
      </c>
      <c r="Y18" t="s">
        <v>76</v>
      </c>
      <c r="Z18" s="9">
        <v>1</v>
      </c>
    </row>
    <row r="19" spans="1:26">
      <c r="A19" t="s">
        <v>1967</v>
      </c>
      <c r="B19" t="s">
        <v>8887</v>
      </c>
      <c r="C19" t="s">
        <v>8888</v>
      </c>
      <c r="D19" t="s">
        <v>11</v>
      </c>
      <c r="E19" t="s">
        <v>13</v>
      </c>
      <c r="F19" t="s">
        <v>1970</v>
      </c>
      <c r="G19" t="s">
        <v>12</v>
      </c>
      <c r="I19" t="s">
        <v>8887</v>
      </c>
      <c r="J19" t="s">
        <v>9848</v>
      </c>
      <c r="K19" s="10">
        <v>516.48599999999999</v>
      </c>
      <c r="L19" s="9">
        <v>0.4835671859756791</v>
      </c>
      <c r="M19" s="10">
        <v>614.76553700559111</v>
      </c>
      <c r="N19" s="10">
        <v>1193.9936075510871</v>
      </c>
      <c r="P19" t="s">
        <v>1967</v>
      </c>
      <c r="Q19" t="s">
        <v>10415</v>
      </c>
      <c r="R19" t="s">
        <v>10416</v>
      </c>
      <c r="S19" t="s">
        <v>11</v>
      </c>
      <c r="T19" t="s">
        <v>13</v>
      </c>
      <c r="U19" t="s">
        <v>75</v>
      </c>
      <c r="V19" t="s">
        <v>12</v>
      </c>
      <c r="X19" t="s">
        <v>10415</v>
      </c>
      <c r="Y19" t="s">
        <v>76</v>
      </c>
      <c r="Z19" s="9">
        <v>1</v>
      </c>
    </row>
    <row r="20" spans="1:26">
      <c r="A20" t="s">
        <v>1967</v>
      </c>
      <c r="B20" t="s">
        <v>8889</v>
      </c>
      <c r="C20" t="s">
        <v>8890</v>
      </c>
      <c r="D20" t="s">
        <v>11</v>
      </c>
      <c r="E20" t="s">
        <v>13</v>
      </c>
      <c r="F20" t="s">
        <v>1970</v>
      </c>
      <c r="G20" t="s">
        <v>12</v>
      </c>
      <c r="I20" t="s">
        <v>8889</v>
      </c>
      <c r="J20" t="s">
        <v>9849</v>
      </c>
      <c r="K20" s="10">
        <v>319.94024999999999</v>
      </c>
      <c r="L20" s="9">
        <v>0.47667419022241359</v>
      </c>
      <c r="M20" s="10">
        <v>713.66404118084404</v>
      </c>
      <c r="N20" s="10">
        <v>1266.2884141031971</v>
      </c>
      <c r="P20" t="s">
        <v>1967</v>
      </c>
      <c r="Q20" t="s">
        <v>10417</v>
      </c>
      <c r="R20" t="s">
        <v>10418</v>
      </c>
      <c r="S20" t="s">
        <v>11</v>
      </c>
      <c r="T20" t="s">
        <v>13</v>
      </c>
      <c r="U20" t="s">
        <v>75</v>
      </c>
      <c r="V20" t="s">
        <v>12</v>
      </c>
      <c r="X20" t="s">
        <v>10417</v>
      </c>
      <c r="Y20" t="s">
        <v>76</v>
      </c>
      <c r="Z20" s="9">
        <v>1</v>
      </c>
    </row>
    <row r="21" spans="1:26">
      <c r="A21" t="s">
        <v>1967</v>
      </c>
      <c r="B21" t="s">
        <v>8891</v>
      </c>
      <c r="C21" t="s">
        <v>8892</v>
      </c>
      <c r="D21" t="s">
        <v>11</v>
      </c>
      <c r="E21" t="s">
        <v>13</v>
      </c>
      <c r="F21" t="s">
        <v>1970</v>
      </c>
      <c r="G21" t="s">
        <v>12</v>
      </c>
      <c r="I21" t="s">
        <v>8891</v>
      </c>
      <c r="J21" t="s">
        <v>9850</v>
      </c>
      <c r="K21" s="10">
        <v>457.49175000000002</v>
      </c>
      <c r="L21" s="9">
        <v>0.5473463446594895</v>
      </c>
      <c r="M21" s="10">
        <v>370.11358996395774</v>
      </c>
      <c r="N21" s="10">
        <v>1015.153034263653</v>
      </c>
      <c r="P21" t="s">
        <v>1967</v>
      </c>
      <c r="Q21" t="s">
        <v>10419</v>
      </c>
      <c r="R21" t="s">
        <v>10420</v>
      </c>
      <c r="S21" t="s">
        <v>11</v>
      </c>
      <c r="T21" t="s">
        <v>13</v>
      </c>
      <c r="U21" t="s">
        <v>75</v>
      </c>
      <c r="V21" t="s">
        <v>12</v>
      </c>
      <c r="X21" t="s">
        <v>10419</v>
      </c>
      <c r="Y21" t="s">
        <v>76</v>
      </c>
      <c r="Z21" s="9">
        <v>1</v>
      </c>
    </row>
    <row r="22" spans="1:26">
      <c r="A22" t="s">
        <v>1967</v>
      </c>
      <c r="B22" t="s">
        <v>8893</v>
      </c>
      <c r="C22" t="s">
        <v>8886</v>
      </c>
      <c r="D22" t="s">
        <v>11</v>
      </c>
      <c r="E22" t="s">
        <v>13</v>
      </c>
      <c r="F22" t="s">
        <v>1970</v>
      </c>
      <c r="G22" t="s">
        <v>12</v>
      </c>
      <c r="I22" t="s">
        <v>8893</v>
      </c>
      <c r="J22" t="s">
        <v>9851</v>
      </c>
      <c r="K22" s="10">
        <v>208.9665</v>
      </c>
      <c r="L22" s="9">
        <v>0.53078451808921967</v>
      </c>
      <c r="M22" s="10">
        <v>668.89330905569386</v>
      </c>
      <c r="N22" s="10">
        <v>1233.5610089197123</v>
      </c>
      <c r="P22" t="s">
        <v>1967</v>
      </c>
      <c r="Q22" t="s">
        <v>10421</v>
      </c>
      <c r="R22" t="s">
        <v>10422</v>
      </c>
      <c r="S22" t="s">
        <v>11</v>
      </c>
      <c r="T22" t="s">
        <v>13</v>
      </c>
      <c r="U22" t="s">
        <v>75</v>
      </c>
      <c r="V22" t="s">
        <v>12</v>
      </c>
      <c r="X22" t="s">
        <v>10421</v>
      </c>
      <c r="Y22" t="s">
        <v>76</v>
      </c>
      <c r="Z22" s="9">
        <v>1</v>
      </c>
    </row>
    <row r="23" spans="1:26">
      <c r="A23" t="s">
        <v>1967</v>
      </c>
      <c r="B23" t="s">
        <v>8894</v>
      </c>
      <c r="C23" t="s">
        <v>8886</v>
      </c>
      <c r="D23" t="s">
        <v>11</v>
      </c>
      <c r="E23" t="s">
        <v>13</v>
      </c>
      <c r="F23" t="s">
        <v>1970</v>
      </c>
      <c r="G23" t="s">
        <v>12</v>
      </c>
      <c r="I23" t="s">
        <v>8894</v>
      </c>
      <c r="J23" t="s">
        <v>9852</v>
      </c>
      <c r="K23" s="10">
        <v>105.49724999999999</v>
      </c>
      <c r="L23" s="9">
        <v>0.43456566753406439</v>
      </c>
      <c r="M23" s="10">
        <v>1122.6639548361038</v>
      </c>
      <c r="N23" s="10">
        <v>1565.2673509851918</v>
      </c>
      <c r="P23" t="s">
        <v>1967</v>
      </c>
      <c r="Q23" t="s">
        <v>10423</v>
      </c>
      <c r="R23" t="s">
        <v>10424</v>
      </c>
      <c r="S23" t="s">
        <v>11</v>
      </c>
      <c r="T23" t="s">
        <v>13</v>
      </c>
      <c r="U23" t="s">
        <v>75</v>
      </c>
      <c r="V23" t="s">
        <v>12</v>
      </c>
      <c r="X23" t="s">
        <v>10423</v>
      </c>
      <c r="Y23" t="s">
        <v>76</v>
      </c>
      <c r="Z23" s="9">
        <v>1</v>
      </c>
    </row>
    <row r="24" spans="1:26">
      <c r="A24" t="s">
        <v>1967</v>
      </c>
      <c r="B24" t="s">
        <v>8895</v>
      </c>
      <c r="C24" t="s">
        <v>8896</v>
      </c>
      <c r="D24" t="s">
        <v>11</v>
      </c>
      <c r="E24" t="s">
        <v>13</v>
      </c>
      <c r="F24" t="s">
        <v>1970</v>
      </c>
      <c r="G24" t="s">
        <v>12</v>
      </c>
      <c r="I24" t="s">
        <v>8895</v>
      </c>
      <c r="J24" t="s">
        <v>9853</v>
      </c>
      <c r="K24" s="11">
        <v>64.177499999999995</v>
      </c>
      <c r="L24" s="9">
        <v>0.38073731114632059</v>
      </c>
      <c r="M24" s="10">
        <v>197.75554633277039</v>
      </c>
      <c r="N24" s="10">
        <v>889.1593043692551</v>
      </c>
      <c r="P24" t="s">
        <v>1967</v>
      </c>
      <c r="Q24" t="s">
        <v>10425</v>
      </c>
      <c r="R24" t="s">
        <v>10426</v>
      </c>
      <c r="S24" t="s">
        <v>11</v>
      </c>
      <c r="T24" t="s">
        <v>13</v>
      </c>
      <c r="U24" t="s">
        <v>75</v>
      </c>
      <c r="V24" t="s">
        <v>12</v>
      </c>
      <c r="X24" t="s">
        <v>10425</v>
      </c>
      <c r="Y24" t="s">
        <v>76</v>
      </c>
      <c r="Z24" s="9">
        <v>1</v>
      </c>
    </row>
    <row r="25" spans="1:26">
      <c r="A25" t="s">
        <v>1967</v>
      </c>
      <c r="B25" t="s">
        <v>8897</v>
      </c>
      <c r="C25" t="s">
        <v>8898</v>
      </c>
      <c r="D25" t="s">
        <v>11</v>
      </c>
      <c r="E25" t="s">
        <v>13</v>
      </c>
      <c r="F25" t="s">
        <v>1970</v>
      </c>
      <c r="G25" t="s">
        <v>12</v>
      </c>
      <c r="I25" t="s">
        <v>8897</v>
      </c>
      <c r="J25" t="s">
        <v>9854</v>
      </c>
      <c r="K25" s="11">
        <v>90.716250000000002</v>
      </c>
      <c r="L25" s="9">
        <v>0.35040970287225331</v>
      </c>
      <c r="M25" s="10">
        <v>175.51813892639066</v>
      </c>
      <c r="N25" s="10">
        <v>872.90375955519141</v>
      </c>
      <c r="P25" t="s">
        <v>1967</v>
      </c>
      <c r="Q25" t="s">
        <v>10427</v>
      </c>
      <c r="R25" t="s">
        <v>10428</v>
      </c>
      <c r="S25" t="s">
        <v>11</v>
      </c>
      <c r="T25" t="s">
        <v>13</v>
      </c>
      <c r="U25" t="s">
        <v>75</v>
      </c>
      <c r="V25" t="s">
        <v>12</v>
      </c>
      <c r="X25" t="s">
        <v>10427</v>
      </c>
      <c r="Y25" t="s">
        <v>76</v>
      </c>
      <c r="Z25" s="9">
        <v>1</v>
      </c>
    </row>
    <row r="26" spans="1:26">
      <c r="A26" t="s">
        <v>1967</v>
      </c>
      <c r="B26" t="s">
        <v>8899</v>
      </c>
      <c r="C26" t="s">
        <v>8896</v>
      </c>
      <c r="D26" t="s">
        <v>11</v>
      </c>
      <c r="E26" t="s">
        <v>13</v>
      </c>
      <c r="F26" t="s">
        <v>1970</v>
      </c>
      <c r="G26" t="s">
        <v>12</v>
      </c>
      <c r="I26" t="s">
        <v>8899</v>
      </c>
      <c r="J26" t="s">
        <v>9855</v>
      </c>
      <c r="K26" s="10">
        <v>212.69624999999999</v>
      </c>
      <c r="L26" s="9">
        <v>0.25285817376163489</v>
      </c>
      <c r="M26" s="10">
        <v>2177.429735378651</v>
      </c>
      <c r="N26" s="10">
        <v>2336.3011365617936</v>
      </c>
      <c r="P26" t="s">
        <v>1967</v>
      </c>
      <c r="Q26" t="s">
        <v>10429</v>
      </c>
      <c r="R26" t="s">
        <v>10430</v>
      </c>
      <c r="S26" t="s">
        <v>11</v>
      </c>
      <c r="T26" t="s">
        <v>13</v>
      </c>
      <c r="U26" t="s">
        <v>75</v>
      </c>
      <c r="V26" t="s">
        <v>12</v>
      </c>
      <c r="X26" t="s">
        <v>10429</v>
      </c>
      <c r="Y26" t="s">
        <v>76</v>
      </c>
      <c r="Z26" s="9">
        <v>1</v>
      </c>
    </row>
    <row r="27" spans="1:26">
      <c r="A27" t="s">
        <v>1967</v>
      </c>
      <c r="B27" t="s">
        <v>8900</v>
      </c>
      <c r="C27" t="s">
        <v>8896</v>
      </c>
      <c r="D27" t="s">
        <v>11</v>
      </c>
      <c r="E27" t="s">
        <v>13</v>
      </c>
      <c r="F27" t="s">
        <v>1970</v>
      </c>
      <c r="G27" t="s">
        <v>12</v>
      </c>
      <c r="I27" t="s">
        <v>8900</v>
      </c>
      <c r="J27" t="s">
        <v>9856</v>
      </c>
      <c r="K27" s="10">
        <v>628.5915</v>
      </c>
      <c r="L27" s="9">
        <v>0.33565643660593941</v>
      </c>
      <c r="M27" s="10">
        <v>2639.9376703181319</v>
      </c>
      <c r="N27" s="10">
        <v>2674.3944370025542</v>
      </c>
      <c r="P27" t="s">
        <v>1967</v>
      </c>
      <c r="Q27" t="s">
        <v>10431</v>
      </c>
      <c r="R27" t="s">
        <v>10432</v>
      </c>
      <c r="S27" t="s">
        <v>11</v>
      </c>
      <c r="T27" t="s">
        <v>13</v>
      </c>
      <c r="U27" t="s">
        <v>75</v>
      </c>
      <c r="V27" t="s">
        <v>12</v>
      </c>
      <c r="X27" t="s">
        <v>10431</v>
      </c>
      <c r="Y27" t="s">
        <v>76</v>
      </c>
      <c r="Z27" s="9">
        <v>1</v>
      </c>
    </row>
    <row r="28" spans="1:26">
      <c r="A28" t="s">
        <v>1967</v>
      </c>
      <c r="B28" t="s">
        <v>8901</v>
      </c>
      <c r="C28" t="s">
        <v>8896</v>
      </c>
      <c r="D28" t="s">
        <v>11</v>
      </c>
      <c r="E28" t="s">
        <v>13</v>
      </c>
      <c r="F28" t="s">
        <v>1970</v>
      </c>
      <c r="G28" t="s">
        <v>12</v>
      </c>
      <c r="I28" t="s">
        <v>8901</v>
      </c>
      <c r="J28" t="s">
        <v>9857</v>
      </c>
      <c r="K28" s="10">
        <v>315.75975</v>
      </c>
      <c r="L28" s="9">
        <v>0.42020403175294679</v>
      </c>
      <c r="M28" s="10">
        <v>652.62546594055232</v>
      </c>
      <c r="N28" s="10">
        <v>1221.6692156025438</v>
      </c>
      <c r="P28" t="s">
        <v>1967</v>
      </c>
      <c r="Q28" t="s">
        <v>10433</v>
      </c>
      <c r="R28" t="s">
        <v>10434</v>
      </c>
      <c r="S28" t="s">
        <v>11</v>
      </c>
      <c r="T28" t="s">
        <v>13</v>
      </c>
      <c r="U28" t="s">
        <v>75</v>
      </c>
      <c r="V28" t="s">
        <v>12</v>
      </c>
      <c r="X28" t="s">
        <v>10433</v>
      </c>
      <c r="Y28" t="s">
        <v>76</v>
      </c>
      <c r="Z28" s="9">
        <v>1</v>
      </c>
    </row>
    <row r="29" spans="1:26">
      <c r="A29" t="s">
        <v>1967</v>
      </c>
      <c r="B29" t="s">
        <v>8902</v>
      </c>
      <c r="C29" t="s">
        <v>8896</v>
      </c>
      <c r="D29" t="s">
        <v>11</v>
      </c>
      <c r="E29" t="s">
        <v>13</v>
      </c>
      <c r="F29" t="s">
        <v>1970</v>
      </c>
      <c r="G29" t="s">
        <v>12</v>
      </c>
      <c r="I29" t="s">
        <v>8902</v>
      </c>
      <c r="J29" t="s">
        <v>9858</v>
      </c>
      <c r="K29" s="11">
        <v>40.497</v>
      </c>
      <c r="L29" s="9">
        <v>0.53475420463774848</v>
      </c>
      <c r="M29" s="10">
        <v>2081.4495388905912</v>
      </c>
      <c r="N29" s="10">
        <v>2266.1396129290224</v>
      </c>
      <c r="P29" t="s">
        <v>1967</v>
      </c>
      <c r="Q29" t="s">
        <v>10435</v>
      </c>
      <c r="R29" t="s">
        <v>10436</v>
      </c>
      <c r="S29" t="s">
        <v>11</v>
      </c>
      <c r="T29" t="s">
        <v>13</v>
      </c>
      <c r="U29" t="s">
        <v>75</v>
      </c>
      <c r="V29" t="s">
        <v>12</v>
      </c>
      <c r="X29" t="s">
        <v>10435</v>
      </c>
      <c r="Y29" t="s">
        <v>76</v>
      </c>
      <c r="Z29" s="9">
        <v>1</v>
      </c>
    </row>
    <row r="30" spans="1:26">
      <c r="A30" t="s">
        <v>1967</v>
      </c>
      <c r="B30" t="s">
        <v>8903</v>
      </c>
      <c r="C30" t="s">
        <v>8896</v>
      </c>
      <c r="D30" t="s">
        <v>11</v>
      </c>
      <c r="E30" t="s">
        <v>13</v>
      </c>
      <c r="F30" t="s">
        <v>1970</v>
      </c>
      <c r="G30" t="s">
        <v>12</v>
      </c>
      <c r="I30" t="s">
        <v>8903</v>
      </c>
      <c r="J30" t="s">
        <v>9859</v>
      </c>
      <c r="K30" s="10">
        <v>346.83974999999998</v>
      </c>
      <c r="L30" s="9">
        <v>0.44083545134425672</v>
      </c>
      <c r="M30" s="10">
        <v>1151.1408090753159</v>
      </c>
      <c r="N30" s="10">
        <v>1586.083931434056</v>
      </c>
      <c r="P30" t="s">
        <v>1967</v>
      </c>
      <c r="Q30" t="s">
        <v>10437</v>
      </c>
      <c r="R30" t="s">
        <v>10438</v>
      </c>
      <c r="S30" t="s">
        <v>11</v>
      </c>
      <c r="T30" t="s">
        <v>13</v>
      </c>
      <c r="U30" t="s">
        <v>75</v>
      </c>
      <c r="V30" t="s">
        <v>12</v>
      </c>
      <c r="X30" t="s">
        <v>10437</v>
      </c>
      <c r="Y30" t="s">
        <v>76</v>
      </c>
      <c r="Z30" s="9">
        <v>1</v>
      </c>
    </row>
    <row r="31" spans="1:26">
      <c r="A31" t="s">
        <v>1967</v>
      </c>
      <c r="B31" t="s">
        <v>8904</v>
      </c>
      <c r="C31" t="s">
        <v>8905</v>
      </c>
      <c r="D31" t="s">
        <v>11</v>
      </c>
      <c r="E31" t="s">
        <v>13</v>
      </c>
      <c r="F31" t="s">
        <v>1970</v>
      </c>
      <c r="G31" t="s">
        <v>12</v>
      </c>
      <c r="I31" t="s">
        <v>8904</v>
      </c>
      <c r="J31" t="s">
        <v>9860</v>
      </c>
      <c r="K31" s="11">
        <v>56.844000000000001</v>
      </c>
      <c r="L31" s="9">
        <v>0.25657091921256597</v>
      </c>
      <c r="M31" s="10">
        <v>145.18071987889192</v>
      </c>
      <c r="N31" s="10">
        <v>806.14818129882042</v>
      </c>
      <c r="P31" t="s">
        <v>1967</v>
      </c>
      <c r="Q31" t="s">
        <v>10439</v>
      </c>
      <c r="R31" t="s">
        <v>10440</v>
      </c>
      <c r="S31" t="s">
        <v>11</v>
      </c>
      <c r="T31" t="s">
        <v>13</v>
      </c>
      <c r="U31" t="s">
        <v>75</v>
      </c>
      <c r="V31" t="s">
        <v>12</v>
      </c>
      <c r="X31" t="s">
        <v>10439</v>
      </c>
      <c r="Y31" t="s">
        <v>76</v>
      </c>
      <c r="Z31" s="9">
        <v>1</v>
      </c>
    </row>
    <row r="32" spans="1:26">
      <c r="A32" t="s">
        <v>1967</v>
      </c>
      <c r="B32" t="s">
        <v>8906</v>
      </c>
      <c r="C32" t="s">
        <v>8907</v>
      </c>
      <c r="D32" t="s">
        <v>11</v>
      </c>
      <c r="E32" t="s">
        <v>13</v>
      </c>
      <c r="F32" t="s">
        <v>1970</v>
      </c>
      <c r="G32" t="s">
        <v>12</v>
      </c>
      <c r="I32" t="s">
        <v>8906</v>
      </c>
      <c r="J32" t="s">
        <v>9861</v>
      </c>
      <c r="K32" s="11">
        <v>38.16675</v>
      </c>
      <c r="L32" s="9">
        <v>0.35495664949321282</v>
      </c>
      <c r="M32" s="11">
        <v>91.587605192737882</v>
      </c>
      <c r="N32" s="10">
        <v>602.06560057394586</v>
      </c>
      <c r="P32" t="s">
        <v>1967</v>
      </c>
      <c r="Q32" t="s">
        <v>10441</v>
      </c>
      <c r="R32" t="s">
        <v>10442</v>
      </c>
      <c r="S32" t="s">
        <v>11</v>
      </c>
      <c r="T32" t="s">
        <v>13</v>
      </c>
      <c r="U32" t="s">
        <v>75</v>
      </c>
      <c r="V32" t="s">
        <v>12</v>
      </c>
      <c r="X32" t="s">
        <v>10441</v>
      </c>
      <c r="Y32" t="s">
        <v>76</v>
      </c>
      <c r="Z32" s="9">
        <v>1</v>
      </c>
    </row>
    <row r="33" spans="1:26">
      <c r="A33" t="s">
        <v>1967</v>
      </c>
      <c r="B33" t="s">
        <v>8908</v>
      </c>
      <c r="C33" t="s">
        <v>8905</v>
      </c>
      <c r="D33" t="s">
        <v>11</v>
      </c>
      <c r="E33" t="s">
        <v>13</v>
      </c>
      <c r="F33" t="s">
        <v>1970</v>
      </c>
      <c r="G33" t="s">
        <v>12</v>
      </c>
      <c r="I33" t="s">
        <v>8908</v>
      </c>
      <c r="J33" t="s">
        <v>9862</v>
      </c>
      <c r="K33" s="11">
        <v>40.540500000000002</v>
      </c>
      <c r="L33" s="9">
        <v>0.3690072792794955</v>
      </c>
      <c r="M33" s="10">
        <v>109.0984461204736</v>
      </c>
      <c r="N33" s="10">
        <v>668.74688282676357</v>
      </c>
      <c r="P33" t="s">
        <v>1967</v>
      </c>
      <c r="Q33" t="s">
        <v>10443</v>
      </c>
      <c r="R33" t="s">
        <v>10444</v>
      </c>
      <c r="S33" t="s">
        <v>11</v>
      </c>
      <c r="T33" t="s">
        <v>13</v>
      </c>
      <c r="U33" t="s">
        <v>75</v>
      </c>
      <c r="V33" t="s">
        <v>12</v>
      </c>
      <c r="X33" t="s">
        <v>10443</v>
      </c>
      <c r="Y33" t="s">
        <v>76</v>
      </c>
      <c r="Z33" s="9">
        <v>1</v>
      </c>
    </row>
    <row r="34" spans="1:26">
      <c r="A34" t="s">
        <v>1967</v>
      </c>
      <c r="B34" t="s">
        <v>8909</v>
      </c>
      <c r="C34" t="s">
        <v>8910</v>
      </c>
      <c r="D34" t="s">
        <v>11</v>
      </c>
      <c r="E34" t="s">
        <v>13</v>
      </c>
      <c r="F34" t="s">
        <v>1970</v>
      </c>
      <c r="G34" t="s">
        <v>12</v>
      </c>
      <c r="I34" t="s">
        <v>8909</v>
      </c>
      <c r="J34" t="s">
        <v>9863</v>
      </c>
      <c r="K34" s="11">
        <v>62.151000000000003</v>
      </c>
      <c r="L34" s="9">
        <v>0.41581279436523</v>
      </c>
      <c r="M34" s="10">
        <v>131.43815432826895</v>
      </c>
      <c r="N34" s="10">
        <v>753.81649168204819</v>
      </c>
      <c r="P34" t="s">
        <v>1967</v>
      </c>
      <c r="Q34" t="s">
        <v>10445</v>
      </c>
      <c r="R34" t="s">
        <v>10446</v>
      </c>
      <c r="S34" t="s">
        <v>11</v>
      </c>
      <c r="T34" t="s">
        <v>13</v>
      </c>
      <c r="U34" t="s">
        <v>75</v>
      </c>
      <c r="V34" t="s">
        <v>12</v>
      </c>
      <c r="X34" t="s">
        <v>10445</v>
      </c>
      <c r="Y34" t="s">
        <v>76</v>
      </c>
      <c r="Z34" s="9">
        <v>1</v>
      </c>
    </row>
    <row r="35" spans="1:26">
      <c r="A35" t="s">
        <v>1967</v>
      </c>
      <c r="B35" t="s">
        <v>8911</v>
      </c>
      <c r="C35" t="s">
        <v>8912</v>
      </c>
      <c r="D35" t="s">
        <v>11</v>
      </c>
      <c r="E35" t="s">
        <v>13</v>
      </c>
      <c r="F35" t="s">
        <v>1970</v>
      </c>
      <c r="G35" t="s">
        <v>12</v>
      </c>
      <c r="I35" t="s">
        <v>8911</v>
      </c>
      <c r="J35" t="s">
        <v>9864</v>
      </c>
      <c r="K35" s="9">
        <v>1.7175</v>
      </c>
      <c r="L35" s="9">
        <v>0.1683304862626509</v>
      </c>
      <c r="M35" s="11">
        <v>62.593875442660895</v>
      </c>
      <c r="N35" s="10">
        <v>491.65747768565268</v>
      </c>
      <c r="P35" t="s">
        <v>1967</v>
      </c>
      <c r="Q35" t="s">
        <v>10447</v>
      </c>
      <c r="R35" t="s">
        <v>10448</v>
      </c>
      <c r="S35" t="s">
        <v>11</v>
      </c>
      <c r="T35" t="s">
        <v>13</v>
      </c>
      <c r="U35" t="s">
        <v>75</v>
      </c>
      <c r="V35" t="s">
        <v>12</v>
      </c>
      <c r="X35" t="s">
        <v>10447</v>
      </c>
      <c r="Y35" t="s">
        <v>76</v>
      </c>
      <c r="Z35" s="9">
        <v>1</v>
      </c>
    </row>
    <row r="36" spans="1:26">
      <c r="A36" t="s">
        <v>1967</v>
      </c>
      <c r="B36" t="s">
        <v>8913</v>
      </c>
      <c r="C36" t="s">
        <v>8914</v>
      </c>
      <c r="D36" t="s">
        <v>11</v>
      </c>
      <c r="E36" t="s">
        <v>13</v>
      </c>
      <c r="F36" t="s">
        <v>1970</v>
      </c>
      <c r="G36" t="s">
        <v>12</v>
      </c>
      <c r="I36" t="s">
        <v>8913</v>
      </c>
      <c r="J36" t="s">
        <v>9865</v>
      </c>
      <c r="K36" s="9">
        <v>4.1580000000000004</v>
      </c>
      <c r="L36" s="9">
        <v>0.15383613455808301</v>
      </c>
      <c r="M36" s="11">
        <v>42.022991930071328</v>
      </c>
      <c r="N36" s="10">
        <v>413.32355326971162</v>
      </c>
      <c r="P36" t="s">
        <v>1967</v>
      </c>
      <c r="Q36" t="s">
        <v>10449</v>
      </c>
      <c r="R36" t="s">
        <v>10450</v>
      </c>
      <c r="S36" t="s">
        <v>11</v>
      </c>
      <c r="T36" t="s">
        <v>13</v>
      </c>
      <c r="U36" t="s">
        <v>75</v>
      </c>
      <c r="V36" t="s">
        <v>12</v>
      </c>
      <c r="X36" t="s">
        <v>10449</v>
      </c>
      <c r="Y36" t="s">
        <v>76</v>
      </c>
      <c r="Z36" s="9">
        <v>1</v>
      </c>
    </row>
    <row r="37" spans="1:26">
      <c r="A37" t="s">
        <v>1967</v>
      </c>
      <c r="B37" t="s">
        <v>8915</v>
      </c>
      <c r="C37" t="s">
        <v>8916</v>
      </c>
      <c r="D37" t="s">
        <v>11</v>
      </c>
      <c r="E37" t="s">
        <v>13</v>
      </c>
      <c r="F37" t="s">
        <v>1970</v>
      </c>
      <c r="G37" t="s">
        <v>12</v>
      </c>
      <c r="I37" t="s">
        <v>8915</v>
      </c>
      <c r="J37" t="s">
        <v>9866</v>
      </c>
      <c r="K37" s="11">
        <v>45.5715</v>
      </c>
      <c r="L37" s="9">
        <v>0.2447107141967575</v>
      </c>
      <c r="M37" s="10">
        <v>235.89006541064259</v>
      </c>
      <c r="N37" s="10">
        <v>917.03563781517971</v>
      </c>
      <c r="P37" t="s">
        <v>1967</v>
      </c>
      <c r="Q37" t="s">
        <v>10451</v>
      </c>
      <c r="R37" t="s">
        <v>10452</v>
      </c>
      <c r="S37" t="s">
        <v>11</v>
      </c>
      <c r="T37" t="s">
        <v>13</v>
      </c>
      <c r="U37" t="s">
        <v>75</v>
      </c>
      <c r="V37" t="s">
        <v>12</v>
      </c>
      <c r="X37" t="s">
        <v>10451</v>
      </c>
      <c r="Y37" t="s">
        <v>76</v>
      </c>
      <c r="Z37" s="9">
        <v>1</v>
      </c>
    </row>
    <row r="38" spans="1:26">
      <c r="A38" t="s">
        <v>1967</v>
      </c>
      <c r="B38" t="s">
        <v>8917</v>
      </c>
      <c r="C38" t="s">
        <v>8918</v>
      </c>
      <c r="D38" t="s">
        <v>11</v>
      </c>
      <c r="E38" t="s">
        <v>13</v>
      </c>
      <c r="F38" t="s">
        <v>1970</v>
      </c>
      <c r="G38" t="s">
        <v>12</v>
      </c>
      <c r="I38" t="s">
        <v>8917</v>
      </c>
      <c r="J38" t="s">
        <v>9867</v>
      </c>
      <c r="K38" s="9">
        <v>7.33725</v>
      </c>
      <c r="L38" s="9">
        <v>0.2336929129751493</v>
      </c>
      <c r="M38" s="10">
        <v>165.47481945311904</v>
      </c>
      <c r="N38" s="10">
        <v>865.56209302023001</v>
      </c>
      <c r="P38" t="s">
        <v>1967</v>
      </c>
      <c r="Q38" t="s">
        <v>10453</v>
      </c>
      <c r="R38" t="s">
        <v>10454</v>
      </c>
      <c r="S38" t="s">
        <v>11</v>
      </c>
      <c r="T38" t="s">
        <v>13</v>
      </c>
      <c r="U38" t="s">
        <v>75</v>
      </c>
      <c r="V38" t="s">
        <v>12</v>
      </c>
      <c r="X38" t="s">
        <v>10453</v>
      </c>
      <c r="Y38" t="s">
        <v>76</v>
      </c>
      <c r="Z38" s="9">
        <v>1</v>
      </c>
    </row>
    <row r="39" spans="1:26">
      <c r="A39" t="s">
        <v>1967</v>
      </c>
      <c r="B39" t="s">
        <v>8919</v>
      </c>
      <c r="C39" t="s">
        <v>8918</v>
      </c>
      <c r="D39" t="s">
        <v>11</v>
      </c>
      <c r="E39" t="s">
        <v>13</v>
      </c>
      <c r="F39" t="s">
        <v>1970</v>
      </c>
      <c r="G39" t="s">
        <v>12</v>
      </c>
      <c r="I39" t="s">
        <v>8919</v>
      </c>
      <c r="J39" t="s">
        <v>9868</v>
      </c>
      <c r="K39" s="11">
        <v>36.674999999999997</v>
      </c>
      <c r="L39" s="9">
        <v>0.24307139562852739</v>
      </c>
      <c r="M39" s="10">
        <v>243.69641493037091</v>
      </c>
      <c r="N39" s="10">
        <v>922.74207931410115</v>
      </c>
      <c r="P39" t="s">
        <v>1967</v>
      </c>
      <c r="Q39" t="s">
        <v>10455</v>
      </c>
      <c r="R39" t="s">
        <v>10456</v>
      </c>
      <c r="S39" t="s">
        <v>11</v>
      </c>
      <c r="T39" t="s">
        <v>13</v>
      </c>
      <c r="U39" t="s">
        <v>75</v>
      </c>
      <c r="V39" t="s">
        <v>12</v>
      </c>
      <c r="X39" t="s">
        <v>10455</v>
      </c>
      <c r="Y39" t="s">
        <v>76</v>
      </c>
      <c r="Z39" s="9">
        <v>1</v>
      </c>
    </row>
    <row r="40" spans="1:26">
      <c r="A40" t="s">
        <v>1967</v>
      </c>
      <c r="B40" t="s">
        <v>8920</v>
      </c>
      <c r="C40" t="s">
        <v>8921</v>
      </c>
      <c r="D40" t="s">
        <v>11</v>
      </c>
      <c r="E40" t="s">
        <v>13</v>
      </c>
      <c r="F40" t="s">
        <v>1970</v>
      </c>
      <c r="G40" t="s">
        <v>12</v>
      </c>
      <c r="I40" t="s">
        <v>8920</v>
      </c>
      <c r="J40" t="s">
        <v>9869</v>
      </c>
      <c r="K40" s="11">
        <v>39.551250000000003</v>
      </c>
      <c r="L40" s="9">
        <v>0.34664222062678163</v>
      </c>
      <c r="M40" s="10">
        <v>177.08767617842099</v>
      </c>
      <c r="N40" s="10">
        <v>1028.2954015134421</v>
      </c>
      <c r="P40" t="s">
        <v>1967</v>
      </c>
      <c r="Q40" t="s">
        <v>10457</v>
      </c>
      <c r="R40" t="s">
        <v>10458</v>
      </c>
      <c r="S40" t="s">
        <v>11</v>
      </c>
      <c r="T40" t="s">
        <v>13</v>
      </c>
      <c r="U40" t="s">
        <v>75</v>
      </c>
      <c r="V40" t="s">
        <v>12</v>
      </c>
      <c r="X40" t="s">
        <v>10457</v>
      </c>
      <c r="Y40" t="s">
        <v>76</v>
      </c>
      <c r="Z40" s="9">
        <v>1</v>
      </c>
    </row>
    <row r="41" spans="1:26">
      <c r="A41" t="s">
        <v>1967</v>
      </c>
      <c r="B41" t="s">
        <v>8922</v>
      </c>
      <c r="C41" t="s">
        <v>8923</v>
      </c>
      <c r="D41" t="s">
        <v>11</v>
      </c>
      <c r="E41" t="s">
        <v>13</v>
      </c>
      <c r="F41" t="s">
        <v>1970</v>
      </c>
      <c r="G41" t="s">
        <v>12</v>
      </c>
      <c r="I41" t="s">
        <v>8922</v>
      </c>
      <c r="J41" t="s">
        <v>9870</v>
      </c>
      <c r="K41" s="9">
        <v>5.5147500000000003</v>
      </c>
      <c r="L41" s="9">
        <v>0.25369741340271479</v>
      </c>
      <c r="M41" s="11">
        <v>54.481932067921647</v>
      </c>
      <c r="N41" s="10">
        <v>542.07905566428894</v>
      </c>
      <c r="P41" t="s">
        <v>1967</v>
      </c>
      <c r="Q41" t="s">
        <v>10459</v>
      </c>
      <c r="R41" t="s">
        <v>10460</v>
      </c>
      <c r="S41" t="s">
        <v>11</v>
      </c>
      <c r="T41" t="s">
        <v>13</v>
      </c>
      <c r="U41" t="s">
        <v>75</v>
      </c>
      <c r="V41" t="s">
        <v>12</v>
      </c>
      <c r="X41" t="s">
        <v>10459</v>
      </c>
      <c r="Y41" t="s">
        <v>76</v>
      </c>
      <c r="Z41" s="9">
        <v>1</v>
      </c>
    </row>
    <row r="42" spans="1:26">
      <c r="A42" t="s">
        <v>1967</v>
      </c>
      <c r="B42" t="s">
        <v>8924</v>
      </c>
      <c r="C42" t="s">
        <v>8923</v>
      </c>
      <c r="D42" t="s">
        <v>11</v>
      </c>
      <c r="E42" t="s">
        <v>13</v>
      </c>
      <c r="F42" t="s">
        <v>1970</v>
      </c>
      <c r="G42" t="s">
        <v>12</v>
      </c>
      <c r="I42" t="s">
        <v>8924</v>
      </c>
      <c r="J42" t="s">
        <v>9871</v>
      </c>
      <c r="K42" s="11">
        <v>13.612500000000001</v>
      </c>
      <c r="L42" s="9">
        <v>0.30428833961654661</v>
      </c>
      <c r="M42" s="10">
        <v>115.90178390312052</v>
      </c>
      <c r="N42" s="10">
        <v>817.23999188597998</v>
      </c>
      <c r="P42" t="s">
        <v>1967</v>
      </c>
      <c r="Q42" t="s">
        <v>10461</v>
      </c>
      <c r="R42" t="s">
        <v>10462</v>
      </c>
      <c r="S42" t="s">
        <v>11</v>
      </c>
      <c r="T42" t="s">
        <v>13</v>
      </c>
      <c r="U42" t="s">
        <v>75</v>
      </c>
      <c r="V42" t="s">
        <v>12</v>
      </c>
      <c r="X42" t="s">
        <v>10461</v>
      </c>
      <c r="Y42" t="s">
        <v>76</v>
      </c>
      <c r="Z42" s="9">
        <v>1</v>
      </c>
    </row>
    <row r="43" spans="1:26">
      <c r="A43" t="s">
        <v>1967</v>
      </c>
      <c r="B43" t="s">
        <v>8925</v>
      </c>
      <c r="C43" t="s">
        <v>8926</v>
      </c>
      <c r="D43" t="s">
        <v>11</v>
      </c>
      <c r="E43" t="s">
        <v>13</v>
      </c>
      <c r="F43" t="s">
        <v>1970</v>
      </c>
      <c r="G43" t="s">
        <v>12</v>
      </c>
      <c r="I43" t="s">
        <v>8925</v>
      </c>
      <c r="J43" t="s">
        <v>9872</v>
      </c>
      <c r="K43" s="10">
        <v>200.96100000000001</v>
      </c>
      <c r="L43" s="9">
        <v>0.46435474760174472</v>
      </c>
      <c r="M43" s="10">
        <v>160.93773487880983</v>
      </c>
      <c r="N43" s="10">
        <v>862.24548419640996</v>
      </c>
      <c r="P43" t="s">
        <v>1967</v>
      </c>
      <c r="Q43" t="s">
        <v>10463</v>
      </c>
      <c r="R43" t="s">
        <v>10464</v>
      </c>
      <c r="S43" t="s">
        <v>11</v>
      </c>
      <c r="T43" t="s">
        <v>13</v>
      </c>
      <c r="U43" t="s">
        <v>75</v>
      </c>
      <c r="V43" t="s">
        <v>12</v>
      </c>
      <c r="X43" t="s">
        <v>10463</v>
      </c>
      <c r="Y43" t="s">
        <v>76</v>
      </c>
      <c r="Z43" s="9">
        <v>1</v>
      </c>
    </row>
    <row r="44" spans="1:26">
      <c r="A44" t="s">
        <v>1967</v>
      </c>
      <c r="B44" t="s">
        <v>8927</v>
      </c>
      <c r="C44" t="s">
        <v>8928</v>
      </c>
      <c r="D44" t="s">
        <v>11</v>
      </c>
      <c r="E44" t="s">
        <v>13</v>
      </c>
      <c r="F44" t="s">
        <v>1970</v>
      </c>
      <c r="G44" t="s">
        <v>12</v>
      </c>
      <c r="I44" t="s">
        <v>8927</v>
      </c>
      <c r="J44" t="s">
        <v>9873</v>
      </c>
      <c r="K44" s="10">
        <v>157.28925000000001</v>
      </c>
      <c r="L44" s="9">
        <v>0.31855786576372402</v>
      </c>
      <c r="M44" s="10">
        <v>108.94986244750896</v>
      </c>
      <c r="N44" s="10">
        <v>668.18107620011415</v>
      </c>
      <c r="P44" t="s">
        <v>1967</v>
      </c>
      <c r="Q44" t="s">
        <v>10465</v>
      </c>
      <c r="R44" t="s">
        <v>10466</v>
      </c>
      <c r="S44" t="s">
        <v>11</v>
      </c>
      <c r="T44" t="s">
        <v>13</v>
      </c>
      <c r="U44" t="s">
        <v>75</v>
      </c>
      <c r="V44" t="s">
        <v>12</v>
      </c>
      <c r="X44" t="s">
        <v>10465</v>
      </c>
      <c r="Y44" t="s">
        <v>76</v>
      </c>
      <c r="Z44" s="9">
        <v>1</v>
      </c>
    </row>
    <row r="45" spans="1:26">
      <c r="A45" t="s">
        <v>1967</v>
      </c>
      <c r="B45" t="s">
        <v>8929</v>
      </c>
      <c r="C45" t="s">
        <v>8930</v>
      </c>
      <c r="D45" t="s">
        <v>11</v>
      </c>
      <c r="E45" t="s">
        <v>13</v>
      </c>
      <c r="F45" t="s">
        <v>1970</v>
      </c>
      <c r="G45" t="s">
        <v>12</v>
      </c>
      <c r="I45" t="s">
        <v>8929</v>
      </c>
      <c r="J45" t="s">
        <v>9874</v>
      </c>
      <c r="K45" s="10">
        <v>100.82325</v>
      </c>
      <c r="L45" s="9">
        <v>0.46074758952877648</v>
      </c>
      <c r="M45" s="10">
        <v>142.65474138322207</v>
      </c>
      <c r="N45" s="10">
        <v>796.52925518730967</v>
      </c>
      <c r="P45" t="s">
        <v>1967</v>
      </c>
      <c r="Q45" t="s">
        <v>10467</v>
      </c>
      <c r="R45" t="s">
        <v>10468</v>
      </c>
      <c r="S45" t="s">
        <v>11</v>
      </c>
      <c r="T45" t="s">
        <v>13</v>
      </c>
      <c r="U45" t="s">
        <v>75</v>
      </c>
      <c r="V45" t="s">
        <v>12</v>
      </c>
      <c r="X45" t="s">
        <v>10467</v>
      </c>
      <c r="Y45" t="s">
        <v>76</v>
      </c>
      <c r="Z45" s="9">
        <v>1</v>
      </c>
    </row>
    <row r="46" spans="1:26">
      <c r="A46" t="s">
        <v>1967</v>
      </c>
      <c r="B46" t="s">
        <v>8931</v>
      </c>
      <c r="C46" t="s">
        <v>8932</v>
      </c>
      <c r="D46" t="s">
        <v>11</v>
      </c>
      <c r="E46" t="s">
        <v>13</v>
      </c>
      <c r="F46" t="s">
        <v>1970</v>
      </c>
      <c r="G46" t="s">
        <v>12</v>
      </c>
      <c r="I46" t="s">
        <v>8931</v>
      </c>
      <c r="J46" t="s">
        <v>9875</v>
      </c>
      <c r="K46" s="10">
        <v>133.40774999999999</v>
      </c>
      <c r="L46" s="9">
        <v>0.32213996008310419</v>
      </c>
      <c r="M46" s="10">
        <v>144.16891692713983</v>
      </c>
      <c r="N46" s="10">
        <v>802.29523565854845</v>
      </c>
      <c r="P46" t="s">
        <v>1967</v>
      </c>
      <c r="Q46" t="s">
        <v>10469</v>
      </c>
      <c r="R46" t="s">
        <v>10470</v>
      </c>
      <c r="S46" t="s">
        <v>11</v>
      </c>
      <c r="T46" t="s">
        <v>13</v>
      </c>
      <c r="U46" t="s">
        <v>75</v>
      </c>
      <c r="V46" t="s">
        <v>12</v>
      </c>
      <c r="X46" t="s">
        <v>10469</v>
      </c>
      <c r="Y46" t="s">
        <v>76</v>
      </c>
      <c r="Z46" s="9">
        <v>1</v>
      </c>
    </row>
    <row r="47" spans="1:26">
      <c r="A47" t="s">
        <v>1967</v>
      </c>
      <c r="B47" t="s">
        <v>8933</v>
      </c>
      <c r="C47" t="s">
        <v>8934</v>
      </c>
      <c r="D47" t="s">
        <v>11</v>
      </c>
      <c r="E47" t="s">
        <v>13</v>
      </c>
      <c r="F47" t="s">
        <v>1970</v>
      </c>
      <c r="G47" t="s">
        <v>12</v>
      </c>
      <c r="I47" t="s">
        <v>8933</v>
      </c>
      <c r="J47" t="s">
        <v>9876</v>
      </c>
      <c r="K47" s="11">
        <v>99.726749999999996</v>
      </c>
      <c r="L47" s="9">
        <v>0.28459834345657969</v>
      </c>
      <c r="M47" s="10">
        <v>472.66033238390878</v>
      </c>
      <c r="N47" s="10">
        <v>1090.1147029726374</v>
      </c>
      <c r="P47" t="s">
        <v>1967</v>
      </c>
      <c r="Q47" t="s">
        <v>10471</v>
      </c>
      <c r="R47" t="s">
        <v>10472</v>
      </c>
      <c r="S47" t="s">
        <v>11</v>
      </c>
      <c r="T47" t="s">
        <v>13</v>
      </c>
      <c r="U47" t="s">
        <v>75</v>
      </c>
      <c r="V47" t="s">
        <v>12</v>
      </c>
      <c r="X47" t="s">
        <v>10471</v>
      </c>
      <c r="Y47" t="s">
        <v>76</v>
      </c>
      <c r="Z47" s="9">
        <v>1</v>
      </c>
    </row>
    <row r="48" spans="1:26">
      <c r="A48" t="s">
        <v>1967</v>
      </c>
      <c r="B48" t="s">
        <v>8935</v>
      </c>
      <c r="C48" t="s">
        <v>8936</v>
      </c>
      <c r="D48" t="s">
        <v>11</v>
      </c>
      <c r="E48" t="s">
        <v>13</v>
      </c>
      <c r="F48" t="s">
        <v>1970</v>
      </c>
      <c r="G48" t="s">
        <v>12</v>
      </c>
      <c r="I48" t="s">
        <v>8935</v>
      </c>
      <c r="J48" t="s">
        <v>9877</v>
      </c>
      <c r="K48" s="11">
        <v>61.95975</v>
      </c>
      <c r="L48" s="9">
        <v>0.31422672291958781</v>
      </c>
      <c r="M48" s="10">
        <v>164.82591167380613</v>
      </c>
      <c r="N48" s="10">
        <v>865.08774143355231</v>
      </c>
      <c r="P48" t="s">
        <v>1967</v>
      </c>
      <c r="Q48" t="s">
        <v>10473</v>
      </c>
      <c r="R48" t="s">
        <v>10474</v>
      </c>
      <c r="S48" t="s">
        <v>11</v>
      </c>
      <c r="T48" t="s">
        <v>13</v>
      </c>
      <c r="U48" t="s">
        <v>75</v>
      </c>
      <c r="V48" t="s">
        <v>12</v>
      </c>
      <c r="X48" t="s">
        <v>10473</v>
      </c>
      <c r="Y48" t="s">
        <v>76</v>
      </c>
      <c r="Z48" s="9">
        <v>1</v>
      </c>
    </row>
    <row r="49" spans="1:26">
      <c r="A49" t="s">
        <v>1967</v>
      </c>
      <c r="B49" t="s">
        <v>8937</v>
      </c>
      <c r="C49" t="s">
        <v>8938</v>
      </c>
      <c r="D49" t="s">
        <v>11</v>
      </c>
      <c r="E49" t="s">
        <v>13</v>
      </c>
      <c r="F49" t="s">
        <v>1970</v>
      </c>
      <c r="G49" t="s">
        <v>12</v>
      </c>
      <c r="I49" t="s">
        <v>8937</v>
      </c>
      <c r="J49" t="s">
        <v>9878</v>
      </c>
      <c r="K49" s="11">
        <v>62.091000000000001</v>
      </c>
      <c r="L49" s="9">
        <v>0.43786694914384111</v>
      </c>
      <c r="M49" s="11">
        <v>99.963347913994042</v>
      </c>
      <c r="N49" s="10">
        <v>633.96042885648933</v>
      </c>
      <c r="P49" t="s">
        <v>1967</v>
      </c>
      <c r="Q49" t="s">
        <v>10475</v>
      </c>
      <c r="R49" t="s">
        <v>10476</v>
      </c>
      <c r="S49" t="s">
        <v>11</v>
      </c>
      <c r="T49" t="s">
        <v>13</v>
      </c>
      <c r="U49" t="s">
        <v>75</v>
      </c>
      <c r="V49" t="s">
        <v>12</v>
      </c>
      <c r="X49" t="s">
        <v>10475</v>
      </c>
      <c r="Y49" t="s">
        <v>76</v>
      </c>
      <c r="Z49" s="9">
        <v>1</v>
      </c>
    </row>
    <row r="50" spans="1:26">
      <c r="A50" t="s">
        <v>1967</v>
      </c>
      <c r="B50" t="s">
        <v>8939</v>
      </c>
      <c r="C50" t="s">
        <v>8940</v>
      </c>
      <c r="D50" t="s">
        <v>11</v>
      </c>
      <c r="E50" t="s">
        <v>13</v>
      </c>
      <c r="F50" t="s">
        <v>1970</v>
      </c>
      <c r="G50" t="s">
        <v>12</v>
      </c>
      <c r="I50" t="s">
        <v>8939</v>
      </c>
      <c r="J50" t="s">
        <v>9879</v>
      </c>
      <c r="K50" s="11">
        <v>67.296750000000003</v>
      </c>
      <c r="L50" s="9">
        <v>0.34439108822438169</v>
      </c>
      <c r="M50" s="10">
        <v>196.84789531518024</v>
      </c>
      <c r="N50" s="10">
        <v>888.49581147539675</v>
      </c>
      <c r="P50" t="s">
        <v>1967</v>
      </c>
      <c r="Q50" t="s">
        <v>10477</v>
      </c>
      <c r="R50" t="s">
        <v>10478</v>
      </c>
      <c r="S50" t="s">
        <v>11</v>
      </c>
      <c r="T50" t="s">
        <v>13</v>
      </c>
      <c r="U50" t="s">
        <v>75</v>
      </c>
      <c r="V50" t="s">
        <v>12</v>
      </c>
      <c r="X50" t="s">
        <v>10477</v>
      </c>
      <c r="Y50" t="s">
        <v>76</v>
      </c>
      <c r="Z50" s="9">
        <v>1</v>
      </c>
    </row>
    <row r="51" spans="1:26">
      <c r="A51" t="s">
        <v>1967</v>
      </c>
      <c r="B51" t="s">
        <v>8941</v>
      </c>
      <c r="C51" t="s">
        <v>8942</v>
      </c>
      <c r="D51" t="s">
        <v>11</v>
      </c>
      <c r="E51" t="s">
        <v>13</v>
      </c>
      <c r="F51" t="s">
        <v>1970</v>
      </c>
      <c r="G51" t="s">
        <v>12</v>
      </c>
      <c r="I51" t="s">
        <v>8941</v>
      </c>
      <c r="J51" t="s">
        <v>9880</v>
      </c>
      <c r="K51" s="11">
        <v>14.317500000000001</v>
      </c>
      <c r="L51" s="9">
        <v>0.23401848921395529</v>
      </c>
      <c r="M51" s="11">
        <v>52.604536993109811</v>
      </c>
      <c r="N51" s="10">
        <v>453.61807686976221</v>
      </c>
      <c r="P51" t="s">
        <v>1967</v>
      </c>
      <c r="Q51" t="s">
        <v>10479</v>
      </c>
      <c r="R51" t="s">
        <v>10480</v>
      </c>
      <c r="S51" t="s">
        <v>11</v>
      </c>
      <c r="T51" t="s">
        <v>13</v>
      </c>
      <c r="U51" t="s">
        <v>75</v>
      </c>
      <c r="V51" t="s">
        <v>12</v>
      </c>
      <c r="X51" t="s">
        <v>10479</v>
      </c>
      <c r="Y51" t="s">
        <v>76</v>
      </c>
      <c r="Z51" s="9">
        <v>1</v>
      </c>
    </row>
    <row r="52" spans="1:26">
      <c r="A52" t="s">
        <v>1967</v>
      </c>
      <c r="B52" t="s">
        <v>8943</v>
      </c>
      <c r="C52" t="s">
        <v>8944</v>
      </c>
      <c r="D52" t="s">
        <v>11</v>
      </c>
      <c r="E52" t="s">
        <v>13</v>
      </c>
      <c r="F52" t="s">
        <v>1970</v>
      </c>
      <c r="G52" t="s">
        <v>12</v>
      </c>
      <c r="I52" t="s">
        <v>8943</v>
      </c>
      <c r="J52" t="s">
        <v>9881</v>
      </c>
      <c r="K52" s="11">
        <v>60.5565</v>
      </c>
      <c r="L52" s="9">
        <v>0.50863983295865967</v>
      </c>
      <c r="M52" s="11">
        <v>98.272899001984456</v>
      </c>
      <c r="N52" s="10">
        <v>627.5231993995568</v>
      </c>
      <c r="P52" t="s">
        <v>1967</v>
      </c>
      <c r="Q52" t="s">
        <v>10481</v>
      </c>
      <c r="R52" t="s">
        <v>10482</v>
      </c>
      <c r="S52" t="s">
        <v>11</v>
      </c>
      <c r="T52" t="s">
        <v>13</v>
      </c>
      <c r="U52" t="s">
        <v>75</v>
      </c>
      <c r="V52" t="s">
        <v>12</v>
      </c>
      <c r="X52" t="s">
        <v>10481</v>
      </c>
      <c r="Y52" t="s">
        <v>76</v>
      </c>
      <c r="Z52" s="9">
        <v>1</v>
      </c>
    </row>
    <row r="53" spans="1:26">
      <c r="A53" t="s">
        <v>1967</v>
      </c>
      <c r="B53" t="s">
        <v>8945</v>
      </c>
      <c r="C53" t="s">
        <v>8946</v>
      </c>
      <c r="D53" t="s">
        <v>11</v>
      </c>
      <c r="E53" t="s">
        <v>13</v>
      </c>
      <c r="F53" t="s">
        <v>1970</v>
      </c>
      <c r="G53" t="s">
        <v>12</v>
      </c>
      <c r="I53" t="s">
        <v>8945</v>
      </c>
      <c r="J53" t="s">
        <v>9882</v>
      </c>
      <c r="K53" s="10">
        <v>787.38075000000003</v>
      </c>
      <c r="L53" s="9">
        <v>0.43386609010474397</v>
      </c>
      <c r="M53" s="10">
        <v>1713.184443848713</v>
      </c>
      <c r="N53" s="10">
        <v>1996.9378284534091</v>
      </c>
      <c r="P53" t="s">
        <v>1967</v>
      </c>
      <c r="Q53" t="s">
        <v>10483</v>
      </c>
      <c r="R53" t="s">
        <v>10484</v>
      </c>
      <c r="S53" t="s">
        <v>11</v>
      </c>
      <c r="T53" t="s">
        <v>13</v>
      </c>
      <c r="U53" t="s">
        <v>75</v>
      </c>
      <c r="V53" t="s">
        <v>12</v>
      </c>
      <c r="X53" t="s">
        <v>10483</v>
      </c>
      <c r="Y53" t="s">
        <v>76</v>
      </c>
      <c r="Z53" s="9">
        <v>1</v>
      </c>
    </row>
    <row r="54" spans="1:26">
      <c r="A54" t="s">
        <v>1967</v>
      </c>
      <c r="B54" t="s">
        <v>8947</v>
      </c>
      <c r="C54" t="s">
        <v>8948</v>
      </c>
      <c r="D54" t="s">
        <v>11</v>
      </c>
      <c r="E54" t="s">
        <v>13</v>
      </c>
      <c r="F54" t="s">
        <v>1970</v>
      </c>
      <c r="G54" t="s">
        <v>12</v>
      </c>
      <c r="I54" t="s">
        <v>8947</v>
      </c>
      <c r="J54" t="s">
        <v>9883</v>
      </c>
      <c r="K54" s="10">
        <v>456.06599999999997</v>
      </c>
      <c r="L54" s="9">
        <v>0.38604668526296071</v>
      </c>
      <c r="M54" s="10">
        <v>2180.2221436044551</v>
      </c>
      <c r="N54" s="10">
        <v>2338.3423869748567</v>
      </c>
      <c r="P54" t="s">
        <v>1967</v>
      </c>
      <c r="Q54" t="s">
        <v>10485</v>
      </c>
      <c r="R54" t="s">
        <v>10486</v>
      </c>
      <c r="S54" t="s">
        <v>11</v>
      </c>
      <c r="T54" t="s">
        <v>13</v>
      </c>
      <c r="U54" t="s">
        <v>75</v>
      </c>
      <c r="V54" t="s">
        <v>12</v>
      </c>
      <c r="X54" t="s">
        <v>10485</v>
      </c>
      <c r="Y54" t="s">
        <v>76</v>
      </c>
      <c r="Z54" s="9">
        <v>1</v>
      </c>
    </row>
    <row r="55" spans="1:26">
      <c r="A55" t="s">
        <v>1967</v>
      </c>
      <c r="B55" t="s">
        <v>8949</v>
      </c>
      <c r="C55" t="s">
        <v>8950</v>
      </c>
      <c r="D55" t="s">
        <v>11</v>
      </c>
      <c r="E55" t="s">
        <v>13</v>
      </c>
      <c r="F55" t="s">
        <v>1970</v>
      </c>
      <c r="G55" t="s">
        <v>12</v>
      </c>
      <c r="I55" t="s">
        <v>8949</v>
      </c>
      <c r="J55" t="s">
        <v>9884</v>
      </c>
      <c r="K55" s="10">
        <v>987.70799999999997</v>
      </c>
      <c r="L55" s="9">
        <v>0.48837913531723359</v>
      </c>
      <c r="M55" s="10">
        <v>1239.4778528557474</v>
      </c>
      <c r="N55" s="10">
        <v>1650.6583104375513</v>
      </c>
      <c r="P55" t="s">
        <v>1967</v>
      </c>
      <c r="Q55" t="s">
        <v>10487</v>
      </c>
      <c r="R55" t="s">
        <v>10488</v>
      </c>
      <c r="S55" t="s">
        <v>11</v>
      </c>
      <c r="T55" t="s">
        <v>13</v>
      </c>
      <c r="U55" t="s">
        <v>75</v>
      </c>
      <c r="V55" t="s">
        <v>12</v>
      </c>
      <c r="X55" t="s">
        <v>10487</v>
      </c>
      <c r="Y55" t="s">
        <v>76</v>
      </c>
      <c r="Z55" s="9">
        <v>1</v>
      </c>
    </row>
    <row r="56" spans="1:26">
      <c r="A56" t="s">
        <v>1967</v>
      </c>
      <c r="B56" t="s">
        <v>8951</v>
      </c>
      <c r="C56" t="s">
        <v>8948</v>
      </c>
      <c r="D56" t="s">
        <v>11</v>
      </c>
      <c r="E56" t="s">
        <v>13</v>
      </c>
      <c r="F56" t="s">
        <v>1970</v>
      </c>
      <c r="G56" t="s">
        <v>12</v>
      </c>
      <c r="I56" t="s">
        <v>8951</v>
      </c>
      <c r="J56" t="s">
        <v>9885</v>
      </c>
      <c r="K56" s="10">
        <v>900.78975000000003</v>
      </c>
      <c r="L56" s="9">
        <v>0.46333646279188589</v>
      </c>
      <c r="M56" s="10">
        <v>1353.9143340595915</v>
      </c>
      <c r="N56" s="10">
        <v>1734.3113781975612</v>
      </c>
      <c r="P56" t="s">
        <v>1967</v>
      </c>
      <c r="Q56" t="s">
        <v>10489</v>
      </c>
      <c r="R56" t="s">
        <v>10490</v>
      </c>
      <c r="S56" t="s">
        <v>11</v>
      </c>
      <c r="T56" t="s">
        <v>13</v>
      </c>
      <c r="U56" t="s">
        <v>75</v>
      </c>
      <c r="V56" t="s">
        <v>12</v>
      </c>
      <c r="X56" t="s">
        <v>10489</v>
      </c>
      <c r="Y56" t="s">
        <v>76</v>
      </c>
      <c r="Z56" s="9">
        <v>1</v>
      </c>
    </row>
    <row r="57" spans="1:26">
      <c r="A57" t="s">
        <v>1967</v>
      </c>
      <c r="B57" t="s">
        <v>8952</v>
      </c>
      <c r="C57" t="s">
        <v>8953</v>
      </c>
      <c r="D57" t="s">
        <v>11</v>
      </c>
      <c r="E57" t="s">
        <v>13</v>
      </c>
      <c r="F57" t="s">
        <v>1970</v>
      </c>
      <c r="G57" t="s">
        <v>12</v>
      </c>
      <c r="I57" t="s">
        <v>8952</v>
      </c>
      <c r="J57" t="s">
        <v>9886</v>
      </c>
      <c r="K57" s="10">
        <v>352.84350000000001</v>
      </c>
      <c r="L57" s="9">
        <v>0.34271902787234337</v>
      </c>
      <c r="M57" s="10">
        <v>2553.6957099818578</v>
      </c>
      <c r="N57" s="10">
        <v>2611.3515639967382</v>
      </c>
      <c r="P57" t="s">
        <v>1967</v>
      </c>
      <c r="Q57" t="s">
        <v>10491</v>
      </c>
      <c r="R57" t="s">
        <v>10492</v>
      </c>
      <c r="S57" t="s">
        <v>11</v>
      </c>
      <c r="T57" t="s">
        <v>13</v>
      </c>
      <c r="U57" t="s">
        <v>75</v>
      </c>
      <c r="V57" t="s">
        <v>12</v>
      </c>
      <c r="X57" t="s">
        <v>10491</v>
      </c>
      <c r="Y57" t="s">
        <v>76</v>
      </c>
      <c r="Z57" s="9">
        <v>1</v>
      </c>
    </row>
    <row r="58" spans="1:26">
      <c r="A58" t="s">
        <v>1967</v>
      </c>
      <c r="B58" t="s">
        <v>8954</v>
      </c>
      <c r="C58" t="s">
        <v>8953</v>
      </c>
      <c r="D58" t="s">
        <v>11</v>
      </c>
      <c r="E58" t="s">
        <v>13</v>
      </c>
      <c r="F58" t="s">
        <v>1970</v>
      </c>
      <c r="G58" t="s">
        <v>12</v>
      </c>
      <c r="I58" t="s">
        <v>8954</v>
      </c>
      <c r="J58" t="s">
        <v>9887</v>
      </c>
      <c r="K58" s="10">
        <v>510.483</v>
      </c>
      <c r="L58" s="9">
        <v>0.33667058737106159</v>
      </c>
      <c r="M58" s="10">
        <v>2272.0353981027502</v>
      </c>
      <c r="N58" s="10">
        <v>2405.4578760131103</v>
      </c>
      <c r="P58" t="s">
        <v>1967</v>
      </c>
      <c r="Q58" t="s">
        <v>10493</v>
      </c>
      <c r="R58" t="s">
        <v>10494</v>
      </c>
      <c r="S58" t="s">
        <v>11</v>
      </c>
      <c r="T58" t="s">
        <v>13</v>
      </c>
      <c r="U58" t="s">
        <v>75</v>
      </c>
      <c r="V58" t="s">
        <v>12</v>
      </c>
      <c r="X58" t="s">
        <v>10493</v>
      </c>
      <c r="Y58" t="s">
        <v>76</v>
      </c>
      <c r="Z58" s="9">
        <v>1</v>
      </c>
    </row>
    <row r="59" spans="1:26">
      <c r="A59" t="s">
        <v>1967</v>
      </c>
      <c r="B59" t="s">
        <v>8955</v>
      </c>
      <c r="C59" t="s">
        <v>8946</v>
      </c>
      <c r="D59" t="s">
        <v>11</v>
      </c>
      <c r="E59" t="s">
        <v>13</v>
      </c>
      <c r="F59" t="s">
        <v>1970</v>
      </c>
      <c r="G59" t="s">
        <v>12</v>
      </c>
      <c r="I59" t="s">
        <v>8955</v>
      </c>
      <c r="J59" t="s">
        <v>9888</v>
      </c>
      <c r="K59" s="10">
        <v>230.02500000000001</v>
      </c>
      <c r="L59" s="9">
        <v>0.28917080506038673</v>
      </c>
      <c r="M59" s="10">
        <v>2433.9974718916619</v>
      </c>
      <c r="N59" s="10">
        <v>2523.8521519528044</v>
      </c>
      <c r="P59" t="s">
        <v>1967</v>
      </c>
      <c r="Q59" t="s">
        <v>10495</v>
      </c>
      <c r="R59" t="s">
        <v>10496</v>
      </c>
      <c r="S59" t="s">
        <v>11</v>
      </c>
      <c r="T59" t="s">
        <v>13</v>
      </c>
      <c r="U59" t="s">
        <v>75</v>
      </c>
      <c r="V59" t="s">
        <v>12</v>
      </c>
      <c r="X59" t="s">
        <v>10495</v>
      </c>
      <c r="Y59" t="s">
        <v>76</v>
      </c>
      <c r="Z59" s="9">
        <v>1</v>
      </c>
    </row>
    <row r="60" spans="1:26">
      <c r="A60" t="s">
        <v>1967</v>
      </c>
      <c r="B60" t="s">
        <v>8956</v>
      </c>
      <c r="C60" t="s">
        <v>8957</v>
      </c>
      <c r="D60" t="s">
        <v>11</v>
      </c>
      <c r="E60" t="s">
        <v>13</v>
      </c>
      <c r="F60" t="s">
        <v>1970</v>
      </c>
      <c r="G60" t="s">
        <v>12</v>
      </c>
      <c r="I60" t="s">
        <v>8956</v>
      </c>
      <c r="J60" t="s">
        <v>9889</v>
      </c>
      <c r="K60" s="10">
        <v>326.154</v>
      </c>
      <c r="L60" s="9">
        <v>0.3148234265386437</v>
      </c>
      <c r="M60" s="10">
        <v>2887.2246914498041</v>
      </c>
      <c r="N60" s="10">
        <v>2855.1612494498067</v>
      </c>
      <c r="P60" t="s">
        <v>1967</v>
      </c>
      <c r="Q60" t="s">
        <v>10497</v>
      </c>
      <c r="R60" t="s">
        <v>10498</v>
      </c>
      <c r="S60" t="s">
        <v>11</v>
      </c>
      <c r="T60" t="s">
        <v>13</v>
      </c>
      <c r="U60" t="s">
        <v>75</v>
      </c>
      <c r="V60" t="s">
        <v>12</v>
      </c>
      <c r="X60" t="s">
        <v>10497</v>
      </c>
      <c r="Y60" t="s">
        <v>76</v>
      </c>
      <c r="Z60" s="9">
        <v>1</v>
      </c>
    </row>
    <row r="61" spans="1:26">
      <c r="A61" t="s">
        <v>1967</v>
      </c>
      <c r="B61" t="s">
        <v>8958</v>
      </c>
      <c r="C61" t="s">
        <v>8957</v>
      </c>
      <c r="D61" t="s">
        <v>11</v>
      </c>
      <c r="E61" t="s">
        <v>13</v>
      </c>
      <c r="F61" t="s">
        <v>1970</v>
      </c>
      <c r="G61" t="s">
        <v>12</v>
      </c>
      <c r="I61" t="s">
        <v>8958</v>
      </c>
      <c r="J61" t="s">
        <v>9890</v>
      </c>
      <c r="K61" s="10">
        <v>349.44450000000001</v>
      </c>
      <c r="L61" s="9">
        <v>0.33438928540285701</v>
      </c>
      <c r="M61" s="10">
        <v>2380.9174914284185</v>
      </c>
      <c r="N61" s="10">
        <v>2485.050686234174</v>
      </c>
      <c r="P61" t="s">
        <v>1967</v>
      </c>
      <c r="Q61" t="s">
        <v>10499</v>
      </c>
      <c r="R61" t="s">
        <v>10500</v>
      </c>
      <c r="S61" t="s">
        <v>11</v>
      </c>
      <c r="T61" t="s">
        <v>13</v>
      </c>
      <c r="U61" t="s">
        <v>75</v>
      </c>
      <c r="V61" t="s">
        <v>12</v>
      </c>
      <c r="X61" t="s">
        <v>10499</v>
      </c>
      <c r="Y61" t="s">
        <v>76</v>
      </c>
      <c r="Z61" s="9">
        <v>1</v>
      </c>
    </row>
    <row r="62" spans="1:26">
      <c r="A62" t="s">
        <v>1967</v>
      </c>
      <c r="B62" t="s">
        <v>8959</v>
      </c>
      <c r="C62" t="s">
        <v>8953</v>
      </c>
      <c r="D62" t="s">
        <v>11</v>
      </c>
      <c r="E62" t="s">
        <v>13</v>
      </c>
      <c r="F62" t="s">
        <v>1970</v>
      </c>
      <c r="G62" t="s">
        <v>12</v>
      </c>
      <c r="I62" t="s">
        <v>8959</v>
      </c>
      <c r="J62" t="s">
        <v>9891</v>
      </c>
      <c r="K62" s="10">
        <v>423.32024999999999</v>
      </c>
      <c r="L62" s="9">
        <v>0.33180162620571341</v>
      </c>
      <c r="M62" s="10">
        <v>2795.435208732094</v>
      </c>
      <c r="N62" s="10">
        <v>2788.0631375831604</v>
      </c>
      <c r="P62" t="s">
        <v>1967</v>
      </c>
      <c r="Q62" t="s">
        <v>10501</v>
      </c>
      <c r="R62" t="s">
        <v>10502</v>
      </c>
      <c r="S62" t="s">
        <v>11</v>
      </c>
      <c r="T62" t="s">
        <v>13</v>
      </c>
      <c r="U62" t="s">
        <v>75</v>
      </c>
      <c r="V62" t="s">
        <v>12</v>
      </c>
      <c r="X62" t="s">
        <v>10501</v>
      </c>
      <c r="Y62" t="s">
        <v>76</v>
      </c>
      <c r="Z62" s="9">
        <v>1</v>
      </c>
    </row>
    <row r="63" spans="1:26">
      <c r="A63" t="s">
        <v>1967</v>
      </c>
      <c r="B63" t="s">
        <v>8960</v>
      </c>
      <c r="C63" t="s">
        <v>8953</v>
      </c>
      <c r="D63" t="s">
        <v>11</v>
      </c>
      <c r="E63" t="s">
        <v>13</v>
      </c>
      <c r="F63" t="s">
        <v>1970</v>
      </c>
      <c r="G63" t="s">
        <v>12</v>
      </c>
      <c r="I63" t="s">
        <v>8960</v>
      </c>
      <c r="J63" t="s">
        <v>9892</v>
      </c>
      <c r="K63" s="10">
        <v>229.97399999999999</v>
      </c>
      <c r="L63" s="9">
        <v>0.39078736315817453</v>
      </c>
      <c r="M63" s="10">
        <v>2729.559862264714</v>
      </c>
      <c r="N63" s="10">
        <v>2739.9082593155058</v>
      </c>
      <c r="P63" t="s">
        <v>1967</v>
      </c>
      <c r="Q63" t="s">
        <v>10503</v>
      </c>
      <c r="R63" t="s">
        <v>10504</v>
      </c>
      <c r="S63" t="s">
        <v>11</v>
      </c>
      <c r="T63" t="s">
        <v>13</v>
      </c>
      <c r="U63" t="s">
        <v>75</v>
      </c>
      <c r="V63" t="s">
        <v>12</v>
      </c>
      <c r="X63" t="s">
        <v>10503</v>
      </c>
      <c r="Y63" t="s">
        <v>76</v>
      </c>
      <c r="Z63" s="9">
        <v>1</v>
      </c>
    </row>
    <row r="64" spans="1:26">
      <c r="A64" t="s">
        <v>1967</v>
      </c>
      <c r="B64" t="s">
        <v>8961</v>
      </c>
      <c r="C64" t="s">
        <v>8953</v>
      </c>
      <c r="D64" t="s">
        <v>11</v>
      </c>
      <c r="E64" t="s">
        <v>13</v>
      </c>
      <c r="F64" t="s">
        <v>1970</v>
      </c>
      <c r="G64" t="s">
        <v>12</v>
      </c>
      <c r="I64" t="s">
        <v>8961</v>
      </c>
      <c r="J64" t="s">
        <v>9893</v>
      </c>
      <c r="K64" s="10">
        <v>725.63025000000005</v>
      </c>
      <c r="L64" s="9">
        <v>0.3595891236952613</v>
      </c>
      <c r="M64" s="10">
        <v>2504.1685516089092</v>
      </c>
      <c r="N64" s="10">
        <v>2575.1472112261126</v>
      </c>
      <c r="P64" t="s">
        <v>1967</v>
      </c>
      <c r="Q64" t="s">
        <v>10505</v>
      </c>
      <c r="R64" t="s">
        <v>10506</v>
      </c>
      <c r="S64" t="s">
        <v>11</v>
      </c>
      <c r="T64" t="s">
        <v>13</v>
      </c>
      <c r="U64" t="s">
        <v>75</v>
      </c>
      <c r="V64" t="s">
        <v>12</v>
      </c>
      <c r="X64" t="s">
        <v>10505</v>
      </c>
      <c r="Y64" t="s">
        <v>76</v>
      </c>
      <c r="Z64" s="9">
        <v>1</v>
      </c>
    </row>
    <row r="65" spans="1:26">
      <c r="A65" t="s">
        <v>1967</v>
      </c>
      <c r="B65" t="s">
        <v>8962</v>
      </c>
      <c r="C65" t="s">
        <v>8953</v>
      </c>
      <c r="D65" t="s">
        <v>11</v>
      </c>
      <c r="E65" t="s">
        <v>13</v>
      </c>
      <c r="F65" t="s">
        <v>1970</v>
      </c>
      <c r="G65" t="s">
        <v>12</v>
      </c>
      <c r="I65" t="s">
        <v>8962</v>
      </c>
      <c r="J65" t="s">
        <v>9894</v>
      </c>
      <c r="K65" s="10">
        <v>653.16449999999998</v>
      </c>
      <c r="L65" s="9">
        <v>0.3397001758974269</v>
      </c>
      <c r="M65" s="10">
        <v>2348.9548120566897</v>
      </c>
      <c r="N65" s="10">
        <v>2461.68596761344</v>
      </c>
      <c r="P65" t="s">
        <v>1967</v>
      </c>
      <c r="Q65" t="s">
        <v>10507</v>
      </c>
      <c r="R65" t="s">
        <v>10508</v>
      </c>
      <c r="S65" t="s">
        <v>11</v>
      </c>
      <c r="T65" t="s">
        <v>13</v>
      </c>
      <c r="U65" t="s">
        <v>75</v>
      </c>
      <c r="V65" t="s">
        <v>12</v>
      </c>
      <c r="X65" t="s">
        <v>10507</v>
      </c>
      <c r="Y65" t="s">
        <v>76</v>
      </c>
      <c r="Z65" s="9">
        <v>1</v>
      </c>
    </row>
    <row r="66" spans="1:26">
      <c r="A66" t="s">
        <v>1967</v>
      </c>
      <c r="B66" t="s">
        <v>8963</v>
      </c>
      <c r="C66" t="s">
        <v>8953</v>
      </c>
      <c r="D66" t="s">
        <v>11</v>
      </c>
      <c r="E66" t="s">
        <v>13</v>
      </c>
      <c r="F66" t="s">
        <v>1970</v>
      </c>
      <c r="G66" t="s">
        <v>12</v>
      </c>
      <c r="I66" t="s">
        <v>8963</v>
      </c>
      <c r="J66" t="s">
        <v>9895</v>
      </c>
      <c r="K66" s="11">
        <v>82.717500000000001</v>
      </c>
      <c r="L66" s="9">
        <v>0.35386773607743971</v>
      </c>
      <c r="M66" s="10">
        <v>1805.3622964207359</v>
      </c>
      <c r="N66" s="10">
        <v>2064.3198386835579</v>
      </c>
      <c r="P66" t="s">
        <v>1967</v>
      </c>
      <c r="Q66" t="s">
        <v>10509</v>
      </c>
      <c r="R66" t="s">
        <v>10510</v>
      </c>
      <c r="S66" t="s">
        <v>11</v>
      </c>
      <c r="T66" t="s">
        <v>13</v>
      </c>
      <c r="U66" t="s">
        <v>75</v>
      </c>
      <c r="V66" t="s">
        <v>12</v>
      </c>
      <c r="X66" t="s">
        <v>10509</v>
      </c>
      <c r="Y66" t="s">
        <v>76</v>
      </c>
      <c r="Z66" s="9">
        <v>1</v>
      </c>
    </row>
    <row r="67" spans="1:26">
      <c r="A67" t="s">
        <v>1967</v>
      </c>
      <c r="B67" t="s">
        <v>8964</v>
      </c>
      <c r="C67" t="s">
        <v>8953</v>
      </c>
      <c r="D67" t="s">
        <v>11</v>
      </c>
      <c r="E67" t="s">
        <v>13</v>
      </c>
      <c r="F67" t="s">
        <v>1970</v>
      </c>
      <c r="G67" t="s">
        <v>12</v>
      </c>
      <c r="I67" t="s">
        <v>8964</v>
      </c>
      <c r="J67" t="s">
        <v>9896</v>
      </c>
      <c r="K67" s="10">
        <v>400.72949999999997</v>
      </c>
      <c r="L67" s="9">
        <v>0.35061700070855628</v>
      </c>
      <c r="M67" s="10">
        <v>1911.273907991181</v>
      </c>
      <c r="N67" s="10">
        <v>2141.7412267415534</v>
      </c>
      <c r="P67" t="s">
        <v>1967</v>
      </c>
      <c r="Q67" t="s">
        <v>10511</v>
      </c>
      <c r="R67" t="s">
        <v>10512</v>
      </c>
      <c r="S67" t="s">
        <v>11</v>
      </c>
      <c r="T67" t="s">
        <v>13</v>
      </c>
      <c r="U67" t="s">
        <v>75</v>
      </c>
      <c r="V67" t="s">
        <v>12</v>
      </c>
      <c r="X67" t="s">
        <v>10511</v>
      </c>
      <c r="Y67" t="s">
        <v>76</v>
      </c>
      <c r="Z67" s="9">
        <v>1</v>
      </c>
    </row>
    <row r="68" spans="1:26">
      <c r="A68" t="s">
        <v>1967</v>
      </c>
      <c r="B68" t="s">
        <v>8965</v>
      </c>
      <c r="C68" t="s">
        <v>8966</v>
      </c>
      <c r="D68" t="s">
        <v>11</v>
      </c>
      <c r="E68" t="s">
        <v>13</v>
      </c>
      <c r="F68" t="s">
        <v>1970</v>
      </c>
      <c r="G68" t="s">
        <v>12</v>
      </c>
      <c r="I68" t="s">
        <v>8965</v>
      </c>
      <c r="J68" t="s">
        <v>9897</v>
      </c>
      <c r="K68" s="10">
        <v>398.34300000000002</v>
      </c>
      <c r="L68" s="9">
        <v>0.53261678130059187</v>
      </c>
      <c r="M68" s="10">
        <v>1248.0192338913623</v>
      </c>
      <c r="N68" s="10">
        <v>1656.9020599745859</v>
      </c>
      <c r="P68" t="s">
        <v>1967</v>
      </c>
      <c r="Q68" t="s">
        <v>10513</v>
      </c>
      <c r="R68" t="s">
        <v>10514</v>
      </c>
      <c r="S68" t="s">
        <v>11</v>
      </c>
      <c r="T68" t="s">
        <v>13</v>
      </c>
      <c r="U68" t="s">
        <v>75</v>
      </c>
      <c r="V68" t="s">
        <v>12</v>
      </c>
      <c r="X68" t="s">
        <v>10513</v>
      </c>
      <c r="Y68" t="s">
        <v>76</v>
      </c>
      <c r="Z68" s="9">
        <v>1</v>
      </c>
    </row>
    <row r="69" spans="1:26">
      <c r="A69" t="s">
        <v>1967</v>
      </c>
      <c r="B69" t="s">
        <v>8967</v>
      </c>
      <c r="C69" t="s">
        <v>8946</v>
      </c>
      <c r="D69" t="s">
        <v>11</v>
      </c>
      <c r="E69" t="s">
        <v>13</v>
      </c>
      <c r="F69" t="s">
        <v>1970</v>
      </c>
      <c r="G69" t="s">
        <v>12</v>
      </c>
      <c r="I69" t="s">
        <v>8967</v>
      </c>
      <c r="J69" t="s">
        <v>9898</v>
      </c>
      <c r="K69" s="10">
        <v>714.24525000000006</v>
      </c>
      <c r="L69" s="9">
        <v>0.51704508427838802</v>
      </c>
      <c r="M69" s="10">
        <v>1511.6897963149486</v>
      </c>
      <c r="N69" s="10">
        <v>1849.6452411062271</v>
      </c>
      <c r="P69" t="s">
        <v>1967</v>
      </c>
      <c r="Q69" t="s">
        <v>10515</v>
      </c>
      <c r="R69" t="s">
        <v>10516</v>
      </c>
      <c r="S69" t="s">
        <v>11</v>
      </c>
      <c r="T69" t="s">
        <v>13</v>
      </c>
      <c r="U69" t="s">
        <v>75</v>
      </c>
      <c r="V69" t="s">
        <v>12</v>
      </c>
      <c r="X69" t="s">
        <v>10515</v>
      </c>
      <c r="Y69" t="s">
        <v>76</v>
      </c>
      <c r="Z69" s="9">
        <v>1</v>
      </c>
    </row>
    <row r="70" spans="1:26">
      <c r="A70" t="s">
        <v>1967</v>
      </c>
      <c r="B70" t="s">
        <v>8968</v>
      </c>
      <c r="C70" t="s">
        <v>8946</v>
      </c>
      <c r="D70" t="s">
        <v>11</v>
      </c>
      <c r="E70" t="s">
        <v>13</v>
      </c>
      <c r="F70" t="s">
        <v>1970</v>
      </c>
      <c r="G70" t="s">
        <v>12</v>
      </c>
      <c r="I70" t="s">
        <v>8968</v>
      </c>
      <c r="J70" t="s">
        <v>9899</v>
      </c>
      <c r="K70" s="10">
        <v>861.64800000000002</v>
      </c>
      <c r="L70" s="9">
        <v>0.46439214837870568</v>
      </c>
      <c r="M70" s="10">
        <v>2029.6194897806545</v>
      </c>
      <c r="N70" s="10">
        <v>2228.2518470296586</v>
      </c>
      <c r="P70" t="s">
        <v>1967</v>
      </c>
      <c r="Q70" t="s">
        <v>10517</v>
      </c>
      <c r="R70" t="s">
        <v>10518</v>
      </c>
      <c r="S70" t="s">
        <v>11</v>
      </c>
      <c r="T70" t="s">
        <v>13</v>
      </c>
      <c r="U70" t="s">
        <v>75</v>
      </c>
      <c r="V70" t="s">
        <v>12</v>
      </c>
      <c r="X70" t="s">
        <v>10517</v>
      </c>
      <c r="Y70" t="s">
        <v>76</v>
      </c>
      <c r="Z70" s="9">
        <v>1</v>
      </c>
    </row>
    <row r="71" spans="1:26">
      <c r="A71" t="s">
        <v>1967</v>
      </c>
      <c r="B71" t="s">
        <v>8969</v>
      </c>
      <c r="C71" t="s">
        <v>8970</v>
      </c>
      <c r="D71" t="s">
        <v>11</v>
      </c>
      <c r="E71" t="s">
        <v>13</v>
      </c>
      <c r="F71" t="s">
        <v>1970</v>
      </c>
      <c r="G71" t="s">
        <v>12</v>
      </c>
      <c r="I71" t="s">
        <v>8969</v>
      </c>
      <c r="J71" t="s">
        <v>9900</v>
      </c>
      <c r="K71" s="10">
        <v>292.48874999999998</v>
      </c>
      <c r="L71" s="9">
        <v>0.38088719487500611</v>
      </c>
      <c r="M71" s="10">
        <v>713.75943053290484</v>
      </c>
      <c r="N71" s="10">
        <v>1266.3581437195535</v>
      </c>
      <c r="P71" t="s">
        <v>1967</v>
      </c>
      <c r="Q71" t="s">
        <v>10519</v>
      </c>
      <c r="R71" t="s">
        <v>10520</v>
      </c>
      <c r="S71" t="s">
        <v>11</v>
      </c>
      <c r="T71" t="s">
        <v>13</v>
      </c>
      <c r="U71" t="s">
        <v>75</v>
      </c>
      <c r="V71" t="s">
        <v>12</v>
      </c>
      <c r="X71" t="s">
        <v>10519</v>
      </c>
      <c r="Y71" t="s">
        <v>76</v>
      </c>
      <c r="Z71" s="9">
        <v>1</v>
      </c>
    </row>
    <row r="72" spans="1:26">
      <c r="A72" t="s">
        <v>1967</v>
      </c>
      <c r="B72" t="s">
        <v>8971</v>
      </c>
      <c r="C72" t="s">
        <v>8972</v>
      </c>
      <c r="D72" t="s">
        <v>11</v>
      </c>
      <c r="E72" t="s">
        <v>13</v>
      </c>
      <c r="F72" t="s">
        <v>1970</v>
      </c>
      <c r="G72" t="s">
        <v>12</v>
      </c>
      <c r="I72" t="s">
        <v>8971</v>
      </c>
      <c r="J72" t="s">
        <v>9901</v>
      </c>
      <c r="K72" s="10">
        <v>855.50175000000002</v>
      </c>
      <c r="L72" s="9">
        <v>0.52402881792993927</v>
      </c>
      <c r="M72" s="10">
        <v>430.01269302554391</v>
      </c>
      <c r="N72" s="10">
        <v>1058.9392786016726</v>
      </c>
      <c r="P72" t="s">
        <v>1967</v>
      </c>
      <c r="Q72" t="s">
        <v>10521</v>
      </c>
      <c r="R72" t="s">
        <v>10522</v>
      </c>
      <c r="S72" t="s">
        <v>11</v>
      </c>
      <c r="T72" t="s">
        <v>13</v>
      </c>
      <c r="U72" t="s">
        <v>75</v>
      </c>
      <c r="V72" t="s">
        <v>12</v>
      </c>
      <c r="X72" t="s">
        <v>10521</v>
      </c>
      <c r="Y72" t="s">
        <v>76</v>
      </c>
      <c r="Z72" s="9">
        <v>1</v>
      </c>
    </row>
    <row r="73" spans="1:26">
      <c r="A73" t="s">
        <v>1967</v>
      </c>
      <c r="B73" t="s">
        <v>8973</v>
      </c>
      <c r="C73" t="s">
        <v>8966</v>
      </c>
      <c r="D73" t="s">
        <v>11</v>
      </c>
      <c r="E73" t="s">
        <v>13</v>
      </c>
      <c r="F73" t="s">
        <v>1970</v>
      </c>
      <c r="G73" t="s">
        <v>12</v>
      </c>
      <c r="I73" t="s">
        <v>8973</v>
      </c>
      <c r="J73" t="s">
        <v>9902</v>
      </c>
      <c r="K73" s="10">
        <v>748.47825</v>
      </c>
      <c r="L73" s="9">
        <v>0.65822490513324605</v>
      </c>
      <c r="M73" s="10">
        <v>461.4310216385216</v>
      </c>
      <c r="N73" s="10">
        <v>1081.9060768177594</v>
      </c>
      <c r="P73" t="s">
        <v>1967</v>
      </c>
      <c r="Q73" t="s">
        <v>10523</v>
      </c>
      <c r="R73" t="s">
        <v>10524</v>
      </c>
      <c r="S73" t="s">
        <v>11</v>
      </c>
      <c r="T73" t="s">
        <v>13</v>
      </c>
      <c r="U73" t="s">
        <v>75</v>
      </c>
      <c r="V73" t="s">
        <v>12</v>
      </c>
      <c r="X73" t="s">
        <v>10523</v>
      </c>
      <c r="Y73" t="s">
        <v>76</v>
      </c>
      <c r="Z73" s="9">
        <v>1</v>
      </c>
    </row>
    <row r="74" spans="1:26">
      <c r="A74" t="s">
        <v>1967</v>
      </c>
      <c r="B74" t="s">
        <v>8974</v>
      </c>
      <c r="C74" t="s">
        <v>8966</v>
      </c>
      <c r="D74" t="s">
        <v>11</v>
      </c>
      <c r="E74" t="s">
        <v>13</v>
      </c>
      <c r="F74" t="s">
        <v>1970</v>
      </c>
      <c r="G74" t="s">
        <v>12</v>
      </c>
      <c r="I74" t="s">
        <v>8974</v>
      </c>
      <c r="J74" t="s">
        <v>9903</v>
      </c>
      <c r="K74" s="10">
        <v>904.22775000000001</v>
      </c>
      <c r="L74" s="9">
        <v>0.60500928152487621</v>
      </c>
      <c r="M74" s="10">
        <v>340.73648377087443</v>
      </c>
      <c r="N74" s="10">
        <v>993.67836963650927</v>
      </c>
      <c r="P74" t="s">
        <v>1967</v>
      </c>
      <c r="Q74" t="s">
        <v>10525</v>
      </c>
      <c r="R74" t="s">
        <v>10526</v>
      </c>
      <c r="S74" t="s">
        <v>11</v>
      </c>
      <c r="T74" t="s">
        <v>13</v>
      </c>
      <c r="U74" t="s">
        <v>75</v>
      </c>
      <c r="V74" t="s">
        <v>12</v>
      </c>
      <c r="X74" t="s">
        <v>10525</v>
      </c>
      <c r="Y74" t="s">
        <v>76</v>
      </c>
      <c r="Z74" s="9">
        <v>1</v>
      </c>
    </row>
    <row r="75" spans="1:26">
      <c r="A75" t="s">
        <v>1967</v>
      </c>
      <c r="B75" t="s">
        <v>8975</v>
      </c>
      <c r="C75" t="s">
        <v>8976</v>
      </c>
      <c r="D75" t="s">
        <v>11</v>
      </c>
      <c r="E75" t="s">
        <v>13</v>
      </c>
      <c r="F75" t="s">
        <v>1970</v>
      </c>
      <c r="G75" t="s">
        <v>12</v>
      </c>
      <c r="I75" t="s">
        <v>8975</v>
      </c>
      <c r="J75" t="s">
        <v>9904</v>
      </c>
      <c r="K75" s="10">
        <v>157.19475</v>
      </c>
      <c r="L75" s="9">
        <v>0.41134525291406121</v>
      </c>
      <c r="M75" s="10">
        <v>286.08566244512139</v>
      </c>
      <c r="N75" s="10">
        <v>953.72861924738379</v>
      </c>
      <c r="P75" t="s">
        <v>1967</v>
      </c>
      <c r="Q75" t="s">
        <v>10527</v>
      </c>
      <c r="R75" t="s">
        <v>10528</v>
      </c>
      <c r="S75" t="s">
        <v>11</v>
      </c>
      <c r="T75" t="s">
        <v>13</v>
      </c>
      <c r="U75" t="s">
        <v>75</v>
      </c>
      <c r="V75" t="s">
        <v>12</v>
      </c>
      <c r="X75" t="s">
        <v>10527</v>
      </c>
      <c r="Y75" t="s">
        <v>76</v>
      </c>
      <c r="Z75" s="9">
        <v>1</v>
      </c>
    </row>
    <row r="76" spans="1:26">
      <c r="A76" t="s">
        <v>1967</v>
      </c>
      <c r="B76" t="s">
        <v>8977</v>
      </c>
      <c r="C76" t="s">
        <v>8978</v>
      </c>
      <c r="D76" t="s">
        <v>11</v>
      </c>
      <c r="E76" t="s">
        <v>13</v>
      </c>
      <c r="F76" t="s">
        <v>1970</v>
      </c>
      <c r="G76" t="s">
        <v>12</v>
      </c>
      <c r="I76" t="s">
        <v>8977</v>
      </c>
      <c r="J76" t="s">
        <v>9905</v>
      </c>
      <c r="K76" s="10">
        <v>111.795</v>
      </c>
      <c r="L76" s="9">
        <v>0.54463285134933237</v>
      </c>
      <c r="M76" s="10">
        <v>638.42288826086417</v>
      </c>
      <c r="N76" s="10">
        <v>1211.2871313186918</v>
      </c>
      <c r="P76" t="s">
        <v>1967</v>
      </c>
      <c r="Q76" t="s">
        <v>10529</v>
      </c>
      <c r="R76" t="s">
        <v>10530</v>
      </c>
      <c r="S76" t="s">
        <v>11</v>
      </c>
      <c r="T76" t="s">
        <v>13</v>
      </c>
      <c r="U76" t="s">
        <v>75</v>
      </c>
      <c r="V76" t="s">
        <v>12</v>
      </c>
      <c r="X76" t="s">
        <v>10529</v>
      </c>
      <c r="Y76" t="s">
        <v>76</v>
      </c>
      <c r="Z76" s="9">
        <v>1</v>
      </c>
    </row>
    <row r="77" spans="1:26">
      <c r="A77" t="s">
        <v>1967</v>
      </c>
      <c r="B77" t="s">
        <v>8979</v>
      </c>
      <c r="C77" t="s">
        <v>8978</v>
      </c>
      <c r="D77" t="s">
        <v>11</v>
      </c>
      <c r="E77" t="s">
        <v>13</v>
      </c>
      <c r="F77" t="s">
        <v>1970</v>
      </c>
      <c r="G77" t="s">
        <v>12</v>
      </c>
      <c r="I77" t="s">
        <v>8979</v>
      </c>
      <c r="J77" t="s">
        <v>9906</v>
      </c>
      <c r="K77" s="11">
        <v>52.421999999999997</v>
      </c>
      <c r="L77" s="9">
        <v>0.4749380630430175</v>
      </c>
      <c r="M77" s="10">
        <v>182.11637923757297</v>
      </c>
      <c r="N77" s="10">
        <v>877.72707322266592</v>
      </c>
      <c r="P77" t="s">
        <v>1967</v>
      </c>
      <c r="Q77" t="s">
        <v>10531</v>
      </c>
      <c r="R77" t="s">
        <v>10532</v>
      </c>
      <c r="S77" t="s">
        <v>11</v>
      </c>
      <c r="T77" t="s">
        <v>13</v>
      </c>
      <c r="U77" t="s">
        <v>75</v>
      </c>
      <c r="V77" t="s">
        <v>12</v>
      </c>
      <c r="X77" t="s">
        <v>10531</v>
      </c>
      <c r="Y77" t="s">
        <v>76</v>
      </c>
      <c r="Z77" s="9">
        <v>1</v>
      </c>
    </row>
    <row r="78" spans="1:26">
      <c r="A78" t="s">
        <v>1967</v>
      </c>
      <c r="B78" t="s">
        <v>8980</v>
      </c>
      <c r="C78" t="s">
        <v>8978</v>
      </c>
      <c r="D78" t="s">
        <v>11</v>
      </c>
      <c r="E78" t="s">
        <v>13</v>
      </c>
      <c r="F78" t="s">
        <v>1970</v>
      </c>
      <c r="G78" t="s">
        <v>12</v>
      </c>
      <c r="I78" t="s">
        <v>8980</v>
      </c>
      <c r="J78" t="s">
        <v>9907</v>
      </c>
      <c r="K78" s="10">
        <v>264.37275</v>
      </c>
      <c r="L78" s="9">
        <v>0.763997212591493</v>
      </c>
      <c r="M78" s="10">
        <v>398.20369454544101</v>
      </c>
      <c r="N78" s="10">
        <v>1035.6869007127175</v>
      </c>
      <c r="P78" t="s">
        <v>1967</v>
      </c>
      <c r="Q78" t="s">
        <v>10533</v>
      </c>
      <c r="R78" t="s">
        <v>10534</v>
      </c>
      <c r="S78" t="s">
        <v>11</v>
      </c>
      <c r="T78" t="s">
        <v>13</v>
      </c>
      <c r="U78" t="s">
        <v>75</v>
      </c>
      <c r="V78" t="s">
        <v>12</v>
      </c>
      <c r="X78" t="s">
        <v>10533</v>
      </c>
      <c r="Y78" t="s">
        <v>76</v>
      </c>
      <c r="Z78" s="9">
        <v>1</v>
      </c>
    </row>
    <row r="79" spans="1:26">
      <c r="A79" t="s">
        <v>1967</v>
      </c>
      <c r="B79" t="s">
        <v>8981</v>
      </c>
      <c r="C79" t="s">
        <v>8982</v>
      </c>
      <c r="D79" t="s">
        <v>11</v>
      </c>
      <c r="E79" t="s">
        <v>13</v>
      </c>
      <c r="F79" t="s">
        <v>1970</v>
      </c>
      <c r="G79" t="s">
        <v>12</v>
      </c>
      <c r="I79" t="s">
        <v>8981</v>
      </c>
      <c r="J79" t="s">
        <v>9908</v>
      </c>
      <c r="K79" s="9">
        <v>7.5030000000000001</v>
      </c>
      <c r="L79" s="9">
        <v>0.2318522803420511</v>
      </c>
      <c r="M79" s="10">
        <v>155.97208981488342</v>
      </c>
      <c r="N79" s="10">
        <v>847.241718015076</v>
      </c>
      <c r="P79" t="s">
        <v>1967</v>
      </c>
      <c r="Q79" t="s">
        <v>10535</v>
      </c>
      <c r="R79" t="s">
        <v>10536</v>
      </c>
      <c r="S79" t="s">
        <v>11</v>
      </c>
      <c r="T79" t="s">
        <v>13</v>
      </c>
      <c r="U79" t="s">
        <v>75</v>
      </c>
      <c r="V79" t="s">
        <v>12</v>
      </c>
      <c r="X79" t="s">
        <v>10535</v>
      </c>
      <c r="Y79" t="s">
        <v>76</v>
      </c>
      <c r="Z79" s="9">
        <v>1</v>
      </c>
    </row>
    <row r="80" spans="1:26">
      <c r="A80" t="s">
        <v>1967</v>
      </c>
      <c r="B80" t="s">
        <v>8983</v>
      </c>
      <c r="C80" t="s">
        <v>8984</v>
      </c>
      <c r="D80" t="s">
        <v>11</v>
      </c>
      <c r="E80" t="s">
        <v>13</v>
      </c>
      <c r="F80" t="s">
        <v>1970</v>
      </c>
      <c r="G80" t="s">
        <v>12</v>
      </c>
      <c r="I80" t="s">
        <v>8983</v>
      </c>
      <c r="J80" t="s">
        <v>9909</v>
      </c>
      <c r="K80" s="11">
        <v>27.787500000000001</v>
      </c>
      <c r="L80" s="9">
        <v>0.38481237915445538</v>
      </c>
      <c r="M80" s="10">
        <v>167.40556890650876</v>
      </c>
      <c r="N80" s="10">
        <v>866.97347087065793</v>
      </c>
      <c r="P80" t="s">
        <v>1967</v>
      </c>
      <c r="Q80" t="s">
        <v>10537</v>
      </c>
      <c r="R80" t="s">
        <v>10538</v>
      </c>
      <c r="S80" t="s">
        <v>11</v>
      </c>
      <c r="T80" t="s">
        <v>13</v>
      </c>
      <c r="U80" t="s">
        <v>75</v>
      </c>
      <c r="V80" t="s">
        <v>12</v>
      </c>
      <c r="X80" t="s">
        <v>10537</v>
      </c>
      <c r="Y80" t="s">
        <v>76</v>
      </c>
      <c r="Z80" s="9">
        <v>1</v>
      </c>
    </row>
    <row r="81" spans="1:26">
      <c r="A81" t="s">
        <v>1967</v>
      </c>
      <c r="B81" t="s">
        <v>8985</v>
      </c>
      <c r="C81" t="s">
        <v>8986</v>
      </c>
      <c r="D81" t="s">
        <v>11</v>
      </c>
      <c r="E81" t="s">
        <v>13</v>
      </c>
      <c r="F81" t="s">
        <v>1970</v>
      </c>
      <c r="G81" t="s">
        <v>12</v>
      </c>
      <c r="I81" t="s">
        <v>8985</v>
      </c>
      <c r="J81" t="s">
        <v>9910</v>
      </c>
      <c r="K81" s="11">
        <v>51.237749999999998</v>
      </c>
      <c r="L81" s="9">
        <v>0.44221517779401548</v>
      </c>
      <c r="M81" s="11">
        <v>98.330485042466407</v>
      </c>
      <c r="N81" s="10">
        <v>627.74248704171214</v>
      </c>
      <c r="P81" t="s">
        <v>1967</v>
      </c>
      <c r="Q81" t="s">
        <v>10539</v>
      </c>
      <c r="R81" t="s">
        <v>10540</v>
      </c>
      <c r="S81" t="s">
        <v>11</v>
      </c>
      <c r="T81" t="s">
        <v>13</v>
      </c>
      <c r="U81" t="s">
        <v>75</v>
      </c>
      <c r="V81" t="s">
        <v>12</v>
      </c>
      <c r="X81" t="s">
        <v>10539</v>
      </c>
      <c r="Y81" t="s">
        <v>76</v>
      </c>
      <c r="Z81" s="9">
        <v>1</v>
      </c>
    </row>
    <row r="82" spans="1:26">
      <c r="A82" t="s">
        <v>1967</v>
      </c>
      <c r="B82" t="s">
        <v>8987</v>
      </c>
      <c r="C82" t="s">
        <v>8988</v>
      </c>
      <c r="D82" t="s">
        <v>11</v>
      </c>
      <c r="E82" t="s">
        <v>13</v>
      </c>
      <c r="F82" t="s">
        <v>1970</v>
      </c>
      <c r="G82" t="s">
        <v>12</v>
      </c>
      <c r="I82" t="s">
        <v>8987</v>
      </c>
      <c r="J82" t="s">
        <v>9911</v>
      </c>
      <c r="K82" s="11">
        <v>56.64</v>
      </c>
      <c r="L82" s="9">
        <v>0.4312419578079188</v>
      </c>
      <c r="M82" s="10">
        <v>181.15149757012972</v>
      </c>
      <c r="N82" s="10">
        <v>877.02174472376475</v>
      </c>
      <c r="P82" t="s">
        <v>1967</v>
      </c>
      <c r="Q82" t="s">
        <v>10541</v>
      </c>
      <c r="R82" t="s">
        <v>10542</v>
      </c>
      <c r="S82" t="s">
        <v>11</v>
      </c>
      <c r="T82" t="s">
        <v>13</v>
      </c>
      <c r="U82" t="s">
        <v>75</v>
      </c>
      <c r="V82" t="s">
        <v>12</v>
      </c>
      <c r="X82" t="s">
        <v>10541</v>
      </c>
      <c r="Y82" t="s">
        <v>76</v>
      </c>
      <c r="Z82" s="9">
        <v>1</v>
      </c>
    </row>
    <row r="83" spans="1:26">
      <c r="A83" t="s">
        <v>1967</v>
      </c>
      <c r="B83" t="s">
        <v>8989</v>
      </c>
      <c r="C83" t="s">
        <v>8990</v>
      </c>
      <c r="D83" t="s">
        <v>11</v>
      </c>
      <c r="E83" t="s">
        <v>13</v>
      </c>
      <c r="F83" t="s">
        <v>1970</v>
      </c>
      <c r="G83" t="s">
        <v>12</v>
      </c>
      <c r="I83" t="s">
        <v>8989</v>
      </c>
      <c r="J83" t="s">
        <v>9912</v>
      </c>
      <c r="K83" s="11">
        <v>21.27825</v>
      </c>
      <c r="L83" s="9">
        <v>0.37182818045368837</v>
      </c>
      <c r="M83" s="10">
        <v>1222.0431074353587</v>
      </c>
      <c r="N83" s="10">
        <v>1059.8263898169248</v>
      </c>
      <c r="P83" t="s">
        <v>1967</v>
      </c>
      <c r="Q83" t="s">
        <v>10543</v>
      </c>
      <c r="R83" t="s">
        <v>10544</v>
      </c>
      <c r="S83" t="s">
        <v>11</v>
      </c>
      <c r="T83" t="s">
        <v>13</v>
      </c>
      <c r="U83" t="s">
        <v>75</v>
      </c>
      <c r="V83" t="s">
        <v>12</v>
      </c>
      <c r="X83" t="s">
        <v>10543</v>
      </c>
      <c r="Y83" t="s">
        <v>76</v>
      </c>
      <c r="Z83" s="9">
        <v>1</v>
      </c>
    </row>
    <row r="84" spans="1:26">
      <c r="A84" t="s">
        <v>1967</v>
      </c>
      <c r="B84" t="s">
        <v>8991</v>
      </c>
      <c r="C84" t="s">
        <v>8992</v>
      </c>
      <c r="D84" t="s">
        <v>11</v>
      </c>
      <c r="E84" t="s">
        <v>13</v>
      </c>
      <c r="F84" t="s">
        <v>1970</v>
      </c>
      <c r="G84" t="s">
        <v>12</v>
      </c>
      <c r="I84" t="s">
        <v>8991</v>
      </c>
      <c r="J84" t="s">
        <v>9913</v>
      </c>
      <c r="K84" s="11">
        <v>57.349249999999998</v>
      </c>
      <c r="L84" s="9">
        <v>0.60803193084726914</v>
      </c>
      <c r="M84" s="10">
        <v>135.31567004104744</v>
      </c>
      <c r="N84" s="10">
        <v>497.31781098114095</v>
      </c>
      <c r="P84" t="s">
        <v>1967</v>
      </c>
      <c r="Q84" t="s">
        <v>10545</v>
      </c>
      <c r="R84" t="s">
        <v>10546</v>
      </c>
      <c r="S84" t="s">
        <v>11</v>
      </c>
      <c r="T84" t="s">
        <v>13</v>
      </c>
      <c r="U84" t="s">
        <v>75</v>
      </c>
      <c r="V84" t="s">
        <v>12</v>
      </c>
      <c r="X84" t="s">
        <v>10545</v>
      </c>
      <c r="Y84" t="s">
        <v>76</v>
      </c>
      <c r="Z84" s="9">
        <v>1</v>
      </c>
    </row>
    <row r="85" spans="1:26">
      <c r="A85" t="s">
        <v>1967</v>
      </c>
      <c r="B85" t="s">
        <v>8993</v>
      </c>
      <c r="C85" t="s">
        <v>8994</v>
      </c>
      <c r="D85" t="s">
        <v>11</v>
      </c>
      <c r="E85" t="s">
        <v>13</v>
      </c>
      <c r="F85" t="s">
        <v>1970</v>
      </c>
      <c r="G85" t="s">
        <v>12</v>
      </c>
      <c r="I85" t="s">
        <v>8993</v>
      </c>
      <c r="J85" t="s">
        <v>9914</v>
      </c>
      <c r="K85" s="10">
        <v>163.84625</v>
      </c>
      <c r="L85" s="9">
        <v>0.49520851651594011</v>
      </c>
      <c r="M85" s="10">
        <v>174.45710637427297</v>
      </c>
      <c r="N85" s="10">
        <v>564.31821131503125</v>
      </c>
      <c r="P85" t="s">
        <v>1967</v>
      </c>
      <c r="Q85" t="s">
        <v>10547</v>
      </c>
      <c r="R85" t="s">
        <v>10548</v>
      </c>
      <c r="S85" t="s">
        <v>11</v>
      </c>
      <c r="T85" t="s">
        <v>13</v>
      </c>
      <c r="U85" t="s">
        <v>75</v>
      </c>
      <c r="V85" t="s">
        <v>12</v>
      </c>
      <c r="X85" t="s">
        <v>10547</v>
      </c>
      <c r="Y85" t="s">
        <v>76</v>
      </c>
      <c r="Z85" s="9">
        <v>1</v>
      </c>
    </row>
    <row r="86" spans="1:26">
      <c r="A86" t="s">
        <v>1967</v>
      </c>
      <c r="B86" t="s">
        <v>8995</v>
      </c>
      <c r="C86" t="s">
        <v>8990</v>
      </c>
      <c r="D86" t="s">
        <v>11</v>
      </c>
      <c r="E86" t="s">
        <v>13</v>
      </c>
      <c r="F86" t="s">
        <v>1970</v>
      </c>
      <c r="G86" t="s">
        <v>12</v>
      </c>
      <c r="I86" t="s">
        <v>8995</v>
      </c>
      <c r="J86" t="s">
        <v>9915</v>
      </c>
      <c r="K86" s="11">
        <v>92.437250000000006</v>
      </c>
      <c r="L86" s="9">
        <v>0.37868917254924478</v>
      </c>
      <c r="M86" s="10">
        <v>321.1855322245375</v>
      </c>
      <c r="N86" s="10">
        <v>633.72075674220628</v>
      </c>
      <c r="P86" t="s">
        <v>1967</v>
      </c>
      <c r="Q86" t="s">
        <v>10549</v>
      </c>
      <c r="R86" t="s">
        <v>10550</v>
      </c>
      <c r="S86" t="s">
        <v>11</v>
      </c>
      <c r="T86" t="s">
        <v>13</v>
      </c>
      <c r="U86" t="s">
        <v>75</v>
      </c>
      <c r="V86" t="s">
        <v>12</v>
      </c>
      <c r="X86" t="s">
        <v>10549</v>
      </c>
      <c r="Y86" t="s">
        <v>76</v>
      </c>
      <c r="Z86" s="9">
        <v>1</v>
      </c>
    </row>
    <row r="87" spans="1:26">
      <c r="A87" t="s">
        <v>1967</v>
      </c>
      <c r="B87" t="s">
        <v>8996</v>
      </c>
      <c r="C87" t="s">
        <v>8990</v>
      </c>
      <c r="D87" t="s">
        <v>11</v>
      </c>
      <c r="E87" t="s">
        <v>13</v>
      </c>
      <c r="F87" t="s">
        <v>1970</v>
      </c>
      <c r="G87" t="s">
        <v>12</v>
      </c>
      <c r="I87" t="s">
        <v>8996</v>
      </c>
      <c r="J87" t="s">
        <v>9916</v>
      </c>
      <c r="K87" s="10">
        <v>164.05475000000001</v>
      </c>
      <c r="L87" s="9">
        <v>0.43204409136584732</v>
      </c>
      <c r="M87" s="10">
        <v>189.54273502873329</v>
      </c>
      <c r="N87" s="10">
        <v>571.45371366859092</v>
      </c>
      <c r="P87" t="s">
        <v>1967</v>
      </c>
      <c r="Q87" t="s">
        <v>10551</v>
      </c>
      <c r="R87" t="s">
        <v>10552</v>
      </c>
      <c r="S87" t="s">
        <v>11</v>
      </c>
      <c r="T87" t="s">
        <v>13</v>
      </c>
      <c r="U87" t="s">
        <v>75</v>
      </c>
      <c r="V87" t="s">
        <v>12</v>
      </c>
      <c r="X87" t="s">
        <v>10551</v>
      </c>
      <c r="Y87" t="s">
        <v>76</v>
      </c>
      <c r="Z87" s="9">
        <v>1</v>
      </c>
    </row>
    <row r="88" spans="1:26">
      <c r="A88" t="s">
        <v>1967</v>
      </c>
      <c r="B88" t="s">
        <v>8997</v>
      </c>
      <c r="C88" t="s">
        <v>8990</v>
      </c>
      <c r="D88" t="s">
        <v>11</v>
      </c>
      <c r="E88" t="s">
        <v>13</v>
      </c>
      <c r="F88" t="s">
        <v>1970</v>
      </c>
      <c r="G88" t="s">
        <v>12</v>
      </c>
      <c r="I88" t="s">
        <v>8997</v>
      </c>
      <c r="J88" t="s">
        <v>9917</v>
      </c>
      <c r="K88" s="11">
        <v>92.185500000000005</v>
      </c>
      <c r="L88" s="9">
        <v>0.37952862995237252</v>
      </c>
      <c r="M88" s="10">
        <v>373.69045193129824</v>
      </c>
      <c r="N88" s="10">
        <v>658.55558376350416</v>
      </c>
      <c r="P88" t="s">
        <v>1967</v>
      </c>
      <c r="Q88" t="s">
        <v>10553</v>
      </c>
      <c r="R88" t="s">
        <v>10554</v>
      </c>
      <c r="S88" t="s">
        <v>11</v>
      </c>
      <c r="T88" t="s">
        <v>13</v>
      </c>
      <c r="U88" t="s">
        <v>75</v>
      </c>
      <c r="V88" t="s">
        <v>12</v>
      </c>
      <c r="X88" t="s">
        <v>10553</v>
      </c>
      <c r="Y88" t="s">
        <v>76</v>
      </c>
      <c r="Z88" s="9">
        <v>1</v>
      </c>
    </row>
    <row r="89" spans="1:26">
      <c r="A89" t="s">
        <v>1967</v>
      </c>
      <c r="B89" t="s">
        <v>8998</v>
      </c>
      <c r="C89" t="s">
        <v>8999</v>
      </c>
      <c r="D89" t="s">
        <v>11</v>
      </c>
      <c r="E89" t="s">
        <v>13</v>
      </c>
      <c r="F89" t="s">
        <v>1970</v>
      </c>
      <c r="G89" t="s">
        <v>12</v>
      </c>
      <c r="I89" t="s">
        <v>8998</v>
      </c>
      <c r="J89" t="s">
        <v>9918</v>
      </c>
      <c r="K89" s="10">
        <v>133.90674999999999</v>
      </c>
      <c r="L89" s="9">
        <v>0.52518361042117456</v>
      </c>
      <c r="M89" s="10">
        <v>201.55632794822827</v>
      </c>
      <c r="N89" s="10">
        <v>577.1361431195121</v>
      </c>
      <c r="P89" t="s">
        <v>1967</v>
      </c>
      <c r="Q89" t="s">
        <v>10555</v>
      </c>
      <c r="R89" t="s">
        <v>10556</v>
      </c>
      <c r="S89" t="s">
        <v>11</v>
      </c>
      <c r="T89" t="s">
        <v>13</v>
      </c>
      <c r="U89" t="s">
        <v>75</v>
      </c>
      <c r="V89" t="s">
        <v>12</v>
      </c>
      <c r="X89" t="s">
        <v>10555</v>
      </c>
      <c r="Y89" t="s">
        <v>76</v>
      </c>
      <c r="Z89" s="9">
        <v>1</v>
      </c>
    </row>
    <row r="90" spans="1:26">
      <c r="A90" t="s">
        <v>1967</v>
      </c>
      <c r="B90" t="s">
        <v>9000</v>
      </c>
      <c r="C90" t="s">
        <v>9001</v>
      </c>
      <c r="D90" t="s">
        <v>11</v>
      </c>
      <c r="E90" t="s">
        <v>13</v>
      </c>
      <c r="F90" t="s">
        <v>1970</v>
      </c>
      <c r="G90" t="s">
        <v>12</v>
      </c>
      <c r="I90" t="s">
        <v>9000</v>
      </c>
      <c r="J90" t="s">
        <v>9919</v>
      </c>
      <c r="K90" s="10">
        <v>160.06874999999999</v>
      </c>
      <c r="L90" s="9">
        <v>0.49005381450689478</v>
      </c>
      <c r="M90" s="10">
        <v>265.45564548917628</v>
      </c>
      <c r="N90" s="10">
        <v>607.36052031638053</v>
      </c>
      <c r="P90" t="s">
        <v>1967</v>
      </c>
      <c r="Q90" t="s">
        <v>10557</v>
      </c>
      <c r="R90" t="s">
        <v>10558</v>
      </c>
      <c r="S90" t="s">
        <v>11</v>
      </c>
      <c r="T90" t="s">
        <v>13</v>
      </c>
      <c r="U90" t="s">
        <v>75</v>
      </c>
      <c r="V90" t="s">
        <v>12</v>
      </c>
      <c r="X90" t="s">
        <v>10557</v>
      </c>
      <c r="Y90" t="s">
        <v>76</v>
      </c>
      <c r="Z90" s="9">
        <v>1</v>
      </c>
    </row>
    <row r="91" spans="1:26">
      <c r="A91" t="s">
        <v>1967</v>
      </c>
      <c r="B91" t="s">
        <v>9002</v>
      </c>
      <c r="C91" t="s">
        <v>9003</v>
      </c>
      <c r="D91" t="s">
        <v>11</v>
      </c>
      <c r="E91" t="s">
        <v>13</v>
      </c>
      <c r="F91" t="s">
        <v>1970</v>
      </c>
      <c r="G91" t="s">
        <v>12</v>
      </c>
      <c r="I91" t="s">
        <v>9002</v>
      </c>
      <c r="J91" t="s">
        <v>9920</v>
      </c>
      <c r="K91" s="10">
        <v>138.98650000000001</v>
      </c>
      <c r="L91" s="9">
        <v>0.38711225389606452</v>
      </c>
      <c r="M91" s="10">
        <v>249.84789268614213</v>
      </c>
      <c r="N91" s="10">
        <v>599.97805324054536</v>
      </c>
      <c r="P91" t="s">
        <v>1967</v>
      </c>
      <c r="Q91" t="s">
        <v>10559</v>
      </c>
      <c r="R91" t="s">
        <v>10560</v>
      </c>
      <c r="S91" t="s">
        <v>11</v>
      </c>
      <c r="T91" t="s">
        <v>13</v>
      </c>
      <c r="U91" t="s">
        <v>75</v>
      </c>
      <c r="V91" t="s">
        <v>12</v>
      </c>
      <c r="X91" t="s">
        <v>10559</v>
      </c>
      <c r="Y91" t="s">
        <v>76</v>
      </c>
      <c r="Z91" s="9">
        <v>1</v>
      </c>
    </row>
    <row r="92" spans="1:26">
      <c r="A92" t="s">
        <v>1967</v>
      </c>
      <c r="B92" t="s">
        <v>9004</v>
      </c>
      <c r="C92" t="s">
        <v>9003</v>
      </c>
      <c r="D92" t="s">
        <v>11</v>
      </c>
      <c r="E92" t="s">
        <v>13</v>
      </c>
      <c r="F92" t="s">
        <v>1970</v>
      </c>
      <c r="G92" t="s">
        <v>12</v>
      </c>
      <c r="I92" t="s">
        <v>9004</v>
      </c>
      <c r="J92" t="s">
        <v>9921</v>
      </c>
      <c r="K92" s="11">
        <v>67.40625</v>
      </c>
      <c r="L92" s="9">
        <v>0.39341667752795478</v>
      </c>
      <c r="M92" s="10">
        <v>144.27164947091714</v>
      </c>
      <c r="N92" s="10">
        <v>519.38534429633989</v>
      </c>
      <c r="P92" t="s">
        <v>1967</v>
      </c>
      <c r="Q92" t="s">
        <v>10561</v>
      </c>
      <c r="R92" t="s">
        <v>10562</v>
      </c>
      <c r="S92" t="s">
        <v>11</v>
      </c>
      <c r="T92" t="s">
        <v>13</v>
      </c>
      <c r="U92" t="s">
        <v>75</v>
      </c>
      <c r="V92" t="s">
        <v>12</v>
      </c>
      <c r="X92" t="s">
        <v>10561</v>
      </c>
      <c r="Y92" t="s">
        <v>76</v>
      </c>
      <c r="Z92" s="9">
        <v>1</v>
      </c>
    </row>
    <row r="93" spans="1:26">
      <c r="A93" t="s">
        <v>1967</v>
      </c>
      <c r="B93" t="s">
        <v>9005</v>
      </c>
      <c r="C93" t="s">
        <v>9006</v>
      </c>
      <c r="D93" t="s">
        <v>11</v>
      </c>
      <c r="E93" t="s">
        <v>13</v>
      </c>
      <c r="F93" t="s">
        <v>1970</v>
      </c>
      <c r="G93" t="s">
        <v>12</v>
      </c>
      <c r="I93" t="s">
        <v>9005</v>
      </c>
      <c r="J93" t="s">
        <v>9922</v>
      </c>
      <c r="K93" s="9">
        <v>2.8642500000000002</v>
      </c>
      <c r="L93" s="12">
        <v>7.8454049287106795E-2</v>
      </c>
      <c r="M93" s="10">
        <v>101.6534301311696</v>
      </c>
      <c r="N93" s="10">
        <v>640.39626193949391</v>
      </c>
      <c r="P93" t="s">
        <v>1967</v>
      </c>
      <c r="Q93" t="s">
        <v>10563</v>
      </c>
      <c r="R93" t="s">
        <v>10564</v>
      </c>
      <c r="S93" t="s">
        <v>11</v>
      </c>
      <c r="T93" t="s">
        <v>13</v>
      </c>
      <c r="U93" t="s">
        <v>75</v>
      </c>
      <c r="V93" t="s">
        <v>12</v>
      </c>
      <c r="X93" t="s">
        <v>10563</v>
      </c>
      <c r="Y93" t="s">
        <v>76</v>
      </c>
      <c r="Z93" s="9">
        <v>1</v>
      </c>
    </row>
    <row r="94" spans="1:26">
      <c r="A94" t="s">
        <v>1967</v>
      </c>
      <c r="B94" t="s">
        <v>9007</v>
      </c>
      <c r="C94" t="s">
        <v>9008</v>
      </c>
      <c r="D94" t="s">
        <v>11</v>
      </c>
      <c r="E94" t="s">
        <v>13</v>
      </c>
      <c r="F94" t="s">
        <v>1970</v>
      </c>
      <c r="G94" t="s">
        <v>12</v>
      </c>
      <c r="I94" t="s">
        <v>9007</v>
      </c>
      <c r="J94" t="s">
        <v>9923</v>
      </c>
      <c r="K94" s="9">
        <v>8.6865000000000006</v>
      </c>
      <c r="L94" s="12">
        <v>8.1656088806455293E-2</v>
      </c>
      <c r="M94" s="11">
        <v>78.827439404666862</v>
      </c>
      <c r="N94" s="10">
        <v>553.47488925297148</v>
      </c>
      <c r="P94" t="s">
        <v>1967</v>
      </c>
      <c r="Q94" t="s">
        <v>10565</v>
      </c>
      <c r="R94" t="s">
        <v>10566</v>
      </c>
      <c r="S94" t="s">
        <v>11</v>
      </c>
      <c r="T94" t="s">
        <v>13</v>
      </c>
      <c r="U94" t="s">
        <v>75</v>
      </c>
      <c r="V94" t="s">
        <v>12</v>
      </c>
      <c r="X94" t="s">
        <v>10565</v>
      </c>
      <c r="Y94" t="s">
        <v>76</v>
      </c>
      <c r="Z94" s="9">
        <v>1</v>
      </c>
    </row>
    <row r="95" spans="1:26">
      <c r="A95" t="s">
        <v>1967</v>
      </c>
      <c r="B95" t="s">
        <v>9009</v>
      </c>
      <c r="C95" t="s">
        <v>9010</v>
      </c>
      <c r="D95" t="s">
        <v>11</v>
      </c>
      <c r="E95" t="s">
        <v>13</v>
      </c>
      <c r="F95" t="s">
        <v>1970</v>
      </c>
      <c r="G95" t="s">
        <v>12</v>
      </c>
      <c r="I95" t="s">
        <v>9009</v>
      </c>
      <c r="J95" t="s">
        <v>9924</v>
      </c>
      <c r="K95" s="11">
        <v>15.69375</v>
      </c>
      <c r="L95" s="12">
        <v>8.9403610392709401E-2</v>
      </c>
      <c r="M95" s="11">
        <v>65.86310312483819</v>
      </c>
      <c r="N95" s="10">
        <v>504.1066966993838</v>
      </c>
      <c r="P95" t="s">
        <v>1967</v>
      </c>
      <c r="Q95" t="s">
        <v>10567</v>
      </c>
      <c r="R95" t="s">
        <v>10568</v>
      </c>
      <c r="S95" t="s">
        <v>11</v>
      </c>
      <c r="T95" t="s">
        <v>13</v>
      </c>
      <c r="U95" t="s">
        <v>75</v>
      </c>
      <c r="V95" t="s">
        <v>12</v>
      </c>
      <c r="X95" t="s">
        <v>10567</v>
      </c>
      <c r="Y95" t="s">
        <v>76</v>
      </c>
      <c r="Z95" s="9">
        <v>1</v>
      </c>
    </row>
    <row r="96" spans="1:26">
      <c r="A96" t="s">
        <v>1967</v>
      </c>
      <c r="B96" t="s">
        <v>9011</v>
      </c>
      <c r="C96" t="s">
        <v>9012</v>
      </c>
      <c r="D96" t="s">
        <v>11</v>
      </c>
      <c r="E96" t="s">
        <v>13</v>
      </c>
      <c r="F96" t="s">
        <v>1970</v>
      </c>
      <c r="G96" t="s">
        <v>12</v>
      </c>
      <c r="I96" t="s">
        <v>9011</v>
      </c>
      <c r="J96" t="s">
        <v>9925</v>
      </c>
      <c r="K96" s="9">
        <v>0.23624999999999999</v>
      </c>
      <c r="L96" s="12">
        <v>3.87674809814504E-2</v>
      </c>
      <c r="M96" s="10">
        <v>363.48337354410268</v>
      </c>
      <c r="N96" s="10">
        <v>1010.306346060739</v>
      </c>
      <c r="P96" t="s">
        <v>1967</v>
      </c>
      <c r="Q96" t="s">
        <v>10569</v>
      </c>
      <c r="R96" t="s">
        <v>10570</v>
      </c>
      <c r="S96" t="s">
        <v>11</v>
      </c>
      <c r="T96" t="s">
        <v>13</v>
      </c>
      <c r="U96" t="s">
        <v>75</v>
      </c>
      <c r="V96" t="s">
        <v>12</v>
      </c>
      <c r="X96" t="s">
        <v>10569</v>
      </c>
      <c r="Y96" t="s">
        <v>76</v>
      </c>
      <c r="Z96" s="9">
        <v>1</v>
      </c>
    </row>
    <row r="97" spans="1:26">
      <c r="A97" t="s">
        <v>1967</v>
      </c>
      <c r="B97" t="s">
        <v>9013</v>
      </c>
      <c r="C97" t="s">
        <v>9014</v>
      </c>
      <c r="D97" t="s">
        <v>11</v>
      </c>
      <c r="E97" t="s">
        <v>13</v>
      </c>
      <c r="F97" t="s">
        <v>1970</v>
      </c>
      <c r="G97" t="s">
        <v>12</v>
      </c>
      <c r="I97" t="s">
        <v>9013</v>
      </c>
      <c r="J97" t="s">
        <v>9926</v>
      </c>
      <c r="K97" s="11">
        <v>20.16</v>
      </c>
      <c r="L97" s="12">
        <v>7.0788878722369303E-2</v>
      </c>
      <c r="M97" s="10">
        <v>457.61731239356885</v>
      </c>
      <c r="N97" s="10">
        <v>1079.1182553596987</v>
      </c>
      <c r="P97" t="s">
        <v>1967</v>
      </c>
      <c r="Q97" t="s">
        <v>10571</v>
      </c>
      <c r="R97" t="s">
        <v>10572</v>
      </c>
      <c r="S97" t="s">
        <v>11</v>
      </c>
      <c r="T97" t="s">
        <v>13</v>
      </c>
      <c r="U97" t="s">
        <v>75</v>
      </c>
      <c r="V97" t="s">
        <v>12</v>
      </c>
      <c r="X97" t="s">
        <v>10571</v>
      </c>
      <c r="Y97" t="s">
        <v>76</v>
      </c>
      <c r="Z97" s="9">
        <v>1</v>
      </c>
    </row>
    <row r="98" spans="1:26">
      <c r="A98" t="s">
        <v>1967</v>
      </c>
      <c r="B98" t="s">
        <v>9015</v>
      </c>
      <c r="C98" t="s">
        <v>9016</v>
      </c>
      <c r="D98" t="s">
        <v>11</v>
      </c>
      <c r="E98" t="s">
        <v>13</v>
      </c>
      <c r="F98" t="s">
        <v>1970</v>
      </c>
      <c r="G98" t="s">
        <v>12</v>
      </c>
      <c r="I98" t="s">
        <v>9015</v>
      </c>
      <c r="J98" t="s">
        <v>9927</v>
      </c>
      <c r="K98" s="11">
        <v>16.905750000000001</v>
      </c>
      <c r="L98" s="12">
        <v>6.7287955305001604E-2</v>
      </c>
      <c r="M98" s="11">
        <v>74.592908275045005</v>
      </c>
      <c r="N98" s="10">
        <v>537.34979471137137</v>
      </c>
      <c r="P98" t="s">
        <v>1967</v>
      </c>
      <c r="Q98" t="s">
        <v>10573</v>
      </c>
      <c r="R98" t="s">
        <v>10574</v>
      </c>
      <c r="S98" t="s">
        <v>11</v>
      </c>
      <c r="T98" t="s">
        <v>13</v>
      </c>
      <c r="U98" t="s">
        <v>75</v>
      </c>
      <c r="V98" t="s">
        <v>12</v>
      </c>
      <c r="X98" t="s">
        <v>10573</v>
      </c>
      <c r="Y98" t="s">
        <v>76</v>
      </c>
      <c r="Z98" s="9">
        <v>1</v>
      </c>
    </row>
    <row r="99" spans="1:26">
      <c r="A99" t="s">
        <v>1967</v>
      </c>
      <c r="B99" t="s">
        <v>9017</v>
      </c>
      <c r="C99" t="s">
        <v>9018</v>
      </c>
      <c r="D99" t="s">
        <v>11</v>
      </c>
      <c r="E99" t="s">
        <v>13</v>
      </c>
      <c r="F99" t="s">
        <v>1970</v>
      </c>
      <c r="G99" t="s">
        <v>12</v>
      </c>
      <c r="I99" t="s">
        <v>9017</v>
      </c>
      <c r="J99" t="s">
        <v>9928</v>
      </c>
      <c r="K99" s="9">
        <v>8.5447500000000005</v>
      </c>
      <c r="L99" s="12">
        <v>5.20498225509127E-2</v>
      </c>
      <c r="M99" s="11">
        <v>37.040944183356963</v>
      </c>
      <c r="N99" s="10">
        <v>394.35191545022332</v>
      </c>
      <c r="P99" t="s">
        <v>1967</v>
      </c>
      <c r="Q99" t="s">
        <v>10575</v>
      </c>
      <c r="R99" t="s">
        <v>10576</v>
      </c>
      <c r="S99" t="s">
        <v>11</v>
      </c>
      <c r="T99" t="s">
        <v>13</v>
      </c>
      <c r="U99" t="s">
        <v>75</v>
      </c>
      <c r="V99" t="s">
        <v>12</v>
      </c>
      <c r="X99" t="s">
        <v>10575</v>
      </c>
      <c r="Y99" t="s">
        <v>76</v>
      </c>
      <c r="Z99" s="9">
        <v>1</v>
      </c>
    </row>
    <row r="100" spans="1:26">
      <c r="A100" t="s">
        <v>1967</v>
      </c>
      <c r="B100" t="s">
        <v>9019</v>
      </c>
      <c r="C100" t="s">
        <v>9020</v>
      </c>
      <c r="D100" t="s">
        <v>11</v>
      </c>
      <c r="E100" t="s">
        <v>13</v>
      </c>
      <c r="F100" t="s">
        <v>1970</v>
      </c>
      <c r="G100" t="s">
        <v>12</v>
      </c>
      <c r="I100" t="s">
        <v>9019</v>
      </c>
      <c r="J100" t="s">
        <v>9929</v>
      </c>
      <c r="K100" s="9">
        <v>5.6467499999999999</v>
      </c>
      <c r="L100" s="9">
        <v>0.27520319668044008</v>
      </c>
      <c r="M100" s="11">
        <v>56.339390345892646</v>
      </c>
      <c r="N100" s="10">
        <v>467.84039843715919</v>
      </c>
      <c r="P100" t="s">
        <v>1967</v>
      </c>
      <c r="Q100" t="s">
        <v>10577</v>
      </c>
      <c r="R100" t="s">
        <v>10578</v>
      </c>
      <c r="S100" t="s">
        <v>11</v>
      </c>
      <c r="T100" t="s">
        <v>13</v>
      </c>
      <c r="U100" t="s">
        <v>75</v>
      </c>
      <c r="V100" t="s">
        <v>12</v>
      </c>
      <c r="X100" t="s">
        <v>10577</v>
      </c>
      <c r="Y100" t="s">
        <v>76</v>
      </c>
      <c r="Z100" s="9">
        <v>1</v>
      </c>
    </row>
    <row r="101" spans="1:26">
      <c r="A101" t="s">
        <v>1967</v>
      </c>
      <c r="B101" t="s">
        <v>9021</v>
      </c>
      <c r="C101" t="s">
        <v>9022</v>
      </c>
      <c r="D101" t="s">
        <v>11</v>
      </c>
      <c r="E101" t="s">
        <v>13</v>
      </c>
      <c r="F101" t="s">
        <v>1970</v>
      </c>
      <c r="G101" t="s">
        <v>12</v>
      </c>
      <c r="I101" t="s">
        <v>9021</v>
      </c>
      <c r="J101" t="s">
        <v>9930</v>
      </c>
      <c r="K101" s="11">
        <v>16.773</v>
      </c>
      <c r="L101" s="9">
        <v>0.53436952457638287</v>
      </c>
      <c r="M101" s="11">
        <v>45.323473988497881</v>
      </c>
      <c r="N101" s="10">
        <v>425.89178894819992</v>
      </c>
      <c r="P101" t="s">
        <v>1967</v>
      </c>
      <c r="Q101" t="s">
        <v>10579</v>
      </c>
      <c r="R101" t="s">
        <v>10580</v>
      </c>
      <c r="S101" t="s">
        <v>11</v>
      </c>
      <c r="T101" t="s">
        <v>13</v>
      </c>
      <c r="U101" t="s">
        <v>75</v>
      </c>
      <c r="V101" t="s">
        <v>12</v>
      </c>
      <c r="X101" t="s">
        <v>10579</v>
      </c>
      <c r="Y101" t="s">
        <v>76</v>
      </c>
      <c r="Z101" s="9">
        <v>1</v>
      </c>
    </row>
    <row r="102" spans="1:26">
      <c r="A102" t="s">
        <v>1967</v>
      </c>
      <c r="B102" t="s">
        <v>9023</v>
      </c>
      <c r="C102" t="s">
        <v>9024</v>
      </c>
      <c r="D102" t="s">
        <v>11</v>
      </c>
      <c r="E102" t="s">
        <v>13</v>
      </c>
      <c r="F102" t="s">
        <v>1970</v>
      </c>
      <c r="G102" t="s">
        <v>12</v>
      </c>
      <c r="I102" t="s">
        <v>9023</v>
      </c>
      <c r="J102" t="s">
        <v>9931</v>
      </c>
      <c r="K102" s="11">
        <v>28.67925</v>
      </c>
      <c r="L102" s="9">
        <v>0.32072903271427899</v>
      </c>
      <c r="M102" s="11">
        <v>75.636331115629673</v>
      </c>
      <c r="N102" s="10">
        <v>541.32314888831775</v>
      </c>
      <c r="P102" t="s">
        <v>1967</v>
      </c>
      <c r="Q102" t="s">
        <v>10581</v>
      </c>
      <c r="R102" t="s">
        <v>10582</v>
      </c>
      <c r="S102" t="s">
        <v>11</v>
      </c>
      <c r="T102" t="s">
        <v>13</v>
      </c>
      <c r="U102" t="s">
        <v>75</v>
      </c>
      <c r="V102" t="s">
        <v>12</v>
      </c>
      <c r="X102" t="s">
        <v>10581</v>
      </c>
      <c r="Y102" t="s">
        <v>76</v>
      </c>
      <c r="Z102" s="9">
        <v>1</v>
      </c>
    </row>
    <row r="103" spans="1:26">
      <c r="A103" t="s">
        <v>1967</v>
      </c>
      <c r="B103" t="s">
        <v>9025</v>
      </c>
      <c r="C103" t="s">
        <v>9026</v>
      </c>
      <c r="D103" t="s">
        <v>11</v>
      </c>
      <c r="E103" t="s">
        <v>13</v>
      </c>
      <c r="F103" t="s">
        <v>1970</v>
      </c>
      <c r="G103" t="s">
        <v>12</v>
      </c>
      <c r="I103" t="s">
        <v>9025</v>
      </c>
      <c r="J103" t="s">
        <v>9932</v>
      </c>
      <c r="K103" s="11">
        <v>38.109000000000002</v>
      </c>
      <c r="L103" s="9">
        <v>0.67375974145379935</v>
      </c>
      <c r="M103" s="10">
        <v>105.19121725782119</v>
      </c>
      <c r="N103" s="10">
        <v>653.86815531778313</v>
      </c>
      <c r="P103" t="s">
        <v>1967</v>
      </c>
      <c r="Q103" t="s">
        <v>10583</v>
      </c>
      <c r="R103" t="s">
        <v>10584</v>
      </c>
      <c r="S103" t="s">
        <v>11</v>
      </c>
      <c r="T103" t="s">
        <v>13</v>
      </c>
      <c r="U103" t="s">
        <v>75</v>
      </c>
      <c r="V103" t="s">
        <v>12</v>
      </c>
      <c r="X103" t="s">
        <v>10583</v>
      </c>
      <c r="Y103" t="s">
        <v>76</v>
      </c>
      <c r="Z103" s="9">
        <v>1</v>
      </c>
    </row>
    <row r="104" spans="1:26">
      <c r="A104" t="s">
        <v>1967</v>
      </c>
      <c r="B104" t="s">
        <v>9027</v>
      </c>
      <c r="C104" t="s">
        <v>9028</v>
      </c>
      <c r="D104" t="s">
        <v>11</v>
      </c>
      <c r="E104" t="s">
        <v>13</v>
      </c>
      <c r="F104" t="s">
        <v>1970</v>
      </c>
      <c r="G104" t="s">
        <v>12</v>
      </c>
      <c r="I104" t="s">
        <v>9027</v>
      </c>
      <c r="J104" t="s">
        <v>9933</v>
      </c>
      <c r="K104" s="11">
        <v>14.694000000000001</v>
      </c>
      <c r="L104" s="9">
        <v>0.4547066692503543</v>
      </c>
      <c r="M104" s="10">
        <v>102.72587759211775</v>
      </c>
      <c r="N104" s="10">
        <v>644.48014187078434</v>
      </c>
      <c r="P104" t="s">
        <v>1967</v>
      </c>
      <c r="Q104" t="s">
        <v>10585</v>
      </c>
      <c r="R104" t="s">
        <v>10586</v>
      </c>
      <c r="S104" t="s">
        <v>11</v>
      </c>
      <c r="T104" t="s">
        <v>13</v>
      </c>
      <c r="U104" t="s">
        <v>75</v>
      </c>
      <c r="V104" t="s">
        <v>12</v>
      </c>
      <c r="X104" t="s">
        <v>10585</v>
      </c>
      <c r="Y104" t="s">
        <v>76</v>
      </c>
      <c r="Z104" s="9">
        <v>1</v>
      </c>
    </row>
    <row r="105" spans="1:26">
      <c r="A105" t="s">
        <v>1967</v>
      </c>
      <c r="B105" t="s">
        <v>9029</v>
      </c>
      <c r="C105" t="s">
        <v>9030</v>
      </c>
      <c r="D105" t="s">
        <v>11</v>
      </c>
      <c r="E105" t="s">
        <v>13</v>
      </c>
      <c r="F105" t="s">
        <v>1970</v>
      </c>
      <c r="G105" t="s">
        <v>12</v>
      </c>
      <c r="I105" t="s">
        <v>9029</v>
      </c>
      <c r="J105" t="s">
        <v>9934</v>
      </c>
      <c r="K105" s="9">
        <v>5.5987499999999999</v>
      </c>
      <c r="L105" s="9">
        <v>0.22795612709168439</v>
      </c>
      <c r="M105" s="11">
        <v>56.503614443168182</v>
      </c>
      <c r="N105" s="10">
        <v>468.46576379958441</v>
      </c>
      <c r="P105" t="s">
        <v>1967</v>
      </c>
      <c r="Q105" t="s">
        <v>10587</v>
      </c>
      <c r="R105" t="s">
        <v>10588</v>
      </c>
      <c r="S105" t="s">
        <v>11</v>
      </c>
      <c r="T105" t="s">
        <v>13</v>
      </c>
      <c r="U105" t="s">
        <v>75</v>
      </c>
      <c r="V105" t="s">
        <v>12</v>
      </c>
      <c r="X105" t="s">
        <v>10587</v>
      </c>
      <c r="Y105" t="s">
        <v>76</v>
      </c>
      <c r="Z105" s="9">
        <v>1</v>
      </c>
    </row>
    <row r="106" spans="1:26">
      <c r="A106" t="s">
        <v>1967</v>
      </c>
      <c r="B106" t="s">
        <v>9031</v>
      </c>
      <c r="C106" t="s">
        <v>9032</v>
      </c>
      <c r="D106" t="s">
        <v>11</v>
      </c>
      <c r="E106" t="s">
        <v>13</v>
      </c>
      <c r="F106" t="s">
        <v>1970</v>
      </c>
      <c r="G106" t="s">
        <v>12</v>
      </c>
      <c r="I106" t="s">
        <v>9031</v>
      </c>
      <c r="J106" t="s">
        <v>9935</v>
      </c>
      <c r="K106" s="9">
        <v>9.7575000000000003</v>
      </c>
      <c r="L106" s="9">
        <v>0.29347291329614611</v>
      </c>
      <c r="M106" s="10">
        <v>216.28145757851439</v>
      </c>
      <c r="N106" s="10">
        <v>902.70174548989405</v>
      </c>
      <c r="P106" t="s">
        <v>1967</v>
      </c>
      <c r="Q106" t="s">
        <v>10589</v>
      </c>
      <c r="R106" t="s">
        <v>10590</v>
      </c>
      <c r="S106" t="s">
        <v>11</v>
      </c>
      <c r="T106" t="s">
        <v>13</v>
      </c>
      <c r="U106" t="s">
        <v>75</v>
      </c>
      <c r="V106" t="s">
        <v>12</v>
      </c>
      <c r="X106" t="s">
        <v>10589</v>
      </c>
      <c r="Y106" t="s">
        <v>76</v>
      </c>
      <c r="Z106" s="9">
        <v>1</v>
      </c>
    </row>
    <row r="107" spans="1:26">
      <c r="A107" t="s">
        <v>1967</v>
      </c>
      <c r="B107" t="s">
        <v>9033</v>
      </c>
      <c r="C107" t="s">
        <v>9034</v>
      </c>
      <c r="D107" t="s">
        <v>11</v>
      </c>
      <c r="E107" t="s">
        <v>13</v>
      </c>
      <c r="F107" t="s">
        <v>1970</v>
      </c>
      <c r="G107" t="s">
        <v>12</v>
      </c>
      <c r="I107" t="s">
        <v>9033</v>
      </c>
      <c r="J107" t="s">
        <v>9936</v>
      </c>
      <c r="K107" s="9">
        <v>4.3620000000000001</v>
      </c>
      <c r="L107" s="9">
        <v>0.2534581750300744</v>
      </c>
      <c r="M107" s="10">
        <v>125.75298954388089</v>
      </c>
      <c r="N107" s="10">
        <v>732.16738418309842</v>
      </c>
      <c r="P107" t="s">
        <v>1967</v>
      </c>
      <c r="Q107" t="s">
        <v>10591</v>
      </c>
      <c r="R107" t="s">
        <v>10592</v>
      </c>
      <c r="S107" t="s">
        <v>11</v>
      </c>
      <c r="T107" t="s">
        <v>13</v>
      </c>
      <c r="U107" t="s">
        <v>75</v>
      </c>
      <c r="V107" t="s">
        <v>12</v>
      </c>
      <c r="X107" t="s">
        <v>10591</v>
      </c>
      <c r="Y107" t="s">
        <v>76</v>
      </c>
      <c r="Z107" s="9">
        <v>1</v>
      </c>
    </row>
    <row r="108" spans="1:26">
      <c r="A108" t="s">
        <v>1967</v>
      </c>
      <c r="B108" t="s">
        <v>9035</v>
      </c>
      <c r="C108" t="s">
        <v>9036</v>
      </c>
      <c r="D108" t="s">
        <v>11</v>
      </c>
      <c r="E108" t="s">
        <v>13</v>
      </c>
      <c r="F108" t="s">
        <v>1970</v>
      </c>
      <c r="G108" t="s">
        <v>12</v>
      </c>
      <c r="I108" t="s">
        <v>9035</v>
      </c>
      <c r="J108" t="s">
        <v>9937</v>
      </c>
      <c r="K108" s="11">
        <v>28.911750000000001</v>
      </c>
      <c r="L108" s="9">
        <v>0.3089077607039134</v>
      </c>
      <c r="M108" s="11">
        <v>99.22011877291736</v>
      </c>
      <c r="N108" s="10">
        <v>631.13021228726939</v>
      </c>
      <c r="P108" t="s">
        <v>1967</v>
      </c>
      <c r="Q108" t="s">
        <v>10593</v>
      </c>
      <c r="R108" t="s">
        <v>10594</v>
      </c>
      <c r="S108" t="s">
        <v>11</v>
      </c>
      <c r="T108" t="s">
        <v>13</v>
      </c>
      <c r="U108" t="s">
        <v>75</v>
      </c>
      <c r="V108" t="s">
        <v>12</v>
      </c>
      <c r="X108" t="s">
        <v>10593</v>
      </c>
      <c r="Y108" t="s">
        <v>76</v>
      </c>
      <c r="Z108" s="9">
        <v>1</v>
      </c>
    </row>
    <row r="109" spans="1:26">
      <c r="A109" t="s">
        <v>1967</v>
      </c>
      <c r="B109" t="s">
        <v>9037</v>
      </c>
      <c r="C109" t="s">
        <v>9038</v>
      </c>
      <c r="D109" t="s">
        <v>11</v>
      </c>
      <c r="E109" t="s">
        <v>13</v>
      </c>
      <c r="F109" t="s">
        <v>1970</v>
      </c>
      <c r="G109" t="s">
        <v>12</v>
      </c>
      <c r="I109" t="s">
        <v>9037</v>
      </c>
      <c r="J109" t="s">
        <v>9938</v>
      </c>
      <c r="K109" s="9">
        <v>9.5549999999999997</v>
      </c>
      <c r="L109" s="9">
        <v>0.25502184917329812</v>
      </c>
      <c r="M109" s="10">
        <v>110.89458385527</v>
      </c>
      <c r="N109" s="10">
        <v>675.58657532086818</v>
      </c>
      <c r="P109" t="s">
        <v>1967</v>
      </c>
      <c r="Q109" t="s">
        <v>10595</v>
      </c>
      <c r="R109" t="s">
        <v>10596</v>
      </c>
      <c r="S109" t="s">
        <v>11</v>
      </c>
      <c r="T109" t="s">
        <v>13</v>
      </c>
      <c r="U109" t="s">
        <v>75</v>
      </c>
      <c r="V109" t="s">
        <v>12</v>
      </c>
      <c r="X109" t="s">
        <v>10595</v>
      </c>
      <c r="Y109" t="s">
        <v>76</v>
      </c>
      <c r="Z109" s="9">
        <v>1</v>
      </c>
    </row>
    <row r="110" spans="1:26">
      <c r="A110" t="s">
        <v>1967</v>
      </c>
      <c r="B110" t="s">
        <v>9039</v>
      </c>
      <c r="C110" t="s">
        <v>9040</v>
      </c>
      <c r="D110" t="s">
        <v>11</v>
      </c>
      <c r="E110" t="s">
        <v>13</v>
      </c>
      <c r="F110" t="s">
        <v>1970</v>
      </c>
      <c r="G110" t="s">
        <v>12</v>
      </c>
      <c r="I110" t="s">
        <v>9039</v>
      </c>
      <c r="J110" t="s">
        <v>9939</v>
      </c>
      <c r="K110" s="11">
        <v>42.248249999999999</v>
      </c>
      <c r="L110" s="9">
        <v>0.32196720213763591</v>
      </c>
      <c r="M110" s="11">
        <v>73.866423066398255</v>
      </c>
      <c r="N110" s="10">
        <v>534.58333903684456</v>
      </c>
      <c r="P110" t="s">
        <v>1967</v>
      </c>
      <c r="Q110" t="s">
        <v>10597</v>
      </c>
      <c r="R110" t="s">
        <v>10598</v>
      </c>
      <c r="S110" t="s">
        <v>11</v>
      </c>
      <c r="T110" t="s">
        <v>13</v>
      </c>
      <c r="U110" t="s">
        <v>75</v>
      </c>
      <c r="V110" t="s">
        <v>12</v>
      </c>
      <c r="X110" t="s">
        <v>10597</v>
      </c>
      <c r="Y110" t="s">
        <v>76</v>
      </c>
      <c r="Z110" s="9">
        <v>1</v>
      </c>
    </row>
    <row r="111" spans="1:26">
      <c r="A111" t="s">
        <v>1967</v>
      </c>
      <c r="B111" t="s">
        <v>9041</v>
      </c>
      <c r="C111" t="s">
        <v>9042</v>
      </c>
      <c r="D111" t="s">
        <v>11</v>
      </c>
      <c r="E111" t="s">
        <v>13</v>
      </c>
      <c r="F111" t="s">
        <v>1970</v>
      </c>
      <c r="G111" t="s">
        <v>12</v>
      </c>
      <c r="I111" t="s">
        <v>9041</v>
      </c>
      <c r="J111" t="s">
        <v>9940</v>
      </c>
      <c r="K111" s="9">
        <v>9.7072500000000002</v>
      </c>
      <c r="L111" s="9">
        <v>0.32159143999277151</v>
      </c>
      <c r="M111" s="11">
        <v>52.983524485602011</v>
      </c>
      <c r="N111" s="10">
        <v>455.06126124117247</v>
      </c>
      <c r="P111" t="s">
        <v>1967</v>
      </c>
      <c r="Q111" t="s">
        <v>10599</v>
      </c>
      <c r="R111" t="s">
        <v>10600</v>
      </c>
      <c r="S111" t="s">
        <v>11</v>
      </c>
      <c r="T111" t="s">
        <v>13</v>
      </c>
      <c r="U111" t="s">
        <v>75</v>
      </c>
      <c r="V111" t="s">
        <v>12</v>
      </c>
      <c r="X111" t="s">
        <v>10599</v>
      </c>
      <c r="Y111" t="s">
        <v>76</v>
      </c>
      <c r="Z111" s="9">
        <v>1</v>
      </c>
    </row>
    <row r="112" spans="1:26">
      <c r="A112" t="s">
        <v>1967</v>
      </c>
      <c r="B112" t="s">
        <v>9043</v>
      </c>
      <c r="C112" t="s">
        <v>9044</v>
      </c>
      <c r="D112" t="s">
        <v>11</v>
      </c>
      <c r="E112" t="s">
        <v>13</v>
      </c>
      <c r="F112" t="s">
        <v>1970</v>
      </c>
      <c r="G112" t="s">
        <v>12</v>
      </c>
      <c r="I112" t="s">
        <v>9043</v>
      </c>
      <c r="J112" t="s">
        <v>9941</v>
      </c>
      <c r="K112" s="11">
        <v>34.039499999999997</v>
      </c>
      <c r="L112" s="9">
        <v>0.2364726678709054</v>
      </c>
      <c r="M112" s="10">
        <v>100.43303425355528</v>
      </c>
      <c r="N112" s="10">
        <v>747.93999345592761</v>
      </c>
      <c r="P112" t="s">
        <v>1967</v>
      </c>
      <c r="Q112" t="s">
        <v>10601</v>
      </c>
      <c r="R112" t="s">
        <v>10602</v>
      </c>
      <c r="S112" t="s">
        <v>11</v>
      </c>
      <c r="T112" t="s">
        <v>13</v>
      </c>
      <c r="U112" t="s">
        <v>75</v>
      </c>
      <c r="V112" t="s">
        <v>12</v>
      </c>
      <c r="X112" t="s">
        <v>10601</v>
      </c>
      <c r="Y112" t="s">
        <v>76</v>
      </c>
      <c r="Z112" s="9">
        <v>1</v>
      </c>
    </row>
    <row r="113" spans="1:26">
      <c r="A113" t="s">
        <v>1967</v>
      </c>
      <c r="B113" t="s">
        <v>9045</v>
      </c>
      <c r="C113" t="s">
        <v>9046</v>
      </c>
      <c r="D113" t="s">
        <v>11</v>
      </c>
      <c r="E113" t="s">
        <v>13</v>
      </c>
      <c r="F113" t="s">
        <v>1970</v>
      </c>
      <c r="G113" t="s">
        <v>12</v>
      </c>
      <c r="I113" t="s">
        <v>9045</v>
      </c>
      <c r="J113" t="s">
        <v>9942</v>
      </c>
      <c r="K113" s="9">
        <v>7.6994999999999996</v>
      </c>
      <c r="L113" s="9">
        <v>0.2347157323357644</v>
      </c>
      <c r="M113" s="11">
        <v>71.462349579050453</v>
      </c>
      <c r="N113" s="10">
        <v>618.15132611414606</v>
      </c>
      <c r="P113" t="s">
        <v>1967</v>
      </c>
      <c r="Q113" t="s">
        <v>10603</v>
      </c>
      <c r="R113" t="s">
        <v>10604</v>
      </c>
      <c r="S113" t="s">
        <v>11</v>
      </c>
      <c r="T113" t="s">
        <v>13</v>
      </c>
      <c r="U113" t="s">
        <v>75</v>
      </c>
      <c r="V113" t="s">
        <v>12</v>
      </c>
      <c r="X113" t="s">
        <v>10603</v>
      </c>
      <c r="Y113" t="s">
        <v>76</v>
      </c>
      <c r="Z113" s="9">
        <v>1</v>
      </c>
    </row>
    <row r="114" spans="1:26">
      <c r="A114" t="s">
        <v>1967</v>
      </c>
      <c r="B114" t="s">
        <v>9047</v>
      </c>
      <c r="C114" t="s">
        <v>9048</v>
      </c>
      <c r="D114" t="s">
        <v>11</v>
      </c>
      <c r="E114" t="s">
        <v>13</v>
      </c>
      <c r="F114" t="s">
        <v>1970</v>
      </c>
      <c r="G114" t="s">
        <v>12</v>
      </c>
      <c r="I114" t="s">
        <v>9047</v>
      </c>
      <c r="J114" t="s">
        <v>9943</v>
      </c>
      <c r="K114" s="9">
        <v>4.4917499999999997</v>
      </c>
      <c r="L114" s="9">
        <v>0.2326332784219888</v>
      </c>
      <c r="M114" s="11">
        <v>61.251109022349233</v>
      </c>
      <c r="N114" s="10">
        <v>572.40496842012453</v>
      </c>
      <c r="P114" t="s">
        <v>1967</v>
      </c>
      <c r="Q114" t="s">
        <v>10605</v>
      </c>
      <c r="R114" t="s">
        <v>10606</v>
      </c>
      <c r="S114" t="s">
        <v>11</v>
      </c>
      <c r="T114" t="s">
        <v>13</v>
      </c>
      <c r="U114" t="s">
        <v>75</v>
      </c>
      <c r="V114" t="s">
        <v>12</v>
      </c>
      <c r="X114" t="s">
        <v>10605</v>
      </c>
      <c r="Y114" t="s">
        <v>76</v>
      </c>
      <c r="Z114" s="9">
        <v>1</v>
      </c>
    </row>
    <row r="115" spans="1:26">
      <c r="A115" t="s">
        <v>1967</v>
      </c>
      <c r="B115" t="s">
        <v>9049</v>
      </c>
      <c r="C115" t="s">
        <v>9050</v>
      </c>
      <c r="D115" t="s">
        <v>11</v>
      </c>
      <c r="E115" t="s">
        <v>13</v>
      </c>
      <c r="F115" t="s">
        <v>1970</v>
      </c>
      <c r="G115" t="s">
        <v>12</v>
      </c>
      <c r="I115" t="s">
        <v>9049</v>
      </c>
      <c r="J115" t="s">
        <v>9944</v>
      </c>
      <c r="K115" s="10">
        <v>214.952</v>
      </c>
      <c r="L115" s="9">
        <v>0.55167446688949284</v>
      </c>
      <c r="M115" s="10">
        <v>151.81701185479778</v>
      </c>
      <c r="N115" s="10">
        <v>978.14021310949408</v>
      </c>
      <c r="P115" t="s">
        <v>1967</v>
      </c>
      <c r="Q115" t="s">
        <v>10607</v>
      </c>
      <c r="R115" t="s">
        <v>10608</v>
      </c>
      <c r="S115" t="s">
        <v>11</v>
      </c>
      <c r="T115" t="s">
        <v>13</v>
      </c>
      <c r="U115" t="s">
        <v>75</v>
      </c>
      <c r="V115" t="s">
        <v>12</v>
      </c>
      <c r="X115" t="s">
        <v>10607</v>
      </c>
      <c r="Y115" t="s">
        <v>76</v>
      </c>
      <c r="Z115" s="9">
        <v>1</v>
      </c>
    </row>
    <row r="116" spans="1:26">
      <c r="A116" t="s">
        <v>1967</v>
      </c>
      <c r="B116" t="s">
        <v>9051</v>
      </c>
      <c r="C116" t="s">
        <v>9052</v>
      </c>
      <c r="D116" t="s">
        <v>11</v>
      </c>
      <c r="E116" t="s">
        <v>13</v>
      </c>
      <c r="F116" t="s">
        <v>1970</v>
      </c>
      <c r="G116" t="s">
        <v>12</v>
      </c>
      <c r="I116" t="s">
        <v>9051</v>
      </c>
      <c r="J116" t="s">
        <v>9945</v>
      </c>
      <c r="K116" s="11">
        <v>48.862000000000002</v>
      </c>
      <c r="L116" s="9">
        <v>0.47466648251031979</v>
      </c>
      <c r="M116" s="11">
        <v>84.215566880386916</v>
      </c>
      <c r="N116" s="10">
        <v>675.28573962413338</v>
      </c>
      <c r="P116" t="s">
        <v>1967</v>
      </c>
      <c r="Q116" t="s">
        <v>10609</v>
      </c>
      <c r="R116" t="s">
        <v>10610</v>
      </c>
      <c r="S116" t="s">
        <v>11</v>
      </c>
      <c r="T116" t="s">
        <v>13</v>
      </c>
      <c r="U116" t="s">
        <v>75</v>
      </c>
      <c r="V116" t="s">
        <v>12</v>
      </c>
      <c r="X116" t="s">
        <v>10609</v>
      </c>
      <c r="Y116" t="s">
        <v>76</v>
      </c>
      <c r="Z116" s="9">
        <v>1</v>
      </c>
    </row>
    <row r="117" spans="1:26">
      <c r="A117" t="s">
        <v>1967</v>
      </c>
      <c r="B117" t="s">
        <v>9053</v>
      </c>
      <c r="C117" t="s">
        <v>9054</v>
      </c>
      <c r="D117" t="s">
        <v>11</v>
      </c>
      <c r="E117" t="s">
        <v>13</v>
      </c>
      <c r="F117" t="s">
        <v>1970</v>
      </c>
      <c r="G117" t="s">
        <v>12</v>
      </c>
      <c r="I117" t="s">
        <v>9053</v>
      </c>
      <c r="J117" t="s">
        <v>9946</v>
      </c>
      <c r="K117" s="9">
        <v>0.92625000000000002</v>
      </c>
      <c r="L117" s="9">
        <v>0.28470851865910418</v>
      </c>
      <c r="M117" s="11">
        <v>22.746171271872345</v>
      </c>
      <c r="N117" s="10">
        <v>399.9028472979881</v>
      </c>
      <c r="P117" t="s">
        <v>1967</v>
      </c>
      <c r="Q117" t="s">
        <v>10611</v>
      </c>
      <c r="R117" t="s">
        <v>10612</v>
      </c>
      <c r="S117" t="s">
        <v>11</v>
      </c>
      <c r="T117" t="s">
        <v>13</v>
      </c>
      <c r="U117" t="s">
        <v>75</v>
      </c>
      <c r="V117" t="s">
        <v>12</v>
      </c>
      <c r="X117" t="s">
        <v>10611</v>
      </c>
      <c r="Y117" t="s">
        <v>76</v>
      </c>
      <c r="Z117" s="9">
        <v>1</v>
      </c>
    </row>
    <row r="118" spans="1:26">
      <c r="A118" t="s">
        <v>1967</v>
      </c>
      <c r="B118" t="s">
        <v>9055</v>
      </c>
      <c r="C118" t="s">
        <v>9056</v>
      </c>
      <c r="D118" t="s">
        <v>11</v>
      </c>
      <c r="E118" t="s">
        <v>13</v>
      </c>
      <c r="F118" t="s">
        <v>1970</v>
      </c>
      <c r="G118" t="s">
        <v>12</v>
      </c>
      <c r="I118" t="s">
        <v>9055</v>
      </c>
      <c r="J118" t="s">
        <v>9947</v>
      </c>
      <c r="K118" s="11">
        <v>22.372499999999999</v>
      </c>
      <c r="L118" s="9">
        <v>0.38730466587608797</v>
      </c>
      <c r="M118" s="11">
        <v>40.592370692266648</v>
      </c>
      <c r="N118" s="10">
        <v>479.85382070135461</v>
      </c>
      <c r="P118" t="s">
        <v>1967</v>
      </c>
      <c r="Q118" t="s">
        <v>10613</v>
      </c>
      <c r="R118" t="s">
        <v>10614</v>
      </c>
      <c r="S118" t="s">
        <v>11</v>
      </c>
      <c r="T118" t="s">
        <v>13</v>
      </c>
      <c r="U118" t="s">
        <v>75</v>
      </c>
      <c r="V118" t="s">
        <v>12</v>
      </c>
      <c r="X118" t="s">
        <v>10613</v>
      </c>
      <c r="Y118" t="s">
        <v>76</v>
      </c>
      <c r="Z118" s="9">
        <v>1</v>
      </c>
    </row>
    <row r="119" spans="1:26">
      <c r="A119" t="s">
        <v>1967</v>
      </c>
      <c r="B119" t="s">
        <v>9057</v>
      </c>
      <c r="C119" t="s">
        <v>9058</v>
      </c>
      <c r="D119" t="s">
        <v>11</v>
      </c>
      <c r="E119" t="s">
        <v>13</v>
      </c>
      <c r="F119" t="s">
        <v>1970</v>
      </c>
      <c r="G119" t="s">
        <v>12</v>
      </c>
      <c r="I119" t="s">
        <v>9057</v>
      </c>
      <c r="J119" t="s">
        <v>9948</v>
      </c>
      <c r="K119" s="11">
        <v>13.11975</v>
      </c>
      <c r="L119" s="9">
        <v>0.31322500726152219</v>
      </c>
      <c r="M119" s="11">
        <v>89.834821456918846</v>
      </c>
      <c r="N119" s="10">
        <v>595.39100010794698</v>
      </c>
    </row>
    <row r="120" spans="1:26">
      <c r="A120" t="s">
        <v>1967</v>
      </c>
      <c r="B120" t="s">
        <v>9059</v>
      </c>
      <c r="C120" t="s">
        <v>9060</v>
      </c>
      <c r="D120" t="s">
        <v>11</v>
      </c>
      <c r="E120" t="s">
        <v>13</v>
      </c>
      <c r="F120" t="s">
        <v>1970</v>
      </c>
      <c r="G120" t="s">
        <v>12</v>
      </c>
      <c r="I120" t="s">
        <v>9059</v>
      </c>
      <c r="J120" t="s">
        <v>9949</v>
      </c>
      <c r="K120" s="9">
        <v>1.5367500000000001</v>
      </c>
      <c r="L120" s="12">
        <v>8.5698392599360004E-2</v>
      </c>
      <c r="M120" s="11">
        <v>46.491219199016612</v>
      </c>
      <c r="N120" s="10">
        <v>430.3385627098553</v>
      </c>
    </row>
    <row r="121" spans="1:26">
      <c r="A121" t="s">
        <v>1967</v>
      </c>
      <c r="B121" t="s">
        <v>9061</v>
      </c>
      <c r="C121" t="s">
        <v>9062</v>
      </c>
      <c r="D121" t="s">
        <v>11</v>
      </c>
      <c r="E121" t="s">
        <v>13</v>
      </c>
      <c r="F121" t="s">
        <v>1970</v>
      </c>
      <c r="G121" t="s">
        <v>12</v>
      </c>
      <c r="I121" t="s">
        <v>9061</v>
      </c>
      <c r="J121" t="s">
        <v>9950</v>
      </c>
      <c r="K121" s="13">
        <v>3.0000000000000001E-3</v>
      </c>
      <c r="L121" s="9">
        <v>0.45239442224659931</v>
      </c>
      <c r="M121" s="11">
        <v>38.015158719584221</v>
      </c>
      <c r="N121" s="10">
        <v>468.30791106373732</v>
      </c>
    </row>
    <row r="122" spans="1:26">
      <c r="A122" t="s">
        <v>1967</v>
      </c>
      <c r="B122" t="s">
        <v>9063</v>
      </c>
      <c r="C122" t="s">
        <v>9064</v>
      </c>
      <c r="D122" t="s">
        <v>11</v>
      </c>
      <c r="E122" t="s">
        <v>13</v>
      </c>
      <c r="F122" t="s">
        <v>1970</v>
      </c>
      <c r="G122" t="s">
        <v>12</v>
      </c>
      <c r="I122" t="s">
        <v>9063</v>
      </c>
      <c r="J122" t="s">
        <v>9951</v>
      </c>
      <c r="K122" s="11">
        <v>53.542000000000002</v>
      </c>
      <c r="L122" s="9">
        <v>0.51041678317741901</v>
      </c>
      <c r="M122" s="10">
        <v>338.11580691696594</v>
      </c>
      <c r="N122" s="10">
        <v>1166.7795939485907</v>
      </c>
    </row>
    <row r="123" spans="1:26">
      <c r="A123" t="s">
        <v>1967</v>
      </c>
      <c r="B123" t="s">
        <v>9065</v>
      </c>
      <c r="C123" t="s">
        <v>9066</v>
      </c>
      <c r="D123" t="s">
        <v>11</v>
      </c>
      <c r="E123" t="s">
        <v>13</v>
      </c>
      <c r="F123" t="s">
        <v>1970</v>
      </c>
      <c r="G123" t="s">
        <v>12</v>
      </c>
      <c r="I123" t="s">
        <v>9065</v>
      </c>
      <c r="J123" t="s">
        <v>9952</v>
      </c>
      <c r="K123" s="11">
        <v>43.091650000000001</v>
      </c>
      <c r="L123" s="9">
        <v>0.51305101441291634</v>
      </c>
      <c r="M123" s="10">
        <v>140.98390931063861</v>
      </c>
      <c r="N123" s="10">
        <v>929.60791371166101</v>
      </c>
    </row>
    <row r="124" spans="1:26">
      <c r="A124" t="s">
        <v>1967</v>
      </c>
      <c r="B124" t="s">
        <v>9067</v>
      </c>
      <c r="C124" t="s">
        <v>9068</v>
      </c>
      <c r="D124" t="s">
        <v>11</v>
      </c>
      <c r="E124" t="s">
        <v>13</v>
      </c>
      <c r="F124" t="s">
        <v>1970</v>
      </c>
      <c r="G124" t="s">
        <v>12</v>
      </c>
      <c r="I124" t="s">
        <v>9067</v>
      </c>
      <c r="J124" t="s">
        <v>9953</v>
      </c>
      <c r="K124" s="11">
        <v>54.944249999999997</v>
      </c>
      <c r="L124" s="9">
        <v>0.60666848820504105</v>
      </c>
      <c r="M124" s="10">
        <v>251.5947904571795</v>
      </c>
      <c r="N124" s="10">
        <v>1092.3715197931745</v>
      </c>
    </row>
    <row r="125" spans="1:26">
      <c r="A125" t="s">
        <v>1967</v>
      </c>
      <c r="B125" t="s">
        <v>9069</v>
      </c>
      <c r="C125" t="s">
        <v>9070</v>
      </c>
      <c r="D125" t="s">
        <v>11</v>
      </c>
      <c r="E125" t="s">
        <v>13</v>
      </c>
      <c r="F125" t="s">
        <v>1970</v>
      </c>
      <c r="G125" t="s">
        <v>12</v>
      </c>
      <c r="I125" t="s">
        <v>9069</v>
      </c>
      <c r="J125" t="s">
        <v>9954</v>
      </c>
      <c r="K125" s="11">
        <v>20.44725</v>
      </c>
      <c r="L125" s="9">
        <v>0.2843890638539957</v>
      </c>
      <c r="M125" s="11">
        <v>43.50854544337124</v>
      </c>
      <c r="N125" s="10">
        <v>418.98054104835768</v>
      </c>
    </row>
    <row r="126" spans="1:26">
      <c r="A126" t="s">
        <v>1967</v>
      </c>
      <c r="B126" t="s">
        <v>9071</v>
      </c>
      <c r="C126" t="s">
        <v>9072</v>
      </c>
      <c r="D126" t="s">
        <v>11</v>
      </c>
      <c r="E126" t="s">
        <v>13</v>
      </c>
      <c r="F126" t="s">
        <v>1970</v>
      </c>
      <c r="G126" t="s">
        <v>12</v>
      </c>
      <c r="I126" t="s">
        <v>9071</v>
      </c>
      <c r="J126" t="s">
        <v>9955</v>
      </c>
      <c r="K126" s="9">
        <v>3.786</v>
      </c>
      <c r="L126" s="9">
        <v>0.35762439555537601</v>
      </c>
      <c r="M126" s="10">
        <v>108.74963782274833</v>
      </c>
      <c r="N126" s="10">
        <v>667.41862082902571</v>
      </c>
    </row>
    <row r="127" spans="1:26">
      <c r="A127" t="s">
        <v>1967</v>
      </c>
      <c r="B127" t="s">
        <v>9073</v>
      </c>
      <c r="C127" t="s">
        <v>9074</v>
      </c>
      <c r="D127" t="s">
        <v>11</v>
      </c>
      <c r="E127" t="s">
        <v>13</v>
      </c>
      <c r="F127" t="s">
        <v>1970</v>
      </c>
      <c r="G127" t="s">
        <v>12</v>
      </c>
      <c r="I127" t="s">
        <v>9073</v>
      </c>
      <c r="J127" t="s">
        <v>9956</v>
      </c>
      <c r="K127" s="9">
        <v>3.3344999999999998</v>
      </c>
      <c r="L127" s="9">
        <v>0.47116898588931228</v>
      </c>
      <c r="M127" s="11">
        <v>94.163840174958395</v>
      </c>
      <c r="N127" s="10">
        <v>611.87590338624159</v>
      </c>
    </row>
    <row r="128" spans="1:26">
      <c r="A128" t="s">
        <v>1967</v>
      </c>
      <c r="B128" t="s">
        <v>9075</v>
      </c>
      <c r="C128" t="s">
        <v>9076</v>
      </c>
      <c r="D128" t="s">
        <v>11</v>
      </c>
      <c r="E128" t="s">
        <v>13</v>
      </c>
      <c r="F128" t="s">
        <v>1970</v>
      </c>
      <c r="G128" t="s">
        <v>12</v>
      </c>
      <c r="I128" t="s">
        <v>9075</v>
      </c>
      <c r="J128" t="s">
        <v>9957</v>
      </c>
      <c r="K128" s="11">
        <v>17.510999999999999</v>
      </c>
      <c r="L128" s="9">
        <v>0.45714541847645418</v>
      </c>
      <c r="M128" s="10">
        <v>130.47755354670338</v>
      </c>
      <c r="N128" s="10">
        <v>750.15852390584644</v>
      </c>
    </row>
    <row r="129" spans="1:14">
      <c r="A129" t="s">
        <v>1967</v>
      </c>
      <c r="B129" t="s">
        <v>9077</v>
      </c>
      <c r="C129" t="s">
        <v>9078</v>
      </c>
      <c r="D129" t="s">
        <v>11</v>
      </c>
      <c r="E129" t="s">
        <v>13</v>
      </c>
      <c r="F129" t="s">
        <v>1970</v>
      </c>
      <c r="G129" t="s">
        <v>12</v>
      </c>
      <c r="I129" t="s">
        <v>9077</v>
      </c>
      <c r="J129" t="s">
        <v>9958</v>
      </c>
      <c r="K129" s="11">
        <v>15.80775</v>
      </c>
      <c r="L129" s="9">
        <v>0.28892431430847149</v>
      </c>
      <c r="M129" s="11">
        <v>72.989509754543718</v>
      </c>
      <c r="N129" s="10">
        <v>531.24405314530247</v>
      </c>
    </row>
    <row r="130" spans="1:14">
      <c r="A130" t="s">
        <v>1967</v>
      </c>
      <c r="B130" t="s">
        <v>9079</v>
      </c>
      <c r="C130" t="s">
        <v>9080</v>
      </c>
      <c r="D130" t="s">
        <v>11</v>
      </c>
      <c r="E130" t="s">
        <v>13</v>
      </c>
      <c r="F130" t="s">
        <v>1970</v>
      </c>
      <c r="G130" t="s">
        <v>12</v>
      </c>
      <c r="I130" t="s">
        <v>9079</v>
      </c>
      <c r="J130" t="s">
        <v>9959</v>
      </c>
      <c r="K130" s="9">
        <v>6.9705000000000004</v>
      </c>
      <c r="L130" s="9">
        <v>0.26840011874861769</v>
      </c>
      <c r="M130" s="11">
        <v>18.469659537605491</v>
      </c>
      <c r="N130" s="10">
        <v>323.63246351920168</v>
      </c>
    </row>
    <row r="131" spans="1:14">
      <c r="A131" t="s">
        <v>1967</v>
      </c>
      <c r="B131" t="s">
        <v>9081</v>
      </c>
      <c r="C131" t="s">
        <v>9082</v>
      </c>
      <c r="D131" t="s">
        <v>11</v>
      </c>
      <c r="E131" t="s">
        <v>13</v>
      </c>
      <c r="F131" t="s">
        <v>1970</v>
      </c>
      <c r="G131" t="s">
        <v>12</v>
      </c>
      <c r="I131" t="s">
        <v>9081</v>
      </c>
      <c r="J131" t="s">
        <v>9960</v>
      </c>
      <c r="K131" s="11">
        <v>24.521999999999998</v>
      </c>
      <c r="L131" s="9">
        <v>0.3026273664468922</v>
      </c>
      <c r="M131" s="11">
        <v>44.219101738993082</v>
      </c>
      <c r="N131" s="10">
        <v>421.68633942208567</v>
      </c>
    </row>
    <row r="132" spans="1:14">
      <c r="A132" t="s">
        <v>1967</v>
      </c>
      <c r="B132" t="s">
        <v>9083</v>
      </c>
      <c r="C132" t="s">
        <v>9084</v>
      </c>
      <c r="D132" t="s">
        <v>11</v>
      </c>
      <c r="E132" t="s">
        <v>13</v>
      </c>
      <c r="F132" t="s">
        <v>1970</v>
      </c>
      <c r="G132" t="s">
        <v>12</v>
      </c>
      <c r="I132" t="s">
        <v>9083</v>
      </c>
      <c r="J132" t="s">
        <v>9961</v>
      </c>
      <c r="K132" s="9">
        <v>0.65625</v>
      </c>
      <c r="L132" s="9">
        <v>0.22693773571395659</v>
      </c>
      <c r="M132" s="10">
        <v>0</v>
      </c>
      <c r="N132" s="10">
        <v>253.29999999999998</v>
      </c>
    </row>
    <row r="133" spans="1:14">
      <c r="A133" t="s">
        <v>1967</v>
      </c>
      <c r="B133" t="s">
        <v>9085</v>
      </c>
      <c r="C133" t="s">
        <v>9084</v>
      </c>
      <c r="D133" t="s">
        <v>11</v>
      </c>
      <c r="E133" t="s">
        <v>13</v>
      </c>
      <c r="F133" t="s">
        <v>1970</v>
      </c>
      <c r="G133" t="s">
        <v>12</v>
      </c>
      <c r="I133" t="s">
        <v>9085</v>
      </c>
      <c r="J133" t="s">
        <v>9962</v>
      </c>
      <c r="K133" s="9">
        <v>0.75375000000000003</v>
      </c>
      <c r="L133" s="9">
        <v>0.200332951206698</v>
      </c>
      <c r="M133" s="10">
        <v>0</v>
      </c>
      <c r="N133" s="10">
        <v>253.29999999999998</v>
      </c>
    </row>
    <row r="134" spans="1:14">
      <c r="A134" t="s">
        <v>1967</v>
      </c>
      <c r="B134" t="s">
        <v>9086</v>
      </c>
      <c r="C134" t="s">
        <v>9087</v>
      </c>
      <c r="D134" t="s">
        <v>11</v>
      </c>
      <c r="E134" t="s">
        <v>13</v>
      </c>
      <c r="F134" t="s">
        <v>1970</v>
      </c>
      <c r="G134" t="s">
        <v>12</v>
      </c>
      <c r="I134" t="s">
        <v>9086</v>
      </c>
      <c r="J134" t="s">
        <v>9963</v>
      </c>
      <c r="K134" s="11">
        <v>36.347250000000003</v>
      </c>
      <c r="L134" s="9">
        <v>0.40500375693667789</v>
      </c>
      <c r="M134" s="10">
        <v>264.08887948068502</v>
      </c>
      <c r="N134" s="10">
        <v>937.64897090038073</v>
      </c>
    </row>
    <row r="135" spans="1:14">
      <c r="A135" t="s">
        <v>1967</v>
      </c>
      <c r="B135" t="s">
        <v>9088</v>
      </c>
      <c r="C135" t="s">
        <v>9087</v>
      </c>
      <c r="D135" t="s">
        <v>11</v>
      </c>
      <c r="E135" t="s">
        <v>13</v>
      </c>
      <c r="F135" t="s">
        <v>1970</v>
      </c>
      <c r="G135" t="s">
        <v>12</v>
      </c>
      <c r="I135" t="s">
        <v>9088</v>
      </c>
      <c r="J135" t="s">
        <v>9964</v>
      </c>
      <c r="K135" s="10">
        <v>101.23275</v>
      </c>
      <c r="L135" s="9">
        <v>0.34614160008212957</v>
      </c>
      <c r="M135" s="10">
        <v>419.00383082265307</v>
      </c>
      <c r="N135" s="10">
        <v>1050.8918003313595</v>
      </c>
    </row>
    <row r="136" spans="1:14">
      <c r="A136" t="s">
        <v>1967</v>
      </c>
      <c r="B136" t="s">
        <v>9089</v>
      </c>
      <c r="C136" t="s">
        <v>9090</v>
      </c>
      <c r="D136" t="s">
        <v>11</v>
      </c>
      <c r="E136" t="s">
        <v>13</v>
      </c>
      <c r="F136" t="s">
        <v>1970</v>
      </c>
      <c r="G136" t="s">
        <v>12</v>
      </c>
      <c r="I136" t="s">
        <v>9089</v>
      </c>
      <c r="J136" t="s">
        <v>9965</v>
      </c>
      <c r="K136" s="11">
        <v>42.603749999999998</v>
      </c>
      <c r="L136" s="9">
        <v>0.2463119778199292</v>
      </c>
      <c r="M136" s="10">
        <v>103.77399214158692</v>
      </c>
      <c r="N136" s="10">
        <v>648.47136207516303</v>
      </c>
    </row>
    <row r="137" spans="1:14">
      <c r="A137" t="s">
        <v>1967</v>
      </c>
      <c r="B137" t="s">
        <v>9091</v>
      </c>
      <c r="C137" t="s">
        <v>9092</v>
      </c>
      <c r="D137" t="s">
        <v>11</v>
      </c>
      <c r="E137" t="s">
        <v>13</v>
      </c>
      <c r="F137" t="s">
        <v>1970</v>
      </c>
      <c r="G137" t="s">
        <v>12</v>
      </c>
      <c r="I137" t="s">
        <v>9091</v>
      </c>
      <c r="J137" t="s">
        <v>9966</v>
      </c>
      <c r="K137" s="11">
        <v>11.24775</v>
      </c>
      <c r="L137" s="9">
        <v>0.30206610352113128</v>
      </c>
      <c r="M137" s="10">
        <v>435.81967212873531</v>
      </c>
      <c r="N137" s="10">
        <v>1063.1841803261054</v>
      </c>
    </row>
    <row r="138" spans="1:14">
      <c r="A138" t="s">
        <v>1967</v>
      </c>
      <c r="B138" t="s">
        <v>9093</v>
      </c>
      <c r="C138" t="s">
        <v>9092</v>
      </c>
      <c r="D138" t="s">
        <v>11</v>
      </c>
      <c r="E138" t="s">
        <v>13</v>
      </c>
      <c r="F138" t="s">
        <v>1970</v>
      </c>
      <c r="G138" t="s">
        <v>12</v>
      </c>
      <c r="I138" t="s">
        <v>9093</v>
      </c>
      <c r="J138" t="s">
        <v>9967</v>
      </c>
      <c r="K138" s="11">
        <v>30.65175</v>
      </c>
      <c r="L138" s="9">
        <v>0.2765799695319523</v>
      </c>
      <c r="M138" s="10">
        <v>106.3025654098882</v>
      </c>
      <c r="N138" s="10">
        <v>658.10016908085436</v>
      </c>
    </row>
    <row r="139" spans="1:14">
      <c r="A139" t="s">
        <v>1967</v>
      </c>
      <c r="B139" t="s">
        <v>9094</v>
      </c>
      <c r="C139" t="s">
        <v>9095</v>
      </c>
      <c r="D139" t="s">
        <v>11</v>
      </c>
      <c r="E139" t="s">
        <v>13</v>
      </c>
      <c r="F139" t="s">
        <v>1970</v>
      </c>
      <c r="G139" t="s">
        <v>12</v>
      </c>
      <c r="I139" t="s">
        <v>9094</v>
      </c>
      <c r="J139" t="s">
        <v>9968</v>
      </c>
      <c r="K139" s="11">
        <v>22.747499999999999</v>
      </c>
      <c r="L139" s="9">
        <v>0.2051086285227727</v>
      </c>
      <c r="M139" s="10">
        <v>247.90785122703937</v>
      </c>
      <c r="N139" s="10">
        <v>925.8206392469657</v>
      </c>
    </row>
    <row r="140" spans="1:14">
      <c r="A140" t="s">
        <v>1967</v>
      </c>
      <c r="B140" t="s">
        <v>9096</v>
      </c>
      <c r="C140" t="s">
        <v>9097</v>
      </c>
      <c r="D140" t="s">
        <v>11</v>
      </c>
      <c r="E140" t="s">
        <v>13</v>
      </c>
      <c r="F140" t="s">
        <v>1970</v>
      </c>
      <c r="G140" t="s">
        <v>12</v>
      </c>
      <c r="I140" t="s">
        <v>9096</v>
      </c>
      <c r="J140" t="s">
        <v>9969</v>
      </c>
      <c r="K140" s="11">
        <v>37.285499999999999</v>
      </c>
      <c r="L140" s="9">
        <v>0.41919203008715861</v>
      </c>
      <c r="M140" s="10">
        <v>377.59822719398886</v>
      </c>
      <c r="N140" s="10">
        <v>1020.6243040788057</v>
      </c>
    </row>
    <row r="141" spans="1:14">
      <c r="A141" t="s">
        <v>1967</v>
      </c>
      <c r="B141" t="s">
        <v>9098</v>
      </c>
      <c r="C141" t="s">
        <v>9097</v>
      </c>
      <c r="D141" t="s">
        <v>11</v>
      </c>
      <c r="E141" t="s">
        <v>13</v>
      </c>
      <c r="F141" t="s">
        <v>1970</v>
      </c>
      <c r="G141" t="s">
        <v>12</v>
      </c>
      <c r="I141" t="s">
        <v>9098</v>
      </c>
      <c r="J141" t="s">
        <v>9970</v>
      </c>
      <c r="K141" s="11">
        <v>23.484749999999998</v>
      </c>
      <c r="L141" s="9">
        <v>0.2491596106100808</v>
      </c>
      <c r="M141" s="10">
        <v>272.36916974770241</v>
      </c>
      <c r="N141" s="10">
        <v>943.70186308557038</v>
      </c>
    </row>
    <row r="142" spans="1:14">
      <c r="A142" t="s">
        <v>1967</v>
      </c>
      <c r="B142" t="s">
        <v>9099</v>
      </c>
      <c r="C142" t="s">
        <v>9100</v>
      </c>
      <c r="D142" t="s">
        <v>11</v>
      </c>
      <c r="E142" t="s">
        <v>13</v>
      </c>
      <c r="F142" t="s">
        <v>1970</v>
      </c>
      <c r="G142" t="s">
        <v>12</v>
      </c>
      <c r="I142" t="s">
        <v>9099</v>
      </c>
      <c r="J142" t="s">
        <v>9971</v>
      </c>
      <c r="K142" s="10">
        <v>103.41074999999999</v>
      </c>
      <c r="L142" s="9">
        <v>0.28073157486597528</v>
      </c>
      <c r="M142" s="11">
        <v>55.625891004793736</v>
      </c>
      <c r="N142" s="10">
        <v>547.20399170147596</v>
      </c>
    </row>
    <row r="143" spans="1:14">
      <c r="A143" t="s">
        <v>1967</v>
      </c>
      <c r="B143" t="s">
        <v>9101</v>
      </c>
      <c r="C143" t="s">
        <v>9102</v>
      </c>
      <c r="D143" t="s">
        <v>11</v>
      </c>
      <c r="E143" t="s">
        <v>13</v>
      </c>
      <c r="F143" t="s">
        <v>1970</v>
      </c>
      <c r="G143" t="s">
        <v>12</v>
      </c>
      <c r="I143" t="s">
        <v>9101</v>
      </c>
      <c r="J143" t="s">
        <v>9972</v>
      </c>
      <c r="K143" s="11">
        <v>41.738999999999997</v>
      </c>
      <c r="L143" s="9">
        <v>0.27676482997106949</v>
      </c>
      <c r="M143" s="11">
        <v>76.462915727157579</v>
      </c>
      <c r="N143" s="10">
        <v>640.55386245766601</v>
      </c>
    </row>
    <row r="144" spans="1:14">
      <c r="A144" t="s">
        <v>1967</v>
      </c>
      <c r="B144" t="s">
        <v>9103</v>
      </c>
      <c r="C144" t="s">
        <v>9104</v>
      </c>
      <c r="D144" t="s">
        <v>11</v>
      </c>
      <c r="E144" t="s">
        <v>13</v>
      </c>
      <c r="F144" t="s">
        <v>1970</v>
      </c>
      <c r="G144" t="s">
        <v>12</v>
      </c>
      <c r="I144" t="s">
        <v>9103</v>
      </c>
      <c r="J144" t="s">
        <v>9973</v>
      </c>
      <c r="K144" s="11">
        <v>70.403999999999996</v>
      </c>
      <c r="L144" s="9">
        <v>0.35887505346832099</v>
      </c>
      <c r="M144" s="11">
        <v>52.920646921999705</v>
      </c>
      <c r="N144" s="10">
        <v>535.08449821055865</v>
      </c>
    </row>
    <row r="145" spans="1:14">
      <c r="A145" t="s">
        <v>1967</v>
      </c>
      <c r="B145" t="s">
        <v>9105</v>
      </c>
      <c r="C145" t="s">
        <v>9106</v>
      </c>
      <c r="D145" t="s">
        <v>11</v>
      </c>
      <c r="E145" t="s">
        <v>13</v>
      </c>
      <c r="F145" t="s">
        <v>1970</v>
      </c>
      <c r="G145" t="s">
        <v>12</v>
      </c>
      <c r="I145" t="s">
        <v>9105</v>
      </c>
      <c r="J145" t="s">
        <v>9974</v>
      </c>
      <c r="K145" s="11">
        <v>46.533000000000001</v>
      </c>
      <c r="L145" s="9">
        <v>0.37379278221119971</v>
      </c>
      <c r="M145" s="11">
        <v>75.177245711370347</v>
      </c>
      <c r="N145" s="10">
        <v>634.79406078693921</v>
      </c>
    </row>
    <row r="146" spans="1:14">
      <c r="A146" t="s">
        <v>1967</v>
      </c>
      <c r="B146" t="s">
        <v>9107</v>
      </c>
      <c r="C146" t="s">
        <v>9108</v>
      </c>
      <c r="D146" t="s">
        <v>11</v>
      </c>
      <c r="E146" t="s">
        <v>13</v>
      </c>
      <c r="F146" t="s">
        <v>1970</v>
      </c>
      <c r="G146" t="s">
        <v>12</v>
      </c>
      <c r="I146" t="s">
        <v>9107</v>
      </c>
      <c r="J146" t="s">
        <v>9975</v>
      </c>
      <c r="K146" s="11">
        <v>51.396999999999998</v>
      </c>
      <c r="L146" s="9">
        <v>0.30495353906092482</v>
      </c>
      <c r="M146" s="11">
        <v>63.25837051856039</v>
      </c>
      <c r="N146" s="10">
        <v>581.39749992315058</v>
      </c>
    </row>
    <row r="147" spans="1:14">
      <c r="A147" t="s">
        <v>1967</v>
      </c>
      <c r="B147" t="s">
        <v>9109</v>
      </c>
      <c r="C147" t="s">
        <v>9110</v>
      </c>
      <c r="D147" t="s">
        <v>11</v>
      </c>
      <c r="E147" t="s">
        <v>13</v>
      </c>
      <c r="F147" t="s">
        <v>1970</v>
      </c>
      <c r="G147" t="s">
        <v>12</v>
      </c>
      <c r="I147" t="s">
        <v>9109</v>
      </c>
      <c r="J147" t="s">
        <v>9976</v>
      </c>
      <c r="K147" s="11">
        <v>34.175249999999998</v>
      </c>
      <c r="L147" s="9">
        <v>0.49087910650217742</v>
      </c>
      <c r="M147" s="10">
        <v>104.13124363698628</v>
      </c>
      <c r="N147" s="10">
        <v>764.50797149369862</v>
      </c>
    </row>
    <row r="148" spans="1:14">
      <c r="A148" t="s">
        <v>1967</v>
      </c>
      <c r="B148" t="s">
        <v>9111</v>
      </c>
      <c r="C148" t="s">
        <v>9112</v>
      </c>
      <c r="D148" t="s">
        <v>11</v>
      </c>
      <c r="E148" t="s">
        <v>13</v>
      </c>
      <c r="F148" t="s">
        <v>1970</v>
      </c>
      <c r="G148" t="s">
        <v>12</v>
      </c>
      <c r="I148" t="s">
        <v>9111</v>
      </c>
      <c r="J148" t="s">
        <v>9977</v>
      </c>
      <c r="K148" s="11">
        <v>63.579749999999997</v>
      </c>
      <c r="L148" s="9">
        <v>0.5064712854263248</v>
      </c>
      <c r="M148" s="11">
        <v>80.949821376416409</v>
      </c>
      <c r="N148" s="10">
        <v>660.6551997663455</v>
      </c>
    </row>
    <row r="149" spans="1:14">
      <c r="A149" t="s">
        <v>1967</v>
      </c>
      <c r="B149" t="s">
        <v>9113</v>
      </c>
      <c r="C149" t="s">
        <v>9114</v>
      </c>
      <c r="D149" t="s">
        <v>11</v>
      </c>
      <c r="E149" t="s">
        <v>13</v>
      </c>
      <c r="F149" t="s">
        <v>1970</v>
      </c>
      <c r="G149" t="s">
        <v>12</v>
      </c>
      <c r="I149" t="s">
        <v>9113</v>
      </c>
      <c r="J149" t="s">
        <v>9978</v>
      </c>
      <c r="K149" s="11">
        <v>20.954249999999998</v>
      </c>
      <c r="L149" s="9">
        <v>0.3216700790663195</v>
      </c>
      <c r="M149" s="11">
        <v>83.513548623558108</v>
      </c>
      <c r="N149" s="10">
        <v>672.14069783354034</v>
      </c>
    </row>
    <row r="150" spans="1:14">
      <c r="A150" t="s">
        <v>1967</v>
      </c>
      <c r="B150" t="s">
        <v>9115</v>
      </c>
      <c r="C150" t="s">
        <v>9114</v>
      </c>
      <c r="D150" t="s">
        <v>11</v>
      </c>
      <c r="E150" t="s">
        <v>13</v>
      </c>
      <c r="F150" t="s">
        <v>1970</v>
      </c>
      <c r="G150" t="s">
        <v>12</v>
      </c>
      <c r="I150" t="s">
        <v>9115</v>
      </c>
      <c r="J150" t="s">
        <v>9979</v>
      </c>
      <c r="K150" s="11">
        <v>18.36225</v>
      </c>
      <c r="L150" s="9">
        <v>0.45060346844290827</v>
      </c>
      <c r="M150" s="10">
        <v>191.44451831710217</v>
      </c>
      <c r="N150" s="10">
        <v>1040.6422857527079</v>
      </c>
    </row>
    <row r="151" spans="1:14">
      <c r="A151" t="s">
        <v>1967</v>
      </c>
      <c r="B151" t="s">
        <v>9116</v>
      </c>
      <c r="C151" t="s">
        <v>9114</v>
      </c>
      <c r="D151" t="s">
        <v>11</v>
      </c>
      <c r="E151" t="s">
        <v>13</v>
      </c>
      <c r="F151" t="s">
        <v>1970</v>
      </c>
      <c r="G151" t="s">
        <v>12</v>
      </c>
      <c r="I151" t="s">
        <v>9116</v>
      </c>
      <c r="J151" t="s">
        <v>9980</v>
      </c>
      <c r="K151" s="11">
        <v>56.268749999999997</v>
      </c>
      <c r="L151" s="9">
        <v>0.47672083214918171</v>
      </c>
      <c r="M151" s="10">
        <v>404.94112192909415</v>
      </c>
      <c r="N151" s="10">
        <v>1224.2493648590209</v>
      </c>
    </row>
    <row r="152" spans="1:14">
      <c r="A152" t="s">
        <v>1967</v>
      </c>
      <c r="B152" t="s">
        <v>9117</v>
      </c>
      <c r="C152" t="s">
        <v>9118</v>
      </c>
      <c r="D152" t="s">
        <v>11</v>
      </c>
      <c r="E152" t="s">
        <v>13</v>
      </c>
      <c r="F152" t="s">
        <v>1970</v>
      </c>
      <c r="G152" t="s">
        <v>12</v>
      </c>
      <c r="I152" t="s">
        <v>9117</v>
      </c>
      <c r="J152" t="s">
        <v>9981</v>
      </c>
      <c r="K152" s="11">
        <v>78.775499999999994</v>
      </c>
      <c r="L152" s="9">
        <v>0.48767416398761598</v>
      </c>
      <c r="M152" s="10">
        <v>138.54032693067404</v>
      </c>
      <c r="N152" s="10">
        <v>918.6606646494198</v>
      </c>
    </row>
    <row r="153" spans="1:14">
      <c r="A153" t="s">
        <v>1967</v>
      </c>
      <c r="B153" t="s">
        <v>9119</v>
      </c>
      <c r="C153" t="s">
        <v>9120</v>
      </c>
      <c r="D153" t="s">
        <v>11</v>
      </c>
      <c r="E153" t="s">
        <v>13</v>
      </c>
      <c r="F153" t="s">
        <v>1970</v>
      </c>
      <c r="G153" t="s">
        <v>12</v>
      </c>
      <c r="I153" t="s">
        <v>9119</v>
      </c>
      <c r="J153" t="s">
        <v>9982</v>
      </c>
      <c r="K153" s="11">
        <v>28.538250000000001</v>
      </c>
      <c r="L153" s="9">
        <v>0.45234475467183177</v>
      </c>
      <c r="M153" s="11">
        <v>60.85882776528922</v>
      </c>
      <c r="N153" s="10">
        <v>570.64754838849581</v>
      </c>
    </row>
    <row r="154" spans="1:14">
      <c r="A154" t="s">
        <v>1967</v>
      </c>
      <c r="B154" t="s">
        <v>9121</v>
      </c>
      <c r="C154" t="s">
        <v>9122</v>
      </c>
      <c r="D154" t="s">
        <v>11</v>
      </c>
      <c r="E154" t="s">
        <v>13</v>
      </c>
      <c r="F154" t="s">
        <v>1970</v>
      </c>
      <c r="G154" t="s">
        <v>12</v>
      </c>
      <c r="I154" t="s">
        <v>9121</v>
      </c>
      <c r="J154" t="s">
        <v>9983</v>
      </c>
      <c r="K154" s="11">
        <v>81.351749999999996</v>
      </c>
      <c r="L154" s="9">
        <v>0.49843671288316899</v>
      </c>
      <c r="M154" s="10">
        <v>172.33026214339375</v>
      </c>
      <c r="N154" s="10">
        <v>1024.2040254433186</v>
      </c>
    </row>
    <row r="155" spans="1:14">
      <c r="A155" t="s">
        <v>1967</v>
      </c>
      <c r="B155" t="s">
        <v>9123</v>
      </c>
      <c r="C155" t="s">
        <v>9124</v>
      </c>
      <c r="D155" t="s">
        <v>11</v>
      </c>
      <c r="E155" t="s">
        <v>13</v>
      </c>
      <c r="F155" t="s">
        <v>1970</v>
      </c>
      <c r="G155" t="s">
        <v>12</v>
      </c>
      <c r="I155" t="s">
        <v>9123</v>
      </c>
      <c r="J155" t="s">
        <v>9984</v>
      </c>
      <c r="K155" s="11">
        <v>63.694499999999998</v>
      </c>
      <c r="L155" s="9">
        <v>0.47757625770975221</v>
      </c>
      <c r="M155" s="10">
        <v>180.7399832390102</v>
      </c>
      <c r="N155" s="10">
        <v>1031.4363855855488</v>
      </c>
    </row>
    <row r="156" spans="1:14">
      <c r="A156" t="s">
        <v>1967</v>
      </c>
      <c r="B156" t="s">
        <v>9125</v>
      </c>
      <c r="C156" t="s">
        <v>9126</v>
      </c>
      <c r="D156" t="s">
        <v>11</v>
      </c>
      <c r="E156" t="s">
        <v>13</v>
      </c>
      <c r="F156" t="s">
        <v>1970</v>
      </c>
      <c r="G156" t="s">
        <v>12</v>
      </c>
      <c r="I156" t="s">
        <v>9125</v>
      </c>
      <c r="J156" t="s">
        <v>9985</v>
      </c>
      <c r="K156" s="11">
        <v>38.3018</v>
      </c>
      <c r="L156" s="9">
        <v>0.49413792693388731</v>
      </c>
      <c r="M156" s="11">
        <v>57.595067953423133</v>
      </c>
      <c r="N156" s="10">
        <v>556.02590443133568</v>
      </c>
    </row>
    <row r="157" spans="1:14">
      <c r="A157" t="s">
        <v>1967</v>
      </c>
      <c r="B157" t="s">
        <v>9127</v>
      </c>
      <c r="C157" t="s">
        <v>9128</v>
      </c>
      <c r="D157" t="s">
        <v>11</v>
      </c>
      <c r="E157" t="s">
        <v>13</v>
      </c>
      <c r="F157" t="s">
        <v>1970</v>
      </c>
      <c r="G157" t="s">
        <v>12</v>
      </c>
      <c r="I157" t="s">
        <v>9127</v>
      </c>
      <c r="J157" t="s">
        <v>9986</v>
      </c>
      <c r="K157" s="11">
        <v>34.057499999999997</v>
      </c>
      <c r="L157" s="9">
        <v>0.26511672158498562</v>
      </c>
      <c r="M157" s="11">
        <v>69.715928537168949</v>
      </c>
      <c r="N157" s="10">
        <v>610.32735984651686</v>
      </c>
    </row>
    <row r="158" spans="1:14">
      <c r="A158" t="s">
        <v>1967</v>
      </c>
      <c r="B158" t="s">
        <v>9129</v>
      </c>
      <c r="C158" t="s">
        <v>9130</v>
      </c>
      <c r="D158" t="s">
        <v>11</v>
      </c>
      <c r="E158" t="s">
        <v>13</v>
      </c>
      <c r="F158" t="s">
        <v>1970</v>
      </c>
      <c r="G158" t="s">
        <v>12</v>
      </c>
      <c r="I158" t="s">
        <v>9129</v>
      </c>
      <c r="J158" t="s">
        <v>9987</v>
      </c>
      <c r="K158" s="11">
        <v>30.642749999999999</v>
      </c>
      <c r="L158" s="9">
        <v>0.34235236888189441</v>
      </c>
      <c r="M158" s="11">
        <v>68.075982396329408</v>
      </c>
      <c r="N158" s="10">
        <v>602.98040113555578</v>
      </c>
    </row>
    <row r="159" spans="1:14">
      <c r="A159" t="s">
        <v>1967</v>
      </c>
      <c r="B159" t="s">
        <v>9131</v>
      </c>
      <c r="C159" t="s">
        <v>9132</v>
      </c>
      <c r="D159" t="s">
        <v>11</v>
      </c>
      <c r="E159" t="s">
        <v>13</v>
      </c>
      <c r="F159" t="s">
        <v>1970</v>
      </c>
      <c r="G159" t="s">
        <v>12</v>
      </c>
      <c r="I159" t="s">
        <v>9131</v>
      </c>
      <c r="J159" t="s">
        <v>9988</v>
      </c>
      <c r="K159" s="10">
        <v>149.11099999999999</v>
      </c>
      <c r="L159" s="9">
        <v>0.48199025450049648</v>
      </c>
      <c r="M159" s="10">
        <v>137.23690430835384</v>
      </c>
      <c r="N159" s="10">
        <v>912.82133130142529</v>
      </c>
    </row>
    <row r="160" spans="1:14">
      <c r="A160" t="s">
        <v>1967</v>
      </c>
      <c r="B160" t="s">
        <v>9133</v>
      </c>
      <c r="C160" t="s">
        <v>9134</v>
      </c>
      <c r="D160" t="s">
        <v>11</v>
      </c>
      <c r="E160" t="s">
        <v>13</v>
      </c>
      <c r="F160" t="s">
        <v>1970</v>
      </c>
      <c r="G160" t="s">
        <v>12</v>
      </c>
      <c r="I160" t="s">
        <v>9133</v>
      </c>
      <c r="J160" t="s">
        <v>9989</v>
      </c>
      <c r="K160" s="11">
        <v>54.125250000000001</v>
      </c>
      <c r="L160" s="9">
        <v>0.52295471947769712</v>
      </c>
      <c r="M160" s="11">
        <v>81.232288179266888</v>
      </c>
      <c r="N160" s="10">
        <v>661.92065104311564</v>
      </c>
    </row>
    <row r="161" spans="1:14">
      <c r="A161" t="s">
        <v>1967</v>
      </c>
      <c r="B161" t="s">
        <v>9135</v>
      </c>
      <c r="C161" t="s">
        <v>9136</v>
      </c>
      <c r="D161" t="s">
        <v>11</v>
      </c>
      <c r="E161" t="s">
        <v>13</v>
      </c>
      <c r="F161" t="s">
        <v>1970</v>
      </c>
      <c r="G161" t="s">
        <v>12</v>
      </c>
      <c r="I161" t="s">
        <v>9135</v>
      </c>
      <c r="J161" t="s">
        <v>9990</v>
      </c>
      <c r="K161" s="10">
        <v>195.63425000000001</v>
      </c>
      <c r="L161" s="9">
        <v>0.57239939090811354</v>
      </c>
      <c r="M161" s="10">
        <v>187.05395772706851</v>
      </c>
      <c r="N161" s="10">
        <v>1036.866403645279</v>
      </c>
    </row>
    <row r="162" spans="1:14">
      <c r="A162" t="s">
        <v>1967</v>
      </c>
      <c r="B162" t="s">
        <v>9137</v>
      </c>
      <c r="C162" t="s">
        <v>9138</v>
      </c>
      <c r="D162" t="s">
        <v>11</v>
      </c>
      <c r="E162" t="s">
        <v>13</v>
      </c>
      <c r="F162" t="s">
        <v>1970</v>
      </c>
      <c r="G162" t="s">
        <v>12</v>
      </c>
      <c r="I162" t="s">
        <v>9137</v>
      </c>
      <c r="J162" t="s">
        <v>9991</v>
      </c>
      <c r="K162" s="11">
        <v>19.609500000000001</v>
      </c>
      <c r="L162" s="12">
        <v>9.7782768142499102E-2</v>
      </c>
      <c r="M162" s="11">
        <v>55.663839542755845</v>
      </c>
      <c r="N162" s="10">
        <v>465.26790097881423</v>
      </c>
    </row>
    <row r="163" spans="1:14">
      <c r="A163" t="s">
        <v>1967</v>
      </c>
      <c r="B163" t="s">
        <v>9139</v>
      </c>
      <c r="C163" t="s">
        <v>9138</v>
      </c>
      <c r="D163" t="s">
        <v>11</v>
      </c>
      <c r="E163" t="s">
        <v>13</v>
      </c>
      <c r="F163" t="s">
        <v>1970</v>
      </c>
      <c r="G163" t="s">
        <v>12</v>
      </c>
      <c r="I163" t="s">
        <v>9139</v>
      </c>
      <c r="J163" t="s">
        <v>9992</v>
      </c>
      <c r="K163" s="11">
        <v>24.069749999999999</v>
      </c>
      <c r="L163" s="12">
        <v>5.6256260761109497E-2</v>
      </c>
      <c r="M163" s="10">
        <v>393.3550943855563</v>
      </c>
      <c r="N163" s="10">
        <v>1032.1425739958415</v>
      </c>
    </row>
    <row r="164" spans="1:14">
      <c r="A164" t="s">
        <v>1967</v>
      </c>
      <c r="B164" t="s">
        <v>9140</v>
      </c>
      <c r="C164" t="s">
        <v>9141</v>
      </c>
      <c r="D164" t="s">
        <v>11</v>
      </c>
      <c r="E164" t="s">
        <v>13</v>
      </c>
      <c r="F164" t="s">
        <v>1970</v>
      </c>
      <c r="G164" t="s">
        <v>12</v>
      </c>
      <c r="I164" t="s">
        <v>9140</v>
      </c>
      <c r="J164" t="s">
        <v>9993</v>
      </c>
      <c r="K164" s="9">
        <v>0.38774999999999998</v>
      </c>
      <c r="L164" s="12">
        <v>2.1772882097792001E-2</v>
      </c>
      <c r="M164" s="10">
        <v>316.86354868575859</v>
      </c>
      <c r="N164" s="10">
        <v>976.22725408928943</v>
      </c>
    </row>
    <row r="165" spans="1:14">
      <c r="A165" t="s">
        <v>1967</v>
      </c>
      <c r="B165" t="s">
        <v>9142</v>
      </c>
      <c r="C165" t="s">
        <v>9138</v>
      </c>
      <c r="D165" t="s">
        <v>11</v>
      </c>
      <c r="E165" t="s">
        <v>13</v>
      </c>
      <c r="F165" t="s">
        <v>1970</v>
      </c>
      <c r="G165" t="s">
        <v>12</v>
      </c>
      <c r="I165" t="s">
        <v>9142</v>
      </c>
      <c r="J165" t="s">
        <v>9994</v>
      </c>
      <c r="K165" s="11">
        <v>38.289000000000001</v>
      </c>
      <c r="L165" s="12">
        <v>7.5643214625809793E-2</v>
      </c>
      <c r="M165" s="10">
        <v>204.06638671569488</v>
      </c>
      <c r="N165" s="10">
        <v>893.77252868917299</v>
      </c>
    </row>
    <row r="166" spans="1:14">
      <c r="A166" t="s">
        <v>1967</v>
      </c>
      <c r="B166" t="s">
        <v>9143</v>
      </c>
      <c r="C166" t="s">
        <v>9144</v>
      </c>
      <c r="D166" t="s">
        <v>11</v>
      </c>
      <c r="E166" t="s">
        <v>13</v>
      </c>
      <c r="F166" t="s">
        <v>1970</v>
      </c>
      <c r="G166" t="s">
        <v>12</v>
      </c>
      <c r="I166" t="s">
        <v>9143</v>
      </c>
      <c r="J166" t="s">
        <v>9995</v>
      </c>
      <c r="K166" s="11">
        <v>72.239000000000004</v>
      </c>
      <c r="L166" s="9">
        <v>0.54122770521374874</v>
      </c>
      <c r="M166" s="11">
        <v>70.546956548023374</v>
      </c>
      <c r="N166" s="10">
        <v>614.05036533514476</v>
      </c>
    </row>
    <row r="167" spans="1:14">
      <c r="A167" t="s">
        <v>1967</v>
      </c>
      <c r="B167" t="s">
        <v>9145</v>
      </c>
      <c r="C167" t="s">
        <v>9146</v>
      </c>
      <c r="D167" t="s">
        <v>11</v>
      </c>
      <c r="E167" t="s">
        <v>13</v>
      </c>
      <c r="F167" t="s">
        <v>1970</v>
      </c>
      <c r="G167" t="s">
        <v>12</v>
      </c>
      <c r="I167" t="s">
        <v>9145</v>
      </c>
      <c r="J167" t="s">
        <v>9996</v>
      </c>
      <c r="K167" s="11">
        <v>94.612750000000005</v>
      </c>
      <c r="L167" s="9">
        <v>0.54086936574947253</v>
      </c>
      <c r="M167" s="10">
        <v>151.266554383878</v>
      </c>
      <c r="N167" s="10">
        <v>975.6741636397735</v>
      </c>
    </row>
    <row r="168" spans="1:14">
      <c r="A168" t="s">
        <v>1967</v>
      </c>
      <c r="B168" t="s">
        <v>9147</v>
      </c>
      <c r="C168" t="s">
        <v>9148</v>
      </c>
      <c r="D168" t="s">
        <v>11</v>
      </c>
      <c r="E168" t="s">
        <v>13</v>
      </c>
      <c r="F168" t="s">
        <v>1970</v>
      </c>
      <c r="G168" t="s">
        <v>12</v>
      </c>
      <c r="I168" t="s">
        <v>9147</v>
      </c>
      <c r="J168" t="s">
        <v>9997</v>
      </c>
      <c r="K168" s="10">
        <v>318.19425000000001</v>
      </c>
      <c r="L168" s="9">
        <v>0.57270167116733006</v>
      </c>
      <c r="M168" s="10">
        <v>295.53803364227389</v>
      </c>
      <c r="N168" s="10">
        <v>1130.1627089323556</v>
      </c>
    </row>
    <row r="169" spans="1:14">
      <c r="A169" t="s">
        <v>1967</v>
      </c>
      <c r="B169" t="s">
        <v>9149</v>
      </c>
      <c r="C169" t="s">
        <v>9150</v>
      </c>
      <c r="D169" t="s">
        <v>11</v>
      </c>
      <c r="E169" t="s">
        <v>13</v>
      </c>
      <c r="F169" t="s">
        <v>1970</v>
      </c>
      <c r="G169" t="s">
        <v>12</v>
      </c>
      <c r="I169" t="s">
        <v>9149</v>
      </c>
      <c r="J169" t="s">
        <v>9998</v>
      </c>
      <c r="K169" s="10">
        <v>187.69624999999999</v>
      </c>
      <c r="L169" s="9">
        <v>0.57439860337046356</v>
      </c>
      <c r="M169" s="10">
        <v>179.76080825105504</v>
      </c>
      <c r="N169" s="10">
        <v>1030.5942950959075</v>
      </c>
    </row>
    <row r="170" spans="1:14">
      <c r="A170" t="s">
        <v>1967</v>
      </c>
      <c r="B170" t="s">
        <v>9151</v>
      </c>
      <c r="C170" t="s">
        <v>9152</v>
      </c>
      <c r="D170" t="s">
        <v>11</v>
      </c>
      <c r="E170" t="s">
        <v>13</v>
      </c>
      <c r="F170" t="s">
        <v>1970</v>
      </c>
      <c r="G170" t="s">
        <v>12</v>
      </c>
      <c r="I170" t="s">
        <v>9151</v>
      </c>
      <c r="J170" t="s">
        <v>9999</v>
      </c>
      <c r="K170" s="11">
        <v>98.879249999999999</v>
      </c>
      <c r="L170" s="9">
        <v>0.66045174720285638</v>
      </c>
      <c r="M170" s="10">
        <v>804.61525279056013</v>
      </c>
      <c r="N170" s="10">
        <v>1567.9691173998817</v>
      </c>
    </row>
    <row r="171" spans="1:14">
      <c r="A171" t="s">
        <v>1967</v>
      </c>
      <c r="B171" t="s">
        <v>9153</v>
      </c>
      <c r="C171" t="s">
        <v>9154</v>
      </c>
      <c r="D171" t="s">
        <v>11</v>
      </c>
      <c r="E171" t="s">
        <v>13</v>
      </c>
      <c r="F171" t="s">
        <v>1970</v>
      </c>
      <c r="G171" t="s">
        <v>12</v>
      </c>
      <c r="I171" t="s">
        <v>9153</v>
      </c>
      <c r="J171" t="s">
        <v>10000</v>
      </c>
      <c r="K171" s="10">
        <v>252.16399999999999</v>
      </c>
      <c r="L171" s="9">
        <v>0.61525565862816023</v>
      </c>
      <c r="M171" s="10">
        <v>354.86969619558607</v>
      </c>
      <c r="N171" s="10">
        <v>1181.187938728204</v>
      </c>
    </row>
    <row r="172" spans="1:14">
      <c r="A172" t="s">
        <v>1967</v>
      </c>
      <c r="B172" t="s">
        <v>9155</v>
      </c>
      <c r="C172" t="s">
        <v>9154</v>
      </c>
      <c r="D172" t="s">
        <v>11</v>
      </c>
      <c r="E172" t="s">
        <v>13</v>
      </c>
      <c r="F172" t="s">
        <v>1970</v>
      </c>
      <c r="G172" t="s">
        <v>12</v>
      </c>
      <c r="I172" t="s">
        <v>9155</v>
      </c>
      <c r="J172" t="s">
        <v>10001</v>
      </c>
      <c r="K172" s="10">
        <v>177.30824999999999</v>
      </c>
      <c r="L172" s="9">
        <v>0.58770422554410173</v>
      </c>
      <c r="M172" s="10">
        <v>355.62999181549003</v>
      </c>
      <c r="N172" s="10">
        <v>1181.8417929613215</v>
      </c>
    </row>
    <row r="173" spans="1:14">
      <c r="A173" t="s">
        <v>1967</v>
      </c>
      <c r="B173" t="s">
        <v>9156</v>
      </c>
      <c r="C173" t="s">
        <v>9157</v>
      </c>
      <c r="D173" t="s">
        <v>11</v>
      </c>
      <c r="E173" t="s">
        <v>13</v>
      </c>
      <c r="F173" t="s">
        <v>1970</v>
      </c>
      <c r="G173" t="s">
        <v>12</v>
      </c>
      <c r="I173" t="s">
        <v>9156</v>
      </c>
      <c r="J173" t="s">
        <v>10002</v>
      </c>
      <c r="K173" s="10">
        <v>277.48725000000002</v>
      </c>
      <c r="L173" s="9">
        <v>0.55244413393673009</v>
      </c>
      <c r="M173" s="10">
        <v>525.76756548801109</v>
      </c>
      <c r="N173" s="10">
        <v>1328.1601063196895</v>
      </c>
    </row>
    <row r="174" spans="1:14">
      <c r="A174" t="s">
        <v>1967</v>
      </c>
      <c r="B174" t="s">
        <v>9158</v>
      </c>
      <c r="C174" t="s">
        <v>9159</v>
      </c>
      <c r="D174" t="s">
        <v>11</v>
      </c>
      <c r="E174" t="s">
        <v>13</v>
      </c>
      <c r="F174" t="s">
        <v>1970</v>
      </c>
      <c r="G174" t="s">
        <v>12</v>
      </c>
      <c r="I174" t="s">
        <v>9158</v>
      </c>
      <c r="J174" t="s">
        <v>10003</v>
      </c>
      <c r="K174" s="10">
        <v>197.85024999999999</v>
      </c>
      <c r="L174" s="9">
        <v>0.56562678989604298</v>
      </c>
      <c r="M174" s="10">
        <v>161.20475506510903</v>
      </c>
      <c r="N174" s="10">
        <v>1014.6360893559938</v>
      </c>
    </row>
    <row r="175" spans="1:14">
      <c r="A175" t="s">
        <v>1967</v>
      </c>
      <c r="B175" t="s">
        <v>9160</v>
      </c>
      <c r="C175" t="s">
        <v>9157</v>
      </c>
      <c r="D175" t="s">
        <v>11</v>
      </c>
      <c r="E175" t="s">
        <v>13</v>
      </c>
      <c r="F175" t="s">
        <v>1970</v>
      </c>
      <c r="G175" t="s">
        <v>12</v>
      </c>
      <c r="I175" t="s">
        <v>9160</v>
      </c>
      <c r="J175" t="s">
        <v>10004</v>
      </c>
      <c r="K175" s="10">
        <v>325.15195</v>
      </c>
      <c r="L175" s="9">
        <v>0.56575860066944206</v>
      </c>
      <c r="M175" s="10">
        <v>235.67981503796483</v>
      </c>
      <c r="N175" s="10">
        <v>1078.6846409326497</v>
      </c>
    </row>
    <row r="176" spans="1:14">
      <c r="A176" t="s">
        <v>1967</v>
      </c>
      <c r="B176" t="s">
        <v>9161</v>
      </c>
      <c r="C176" t="s">
        <v>9162</v>
      </c>
      <c r="D176" t="s">
        <v>11</v>
      </c>
      <c r="E176" t="s">
        <v>13</v>
      </c>
      <c r="F176" t="s">
        <v>1970</v>
      </c>
      <c r="G176" t="s">
        <v>12</v>
      </c>
      <c r="I176" t="s">
        <v>9161</v>
      </c>
      <c r="J176" t="s">
        <v>10005</v>
      </c>
      <c r="K176" s="9">
        <v>3.27075</v>
      </c>
      <c r="L176" s="9">
        <v>0.1158006785630785</v>
      </c>
      <c r="M176" s="11">
        <v>40.380074566692841</v>
      </c>
      <c r="N176" s="10">
        <v>407.06732394996635</v>
      </c>
    </row>
    <row r="177" spans="1:14">
      <c r="A177" t="s">
        <v>1967</v>
      </c>
      <c r="B177" t="s">
        <v>9163</v>
      </c>
      <c r="C177" t="s">
        <v>9162</v>
      </c>
      <c r="D177" t="s">
        <v>11</v>
      </c>
      <c r="E177" t="s">
        <v>13</v>
      </c>
      <c r="F177" t="s">
        <v>1970</v>
      </c>
      <c r="G177" t="s">
        <v>12</v>
      </c>
      <c r="I177" t="s">
        <v>9163</v>
      </c>
      <c r="J177" t="s">
        <v>10006</v>
      </c>
      <c r="K177" s="11">
        <v>13.5825</v>
      </c>
      <c r="L177" s="9">
        <v>0.13778609535181299</v>
      </c>
      <c r="M177" s="10">
        <v>165.55344750027572</v>
      </c>
      <c r="N177" s="10">
        <v>865.61957012270148</v>
      </c>
    </row>
    <row r="178" spans="1:14">
      <c r="A178" t="s">
        <v>1967</v>
      </c>
      <c r="B178" t="s">
        <v>9164</v>
      </c>
      <c r="C178" t="s">
        <v>9165</v>
      </c>
      <c r="D178" t="s">
        <v>11</v>
      </c>
      <c r="E178" t="s">
        <v>13</v>
      </c>
      <c r="F178" t="s">
        <v>1970</v>
      </c>
      <c r="G178" t="s">
        <v>12</v>
      </c>
      <c r="I178" t="s">
        <v>9164</v>
      </c>
      <c r="J178" t="s">
        <v>10007</v>
      </c>
      <c r="K178" s="9">
        <v>7.7370000000000001</v>
      </c>
      <c r="L178" s="9">
        <v>0.1044294843006098</v>
      </c>
      <c r="M178" s="10">
        <v>162.13883353257202</v>
      </c>
      <c r="N178" s="10">
        <v>863.12348731231009</v>
      </c>
    </row>
    <row r="179" spans="1:14">
      <c r="A179" t="s">
        <v>1967</v>
      </c>
      <c r="B179" t="s">
        <v>9166</v>
      </c>
      <c r="C179" t="s">
        <v>9167</v>
      </c>
      <c r="D179" t="s">
        <v>11</v>
      </c>
      <c r="E179" t="s">
        <v>13</v>
      </c>
      <c r="F179" t="s">
        <v>1970</v>
      </c>
      <c r="G179" t="s">
        <v>12</v>
      </c>
      <c r="I179" t="s">
        <v>9166</v>
      </c>
      <c r="J179" t="s">
        <v>10008</v>
      </c>
      <c r="K179" s="9">
        <v>4.3462500000000004</v>
      </c>
      <c r="L179" s="9">
        <v>0.1715467838314918</v>
      </c>
      <c r="M179" s="10">
        <v>127.19710986855776</v>
      </c>
      <c r="N179" s="10">
        <v>737.66659437946794</v>
      </c>
    </row>
    <row r="180" spans="1:14">
      <c r="A180" t="s">
        <v>1967</v>
      </c>
      <c r="B180" t="s">
        <v>9168</v>
      </c>
      <c r="C180" t="s">
        <v>9165</v>
      </c>
      <c r="D180" t="s">
        <v>11</v>
      </c>
      <c r="E180" t="s">
        <v>13</v>
      </c>
      <c r="F180" t="s">
        <v>1970</v>
      </c>
      <c r="G180" t="s">
        <v>12</v>
      </c>
      <c r="I180" t="s">
        <v>9168</v>
      </c>
      <c r="J180" t="s">
        <v>10009</v>
      </c>
      <c r="K180" s="9">
        <v>7.7482499999999996</v>
      </c>
      <c r="L180" s="9">
        <v>0.1405311722801886</v>
      </c>
      <c r="M180" s="11">
        <v>59.613924024504712</v>
      </c>
      <c r="N180" s="10">
        <v>480.30982268531403</v>
      </c>
    </row>
    <row r="181" spans="1:14">
      <c r="A181" t="s">
        <v>1967</v>
      </c>
      <c r="B181" t="s">
        <v>9169</v>
      </c>
      <c r="C181" t="s">
        <v>9170</v>
      </c>
      <c r="D181" t="s">
        <v>11</v>
      </c>
      <c r="E181" t="s">
        <v>13</v>
      </c>
      <c r="F181" t="s">
        <v>1970</v>
      </c>
      <c r="G181" t="s">
        <v>12</v>
      </c>
      <c r="I181" t="s">
        <v>9169</v>
      </c>
      <c r="J181" t="s">
        <v>10010</v>
      </c>
      <c r="K181" s="9">
        <v>8.577</v>
      </c>
      <c r="L181" s="12">
        <v>8.1083782018812306E-2</v>
      </c>
      <c r="M181" s="10">
        <v>134.06031150645245</v>
      </c>
      <c r="N181" s="10">
        <v>763.80166621657088</v>
      </c>
    </row>
    <row r="182" spans="1:14">
      <c r="A182" t="s">
        <v>1967</v>
      </c>
      <c r="B182" t="s">
        <v>9171</v>
      </c>
      <c r="C182" t="s">
        <v>9170</v>
      </c>
      <c r="D182" t="s">
        <v>11</v>
      </c>
      <c r="E182" t="s">
        <v>13</v>
      </c>
      <c r="F182" t="s">
        <v>1970</v>
      </c>
      <c r="G182" t="s">
        <v>12</v>
      </c>
      <c r="I182" t="s">
        <v>9171</v>
      </c>
      <c r="J182" t="s">
        <v>10011</v>
      </c>
      <c r="K182" s="11">
        <v>22.8645</v>
      </c>
      <c r="L182" s="12">
        <v>8.4957945489322395E-2</v>
      </c>
      <c r="M182" s="10">
        <v>220.20296841304213</v>
      </c>
      <c r="N182" s="10">
        <v>905.56836990993384</v>
      </c>
    </row>
    <row r="183" spans="1:14">
      <c r="A183" t="s">
        <v>1967</v>
      </c>
      <c r="B183" t="s">
        <v>9172</v>
      </c>
      <c r="C183" t="s">
        <v>9170</v>
      </c>
      <c r="D183" t="s">
        <v>11</v>
      </c>
      <c r="E183" t="s">
        <v>13</v>
      </c>
      <c r="F183" t="s">
        <v>1970</v>
      </c>
      <c r="G183" t="s">
        <v>12</v>
      </c>
      <c r="I183" t="s">
        <v>9172</v>
      </c>
      <c r="J183" t="s">
        <v>10012</v>
      </c>
      <c r="K183" s="11">
        <v>12.816000000000001</v>
      </c>
      <c r="L183" s="12">
        <v>9.7551533625640494E-2</v>
      </c>
      <c r="M183" s="10">
        <v>323.63092244124181</v>
      </c>
      <c r="N183" s="10">
        <v>981.17420430454763</v>
      </c>
    </row>
    <row r="184" spans="1:14">
      <c r="A184" t="s">
        <v>1967</v>
      </c>
      <c r="B184" t="s">
        <v>9173</v>
      </c>
      <c r="C184" t="s">
        <v>9174</v>
      </c>
      <c r="D184" t="s">
        <v>11</v>
      </c>
      <c r="E184" t="s">
        <v>13</v>
      </c>
      <c r="F184" t="s">
        <v>1970</v>
      </c>
      <c r="G184" t="s">
        <v>12</v>
      </c>
      <c r="I184" t="s">
        <v>9173</v>
      </c>
      <c r="J184" t="s">
        <v>10013</v>
      </c>
      <c r="K184" s="11">
        <v>25.97025</v>
      </c>
      <c r="L184" s="9">
        <v>0.1377382957471302</v>
      </c>
      <c r="M184" s="10">
        <v>213.80712250390371</v>
      </c>
      <c r="N184" s="10">
        <v>900.89300655035356</v>
      </c>
    </row>
    <row r="185" spans="1:14">
      <c r="A185" t="s">
        <v>1967</v>
      </c>
      <c r="B185" t="s">
        <v>9175</v>
      </c>
      <c r="C185" t="s">
        <v>9174</v>
      </c>
      <c r="D185" t="s">
        <v>11</v>
      </c>
      <c r="E185" t="s">
        <v>13</v>
      </c>
      <c r="F185" t="s">
        <v>1970</v>
      </c>
      <c r="G185" t="s">
        <v>12</v>
      </c>
      <c r="I185" t="s">
        <v>9175</v>
      </c>
      <c r="J185" t="s">
        <v>10014</v>
      </c>
      <c r="K185" s="9">
        <v>0.105</v>
      </c>
      <c r="L185" s="12">
        <v>9.5261244641539206E-2</v>
      </c>
      <c r="M185" s="11">
        <v>48.168903401492607</v>
      </c>
      <c r="N185" s="10">
        <v>436.72718415288386</v>
      </c>
    </row>
    <row r="186" spans="1:14">
      <c r="A186" t="s">
        <v>1967</v>
      </c>
      <c r="B186" t="s">
        <v>9176</v>
      </c>
      <c r="C186" t="s">
        <v>9174</v>
      </c>
      <c r="D186" t="s">
        <v>11</v>
      </c>
      <c r="E186" t="s">
        <v>13</v>
      </c>
      <c r="F186" t="s">
        <v>1970</v>
      </c>
      <c r="G186" t="s">
        <v>12</v>
      </c>
      <c r="I186" t="s">
        <v>9176</v>
      </c>
      <c r="J186" t="s">
        <v>10015</v>
      </c>
      <c r="K186" s="11">
        <v>20.4345</v>
      </c>
      <c r="L186" s="9">
        <v>0.10241357730690159</v>
      </c>
      <c r="M186" s="10">
        <v>234.77636847227404</v>
      </c>
      <c r="N186" s="10">
        <v>916.22152535323232</v>
      </c>
    </row>
    <row r="187" spans="1:14">
      <c r="A187" t="s">
        <v>1967</v>
      </c>
      <c r="B187" t="s">
        <v>9177</v>
      </c>
      <c r="C187" t="s">
        <v>9178</v>
      </c>
      <c r="D187" t="s">
        <v>11</v>
      </c>
      <c r="E187" t="s">
        <v>13</v>
      </c>
      <c r="F187" t="s">
        <v>1970</v>
      </c>
      <c r="G187" t="s">
        <v>12</v>
      </c>
      <c r="I187" t="s">
        <v>9177</v>
      </c>
      <c r="J187" t="s">
        <v>10016</v>
      </c>
      <c r="K187" s="9">
        <v>0.8085</v>
      </c>
      <c r="L187" s="9">
        <v>0.1100161676228119</v>
      </c>
      <c r="M187" s="10">
        <v>604.43651300065505</v>
      </c>
      <c r="N187" s="10">
        <v>1186.4430910034787</v>
      </c>
    </row>
    <row r="188" spans="1:14">
      <c r="A188" t="s">
        <v>1967</v>
      </c>
      <c r="B188" t="s">
        <v>9179</v>
      </c>
      <c r="C188" t="s">
        <v>9178</v>
      </c>
      <c r="D188" t="s">
        <v>11</v>
      </c>
      <c r="E188" t="s">
        <v>13</v>
      </c>
      <c r="F188" t="s">
        <v>1970</v>
      </c>
      <c r="G188" t="s">
        <v>12</v>
      </c>
      <c r="I188" t="s">
        <v>9179</v>
      </c>
      <c r="J188" t="s">
        <v>10017</v>
      </c>
      <c r="K188" s="11">
        <v>16.8855</v>
      </c>
      <c r="L188" s="12">
        <v>8.0310514566345706E-2</v>
      </c>
      <c r="M188" s="10">
        <v>100.22997693973686</v>
      </c>
      <c r="N188" s="10">
        <v>634.97575218651798</v>
      </c>
    </row>
    <row r="189" spans="1:14">
      <c r="A189" t="s">
        <v>1967</v>
      </c>
      <c r="B189" t="s">
        <v>9180</v>
      </c>
      <c r="C189" t="s">
        <v>9181</v>
      </c>
      <c r="D189" t="s">
        <v>11</v>
      </c>
      <c r="E189" t="s">
        <v>13</v>
      </c>
      <c r="F189" t="s">
        <v>1970</v>
      </c>
      <c r="G189" t="s">
        <v>12</v>
      </c>
      <c r="I189" t="s">
        <v>9180</v>
      </c>
      <c r="J189" t="s">
        <v>10018</v>
      </c>
      <c r="K189" s="11">
        <v>27.769500000000001</v>
      </c>
      <c r="L189" s="12">
        <v>6.3956902784808298E-2</v>
      </c>
      <c r="M189" s="11">
        <v>86.327101535972673</v>
      </c>
      <c r="N189" s="10">
        <v>582.0336026489839</v>
      </c>
    </row>
    <row r="190" spans="1:14">
      <c r="A190" t="s">
        <v>1967</v>
      </c>
      <c r="B190" t="s">
        <v>9182</v>
      </c>
      <c r="C190" t="s">
        <v>9183</v>
      </c>
      <c r="D190" t="s">
        <v>11</v>
      </c>
      <c r="E190" t="s">
        <v>13</v>
      </c>
      <c r="F190" t="s">
        <v>1970</v>
      </c>
      <c r="G190" t="s">
        <v>12</v>
      </c>
      <c r="I190" t="s">
        <v>9182</v>
      </c>
      <c r="J190" t="s">
        <v>10019</v>
      </c>
      <c r="K190" s="11">
        <v>32.914499999999997</v>
      </c>
      <c r="L190" s="9">
        <v>0.29482683059442338</v>
      </c>
      <c r="M190" s="10">
        <v>140.18871368192842</v>
      </c>
      <c r="N190" s="10">
        <v>926.04543729503939</v>
      </c>
    </row>
    <row r="191" spans="1:14">
      <c r="A191" t="s">
        <v>1967</v>
      </c>
      <c r="B191" t="s">
        <v>9184</v>
      </c>
      <c r="C191" t="s">
        <v>9185</v>
      </c>
      <c r="D191" t="s">
        <v>11</v>
      </c>
      <c r="E191" t="s">
        <v>13</v>
      </c>
      <c r="F191" t="s">
        <v>1970</v>
      </c>
      <c r="G191" t="s">
        <v>12</v>
      </c>
      <c r="I191" t="s">
        <v>9184</v>
      </c>
      <c r="J191" t="s">
        <v>10020</v>
      </c>
      <c r="K191" s="11">
        <v>64.157250000000005</v>
      </c>
      <c r="L191" s="9">
        <v>0.3369173277454568</v>
      </c>
      <c r="M191" s="10">
        <v>117.87663094701388</v>
      </c>
      <c r="N191" s="10">
        <v>826.08730664262225</v>
      </c>
    </row>
    <row r="192" spans="1:14">
      <c r="A192" t="s">
        <v>1967</v>
      </c>
      <c r="B192" t="s">
        <v>9186</v>
      </c>
      <c r="C192" t="s">
        <v>9187</v>
      </c>
      <c r="D192" t="s">
        <v>11</v>
      </c>
      <c r="E192" t="s">
        <v>13</v>
      </c>
      <c r="F192" t="s">
        <v>1970</v>
      </c>
      <c r="G192" t="s">
        <v>12</v>
      </c>
      <c r="I192" t="s">
        <v>9186</v>
      </c>
      <c r="J192" t="s">
        <v>10021</v>
      </c>
      <c r="K192" s="10">
        <v>156.59475</v>
      </c>
      <c r="L192" s="9">
        <v>0.42862162747291349</v>
      </c>
      <c r="M192" s="10">
        <v>149.92250569464898</v>
      </c>
      <c r="N192" s="10">
        <v>969.65282551202745</v>
      </c>
    </row>
    <row r="193" spans="1:14">
      <c r="A193" t="s">
        <v>1967</v>
      </c>
      <c r="B193" t="s">
        <v>9188</v>
      </c>
      <c r="C193" t="s">
        <v>9189</v>
      </c>
      <c r="D193" t="s">
        <v>11</v>
      </c>
      <c r="E193" t="s">
        <v>13</v>
      </c>
      <c r="F193" t="s">
        <v>1970</v>
      </c>
      <c r="G193" t="s">
        <v>12</v>
      </c>
      <c r="I193" t="s">
        <v>9188</v>
      </c>
      <c r="J193" t="s">
        <v>10022</v>
      </c>
      <c r="K193" s="11">
        <v>32.205750000000002</v>
      </c>
      <c r="L193" s="9">
        <v>0.33296055769647293</v>
      </c>
      <c r="M193" s="11">
        <v>78.337257266892777</v>
      </c>
      <c r="N193" s="10">
        <v>648.95091255567968</v>
      </c>
    </row>
    <row r="194" spans="1:14">
      <c r="A194" t="s">
        <v>1967</v>
      </c>
      <c r="B194" t="s">
        <v>9190</v>
      </c>
      <c r="C194" t="s">
        <v>9191</v>
      </c>
      <c r="D194" t="s">
        <v>11</v>
      </c>
      <c r="E194" t="s">
        <v>13</v>
      </c>
      <c r="F194" t="s">
        <v>1970</v>
      </c>
      <c r="G194" t="s">
        <v>12</v>
      </c>
      <c r="I194" t="s">
        <v>9190</v>
      </c>
      <c r="J194" t="s">
        <v>10023</v>
      </c>
      <c r="K194" s="10">
        <v>121.947</v>
      </c>
      <c r="L194" s="9">
        <v>0.50496550724127165</v>
      </c>
      <c r="M194" s="10">
        <v>164.44506712997159</v>
      </c>
      <c r="N194" s="10">
        <v>1017.4227577317756</v>
      </c>
    </row>
    <row r="195" spans="1:14">
      <c r="A195" t="s">
        <v>1967</v>
      </c>
      <c r="B195" t="s">
        <v>9192</v>
      </c>
      <c r="C195" t="s">
        <v>9193</v>
      </c>
      <c r="D195" t="s">
        <v>11</v>
      </c>
      <c r="E195" t="s">
        <v>13</v>
      </c>
      <c r="F195" t="s">
        <v>1970</v>
      </c>
      <c r="G195" t="s">
        <v>12</v>
      </c>
      <c r="I195" t="s">
        <v>9192</v>
      </c>
      <c r="J195" t="s">
        <v>10024</v>
      </c>
      <c r="K195" s="11">
        <v>18.08175</v>
      </c>
      <c r="L195" s="9">
        <v>0.37680615829656688</v>
      </c>
      <c r="M195" s="11">
        <v>64.601408671310168</v>
      </c>
      <c r="N195" s="10">
        <v>587.41431084746955</v>
      </c>
    </row>
    <row r="196" spans="1:14">
      <c r="A196" t="s">
        <v>1967</v>
      </c>
      <c r="B196" t="s">
        <v>9194</v>
      </c>
      <c r="C196" t="s">
        <v>9195</v>
      </c>
      <c r="D196" t="s">
        <v>11</v>
      </c>
      <c r="E196" t="s">
        <v>13</v>
      </c>
      <c r="F196" t="s">
        <v>1970</v>
      </c>
      <c r="G196" t="s">
        <v>12</v>
      </c>
      <c r="I196" t="s">
        <v>9194</v>
      </c>
      <c r="J196" t="s">
        <v>10025</v>
      </c>
      <c r="K196" s="9">
        <v>1.2464999999999999</v>
      </c>
      <c r="L196" s="12">
        <v>3.6472446962246698E-2</v>
      </c>
      <c r="M196" s="10">
        <v>0</v>
      </c>
      <c r="N196" s="10">
        <v>253.29999999999998</v>
      </c>
    </row>
    <row r="197" spans="1:14">
      <c r="A197" t="s">
        <v>1967</v>
      </c>
      <c r="B197" t="s">
        <v>9196</v>
      </c>
      <c r="C197" t="s">
        <v>9197</v>
      </c>
      <c r="D197" t="s">
        <v>11</v>
      </c>
      <c r="E197" t="s">
        <v>13</v>
      </c>
      <c r="F197" t="s">
        <v>1970</v>
      </c>
      <c r="G197" t="s">
        <v>12</v>
      </c>
      <c r="I197" t="s">
        <v>9196</v>
      </c>
      <c r="J197" t="s">
        <v>10026</v>
      </c>
      <c r="K197" s="12">
        <v>2.6249999999999999E-2</v>
      </c>
      <c r="L197" s="12">
        <v>1.7150462191210601E-2</v>
      </c>
      <c r="M197" s="10">
        <v>0</v>
      </c>
      <c r="N197" s="10">
        <v>253.29999999999998</v>
      </c>
    </row>
    <row r="198" spans="1:14">
      <c r="A198" t="s">
        <v>1967</v>
      </c>
      <c r="B198" t="s">
        <v>9198</v>
      </c>
      <c r="C198" t="s">
        <v>9199</v>
      </c>
      <c r="D198" t="s">
        <v>11</v>
      </c>
      <c r="E198" t="s">
        <v>13</v>
      </c>
      <c r="F198" t="s">
        <v>1970</v>
      </c>
      <c r="G198" t="s">
        <v>12</v>
      </c>
      <c r="I198" t="s">
        <v>9198</v>
      </c>
      <c r="J198" t="s">
        <v>10027</v>
      </c>
      <c r="K198" s="12">
        <v>5.6250000000000001E-2</v>
      </c>
      <c r="L198" s="12">
        <v>2.23200082833779E-2</v>
      </c>
      <c r="M198" s="10">
        <v>0</v>
      </c>
      <c r="N198" s="10">
        <v>253.29999999999998</v>
      </c>
    </row>
    <row r="199" spans="1:14">
      <c r="A199" t="s">
        <v>1967</v>
      </c>
      <c r="B199" t="s">
        <v>9200</v>
      </c>
      <c r="C199" t="s">
        <v>9201</v>
      </c>
      <c r="D199" t="s">
        <v>11</v>
      </c>
      <c r="E199" t="s">
        <v>13</v>
      </c>
      <c r="F199" t="s">
        <v>1970</v>
      </c>
      <c r="G199" t="s">
        <v>12</v>
      </c>
      <c r="I199" t="s">
        <v>9200</v>
      </c>
      <c r="J199" t="s">
        <v>10028</v>
      </c>
      <c r="K199" s="9">
        <v>0.14474999999999999</v>
      </c>
      <c r="L199" s="12">
        <v>9.3232044003373399E-2</v>
      </c>
      <c r="M199" s="10">
        <v>0</v>
      </c>
      <c r="N199" s="10">
        <v>253.29999999999998</v>
      </c>
    </row>
    <row r="200" spans="1:14">
      <c r="A200" t="s">
        <v>1967</v>
      </c>
      <c r="B200" t="s">
        <v>9202</v>
      </c>
      <c r="C200" t="s">
        <v>9203</v>
      </c>
      <c r="D200" t="s">
        <v>11</v>
      </c>
      <c r="E200" t="s">
        <v>13</v>
      </c>
      <c r="F200" t="s">
        <v>1970</v>
      </c>
      <c r="G200" t="s">
        <v>12</v>
      </c>
      <c r="I200" t="s">
        <v>9202</v>
      </c>
      <c r="J200" t="s">
        <v>10029</v>
      </c>
      <c r="K200" s="11">
        <v>31.556249999999999</v>
      </c>
      <c r="L200" s="9">
        <v>0.28702839208787939</v>
      </c>
      <c r="M200" s="10">
        <v>251.26034742001093</v>
      </c>
      <c r="N200" s="10">
        <v>928.27131396402797</v>
      </c>
    </row>
    <row r="201" spans="1:14">
      <c r="A201" t="s">
        <v>1967</v>
      </c>
      <c r="B201" t="s">
        <v>9204</v>
      </c>
      <c r="C201" t="s">
        <v>9205</v>
      </c>
      <c r="D201" t="s">
        <v>11</v>
      </c>
      <c r="E201" t="s">
        <v>13</v>
      </c>
      <c r="F201" t="s">
        <v>1970</v>
      </c>
      <c r="G201" t="s">
        <v>12</v>
      </c>
      <c r="I201" t="s">
        <v>9204</v>
      </c>
      <c r="J201" t="s">
        <v>10030</v>
      </c>
      <c r="K201" s="11">
        <v>14.890499999999999</v>
      </c>
      <c r="L201" s="9">
        <v>0.29045868060661811</v>
      </c>
      <c r="M201" s="10">
        <v>121.23232099396866</v>
      </c>
      <c r="N201" s="10">
        <v>714.95267834503261</v>
      </c>
    </row>
    <row r="202" spans="1:14">
      <c r="A202" t="s">
        <v>1967</v>
      </c>
      <c r="B202" t="s">
        <v>9206</v>
      </c>
      <c r="C202" t="s">
        <v>9203</v>
      </c>
      <c r="D202" t="s">
        <v>11</v>
      </c>
      <c r="E202" t="s">
        <v>13</v>
      </c>
      <c r="F202" t="s">
        <v>1970</v>
      </c>
      <c r="G202" t="s">
        <v>12</v>
      </c>
      <c r="I202" t="s">
        <v>9206</v>
      </c>
      <c r="J202" t="s">
        <v>10031</v>
      </c>
      <c r="K202" s="11">
        <v>21.863250000000001</v>
      </c>
      <c r="L202" s="9">
        <v>0.3156694690815473</v>
      </c>
      <c r="M202" s="10">
        <v>165.44282816257351</v>
      </c>
      <c r="N202" s="10">
        <v>865.53870738684122</v>
      </c>
    </row>
    <row r="203" spans="1:14">
      <c r="A203" t="s">
        <v>1967</v>
      </c>
      <c r="B203" t="s">
        <v>9207</v>
      </c>
      <c r="C203" t="s">
        <v>9208</v>
      </c>
      <c r="D203" t="s">
        <v>11</v>
      </c>
      <c r="E203" t="s">
        <v>13</v>
      </c>
      <c r="F203" t="s">
        <v>1970</v>
      </c>
      <c r="G203" t="s">
        <v>12</v>
      </c>
      <c r="I203" t="s">
        <v>9207</v>
      </c>
      <c r="J203" t="s">
        <v>10032</v>
      </c>
      <c r="K203" s="11">
        <v>69.880499999999998</v>
      </c>
      <c r="L203" s="9">
        <v>0.35004844458976769</v>
      </c>
      <c r="M203" s="10">
        <v>498.59252689831931</v>
      </c>
      <c r="N203" s="10">
        <v>1109.0711371626714</v>
      </c>
    </row>
    <row r="204" spans="1:14">
      <c r="A204" t="s">
        <v>1967</v>
      </c>
      <c r="B204" t="s">
        <v>9209</v>
      </c>
      <c r="C204" t="s">
        <v>9210</v>
      </c>
      <c r="D204" t="s">
        <v>11</v>
      </c>
      <c r="E204" t="s">
        <v>13</v>
      </c>
      <c r="F204" t="s">
        <v>1970</v>
      </c>
      <c r="G204" t="s">
        <v>12</v>
      </c>
      <c r="I204" t="s">
        <v>9209</v>
      </c>
      <c r="J204" t="s">
        <v>10033</v>
      </c>
      <c r="K204" s="9">
        <v>1.4025000000000001</v>
      </c>
      <c r="L204" s="9">
        <v>0.3725907081226561</v>
      </c>
      <c r="M204" s="10">
        <v>102.85724342708949</v>
      </c>
      <c r="N204" s="10">
        <v>644.98038297035669</v>
      </c>
    </row>
    <row r="205" spans="1:14">
      <c r="A205" t="s">
        <v>1967</v>
      </c>
      <c r="B205" t="s">
        <v>9211</v>
      </c>
      <c r="C205" t="s">
        <v>9210</v>
      </c>
      <c r="D205" t="s">
        <v>11</v>
      </c>
      <c r="E205" t="s">
        <v>13</v>
      </c>
      <c r="F205" t="s">
        <v>1970</v>
      </c>
      <c r="G205" t="s">
        <v>12</v>
      </c>
      <c r="I205" t="s">
        <v>9211</v>
      </c>
      <c r="J205" t="s">
        <v>10034</v>
      </c>
      <c r="K205" s="9">
        <v>2.89575</v>
      </c>
      <c r="L205" s="9">
        <v>0.33474644007861631</v>
      </c>
      <c r="M205" s="10">
        <v>439.13698722013561</v>
      </c>
      <c r="N205" s="10">
        <v>1065.6091376579191</v>
      </c>
    </row>
    <row r="206" spans="1:14">
      <c r="A206" t="s">
        <v>1967</v>
      </c>
      <c r="B206" t="s">
        <v>9212</v>
      </c>
      <c r="C206" t="s">
        <v>9208</v>
      </c>
      <c r="D206" t="s">
        <v>11</v>
      </c>
      <c r="E206" t="s">
        <v>13</v>
      </c>
      <c r="F206" t="s">
        <v>1970</v>
      </c>
      <c r="G206" t="s">
        <v>12</v>
      </c>
      <c r="I206" t="s">
        <v>9212</v>
      </c>
      <c r="J206" t="s">
        <v>10035</v>
      </c>
      <c r="K206" s="11">
        <v>15.763500000000001</v>
      </c>
      <c r="L206" s="9">
        <v>0.3036988404143276</v>
      </c>
      <c r="M206" s="10">
        <v>226.77266563779327</v>
      </c>
      <c r="N206" s="10">
        <v>910.3708185812269</v>
      </c>
    </row>
    <row r="207" spans="1:14">
      <c r="A207" t="s">
        <v>1967</v>
      </c>
      <c r="B207" t="s">
        <v>9213</v>
      </c>
      <c r="C207" t="s">
        <v>9214</v>
      </c>
      <c r="D207" t="s">
        <v>11</v>
      </c>
      <c r="E207" t="s">
        <v>13</v>
      </c>
      <c r="F207" t="s">
        <v>1970</v>
      </c>
      <c r="G207" t="s">
        <v>12</v>
      </c>
      <c r="I207" t="s">
        <v>9213</v>
      </c>
      <c r="J207" t="s">
        <v>10036</v>
      </c>
      <c r="K207" s="9">
        <v>4.1159999999999997</v>
      </c>
      <c r="L207" s="9">
        <v>0.22250011702003011</v>
      </c>
      <c r="M207" s="11">
        <v>52.76736545205712</v>
      </c>
      <c r="N207" s="10">
        <v>534.39779722521598</v>
      </c>
    </row>
    <row r="208" spans="1:14">
      <c r="A208" t="s">
        <v>1967</v>
      </c>
      <c r="B208" t="s">
        <v>9215</v>
      </c>
      <c r="C208" t="s">
        <v>9216</v>
      </c>
      <c r="D208" t="s">
        <v>11</v>
      </c>
      <c r="E208" t="s">
        <v>13</v>
      </c>
      <c r="F208" t="s">
        <v>1970</v>
      </c>
      <c r="G208" t="s">
        <v>12</v>
      </c>
      <c r="I208" t="s">
        <v>9215</v>
      </c>
      <c r="J208" t="s">
        <v>10037</v>
      </c>
      <c r="K208" s="11">
        <v>22.580249999999999</v>
      </c>
      <c r="L208" s="9">
        <v>0.27493200927249378</v>
      </c>
      <c r="M208" s="11">
        <v>95.93052651481436</v>
      </c>
      <c r="N208" s="10">
        <v>727.76875878636838</v>
      </c>
    </row>
    <row r="209" spans="1:14">
      <c r="A209" t="s">
        <v>1967</v>
      </c>
      <c r="B209" t="s">
        <v>9217</v>
      </c>
      <c r="C209" t="s">
        <v>9218</v>
      </c>
      <c r="D209" t="s">
        <v>11</v>
      </c>
      <c r="E209" t="s">
        <v>13</v>
      </c>
      <c r="F209" t="s">
        <v>1970</v>
      </c>
      <c r="G209" t="s">
        <v>12</v>
      </c>
      <c r="I209" t="s">
        <v>9217</v>
      </c>
      <c r="J209" t="s">
        <v>10038</v>
      </c>
      <c r="K209" s="11">
        <v>23.015250000000002</v>
      </c>
      <c r="L209" s="9">
        <v>0.24566022333417531</v>
      </c>
      <c r="M209" s="11">
        <v>63.841286343265899</v>
      </c>
      <c r="N209" s="10">
        <v>584.00896281783128</v>
      </c>
    </row>
    <row r="210" spans="1:14">
      <c r="A210" t="s">
        <v>1967</v>
      </c>
      <c r="B210" t="s">
        <v>9219</v>
      </c>
      <c r="C210" t="s">
        <v>9220</v>
      </c>
      <c r="D210" t="s">
        <v>11</v>
      </c>
      <c r="E210" t="s">
        <v>13</v>
      </c>
      <c r="F210" t="s">
        <v>1970</v>
      </c>
      <c r="G210" t="s">
        <v>12</v>
      </c>
      <c r="I210" t="s">
        <v>9219</v>
      </c>
      <c r="J210" t="s">
        <v>10039</v>
      </c>
      <c r="K210" s="11">
        <v>17.7225</v>
      </c>
      <c r="L210" s="9">
        <v>0.24408956111531979</v>
      </c>
      <c r="M210" s="11">
        <v>60.162207053919815</v>
      </c>
      <c r="N210" s="10">
        <v>567.52668760156075</v>
      </c>
    </row>
    <row r="211" spans="1:14">
      <c r="A211" t="s">
        <v>1967</v>
      </c>
      <c r="B211" t="s">
        <v>9221</v>
      </c>
      <c r="C211" t="s">
        <v>9222</v>
      </c>
      <c r="D211" t="s">
        <v>11</v>
      </c>
      <c r="E211" t="s">
        <v>13</v>
      </c>
      <c r="F211" t="s">
        <v>1970</v>
      </c>
      <c r="G211" t="s">
        <v>12</v>
      </c>
      <c r="I211" t="s">
        <v>9221</v>
      </c>
      <c r="J211" t="s">
        <v>10040</v>
      </c>
      <c r="K211" s="11">
        <v>16.895250000000001</v>
      </c>
      <c r="L211" s="9">
        <v>0.25623617761701761</v>
      </c>
      <c r="M211" s="10">
        <v>109.95351115556022</v>
      </c>
      <c r="N211" s="10">
        <v>790.59172997690985</v>
      </c>
    </row>
    <row r="212" spans="1:14">
      <c r="A212" t="s">
        <v>1967</v>
      </c>
      <c r="B212" t="s">
        <v>9223</v>
      </c>
      <c r="C212" t="s">
        <v>9224</v>
      </c>
      <c r="D212" t="s">
        <v>11</v>
      </c>
      <c r="E212" t="s">
        <v>13</v>
      </c>
      <c r="F212" t="s">
        <v>1970</v>
      </c>
      <c r="G212" t="s">
        <v>12</v>
      </c>
      <c r="I212" t="s">
        <v>9223</v>
      </c>
      <c r="J212" t="s">
        <v>10041</v>
      </c>
      <c r="K212" s="9">
        <v>5.9212499999999997</v>
      </c>
      <c r="L212" s="9">
        <v>0.2790252969041957</v>
      </c>
      <c r="M212" s="11">
        <v>37.398264036732648</v>
      </c>
      <c r="N212" s="10">
        <v>395.71258945187793</v>
      </c>
    </row>
    <row r="213" spans="1:14">
      <c r="A213" t="s">
        <v>1967</v>
      </c>
      <c r="B213" t="s">
        <v>9225</v>
      </c>
      <c r="C213" t="s">
        <v>9226</v>
      </c>
      <c r="D213" t="s">
        <v>11</v>
      </c>
      <c r="E213" t="s">
        <v>13</v>
      </c>
      <c r="F213" t="s">
        <v>1970</v>
      </c>
      <c r="G213" t="s">
        <v>12</v>
      </c>
      <c r="I213" t="s">
        <v>9225</v>
      </c>
      <c r="J213" t="s">
        <v>10042</v>
      </c>
      <c r="K213" s="9">
        <v>0.13500000000000001</v>
      </c>
      <c r="L213" s="9">
        <v>0.2136680178504195</v>
      </c>
      <c r="M213" s="11">
        <v>48.422064671629926</v>
      </c>
      <c r="N213" s="10">
        <v>437.69122226956677</v>
      </c>
    </row>
    <row r="214" spans="1:14">
      <c r="A214" t="s">
        <v>1967</v>
      </c>
      <c r="B214" t="s">
        <v>9227</v>
      </c>
      <c r="C214" t="s">
        <v>9228</v>
      </c>
      <c r="D214" t="s">
        <v>11</v>
      </c>
      <c r="E214" t="s">
        <v>13</v>
      </c>
      <c r="F214" t="s">
        <v>1970</v>
      </c>
      <c r="G214" t="s">
        <v>12</v>
      </c>
      <c r="I214" t="s">
        <v>9227</v>
      </c>
      <c r="J214" t="s">
        <v>10043</v>
      </c>
      <c r="K214" s="11">
        <v>97.291499999999999</v>
      </c>
      <c r="L214" s="9">
        <v>0.23077335559281109</v>
      </c>
      <c r="M214" s="10">
        <v>187.21506707982761</v>
      </c>
      <c r="N214" s="10">
        <v>881.45421403535397</v>
      </c>
    </row>
    <row r="215" spans="1:14">
      <c r="A215" t="s">
        <v>1967</v>
      </c>
      <c r="B215" t="s">
        <v>9229</v>
      </c>
      <c r="C215" t="s">
        <v>9230</v>
      </c>
      <c r="D215" t="s">
        <v>11</v>
      </c>
      <c r="E215" t="s">
        <v>13</v>
      </c>
      <c r="F215" t="s">
        <v>1970</v>
      </c>
      <c r="G215" t="s">
        <v>12</v>
      </c>
      <c r="I215" t="s">
        <v>9229</v>
      </c>
      <c r="J215" t="s">
        <v>10044</v>
      </c>
      <c r="K215" s="11">
        <v>56.646000000000001</v>
      </c>
      <c r="L215" s="9">
        <v>0.2600417423433537</v>
      </c>
      <c r="M215" s="10">
        <v>578.68287596622315</v>
      </c>
      <c r="N215" s="10">
        <v>1167.6171823313091</v>
      </c>
    </row>
    <row r="216" spans="1:14">
      <c r="A216" t="s">
        <v>1967</v>
      </c>
      <c r="B216" t="s">
        <v>9231</v>
      </c>
      <c r="C216" t="s">
        <v>9230</v>
      </c>
      <c r="D216" t="s">
        <v>11</v>
      </c>
      <c r="E216" t="s">
        <v>13</v>
      </c>
      <c r="F216" t="s">
        <v>1970</v>
      </c>
      <c r="G216" t="s">
        <v>12</v>
      </c>
      <c r="I216" t="s">
        <v>9231</v>
      </c>
      <c r="J216" t="s">
        <v>10045</v>
      </c>
      <c r="K216" s="10">
        <v>336.9</v>
      </c>
      <c r="L216" s="9">
        <v>0.38425028679520451</v>
      </c>
      <c r="M216" s="10">
        <v>820.63409660677701</v>
      </c>
      <c r="N216" s="10">
        <v>1344.4835246195539</v>
      </c>
    </row>
    <row r="217" spans="1:14">
      <c r="A217" t="s">
        <v>1967</v>
      </c>
      <c r="B217" t="s">
        <v>9232</v>
      </c>
      <c r="C217" t="s">
        <v>9230</v>
      </c>
      <c r="D217" t="s">
        <v>11</v>
      </c>
      <c r="E217" t="s">
        <v>13</v>
      </c>
      <c r="F217" t="s">
        <v>1970</v>
      </c>
      <c r="G217" t="s">
        <v>12</v>
      </c>
      <c r="I217" t="s">
        <v>9232</v>
      </c>
      <c r="J217" t="s">
        <v>10046</v>
      </c>
      <c r="K217" s="10">
        <v>160.53825000000001</v>
      </c>
      <c r="L217" s="9">
        <v>0.29885524156192678</v>
      </c>
      <c r="M217" s="10">
        <v>642.18242391408137</v>
      </c>
      <c r="N217" s="10">
        <v>1214.0353518811933</v>
      </c>
    </row>
    <row r="218" spans="1:14">
      <c r="A218" t="s">
        <v>1967</v>
      </c>
      <c r="B218" t="s">
        <v>9233</v>
      </c>
      <c r="C218" t="s">
        <v>9234</v>
      </c>
      <c r="D218" t="s">
        <v>11</v>
      </c>
      <c r="E218" t="s">
        <v>13</v>
      </c>
      <c r="F218" t="s">
        <v>1970</v>
      </c>
      <c r="G218" t="s">
        <v>12</v>
      </c>
      <c r="I218" t="s">
        <v>9233</v>
      </c>
      <c r="J218" t="s">
        <v>10047</v>
      </c>
      <c r="K218" s="10">
        <v>114.063</v>
      </c>
      <c r="L218" s="9">
        <v>0.26221734163484151</v>
      </c>
      <c r="M218" s="10">
        <v>631.91281967464511</v>
      </c>
      <c r="N218" s="10">
        <v>1206.5282711821656</v>
      </c>
    </row>
    <row r="219" spans="1:14">
      <c r="A219" t="s">
        <v>1967</v>
      </c>
      <c r="B219" t="s">
        <v>9235</v>
      </c>
      <c r="C219" t="s">
        <v>9236</v>
      </c>
      <c r="D219" t="s">
        <v>11</v>
      </c>
      <c r="E219" t="s">
        <v>13</v>
      </c>
      <c r="F219" t="s">
        <v>1970</v>
      </c>
      <c r="G219" t="s">
        <v>12</v>
      </c>
      <c r="I219" t="s">
        <v>9235</v>
      </c>
      <c r="J219" t="s">
        <v>10048</v>
      </c>
      <c r="K219" s="10">
        <v>291.39449999999999</v>
      </c>
      <c r="L219" s="9">
        <v>0.22009338318393601</v>
      </c>
      <c r="M219" s="10">
        <v>220.31544414852505</v>
      </c>
      <c r="N219" s="10">
        <v>905.65058967257175</v>
      </c>
    </row>
    <row r="220" spans="1:14">
      <c r="A220" t="s">
        <v>1967</v>
      </c>
      <c r="B220" t="s">
        <v>9237</v>
      </c>
      <c r="C220" t="s">
        <v>9238</v>
      </c>
      <c r="D220" t="s">
        <v>11</v>
      </c>
      <c r="E220" t="s">
        <v>13</v>
      </c>
      <c r="F220" t="s">
        <v>1970</v>
      </c>
      <c r="G220" t="s">
        <v>12</v>
      </c>
      <c r="I220" t="s">
        <v>9237</v>
      </c>
      <c r="J220" t="s">
        <v>10049</v>
      </c>
      <c r="K220" s="11">
        <v>20.095500000000001</v>
      </c>
      <c r="L220" s="9">
        <v>0.2354593343612349</v>
      </c>
      <c r="M220" s="10">
        <v>499.47995749981385</v>
      </c>
      <c r="N220" s="10">
        <v>1109.7198489323639</v>
      </c>
    </row>
    <row r="221" spans="1:14">
      <c r="A221" t="s">
        <v>1967</v>
      </c>
      <c r="B221" t="s">
        <v>9239</v>
      </c>
      <c r="C221" t="s">
        <v>9240</v>
      </c>
      <c r="D221" t="s">
        <v>11</v>
      </c>
      <c r="E221" t="s">
        <v>13</v>
      </c>
      <c r="F221" t="s">
        <v>1970</v>
      </c>
      <c r="G221" t="s">
        <v>12</v>
      </c>
      <c r="I221" t="s">
        <v>9239</v>
      </c>
      <c r="J221" t="s">
        <v>10050</v>
      </c>
      <c r="K221" s="11">
        <v>13.478999999999999</v>
      </c>
      <c r="L221" s="9">
        <v>0.2343863533190565</v>
      </c>
      <c r="M221" s="10">
        <v>146.52255439274734</v>
      </c>
      <c r="N221" s="10">
        <v>811.25788712758185</v>
      </c>
    </row>
    <row r="222" spans="1:14">
      <c r="A222" t="s">
        <v>1967</v>
      </c>
      <c r="B222" t="s">
        <v>9241</v>
      </c>
      <c r="C222" t="s">
        <v>9242</v>
      </c>
      <c r="D222" t="s">
        <v>11</v>
      </c>
      <c r="E222" t="s">
        <v>13</v>
      </c>
      <c r="F222" t="s">
        <v>1970</v>
      </c>
      <c r="G222" t="s">
        <v>12</v>
      </c>
      <c r="I222" t="s">
        <v>9241</v>
      </c>
      <c r="J222" t="s">
        <v>10051</v>
      </c>
      <c r="K222" s="9">
        <v>1.2622500000000001</v>
      </c>
      <c r="L222" s="9">
        <v>0.21618716759964479</v>
      </c>
      <c r="M222" s="10">
        <v>479.60089842198551</v>
      </c>
      <c r="N222" s="10">
        <v>1095.1882567464713</v>
      </c>
    </row>
    <row r="223" spans="1:14">
      <c r="A223" t="s">
        <v>1967</v>
      </c>
      <c r="B223" t="s">
        <v>9243</v>
      </c>
      <c r="C223" t="s">
        <v>9244</v>
      </c>
      <c r="D223" t="s">
        <v>11</v>
      </c>
      <c r="E223" t="s">
        <v>13</v>
      </c>
      <c r="F223" t="s">
        <v>1970</v>
      </c>
      <c r="G223" t="s">
        <v>12</v>
      </c>
      <c r="I223" t="s">
        <v>9243</v>
      </c>
      <c r="J223" t="s">
        <v>10052</v>
      </c>
      <c r="K223" s="11">
        <v>25.102499999999999</v>
      </c>
      <c r="L223" s="9">
        <v>0.24999589886091089</v>
      </c>
      <c r="M223" s="10">
        <v>210.38350802577435</v>
      </c>
      <c r="N223" s="10">
        <v>898.39034436684096</v>
      </c>
    </row>
    <row r="224" spans="1:14">
      <c r="A224" t="s">
        <v>1967</v>
      </c>
      <c r="B224" t="s">
        <v>9245</v>
      </c>
      <c r="C224" t="s">
        <v>9246</v>
      </c>
      <c r="D224" t="s">
        <v>11</v>
      </c>
      <c r="E224" t="s">
        <v>13</v>
      </c>
      <c r="F224" t="s">
        <v>1970</v>
      </c>
      <c r="G224" t="s">
        <v>12</v>
      </c>
      <c r="I224" t="s">
        <v>9245</v>
      </c>
      <c r="J224" t="s">
        <v>10053</v>
      </c>
      <c r="K224" s="11">
        <v>11.221500000000001</v>
      </c>
      <c r="L224" s="9">
        <v>0.2652536138605725</v>
      </c>
      <c r="M224" s="10">
        <v>295.56523624306209</v>
      </c>
      <c r="N224" s="10">
        <v>960.65818769367843</v>
      </c>
    </row>
    <row r="225" spans="1:14">
      <c r="A225" t="s">
        <v>1967</v>
      </c>
      <c r="B225" t="s">
        <v>9247</v>
      </c>
      <c r="C225" t="s">
        <v>9248</v>
      </c>
      <c r="D225" t="s">
        <v>11</v>
      </c>
      <c r="E225" t="s">
        <v>13</v>
      </c>
      <c r="F225" t="s">
        <v>1970</v>
      </c>
      <c r="G225" t="s">
        <v>12</v>
      </c>
      <c r="I225" t="s">
        <v>9247</v>
      </c>
      <c r="J225" t="s">
        <v>10054</v>
      </c>
      <c r="K225" s="11">
        <v>94.391999999999996</v>
      </c>
      <c r="L225" s="9">
        <v>0.25480241804241049</v>
      </c>
      <c r="M225" s="10">
        <v>111.3731803081518</v>
      </c>
      <c r="N225" s="10">
        <v>677.40907061344205</v>
      </c>
    </row>
    <row r="226" spans="1:14">
      <c r="A226" t="s">
        <v>1967</v>
      </c>
      <c r="B226" t="s">
        <v>9249</v>
      </c>
      <c r="C226" t="s">
        <v>9250</v>
      </c>
      <c r="D226" t="s">
        <v>11</v>
      </c>
      <c r="E226" t="s">
        <v>13</v>
      </c>
      <c r="F226" t="s">
        <v>1970</v>
      </c>
      <c r="G226" t="s">
        <v>12</v>
      </c>
      <c r="I226" t="s">
        <v>9249</v>
      </c>
      <c r="J226" t="s">
        <v>10055</v>
      </c>
      <c r="K226" s="11">
        <v>48.383249999999997</v>
      </c>
      <c r="L226" s="9">
        <v>0.28105826593180511</v>
      </c>
      <c r="M226" s="10">
        <v>162.88392515483616</v>
      </c>
      <c r="N226" s="10">
        <v>863.66814928818519</v>
      </c>
    </row>
    <row r="227" spans="1:14">
      <c r="A227" t="s">
        <v>1967</v>
      </c>
      <c r="B227" t="s">
        <v>9251</v>
      </c>
      <c r="C227" t="s">
        <v>9252</v>
      </c>
      <c r="D227" t="s">
        <v>11</v>
      </c>
      <c r="E227" t="s">
        <v>13</v>
      </c>
      <c r="F227" t="s">
        <v>1970</v>
      </c>
      <c r="G227" t="s">
        <v>12</v>
      </c>
      <c r="I227" t="s">
        <v>9251</v>
      </c>
      <c r="J227" t="s">
        <v>10056</v>
      </c>
      <c r="K227" s="10">
        <v>170.19749999999999</v>
      </c>
      <c r="L227" s="9">
        <v>0.30814352946516999</v>
      </c>
      <c r="M227" s="10">
        <v>141.40851031706541</v>
      </c>
      <c r="N227" s="10">
        <v>791.78360728738517</v>
      </c>
    </row>
    <row r="228" spans="1:14">
      <c r="A228" t="s">
        <v>1967</v>
      </c>
      <c r="B228" t="s">
        <v>9253</v>
      </c>
      <c r="C228" t="s">
        <v>9254</v>
      </c>
      <c r="D228" t="s">
        <v>11</v>
      </c>
      <c r="E228" t="s">
        <v>13</v>
      </c>
      <c r="F228" t="s">
        <v>1970</v>
      </c>
      <c r="G228" t="s">
        <v>12</v>
      </c>
      <c r="I228" t="s">
        <v>9253</v>
      </c>
      <c r="J228" t="s">
        <v>10057</v>
      </c>
      <c r="K228" s="11">
        <v>26.994</v>
      </c>
      <c r="L228" s="9">
        <v>0.3090613482312376</v>
      </c>
      <c r="M228" s="11">
        <v>58.1391460553914</v>
      </c>
      <c r="N228" s="10">
        <v>474.69386817893053</v>
      </c>
    </row>
    <row r="229" spans="1:14">
      <c r="A229" t="s">
        <v>1967</v>
      </c>
      <c r="B229" t="s">
        <v>9255</v>
      </c>
      <c r="C229" t="s">
        <v>9256</v>
      </c>
      <c r="D229" t="s">
        <v>11</v>
      </c>
      <c r="E229" t="s">
        <v>13</v>
      </c>
      <c r="F229" t="s">
        <v>1970</v>
      </c>
      <c r="G229" t="s">
        <v>12</v>
      </c>
      <c r="I229" t="s">
        <v>9255</v>
      </c>
      <c r="J229" t="s">
        <v>10058</v>
      </c>
      <c r="K229" s="11">
        <v>42.478499999999997</v>
      </c>
      <c r="L229" s="9">
        <v>0.45951520077677538</v>
      </c>
      <c r="M229" s="11">
        <v>87.217888025001187</v>
      </c>
      <c r="N229" s="10">
        <v>585.42571759920452</v>
      </c>
    </row>
    <row r="230" spans="1:14">
      <c r="A230" t="s">
        <v>1967</v>
      </c>
      <c r="B230" t="s">
        <v>9257</v>
      </c>
      <c r="C230" t="s">
        <v>9258</v>
      </c>
      <c r="D230" t="s">
        <v>11</v>
      </c>
      <c r="E230" t="s">
        <v>13</v>
      </c>
      <c r="F230" t="s">
        <v>1970</v>
      </c>
      <c r="G230" t="s">
        <v>12</v>
      </c>
      <c r="I230" t="s">
        <v>9257</v>
      </c>
      <c r="J230" t="s">
        <v>10059</v>
      </c>
      <c r="K230" s="11">
        <v>41.874000000000002</v>
      </c>
      <c r="L230" s="9">
        <v>0.28070317655551541</v>
      </c>
      <c r="M230" s="11">
        <v>56.206162973809462</v>
      </c>
      <c r="N230" s="10">
        <v>467.33306860426649</v>
      </c>
    </row>
    <row r="231" spans="1:14">
      <c r="A231" t="s">
        <v>1967</v>
      </c>
      <c r="B231" t="s">
        <v>9259</v>
      </c>
      <c r="C231" t="s">
        <v>9260</v>
      </c>
      <c r="D231" t="s">
        <v>11</v>
      </c>
      <c r="E231" t="s">
        <v>13</v>
      </c>
      <c r="F231" t="s">
        <v>1970</v>
      </c>
      <c r="G231" t="s">
        <v>12</v>
      </c>
      <c r="I231" t="s">
        <v>9259</v>
      </c>
      <c r="J231" t="s">
        <v>10060</v>
      </c>
      <c r="K231" s="11">
        <v>81.1905</v>
      </c>
      <c r="L231" s="9">
        <v>0.26478001117562661</v>
      </c>
      <c r="M231" s="10">
        <v>135.11589215765031</v>
      </c>
      <c r="N231" s="10">
        <v>767.82131733633241</v>
      </c>
    </row>
    <row r="232" spans="1:14">
      <c r="A232" t="s">
        <v>1967</v>
      </c>
      <c r="B232" t="s">
        <v>9261</v>
      </c>
      <c r="C232" t="s">
        <v>9262</v>
      </c>
      <c r="D232" t="s">
        <v>11</v>
      </c>
      <c r="E232" t="s">
        <v>13</v>
      </c>
      <c r="F232" t="s">
        <v>1970</v>
      </c>
      <c r="G232" t="s">
        <v>12</v>
      </c>
      <c r="I232" t="s">
        <v>9261</v>
      </c>
      <c r="J232" t="s">
        <v>10061</v>
      </c>
      <c r="K232" s="10">
        <v>226.4265</v>
      </c>
      <c r="L232" s="9">
        <v>0.58283626167912606</v>
      </c>
      <c r="M232" s="10">
        <v>183.46883148001623</v>
      </c>
      <c r="N232" s="10">
        <v>1033.7831950728139</v>
      </c>
    </row>
    <row r="233" spans="1:14">
      <c r="A233" t="s">
        <v>1967</v>
      </c>
      <c r="B233" t="s">
        <v>9263</v>
      </c>
      <c r="C233" t="s">
        <v>9264</v>
      </c>
      <c r="D233" t="s">
        <v>11</v>
      </c>
      <c r="E233" t="s">
        <v>13</v>
      </c>
      <c r="F233" t="s">
        <v>1970</v>
      </c>
      <c r="G233" t="s">
        <v>12</v>
      </c>
      <c r="I233" t="s">
        <v>9263</v>
      </c>
      <c r="J233" t="s">
        <v>10062</v>
      </c>
      <c r="K233" s="9">
        <v>0.54149999999999998</v>
      </c>
      <c r="L233" s="9">
        <v>0.3670703733745318</v>
      </c>
      <c r="M233" s="11">
        <v>46.211785847012877</v>
      </c>
      <c r="N233" s="10">
        <v>505.02880059461768</v>
      </c>
    </row>
    <row r="234" spans="1:14">
      <c r="A234" t="s">
        <v>1967</v>
      </c>
      <c r="B234" t="s">
        <v>9265</v>
      </c>
      <c r="C234" t="s">
        <v>9266</v>
      </c>
      <c r="D234" t="s">
        <v>11</v>
      </c>
      <c r="E234" t="s">
        <v>13</v>
      </c>
      <c r="F234" t="s">
        <v>1970</v>
      </c>
      <c r="G234" t="s">
        <v>12</v>
      </c>
      <c r="I234" t="s">
        <v>9265</v>
      </c>
      <c r="J234" t="s">
        <v>10063</v>
      </c>
      <c r="K234" s="11">
        <v>88.061000000000007</v>
      </c>
      <c r="L234" s="9">
        <v>0.54716830875675171</v>
      </c>
      <c r="M234" s="10">
        <v>108.94222707205419</v>
      </c>
      <c r="N234" s="10">
        <v>786.06117728280287</v>
      </c>
    </row>
    <row r="235" spans="1:14">
      <c r="A235" t="s">
        <v>1967</v>
      </c>
      <c r="B235" t="s">
        <v>9267</v>
      </c>
      <c r="C235" t="s">
        <v>9268</v>
      </c>
      <c r="D235" t="s">
        <v>11</v>
      </c>
      <c r="E235" t="s">
        <v>13</v>
      </c>
      <c r="F235" t="s">
        <v>1970</v>
      </c>
      <c r="G235" t="s">
        <v>12</v>
      </c>
      <c r="I235" t="s">
        <v>9267</v>
      </c>
      <c r="J235" t="s">
        <v>10064</v>
      </c>
      <c r="K235" s="10">
        <v>131.94300000000001</v>
      </c>
      <c r="L235" s="9">
        <v>0.61153456553741659</v>
      </c>
      <c r="M235" s="10">
        <v>232.9675313712311</v>
      </c>
      <c r="N235" s="10">
        <v>1076.3520769792588</v>
      </c>
    </row>
    <row r="236" spans="1:14">
      <c r="A236" t="s">
        <v>1967</v>
      </c>
      <c r="B236" t="s">
        <v>9269</v>
      </c>
      <c r="C236" t="s">
        <v>9270</v>
      </c>
      <c r="D236" t="s">
        <v>11</v>
      </c>
      <c r="E236" t="s">
        <v>13</v>
      </c>
      <c r="F236" t="s">
        <v>1970</v>
      </c>
      <c r="G236" t="s">
        <v>12</v>
      </c>
      <c r="I236" t="s">
        <v>9269</v>
      </c>
      <c r="J236" t="s">
        <v>10065</v>
      </c>
      <c r="K236" s="11">
        <v>15.43125</v>
      </c>
      <c r="L236" s="9">
        <v>0.67195295071933847</v>
      </c>
      <c r="M236" s="10">
        <v>718.00175350027121</v>
      </c>
      <c r="N236" s="10">
        <v>1493.4815080102333</v>
      </c>
    </row>
    <row r="237" spans="1:14">
      <c r="A237" t="s">
        <v>1967</v>
      </c>
      <c r="B237" t="s">
        <v>9271</v>
      </c>
      <c r="C237" t="s">
        <v>9272</v>
      </c>
      <c r="D237" t="s">
        <v>11</v>
      </c>
      <c r="E237" t="s">
        <v>13</v>
      </c>
      <c r="F237" t="s">
        <v>1970</v>
      </c>
      <c r="G237" t="s">
        <v>12</v>
      </c>
      <c r="I237" t="s">
        <v>9271</v>
      </c>
      <c r="J237" t="s">
        <v>10066</v>
      </c>
      <c r="K237" s="10">
        <v>229.90725</v>
      </c>
      <c r="L237" s="9">
        <v>0.61784990255561834</v>
      </c>
      <c r="M237" s="10">
        <v>244.39891364206801</v>
      </c>
      <c r="N237" s="10">
        <v>1086.1830657321784</v>
      </c>
    </row>
    <row r="238" spans="1:14">
      <c r="A238" t="s">
        <v>1967</v>
      </c>
      <c r="B238" t="s">
        <v>9273</v>
      </c>
      <c r="C238" t="s">
        <v>9274</v>
      </c>
      <c r="D238" t="s">
        <v>11</v>
      </c>
      <c r="E238" t="s">
        <v>13</v>
      </c>
      <c r="F238" t="s">
        <v>1970</v>
      </c>
      <c r="G238" t="s">
        <v>12</v>
      </c>
      <c r="I238" t="s">
        <v>9273</v>
      </c>
      <c r="J238" t="s">
        <v>10067</v>
      </c>
      <c r="K238" s="11">
        <v>29.211749999999999</v>
      </c>
      <c r="L238" s="9">
        <v>0.31777751682516092</v>
      </c>
      <c r="M238" s="10">
        <v>150.58752287656677</v>
      </c>
      <c r="N238" s="10">
        <v>826.73728711396632</v>
      </c>
    </row>
    <row r="239" spans="1:14">
      <c r="A239" t="s">
        <v>1967</v>
      </c>
      <c r="B239" t="s">
        <v>9275</v>
      </c>
      <c r="C239" t="s">
        <v>9274</v>
      </c>
      <c r="D239" t="s">
        <v>11</v>
      </c>
      <c r="E239" t="s">
        <v>13</v>
      </c>
      <c r="F239" t="s">
        <v>1970</v>
      </c>
      <c r="G239" t="s">
        <v>12</v>
      </c>
      <c r="I239" t="s">
        <v>9275</v>
      </c>
      <c r="J239" t="s">
        <v>10068</v>
      </c>
      <c r="K239" s="11">
        <v>23.326499999999999</v>
      </c>
      <c r="L239" s="9">
        <v>0.32472751743425421</v>
      </c>
      <c r="M239" s="10">
        <v>113.33112565552862</v>
      </c>
      <c r="N239" s="10">
        <v>684.86492649625302</v>
      </c>
    </row>
    <row r="240" spans="1:14">
      <c r="A240" t="s">
        <v>1967</v>
      </c>
      <c r="B240" t="s">
        <v>9276</v>
      </c>
      <c r="C240" t="s">
        <v>9277</v>
      </c>
      <c r="D240" t="s">
        <v>11</v>
      </c>
      <c r="E240" t="s">
        <v>13</v>
      </c>
      <c r="F240" t="s">
        <v>1970</v>
      </c>
      <c r="G240" t="s">
        <v>12</v>
      </c>
      <c r="I240" t="s">
        <v>9276</v>
      </c>
      <c r="J240" t="s">
        <v>10069</v>
      </c>
      <c r="K240" s="11">
        <v>17.836500000000001</v>
      </c>
      <c r="L240" s="9">
        <v>0.22448665419943839</v>
      </c>
      <c r="M240" s="10">
        <v>349.71863770590085</v>
      </c>
      <c r="N240" s="10">
        <v>1000.2443241630135</v>
      </c>
    </row>
    <row r="241" spans="1:14">
      <c r="A241" t="s">
        <v>1967</v>
      </c>
      <c r="B241" t="s">
        <v>9278</v>
      </c>
      <c r="C241" t="s">
        <v>9274</v>
      </c>
      <c r="D241" t="s">
        <v>11</v>
      </c>
      <c r="E241" t="s">
        <v>13</v>
      </c>
      <c r="F241" t="s">
        <v>1970</v>
      </c>
      <c r="G241" t="s">
        <v>12</v>
      </c>
      <c r="I241" t="s">
        <v>9278</v>
      </c>
      <c r="J241" t="s">
        <v>10070</v>
      </c>
      <c r="K241" s="11">
        <v>40.736249999999998</v>
      </c>
      <c r="L241" s="9">
        <v>0.26766027322833408</v>
      </c>
      <c r="M241" s="10">
        <v>294.05544347962012</v>
      </c>
      <c r="N241" s="10">
        <v>959.5545291836022</v>
      </c>
    </row>
    <row r="242" spans="1:14">
      <c r="A242" t="s">
        <v>1967</v>
      </c>
      <c r="B242" t="s">
        <v>9279</v>
      </c>
      <c r="C242" t="s">
        <v>9280</v>
      </c>
      <c r="D242" t="s">
        <v>11</v>
      </c>
      <c r="E242" t="s">
        <v>13</v>
      </c>
      <c r="F242" t="s">
        <v>1970</v>
      </c>
      <c r="G242" t="s">
        <v>12</v>
      </c>
      <c r="I242" t="s">
        <v>9279</v>
      </c>
      <c r="J242" t="s">
        <v>10071</v>
      </c>
      <c r="K242" s="11">
        <v>50.225250000000003</v>
      </c>
      <c r="L242" s="9">
        <v>0.24190314794705001</v>
      </c>
      <c r="M242" s="11">
        <v>83.453448901970191</v>
      </c>
      <c r="N242" s="10">
        <v>671.87145108082655</v>
      </c>
    </row>
    <row r="243" spans="1:14">
      <c r="A243" t="s">
        <v>1967</v>
      </c>
      <c r="B243" t="s">
        <v>9281</v>
      </c>
      <c r="C243" t="s">
        <v>9282</v>
      </c>
      <c r="D243" t="s">
        <v>11</v>
      </c>
      <c r="E243" t="s">
        <v>13</v>
      </c>
      <c r="F243" t="s">
        <v>1970</v>
      </c>
      <c r="G243" t="s">
        <v>12</v>
      </c>
      <c r="I243" t="s">
        <v>9281</v>
      </c>
      <c r="J243" t="s">
        <v>10072</v>
      </c>
      <c r="K243" s="11">
        <v>81.932249999999996</v>
      </c>
      <c r="L243" s="9">
        <v>0.2923383076759955</v>
      </c>
      <c r="M243" s="11">
        <v>56.172407919524467</v>
      </c>
      <c r="N243" s="10">
        <v>549.65238747946967</v>
      </c>
    </row>
    <row r="244" spans="1:14">
      <c r="A244" t="s">
        <v>1967</v>
      </c>
      <c r="B244" t="s">
        <v>9283</v>
      </c>
      <c r="C244" t="s">
        <v>9284</v>
      </c>
      <c r="D244" t="s">
        <v>11</v>
      </c>
      <c r="E244" t="s">
        <v>13</v>
      </c>
      <c r="F244" t="s">
        <v>1970</v>
      </c>
      <c r="G244" t="s">
        <v>12</v>
      </c>
      <c r="I244" t="s">
        <v>9283</v>
      </c>
      <c r="J244" t="s">
        <v>10073</v>
      </c>
      <c r="K244" s="11">
        <v>28.463999999999999</v>
      </c>
      <c r="L244" s="9">
        <v>0.29632081358157308</v>
      </c>
      <c r="M244" s="11">
        <v>56.686839191904923</v>
      </c>
      <c r="N244" s="10">
        <v>551.9570395797341</v>
      </c>
    </row>
    <row r="245" spans="1:14">
      <c r="A245" t="s">
        <v>1967</v>
      </c>
      <c r="B245" t="s">
        <v>9285</v>
      </c>
      <c r="C245" t="s">
        <v>9286</v>
      </c>
      <c r="D245" t="s">
        <v>11</v>
      </c>
      <c r="E245" t="s">
        <v>13</v>
      </c>
      <c r="F245" t="s">
        <v>1970</v>
      </c>
      <c r="G245" t="s">
        <v>12</v>
      </c>
      <c r="I245" t="s">
        <v>9285</v>
      </c>
      <c r="J245" t="s">
        <v>10074</v>
      </c>
      <c r="K245" s="11">
        <v>63.626249999999999</v>
      </c>
      <c r="L245" s="9">
        <v>0.23749644759798369</v>
      </c>
      <c r="M245" s="11">
        <v>67.278327268075373</v>
      </c>
      <c r="N245" s="10">
        <v>599.40690616097777</v>
      </c>
    </row>
    <row r="246" spans="1:14">
      <c r="A246" t="s">
        <v>1967</v>
      </c>
      <c r="B246" t="s">
        <v>9287</v>
      </c>
      <c r="C246" t="s">
        <v>9288</v>
      </c>
      <c r="D246" t="s">
        <v>11</v>
      </c>
      <c r="E246" t="s">
        <v>13</v>
      </c>
      <c r="F246" t="s">
        <v>1970</v>
      </c>
      <c r="G246" t="s">
        <v>12</v>
      </c>
      <c r="I246" t="s">
        <v>9287</v>
      </c>
      <c r="J246" t="s">
        <v>10075</v>
      </c>
      <c r="K246" s="11">
        <v>17.103750000000002</v>
      </c>
      <c r="L246" s="9">
        <v>0.23349165355331869</v>
      </c>
      <c r="M246" s="11">
        <v>47.16746655834114</v>
      </c>
      <c r="N246" s="10">
        <v>509.31025018136836</v>
      </c>
    </row>
    <row r="247" spans="1:14">
      <c r="A247" t="s">
        <v>1967</v>
      </c>
      <c r="B247" t="s">
        <v>9289</v>
      </c>
      <c r="C247" t="s">
        <v>9290</v>
      </c>
      <c r="D247" t="s">
        <v>11</v>
      </c>
      <c r="E247" t="s">
        <v>13</v>
      </c>
      <c r="F247" t="s">
        <v>1970</v>
      </c>
      <c r="G247" t="s">
        <v>12</v>
      </c>
      <c r="I247" t="s">
        <v>9289</v>
      </c>
      <c r="J247" t="s">
        <v>10076</v>
      </c>
      <c r="K247" s="10">
        <v>112.6395</v>
      </c>
      <c r="L247" s="9">
        <v>0.37277367928436389</v>
      </c>
      <c r="M247" s="10">
        <v>103.58697564319094</v>
      </c>
      <c r="N247" s="10">
        <v>762.06965088149548</v>
      </c>
    </row>
    <row r="248" spans="1:14">
      <c r="A248" t="s">
        <v>1967</v>
      </c>
      <c r="B248" t="s">
        <v>9291</v>
      </c>
      <c r="C248" t="s">
        <v>9292</v>
      </c>
      <c r="D248" t="s">
        <v>11</v>
      </c>
      <c r="E248" t="s">
        <v>13</v>
      </c>
      <c r="F248" t="s">
        <v>1970</v>
      </c>
      <c r="G248" t="s">
        <v>12</v>
      </c>
      <c r="I248" t="s">
        <v>9291</v>
      </c>
      <c r="J248" t="s">
        <v>10077</v>
      </c>
      <c r="K248" s="10">
        <v>151.42724999999999</v>
      </c>
      <c r="L248" s="9">
        <v>0.35799748783322088</v>
      </c>
      <c r="M248" s="10">
        <v>115.26946227456484</v>
      </c>
      <c r="N248" s="10">
        <v>814.40719099005059</v>
      </c>
    </row>
    <row r="249" spans="1:14">
      <c r="A249" t="s">
        <v>1967</v>
      </c>
      <c r="B249" t="s">
        <v>9293</v>
      </c>
      <c r="C249" t="s">
        <v>9294</v>
      </c>
      <c r="D249" t="s">
        <v>11</v>
      </c>
      <c r="E249" t="s">
        <v>13</v>
      </c>
      <c r="F249" t="s">
        <v>1970</v>
      </c>
      <c r="G249" t="s">
        <v>12</v>
      </c>
      <c r="I249" t="s">
        <v>9293</v>
      </c>
      <c r="J249" t="s">
        <v>10078</v>
      </c>
      <c r="K249" s="11">
        <v>13.997249999999999</v>
      </c>
      <c r="L249" s="9">
        <v>0.43955839419760517</v>
      </c>
      <c r="M249" s="10">
        <v>345.2697448046203</v>
      </c>
      <c r="N249" s="10">
        <v>996.99218345217741</v>
      </c>
    </row>
    <row r="250" spans="1:14">
      <c r="A250" t="s">
        <v>1967</v>
      </c>
      <c r="B250" t="s">
        <v>9295</v>
      </c>
      <c r="C250" t="s">
        <v>9296</v>
      </c>
      <c r="D250" t="s">
        <v>11</v>
      </c>
      <c r="E250" t="s">
        <v>13</v>
      </c>
      <c r="F250" t="s">
        <v>1970</v>
      </c>
      <c r="G250" t="s">
        <v>12</v>
      </c>
      <c r="I250" t="s">
        <v>9295</v>
      </c>
      <c r="J250" t="s">
        <v>10079</v>
      </c>
      <c r="K250" s="11">
        <v>33.587249999999997</v>
      </c>
      <c r="L250" s="9">
        <v>0.37834497180675319</v>
      </c>
      <c r="M250" s="10">
        <v>121.83413640532868</v>
      </c>
      <c r="N250" s="10">
        <v>717.24439143149164</v>
      </c>
    </row>
    <row r="251" spans="1:14">
      <c r="A251" t="s">
        <v>1967</v>
      </c>
      <c r="B251" t="s">
        <v>9297</v>
      </c>
      <c r="C251" t="s">
        <v>9298</v>
      </c>
      <c r="D251" t="s">
        <v>11</v>
      </c>
      <c r="E251" t="s">
        <v>13</v>
      </c>
      <c r="F251" t="s">
        <v>1970</v>
      </c>
      <c r="G251" t="s">
        <v>12</v>
      </c>
      <c r="I251" t="s">
        <v>9297</v>
      </c>
      <c r="J251" t="s">
        <v>10080</v>
      </c>
      <c r="K251" s="9">
        <v>1.3065</v>
      </c>
      <c r="L251" s="9">
        <v>0.25584597573185691</v>
      </c>
      <c r="M251" s="10">
        <v>138.05651110402474</v>
      </c>
      <c r="N251" s="10">
        <v>779.01919428412623</v>
      </c>
    </row>
    <row r="252" spans="1:14">
      <c r="A252" t="s">
        <v>1967</v>
      </c>
      <c r="B252" t="s">
        <v>9299</v>
      </c>
      <c r="C252" t="s">
        <v>9294</v>
      </c>
      <c r="D252" t="s">
        <v>11</v>
      </c>
      <c r="E252" t="s">
        <v>13</v>
      </c>
      <c r="F252" t="s">
        <v>1970</v>
      </c>
      <c r="G252" t="s">
        <v>12</v>
      </c>
      <c r="I252" t="s">
        <v>9299</v>
      </c>
      <c r="J252" t="s">
        <v>10081</v>
      </c>
      <c r="K252" s="11">
        <v>17.669250000000002</v>
      </c>
      <c r="L252" s="9">
        <v>0.34406917061239328</v>
      </c>
      <c r="M252" s="10">
        <v>276.88115319529732</v>
      </c>
      <c r="N252" s="10">
        <v>947.00012298576223</v>
      </c>
    </row>
    <row r="253" spans="1:14">
      <c r="A253" t="s">
        <v>1967</v>
      </c>
      <c r="B253" t="s">
        <v>9300</v>
      </c>
      <c r="C253" t="s">
        <v>9301</v>
      </c>
      <c r="D253" t="s">
        <v>11</v>
      </c>
      <c r="E253" t="s">
        <v>13</v>
      </c>
      <c r="F253" t="s">
        <v>1970</v>
      </c>
      <c r="G253" t="s">
        <v>12</v>
      </c>
      <c r="I253" t="s">
        <v>9300</v>
      </c>
      <c r="J253" t="s">
        <v>10082</v>
      </c>
      <c r="K253" s="11">
        <v>69.105000000000004</v>
      </c>
      <c r="L253" s="9">
        <v>0.43500754847929141</v>
      </c>
      <c r="M253" s="10">
        <v>356.12245250608891</v>
      </c>
      <c r="N253" s="10">
        <v>1004.9255127819511</v>
      </c>
    </row>
    <row r="254" spans="1:14">
      <c r="A254" t="s">
        <v>1967</v>
      </c>
      <c r="B254" t="s">
        <v>9302</v>
      </c>
      <c r="C254" t="s">
        <v>9303</v>
      </c>
      <c r="D254" t="s">
        <v>11</v>
      </c>
      <c r="E254" t="s">
        <v>13</v>
      </c>
      <c r="F254" t="s">
        <v>1970</v>
      </c>
      <c r="G254" t="s">
        <v>12</v>
      </c>
      <c r="I254" t="s">
        <v>9302</v>
      </c>
      <c r="J254" t="s">
        <v>10083</v>
      </c>
      <c r="K254" s="10">
        <v>221.19675000000001</v>
      </c>
      <c r="L254" s="9">
        <v>0.43647831808110238</v>
      </c>
      <c r="M254" s="10">
        <v>220.33736461823344</v>
      </c>
      <c r="N254" s="10">
        <v>905.66661353592872</v>
      </c>
    </row>
    <row r="255" spans="1:14">
      <c r="A255" t="s">
        <v>1967</v>
      </c>
      <c r="B255" t="s">
        <v>9304</v>
      </c>
      <c r="C255" t="s">
        <v>9305</v>
      </c>
      <c r="D255" t="s">
        <v>11</v>
      </c>
      <c r="E255" t="s">
        <v>13</v>
      </c>
      <c r="F255" t="s">
        <v>1970</v>
      </c>
      <c r="G255" t="s">
        <v>12</v>
      </c>
      <c r="I255" t="s">
        <v>9304</v>
      </c>
      <c r="J255" t="s">
        <v>10084</v>
      </c>
      <c r="K255" s="11">
        <v>80.51925</v>
      </c>
      <c r="L255" s="9">
        <v>0.3224311657596986</v>
      </c>
      <c r="M255" s="11">
        <v>78.467642050190904</v>
      </c>
      <c r="N255" s="10">
        <v>552.10478092712697</v>
      </c>
    </row>
    <row r="256" spans="1:14">
      <c r="A256" t="s">
        <v>1967</v>
      </c>
      <c r="B256" t="s">
        <v>9306</v>
      </c>
      <c r="C256" t="s">
        <v>9307</v>
      </c>
      <c r="D256" t="s">
        <v>11</v>
      </c>
      <c r="E256" t="s">
        <v>13</v>
      </c>
      <c r="F256" t="s">
        <v>1970</v>
      </c>
      <c r="G256" t="s">
        <v>12</v>
      </c>
      <c r="I256" t="s">
        <v>9306</v>
      </c>
      <c r="J256" t="s">
        <v>10085</v>
      </c>
      <c r="K256" s="10">
        <v>286.43849999999998</v>
      </c>
      <c r="L256" s="9">
        <v>0.41835876975297348</v>
      </c>
      <c r="M256" s="10">
        <v>152.38410256104001</v>
      </c>
      <c r="N256" s="10">
        <v>833.57866255244039</v>
      </c>
    </row>
    <row r="257" spans="1:14">
      <c r="A257" t="s">
        <v>1967</v>
      </c>
      <c r="B257" t="s">
        <v>9308</v>
      </c>
      <c r="C257" t="s">
        <v>9309</v>
      </c>
      <c r="D257" t="s">
        <v>11</v>
      </c>
      <c r="E257" t="s">
        <v>13</v>
      </c>
      <c r="F257" t="s">
        <v>1970</v>
      </c>
      <c r="G257" t="s">
        <v>12</v>
      </c>
      <c r="I257" t="s">
        <v>9308</v>
      </c>
      <c r="J257" t="s">
        <v>10086</v>
      </c>
      <c r="K257" s="10">
        <v>113.64400000000001</v>
      </c>
      <c r="L257" s="9">
        <v>0.41547920416254819</v>
      </c>
      <c r="M257" s="11">
        <v>82.602787928913074</v>
      </c>
      <c r="N257" s="10">
        <v>567.8514164333011</v>
      </c>
    </row>
    <row r="258" spans="1:14">
      <c r="A258" t="s">
        <v>1967</v>
      </c>
      <c r="B258" t="s">
        <v>9310</v>
      </c>
      <c r="C258" t="s">
        <v>9311</v>
      </c>
      <c r="D258" t="s">
        <v>11</v>
      </c>
      <c r="E258" t="s">
        <v>13</v>
      </c>
      <c r="F258" t="s">
        <v>1970</v>
      </c>
      <c r="G258" t="s">
        <v>12</v>
      </c>
      <c r="I258" t="s">
        <v>9310</v>
      </c>
      <c r="J258" t="s">
        <v>10087</v>
      </c>
      <c r="K258" s="10">
        <v>232.23675</v>
      </c>
      <c r="L258" s="9">
        <v>0.4525809219957268</v>
      </c>
      <c r="M258" s="10">
        <v>191.82316649432349</v>
      </c>
      <c r="N258" s="10">
        <v>884.82273470735049</v>
      </c>
    </row>
    <row r="259" spans="1:14">
      <c r="A259" t="s">
        <v>1967</v>
      </c>
      <c r="B259" t="s">
        <v>9312</v>
      </c>
      <c r="C259" t="s">
        <v>9313</v>
      </c>
      <c r="D259" t="s">
        <v>11</v>
      </c>
      <c r="E259" t="s">
        <v>13</v>
      </c>
      <c r="F259" t="s">
        <v>1970</v>
      </c>
      <c r="G259" t="s">
        <v>12</v>
      </c>
      <c r="I259" t="s">
        <v>9312</v>
      </c>
      <c r="J259" t="s">
        <v>10088</v>
      </c>
      <c r="K259" s="10">
        <v>120.5835</v>
      </c>
      <c r="L259" s="9">
        <v>0.35956063553100331</v>
      </c>
      <c r="M259" s="11">
        <v>98.356182670150076</v>
      </c>
      <c r="N259" s="10">
        <v>627.84034360793146</v>
      </c>
    </row>
    <row r="260" spans="1:14">
      <c r="A260" t="s">
        <v>1967</v>
      </c>
      <c r="B260" t="s">
        <v>9314</v>
      </c>
      <c r="C260" t="s">
        <v>9315</v>
      </c>
      <c r="D260" t="s">
        <v>11</v>
      </c>
      <c r="E260" t="s">
        <v>13</v>
      </c>
      <c r="F260" t="s">
        <v>1970</v>
      </c>
      <c r="G260" t="s">
        <v>12</v>
      </c>
      <c r="I260" t="s">
        <v>9314</v>
      </c>
      <c r="J260" t="s">
        <v>10089</v>
      </c>
      <c r="K260" s="10">
        <v>251.22300000000001</v>
      </c>
      <c r="L260" s="9">
        <v>0.39342467215276239</v>
      </c>
      <c r="M260" s="10">
        <v>120.79898102308896</v>
      </c>
      <c r="N260" s="10">
        <v>713.30251973592271</v>
      </c>
    </row>
    <row r="261" spans="1:14">
      <c r="A261" t="s">
        <v>1967</v>
      </c>
      <c r="B261" t="s">
        <v>9316</v>
      </c>
      <c r="C261" t="s">
        <v>9317</v>
      </c>
      <c r="D261" t="s">
        <v>11</v>
      </c>
      <c r="E261" t="s">
        <v>13</v>
      </c>
      <c r="F261" t="s">
        <v>1970</v>
      </c>
      <c r="G261" t="s">
        <v>12</v>
      </c>
      <c r="I261" t="s">
        <v>9316</v>
      </c>
      <c r="J261" t="s">
        <v>10090</v>
      </c>
      <c r="K261" s="11">
        <v>17.07525</v>
      </c>
      <c r="L261" s="9">
        <v>0.366335622458484</v>
      </c>
      <c r="M261" s="10">
        <v>945.85376395670096</v>
      </c>
      <c r="N261" s="10">
        <v>1436.0191014523482</v>
      </c>
    </row>
    <row r="262" spans="1:14">
      <c r="A262" t="s">
        <v>1967</v>
      </c>
      <c r="B262" t="s">
        <v>9318</v>
      </c>
      <c r="C262" t="s">
        <v>9319</v>
      </c>
      <c r="D262" t="s">
        <v>11</v>
      </c>
      <c r="E262" t="s">
        <v>13</v>
      </c>
      <c r="F262" t="s">
        <v>1970</v>
      </c>
      <c r="G262" t="s">
        <v>12</v>
      </c>
      <c r="I262" t="s">
        <v>9318</v>
      </c>
      <c r="J262" t="s">
        <v>10091</v>
      </c>
      <c r="K262" s="9">
        <v>7.9777500000000003</v>
      </c>
      <c r="L262" s="9">
        <v>0.32772739661308098</v>
      </c>
      <c r="M262" s="10">
        <v>1251.460195169064</v>
      </c>
      <c r="N262" s="10">
        <v>1659.4174026685857</v>
      </c>
    </row>
    <row r="263" spans="1:14">
      <c r="A263" t="s">
        <v>1967</v>
      </c>
      <c r="B263" t="s">
        <v>9320</v>
      </c>
      <c r="C263" t="s">
        <v>9321</v>
      </c>
      <c r="D263" t="s">
        <v>11</v>
      </c>
      <c r="E263" t="s">
        <v>13</v>
      </c>
      <c r="F263" t="s">
        <v>1970</v>
      </c>
      <c r="G263" t="s">
        <v>12</v>
      </c>
      <c r="I263" t="s">
        <v>9320</v>
      </c>
      <c r="J263" t="s">
        <v>10092</v>
      </c>
      <c r="K263" s="11">
        <v>81.167249999999996</v>
      </c>
      <c r="L263" s="9">
        <v>0.51101764965697405</v>
      </c>
      <c r="M263" s="10">
        <v>187.70229788111547</v>
      </c>
      <c r="N263" s="10">
        <v>881.81037975109552</v>
      </c>
    </row>
    <row r="264" spans="1:14">
      <c r="A264" t="s">
        <v>1967</v>
      </c>
      <c r="B264" t="s">
        <v>9322</v>
      </c>
      <c r="C264" t="s">
        <v>9323</v>
      </c>
      <c r="D264" t="s">
        <v>11</v>
      </c>
      <c r="E264" t="s">
        <v>13</v>
      </c>
      <c r="F264" t="s">
        <v>1970</v>
      </c>
      <c r="G264" t="s">
        <v>12</v>
      </c>
      <c r="I264" t="s">
        <v>9322</v>
      </c>
      <c r="J264" t="s">
        <v>10093</v>
      </c>
      <c r="K264" s="10">
        <v>112.15875</v>
      </c>
      <c r="L264" s="9">
        <v>0.3799549303400982</v>
      </c>
      <c r="M264" s="11">
        <v>86.125487037425259</v>
      </c>
      <c r="N264" s="10">
        <v>581.26585463851541</v>
      </c>
    </row>
    <row r="265" spans="1:14">
      <c r="A265" t="s">
        <v>1967</v>
      </c>
      <c r="B265" t="s">
        <v>9324</v>
      </c>
      <c r="C265" t="s">
        <v>9325</v>
      </c>
      <c r="D265" t="s">
        <v>11</v>
      </c>
      <c r="E265" t="s">
        <v>13</v>
      </c>
      <c r="F265" t="s">
        <v>1970</v>
      </c>
      <c r="G265" t="s">
        <v>12</v>
      </c>
      <c r="I265" t="s">
        <v>9324</v>
      </c>
      <c r="J265" t="s">
        <v>10094</v>
      </c>
      <c r="K265" s="11">
        <v>52.04025</v>
      </c>
      <c r="L265" s="9">
        <v>0.436376578437144</v>
      </c>
      <c r="M265" s="10">
        <v>193.22088362085881</v>
      </c>
      <c r="N265" s="10">
        <v>885.84446592684776</v>
      </c>
    </row>
    <row r="266" spans="1:14">
      <c r="A266" t="s">
        <v>1967</v>
      </c>
      <c r="B266" t="s">
        <v>9326</v>
      </c>
      <c r="C266" t="s">
        <v>9327</v>
      </c>
      <c r="D266" t="s">
        <v>11</v>
      </c>
      <c r="E266" t="s">
        <v>13</v>
      </c>
      <c r="F266" t="s">
        <v>1970</v>
      </c>
      <c r="G266" t="s">
        <v>12</v>
      </c>
      <c r="I266" t="s">
        <v>9326</v>
      </c>
      <c r="J266" t="s">
        <v>10095</v>
      </c>
      <c r="K266" s="11">
        <v>68.099249999999998</v>
      </c>
      <c r="L266" s="9">
        <v>0.39994555299618439</v>
      </c>
      <c r="M266" s="10">
        <v>186.83064378935231</v>
      </c>
      <c r="N266" s="10">
        <v>881.17320061001658</v>
      </c>
    </row>
    <row r="267" spans="1:14">
      <c r="A267" t="s">
        <v>1967</v>
      </c>
      <c r="B267" t="s">
        <v>9328</v>
      </c>
      <c r="C267" t="s">
        <v>9327</v>
      </c>
      <c r="D267" t="s">
        <v>11</v>
      </c>
      <c r="E267" t="s">
        <v>13</v>
      </c>
      <c r="F267" t="s">
        <v>1970</v>
      </c>
      <c r="G267" t="s">
        <v>12</v>
      </c>
      <c r="I267" t="s">
        <v>9328</v>
      </c>
      <c r="J267" t="s">
        <v>10096</v>
      </c>
      <c r="K267" s="11">
        <v>52.634999999999998</v>
      </c>
      <c r="L267" s="9">
        <v>0.42784629047050809</v>
      </c>
      <c r="M267" s="10">
        <v>189.5042907073028</v>
      </c>
      <c r="N267" s="10">
        <v>883.12763650703823</v>
      </c>
    </row>
    <row r="268" spans="1:14">
      <c r="A268" t="s">
        <v>1967</v>
      </c>
      <c r="B268" t="s">
        <v>9329</v>
      </c>
      <c r="C268" t="s">
        <v>9327</v>
      </c>
      <c r="D268" t="s">
        <v>11</v>
      </c>
      <c r="E268" t="s">
        <v>13</v>
      </c>
      <c r="F268" t="s">
        <v>1970</v>
      </c>
      <c r="G268" t="s">
        <v>12</v>
      </c>
      <c r="I268" t="s">
        <v>9329</v>
      </c>
      <c r="J268" t="s">
        <v>10097</v>
      </c>
      <c r="K268" s="11">
        <v>39.427500000000002</v>
      </c>
      <c r="L268" s="9">
        <v>0.40612681044932453</v>
      </c>
      <c r="M268" s="11">
        <v>74.992230474910812</v>
      </c>
      <c r="N268" s="10">
        <v>538.87041364846039</v>
      </c>
    </row>
    <row r="269" spans="1:14">
      <c r="A269" t="s">
        <v>1967</v>
      </c>
      <c r="B269" t="s">
        <v>9330</v>
      </c>
      <c r="C269" t="s">
        <v>9331</v>
      </c>
      <c r="D269" t="s">
        <v>11</v>
      </c>
      <c r="E269" t="s">
        <v>13</v>
      </c>
      <c r="F269" t="s">
        <v>1970</v>
      </c>
      <c r="G269" t="s">
        <v>12</v>
      </c>
      <c r="I269" t="s">
        <v>9330</v>
      </c>
      <c r="J269" t="s">
        <v>10098</v>
      </c>
      <c r="K269" s="11">
        <v>26.171250000000001</v>
      </c>
      <c r="L269" s="9">
        <v>0.27337802520605881</v>
      </c>
      <c r="M269" s="11">
        <v>65.606554153473937</v>
      </c>
      <c r="N269" s="10">
        <v>503.1297582164288</v>
      </c>
    </row>
    <row r="270" spans="1:14">
      <c r="A270" t="s">
        <v>1967</v>
      </c>
      <c r="B270" t="s">
        <v>9332</v>
      </c>
      <c r="C270" t="s">
        <v>9331</v>
      </c>
      <c r="D270" t="s">
        <v>11</v>
      </c>
      <c r="E270" t="s">
        <v>13</v>
      </c>
      <c r="F270" t="s">
        <v>1970</v>
      </c>
      <c r="G270" t="s">
        <v>12</v>
      </c>
      <c r="I270" t="s">
        <v>9332</v>
      </c>
      <c r="J270" t="s">
        <v>10099</v>
      </c>
      <c r="K270" s="9">
        <v>3.92625</v>
      </c>
      <c r="L270" s="9">
        <v>0.32561208468932218</v>
      </c>
      <c r="M270" s="10">
        <v>321.36290376195609</v>
      </c>
      <c r="N270" s="10">
        <v>979.51628264998976</v>
      </c>
    </row>
    <row r="271" spans="1:14">
      <c r="A271" t="s">
        <v>1967</v>
      </c>
      <c r="B271" t="s">
        <v>9333</v>
      </c>
      <c r="C271" t="s">
        <v>9331</v>
      </c>
      <c r="D271" t="s">
        <v>11</v>
      </c>
      <c r="E271" t="s">
        <v>13</v>
      </c>
      <c r="F271" t="s">
        <v>1970</v>
      </c>
      <c r="G271" t="s">
        <v>12</v>
      </c>
      <c r="I271" t="s">
        <v>9333</v>
      </c>
      <c r="J271" t="s">
        <v>10100</v>
      </c>
      <c r="K271" s="11">
        <v>25.273499999999999</v>
      </c>
      <c r="L271" s="9">
        <v>0.3340219373181792</v>
      </c>
      <c r="M271" s="10">
        <v>161.73770298207381</v>
      </c>
      <c r="N271" s="10">
        <v>862.83026087989595</v>
      </c>
    </row>
    <row r="272" spans="1:14">
      <c r="A272" t="s">
        <v>1967</v>
      </c>
      <c r="B272" t="s">
        <v>9334</v>
      </c>
      <c r="C272" t="s">
        <v>9335</v>
      </c>
      <c r="D272" t="s">
        <v>11</v>
      </c>
      <c r="E272" t="s">
        <v>13</v>
      </c>
      <c r="F272" t="s">
        <v>1970</v>
      </c>
      <c r="G272" t="s">
        <v>12</v>
      </c>
      <c r="I272" t="s">
        <v>9334</v>
      </c>
      <c r="J272" t="s">
        <v>10101</v>
      </c>
      <c r="K272" s="9">
        <v>1.74075</v>
      </c>
      <c r="L272" s="9">
        <v>0.17048032218446951</v>
      </c>
      <c r="M272" s="10">
        <v>0</v>
      </c>
      <c r="N272" s="10">
        <v>253.29999999999998</v>
      </c>
    </row>
    <row r="273" spans="1:14">
      <c r="A273" t="s">
        <v>1967</v>
      </c>
      <c r="B273" t="s">
        <v>9336</v>
      </c>
      <c r="C273" t="s">
        <v>9337</v>
      </c>
      <c r="D273" t="s">
        <v>11</v>
      </c>
      <c r="E273" t="s">
        <v>13</v>
      </c>
      <c r="F273" t="s">
        <v>1970</v>
      </c>
      <c r="G273" t="s">
        <v>12</v>
      </c>
      <c r="I273" t="s">
        <v>9336</v>
      </c>
      <c r="J273" t="s">
        <v>10102</v>
      </c>
      <c r="K273" s="12">
        <v>0.06</v>
      </c>
      <c r="L273" s="9">
        <v>0.1345508131803361</v>
      </c>
      <c r="M273" s="10">
        <v>0</v>
      </c>
      <c r="N273" s="10">
        <v>253.29999999999998</v>
      </c>
    </row>
    <row r="274" spans="1:14">
      <c r="A274" t="s">
        <v>1967</v>
      </c>
      <c r="B274" t="s">
        <v>9338</v>
      </c>
      <c r="C274" t="s">
        <v>9339</v>
      </c>
      <c r="D274" t="s">
        <v>11</v>
      </c>
      <c r="E274" t="s">
        <v>13</v>
      </c>
      <c r="F274" t="s">
        <v>1970</v>
      </c>
      <c r="G274" t="s">
        <v>12</v>
      </c>
      <c r="I274" t="s">
        <v>9338</v>
      </c>
      <c r="J274" t="s">
        <v>10103</v>
      </c>
      <c r="K274" s="10">
        <v>124.01625</v>
      </c>
      <c r="L274" s="9">
        <v>0.37976564518936862</v>
      </c>
      <c r="M274" s="10">
        <v>277.05471905675358</v>
      </c>
      <c r="N274" s="10">
        <v>947.12699963048681</v>
      </c>
    </row>
    <row r="275" spans="1:14">
      <c r="A275" t="s">
        <v>1967</v>
      </c>
      <c r="B275" t="s">
        <v>9340</v>
      </c>
      <c r="C275" t="s">
        <v>9341</v>
      </c>
      <c r="D275" t="s">
        <v>11</v>
      </c>
      <c r="E275" t="s">
        <v>13</v>
      </c>
      <c r="F275" t="s">
        <v>1970</v>
      </c>
      <c r="G275" t="s">
        <v>12</v>
      </c>
      <c r="I275" t="s">
        <v>9340</v>
      </c>
      <c r="J275" t="s">
        <v>10104</v>
      </c>
      <c r="K275" s="11">
        <v>80.174999999999997</v>
      </c>
      <c r="L275" s="9">
        <v>0.4381759357320556</v>
      </c>
      <c r="M275" s="10">
        <v>274.61828865524723</v>
      </c>
      <c r="N275" s="10">
        <v>945.3459690069858</v>
      </c>
    </row>
    <row r="276" spans="1:14">
      <c r="A276" t="s">
        <v>1967</v>
      </c>
      <c r="B276" t="s">
        <v>9342</v>
      </c>
      <c r="C276" t="s">
        <v>9341</v>
      </c>
      <c r="D276" t="s">
        <v>11</v>
      </c>
      <c r="E276" t="s">
        <v>13</v>
      </c>
      <c r="F276" t="s">
        <v>1970</v>
      </c>
      <c r="G276" t="s">
        <v>12</v>
      </c>
      <c r="I276" t="s">
        <v>9342</v>
      </c>
      <c r="J276" t="s">
        <v>10105</v>
      </c>
      <c r="K276" s="10">
        <v>152.2465</v>
      </c>
      <c r="L276" s="9">
        <v>0.39723993609382219</v>
      </c>
      <c r="M276" s="10">
        <v>305.12660783912344</v>
      </c>
      <c r="N276" s="10">
        <v>967.64755033039933</v>
      </c>
    </row>
    <row r="277" spans="1:14">
      <c r="A277" t="s">
        <v>1967</v>
      </c>
      <c r="B277" t="s">
        <v>9343</v>
      </c>
      <c r="C277" t="s">
        <v>9344</v>
      </c>
      <c r="D277" t="s">
        <v>11</v>
      </c>
      <c r="E277" t="s">
        <v>13</v>
      </c>
      <c r="F277" t="s">
        <v>1970</v>
      </c>
      <c r="G277" t="s">
        <v>12</v>
      </c>
      <c r="I277" t="s">
        <v>9343</v>
      </c>
      <c r="J277" t="s">
        <v>10106</v>
      </c>
      <c r="K277" s="11">
        <v>98.061000000000007</v>
      </c>
      <c r="L277" s="9">
        <v>0.45460407663262248</v>
      </c>
      <c r="M277" s="10">
        <v>571.16668823544489</v>
      </c>
      <c r="N277" s="10">
        <v>1162.1228491001102</v>
      </c>
    </row>
    <row r="278" spans="1:14">
      <c r="A278" t="s">
        <v>1967</v>
      </c>
      <c r="B278" t="s">
        <v>9345</v>
      </c>
      <c r="C278" t="s">
        <v>9341</v>
      </c>
      <c r="D278" t="s">
        <v>11</v>
      </c>
      <c r="E278" t="s">
        <v>13</v>
      </c>
      <c r="F278" t="s">
        <v>1970</v>
      </c>
      <c r="G278" t="s">
        <v>12</v>
      </c>
      <c r="I278" t="s">
        <v>9345</v>
      </c>
      <c r="J278" t="s">
        <v>10107</v>
      </c>
      <c r="K278" s="10">
        <v>245.99475000000001</v>
      </c>
      <c r="L278" s="9">
        <v>0.42882919932939417</v>
      </c>
      <c r="M278" s="10">
        <v>322.82932964093624</v>
      </c>
      <c r="N278" s="10">
        <v>980.58823996752437</v>
      </c>
    </row>
    <row r="279" spans="1:14">
      <c r="A279" t="s">
        <v>1967</v>
      </c>
      <c r="B279" t="s">
        <v>9346</v>
      </c>
      <c r="C279" t="s">
        <v>9344</v>
      </c>
      <c r="D279" t="s">
        <v>11</v>
      </c>
      <c r="E279" t="s">
        <v>13</v>
      </c>
      <c r="F279" t="s">
        <v>1970</v>
      </c>
      <c r="G279" t="s">
        <v>12</v>
      </c>
      <c r="I279" t="s">
        <v>9346</v>
      </c>
      <c r="J279" t="s">
        <v>10108</v>
      </c>
      <c r="K279" s="11">
        <v>62.911749999999998</v>
      </c>
      <c r="L279" s="9">
        <v>0.4146111584130302</v>
      </c>
      <c r="M279" s="10">
        <v>104.37754754274869</v>
      </c>
      <c r="N279" s="10">
        <v>650.76970104278701</v>
      </c>
    </row>
    <row r="280" spans="1:14">
      <c r="A280" t="s">
        <v>1967</v>
      </c>
      <c r="B280" t="s">
        <v>9347</v>
      </c>
      <c r="C280" t="s">
        <v>9348</v>
      </c>
      <c r="D280" t="s">
        <v>11</v>
      </c>
      <c r="E280" t="s">
        <v>13</v>
      </c>
      <c r="F280" t="s">
        <v>1970</v>
      </c>
      <c r="G280" t="s">
        <v>12</v>
      </c>
      <c r="I280" t="s">
        <v>9347</v>
      </c>
      <c r="J280" t="s">
        <v>10109</v>
      </c>
      <c r="K280" s="11">
        <v>12.42825</v>
      </c>
      <c r="L280" s="9">
        <v>0.4088469336339578</v>
      </c>
      <c r="M280" s="10">
        <v>401.20050444327381</v>
      </c>
      <c r="N280" s="10">
        <v>1037.8775687480331</v>
      </c>
    </row>
    <row r="281" spans="1:14">
      <c r="A281" t="s">
        <v>1967</v>
      </c>
      <c r="B281" t="s">
        <v>9349</v>
      </c>
      <c r="C281" t="s">
        <v>9350</v>
      </c>
      <c r="D281" t="s">
        <v>11</v>
      </c>
      <c r="E281" t="s">
        <v>13</v>
      </c>
      <c r="F281" t="s">
        <v>1970</v>
      </c>
      <c r="G281" t="s">
        <v>12</v>
      </c>
      <c r="I281" t="s">
        <v>9349</v>
      </c>
      <c r="J281" t="s">
        <v>10110</v>
      </c>
      <c r="K281" s="11">
        <v>38.274749999999997</v>
      </c>
      <c r="L281" s="9">
        <v>0.31005187587449667</v>
      </c>
      <c r="M281" s="10">
        <v>168.88162728543193</v>
      </c>
      <c r="N281" s="10">
        <v>868.05246954565075</v>
      </c>
    </row>
    <row r="282" spans="1:14">
      <c r="A282" t="s">
        <v>1967</v>
      </c>
      <c r="B282" t="s">
        <v>9351</v>
      </c>
      <c r="C282" t="s">
        <v>9352</v>
      </c>
      <c r="D282" t="s">
        <v>11</v>
      </c>
      <c r="E282" t="s">
        <v>13</v>
      </c>
      <c r="F282" t="s">
        <v>1970</v>
      </c>
      <c r="G282" t="s">
        <v>12</v>
      </c>
      <c r="I282" t="s">
        <v>9351</v>
      </c>
      <c r="J282" t="s">
        <v>10111</v>
      </c>
      <c r="K282" s="13">
        <v>6.7499999999999999E-3</v>
      </c>
      <c r="L282" s="9">
        <v>0.34673330009313841</v>
      </c>
      <c r="M282" s="10">
        <v>0</v>
      </c>
      <c r="N282" s="10">
        <v>253.29999999999998</v>
      </c>
    </row>
    <row r="283" spans="1:14">
      <c r="A283" t="s">
        <v>1967</v>
      </c>
      <c r="B283" t="s">
        <v>9353</v>
      </c>
      <c r="C283" t="s">
        <v>9354</v>
      </c>
      <c r="D283" t="s">
        <v>11</v>
      </c>
      <c r="E283" t="s">
        <v>13</v>
      </c>
      <c r="F283" t="s">
        <v>1970</v>
      </c>
      <c r="G283" t="s">
        <v>12</v>
      </c>
      <c r="I283" t="s">
        <v>9353</v>
      </c>
      <c r="J283" t="s">
        <v>10112</v>
      </c>
      <c r="K283" s="12">
        <v>4.2000000000000003E-2</v>
      </c>
      <c r="L283" s="9">
        <v>0.33558274306491681</v>
      </c>
      <c r="M283" s="10">
        <v>0</v>
      </c>
      <c r="N283" s="10">
        <v>253.29999999999998</v>
      </c>
    </row>
    <row r="284" spans="1:14">
      <c r="A284" t="s">
        <v>1967</v>
      </c>
      <c r="B284" t="s">
        <v>9355</v>
      </c>
      <c r="C284" t="s">
        <v>9356</v>
      </c>
      <c r="D284" t="s">
        <v>11</v>
      </c>
      <c r="E284" t="s">
        <v>13</v>
      </c>
      <c r="F284" t="s">
        <v>1970</v>
      </c>
      <c r="G284" t="s">
        <v>12</v>
      </c>
      <c r="I284" t="s">
        <v>9355</v>
      </c>
      <c r="J284" t="s">
        <v>10113</v>
      </c>
      <c r="K284" s="9">
        <v>1.8240000000000001</v>
      </c>
      <c r="L284" s="9">
        <v>0.1018191153633269</v>
      </c>
      <c r="M284" s="10">
        <v>0</v>
      </c>
      <c r="N284" s="10">
        <v>253.29999999999998</v>
      </c>
    </row>
    <row r="285" spans="1:14">
      <c r="A285" t="s">
        <v>1967</v>
      </c>
      <c r="B285" t="s">
        <v>9357</v>
      </c>
      <c r="C285" t="s">
        <v>9358</v>
      </c>
      <c r="D285" t="s">
        <v>11</v>
      </c>
      <c r="E285" t="s">
        <v>13</v>
      </c>
      <c r="F285" t="s">
        <v>1970</v>
      </c>
      <c r="G285" t="s">
        <v>12</v>
      </c>
      <c r="I285" t="s">
        <v>9357</v>
      </c>
      <c r="J285" t="s">
        <v>10114</v>
      </c>
      <c r="K285" s="9">
        <v>0.378</v>
      </c>
      <c r="L285" s="9">
        <v>0.1384396493631333</v>
      </c>
      <c r="M285" s="10">
        <v>0</v>
      </c>
      <c r="N285" s="10">
        <v>253.29999999999998</v>
      </c>
    </row>
    <row r="286" spans="1:14">
      <c r="A286" t="s">
        <v>1967</v>
      </c>
      <c r="B286" t="s">
        <v>9359</v>
      </c>
      <c r="C286" t="s">
        <v>9360</v>
      </c>
      <c r="D286" t="s">
        <v>11</v>
      </c>
      <c r="E286" t="s">
        <v>13</v>
      </c>
      <c r="F286" t="s">
        <v>1970</v>
      </c>
      <c r="G286" t="s">
        <v>12</v>
      </c>
      <c r="I286" t="s">
        <v>9359</v>
      </c>
      <c r="J286" t="s">
        <v>10115</v>
      </c>
      <c r="K286" s="9">
        <v>0.49425000000000002</v>
      </c>
      <c r="L286" s="12">
        <v>5.94612513474536E-2</v>
      </c>
      <c r="M286" s="10">
        <v>0</v>
      </c>
      <c r="N286" s="10">
        <v>253.29999999999998</v>
      </c>
    </row>
    <row r="287" spans="1:14">
      <c r="A287" t="s">
        <v>1967</v>
      </c>
      <c r="B287" t="s">
        <v>9361</v>
      </c>
      <c r="C287" t="s">
        <v>9362</v>
      </c>
      <c r="D287" t="s">
        <v>11</v>
      </c>
      <c r="E287" t="s">
        <v>13</v>
      </c>
      <c r="F287" t="s">
        <v>1970</v>
      </c>
      <c r="G287" t="s">
        <v>12</v>
      </c>
      <c r="I287" t="s">
        <v>9361</v>
      </c>
      <c r="J287" t="s">
        <v>10116</v>
      </c>
      <c r="K287" s="9">
        <v>1.6335</v>
      </c>
      <c r="L287" s="9">
        <v>0.142913495439602</v>
      </c>
      <c r="M287" s="10">
        <v>0</v>
      </c>
      <c r="N287" s="10">
        <v>253.29999999999998</v>
      </c>
    </row>
    <row r="288" spans="1:14">
      <c r="A288" t="s">
        <v>1967</v>
      </c>
      <c r="B288" t="s">
        <v>9363</v>
      </c>
      <c r="C288" t="s">
        <v>9364</v>
      </c>
      <c r="D288" t="s">
        <v>11</v>
      </c>
      <c r="E288" t="s">
        <v>13</v>
      </c>
      <c r="F288" t="s">
        <v>1970</v>
      </c>
      <c r="G288" t="s">
        <v>12</v>
      </c>
      <c r="I288" t="s">
        <v>9363</v>
      </c>
      <c r="J288" t="s">
        <v>10117</v>
      </c>
      <c r="K288" s="11">
        <v>19.1355</v>
      </c>
      <c r="L288" s="12">
        <v>7.8742089792190204E-2</v>
      </c>
      <c r="M288" s="10">
        <v>136.2639728181785</v>
      </c>
      <c r="N288" s="10">
        <v>772.19320849162375</v>
      </c>
    </row>
    <row r="289" spans="1:14">
      <c r="A289" t="s">
        <v>1967</v>
      </c>
      <c r="B289" t="s">
        <v>9365</v>
      </c>
      <c r="C289" t="s">
        <v>9366</v>
      </c>
      <c r="D289" t="s">
        <v>11</v>
      </c>
      <c r="E289" t="s">
        <v>13</v>
      </c>
      <c r="F289" t="s">
        <v>1970</v>
      </c>
      <c r="G289" t="s">
        <v>12</v>
      </c>
      <c r="I289" t="s">
        <v>9365</v>
      </c>
      <c r="J289" t="s">
        <v>10118</v>
      </c>
      <c r="K289" s="11">
        <v>13.2705</v>
      </c>
      <c r="L289" s="12">
        <v>7.2744849459915301E-2</v>
      </c>
      <c r="M289" s="10">
        <v>153.94008726835148</v>
      </c>
      <c r="N289" s="10">
        <v>839.50385231788243</v>
      </c>
    </row>
    <row r="290" spans="1:14">
      <c r="A290" t="s">
        <v>1967</v>
      </c>
      <c r="B290" t="s">
        <v>9367</v>
      </c>
      <c r="C290" t="s">
        <v>9366</v>
      </c>
      <c r="D290" t="s">
        <v>11</v>
      </c>
      <c r="E290" t="s">
        <v>13</v>
      </c>
      <c r="F290" t="s">
        <v>1970</v>
      </c>
      <c r="G290" t="s">
        <v>12</v>
      </c>
      <c r="I290" t="s">
        <v>9367</v>
      </c>
      <c r="J290" t="s">
        <v>10119</v>
      </c>
      <c r="K290" s="11">
        <v>15.14625</v>
      </c>
      <c r="L290" s="12">
        <v>6.6005518234944396E-2</v>
      </c>
      <c r="M290" s="11">
        <v>67.841799583819267</v>
      </c>
      <c r="N290" s="10">
        <v>511.64157281518379</v>
      </c>
    </row>
    <row r="291" spans="1:14">
      <c r="A291" t="s">
        <v>1967</v>
      </c>
      <c r="B291" t="s">
        <v>9368</v>
      </c>
      <c r="C291" t="s">
        <v>9369</v>
      </c>
      <c r="D291" t="s">
        <v>11</v>
      </c>
      <c r="E291" t="s">
        <v>13</v>
      </c>
      <c r="F291" t="s">
        <v>1970</v>
      </c>
      <c r="G291" t="s">
        <v>12</v>
      </c>
      <c r="I291" t="s">
        <v>9368</v>
      </c>
      <c r="J291" t="s">
        <v>10120</v>
      </c>
      <c r="K291" s="10">
        <v>102.03525</v>
      </c>
      <c r="L291" s="9">
        <v>0.36348561865111539</v>
      </c>
      <c r="M291" s="10">
        <v>109.51345092974924</v>
      </c>
      <c r="N291" s="10">
        <v>670.32722114048522</v>
      </c>
    </row>
    <row r="292" spans="1:14">
      <c r="A292" t="s">
        <v>1967</v>
      </c>
      <c r="B292" t="s">
        <v>9370</v>
      </c>
      <c r="C292" t="s">
        <v>9371</v>
      </c>
      <c r="D292" t="s">
        <v>11</v>
      </c>
      <c r="E292" t="s">
        <v>13</v>
      </c>
      <c r="F292" t="s">
        <v>1970</v>
      </c>
      <c r="G292" t="s">
        <v>12</v>
      </c>
      <c r="I292" t="s">
        <v>9370</v>
      </c>
      <c r="J292" t="s">
        <v>10121</v>
      </c>
      <c r="K292" s="11">
        <v>84.561750000000004</v>
      </c>
      <c r="L292" s="9">
        <v>0.35604950125346141</v>
      </c>
      <c r="M292" s="10">
        <v>194.16073369347487</v>
      </c>
      <c r="N292" s="10">
        <v>886.53149632993018</v>
      </c>
    </row>
    <row r="293" spans="1:14">
      <c r="A293" t="s">
        <v>1967</v>
      </c>
      <c r="B293" t="s">
        <v>9372</v>
      </c>
      <c r="C293" t="s">
        <v>9373</v>
      </c>
      <c r="D293" t="s">
        <v>11</v>
      </c>
      <c r="E293" t="s">
        <v>13</v>
      </c>
      <c r="F293" t="s">
        <v>1970</v>
      </c>
      <c r="G293" t="s">
        <v>12</v>
      </c>
      <c r="I293" t="s">
        <v>9372</v>
      </c>
      <c r="J293" t="s">
        <v>10122</v>
      </c>
      <c r="K293" s="11">
        <v>99.10275</v>
      </c>
      <c r="L293" s="9">
        <v>0.33577429907118</v>
      </c>
      <c r="M293" s="10">
        <v>131.49511820324059</v>
      </c>
      <c r="N293" s="10">
        <v>754.03341011794021</v>
      </c>
    </row>
    <row r="294" spans="1:14">
      <c r="A294" t="s">
        <v>1967</v>
      </c>
      <c r="B294" t="s">
        <v>9374</v>
      </c>
      <c r="C294" t="s">
        <v>9375</v>
      </c>
      <c r="D294" t="s">
        <v>11</v>
      </c>
      <c r="E294" t="s">
        <v>13</v>
      </c>
      <c r="F294" t="s">
        <v>1970</v>
      </c>
      <c r="G294" t="s">
        <v>12</v>
      </c>
      <c r="I294" t="s">
        <v>9374</v>
      </c>
      <c r="J294" t="s">
        <v>10123</v>
      </c>
      <c r="K294" s="11">
        <v>34.553249999999998</v>
      </c>
      <c r="L294" s="9">
        <v>0.3743481307427311</v>
      </c>
      <c r="M294" s="11">
        <v>95.504690110590886</v>
      </c>
      <c r="N294" s="10">
        <v>616.9818599411301</v>
      </c>
    </row>
    <row r="295" spans="1:14">
      <c r="A295" t="s">
        <v>1967</v>
      </c>
      <c r="B295" t="s">
        <v>9376</v>
      </c>
      <c r="C295" t="s">
        <v>9377</v>
      </c>
      <c r="D295" t="s">
        <v>11</v>
      </c>
      <c r="E295" t="s">
        <v>13</v>
      </c>
      <c r="F295" t="s">
        <v>1970</v>
      </c>
      <c r="G295" t="s">
        <v>12</v>
      </c>
      <c r="I295" t="s">
        <v>9376</v>
      </c>
      <c r="J295" t="s">
        <v>10124</v>
      </c>
      <c r="K295" s="11">
        <v>46.842750000000002</v>
      </c>
      <c r="L295" s="9">
        <v>0.33915906354821979</v>
      </c>
      <c r="M295" s="10">
        <v>130.1916843021493</v>
      </c>
      <c r="N295" s="10">
        <v>749.06993382258463</v>
      </c>
    </row>
    <row r="296" spans="1:14">
      <c r="A296" t="s">
        <v>1967</v>
      </c>
      <c r="B296" t="s">
        <v>9378</v>
      </c>
      <c r="C296" t="s">
        <v>9379</v>
      </c>
      <c r="D296" t="s">
        <v>11</v>
      </c>
      <c r="E296" t="s">
        <v>13</v>
      </c>
      <c r="F296" t="s">
        <v>1970</v>
      </c>
      <c r="G296" t="s">
        <v>12</v>
      </c>
      <c r="I296" t="s">
        <v>9378</v>
      </c>
      <c r="J296" t="s">
        <v>10125</v>
      </c>
      <c r="K296" s="11">
        <v>31.760999999999999</v>
      </c>
      <c r="L296" s="9">
        <v>0.31042478941995549</v>
      </c>
      <c r="M296" s="11">
        <v>59.920548621409424</v>
      </c>
      <c r="N296" s="10">
        <v>481.47744915032712</v>
      </c>
    </row>
    <row r="297" spans="1:14">
      <c r="A297" t="s">
        <v>1967</v>
      </c>
      <c r="B297" t="s">
        <v>9380</v>
      </c>
      <c r="C297" t="s">
        <v>9381</v>
      </c>
      <c r="D297" t="s">
        <v>11</v>
      </c>
      <c r="E297" t="s">
        <v>13</v>
      </c>
      <c r="F297" t="s">
        <v>1970</v>
      </c>
      <c r="G297" t="s">
        <v>12</v>
      </c>
      <c r="I297" t="s">
        <v>9380</v>
      </c>
      <c r="J297" t="s">
        <v>10126</v>
      </c>
      <c r="K297" s="9">
        <v>9.70275</v>
      </c>
      <c r="L297" s="9">
        <v>0.37872281672924551</v>
      </c>
      <c r="M297" s="11">
        <v>36.651388034761567</v>
      </c>
      <c r="N297" s="10">
        <v>392.86848563637204</v>
      </c>
    </row>
    <row r="298" spans="1:14">
      <c r="A298" t="s">
        <v>1967</v>
      </c>
      <c r="B298" t="s">
        <v>9382</v>
      </c>
      <c r="C298" t="s">
        <v>9383</v>
      </c>
      <c r="D298" t="s">
        <v>11</v>
      </c>
      <c r="E298" t="s">
        <v>13</v>
      </c>
      <c r="F298" t="s">
        <v>1970</v>
      </c>
      <c r="G298" t="s">
        <v>12</v>
      </c>
      <c r="I298" t="s">
        <v>9382</v>
      </c>
      <c r="J298" t="s">
        <v>10127</v>
      </c>
      <c r="K298" s="11">
        <v>12.5625</v>
      </c>
      <c r="L298" s="9">
        <v>0.3886533728712066</v>
      </c>
      <c r="M298" s="11">
        <v>90.993821889793736</v>
      </c>
      <c r="N298" s="10">
        <v>599.80447375633457</v>
      </c>
    </row>
    <row r="299" spans="1:14">
      <c r="A299" t="s">
        <v>1967</v>
      </c>
      <c r="B299" t="s">
        <v>9384</v>
      </c>
      <c r="C299" t="s">
        <v>9385</v>
      </c>
      <c r="D299" t="s">
        <v>11</v>
      </c>
      <c r="E299" t="s">
        <v>13</v>
      </c>
      <c r="F299" t="s">
        <v>1970</v>
      </c>
      <c r="G299" t="s">
        <v>12</v>
      </c>
      <c r="I299" t="s">
        <v>9384</v>
      </c>
      <c r="J299" t="s">
        <v>10128</v>
      </c>
      <c r="K299" s="9">
        <v>3.6269999999999998</v>
      </c>
      <c r="L299" s="9">
        <v>0.3012356168482706</v>
      </c>
      <c r="M299" s="11">
        <v>44.244469360384166</v>
      </c>
      <c r="N299" s="10">
        <v>421.78293932434292</v>
      </c>
    </row>
    <row r="300" spans="1:14">
      <c r="A300" t="s">
        <v>1967</v>
      </c>
      <c r="B300" t="s">
        <v>9386</v>
      </c>
      <c r="C300" t="s">
        <v>9387</v>
      </c>
      <c r="D300" t="s">
        <v>11</v>
      </c>
      <c r="E300" t="s">
        <v>13</v>
      </c>
      <c r="F300" t="s">
        <v>1970</v>
      </c>
      <c r="G300" t="s">
        <v>12</v>
      </c>
      <c r="I300" t="s">
        <v>9386</v>
      </c>
      <c r="J300" t="s">
        <v>10129</v>
      </c>
      <c r="K300" s="11">
        <v>11.882999999999999</v>
      </c>
      <c r="L300" s="9">
        <v>0.47140783802758252</v>
      </c>
      <c r="M300" s="11">
        <v>67.320891779702436</v>
      </c>
      <c r="N300" s="10">
        <v>509.65795589710694</v>
      </c>
    </row>
    <row r="301" spans="1:14">
      <c r="A301" t="s">
        <v>1967</v>
      </c>
      <c r="B301" t="s">
        <v>9388</v>
      </c>
      <c r="C301" t="s">
        <v>9389</v>
      </c>
      <c r="D301" t="s">
        <v>11</v>
      </c>
      <c r="E301" t="s">
        <v>13</v>
      </c>
      <c r="F301" t="s">
        <v>1970</v>
      </c>
      <c r="G301" t="s">
        <v>12</v>
      </c>
      <c r="I301" t="s">
        <v>9388</v>
      </c>
      <c r="J301" t="s">
        <v>10130</v>
      </c>
      <c r="K301" s="9">
        <v>2.3235000000000001</v>
      </c>
      <c r="L301" s="9">
        <v>0.38297867862928803</v>
      </c>
      <c r="M301" s="11">
        <v>92.670453202139313</v>
      </c>
      <c r="N301" s="10">
        <v>713.16363034558412</v>
      </c>
    </row>
    <row r="302" spans="1:14">
      <c r="A302" t="s">
        <v>1967</v>
      </c>
      <c r="B302" t="s">
        <v>9390</v>
      </c>
      <c r="C302" t="s">
        <v>9389</v>
      </c>
      <c r="D302" t="s">
        <v>11</v>
      </c>
      <c r="E302" t="s">
        <v>13</v>
      </c>
      <c r="F302" t="s">
        <v>1970</v>
      </c>
      <c r="G302" t="s">
        <v>12</v>
      </c>
      <c r="I302" t="s">
        <v>9390</v>
      </c>
      <c r="J302" t="s">
        <v>10131</v>
      </c>
      <c r="K302" s="11">
        <v>29.90475</v>
      </c>
      <c r="L302" s="9">
        <v>0.48816950967027722</v>
      </c>
      <c r="M302" s="10">
        <v>151.27076765120748</v>
      </c>
      <c r="N302" s="10">
        <v>975.69303907740959</v>
      </c>
    </row>
    <row r="303" spans="1:14">
      <c r="A303" t="s">
        <v>1967</v>
      </c>
      <c r="B303" t="s">
        <v>9391</v>
      </c>
      <c r="C303" t="s">
        <v>9392</v>
      </c>
      <c r="D303" t="s">
        <v>11</v>
      </c>
      <c r="E303" t="s">
        <v>13</v>
      </c>
      <c r="F303" t="s">
        <v>1970</v>
      </c>
      <c r="G303" t="s">
        <v>12</v>
      </c>
      <c r="I303" t="s">
        <v>9391</v>
      </c>
      <c r="J303" t="s">
        <v>10132</v>
      </c>
      <c r="K303" s="9">
        <v>1.2705</v>
      </c>
      <c r="L303" s="9">
        <v>0.43189472016250408</v>
      </c>
      <c r="M303" s="11">
        <v>85.135041961351973</v>
      </c>
      <c r="N303" s="10">
        <v>679.4049879868569</v>
      </c>
    </row>
    <row r="304" spans="1:14">
      <c r="A304" t="s">
        <v>1967</v>
      </c>
      <c r="B304" t="s">
        <v>9393</v>
      </c>
      <c r="C304" t="s">
        <v>9394</v>
      </c>
      <c r="D304" t="s">
        <v>11</v>
      </c>
      <c r="E304" t="s">
        <v>13</v>
      </c>
      <c r="F304" t="s">
        <v>1970</v>
      </c>
      <c r="G304" t="s">
        <v>12</v>
      </c>
      <c r="I304" t="s">
        <v>9393</v>
      </c>
      <c r="J304" t="s">
        <v>10133</v>
      </c>
      <c r="K304" s="11">
        <v>90.595500000000001</v>
      </c>
      <c r="L304" s="9">
        <v>0.48000314123202942</v>
      </c>
      <c r="M304" s="10">
        <v>130.98553700088348</v>
      </c>
      <c r="N304" s="10">
        <v>884.81520576395803</v>
      </c>
    </row>
    <row r="305" spans="1:14">
      <c r="A305" t="s">
        <v>1967</v>
      </c>
      <c r="B305" t="s">
        <v>9395</v>
      </c>
      <c r="C305" t="s">
        <v>9396</v>
      </c>
      <c r="D305" t="s">
        <v>11</v>
      </c>
      <c r="E305" t="s">
        <v>13</v>
      </c>
      <c r="F305" t="s">
        <v>1970</v>
      </c>
      <c r="G305" t="s">
        <v>12</v>
      </c>
      <c r="I305" t="s">
        <v>9395</v>
      </c>
      <c r="J305" t="s">
        <v>10134</v>
      </c>
      <c r="K305" s="11">
        <v>34.909500000000001</v>
      </c>
      <c r="L305" s="9">
        <v>0.46152411030971929</v>
      </c>
      <c r="M305" s="11">
        <v>62.991304056470547</v>
      </c>
      <c r="N305" s="10">
        <v>493.17088584703987</v>
      </c>
    </row>
    <row r="306" spans="1:14">
      <c r="A306" t="s">
        <v>1967</v>
      </c>
      <c r="B306" t="s">
        <v>9397</v>
      </c>
      <c r="C306" t="s">
        <v>9398</v>
      </c>
      <c r="D306" t="s">
        <v>11</v>
      </c>
      <c r="E306" t="s">
        <v>13</v>
      </c>
      <c r="F306" t="s">
        <v>1970</v>
      </c>
      <c r="G306" t="s">
        <v>12</v>
      </c>
      <c r="I306" t="s">
        <v>9397</v>
      </c>
      <c r="J306" t="s">
        <v>10135</v>
      </c>
      <c r="K306" s="11">
        <v>73.629000000000005</v>
      </c>
      <c r="L306" s="9">
        <v>0.37720565920735161</v>
      </c>
      <c r="M306" s="11">
        <v>98.950919343628897</v>
      </c>
      <c r="N306" s="10">
        <v>630.10510086053876</v>
      </c>
    </row>
    <row r="307" spans="1:14">
      <c r="A307" t="s">
        <v>1967</v>
      </c>
      <c r="B307" t="s">
        <v>9399</v>
      </c>
      <c r="C307" t="s">
        <v>9400</v>
      </c>
      <c r="D307" t="s">
        <v>11</v>
      </c>
      <c r="E307" t="s">
        <v>13</v>
      </c>
      <c r="F307" t="s">
        <v>1970</v>
      </c>
      <c r="G307" t="s">
        <v>12</v>
      </c>
      <c r="I307" t="s">
        <v>9399</v>
      </c>
      <c r="J307" t="s">
        <v>10136</v>
      </c>
      <c r="K307" s="11">
        <v>25.101749999999999</v>
      </c>
      <c r="L307" s="9">
        <v>0.34540414412613168</v>
      </c>
      <c r="M307" s="11">
        <v>66.390635388670205</v>
      </c>
      <c r="N307" s="10">
        <v>506.11553956005611</v>
      </c>
    </row>
    <row r="308" spans="1:14">
      <c r="A308" t="s">
        <v>1967</v>
      </c>
      <c r="B308" t="s">
        <v>9401</v>
      </c>
      <c r="C308" t="s">
        <v>9402</v>
      </c>
      <c r="D308" t="s">
        <v>11</v>
      </c>
      <c r="E308" t="s">
        <v>13</v>
      </c>
      <c r="F308" t="s">
        <v>1970</v>
      </c>
      <c r="G308" t="s">
        <v>12</v>
      </c>
      <c r="I308" t="s">
        <v>9401</v>
      </c>
      <c r="J308" t="s">
        <v>10137</v>
      </c>
      <c r="K308" s="11">
        <v>25.731750000000002</v>
      </c>
      <c r="L308" s="9">
        <v>0.3175092841296781</v>
      </c>
      <c r="M308" s="11">
        <v>63.138566072886853</v>
      </c>
      <c r="N308" s="10">
        <v>493.73165960555315</v>
      </c>
    </row>
    <row r="309" spans="1:14">
      <c r="A309" t="s">
        <v>1967</v>
      </c>
      <c r="B309" t="s">
        <v>9403</v>
      </c>
      <c r="C309" t="s">
        <v>9404</v>
      </c>
      <c r="D309" t="s">
        <v>11</v>
      </c>
      <c r="E309" t="s">
        <v>13</v>
      </c>
      <c r="F309" t="s">
        <v>1970</v>
      </c>
      <c r="G309" t="s">
        <v>12</v>
      </c>
      <c r="I309" t="s">
        <v>9403</v>
      </c>
      <c r="J309" t="s">
        <v>10138</v>
      </c>
      <c r="K309" s="11">
        <v>24.402000000000001</v>
      </c>
      <c r="L309" s="9">
        <v>0.27480262403811889</v>
      </c>
      <c r="M309" s="11">
        <v>57.915572959413318</v>
      </c>
      <c r="N309" s="10">
        <v>473.84250182944595</v>
      </c>
    </row>
    <row r="310" spans="1:14">
      <c r="A310" t="s">
        <v>1967</v>
      </c>
      <c r="B310" t="s">
        <v>9405</v>
      </c>
      <c r="C310" t="s">
        <v>9406</v>
      </c>
      <c r="D310" t="s">
        <v>11</v>
      </c>
      <c r="E310" t="s">
        <v>13</v>
      </c>
      <c r="F310" t="s">
        <v>1970</v>
      </c>
      <c r="G310" t="s">
        <v>12</v>
      </c>
      <c r="I310" t="s">
        <v>9405</v>
      </c>
      <c r="J310" t="s">
        <v>10139</v>
      </c>
      <c r="K310" s="11">
        <v>11.892749999999999</v>
      </c>
      <c r="L310" s="9">
        <v>0.246223162034165</v>
      </c>
      <c r="M310" s="11">
        <v>53.527514568422426</v>
      </c>
      <c r="N310" s="10">
        <v>457.13277547655258</v>
      </c>
    </row>
    <row r="311" spans="1:14">
      <c r="A311" t="s">
        <v>1967</v>
      </c>
      <c r="B311" t="s">
        <v>9407</v>
      </c>
      <c r="C311" t="s">
        <v>9408</v>
      </c>
      <c r="D311" t="s">
        <v>11</v>
      </c>
      <c r="E311" t="s">
        <v>13</v>
      </c>
      <c r="F311" t="s">
        <v>1970</v>
      </c>
      <c r="G311" t="s">
        <v>12</v>
      </c>
      <c r="I311" t="s">
        <v>9407</v>
      </c>
      <c r="J311" t="s">
        <v>10140</v>
      </c>
      <c r="K311" s="9">
        <v>8.7022499999999994</v>
      </c>
      <c r="L311" s="9">
        <v>0.22603807549619029</v>
      </c>
      <c r="M311" s="11">
        <v>55.171715274660883</v>
      </c>
      <c r="N311" s="10">
        <v>463.39389176590862</v>
      </c>
    </row>
    <row r="312" spans="1:14">
      <c r="A312" t="s">
        <v>1967</v>
      </c>
      <c r="B312" t="s">
        <v>9409</v>
      </c>
      <c r="C312" t="s">
        <v>9410</v>
      </c>
      <c r="D312" t="s">
        <v>11</v>
      </c>
      <c r="E312" t="s">
        <v>13</v>
      </c>
      <c r="F312" t="s">
        <v>1970</v>
      </c>
      <c r="G312" t="s">
        <v>12</v>
      </c>
      <c r="I312" t="s">
        <v>9409</v>
      </c>
      <c r="J312" t="s">
        <v>10141</v>
      </c>
      <c r="K312" s="11">
        <v>19.710750000000001</v>
      </c>
      <c r="L312" s="9">
        <v>0.43718535090565919</v>
      </c>
      <c r="M312" s="11">
        <v>48.220693884119299</v>
      </c>
      <c r="N312" s="10">
        <v>436.92440231072635</v>
      </c>
    </row>
    <row r="313" spans="1:14">
      <c r="A313" t="s">
        <v>1967</v>
      </c>
      <c r="B313" t="s">
        <v>9411</v>
      </c>
      <c r="C313" t="s">
        <v>9412</v>
      </c>
      <c r="D313" t="s">
        <v>11</v>
      </c>
      <c r="E313" t="s">
        <v>13</v>
      </c>
      <c r="F313" t="s">
        <v>1970</v>
      </c>
      <c r="G313" t="s">
        <v>12</v>
      </c>
      <c r="I313" t="s">
        <v>9411</v>
      </c>
      <c r="J313" t="s">
        <v>10142</v>
      </c>
      <c r="K313" s="9">
        <v>7.524</v>
      </c>
      <c r="L313" s="9">
        <v>0.27264782768541218</v>
      </c>
      <c r="M313" s="11">
        <v>36.724382457200598</v>
      </c>
      <c r="N313" s="10">
        <v>393.14644839701992</v>
      </c>
    </row>
    <row r="314" spans="1:14">
      <c r="A314" t="s">
        <v>1967</v>
      </c>
      <c r="B314" t="s">
        <v>9413</v>
      </c>
      <c r="C314" t="s">
        <v>9414</v>
      </c>
      <c r="D314" t="s">
        <v>11</v>
      </c>
      <c r="E314" t="s">
        <v>13</v>
      </c>
      <c r="F314" t="s">
        <v>1970</v>
      </c>
      <c r="G314" t="s">
        <v>12</v>
      </c>
      <c r="I314" t="s">
        <v>9413</v>
      </c>
      <c r="J314" t="s">
        <v>10143</v>
      </c>
      <c r="K314" s="11">
        <v>48.156750000000002</v>
      </c>
      <c r="L314" s="9">
        <v>0.51593132794370711</v>
      </c>
      <c r="M314" s="11">
        <v>55.794735186266216</v>
      </c>
      <c r="N314" s="10">
        <v>465.76635158930173</v>
      </c>
    </row>
    <row r="315" spans="1:14">
      <c r="A315" t="s">
        <v>1967</v>
      </c>
      <c r="B315" t="s">
        <v>9415</v>
      </c>
      <c r="C315" t="s">
        <v>9416</v>
      </c>
      <c r="D315" t="s">
        <v>11</v>
      </c>
      <c r="E315" t="s">
        <v>13</v>
      </c>
      <c r="F315" t="s">
        <v>1970</v>
      </c>
      <c r="G315" t="s">
        <v>12</v>
      </c>
      <c r="I315" t="s">
        <v>9415</v>
      </c>
      <c r="J315" t="s">
        <v>10144</v>
      </c>
      <c r="K315" s="11">
        <v>12.039</v>
      </c>
      <c r="L315" s="9">
        <v>0.2751771150941581</v>
      </c>
      <c r="M315" s="10">
        <v>257.86546997468315</v>
      </c>
      <c r="N315" s="10">
        <v>933.09965855149346</v>
      </c>
    </row>
    <row r="316" spans="1:14">
      <c r="A316" t="s">
        <v>1967</v>
      </c>
      <c r="B316" t="s">
        <v>9417</v>
      </c>
      <c r="C316" t="s">
        <v>9418</v>
      </c>
      <c r="D316" t="s">
        <v>11</v>
      </c>
      <c r="E316" t="s">
        <v>13</v>
      </c>
      <c r="F316" t="s">
        <v>1970</v>
      </c>
      <c r="G316" t="s">
        <v>12</v>
      </c>
      <c r="I316" t="s">
        <v>9417</v>
      </c>
      <c r="J316" t="s">
        <v>10145</v>
      </c>
      <c r="K316" s="10">
        <v>139.81800000000001</v>
      </c>
      <c r="L316" s="9">
        <v>0.27905405780389247</v>
      </c>
      <c r="M316" s="10">
        <v>310.45637062522496</v>
      </c>
      <c r="N316" s="10">
        <v>971.54360692703949</v>
      </c>
    </row>
    <row r="317" spans="1:14">
      <c r="A317" t="s">
        <v>1967</v>
      </c>
      <c r="B317" t="s">
        <v>9419</v>
      </c>
      <c r="C317" t="s">
        <v>9420</v>
      </c>
      <c r="D317" t="s">
        <v>11</v>
      </c>
      <c r="E317" t="s">
        <v>13</v>
      </c>
      <c r="F317" t="s">
        <v>1970</v>
      </c>
      <c r="G317" t="s">
        <v>12</v>
      </c>
      <c r="I317" t="s">
        <v>9419</v>
      </c>
      <c r="J317" t="s">
        <v>10146</v>
      </c>
      <c r="K317" s="11">
        <v>67.412999999999997</v>
      </c>
      <c r="L317" s="9">
        <v>0.26465175584502271</v>
      </c>
      <c r="M317" s="10">
        <v>246.74912265706371</v>
      </c>
      <c r="N317" s="10">
        <v>924.97360866231361</v>
      </c>
    </row>
    <row r="318" spans="1:14">
      <c r="A318" t="s">
        <v>1967</v>
      </c>
      <c r="B318" t="s">
        <v>9421</v>
      </c>
      <c r="C318" t="s">
        <v>9418</v>
      </c>
      <c r="D318" t="s">
        <v>11</v>
      </c>
      <c r="E318" t="s">
        <v>13</v>
      </c>
      <c r="F318" t="s">
        <v>1970</v>
      </c>
      <c r="G318" t="s">
        <v>12</v>
      </c>
      <c r="I318" t="s">
        <v>9421</v>
      </c>
      <c r="J318" t="s">
        <v>10147</v>
      </c>
      <c r="K318" s="11">
        <v>46.83</v>
      </c>
      <c r="L318" s="9">
        <v>0.23934334135840049</v>
      </c>
      <c r="M318" s="10">
        <v>139.96637393138292</v>
      </c>
      <c r="N318" s="10">
        <v>786.2919519307062</v>
      </c>
    </row>
    <row r="319" spans="1:14">
      <c r="A319" t="s">
        <v>1967</v>
      </c>
      <c r="B319" t="s">
        <v>9422</v>
      </c>
      <c r="C319" t="s">
        <v>9423</v>
      </c>
      <c r="D319" t="s">
        <v>11</v>
      </c>
      <c r="E319" t="s">
        <v>13</v>
      </c>
      <c r="F319" t="s">
        <v>1970</v>
      </c>
      <c r="G319" t="s">
        <v>12</v>
      </c>
      <c r="I319" t="s">
        <v>9422</v>
      </c>
      <c r="J319" t="s">
        <v>10148</v>
      </c>
      <c r="K319" s="11">
        <v>81.983249999999998</v>
      </c>
      <c r="L319" s="9">
        <v>0.31197912693839369</v>
      </c>
      <c r="M319" s="10">
        <v>141.95307643512859</v>
      </c>
      <c r="N319" s="10">
        <v>793.85731506496973</v>
      </c>
    </row>
    <row r="320" spans="1:14">
      <c r="A320" t="s">
        <v>1967</v>
      </c>
      <c r="B320" t="s">
        <v>9424</v>
      </c>
      <c r="C320" t="s">
        <v>9425</v>
      </c>
      <c r="D320" t="s">
        <v>11</v>
      </c>
      <c r="E320" t="s">
        <v>13</v>
      </c>
      <c r="F320" t="s">
        <v>1970</v>
      </c>
      <c r="G320" t="s">
        <v>12</v>
      </c>
      <c r="I320" t="s">
        <v>9424</v>
      </c>
      <c r="J320" t="s">
        <v>10149</v>
      </c>
      <c r="K320" s="10">
        <v>182.51249999999999</v>
      </c>
      <c r="L320" s="9">
        <v>0.36757361645525988</v>
      </c>
      <c r="M320" s="10">
        <v>210.26315436694412</v>
      </c>
      <c r="N320" s="10">
        <v>898.3023658422361</v>
      </c>
    </row>
    <row r="321" spans="1:14">
      <c r="A321" t="s">
        <v>1967</v>
      </c>
      <c r="B321" t="s">
        <v>9426</v>
      </c>
      <c r="C321" t="s">
        <v>9427</v>
      </c>
      <c r="D321" t="s">
        <v>11</v>
      </c>
      <c r="E321" t="s">
        <v>13</v>
      </c>
      <c r="F321" t="s">
        <v>1970</v>
      </c>
      <c r="G321" t="s">
        <v>12</v>
      </c>
      <c r="I321" t="s">
        <v>9426</v>
      </c>
      <c r="J321" t="s">
        <v>10150</v>
      </c>
      <c r="K321" s="11">
        <v>99.298500000000004</v>
      </c>
      <c r="L321" s="9">
        <v>0.34697151082884609</v>
      </c>
      <c r="M321" s="10">
        <v>133.05773051070383</v>
      </c>
      <c r="N321" s="10">
        <v>759.98383778476023</v>
      </c>
    </row>
    <row r="322" spans="1:14">
      <c r="A322" t="s">
        <v>1967</v>
      </c>
      <c r="B322" t="s">
        <v>9428</v>
      </c>
      <c r="C322" t="s">
        <v>9429</v>
      </c>
      <c r="D322" t="s">
        <v>11</v>
      </c>
      <c r="E322" t="s">
        <v>13</v>
      </c>
      <c r="F322" t="s">
        <v>1970</v>
      </c>
      <c r="G322" t="s">
        <v>12</v>
      </c>
      <c r="I322" t="s">
        <v>9428</v>
      </c>
      <c r="J322" t="s">
        <v>10151</v>
      </c>
      <c r="K322" s="11">
        <v>33.877499999999998</v>
      </c>
      <c r="L322" s="9">
        <v>0.32041405454048538</v>
      </c>
      <c r="M322" s="10">
        <v>207.53286514016199</v>
      </c>
      <c r="N322" s="10">
        <v>896.30652441745849</v>
      </c>
    </row>
    <row r="323" spans="1:14">
      <c r="A323" t="s">
        <v>1967</v>
      </c>
      <c r="B323" t="s">
        <v>9430</v>
      </c>
      <c r="C323" t="s">
        <v>9431</v>
      </c>
      <c r="D323" t="s">
        <v>11</v>
      </c>
      <c r="E323" t="s">
        <v>13</v>
      </c>
      <c r="F323" t="s">
        <v>1970</v>
      </c>
      <c r="G323" t="s">
        <v>12</v>
      </c>
      <c r="I323" t="s">
        <v>9430</v>
      </c>
      <c r="J323" t="s">
        <v>10152</v>
      </c>
      <c r="K323" s="11">
        <v>34.21575</v>
      </c>
      <c r="L323" s="9">
        <v>0.2415176265061669</v>
      </c>
      <c r="M323" s="11">
        <v>71.416075692947373</v>
      </c>
      <c r="N323" s="10">
        <v>525.25241623874365</v>
      </c>
    </row>
    <row r="324" spans="1:14">
      <c r="A324" t="s">
        <v>1967</v>
      </c>
      <c r="B324" t="s">
        <v>9432</v>
      </c>
      <c r="C324" t="s">
        <v>9433</v>
      </c>
      <c r="D324" t="s">
        <v>11</v>
      </c>
      <c r="E324" t="s">
        <v>13</v>
      </c>
      <c r="F324" t="s">
        <v>1970</v>
      </c>
      <c r="G324" t="s">
        <v>12</v>
      </c>
      <c r="I324" t="s">
        <v>9432</v>
      </c>
      <c r="J324" t="s">
        <v>10153</v>
      </c>
      <c r="K324" s="11">
        <v>45.600749999999998</v>
      </c>
      <c r="L324" s="9">
        <v>0.34764779840497251</v>
      </c>
      <c r="M324" s="11">
        <v>98.856109775673715</v>
      </c>
      <c r="N324" s="10">
        <v>740.87537179501828</v>
      </c>
    </row>
    <row r="325" spans="1:14">
      <c r="A325" t="s">
        <v>1967</v>
      </c>
      <c r="B325" t="s">
        <v>9434</v>
      </c>
      <c r="C325" t="s">
        <v>9435</v>
      </c>
      <c r="D325" t="s">
        <v>11</v>
      </c>
      <c r="E325" t="s">
        <v>13</v>
      </c>
      <c r="F325" t="s">
        <v>1970</v>
      </c>
      <c r="G325" t="s">
        <v>12</v>
      </c>
      <c r="I325" t="s">
        <v>9434</v>
      </c>
      <c r="J325" t="s">
        <v>10154</v>
      </c>
      <c r="K325" s="11">
        <v>22.839749999999999</v>
      </c>
      <c r="L325" s="9">
        <v>0.36757255777944892</v>
      </c>
      <c r="M325" s="11">
        <v>46.454724360079531</v>
      </c>
      <c r="N325" s="10">
        <v>506.11716513315628</v>
      </c>
    </row>
    <row r="326" spans="1:14">
      <c r="A326" t="s">
        <v>1967</v>
      </c>
      <c r="B326" t="s">
        <v>9436</v>
      </c>
      <c r="C326" t="s">
        <v>9433</v>
      </c>
      <c r="D326" t="s">
        <v>11</v>
      </c>
      <c r="E326" t="s">
        <v>13</v>
      </c>
      <c r="F326" t="s">
        <v>1970</v>
      </c>
      <c r="G326" t="s">
        <v>12</v>
      </c>
      <c r="I326" t="s">
        <v>9436</v>
      </c>
      <c r="J326" t="s">
        <v>10155</v>
      </c>
      <c r="K326" s="11">
        <v>61.503749999999997</v>
      </c>
      <c r="L326" s="9">
        <v>0.35745177531374062</v>
      </c>
      <c r="M326" s="10">
        <v>125.29250203878831</v>
      </c>
      <c r="N326" s="10">
        <v>859.31040913377171</v>
      </c>
    </row>
    <row r="327" spans="1:14">
      <c r="A327" t="s">
        <v>1967</v>
      </c>
      <c r="B327" t="s">
        <v>9437</v>
      </c>
      <c r="C327" t="s">
        <v>9438</v>
      </c>
      <c r="D327" t="s">
        <v>11</v>
      </c>
      <c r="E327" t="s">
        <v>13</v>
      </c>
      <c r="F327" t="s">
        <v>1970</v>
      </c>
      <c r="G327" t="s">
        <v>12</v>
      </c>
      <c r="I327" t="s">
        <v>9437</v>
      </c>
      <c r="J327" t="s">
        <v>10156</v>
      </c>
      <c r="K327" s="11">
        <v>76.390500000000003</v>
      </c>
      <c r="L327" s="9">
        <v>0.22136667941634899</v>
      </c>
      <c r="M327" s="10">
        <v>293.02035299542695</v>
      </c>
      <c r="N327" s="10">
        <v>958.79787803965712</v>
      </c>
    </row>
    <row r="328" spans="1:14">
      <c r="A328" t="s">
        <v>1967</v>
      </c>
      <c r="B328" t="s">
        <v>9439</v>
      </c>
      <c r="C328" t="s">
        <v>9440</v>
      </c>
      <c r="D328" t="s">
        <v>11</v>
      </c>
      <c r="E328" t="s">
        <v>13</v>
      </c>
      <c r="F328" t="s">
        <v>1970</v>
      </c>
      <c r="G328" t="s">
        <v>12</v>
      </c>
      <c r="I328" t="s">
        <v>9439</v>
      </c>
      <c r="J328" t="s">
        <v>10157</v>
      </c>
      <c r="K328" s="11">
        <v>18.889500000000002</v>
      </c>
      <c r="L328" s="9">
        <v>0.22265757677209999</v>
      </c>
      <c r="M328" s="10">
        <v>103.99650492311888</v>
      </c>
      <c r="N328" s="10">
        <v>649.3186907472367</v>
      </c>
    </row>
    <row r="329" spans="1:14">
      <c r="A329" t="s">
        <v>1967</v>
      </c>
      <c r="B329" t="s">
        <v>9441</v>
      </c>
      <c r="C329" t="s">
        <v>9442</v>
      </c>
      <c r="D329" t="s">
        <v>11</v>
      </c>
      <c r="E329" t="s">
        <v>13</v>
      </c>
      <c r="F329" t="s">
        <v>1970</v>
      </c>
      <c r="G329" t="s">
        <v>12</v>
      </c>
      <c r="I329" t="s">
        <v>9441</v>
      </c>
      <c r="J329" t="s">
        <v>10158</v>
      </c>
      <c r="K329" s="11">
        <v>21.95025</v>
      </c>
      <c r="L329" s="9">
        <v>0.22574309272636661</v>
      </c>
      <c r="M329" s="10">
        <v>195.82720980365036</v>
      </c>
      <c r="N329" s="10">
        <v>887.74969036646837</v>
      </c>
    </row>
    <row r="330" spans="1:14">
      <c r="A330" t="s">
        <v>1967</v>
      </c>
      <c r="B330" t="s">
        <v>9443</v>
      </c>
      <c r="C330" t="s">
        <v>9442</v>
      </c>
      <c r="D330" t="s">
        <v>11</v>
      </c>
      <c r="E330" t="s">
        <v>13</v>
      </c>
      <c r="F330" t="s">
        <v>1970</v>
      </c>
      <c r="G330" t="s">
        <v>12</v>
      </c>
      <c r="I330" t="s">
        <v>9443</v>
      </c>
      <c r="J330" t="s">
        <v>10159</v>
      </c>
      <c r="K330" s="11">
        <v>57.878250000000001</v>
      </c>
      <c r="L330" s="9">
        <v>0.24217477482718039</v>
      </c>
      <c r="M330" s="10">
        <v>304.75673937328048</v>
      </c>
      <c r="N330" s="10">
        <v>967.37717648186799</v>
      </c>
    </row>
    <row r="331" spans="1:14">
      <c r="A331" t="s">
        <v>1967</v>
      </c>
      <c r="B331" t="s">
        <v>9444</v>
      </c>
      <c r="C331" t="s">
        <v>9445</v>
      </c>
      <c r="D331" t="s">
        <v>11</v>
      </c>
      <c r="E331" t="s">
        <v>13</v>
      </c>
      <c r="F331" t="s">
        <v>1970</v>
      </c>
      <c r="G331" t="s">
        <v>12</v>
      </c>
      <c r="I331" t="s">
        <v>9444</v>
      </c>
      <c r="J331" t="s">
        <v>10160</v>
      </c>
      <c r="K331" s="11">
        <v>12.392250000000001</v>
      </c>
      <c r="L331" s="9">
        <v>0.185104055828583</v>
      </c>
      <c r="M331" s="11">
        <v>39.922248108770233</v>
      </c>
      <c r="N331" s="10">
        <v>476.8516715272907</v>
      </c>
    </row>
    <row r="332" spans="1:14">
      <c r="A332" t="s">
        <v>1967</v>
      </c>
      <c r="B332" t="s">
        <v>9446</v>
      </c>
      <c r="C332" t="s">
        <v>9447</v>
      </c>
      <c r="D332" t="s">
        <v>11</v>
      </c>
      <c r="E332" t="s">
        <v>13</v>
      </c>
      <c r="F332" t="s">
        <v>1970</v>
      </c>
      <c r="G332" t="s">
        <v>12</v>
      </c>
      <c r="I332" t="s">
        <v>9446</v>
      </c>
      <c r="J332" t="s">
        <v>10161</v>
      </c>
      <c r="K332" s="13">
        <v>8.9999999999999993E-3</v>
      </c>
      <c r="L332" s="12">
        <v>4.2634661428900301E-2</v>
      </c>
      <c r="M332" s="11">
        <v>20.315610614281411</v>
      </c>
      <c r="N332" s="10">
        <v>389.01393555198075</v>
      </c>
    </row>
    <row r="333" spans="1:14">
      <c r="A333" t="s">
        <v>1967</v>
      </c>
      <c r="B333" t="s">
        <v>9448</v>
      </c>
      <c r="C333" t="s">
        <v>9449</v>
      </c>
      <c r="D333" t="s">
        <v>11</v>
      </c>
      <c r="E333" t="s">
        <v>13</v>
      </c>
      <c r="F333" t="s">
        <v>1970</v>
      </c>
      <c r="G333" t="s">
        <v>12</v>
      </c>
      <c r="I333" t="s">
        <v>9448</v>
      </c>
      <c r="J333" t="s">
        <v>10162</v>
      </c>
      <c r="K333" s="11">
        <v>65.866500000000002</v>
      </c>
      <c r="L333" s="9">
        <v>0.39394935668215181</v>
      </c>
      <c r="M333" s="10">
        <v>138.45709477244998</v>
      </c>
      <c r="N333" s="10">
        <v>780.54461689348955</v>
      </c>
    </row>
    <row r="334" spans="1:14">
      <c r="A334" t="s">
        <v>1967</v>
      </c>
      <c r="B334" t="s">
        <v>9450</v>
      </c>
      <c r="C334" t="s">
        <v>9449</v>
      </c>
      <c r="D334" t="s">
        <v>11</v>
      </c>
      <c r="E334" t="s">
        <v>13</v>
      </c>
      <c r="F334" t="s">
        <v>1970</v>
      </c>
      <c r="G334" t="s">
        <v>12</v>
      </c>
      <c r="I334" t="s">
        <v>9450</v>
      </c>
      <c r="J334" t="s">
        <v>10163</v>
      </c>
      <c r="K334" s="11">
        <v>67.254000000000005</v>
      </c>
      <c r="L334" s="9">
        <v>0.3316406586848108</v>
      </c>
      <c r="M334" s="10">
        <v>319.80377314057733</v>
      </c>
      <c r="N334" s="10">
        <v>978.37655816576205</v>
      </c>
    </row>
    <row r="335" spans="1:14">
      <c r="A335" t="s">
        <v>1967</v>
      </c>
      <c r="B335" t="s">
        <v>9451</v>
      </c>
      <c r="C335" t="s">
        <v>9452</v>
      </c>
      <c r="D335" t="s">
        <v>11</v>
      </c>
      <c r="E335" t="s">
        <v>13</v>
      </c>
      <c r="F335" t="s">
        <v>1970</v>
      </c>
      <c r="G335" t="s">
        <v>12</v>
      </c>
      <c r="I335" t="s">
        <v>9451</v>
      </c>
      <c r="J335" t="s">
        <v>10164</v>
      </c>
      <c r="K335" s="11">
        <v>11.52675</v>
      </c>
      <c r="L335" s="9">
        <v>0.2460603703305573</v>
      </c>
      <c r="M335" s="10">
        <v>361.31826582037991</v>
      </c>
      <c r="N335" s="10">
        <v>1008.7236523146977</v>
      </c>
    </row>
    <row r="336" spans="1:14">
      <c r="A336" t="s">
        <v>1967</v>
      </c>
      <c r="B336" t="s">
        <v>9453</v>
      </c>
      <c r="C336" t="s">
        <v>9454</v>
      </c>
      <c r="D336" t="s">
        <v>11</v>
      </c>
      <c r="E336" t="s">
        <v>13</v>
      </c>
      <c r="F336" t="s">
        <v>1970</v>
      </c>
      <c r="G336" t="s">
        <v>12</v>
      </c>
      <c r="I336" t="s">
        <v>9453</v>
      </c>
      <c r="J336" t="s">
        <v>10165</v>
      </c>
      <c r="K336" s="11">
        <v>14.66925</v>
      </c>
      <c r="L336" s="9">
        <v>0.25479240436199968</v>
      </c>
      <c r="M336" s="10">
        <v>108.54552007781332</v>
      </c>
      <c r="N336" s="10">
        <v>666.64134045631317</v>
      </c>
    </row>
    <row r="337" spans="1:14">
      <c r="A337" t="s">
        <v>1967</v>
      </c>
      <c r="B337" t="s">
        <v>9455</v>
      </c>
      <c r="C337" t="s">
        <v>9456</v>
      </c>
      <c r="D337" t="s">
        <v>11</v>
      </c>
      <c r="E337" t="s">
        <v>13</v>
      </c>
      <c r="F337" t="s">
        <v>1970</v>
      </c>
      <c r="G337" t="s">
        <v>12</v>
      </c>
      <c r="I337" t="s">
        <v>9455</v>
      </c>
      <c r="J337" t="s">
        <v>10166</v>
      </c>
      <c r="K337" s="11">
        <v>60.48075</v>
      </c>
      <c r="L337" s="9">
        <v>0.3177795569924613</v>
      </c>
      <c r="M337" s="10">
        <v>188.11137710767608</v>
      </c>
      <c r="N337" s="10">
        <v>882.10941666571125</v>
      </c>
    </row>
    <row r="338" spans="1:14">
      <c r="A338" t="s">
        <v>1967</v>
      </c>
      <c r="B338" t="s">
        <v>9457</v>
      </c>
      <c r="C338" t="s">
        <v>9458</v>
      </c>
      <c r="D338" t="s">
        <v>11</v>
      </c>
      <c r="E338" t="s">
        <v>13</v>
      </c>
      <c r="F338" t="s">
        <v>1970</v>
      </c>
      <c r="G338" t="s">
        <v>12</v>
      </c>
      <c r="I338" t="s">
        <v>9457</v>
      </c>
      <c r="J338" t="s">
        <v>10167</v>
      </c>
      <c r="K338" s="11">
        <v>16.951499999999999</v>
      </c>
      <c r="L338" s="9">
        <v>0.65315950463890005</v>
      </c>
      <c r="M338" s="11">
        <v>97.8751797814338</v>
      </c>
      <c r="N338" s="10">
        <v>626.00868460769993</v>
      </c>
    </row>
    <row r="339" spans="1:14">
      <c r="A339" t="s">
        <v>1967</v>
      </c>
      <c r="B339" t="s">
        <v>9459</v>
      </c>
      <c r="C339" t="s">
        <v>9460</v>
      </c>
      <c r="D339" t="s">
        <v>11</v>
      </c>
      <c r="E339" t="s">
        <v>13</v>
      </c>
      <c r="F339" t="s">
        <v>1970</v>
      </c>
      <c r="G339" t="s">
        <v>12</v>
      </c>
      <c r="I339" t="s">
        <v>9459</v>
      </c>
      <c r="J339" t="s">
        <v>10168</v>
      </c>
      <c r="K339" s="11">
        <v>16.424250000000001</v>
      </c>
      <c r="L339" s="9">
        <v>0.52990852695639412</v>
      </c>
      <c r="M339" s="10">
        <v>123.43998173060814</v>
      </c>
      <c r="N339" s="10">
        <v>723.35945043015579</v>
      </c>
    </row>
    <row r="340" spans="1:14">
      <c r="A340" t="s">
        <v>1967</v>
      </c>
      <c r="B340" t="s">
        <v>9461</v>
      </c>
      <c r="C340" t="s">
        <v>9462</v>
      </c>
      <c r="D340" t="s">
        <v>11</v>
      </c>
      <c r="E340" t="s">
        <v>13</v>
      </c>
      <c r="F340" t="s">
        <v>1970</v>
      </c>
      <c r="G340" t="s">
        <v>12</v>
      </c>
      <c r="I340" t="s">
        <v>9461</v>
      </c>
      <c r="J340" t="s">
        <v>10169</v>
      </c>
      <c r="K340" s="9">
        <v>8.6992499999999993</v>
      </c>
      <c r="L340" s="9">
        <v>0.37592736558951823</v>
      </c>
      <c r="M340" s="10">
        <v>220.24074789847015</v>
      </c>
      <c r="N340" s="10">
        <v>905.59598671378171</v>
      </c>
    </row>
    <row r="341" spans="1:14">
      <c r="A341" t="s">
        <v>1967</v>
      </c>
      <c r="B341" t="s">
        <v>9463</v>
      </c>
      <c r="C341" t="s">
        <v>9462</v>
      </c>
      <c r="D341" t="s">
        <v>11</v>
      </c>
      <c r="E341" t="s">
        <v>13</v>
      </c>
      <c r="F341" t="s">
        <v>1970</v>
      </c>
      <c r="G341" t="s">
        <v>12</v>
      </c>
      <c r="I341" t="s">
        <v>9463</v>
      </c>
      <c r="J341" t="s">
        <v>10170</v>
      </c>
      <c r="K341" s="11">
        <v>24.210750000000001</v>
      </c>
      <c r="L341" s="9">
        <v>0.46489651993426939</v>
      </c>
      <c r="M341" s="11">
        <v>93.342713719132874</v>
      </c>
      <c r="N341" s="10">
        <v>608.74905384245801</v>
      </c>
    </row>
    <row r="342" spans="1:14">
      <c r="A342" t="s">
        <v>1967</v>
      </c>
      <c r="B342" t="s">
        <v>9464</v>
      </c>
      <c r="C342" t="s">
        <v>9465</v>
      </c>
      <c r="D342" t="s">
        <v>11</v>
      </c>
      <c r="E342" t="s">
        <v>13</v>
      </c>
      <c r="F342" t="s">
        <v>1970</v>
      </c>
      <c r="G342" t="s">
        <v>12</v>
      </c>
      <c r="I342" t="s">
        <v>9464</v>
      </c>
      <c r="J342" t="s">
        <v>10171</v>
      </c>
      <c r="K342" s="9">
        <v>1.9035</v>
      </c>
      <c r="L342" s="9">
        <v>0.25074419358649203</v>
      </c>
      <c r="M342" s="10">
        <v>462.02151627842346</v>
      </c>
      <c r="N342" s="10">
        <v>1082.3377283995276</v>
      </c>
    </row>
    <row r="343" spans="1:14">
      <c r="A343" t="s">
        <v>1967</v>
      </c>
      <c r="B343" t="s">
        <v>9466</v>
      </c>
      <c r="C343" t="s">
        <v>9467</v>
      </c>
      <c r="D343" t="s">
        <v>11</v>
      </c>
      <c r="E343" t="s">
        <v>13</v>
      </c>
      <c r="F343" t="s">
        <v>1970</v>
      </c>
      <c r="G343" t="s">
        <v>12</v>
      </c>
      <c r="I343" t="s">
        <v>9466</v>
      </c>
      <c r="J343" t="s">
        <v>10172</v>
      </c>
      <c r="K343" s="9">
        <v>4.1745000000000001</v>
      </c>
      <c r="L343" s="9">
        <v>0.2145000857922435</v>
      </c>
      <c r="M343" s="10">
        <v>306.65377543278481</v>
      </c>
      <c r="N343" s="10">
        <v>968.76390984136572</v>
      </c>
    </row>
    <row r="344" spans="1:14">
      <c r="A344" t="s">
        <v>1967</v>
      </c>
      <c r="B344" t="s">
        <v>9468</v>
      </c>
      <c r="C344" t="s">
        <v>9469</v>
      </c>
      <c r="D344" t="s">
        <v>11</v>
      </c>
      <c r="E344" t="s">
        <v>13</v>
      </c>
      <c r="F344" t="s">
        <v>1970</v>
      </c>
      <c r="G344" t="s">
        <v>12</v>
      </c>
      <c r="I344" t="s">
        <v>9468</v>
      </c>
      <c r="J344" t="s">
        <v>10173</v>
      </c>
      <c r="K344" s="11">
        <v>17.721</v>
      </c>
      <c r="L344" s="9">
        <v>0.2036673079836544</v>
      </c>
      <c r="M344" s="10">
        <v>148.88448843449899</v>
      </c>
      <c r="N344" s="10">
        <v>820.25213195857225</v>
      </c>
    </row>
    <row r="345" spans="1:14">
      <c r="A345" t="s">
        <v>1967</v>
      </c>
      <c r="B345" t="s">
        <v>9470</v>
      </c>
      <c r="C345" t="s">
        <v>9469</v>
      </c>
      <c r="D345" t="s">
        <v>11</v>
      </c>
      <c r="E345" t="s">
        <v>13</v>
      </c>
      <c r="F345" t="s">
        <v>1970</v>
      </c>
      <c r="G345" t="s">
        <v>12</v>
      </c>
      <c r="I345" t="s">
        <v>9470</v>
      </c>
      <c r="J345" t="s">
        <v>10174</v>
      </c>
      <c r="K345" s="11">
        <v>17.358750000000001</v>
      </c>
      <c r="L345" s="9">
        <v>0.27209575611597397</v>
      </c>
      <c r="M345" s="10">
        <v>333.70429880645759</v>
      </c>
      <c r="N345" s="10">
        <v>988.53784242752045</v>
      </c>
    </row>
    <row r="346" spans="1:14">
      <c r="A346" t="s">
        <v>1967</v>
      </c>
      <c r="B346" t="s">
        <v>9471</v>
      </c>
      <c r="C346" t="s">
        <v>9472</v>
      </c>
      <c r="D346" t="s">
        <v>11</v>
      </c>
      <c r="E346" t="s">
        <v>13</v>
      </c>
      <c r="F346" t="s">
        <v>1970</v>
      </c>
      <c r="G346" t="s">
        <v>12</v>
      </c>
      <c r="I346" t="s">
        <v>9471</v>
      </c>
      <c r="J346" t="s">
        <v>10175</v>
      </c>
      <c r="K346" s="11">
        <v>58.376249999999999</v>
      </c>
      <c r="L346" s="9">
        <v>0.47254414183363042</v>
      </c>
      <c r="M346" s="10">
        <v>466.56361854613289</v>
      </c>
      <c r="N346" s="10">
        <v>1085.658005157223</v>
      </c>
    </row>
    <row r="347" spans="1:14">
      <c r="A347" t="s">
        <v>1967</v>
      </c>
      <c r="B347" t="s">
        <v>9473</v>
      </c>
      <c r="C347" t="s">
        <v>9474</v>
      </c>
      <c r="D347" t="s">
        <v>11</v>
      </c>
      <c r="E347" t="s">
        <v>13</v>
      </c>
      <c r="F347" t="s">
        <v>1970</v>
      </c>
      <c r="G347" t="s">
        <v>12</v>
      </c>
      <c r="I347" t="s">
        <v>9473</v>
      </c>
      <c r="J347" t="s">
        <v>10176</v>
      </c>
      <c r="K347" s="11">
        <v>82.149749999999997</v>
      </c>
      <c r="L347" s="9">
        <v>0.41903327741409979</v>
      </c>
      <c r="M347" s="10">
        <v>129.86496050356754</v>
      </c>
      <c r="N347" s="10">
        <v>747.82576959758524</v>
      </c>
    </row>
    <row r="348" spans="1:14">
      <c r="A348" t="s">
        <v>1967</v>
      </c>
      <c r="B348" t="s">
        <v>9475</v>
      </c>
      <c r="C348" t="s">
        <v>9476</v>
      </c>
      <c r="D348" t="s">
        <v>11</v>
      </c>
      <c r="E348" t="s">
        <v>13</v>
      </c>
      <c r="F348" t="s">
        <v>1970</v>
      </c>
      <c r="G348" t="s">
        <v>12</v>
      </c>
      <c r="I348" t="s">
        <v>9475</v>
      </c>
      <c r="J348" t="s">
        <v>10177</v>
      </c>
      <c r="K348" s="10">
        <v>102.16800000000001</v>
      </c>
      <c r="L348" s="9">
        <v>0.39000616352688122</v>
      </c>
      <c r="M348" s="10">
        <v>303.9032118555977</v>
      </c>
      <c r="N348" s="10">
        <v>966.75324786644194</v>
      </c>
    </row>
    <row r="349" spans="1:14">
      <c r="A349" t="s">
        <v>1967</v>
      </c>
      <c r="B349" t="s">
        <v>9477</v>
      </c>
      <c r="C349" t="s">
        <v>9478</v>
      </c>
      <c r="D349" t="s">
        <v>11</v>
      </c>
      <c r="E349" t="s">
        <v>13</v>
      </c>
      <c r="F349" t="s">
        <v>1970</v>
      </c>
      <c r="G349" t="s">
        <v>12</v>
      </c>
      <c r="I349" t="s">
        <v>9477</v>
      </c>
      <c r="J349" t="s">
        <v>10178</v>
      </c>
      <c r="K349" s="10">
        <v>108.99299999999999</v>
      </c>
      <c r="L349" s="9">
        <v>0.54214539605004097</v>
      </c>
      <c r="M349" s="10">
        <v>633.64454141527995</v>
      </c>
      <c r="N349" s="10">
        <v>1207.7941597745694</v>
      </c>
    </row>
    <row r="350" spans="1:14">
      <c r="A350" t="s">
        <v>1967</v>
      </c>
      <c r="B350" t="s">
        <v>9479</v>
      </c>
      <c r="C350" t="s">
        <v>9474</v>
      </c>
      <c r="D350" t="s">
        <v>11</v>
      </c>
      <c r="E350" t="s">
        <v>13</v>
      </c>
      <c r="F350" t="s">
        <v>1970</v>
      </c>
      <c r="G350" t="s">
        <v>12</v>
      </c>
      <c r="I350" t="s">
        <v>9479</v>
      </c>
      <c r="J350" t="s">
        <v>10179</v>
      </c>
      <c r="K350" s="11">
        <v>76.022999999999996</v>
      </c>
      <c r="L350" s="9">
        <v>0.63918970842080491</v>
      </c>
      <c r="M350" s="10">
        <v>409.71026750490131</v>
      </c>
      <c r="N350" s="10">
        <v>1044.0982055460827</v>
      </c>
    </row>
    <row r="351" spans="1:14">
      <c r="A351" t="s">
        <v>1967</v>
      </c>
      <c r="B351" t="s">
        <v>9480</v>
      </c>
      <c r="C351" t="s">
        <v>9474</v>
      </c>
      <c r="D351" t="s">
        <v>11</v>
      </c>
      <c r="E351" t="s">
        <v>13</v>
      </c>
      <c r="F351" t="s">
        <v>1970</v>
      </c>
      <c r="G351" t="s">
        <v>12</v>
      </c>
      <c r="I351" t="s">
        <v>9480</v>
      </c>
      <c r="J351" t="s">
        <v>10180</v>
      </c>
      <c r="K351" s="11">
        <v>70.902000000000001</v>
      </c>
      <c r="L351" s="9">
        <v>0.55619839469945154</v>
      </c>
      <c r="M351" s="10">
        <v>231.60120439704289</v>
      </c>
      <c r="N351" s="10">
        <v>913.90048041423836</v>
      </c>
    </row>
    <row r="352" spans="1:14">
      <c r="A352" t="s">
        <v>1967</v>
      </c>
      <c r="B352" t="s">
        <v>9481</v>
      </c>
      <c r="C352" t="s">
        <v>9482</v>
      </c>
      <c r="D352" t="s">
        <v>11</v>
      </c>
      <c r="E352" t="s">
        <v>13</v>
      </c>
      <c r="F352" t="s">
        <v>1970</v>
      </c>
      <c r="G352" t="s">
        <v>12</v>
      </c>
      <c r="I352" t="s">
        <v>9481</v>
      </c>
      <c r="J352" t="s">
        <v>10181</v>
      </c>
      <c r="K352" s="9">
        <v>0.63</v>
      </c>
      <c r="L352" s="9">
        <v>0.27561532744841971</v>
      </c>
      <c r="M352" s="10">
        <v>198.32304311333252</v>
      </c>
      <c r="N352" s="10">
        <v>889.574144515846</v>
      </c>
    </row>
    <row r="353" spans="1:14">
      <c r="A353" t="s">
        <v>1967</v>
      </c>
      <c r="B353" t="s">
        <v>9483</v>
      </c>
      <c r="C353" t="s">
        <v>9484</v>
      </c>
      <c r="D353" t="s">
        <v>11</v>
      </c>
      <c r="E353" t="s">
        <v>13</v>
      </c>
      <c r="F353" t="s">
        <v>1970</v>
      </c>
      <c r="G353" t="s">
        <v>12</v>
      </c>
      <c r="I353" t="s">
        <v>9483</v>
      </c>
      <c r="J353" t="s">
        <v>10182</v>
      </c>
      <c r="K353" s="9">
        <v>1.0177499999999999</v>
      </c>
      <c r="L353" s="9">
        <v>0.3268125486395474</v>
      </c>
      <c r="M353" s="11">
        <v>33.409511515207363</v>
      </c>
      <c r="N353" s="10">
        <v>380.5234198499096</v>
      </c>
    </row>
    <row r="354" spans="1:14">
      <c r="A354" t="s">
        <v>1967</v>
      </c>
      <c r="B354" t="s">
        <v>9485</v>
      </c>
      <c r="C354" t="s">
        <v>9482</v>
      </c>
      <c r="D354" t="s">
        <v>11</v>
      </c>
      <c r="E354" t="s">
        <v>13</v>
      </c>
      <c r="F354" t="s">
        <v>1970</v>
      </c>
      <c r="G354" t="s">
        <v>12</v>
      </c>
      <c r="I354" t="s">
        <v>9485</v>
      </c>
      <c r="J354" t="s">
        <v>10183</v>
      </c>
      <c r="K354" s="9">
        <v>2.3932500000000001</v>
      </c>
      <c r="L354" s="9">
        <v>0.27322890949559042</v>
      </c>
      <c r="M354" s="10">
        <v>102.80689870548927</v>
      </c>
      <c r="N354" s="10">
        <v>644.78867027050319</v>
      </c>
    </row>
    <row r="355" spans="1:14">
      <c r="A355" t="s">
        <v>1967</v>
      </c>
      <c r="B355" t="s">
        <v>9486</v>
      </c>
      <c r="C355" t="s">
        <v>9487</v>
      </c>
      <c r="D355" t="s">
        <v>11</v>
      </c>
      <c r="E355" t="s">
        <v>13</v>
      </c>
      <c r="F355" t="s">
        <v>1970</v>
      </c>
      <c r="G355" t="s">
        <v>12</v>
      </c>
      <c r="I355" t="s">
        <v>9486</v>
      </c>
      <c r="J355" t="s">
        <v>10184</v>
      </c>
      <c r="K355" s="11">
        <v>13.563750000000001</v>
      </c>
      <c r="L355" s="9">
        <v>0.1059411808732022</v>
      </c>
      <c r="M355" s="11">
        <v>76.891025530846704</v>
      </c>
      <c r="N355" s="10">
        <v>546.10102522146428</v>
      </c>
    </row>
    <row r="356" spans="1:14">
      <c r="A356" t="s">
        <v>1967</v>
      </c>
      <c r="B356" t="s">
        <v>9488</v>
      </c>
      <c r="C356" t="s">
        <v>9489</v>
      </c>
      <c r="D356" t="s">
        <v>11</v>
      </c>
      <c r="E356" t="s">
        <v>13</v>
      </c>
      <c r="F356" t="s">
        <v>1970</v>
      </c>
      <c r="G356" t="s">
        <v>12</v>
      </c>
      <c r="I356" t="s">
        <v>9488</v>
      </c>
      <c r="J356" t="s">
        <v>10185</v>
      </c>
      <c r="K356" s="11">
        <v>22.7685</v>
      </c>
      <c r="L356" s="12">
        <v>9.86285232378947E-2</v>
      </c>
      <c r="M356" s="10">
        <v>181.16842527840279</v>
      </c>
      <c r="N356" s="10">
        <v>877.03411887851234</v>
      </c>
    </row>
    <row r="357" spans="1:14">
      <c r="A357" t="s">
        <v>1967</v>
      </c>
      <c r="B357" t="s">
        <v>9490</v>
      </c>
      <c r="C357" t="s">
        <v>9491</v>
      </c>
      <c r="D357" t="s">
        <v>11</v>
      </c>
      <c r="E357" t="s">
        <v>13</v>
      </c>
      <c r="F357" t="s">
        <v>1970</v>
      </c>
      <c r="G357" t="s">
        <v>12</v>
      </c>
      <c r="I357" t="s">
        <v>9490</v>
      </c>
      <c r="J357" t="s">
        <v>10186</v>
      </c>
      <c r="K357" s="11">
        <v>37.59075</v>
      </c>
      <c r="L357" s="12">
        <v>9.8484564419149601E-2</v>
      </c>
      <c r="M357" s="10">
        <v>171.23560474839121</v>
      </c>
      <c r="N357" s="10">
        <v>869.77322707107396</v>
      </c>
    </row>
    <row r="358" spans="1:14">
      <c r="A358" t="s">
        <v>1967</v>
      </c>
      <c r="B358" t="s">
        <v>9492</v>
      </c>
      <c r="C358" t="s">
        <v>9491</v>
      </c>
      <c r="D358" t="s">
        <v>11</v>
      </c>
      <c r="E358" t="s">
        <v>13</v>
      </c>
      <c r="F358" t="s">
        <v>1970</v>
      </c>
      <c r="G358" t="s">
        <v>12</v>
      </c>
      <c r="I358" t="s">
        <v>9492</v>
      </c>
      <c r="J358" t="s">
        <v>10187</v>
      </c>
      <c r="K358" s="11">
        <v>18.955500000000001</v>
      </c>
      <c r="L358" s="12">
        <v>7.9011012258508095E-2</v>
      </c>
      <c r="M358" s="10">
        <v>116.67460828377772</v>
      </c>
      <c r="N358" s="10">
        <v>697.5969083446256</v>
      </c>
    </row>
    <row r="359" spans="1:14">
      <c r="A359" t="s">
        <v>1967</v>
      </c>
      <c r="B359" t="s">
        <v>9493</v>
      </c>
      <c r="C359" t="s">
        <v>9494</v>
      </c>
      <c r="D359" t="s">
        <v>11</v>
      </c>
      <c r="E359" t="s">
        <v>13</v>
      </c>
      <c r="F359" t="s">
        <v>1970</v>
      </c>
      <c r="G359" t="s">
        <v>12</v>
      </c>
      <c r="I359" t="s">
        <v>9493</v>
      </c>
      <c r="J359" t="s">
        <v>10188</v>
      </c>
      <c r="K359" s="11">
        <v>17.126249999999999</v>
      </c>
      <c r="L359" s="9">
        <v>0.4786512773901862</v>
      </c>
      <c r="M359" s="11">
        <v>67.021136310545401</v>
      </c>
      <c r="N359" s="10">
        <v>508.51648707055693</v>
      </c>
    </row>
    <row r="360" spans="1:14">
      <c r="A360" t="s">
        <v>1967</v>
      </c>
      <c r="B360" t="s">
        <v>9495</v>
      </c>
      <c r="C360" t="s">
        <v>9496</v>
      </c>
      <c r="D360" t="s">
        <v>11</v>
      </c>
      <c r="E360" t="s">
        <v>13</v>
      </c>
      <c r="F360" t="s">
        <v>1970</v>
      </c>
      <c r="G360" t="s">
        <v>12</v>
      </c>
      <c r="I360" t="s">
        <v>9495</v>
      </c>
      <c r="J360" t="s">
        <v>10189</v>
      </c>
      <c r="K360" s="9">
        <v>9.7035</v>
      </c>
      <c r="L360" s="9">
        <v>0.29348882732382903</v>
      </c>
      <c r="M360" s="11">
        <v>76.151703116777895</v>
      </c>
      <c r="N360" s="10">
        <v>543.28568546869019</v>
      </c>
    </row>
    <row r="361" spans="1:14">
      <c r="A361" t="s">
        <v>1967</v>
      </c>
      <c r="B361" t="s">
        <v>9497</v>
      </c>
      <c r="C361" t="s">
        <v>9498</v>
      </c>
      <c r="D361" t="s">
        <v>11</v>
      </c>
      <c r="E361" t="s">
        <v>13</v>
      </c>
      <c r="F361" t="s">
        <v>1970</v>
      </c>
      <c r="G361" t="s">
        <v>12</v>
      </c>
      <c r="I361" t="s">
        <v>9497</v>
      </c>
      <c r="J361" t="s">
        <v>10190</v>
      </c>
      <c r="K361" s="11">
        <v>28.054500000000001</v>
      </c>
      <c r="L361" s="9">
        <v>0.28526717422124909</v>
      </c>
      <c r="M361" s="10">
        <v>176.85345978304778</v>
      </c>
      <c r="N361" s="10">
        <v>873.87987910140782</v>
      </c>
    </row>
    <row r="362" spans="1:14">
      <c r="A362" t="s">
        <v>1967</v>
      </c>
      <c r="B362" t="s">
        <v>9499</v>
      </c>
      <c r="C362" t="s">
        <v>9500</v>
      </c>
      <c r="D362" t="s">
        <v>11</v>
      </c>
      <c r="E362" t="s">
        <v>13</v>
      </c>
      <c r="F362" t="s">
        <v>1970</v>
      </c>
      <c r="G362" t="s">
        <v>12</v>
      </c>
      <c r="I362" t="s">
        <v>9499</v>
      </c>
      <c r="J362" t="s">
        <v>10191</v>
      </c>
      <c r="K362" s="11">
        <v>15.84075</v>
      </c>
      <c r="L362" s="9">
        <v>0.4202307744337902</v>
      </c>
      <c r="M362" s="10">
        <v>318.70524756341695</v>
      </c>
      <c r="N362" s="10">
        <v>977.57353596885764</v>
      </c>
    </row>
    <row r="363" spans="1:14">
      <c r="A363" t="s">
        <v>1967</v>
      </c>
      <c r="B363" t="s">
        <v>9501</v>
      </c>
      <c r="C363" t="s">
        <v>9500</v>
      </c>
      <c r="D363" t="s">
        <v>11</v>
      </c>
      <c r="E363" t="s">
        <v>13</v>
      </c>
      <c r="F363" t="s">
        <v>1970</v>
      </c>
      <c r="G363" t="s">
        <v>12</v>
      </c>
      <c r="I363" t="s">
        <v>9501</v>
      </c>
      <c r="J363" t="s">
        <v>10192</v>
      </c>
      <c r="K363" s="11">
        <v>36.51</v>
      </c>
      <c r="L363" s="9">
        <v>0.36402361390086529</v>
      </c>
      <c r="M363" s="10">
        <v>212.69868788003257</v>
      </c>
      <c r="N363" s="10">
        <v>900.0827408403037</v>
      </c>
    </row>
    <row r="364" spans="1:14">
      <c r="A364" t="s">
        <v>1967</v>
      </c>
      <c r="B364" t="s">
        <v>9502</v>
      </c>
      <c r="C364" t="s">
        <v>9503</v>
      </c>
      <c r="D364" t="s">
        <v>11</v>
      </c>
      <c r="E364" t="s">
        <v>13</v>
      </c>
      <c r="F364" t="s">
        <v>1970</v>
      </c>
      <c r="G364" t="s">
        <v>12</v>
      </c>
      <c r="I364" t="s">
        <v>9502</v>
      </c>
      <c r="J364" t="s">
        <v>10193</v>
      </c>
      <c r="K364" s="9">
        <v>1.347</v>
      </c>
      <c r="L364" s="9">
        <v>0.56390016009289268</v>
      </c>
      <c r="M364" s="10">
        <v>220.85108945839281</v>
      </c>
      <c r="N364" s="10">
        <v>1065.9319369342179</v>
      </c>
    </row>
    <row r="365" spans="1:14">
      <c r="A365" t="s">
        <v>1967</v>
      </c>
      <c r="B365" t="s">
        <v>9504</v>
      </c>
      <c r="C365" t="s">
        <v>9505</v>
      </c>
      <c r="D365" t="s">
        <v>11</v>
      </c>
      <c r="E365" t="s">
        <v>13</v>
      </c>
      <c r="F365" t="s">
        <v>1970</v>
      </c>
      <c r="G365" t="s">
        <v>12</v>
      </c>
      <c r="I365" t="s">
        <v>9504</v>
      </c>
      <c r="J365" t="s">
        <v>10194</v>
      </c>
      <c r="K365" s="10">
        <v>0</v>
      </c>
      <c r="L365" s="9">
        <v>0.53687328758565322</v>
      </c>
      <c r="M365" s="10">
        <v>109.6818916797596</v>
      </c>
      <c r="N365" s="10">
        <v>789.37487472532302</v>
      </c>
    </row>
    <row r="366" spans="1:14">
      <c r="A366" t="s">
        <v>1967</v>
      </c>
      <c r="B366" t="s">
        <v>9506</v>
      </c>
      <c r="C366" t="s">
        <v>9507</v>
      </c>
      <c r="D366" t="s">
        <v>11</v>
      </c>
      <c r="E366" t="s">
        <v>13</v>
      </c>
      <c r="F366" t="s">
        <v>1970</v>
      </c>
      <c r="G366" t="s">
        <v>12</v>
      </c>
      <c r="I366" t="s">
        <v>9506</v>
      </c>
      <c r="J366" t="s">
        <v>10195</v>
      </c>
      <c r="K366" s="10">
        <v>378.279</v>
      </c>
      <c r="L366" s="9">
        <v>0.4952670303072691</v>
      </c>
      <c r="M366" s="10">
        <v>1278.8832766572211</v>
      </c>
      <c r="N366" s="10">
        <v>1975.8396179252102</v>
      </c>
    </row>
    <row r="367" spans="1:14">
      <c r="A367" t="s">
        <v>1967</v>
      </c>
      <c r="B367" t="s">
        <v>9508</v>
      </c>
      <c r="C367" t="s">
        <v>9509</v>
      </c>
      <c r="D367" t="s">
        <v>11</v>
      </c>
      <c r="E367" t="s">
        <v>13</v>
      </c>
      <c r="F367" t="s">
        <v>1970</v>
      </c>
      <c r="G367" t="s">
        <v>12</v>
      </c>
      <c r="I367" t="s">
        <v>9508</v>
      </c>
      <c r="J367" t="s">
        <v>10196</v>
      </c>
      <c r="K367" s="11">
        <v>38.405250000000002</v>
      </c>
      <c r="L367" s="9">
        <v>0.32015787581285221</v>
      </c>
      <c r="M367" s="10">
        <v>1184.3596809050844</v>
      </c>
      <c r="N367" s="10">
        <v>1894.5493255783726</v>
      </c>
    </row>
    <row r="368" spans="1:14">
      <c r="A368" t="s">
        <v>1967</v>
      </c>
      <c r="B368" t="s">
        <v>9510</v>
      </c>
      <c r="C368" t="s">
        <v>9507</v>
      </c>
      <c r="D368" t="s">
        <v>11</v>
      </c>
      <c r="E368" t="s">
        <v>13</v>
      </c>
      <c r="F368" t="s">
        <v>1970</v>
      </c>
      <c r="G368" t="s">
        <v>12</v>
      </c>
      <c r="I368" t="s">
        <v>9510</v>
      </c>
      <c r="J368" t="s">
        <v>10197</v>
      </c>
      <c r="K368" s="10">
        <v>474.40800000000002</v>
      </c>
      <c r="L368" s="9">
        <v>0.4869324121052756</v>
      </c>
      <c r="M368" s="10">
        <v>384.15900228467535</v>
      </c>
      <c r="N368" s="10">
        <v>1206.3767419648207</v>
      </c>
    </row>
    <row r="369" spans="1:14">
      <c r="A369" t="s">
        <v>1967</v>
      </c>
      <c r="B369" t="s">
        <v>9511</v>
      </c>
      <c r="C369" t="s">
        <v>9507</v>
      </c>
      <c r="D369" t="s">
        <v>11</v>
      </c>
      <c r="E369" t="s">
        <v>13</v>
      </c>
      <c r="F369" t="s">
        <v>1970</v>
      </c>
      <c r="G369" t="s">
        <v>12</v>
      </c>
      <c r="I369" t="s">
        <v>9511</v>
      </c>
      <c r="J369" t="s">
        <v>10198</v>
      </c>
      <c r="K369" s="10">
        <v>501.23399999999998</v>
      </c>
      <c r="L369" s="9">
        <v>0.53493020703175742</v>
      </c>
      <c r="M369" s="10">
        <v>554.68199399235402</v>
      </c>
      <c r="N369" s="10">
        <v>1353.0265148334245</v>
      </c>
    </row>
    <row r="370" spans="1:14">
      <c r="A370" t="s">
        <v>1967</v>
      </c>
      <c r="B370" t="s">
        <v>9512</v>
      </c>
      <c r="C370" t="s">
        <v>9513</v>
      </c>
      <c r="D370" t="s">
        <v>11</v>
      </c>
      <c r="E370" t="s">
        <v>13</v>
      </c>
      <c r="F370" t="s">
        <v>1970</v>
      </c>
      <c r="G370" t="s">
        <v>12</v>
      </c>
      <c r="I370" t="s">
        <v>9512</v>
      </c>
      <c r="J370" t="s">
        <v>10199</v>
      </c>
      <c r="K370" s="10">
        <v>274.82749999999999</v>
      </c>
      <c r="L370" s="9">
        <v>0.53760780589852186</v>
      </c>
      <c r="M370" s="10">
        <v>314.06371399590751</v>
      </c>
      <c r="N370" s="10">
        <v>1146.0947940364804</v>
      </c>
    </row>
    <row r="371" spans="1:14">
      <c r="A371" t="s">
        <v>1967</v>
      </c>
      <c r="B371" t="s">
        <v>9514</v>
      </c>
      <c r="C371" t="s">
        <v>9515</v>
      </c>
      <c r="D371" t="s">
        <v>11</v>
      </c>
      <c r="E371" t="s">
        <v>13</v>
      </c>
      <c r="F371" t="s">
        <v>1970</v>
      </c>
      <c r="G371" t="s">
        <v>12</v>
      </c>
      <c r="I371" t="s">
        <v>9514</v>
      </c>
      <c r="J371" t="s">
        <v>10200</v>
      </c>
      <c r="K371" s="11">
        <v>94.076999999999998</v>
      </c>
      <c r="L371" s="9">
        <v>0.47997276257288218</v>
      </c>
      <c r="M371" s="11">
        <v>72.201281024313843</v>
      </c>
      <c r="N371" s="10">
        <v>621.46173898892607</v>
      </c>
    </row>
    <row r="372" spans="1:14">
      <c r="A372" t="s">
        <v>1967</v>
      </c>
      <c r="B372" t="s">
        <v>9516</v>
      </c>
      <c r="C372" t="s">
        <v>9517</v>
      </c>
      <c r="D372" t="s">
        <v>11</v>
      </c>
      <c r="E372" t="s">
        <v>13</v>
      </c>
      <c r="F372" t="s">
        <v>1970</v>
      </c>
      <c r="G372" t="s">
        <v>12</v>
      </c>
      <c r="I372" t="s">
        <v>9516</v>
      </c>
      <c r="J372" t="s">
        <v>10201</v>
      </c>
      <c r="K372" s="10">
        <v>399.99700000000001</v>
      </c>
      <c r="L372" s="9">
        <v>0.55448852120455083</v>
      </c>
      <c r="M372" s="10">
        <v>203.13032468865109</v>
      </c>
      <c r="N372" s="10">
        <v>1050.6920792322398</v>
      </c>
    </row>
    <row r="373" spans="1:14">
      <c r="A373" t="s">
        <v>1967</v>
      </c>
      <c r="B373" t="s">
        <v>9518</v>
      </c>
      <c r="C373" t="s">
        <v>9519</v>
      </c>
      <c r="D373" t="s">
        <v>11</v>
      </c>
      <c r="E373" t="s">
        <v>13</v>
      </c>
      <c r="F373" t="s">
        <v>1970</v>
      </c>
      <c r="G373" t="s">
        <v>12</v>
      </c>
      <c r="I373" t="s">
        <v>9518</v>
      </c>
      <c r="J373" t="s">
        <v>10202</v>
      </c>
      <c r="K373" s="10">
        <v>242.19374999999999</v>
      </c>
      <c r="L373" s="9">
        <v>0.40833139995303208</v>
      </c>
      <c r="M373" s="10">
        <v>183.44454376629241</v>
      </c>
      <c r="N373" s="10">
        <v>1033.7623076390114</v>
      </c>
    </row>
    <row r="374" spans="1:14">
      <c r="A374" t="s">
        <v>1967</v>
      </c>
      <c r="B374" t="s">
        <v>9520</v>
      </c>
      <c r="C374" t="s">
        <v>9521</v>
      </c>
      <c r="D374" t="s">
        <v>11</v>
      </c>
      <c r="E374" t="s">
        <v>13</v>
      </c>
      <c r="F374" t="s">
        <v>1970</v>
      </c>
      <c r="G374" t="s">
        <v>12</v>
      </c>
      <c r="I374" t="s">
        <v>9520</v>
      </c>
      <c r="J374" t="s">
        <v>10203</v>
      </c>
      <c r="K374" s="10">
        <v>286.959</v>
      </c>
      <c r="L374" s="9">
        <v>0.48013859990507141</v>
      </c>
      <c r="M374" s="10">
        <v>336.77026236602842</v>
      </c>
      <c r="N374" s="10">
        <v>1165.6224256347846</v>
      </c>
    </row>
    <row r="375" spans="1:14">
      <c r="A375" t="s">
        <v>1967</v>
      </c>
      <c r="B375" t="s">
        <v>9522</v>
      </c>
      <c r="C375" t="s">
        <v>9523</v>
      </c>
      <c r="D375" t="s">
        <v>11</v>
      </c>
      <c r="E375" t="s">
        <v>13</v>
      </c>
      <c r="F375" t="s">
        <v>1970</v>
      </c>
      <c r="G375" t="s">
        <v>12</v>
      </c>
      <c r="I375" t="s">
        <v>9522</v>
      </c>
      <c r="J375" t="s">
        <v>10204</v>
      </c>
      <c r="K375" s="10">
        <v>372.71699999999998</v>
      </c>
      <c r="L375" s="9">
        <v>0.48523506831109231</v>
      </c>
      <c r="M375" s="10">
        <v>196.74428258462191</v>
      </c>
      <c r="N375" s="10">
        <v>1045.2000830227748</v>
      </c>
    </row>
    <row r="376" spans="1:14">
      <c r="A376" t="s">
        <v>1967</v>
      </c>
      <c r="B376" t="s">
        <v>9524</v>
      </c>
      <c r="C376" t="s">
        <v>9525</v>
      </c>
      <c r="D376" t="s">
        <v>11</v>
      </c>
      <c r="E376" t="s">
        <v>13</v>
      </c>
      <c r="F376" t="s">
        <v>1970</v>
      </c>
      <c r="G376" t="s">
        <v>12</v>
      </c>
      <c r="I376" t="s">
        <v>9524</v>
      </c>
      <c r="J376" t="s">
        <v>10205</v>
      </c>
      <c r="K376" s="10">
        <v>172.34100000000001</v>
      </c>
      <c r="L376" s="9">
        <v>0.4142188019892929</v>
      </c>
      <c r="M376" s="10">
        <v>287.45291431100497</v>
      </c>
      <c r="N376" s="10">
        <v>954.72808036134472</v>
      </c>
    </row>
    <row r="377" spans="1:14">
      <c r="A377" t="s">
        <v>1967</v>
      </c>
      <c r="B377" t="s">
        <v>9526</v>
      </c>
      <c r="C377" t="s">
        <v>9527</v>
      </c>
      <c r="D377" t="s">
        <v>11</v>
      </c>
      <c r="E377" t="s">
        <v>13</v>
      </c>
      <c r="F377" t="s">
        <v>1970</v>
      </c>
      <c r="G377" t="s">
        <v>12</v>
      </c>
      <c r="I377" t="s">
        <v>9526</v>
      </c>
      <c r="J377" t="s">
        <v>10206</v>
      </c>
      <c r="K377" s="11">
        <v>70.394000000000005</v>
      </c>
      <c r="L377" s="9">
        <v>0.39884052036393058</v>
      </c>
      <c r="M377" s="10">
        <v>255.7497538609577</v>
      </c>
      <c r="N377" s="10">
        <v>931.55307007236001</v>
      </c>
    </row>
    <row r="378" spans="1:14">
      <c r="A378" t="s">
        <v>1967</v>
      </c>
      <c r="B378" t="s">
        <v>9528</v>
      </c>
      <c r="C378" t="s">
        <v>9527</v>
      </c>
      <c r="D378" t="s">
        <v>11</v>
      </c>
      <c r="E378" t="s">
        <v>13</v>
      </c>
      <c r="F378" t="s">
        <v>1970</v>
      </c>
      <c r="G378" t="s">
        <v>12</v>
      </c>
      <c r="I378" t="s">
        <v>9528</v>
      </c>
      <c r="J378" t="s">
        <v>10207</v>
      </c>
      <c r="K378" s="11">
        <v>84.489000000000004</v>
      </c>
      <c r="L378" s="9">
        <v>0.40009174016609861</v>
      </c>
      <c r="M378" s="10">
        <v>130.93989834585904</v>
      </c>
      <c r="N378" s="10">
        <v>751.91913290103128</v>
      </c>
    </row>
    <row r="379" spans="1:14">
      <c r="A379" t="s">
        <v>1967</v>
      </c>
      <c r="B379" t="s">
        <v>9529</v>
      </c>
      <c r="C379" t="s">
        <v>9530</v>
      </c>
      <c r="D379" t="s">
        <v>11</v>
      </c>
      <c r="E379" t="s">
        <v>13</v>
      </c>
      <c r="F379" t="s">
        <v>1970</v>
      </c>
      <c r="G379" t="s">
        <v>12</v>
      </c>
      <c r="I379" t="s">
        <v>9529</v>
      </c>
      <c r="J379" t="s">
        <v>10208</v>
      </c>
      <c r="K379" s="10">
        <v>109.145</v>
      </c>
      <c r="L379" s="9">
        <v>0.40470100812299042</v>
      </c>
      <c r="M379" s="10">
        <v>171.17267407729432</v>
      </c>
      <c r="N379" s="10">
        <v>869.72722475050205</v>
      </c>
    </row>
    <row r="380" spans="1:14">
      <c r="A380" t="s">
        <v>1967</v>
      </c>
      <c r="B380" t="s">
        <v>9531</v>
      </c>
      <c r="C380" t="s">
        <v>9532</v>
      </c>
      <c r="D380" t="s">
        <v>11</v>
      </c>
      <c r="E380" t="s">
        <v>13</v>
      </c>
      <c r="F380" t="s">
        <v>1970</v>
      </c>
      <c r="G380" t="s">
        <v>12</v>
      </c>
      <c r="I380" t="s">
        <v>9531</v>
      </c>
      <c r="J380" t="s">
        <v>10209</v>
      </c>
      <c r="K380" s="10">
        <v>344.90499999999997</v>
      </c>
      <c r="L380" s="9">
        <v>0.66694911975054583</v>
      </c>
      <c r="M380" s="10">
        <v>704.41613098583059</v>
      </c>
      <c r="N380" s="10">
        <v>1259.5281917506422</v>
      </c>
    </row>
    <row r="381" spans="1:14">
      <c r="A381" t="s">
        <v>1967</v>
      </c>
      <c r="B381" t="s">
        <v>9533</v>
      </c>
      <c r="C381" t="s">
        <v>9532</v>
      </c>
      <c r="D381" t="s">
        <v>11</v>
      </c>
      <c r="E381" t="s">
        <v>13</v>
      </c>
      <c r="F381" t="s">
        <v>1970</v>
      </c>
      <c r="G381" t="s">
        <v>12</v>
      </c>
      <c r="I381" t="s">
        <v>9533</v>
      </c>
      <c r="J381" t="s">
        <v>10210</v>
      </c>
      <c r="K381" s="10">
        <v>177.54</v>
      </c>
      <c r="L381" s="9">
        <v>0.68803916449510105</v>
      </c>
      <c r="M381" s="10">
        <v>844.81600326487501</v>
      </c>
      <c r="N381" s="10">
        <v>1362.1604983866237</v>
      </c>
    </row>
    <row r="382" spans="1:14">
      <c r="A382" t="s">
        <v>1967</v>
      </c>
      <c r="B382" t="s">
        <v>9534</v>
      </c>
      <c r="C382" t="s">
        <v>9532</v>
      </c>
      <c r="D382" t="s">
        <v>11</v>
      </c>
      <c r="E382" t="s">
        <v>13</v>
      </c>
      <c r="F382" t="s">
        <v>1970</v>
      </c>
      <c r="G382" t="s">
        <v>12</v>
      </c>
      <c r="I382" t="s">
        <v>9534</v>
      </c>
      <c r="J382" t="s">
        <v>10211</v>
      </c>
      <c r="K382" s="10">
        <v>577.13599999999997</v>
      </c>
      <c r="L382" s="9">
        <v>0.78747205439337653</v>
      </c>
      <c r="M382" s="10">
        <v>982.79681103190956</v>
      </c>
      <c r="N382" s="10">
        <v>1463.0244688643259</v>
      </c>
    </row>
    <row r="383" spans="1:14">
      <c r="A383" t="s">
        <v>1967</v>
      </c>
      <c r="B383" t="s">
        <v>9535</v>
      </c>
      <c r="C383" t="s">
        <v>9532</v>
      </c>
      <c r="D383" t="s">
        <v>11</v>
      </c>
      <c r="E383" t="s">
        <v>13</v>
      </c>
      <c r="F383" t="s">
        <v>1970</v>
      </c>
      <c r="G383" t="s">
        <v>12</v>
      </c>
      <c r="I383" t="s">
        <v>9535</v>
      </c>
      <c r="J383" t="s">
        <v>10212</v>
      </c>
      <c r="K383" s="10">
        <v>303.17500000000001</v>
      </c>
      <c r="L383" s="9">
        <v>0.46292559152209378</v>
      </c>
      <c r="M383" s="10">
        <v>220.55733930713947</v>
      </c>
      <c r="N383" s="10">
        <v>905.82741503351906</v>
      </c>
    </row>
    <row r="384" spans="1:14">
      <c r="A384" t="s">
        <v>1967</v>
      </c>
      <c r="B384" t="s">
        <v>9536</v>
      </c>
      <c r="C384" t="s">
        <v>9532</v>
      </c>
      <c r="D384" t="s">
        <v>11</v>
      </c>
      <c r="E384" t="s">
        <v>13</v>
      </c>
      <c r="F384" t="s">
        <v>1970</v>
      </c>
      <c r="G384" t="s">
        <v>12</v>
      </c>
      <c r="I384" t="s">
        <v>9536</v>
      </c>
      <c r="J384" t="s">
        <v>10213</v>
      </c>
      <c r="K384" s="10">
        <v>231.22200000000001</v>
      </c>
      <c r="L384" s="9">
        <v>0.3919496766746734</v>
      </c>
      <c r="M384" s="10">
        <v>362.39070073193705</v>
      </c>
      <c r="N384" s="10">
        <v>1009.5076022350459</v>
      </c>
    </row>
    <row r="385" spans="1:14">
      <c r="A385" t="s">
        <v>1967</v>
      </c>
      <c r="B385" t="s">
        <v>9537</v>
      </c>
      <c r="C385" t="s">
        <v>9538</v>
      </c>
      <c r="D385" t="s">
        <v>11</v>
      </c>
      <c r="E385" t="s">
        <v>13</v>
      </c>
      <c r="F385" t="s">
        <v>1970</v>
      </c>
      <c r="G385" t="s">
        <v>12</v>
      </c>
      <c r="I385" t="s">
        <v>9537</v>
      </c>
      <c r="J385" t="s">
        <v>10214</v>
      </c>
      <c r="K385" s="10">
        <v>261.03399999999999</v>
      </c>
      <c r="L385" s="9">
        <v>0.49930528737139662</v>
      </c>
      <c r="M385" s="10">
        <v>235.88835901644671</v>
      </c>
      <c r="N385" s="10">
        <v>917.03439044102254</v>
      </c>
    </row>
    <row r="386" spans="1:14">
      <c r="A386" t="s">
        <v>1967</v>
      </c>
      <c r="B386" t="s">
        <v>9539</v>
      </c>
      <c r="C386" t="s">
        <v>9540</v>
      </c>
      <c r="D386" t="s">
        <v>11</v>
      </c>
      <c r="E386" t="s">
        <v>13</v>
      </c>
      <c r="F386" t="s">
        <v>1970</v>
      </c>
      <c r="G386" t="s">
        <v>12</v>
      </c>
      <c r="I386" t="s">
        <v>9539</v>
      </c>
      <c r="J386" t="s">
        <v>10215</v>
      </c>
      <c r="K386" s="11">
        <v>48.875250000000001</v>
      </c>
      <c r="L386" s="9">
        <v>0.3999847537649065</v>
      </c>
      <c r="M386" s="10">
        <v>342.29892322852328</v>
      </c>
      <c r="N386" s="10">
        <v>994.8205128800505</v>
      </c>
    </row>
    <row r="387" spans="1:14">
      <c r="A387" t="s">
        <v>1967</v>
      </c>
      <c r="B387" t="s">
        <v>9541</v>
      </c>
      <c r="C387" t="s">
        <v>9542</v>
      </c>
      <c r="D387" t="s">
        <v>11</v>
      </c>
      <c r="E387" t="s">
        <v>13</v>
      </c>
      <c r="F387" t="s">
        <v>1970</v>
      </c>
      <c r="G387" t="s">
        <v>12</v>
      </c>
      <c r="I387" t="s">
        <v>9541</v>
      </c>
      <c r="J387" t="s">
        <v>10216</v>
      </c>
      <c r="K387" s="11">
        <v>10.468500000000001</v>
      </c>
      <c r="L387" s="9">
        <v>0.38802587930877569</v>
      </c>
      <c r="M387" s="10">
        <v>444.05401807736808</v>
      </c>
      <c r="N387" s="10">
        <v>1069.2034872145562</v>
      </c>
    </row>
    <row r="388" spans="1:14">
      <c r="A388" t="s">
        <v>1967</v>
      </c>
      <c r="B388" t="s">
        <v>9543</v>
      </c>
      <c r="C388" t="s">
        <v>9544</v>
      </c>
      <c r="D388" t="s">
        <v>11</v>
      </c>
      <c r="E388" t="s">
        <v>13</v>
      </c>
      <c r="F388" t="s">
        <v>1970</v>
      </c>
      <c r="G388" t="s">
        <v>12</v>
      </c>
      <c r="I388" t="s">
        <v>9543</v>
      </c>
      <c r="J388" t="s">
        <v>10217</v>
      </c>
      <c r="K388" s="9">
        <v>4.1459999999999999</v>
      </c>
      <c r="L388" s="9">
        <v>0.25866476169639308</v>
      </c>
      <c r="M388" s="10">
        <v>225.06391665318239</v>
      </c>
      <c r="N388" s="10">
        <v>909.12172307347635</v>
      </c>
    </row>
    <row r="389" spans="1:14">
      <c r="A389" t="s">
        <v>1967</v>
      </c>
      <c r="B389" t="s">
        <v>9545</v>
      </c>
      <c r="C389" t="s">
        <v>9544</v>
      </c>
      <c r="D389" t="s">
        <v>11</v>
      </c>
      <c r="E389" t="s">
        <v>13</v>
      </c>
      <c r="F389" t="s">
        <v>1970</v>
      </c>
      <c r="G389" t="s">
        <v>12</v>
      </c>
      <c r="I389" t="s">
        <v>9545</v>
      </c>
      <c r="J389" t="s">
        <v>10218</v>
      </c>
      <c r="K389" s="11">
        <v>13.6395</v>
      </c>
      <c r="L389" s="9">
        <v>0.30605415023048338</v>
      </c>
      <c r="M389" s="10">
        <v>309.14922844975302</v>
      </c>
      <c r="N389" s="10">
        <v>970.58808599676956</v>
      </c>
    </row>
    <row r="390" spans="1:14">
      <c r="A390" t="s">
        <v>1967</v>
      </c>
      <c r="B390" t="s">
        <v>9546</v>
      </c>
      <c r="C390" t="s">
        <v>9547</v>
      </c>
      <c r="D390" t="s">
        <v>11</v>
      </c>
      <c r="E390" t="s">
        <v>13</v>
      </c>
      <c r="F390" t="s">
        <v>1970</v>
      </c>
      <c r="G390" t="s">
        <v>12</v>
      </c>
      <c r="I390" t="s">
        <v>9546</v>
      </c>
      <c r="J390" t="s">
        <v>10219</v>
      </c>
      <c r="K390" s="11">
        <v>26.126249999999999</v>
      </c>
      <c r="L390" s="9">
        <v>0.25802170205877728</v>
      </c>
      <c r="M390" s="10">
        <v>215.00637671970105</v>
      </c>
      <c r="N390" s="10">
        <v>901.76966138210139</v>
      </c>
    </row>
    <row r="391" spans="1:14">
      <c r="A391" t="s">
        <v>1967</v>
      </c>
      <c r="B391" t="s">
        <v>9548</v>
      </c>
      <c r="C391" t="s">
        <v>9547</v>
      </c>
      <c r="D391" t="s">
        <v>11</v>
      </c>
      <c r="E391" t="s">
        <v>13</v>
      </c>
      <c r="F391" t="s">
        <v>1970</v>
      </c>
      <c r="G391" t="s">
        <v>12</v>
      </c>
      <c r="I391" t="s">
        <v>9548</v>
      </c>
      <c r="J391" t="s">
        <v>10220</v>
      </c>
      <c r="K391" s="11">
        <v>16.670999999999999</v>
      </c>
      <c r="L391" s="9">
        <v>0.23273593071354609</v>
      </c>
      <c r="M391" s="10">
        <v>131.08449273628855</v>
      </c>
      <c r="N391" s="10">
        <v>752.46974833978686</v>
      </c>
    </row>
    <row r="392" spans="1:14">
      <c r="A392" t="s">
        <v>1967</v>
      </c>
      <c r="B392" t="s">
        <v>9549</v>
      </c>
      <c r="C392" t="s">
        <v>9547</v>
      </c>
      <c r="D392" t="s">
        <v>11</v>
      </c>
      <c r="E392" t="s">
        <v>13</v>
      </c>
      <c r="F392" t="s">
        <v>1970</v>
      </c>
      <c r="G392" t="s">
        <v>12</v>
      </c>
      <c r="I392" t="s">
        <v>9549</v>
      </c>
      <c r="J392" t="s">
        <v>10221</v>
      </c>
      <c r="K392" s="11">
        <v>39.793500000000002</v>
      </c>
      <c r="L392" s="9">
        <v>0.2380851257029187</v>
      </c>
      <c r="M392" s="10">
        <v>123.9616300005286</v>
      </c>
      <c r="N392" s="10">
        <v>725.34588704201292</v>
      </c>
    </row>
    <row r="393" spans="1:14">
      <c r="A393" t="s">
        <v>1967</v>
      </c>
      <c r="B393" t="s">
        <v>9550</v>
      </c>
      <c r="C393" t="s">
        <v>9551</v>
      </c>
      <c r="D393" t="s">
        <v>11</v>
      </c>
      <c r="E393" t="s">
        <v>13</v>
      </c>
      <c r="F393" t="s">
        <v>1970</v>
      </c>
      <c r="G393" t="s">
        <v>12</v>
      </c>
      <c r="I393" t="s">
        <v>9550</v>
      </c>
      <c r="J393" t="s">
        <v>10222</v>
      </c>
      <c r="K393" s="9">
        <v>8.0407499999999992</v>
      </c>
      <c r="L393" s="9">
        <v>0.20481973154496169</v>
      </c>
      <c r="M393" s="10">
        <v>158.0090223195966</v>
      </c>
      <c r="N393" s="10">
        <v>854.99835699302389</v>
      </c>
    </row>
    <row r="394" spans="1:14">
      <c r="A394" t="s">
        <v>1967</v>
      </c>
      <c r="B394" t="s">
        <v>9552</v>
      </c>
      <c r="C394" t="s">
        <v>9553</v>
      </c>
      <c r="D394" t="s">
        <v>11</v>
      </c>
      <c r="E394" t="s">
        <v>13</v>
      </c>
      <c r="F394" t="s">
        <v>1970</v>
      </c>
      <c r="G394" t="s">
        <v>12</v>
      </c>
      <c r="I394" t="s">
        <v>9552</v>
      </c>
      <c r="J394" t="s">
        <v>10223</v>
      </c>
      <c r="K394" s="9">
        <v>1.4692499999999999</v>
      </c>
      <c r="L394" s="9">
        <v>0.22086983639644389</v>
      </c>
      <c r="M394" s="10">
        <v>130.10775866041666</v>
      </c>
      <c r="N394" s="10">
        <v>748.75034497886668</v>
      </c>
    </row>
    <row r="395" spans="1:14">
      <c r="A395" t="s">
        <v>1967</v>
      </c>
      <c r="B395" t="s">
        <v>9554</v>
      </c>
      <c r="C395" t="s">
        <v>9555</v>
      </c>
      <c r="D395" t="s">
        <v>11</v>
      </c>
      <c r="E395" t="s">
        <v>13</v>
      </c>
      <c r="F395" t="s">
        <v>1970</v>
      </c>
      <c r="G395" t="s">
        <v>12</v>
      </c>
      <c r="I395" t="s">
        <v>9554</v>
      </c>
      <c r="J395" t="s">
        <v>10224</v>
      </c>
      <c r="K395" s="9">
        <v>9.9749999999999996</v>
      </c>
      <c r="L395" s="9">
        <v>0.29846142950918542</v>
      </c>
      <c r="M395" s="10">
        <v>172.91200242165817</v>
      </c>
      <c r="N395" s="10">
        <v>870.99867377023213</v>
      </c>
    </row>
    <row r="396" spans="1:14">
      <c r="A396" t="s">
        <v>1967</v>
      </c>
      <c r="B396" t="s">
        <v>9556</v>
      </c>
      <c r="C396" t="s">
        <v>9555</v>
      </c>
      <c r="D396" t="s">
        <v>11</v>
      </c>
      <c r="E396" t="s">
        <v>13</v>
      </c>
      <c r="F396" t="s">
        <v>1970</v>
      </c>
      <c r="G396" t="s">
        <v>12</v>
      </c>
      <c r="I396" t="s">
        <v>9556</v>
      </c>
      <c r="J396" t="s">
        <v>10225</v>
      </c>
      <c r="K396" s="11">
        <v>14.712</v>
      </c>
      <c r="L396" s="9">
        <v>0.24252194506934871</v>
      </c>
      <c r="M396" s="10">
        <v>110.4535467417175</v>
      </c>
      <c r="N396" s="10">
        <v>673.90710599246017</v>
      </c>
    </row>
    <row r="397" spans="1:14">
      <c r="A397" t="s">
        <v>1967</v>
      </c>
      <c r="B397" t="s">
        <v>9557</v>
      </c>
      <c r="C397" t="s">
        <v>9558</v>
      </c>
      <c r="D397" t="s">
        <v>11</v>
      </c>
      <c r="E397" t="s">
        <v>13</v>
      </c>
      <c r="F397" t="s">
        <v>1970</v>
      </c>
      <c r="G397" t="s">
        <v>12</v>
      </c>
      <c r="I397" t="s">
        <v>9557</v>
      </c>
      <c r="J397" t="s">
        <v>10226</v>
      </c>
      <c r="K397" s="11">
        <v>65.944500000000005</v>
      </c>
      <c r="L397" s="9">
        <v>0.24464085559175161</v>
      </c>
      <c r="M397" s="11">
        <v>95.005693960834677</v>
      </c>
      <c r="N397" s="10">
        <v>615.08168260285845</v>
      </c>
    </row>
    <row r="398" spans="1:14">
      <c r="A398" t="s">
        <v>1967</v>
      </c>
      <c r="B398" t="s">
        <v>9559</v>
      </c>
      <c r="C398" t="s">
        <v>9560</v>
      </c>
      <c r="D398" t="s">
        <v>11</v>
      </c>
      <c r="E398" t="s">
        <v>13</v>
      </c>
      <c r="F398" t="s">
        <v>1970</v>
      </c>
      <c r="G398" t="s">
        <v>12</v>
      </c>
      <c r="I398" t="s">
        <v>9559</v>
      </c>
      <c r="J398" t="s">
        <v>10227</v>
      </c>
      <c r="K398" s="11">
        <v>35.244750000000003</v>
      </c>
      <c r="L398" s="9">
        <v>0.37341597089314388</v>
      </c>
      <c r="M398" s="10">
        <v>128.97897633217505</v>
      </c>
      <c r="N398" s="10">
        <v>744.45194187292259</v>
      </c>
    </row>
    <row r="399" spans="1:14">
      <c r="A399" t="s">
        <v>1967</v>
      </c>
      <c r="B399" t="s">
        <v>9561</v>
      </c>
      <c r="C399" t="s">
        <v>9562</v>
      </c>
      <c r="D399" t="s">
        <v>11</v>
      </c>
      <c r="E399" t="s">
        <v>13</v>
      </c>
      <c r="F399" t="s">
        <v>1970</v>
      </c>
      <c r="G399" t="s">
        <v>12</v>
      </c>
      <c r="I399" t="s">
        <v>9561</v>
      </c>
      <c r="J399" t="s">
        <v>10228</v>
      </c>
      <c r="K399" s="11">
        <v>73.500749999999996</v>
      </c>
      <c r="L399" s="9">
        <v>0.27480279461977808</v>
      </c>
      <c r="M399" s="10">
        <v>106.62364067337511</v>
      </c>
      <c r="N399" s="10">
        <v>659.32282368421238</v>
      </c>
    </row>
    <row r="400" spans="1:14">
      <c r="A400" t="s">
        <v>1967</v>
      </c>
      <c r="B400" t="s">
        <v>9563</v>
      </c>
      <c r="C400" t="s">
        <v>9564</v>
      </c>
      <c r="D400" t="s">
        <v>11</v>
      </c>
      <c r="E400" t="s">
        <v>13</v>
      </c>
      <c r="F400" t="s">
        <v>1970</v>
      </c>
      <c r="G400" t="s">
        <v>12</v>
      </c>
      <c r="I400" t="s">
        <v>9563</v>
      </c>
      <c r="J400" t="s">
        <v>10229</v>
      </c>
      <c r="K400" s="11">
        <v>29.117999999999999</v>
      </c>
      <c r="L400" s="9">
        <v>0.23472815798564239</v>
      </c>
      <c r="M400" s="10">
        <v>192.93536134569885</v>
      </c>
      <c r="N400" s="10">
        <v>885.63574914370588</v>
      </c>
    </row>
    <row r="401" spans="1:14">
      <c r="A401" t="s">
        <v>1967</v>
      </c>
      <c r="B401" t="s">
        <v>9565</v>
      </c>
      <c r="C401" t="s">
        <v>9566</v>
      </c>
      <c r="D401" t="s">
        <v>11</v>
      </c>
      <c r="E401" t="s">
        <v>13</v>
      </c>
      <c r="F401" t="s">
        <v>1970</v>
      </c>
      <c r="G401" t="s">
        <v>12</v>
      </c>
      <c r="I401" t="s">
        <v>9565</v>
      </c>
      <c r="J401" t="s">
        <v>10230</v>
      </c>
      <c r="K401" s="11">
        <v>50.049750000000003</v>
      </c>
      <c r="L401" s="9">
        <v>0.32761920893831259</v>
      </c>
      <c r="M401" s="10">
        <v>285.45909000590831</v>
      </c>
      <c r="N401" s="10">
        <v>953.27059479431898</v>
      </c>
    </row>
    <row r="402" spans="1:14">
      <c r="A402" t="s">
        <v>1967</v>
      </c>
      <c r="B402" t="s">
        <v>9567</v>
      </c>
      <c r="C402" t="s">
        <v>9568</v>
      </c>
      <c r="D402" t="s">
        <v>11</v>
      </c>
      <c r="E402" t="s">
        <v>13</v>
      </c>
      <c r="F402" t="s">
        <v>1970</v>
      </c>
      <c r="G402" t="s">
        <v>12</v>
      </c>
      <c r="I402" t="s">
        <v>9567</v>
      </c>
      <c r="J402" t="s">
        <v>10231</v>
      </c>
      <c r="K402" s="11">
        <v>34.004249999999999</v>
      </c>
      <c r="L402" s="9">
        <v>0.24547424544812479</v>
      </c>
      <c r="M402" s="10">
        <v>116.97360197673676</v>
      </c>
      <c r="N402" s="10">
        <v>698.73547632741361</v>
      </c>
    </row>
    <row r="403" spans="1:14">
      <c r="A403" t="s">
        <v>1967</v>
      </c>
      <c r="B403" t="s">
        <v>9569</v>
      </c>
      <c r="C403" t="s">
        <v>9570</v>
      </c>
      <c r="D403" t="s">
        <v>11</v>
      </c>
      <c r="E403" t="s">
        <v>13</v>
      </c>
      <c r="F403" t="s">
        <v>1970</v>
      </c>
      <c r="G403" t="s">
        <v>12</v>
      </c>
      <c r="I403" t="s">
        <v>9569</v>
      </c>
      <c r="J403" t="s">
        <v>10232</v>
      </c>
      <c r="K403" s="9">
        <v>2.6160000000000001</v>
      </c>
      <c r="L403" s="9">
        <v>0.2473508832014612</v>
      </c>
      <c r="M403" s="11">
        <v>74.044754948102579</v>
      </c>
      <c r="N403" s="10">
        <v>535.26242684237468</v>
      </c>
    </row>
    <row r="404" spans="1:14">
      <c r="A404" t="s">
        <v>1967</v>
      </c>
      <c r="B404" t="s">
        <v>9571</v>
      </c>
      <c r="C404" t="s">
        <v>9572</v>
      </c>
      <c r="D404" t="s">
        <v>11</v>
      </c>
      <c r="E404" t="s">
        <v>13</v>
      </c>
      <c r="F404" t="s">
        <v>1970</v>
      </c>
      <c r="G404" t="s">
        <v>12</v>
      </c>
      <c r="I404" t="s">
        <v>9571</v>
      </c>
      <c r="J404" t="s">
        <v>10233</v>
      </c>
      <c r="K404" s="11">
        <v>39.617249999999999</v>
      </c>
      <c r="L404" s="9">
        <v>0.4309295062993404</v>
      </c>
      <c r="M404" s="10">
        <v>132.38137098674815</v>
      </c>
      <c r="N404" s="10">
        <v>757.40826071753702</v>
      </c>
    </row>
    <row r="405" spans="1:14">
      <c r="A405" t="s">
        <v>1967</v>
      </c>
      <c r="B405" t="s">
        <v>9573</v>
      </c>
      <c r="C405" t="s">
        <v>9574</v>
      </c>
      <c r="D405" t="s">
        <v>11</v>
      </c>
      <c r="E405" t="s">
        <v>13</v>
      </c>
      <c r="F405" t="s">
        <v>1970</v>
      </c>
      <c r="G405" t="s">
        <v>12</v>
      </c>
      <c r="I405" t="s">
        <v>9573</v>
      </c>
      <c r="J405" t="s">
        <v>10234</v>
      </c>
      <c r="K405" s="11">
        <v>45.926250000000003</v>
      </c>
      <c r="L405" s="9">
        <v>0.2998042109441621</v>
      </c>
      <c r="M405" s="11">
        <v>63.523154572677711</v>
      </c>
      <c r="N405" s="10">
        <v>495.1961726127567</v>
      </c>
    </row>
    <row r="406" spans="1:14">
      <c r="A406" t="s">
        <v>1967</v>
      </c>
      <c r="B406" t="s">
        <v>9575</v>
      </c>
      <c r="C406" t="s">
        <v>9576</v>
      </c>
      <c r="D406" t="s">
        <v>11</v>
      </c>
      <c r="E406" t="s">
        <v>13</v>
      </c>
      <c r="F406" t="s">
        <v>1970</v>
      </c>
      <c r="G406" t="s">
        <v>12</v>
      </c>
      <c r="I406" t="s">
        <v>9575</v>
      </c>
      <c r="J406" t="s">
        <v>10235</v>
      </c>
      <c r="K406" s="11">
        <v>45.808500000000002</v>
      </c>
      <c r="L406" s="9">
        <v>0.25528499508276797</v>
      </c>
      <c r="M406" s="11">
        <v>42.644926350281445</v>
      </c>
      <c r="N406" s="10">
        <v>415.69187954187174</v>
      </c>
    </row>
    <row r="407" spans="1:14">
      <c r="A407" t="s">
        <v>1967</v>
      </c>
      <c r="B407" t="s">
        <v>9577</v>
      </c>
      <c r="C407" t="s">
        <v>9578</v>
      </c>
      <c r="D407" t="s">
        <v>11</v>
      </c>
      <c r="E407" t="s">
        <v>13</v>
      </c>
      <c r="F407" t="s">
        <v>1970</v>
      </c>
      <c r="G407" t="s">
        <v>12</v>
      </c>
      <c r="I407" t="s">
        <v>9577</v>
      </c>
      <c r="J407" t="s">
        <v>10236</v>
      </c>
      <c r="K407" s="10">
        <v>100.34775</v>
      </c>
      <c r="L407" s="9">
        <v>0.3156630940007456</v>
      </c>
      <c r="M407" s="11">
        <v>70.963179876985365</v>
      </c>
      <c r="N407" s="10">
        <v>523.52778897156031</v>
      </c>
    </row>
    <row r="408" spans="1:14">
      <c r="A408" t="s">
        <v>1967</v>
      </c>
      <c r="B408" t="s">
        <v>9579</v>
      </c>
      <c r="C408" t="s">
        <v>9580</v>
      </c>
      <c r="D408" t="s">
        <v>11</v>
      </c>
      <c r="E408" t="s">
        <v>13</v>
      </c>
      <c r="F408" t="s">
        <v>1970</v>
      </c>
      <c r="G408" t="s">
        <v>12</v>
      </c>
      <c r="I408" t="s">
        <v>9579</v>
      </c>
      <c r="J408" t="s">
        <v>10237</v>
      </c>
      <c r="K408" s="11">
        <v>13.46475</v>
      </c>
      <c r="L408" s="9">
        <v>0.29555554264582268</v>
      </c>
      <c r="M408" s="10">
        <v>166.12903662706847</v>
      </c>
      <c r="N408" s="10">
        <v>866.04032577438704</v>
      </c>
    </row>
    <row r="409" spans="1:14">
      <c r="A409" t="s">
        <v>1967</v>
      </c>
      <c r="B409" t="s">
        <v>9581</v>
      </c>
      <c r="C409" t="s">
        <v>9582</v>
      </c>
      <c r="D409" t="s">
        <v>11</v>
      </c>
      <c r="E409" t="s">
        <v>13</v>
      </c>
      <c r="F409" t="s">
        <v>1970</v>
      </c>
      <c r="G409" t="s">
        <v>12</v>
      </c>
      <c r="I409" t="s">
        <v>9581</v>
      </c>
      <c r="J409" t="s">
        <v>10238</v>
      </c>
      <c r="K409" s="9">
        <v>6.5002500000000003</v>
      </c>
      <c r="L409" s="9">
        <v>0.28199095573832261</v>
      </c>
      <c r="M409" s="10">
        <v>427.93598803128481</v>
      </c>
      <c r="N409" s="10">
        <v>1057.4212072508692</v>
      </c>
    </row>
    <row r="410" spans="1:14">
      <c r="A410" t="s">
        <v>1967</v>
      </c>
      <c r="B410" t="s">
        <v>9583</v>
      </c>
      <c r="C410" t="s">
        <v>9584</v>
      </c>
      <c r="D410" t="s">
        <v>11</v>
      </c>
      <c r="E410" t="s">
        <v>13</v>
      </c>
      <c r="F410" t="s">
        <v>1970</v>
      </c>
      <c r="G410" t="s">
        <v>12</v>
      </c>
      <c r="I410" t="s">
        <v>9583</v>
      </c>
      <c r="J410" t="s">
        <v>10239</v>
      </c>
      <c r="K410" s="11">
        <v>37.789499999999997</v>
      </c>
      <c r="L410" s="9">
        <v>0.27374431221105228</v>
      </c>
      <c r="M410" s="10">
        <v>350.23033551698938</v>
      </c>
      <c r="N410" s="10">
        <v>1000.6183752629194</v>
      </c>
    </row>
    <row r="411" spans="1:14">
      <c r="A411" t="s">
        <v>1967</v>
      </c>
      <c r="B411" t="s">
        <v>9585</v>
      </c>
      <c r="C411" t="s">
        <v>9584</v>
      </c>
      <c r="D411" t="s">
        <v>11</v>
      </c>
      <c r="E411" t="s">
        <v>13</v>
      </c>
      <c r="F411" t="s">
        <v>1970</v>
      </c>
      <c r="G411" t="s">
        <v>12</v>
      </c>
      <c r="I411" t="s">
        <v>9585</v>
      </c>
      <c r="J411" t="s">
        <v>10240</v>
      </c>
      <c r="K411" s="11">
        <v>48.544499999999999</v>
      </c>
      <c r="L411" s="9">
        <v>0.36457685420687552</v>
      </c>
      <c r="M411" s="10">
        <v>482.69320468673391</v>
      </c>
      <c r="N411" s="10">
        <v>1097.4487326260025</v>
      </c>
    </row>
    <row r="412" spans="1:14">
      <c r="A412" t="s">
        <v>1967</v>
      </c>
      <c r="B412" t="s">
        <v>9586</v>
      </c>
      <c r="C412" t="s">
        <v>9587</v>
      </c>
      <c r="D412" t="s">
        <v>11</v>
      </c>
      <c r="E412" t="s">
        <v>13</v>
      </c>
      <c r="F412" t="s">
        <v>1970</v>
      </c>
      <c r="G412" t="s">
        <v>12</v>
      </c>
      <c r="I412" t="s">
        <v>9586</v>
      </c>
      <c r="J412" t="s">
        <v>10241</v>
      </c>
      <c r="K412" s="11">
        <v>19.154250000000001</v>
      </c>
      <c r="L412" s="9">
        <v>0.394444951041656</v>
      </c>
      <c r="M412" s="10">
        <v>639.62865089993352</v>
      </c>
      <c r="N412" s="10">
        <v>1212.1685438078514</v>
      </c>
    </row>
    <row r="413" spans="1:14">
      <c r="A413" t="s">
        <v>1967</v>
      </c>
      <c r="B413" t="s">
        <v>9588</v>
      </c>
      <c r="C413" t="s">
        <v>9589</v>
      </c>
      <c r="D413" t="s">
        <v>11</v>
      </c>
      <c r="E413" t="s">
        <v>13</v>
      </c>
      <c r="F413" t="s">
        <v>1970</v>
      </c>
      <c r="G413" t="s">
        <v>12</v>
      </c>
      <c r="I413" t="s">
        <v>9588</v>
      </c>
      <c r="J413" t="s">
        <v>10242</v>
      </c>
      <c r="K413" s="11">
        <v>59.599499999999999</v>
      </c>
      <c r="L413" s="9">
        <v>0.4140371804654065</v>
      </c>
      <c r="M413" s="10">
        <v>249.64486953487324</v>
      </c>
      <c r="N413" s="10">
        <v>927.09039962999236</v>
      </c>
    </row>
    <row r="414" spans="1:14">
      <c r="A414" t="s">
        <v>1967</v>
      </c>
      <c r="B414" t="s">
        <v>9590</v>
      </c>
      <c r="C414" t="s">
        <v>9591</v>
      </c>
      <c r="D414" t="s">
        <v>11</v>
      </c>
      <c r="E414" t="s">
        <v>13</v>
      </c>
      <c r="F414" t="s">
        <v>1970</v>
      </c>
      <c r="G414" t="s">
        <v>12</v>
      </c>
      <c r="I414" t="s">
        <v>9590</v>
      </c>
      <c r="J414" t="s">
        <v>10243</v>
      </c>
      <c r="K414" s="11">
        <v>29.022749999999998</v>
      </c>
      <c r="L414" s="9">
        <v>0.44118483779960987</v>
      </c>
      <c r="M414" s="11">
        <v>74.502339192185872</v>
      </c>
      <c r="N414" s="10">
        <v>631.77047958099274</v>
      </c>
    </row>
    <row r="415" spans="1:14">
      <c r="A415" t="s">
        <v>1967</v>
      </c>
      <c r="B415" t="s">
        <v>9592</v>
      </c>
      <c r="C415" t="s">
        <v>9593</v>
      </c>
      <c r="D415" t="s">
        <v>11</v>
      </c>
      <c r="E415" t="s">
        <v>13</v>
      </c>
      <c r="F415" t="s">
        <v>1970</v>
      </c>
      <c r="G415" t="s">
        <v>12</v>
      </c>
      <c r="I415" t="s">
        <v>9592</v>
      </c>
      <c r="J415" t="s">
        <v>10244</v>
      </c>
      <c r="K415" s="11">
        <v>32.570250000000001</v>
      </c>
      <c r="L415" s="9">
        <v>0.49978358902804981</v>
      </c>
      <c r="M415" s="10">
        <v>107.38151540660986</v>
      </c>
      <c r="N415" s="10">
        <v>779.06918902161226</v>
      </c>
    </row>
    <row r="416" spans="1:14">
      <c r="A416" t="s">
        <v>1967</v>
      </c>
      <c r="B416" t="s">
        <v>9594</v>
      </c>
      <c r="C416" t="s">
        <v>9595</v>
      </c>
      <c r="D416" t="s">
        <v>11</v>
      </c>
      <c r="E416" t="s">
        <v>13</v>
      </c>
      <c r="F416" t="s">
        <v>1970</v>
      </c>
      <c r="G416" t="s">
        <v>12</v>
      </c>
      <c r="I416" t="s">
        <v>9594</v>
      </c>
      <c r="J416" t="s">
        <v>10245</v>
      </c>
      <c r="K416" s="11">
        <v>27.047249999999998</v>
      </c>
      <c r="L416" s="9">
        <v>0.49848367364315799</v>
      </c>
      <c r="M416" s="11">
        <v>82.641244134293572</v>
      </c>
      <c r="N416" s="10">
        <v>668.23277372163523</v>
      </c>
    </row>
    <row r="417" spans="1:14">
      <c r="A417" t="s">
        <v>1967</v>
      </c>
      <c r="B417" t="s">
        <v>9596</v>
      </c>
      <c r="C417" t="s">
        <v>9597</v>
      </c>
      <c r="D417" t="s">
        <v>11</v>
      </c>
      <c r="E417" t="s">
        <v>13</v>
      </c>
      <c r="F417" t="s">
        <v>1970</v>
      </c>
      <c r="G417" t="s">
        <v>12</v>
      </c>
      <c r="I417" t="s">
        <v>9596</v>
      </c>
      <c r="J417" t="s">
        <v>10246</v>
      </c>
      <c r="K417" s="9">
        <v>0.51875000000000004</v>
      </c>
      <c r="L417" s="9">
        <v>0.35386971633513731</v>
      </c>
      <c r="M417" s="11">
        <v>80.914503864274366</v>
      </c>
      <c r="N417" s="10">
        <v>561.42243071515679</v>
      </c>
    </row>
    <row r="418" spans="1:14">
      <c r="A418" t="s">
        <v>1967</v>
      </c>
      <c r="B418" t="s">
        <v>9598</v>
      </c>
      <c r="C418" t="s">
        <v>9599</v>
      </c>
      <c r="D418" t="s">
        <v>11</v>
      </c>
      <c r="E418" t="s">
        <v>13</v>
      </c>
      <c r="F418" t="s">
        <v>1970</v>
      </c>
      <c r="G418" t="s">
        <v>12</v>
      </c>
      <c r="I418" t="s">
        <v>9598</v>
      </c>
      <c r="J418" t="s">
        <v>10247</v>
      </c>
      <c r="K418" s="11">
        <v>11.65375</v>
      </c>
      <c r="L418" s="9">
        <v>0.3099648129037319</v>
      </c>
      <c r="M418" s="11">
        <v>52.906060377962326</v>
      </c>
      <c r="N418" s="10">
        <v>454.76627791928053</v>
      </c>
    </row>
    <row r="419" spans="1:14">
      <c r="A419" t="s">
        <v>1967</v>
      </c>
      <c r="B419" t="s">
        <v>9600</v>
      </c>
      <c r="C419" t="s">
        <v>9601</v>
      </c>
      <c r="D419" t="s">
        <v>11</v>
      </c>
      <c r="E419" t="s">
        <v>13</v>
      </c>
      <c r="F419" t="s">
        <v>1970</v>
      </c>
      <c r="G419" t="s">
        <v>12</v>
      </c>
      <c r="I419" t="s">
        <v>9600</v>
      </c>
      <c r="J419" t="s">
        <v>10248</v>
      </c>
      <c r="K419" s="9">
        <v>8.17</v>
      </c>
      <c r="L419" s="9">
        <v>0.286754178191644</v>
      </c>
      <c r="M419" s="11">
        <v>57.968647573675923</v>
      </c>
      <c r="N419" s="10">
        <v>474.04460996055792</v>
      </c>
    </row>
    <row r="420" spans="1:14">
      <c r="A420" t="s">
        <v>1967</v>
      </c>
      <c r="B420" t="s">
        <v>9602</v>
      </c>
      <c r="C420" t="s">
        <v>9601</v>
      </c>
      <c r="D420" t="s">
        <v>11</v>
      </c>
      <c r="E420" t="s">
        <v>13</v>
      </c>
      <c r="F420" t="s">
        <v>1970</v>
      </c>
      <c r="G420" t="s">
        <v>12</v>
      </c>
      <c r="I420" t="s">
        <v>9602</v>
      </c>
      <c r="J420" t="s">
        <v>10249</v>
      </c>
      <c r="K420" s="9">
        <v>7.0650000000000004</v>
      </c>
      <c r="L420" s="9">
        <v>0.22177947666368911</v>
      </c>
      <c r="M420" s="11">
        <v>83.591815134186007</v>
      </c>
      <c r="N420" s="10">
        <v>571.6176320309803</v>
      </c>
    </row>
    <row r="421" spans="1:14">
      <c r="A421" t="s">
        <v>1967</v>
      </c>
      <c r="B421" t="s">
        <v>9603</v>
      </c>
      <c r="C421" t="s">
        <v>9604</v>
      </c>
      <c r="D421" t="s">
        <v>11</v>
      </c>
      <c r="E421" t="s">
        <v>13</v>
      </c>
      <c r="F421" t="s">
        <v>1970</v>
      </c>
      <c r="G421" t="s">
        <v>12</v>
      </c>
      <c r="I421" t="s">
        <v>9603</v>
      </c>
      <c r="J421" t="s">
        <v>10250</v>
      </c>
      <c r="K421" s="11">
        <v>33.158250000000002</v>
      </c>
      <c r="L421" s="9">
        <v>0.38369495749373778</v>
      </c>
      <c r="M421" s="10">
        <v>162.96923790014387</v>
      </c>
      <c r="N421" s="10">
        <v>863.73051290500518</v>
      </c>
    </row>
    <row r="422" spans="1:14">
      <c r="A422" t="s">
        <v>1967</v>
      </c>
      <c r="B422" t="s">
        <v>9605</v>
      </c>
      <c r="C422" t="s">
        <v>9606</v>
      </c>
      <c r="D422" t="s">
        <v>11</v>
      </c>
      <c r="E422" t="s">
        <v>13</v>
      </c>
      <c r="F422" t="s">
        <v>1970</v>
      </c>
      <c r="G422" t="s">
        <v>12</v>
      </c>
      <c r="I422" t="s">
        <v>9605</v>
      </c>
      <c r="J422" t="s">
        <v>10251</v>
      </c>
      <c r="K422" s="11">
        <v>14.599500000000001</v>
      </c>
      <c r="L422" s="9">
        <v>0.33111742912439152</v>
      </c>
      <c r="M422" s="10">
        <v>119.48338112289773</v>
      </c>
      <c r="N422" s="10">
        <v>708.29271531599466</v>
      </c>
    </row>
    <row r="423" spans="1:14">
      <c r="A423" t="s">
        <v>1967</v>
      </c>
      <c r="B423" t="s">
        <v>9607</v>
      </c>
      <c r="C423" t="s">
        <v>9608</v>
      </c>
      <c r="D423" t="s">
        <v>11</v>
      </c>
      <c r="E423" t="s">
        <v>13</v>
      </c>
      <c r="F423" t="s">
        <v>1970</v>
      </c>
      <c r="G423" t="s">
        <v>12</v>
      </c>
      <c r="I423" t="s">
        <v>9607</v>
      </c>
      <c r="J423" t="s">
        <v>10252</v>
      </c>
      <c r="K423" s="11">
        <v>11.6145</v>
      </c>
      <c r="L423" s="9">
        <v>0.2611166786580903</v>
      </c>
      <c r="M423" s="11">
        <v>75.051106805498961</v>
      </c>
      <c r="N423" s="10">
        <v>539.09461471534007</v>
      </c>
    </row>
    <row r="424" spans="1:14">
      <c r="A424" t="s">
        <v>1967</v>
      </c>
      <c r="B424" t="s">
        <v>9609</v>
      </c>
      <c r="C424" t="s">
        <v>9610</v>
      </c>
      <c r="D424" t="s">
        <v>11</v>
      </c>
      <c r="E424" t="s">
        <v>13</v>
      </c>
      <c r="F424" t="s">
        <v>1970</v>
      </c>
      <c r="G424" t="s">
        <v>12</v>
      </c>
      <c r="I424" t="s">
        <v>9609</v>
      </c>
      <c r="J424" t="s">
        <v>10253</v>
      </c>
      <c r="K424" s="11">
        <v>18.765750000000001</v>
      </c>
      <c r="L424" s="9">
        <v>0.37717063723198319</v>
      </c>
      <c r="M424" s="11">
        <v>91.960665313586802</v>
      </c>
      <c r="N424" s="10">
        <v>709.98378060486891</v>
      </c>
    </row>
    <row r="425" spans="1:14">
      <c r="A425" t="s">
        <v>1967</v>
      </c>
      <c r="B425" t="s">
        <v>9611</v>
      </c>
      <c r="C425" t="s">
        <v>9612</v>
      </c>
      <c r="D425" t="s">
        <v>11</v>
      </c>
      <c r="E425" t="s">
        <v>13</v>
      </c>
      <c r="F425" t="s">
        <v>1970</v>
      </c>
      <c r="G425" t="s">
        <v>12</v>
      </c>
      <c r="I425" t="s">
        <v>9611</v>
      </c>
      <c r="J425" t="s">
        <v>10254</v>
      </c>
      <c r="K425" s="11">
        <v>13.690250000000001</v>
      </c>
      <c r="L425" s="9">
        <v>0.51135359089306298</v>
      </c>
      <c r="M425" s="11">
        <v>72.931365624416443</v>
      </c>
      <c r="N425" s="10">
        <v>624.73251799738568</v>
      </c>
    </row>
    <row r="426" spans="1:14">
      <c r="A426" t="s">
        <v>1967</v>
      </c>
      <c r="B426" t="s">
        <v>9613</v>
      </c>
      <c r="C426" t="s">
        <v>9614</v>
      </c>
      <c r="D426" t="s">
        <v>11</v>
      </c>
      <c r="E426" t="s">
        <v>13</v>
      </c>
      <c r="F426" t="s">
        <v>1970</v>
      </c>
      <c r="G426" t="s">
        <v>12</v>
      </c>
      <c r="I426" t="s">
        <v>9613</v>
      </c>
      <c r="J426" t="s">
        <v>10255</v>
      </c>
      <c r="K426" s="9">
        <v>7.9545000000000003</v>
      </c>
      <c r="L426" s="9">
        <v>0.49912231458317929</v>
      </c>
      <c r="M426" s="10">
        <v>100.66959900475052</v>
      </c>
      <c r="N426" s="10">
        <v>748.9998035412824</v>
      </c>
    </row>
    <row r="427" spans="1:14">
      <c r="A427" t="s">
        <v>1967</v>
      </c>
      <c r="B427" t="s">
        <v>9615</v>
      </c>
      <c r="C427" t="s">
        <v>9616</v>
      </c>
      <c r="D427" t="s">
        <v>11</v>
      </c>
      <c r="E427" t="s">
        <v>13</v>
      </c>
      <c r="F427" t="s">
        <v>1970</v>
      </c>
      <c r="G427" t="s">
        <v>12</v>
      </c>
      <c r="I427" t="s">
        <v>9615</v>
      </c>
      <c r="J427" t="s">
        <v>10256</v>
      </c>
      <c r="K427" s="9">
        <v>3.4432499999999999</v>
      </c>
      <c r="L427" s="9">
        <v>0.40257110516915612</v>
      </c>
      <c r="M427" s="11">
        <v>55.954448535080559</v>
      </c>
      <c r="N427" s="10">
        <v>548.6759294371609</v>
      </c>
    </row>
    <row r="428" spans="1:14">
      <c r="A428" t="s">
        <v>1967</v>
      </c>
      <c r="B428" t="s">
        <v>9617</v>
      </c>
      <c r="C428" t="s">
        <v>9618</v>
      </c>
      <c r="D428" t="s">
        <v>11</v>
      </c>
      <c r="E428" t="s">
        <v>13</v>
      </c>
      <c r="F428" t="s">
        <v>1970</v>
      </c>
      <c r="G428" t="s">
        <v>12</v>
      </c>
      <c r="I428" t="s">
        <v>9617</v>
      </c>
      <c r="J428" t="s">
        <v>10257</v>
      </c>
      <c r="K428" s="11">
        <v>21.488250000000001</v>
      </c>
      <c r="L428" s="9">
        <v>0.28200590280275573</v>
      </c>
      <c r="M428" s="10">
        <v>152.35171204300775</v>
      </c>
      <c r="N428" s="10">
        <v>833.45531945977348</v>
      </c>
    </row>
    <row r="429" spans="1:14">
      <c r="A429" t="s">
        <v>1967</v>
      </c>
      <c r="B429" t="s">
        <v>9619</v>
      </c>
      <c r="C429" t="s">
        <v>9618</v>
      </c>
      <c r="D429" t="s">
        <v>11</v>
      </c>
      <c r="E429" t="s">
        <v>13</v>
      </c>
      <c r="F429" t="s">
        <v>1970</v>
      </c>
      <c r="G429" t="s">
        <v>12</v>
      </c>
      <c r="I429" t="s">
        <v>9619</v>
      </c>
      <c r="J429" t="s">
        <v>10258</v>
      </c>
      <c r="K429" s="9">
        <v>1.0042500000000001</v>
      </c>
      <c r="L429" s="9">
        <v>0.28415044162979519</v>
      </c>
      <c r="M429" s="10">
        <v>118.63739788858121</v>
      </c>
      <c r="N429" s="10">
        <v>705.07121115971722</v>
      </c>
    </row>
    <row r="430" spans="1:14">
      <c r="A430" t="s">
        <v>1967</v>
      </c>
      <c r="B430" t="s">
        <v>9620</v>
      </c>
      <c r="C430" t="s">
        <v>9621</v>
      </c>
      <c r="D430" t="s">
        <v>11</v>
      </c>
      <c r="E430" t="s">
        <v>13</v>
      </c>
      <c r="F430" t="s">
        <v>1970</v>
      </c>
      <c r="G430" t="s">
        <v>12</v>
      </c>
      <c r="I430" t="s">
        <v>9620</v>
      </c>
      <c r="J430" t="s">
        <v>10259</v>
      </c>
      <c r="K430" s="10">
        <v>1080.171</v>
      </c>
      <c r="L430" s="9">
        <v>0.46618896107118007</v>
      </c>
      <c r="M430" s="10">
        <v>800.70851337923023</v>
      </c>
      <c r="N430" s="10">
        <v>1329.9179232802173</v>
      </c>
    </row>
    <row r="431" spans="1:14">
      <c r="A431" t="s">
        <v>1967</v>
      </c>
      <c r="B431" t="s">
        <v>9622</v>
      </c>
      <c r="C431" t="s">
        <v>9621</v>
      </c>
      <c r="D431" t="s">
        <v>11</v>
      </c>
      <c r="E431" t="s">
        <v>13</v>
      </c>
      <c r="F431" t="s">
        <v>1970</v>
      </c>
      <c r="G431" t="s">
        <v>12</v>
      </c>
      <c r="I431" t="s">
        <v>9622</v>
      </c>
      <c r="J431" t="s">
        <v>10260</v>
      </c>
      <c r="K431" s="10">
        <v>1076.7104999999999</v>
      </c>
      <c r="L431" s="9">
        <v>0.4741327017243343</v>
      </c>
      <c r="M431" s="10">
        <v>825.22056696286131</v>
      </c>
      <c r="N431" s="10">
        <v>1347.8362344498516</v>
      </c>
    </row>
    <row r="432" spans="1:14">
      <c r="A432" t="s">
        <v>1967</v>
      </c>
      <c r="B432" t="s">
        <v>9623</v>
      </c>
      <c r="C432" t="s">
        <v>9624</v>
      </c>
      <c r="D432" t="s">
        <v>11</v>
      </c>
      <c r="E432" t="s">
        <v>13</v>
      </c>
      <c r="F432" t="s">
        <v>1970</v>
      </c>
      <c r="G432" t="s">
        <v>12</v>
      </c>
      <c r="I432" t="s">
        <v>9623</v>
      </c>
      <c r="J432" t="s">
        <v>10261</v>
      </c>
      <c r="K432" s="10">
        <v>1184.1990000000001</v>
      </c>
      <c r="L432" s="9">
        <v>0.40398608338254283</v>
      </c>
      <c r="M432" s="10">
        <v>977.68419798020216</v>
      </c>
      <c r="N432" s="10">
        <v>1459.2871487235277</v>
      </c>
    </row>
    <row r="433" spans="1:14">
      <c r="A433" t="s">
        <v>1967</v>
      </c>
      <c r="B433" t="s">
        <v>9625</v>
      </c>
      <c r="C433" t="s">
        <v>9624</v>
      </c>
      <c r="D433" t="s">
        <v>11</v>
      </c>
      <c r="E433" t="s">
        <v>13</v>
      </c>
      <c r="F433" t="s">
        <v>1970</v>
      </c>
      <c r="G433" t="s">
        <v>12</v>
      </c>
      <c r="I433" t="s">
        <v>9625</v>
      </c>
      <c r="J433" t="s">
        <v>10262</v>
      </c>
      <c r="K433" s="10">
        <v>1290.4860000000001</v>
      </c>
      <c r="L433" s="9">
        <v>0.41902684866979051</v>
      </c>
      <c r="M433" s="10">
        <v>947.71327855955019</v>
      </c>
      <c r="N433" s="10">
        <v>1437.3784066270312</v>
      </c>
    </row>
    <row r="434" spans="1:14">
      <c r="A434" t="s">
        <v>1967</v>
      </c>
      <c r="B434" t="s">
        <v>9626</v>
      </c>
      <c r="C434" t="s">
        <v>9627</v>
      </c>
      <c r="D434" t="s">
        <v>11</v>
      </c>
      <c r="E434" t="s">
        <v>13</v>
      </c>
      <c r="F434" t="s">
        <v>1970</v>
      </c>
      <c r="G434" t="s">
        <v>12</v>
      </c>
      <c r="I434" t="s">
        <v>9626</v>
      </c>
      <c r="J434" t="s">
        <v>10263</v>
      </c>
      <c r="K434" s="10">
        <v>758.29575</v>
      </c>
      <c r="L434" s="9">
        <v>0.4226093152356637</v>
      </c>
      <c r="M434" s="10">
        <v>305.11646529644287</v>
      </c>
      <c r="N434" s="10">
        <v>967.64013613169959</v>
      </c>
    </row>
    <row r="435" spans="1:14">
      <c r="A435" t="s">
        <v>1967</v>
      </c>
      <c r="B435" t="s">
        <v>9628</v>
      </c>
      <c r="C435" t="s">
        <v>9627</v>
      </c>
      <c r="D435" t="s">
        <v>11</v>
      </c>
      <c r="E435" t="s">
        <v>13</v>
      </c>
      <c r="F435" t="s">
        <v>1970</v>
      </c>
      <c r="G435" t="s">
        <v>12</v>
      </c>
      <c r="I435" t="s">
        <v>9628</v>
      </c>
      <c r="J435" t="s">
        <v>10264</v>
      </c>
      <c r="K435" s="10">
        <v>662.55899999999997</v>
      </c>
      <c r="L435" s="9">
        <v>0.46115170465724392</v>
      </c>
      <c r="M435" s="10">
        <v>382.4173387876607</v>
      </c>
      <c r="N435" s="10">
        <v>1024.14707465378</v>
      </c>
    </row>
    <row r="436" spans="1:14">
      <c r="A436" t="s">
        <v>1967</v>
      </c>
      <c r="B436" t="s">
        <v>9629</v>
      </c>
      <c r="C436" t="s">
        <v>9621</v>
      </c>
      <c r="D436" t="s">
        <v>11</v>
      </c>
      <c r="E436" t="s">
        <v>13</v>
      </c>
      <c r="F436" t="s">
        <v>1970</v>
      </c>
      <c r="G436" t="s">
        <v>12</v>
      </c>
      <c r="I436" t="s">
        <v>9629</v>
      </c>
      <c r="J436" t="s">
        <v>10265</v>
      </c>
      <c r="K436" s="10">
        <v>625.96950000000004</v>
      </c>
      <c r="L436" s="9">
        <v>0.4644266479263035</v>
      </c>
      <c r="M436" s="10">
        <v>485.85056205784952</v>
      </c>
      <c r="N436" s="10">
        <v>1099.7567608642878</v>
      </c>
    </row>
    <row r="437" spans="1:14">
      <c r="A437" t="s">
        <v>1967</v>
      </c>
      <c r="B437" t="s">
        <v>9630</v>
      </c>
      <c r="C437" t="s">
        <v>9631</v>
      </c>
      <c r="D437" t="s">
        <v>11</v>
      </c>
      <c r="E437" t="s">
        <v>13</v>
      </c>
      <c r="F437" t="s">
        <v>1970</v>
      </c>
      <c r="G437" t="s">
        <v>12</v>
      </c>
      <c r="I437" t="s">
        <v>9630</v>
      </c>
      <c r="J437" t="s">
        <v>10266</v>
      </c>
      <c r="K437" s="10">
        <v>810.28200000000004</v>
      </c>
      <c r="L437" s="9">
        <v>0.4655517958205983</v>
      </c>
      <c r="M437" s="10">
        <v>456.01469094146421</v>
      </c>
      <c r="N437" s="10">
        <v>1077.9467390782104</v>
      </c>
    </row>
    <row r="438" spans="1:14">
      <c r="A438" t="s">
        <v>1967</v>
      </c>
      <c r="B438" t="s">
        <v>9632</v>
      </c>
      <c r="C438" t="s">
        <v>9633</v>
      </c>
      <c r="D438" t="s">
        <v>11</v>
      </c>
      <c r="E438" t="s">
        <v>13</v>
      </c>
      <c r="F438" t="s">
        <v>1970</v>
      </c>
      <c r="G438" t="s">
        <v>12</v>
      </c>
      <c r="I438" t="s">
        <v>9632</v>
      </c>
      <c r="J438" t="s">
        <v>10267</v>
      </c>
      <c r="K438" s="10">
        <v>1276.818</v>
      </c>
      <c r="L438" s="9">
        <v>0.4040337861851071</v>
      </c>
      <c r="M438" s="10">
        <v>1511.873353999121</v>
      </c>
      <c r="N438" s="10">
        <v>1849.7794217733574</v>
      </c>
    </row>
    <row r="439" spans="1:14">
      <c r="A439" t="s">
        <v>1967</v>
      </c>
      <c r="B439" t="s">
        <v>9634</v>
      </c>
      <c r="C439" t="s">
        <v>9633</v>
      </c>
      <c r="D439" t="s">
        <v>11</v>
      </c>
      <c r="E439" t="s">
        <v>13</v>
      </c>
      <c r="F439" t="s">
        <v>1970</v>
      </c>
      <c r="G439" t="s">
        <v>12</v>
      </c>
      <c r="I439" t="s">
        <v>9634</v>
      </c>
      <c r="J439" t="s">
        <v>10268</v>
      </c>
      <c r="K439" s="10">
        <v>1311.11475</v>
      </c>
      <c r="L439" s="9">
        <v>0.40367044945839109</v>
      </c>
      <c r="M439" s="10">
        <v>1514.0227474874616</v>
      </c>
      <c r="N439" s="10">
        <v>1851.3506284133343</v>
      </c>
    </row>
    <row r="440" spans="1:14">
      <c r="A440" t="s">
        <v>1967</v>
      </c>
      <c r="B440" t="s">
        <v>9635</v>
      </c>
      <c r="C440" t="s">
        <v>9636</v>
      </c>
      <c r="D440" t="s">
        <v>11</v>
      </c>
      <c r="E440" t="s">
        <v>13</v>
      </c>
      <c r="F440" t="s">
        <v>1970</v>
      </c>
      <c r="G440" t="s">
        <v>12</v>
      </c>
      <c r="I440" t="s">
        <v>9635</v>
      </c>
      <c r="J440" t="s">
        <v>10269</v>
      </c>
      <c r="K440" s="10">
        <v>704.75850000000003</v>
      </c>
      <c r="L440" s="9">
        <v>0.5090382794208973</v>
      </c>
      <c r="M440" s="10">
        <v>13499.014163866539</v>
      </c>
      <c r="N440" s="10">
        <v>10612.379353786439</v>
      </c>
    </row>
    <row r="441" spans="1:14">
      <c r="A441" t="s">
        <v>1967</v>
      </c>
      <c r="B441" t="s">
        <v>9637</v>
      </c>
      <c r="C441" t="s">
        <v>9621</v>
      </c>
      <c r="D441" t="s">
        <v>11</v>
      </c>
      <c r="E441" t="s">
        <v>13</v>
      </c>
      <c r="F441" t="s">
        <v>1970</v>
      </c>
      <c r="G441" t="s">
        <v>12</v>
      </c>
      <c r="I441" t="s">
        <v>9637</v>
      </c>
      <c r="J441" t="s">
        <v>10270</v>
      </c>
      <c r="K441" s="10">
        <v>767.4</v>
      </c>
      <c r="L441" s="9">
        <v>0.4717510669766013</v>
      </c>
      <c r="M441" s="10">
        <v>19388.438345009599</v>
      </c>
      <c r="N441" s="10">
        <v>14917.548430202018</v>
      </c>
    </row>
    <row r="442" spans="1:14">
      <c r="A442" t="s">
        <v>1967</v>
      </c>
      <c r="B442" t="s">
        <v>9638</v>
      </c>
      <c r="C442" t="s">
        <v>9636</v>
      </c>
      <c r="D442" t="s">
        <v>11</v>
      </c>
      <c r="E442" t="s">
        <v>13</v>
      </c>
      <c r="F442" t="s">
        <v>1970</v>
      </c>
      <c r="G442" t="s">
        <v>12</v>
      </c>
      <c r="I442" t="s">
        <v>9638</v>
      </c>
      <c r="J442" t="s">
        <v>10271</v>
      </c>
      <c r="K442" s="10">
        <v>742.27125000000001</v>
      </c>
      <c r="L442" s="9">
        <v>0.4786346167679375</v>
      </c>
      <c r="M442" s="10">
        <v>1262.4583611525388</v>
      </c>
      <c r="N442" s="10">
        <v>1667.4570620025058</v>
      </c>
    </row>
    <row r="443" spans="1:14">
      <c r="A443" t="s">
        <v>1967</v>
      </c>
      <c r="B443" t="s">
        <v>9639</v>
      </c>
      <c r="C443" t="s">
        <v>9636</v>
      </c>
      <c r="D443" t="s">
        <v>11</v>
      </c>
      <c r="E443" t="s">
        <v>13</v>
      </c>
      <c r="F443" t="s">
        <v>1970</v>
      </c>
      <c r="G443" t="s">
        <v>12</v>
      </c>
      <c r="I443" t="s">
        <v>9639</v>
      </c>
      <c r="J443" t="s">
        <v>10272</v>
      </c>
      <c r="K443" s="10">
        <v>1341.2745</v>
      </c>
      <c r="L443" s="9">
        <v>0.47738771521348727</v>
      </c>
      <c r="M443" s="10">
        <v>607.26182784647915</v>
      </c>
      <c r="N443" s="10">
        <v>1188.5083961557762</v>
      </c>
    </row>
    <row r="444" spans="1:14">
      <c r="A444" t="s">
        <v>1967</v>
      </c>
      <c r="B444" t="s">
        <v>9640</v>
      </c>
      <c r="C444" t="s">
        <v>9636</v>
      </c>
      <c r="D444" t="s">
        <v>11</v>
      </c>
      <c r="E444" t="s">
        <v>13</v>
      </c>
      <c r="F444" t="s">
        <v>1970</v>
      </c>
      <c r="G444" t="s">
        <v>12</v>
      </c>
      <c r="I444" t="s">
        <v>9640</v>
      </c>
      <c r="J444" t="s">
        <v>10273</v>
      </c>
      <c r="K444" s="10">
        <v>641.05724999999995</v>
      </c>
      <c r="L444" s="9">
        <v>0.4735491282242037</v>
      </c>
      <c r="M444" s="10">
        <v>1295.7900852191017</v>
      </c>
      <c r="N444" s="10">
        <v>1691.8225522951632</v>
      </c>
    </row>
    <row r="445" spans="1:14">
      <c r="A445" t="s">
        <v>1967</v>
      </c>
      <c r="B445" t="s">
        <v>9641</v>
      </c>
      <c r="C445" t="s">
        <v>9636</v>
      </c>
      <c r="D445" t="s">
        <v>11</v>
      </c>
      <c r="E445" t="s">
        <v>13</v>
      </c>
      <c r="F445" t="s">
        <v>1970</v>
      </c>
      <c r="G445" t="s">
        <v>12</v>
      </c>
      <c r="I445" t="s">
        <v>9641</v>
      </c>
      <c r="J445" t="s">
        <v>10274</v>
      </c>
      <c r="K445" s="10">
        <v>1468.3125</v>
      </c>
      <c r="L445" s="9">
        <v>0.47794931366470728</v>
      </c>
      <c r="M445" s="10">
        <v>641.3475675397591</v>
      </c>
      <c r="N445" s="10">
        <v>1213.4250718715639</v>
      </c>
    </row>
    <row r="446" spans="1:14">
      <c r="A446" t="s">
        <v>1967</v>
      </c>
      <c r="B446" t="s">
        <v>9642</v>
      </c>
      <c r="C446" t="s">
        <v>9643</v>
      </c>
      <c r="D446" t="s">
        <v>11</v>
      </c>
      <c r="E446" t="s">
        <v>13</v>
      </c>
      <c r="F446" t="s">
        <v>1970</v>
      </c>
      <c r="G446" t="s">
        <v>12</v>
      </c>
      <c r="I446" t="s">
        <v>9642</v>
      </c>
      <c r="J446" t="s">
        <v>10275</v>
      </c>
      <c r="K446" s="11">
        <v>28.390499999999999</v>
      </c>
      <c r="L446" s="9">
        <v>0.2545854517713394</v>
      </c>
      <c r="M446" s="10">
        <v>264.46435831331576</v>
      </c>
      <c r="N446" s="10">
        <v>937.92344592703375</v>
      </c>
    </row>
    <row r="447" spans="1:14">
      <c r="A447" t="s">
        <v>1967</v>
      </c>
      <c r="B447" t="s">
        <v>9644</v>
      </c>
      <c r="C447" t="s">
        <v>9643</v>
      </c>
      <c r="D447" t="s">
        <v>11</v>
      </c>
      <c r="E447" t="s">
        <v>13</v>
      </c>
      <c r="F447" t="s">
        <v>1970</v>
      </c>
      <c r="G447" t="s">
        <v>12</v>
      </c>
      <c r="I447" t="s">
        <v>9644</v>
      </c>
      <c r="J447" t="s">
        <v>10276</v>
      </c>
      <c r="K447" s="11">
        <v>33.101999999999997</v>
      </c>
      <c r="L447" s="9">
        <v>0.2127053242510428</v>
      </c>
      <c r="M447" s="10">
        <v>436.4570090271061</v>
      </c>
      <c r="N447" s="10">
        <v>1063.6500735988145</v>
      </c>
    </row>
    <row r="448" spans="1:14">
      <c r="A448" t="s">
        <v>1967</v>
      </c>
      <c r="B448" t="s">
        <v>9645</v>
      </c>
      <c r="C448" t="s">
        <v>9646</v>
      </c>
      <c r="D448" t="s">
        <v>11</v>
      </c>
      <c r="E448" t="s">
        <v>13</v>
      </c>
      <c r="F448" t="s">
        <v>1970</v>
      </c>
      <c r="G448" t="s">
        <v>12</v>
      </c>
      <c r="I448" t="s">
        <v>9645</v>
      </c>
      <c r="J448" t="s">
        <v>10277</v>
      </c>
      <c r="K448" s="11">
        <v>32.232750000000003</v>
      </c>
      <c r="L448" s="9">
        <v>0.32549644043577342</v>
      </c>
      <c r="M448" s="10">
        <v>151.64527444477224</v>
      </c>
      <c r="N448" s="10">
        <v>830.76520508569274</v>
      </c>
    </row>
    <row r="449" spans="1:14">
      <c r="A449" t="s">
        <v>1967</v>
      </c>
      <c r="B449" t="s">
        <v>9647</v>
      </c>
      <c r="C449" t="s">
        <v>9648</v>
      </c>
      <c r="D449" t="s">
        <v>11</v>
      </c>
      <c r="E449" t="s">
        <v>13</v>
      </c>
      <c r="F449" t="s">
        <v>1970</v>
      </c>
      <c r="G449" t="s">
        <v>12</v>
      </c>
      <c r="I449" t="s">
        <v>9647</v>
      </c>
      <c r="J449" t="s">
        <v>10278</v>
      </c>
      <c r="K449" s="11">
        <v>59.423250000000003</v>
      </c>
      <c r="L449" s="9">
        <v>0.25618599470973091</v>
      </c>
      <c r="M449" s="10">
        <v>128.15465091068597</v>
      </c>
      <c r="N449" s="10">
        <v>741.3129106678922</v>
      </c>
    </row>
    <row r="450" spans="1:14">
      <c r="A450" t="s">
        <v>1967</v>
      </c>
      <c r="B450" t="s">
        <v>9649</v>
      </c>
      <c r="C450" t="s">
        <v>9648</v>
      </c>
      <c r="D450" t="s">
        <v>11</v>
      </c>
      <c r="E450" t="s">
        <v>13</v>
      </c>
      <c r="F450" t="s">
        <v>1970</v>
      </c>
      <c r="G450" t="s">
        <v>12</v>
      </c>
      <c r="I450" t="s">
        <v>9649</v>
      </c>
      <c r="J450" t="s">
        <v>10279</v>
      </c>
      <c r="K450" s="11">
        <v>56.865000000000002</v>
      </c>
      <c r="L450" s="9">
        <v>0.31666422998713728</v>
      </c>
      <c r="M450" s="10">
        <v>186.5601703282903</v>
      </c>
      <c r="N450" s="10">
        <v>880.97548450998011</v>
      </c>
    </row>
    <row r="451" spans="1:14">
      <c r="A451" t="s">
        <v>1967</v>
      </c>
      <c r="B451" t="s">
        <v>9650</v>
      </c>
      <c r="C451" t="s">
        <v>9651</v>
      </c>
      <c r="D451" t="s">
        <v>11</v>
      </c>
      <c r="E451" t="s">
        <v>13</v>
      </c>
      <c r="F451" t="s">
        <v>1970</v>
      </c>
      <c r="G451" t="s">
        <v>12</v>
      </c>
      <c r="I451" t="s">
        <v>9650</v>
      </c>
      <c r="J451" t="s">
        <v>10280</v>
      </c>
      <c r="K451" s="11">
        <v>87.99</v>
      </c>
      <c r="L451" s="9">
        <v>0.34406755006783762</v>
      </c>
      <c r="M451" s="10">
        <v>273.22291409511968</v>
      </c>
      <c r="N451" s="10">
        <v>944.32595020353256</v>
      </c>
    </row>
    <row r="452" spans="1:14">
      <c r="A452" t="s">
        <v>1967</v>
      </c>
      <c r="B452" t="s">
        <v>9652</v>
      </c>
      <c r="C452" t="s">
        <v>9653</v>
      </c>
      <c r="D452" t="s">
        <v>11</v>
      </c>
      <c r="E452" t="s">
        <v>13</v>
      </c>
      <c r="F452" t="s">
        <v>1970</v>
      </c>
      <c r="G452" t="s">
        <v>12</v>
      </c>
      <c r="I452" t="s">
        <v>9652</v>
      </c>
      <c r="J452" t="s">
        <v>10281</v>
      </c>
      <c r="K452" s="11">
        <v>34.839750000000002</v>
      </c>
      <c r="L452" s="9">
        <v>0.31773383635241781</v>
      </c>
      <c r="M452" s="10">
        <v>335.33545833644234</v>
      </c>
      <c r="N452" s="10">
        <v>989.73022004393931</v>
      </c>
    </row>
    <row r="453" spans="1:14">
      <c r="A453" t="s">
        <v>1967</v>
      </c>
      <c r="B453" t="s">
        <v>9654</v>
      </c>
      <c r="C453" t="s">
        <v>9653</v>
      </c>
      <c r="D453" t="s">
        <v>11</v>
      </c>
      <c r="E453" t="s">
        <v>13</v>
      </c>
      <c r="F453" t="s">
        <v>1970</v>
      </c>
      <c r="G453" t="s">
        <v>12</v>
      </c>
      <c r="I453" t="s">
        <v>9654</v>
      </c>
      <c r="J453" t="s">
        <v>10282</v>
      </c>
      <c r="K453" s="11">
        <v>38.031750000000002</v>
      </c>
      <c r="L453" s="9">
        <v>0.28062203509344069</v>
      </c>
      <c r="M453" s="10">
        <v>144.60082445149536</v>
      </c>
      <c r="N453" s="10">
        <v>803.93993951129437</v>
      </c>
    </row>
    <row r="454" spans="1:14">
      <c r="A454" t="s">
        <v>1967</v>
      </c>
      <c r="B454" t="s">
        <v>9655</v>
      </c>
      <c r="C454" t="s">
        <v>9653</v>
      </c>
      <c r="D454" t="s">
        <v>11</v>
      </c>
      <c r="E454" t="s">
        <v>13</v>
      </c>
      <c r="F454" t="s">
        <v>1970</v>
      </c>
      <c r="G454" t="s">
        <v>12</v>
      </c>
      <c r="I454" t="s">
        <v>9655</v>
      </c>
      <c r="J454" t="s">
        <v>10283</v>
      </c>
      <c r="K454" s="11">
        <v>29.360250000000001</v>
      </c>
      <c r="L454" s="9">
        <v>0.24672042793650509</v>
      </c>
      <c r="M454" s="10">
        <v>155.22775917313251</v>
      </c>
      <c r="N454" s="10">
        <v>844.40730693128864</v>
      </c>
    </row>
    <row r="455" spans="1:14">
      <c r="A455" t="s">
        <v>1967</v>
      </c>
      <c r="B455" t="s">
        <v>9656</v>
      </c>
      <c r="C455" t="s">
        <v>9653</v>
      </c>
      <c r="D455" t="s">
        <v>11</v>
      </c>
      <c r="E455" t="s">
        <v>13</v>
      </c>
      <c r="F455" t="s">
        <v>1970</v>
      </c>
      <c r="G455" t="s">
        <v>12</v>
      </c>
      <c r="I455" t="s">
        <v>9656</v>
      </c>
      <c r="J455" t="s">
        <v>10284</v>
      </c>
      <c r="K455" s="11">
        <v>42.237749999999998</v>
      </c>
      <c r="L455" s="9">
        <v>0.2699376545695803</v>
      </c>
      <c r="M455" s="10">
        <v>225.23294457925508</v>
      </c>
      <c r="N455" s="10">
        <v>909.24528248743536</v>
      </c>
    </row>
    <row r="456" spans="1:14">
      <c r="A456" t="s">
        <v>1967</v>
      </c>
      <c r="B456" t="s">
        <v>9657</v>
      </c>
      <c r="C456" t="s">
        <v>9658</v>
      </c>
      <c r="D456" t="s">
        <v>11</v>
      </c>
      <c r="E456" t="s">
        <v>13</v>
      </c>
      <c r="F456" t="s">
        <v>1970</v>
      </c>
      <c r="G456" t="s">
        <v>12</v>
      </c>
      <c r="I456" t="s">
        <v>9657</v>
      </c>
      <c r="J456" t="s">
        <v>10285</v>
      </c>
      <c r="K456" s="11">
        <v>17.928000000000001</v>
      </c>
      <c r="L456" s="9">
        <v>0.32826279962269173</v>
      </c>
      <c r="M456" s="11">
        <v>55.216574977282974</v>
      </c>
      <c r="N456" s="10">
        <v>463.56471751349352</v>
      </c>
    </row>
    <row r="457" spans="1:14">
      <c r="A457" t="s">
        <v>1967</v>
      </c>
      <c r="B457" t="s">
        <v>9659</v>
      </c>
      <c r="C457" t="s">
        <v>9660</v>
      </c>
      <c r="D457" t="s">
        <v>11</v>
      </c>
      <c r="E457" t="s">
        <v>13</v>
      </c>
      <c r="F457" t="s">
        <v>1970</v>
      </c>
      <c r="G457" t="s">
        <v>12</v>
      </c>
      <c r="I457" t="s">
        <v>9659</v>
      </c>
      <c r="J457" t="s">
        <v>10286</v>
      </c>
      <c r="K457" s="9">
        <v>6.7605000000000004</v>
      </c>
      <c r="L457" s="9">
        <v>0.30855209937397549</v>
      </c>
      <c r="M457" s="11">
        <v>41.808377149704178</v>
      </c>
      <c r="N457" s="10">
        <v>412.50630018607353</v>
      </c>
    </row>
    <row r="458" spans="1:14">
      <c r="A458" t="s">
        <v>1967</v>
      </c>
      <c r="B458" t="s">
        <v>9661</v>
      </c>
      <c r="C458" t="s">
        <v>9662</v>
      </c>
      <c r="D458" t="s">
        <v>11</v>
      </c>
      <c r="E458" t="s">
        <v>13</v>
      </c>
      <c r="F458" t="s">
        <v>1970</v>
      </c>
      <c r="G458" t="s">
        <v>12</v>
      </c>
      <c r="I458" t="s">
        <v>9661</v>
      </c>
      <c r="J458" t="s">
        <v>10287</v>
      </c>
      <c r="K458" s="11">
        <v>14.3925</v>
      </c>
      <c r="L458" s="9">
        <v>0.25017111370276029</v>
      </c>
      <c r="M458" s="10">
        <v>142.37277872280225</v>
      </c>
      <c r="N458" s="10">
        <v>795.45554137643103</v>
      </c>
    </row>
    <row r="459" spans="1:14">
      <c r="A459" t="s">
        <v>1967</v>
      </c>
      <c r="B459" t="s">
        <v>9663</v>
      </c>
      <c r="C459" t="s">
        <v>9664</v>
      </c>
      <c r="D459" t="s">
        <v>11</v>
      </c>
      <c r="E459" t="s">
        <v>13</v>
      </c>
      <c r="F459" t="s">
        <v>1970</v>
      </c>
      <c r="G459" t="s">
        <v>12</v>
      </c>
      <c r="I459" t="s">
        <v>9663</v>
      </c>
      <c r="J459" t="s">
        <v>10288</v>
      </c>
      <c r="K459" s="13">
        <v>3.7499999999999999E-3</v>
      </c>
      <c r="L459" s="12">
        <v>5.54785548089827E-2</v>
      </c>
      <c r="M459" s="10">
        <v>0</v>
      </c>
      <c r="N459" s="10">
        <v>253.29999999999998</v>
      </c>
    </row>
    <row r="460" spans="1:14">
      <c r="A460" t="s">
        <v>1967</v>
      </c>
      <c r="B460" t="s">
        <v>9665</v>
      </c>
      <c r="C460" t="s">
        <v>9664</v>
      </c>
      <c r="D460" t="s">
        <v>11</v>
      </c>
      <c r="E460" t="s">
        <v>13</v>
      </c>
      <c r="F460" t="s">
        <v>1970</v>
      </c>
      <c r="G460" t="s">
        <v>12</v>
      </c>
      <c r="I460" t="s">
        <v>9665</v>
      </c>
      <c r="J460" t="s">
        <v>10289</v>
      </c>
      <c r="K460" s="9">
        <v>0.17499999999999999</v>
      </c>
      <c r="L460" s="12">
        <v>6.2563184181944106E-2</v>
      </c>
      <c r="M460" s="10">
        <v>0</v>
      </c>
      <c r="N460" s="10">
        <v>253.29999999999998</v>
      </c>
    </row>
    <row r="461" spans="1:14">
      <c r="A461" t="s">
        <v>1967</v>
      </c>
      <c r="B461" t="s">
        <v>9666</v>
      </c>
      <c r="C461" t="s">
        <v>9667</v>
      </c>
      <c r="D461" t="s">
        <v>11</v>
      </c>
      <c r="E461" t="s">
        <v>13</v>
      </c>
      <c r="F461" t="s">
        <v>1970</v>
      </c>
      <c r="G461" t="s">
        <v>12</v>
      </c>
      <c r="I461" t="s">
        <v>9666</v>
      </c>
      <c r="J461" t="s">
        <v>10290</v>
      </c>
      <c r="K461" s="11">
        <v>12.251250000000001</v>
      </c>
      <c r="L461" s="12">
        <v>6.9206059086751703E-2</v>
      </c>
      <c r="M461" s="10">
        <v>126.38086547597835</v>
      </c>
      <c r="N461" s="10">
        <v>734.55833573252562</v>
      </c>
    </row>
    <row r="462" spans="1:14">
      <c r="A462" t="s">
        <v>1967</v>
      </c>
      <c r="B462" t="s">
        <v>9668</v>
      </c>
      <c r="C462" t="s">
        <v>9669</v>
      </c>
      <c r="D462" t="s">
        <v>11</v>
      </c>
      <c r="E462" t="s">
        <v>13</v>
      </c>
      <c r="F462" t="s">
        <v>1970</v>
      </c>
      <c r="G462" t="s">
        <v>12</v>
      </c>
      <c r="I462" t="s">
        <v>9668</v>
      </c>
      <c r="J462" t="s">
        <v>10291</v>
      </c>
      <c r="K462" s="9">
        <v>9.2917500000000004</v>
      </c>
      <c r="L462" s="12">
        <v>8.7479503318321994E-2</v>
      </c>
      <c r="M462" s="10">
        <v>125.5522149867716</v>
      </c>
      <c r="N462" s="10">
        <v>731.40283466962626</v>
      </c>
    </row>
    <row r="463" spans="1:14">
      <c r="A463" t="s">
        <v>1967</v>
      </c>
      <c r="B463" t="s">
        <v>9670</v>
      </c>
      <c r="C463" t="s">
        <v>9669</v>
      </c>
      <c r="D463" t="s">
        <v>11</v>
      </c>
      <c r="E463" t="s">
        <v>13</v>
      </c>
      <c r="F463" t="s">
        <v>1970</v>
      </c>
      <c r="G463" t="s">
        <v>12</v>
      </c>
      <c r="I463" t="s">
        <v>9670</v>
      </c>
      <c r="J463" t="s">
        <v>10292</v>
      </c>
      <c r="K463" s="9">
        <v>4.5060000000000002</v>
      </c>
      <c r="L463" s="12">
        <v>8.3136765344760194E-2</v>
      </c>
      <c r="M463" s="10">
        <v>121.92921660073162</v>
      </c>
      <c r="N463" s="10">
        <v>717.60645681558594</v>
      </c>
    </row>
    <row r="464" spans="1:14">
      <c r="A464" t="s">
        <v>1967</v>
      </c>
      <c r="B464" t="s">
        <v>9671</v>
      </c>
      <c r="C464" t="s">
        <v>9672</v>
      </c>
      <c r="D464" t="s">
        <v>11</v>
      </c>
      <c r="E464" t="s">
        <v>13</v>
      </c>
      <c r="F464" t="s">
        <v>1970</v>
      </c>
      <c r="G464" t="s">
        <v>12</v>
      </c>
      <c r="I464" t="s">
        <v>9671</v>
      </c>
      <c r="J464" t="s">
        <v>10293</v>
      </c>
      <c r="K464" s="9">
        <v>1.27125</v>
      </c>
      <c r="L464" s="12">
        <v>3.9710241934506597E-2</v>
      </c>
      <c r="M464" s="11">
        <v>24.071103988169249</v>
      </c>
      <c r="N464" s="10">
        <v>344.96276398694846</v>
      </c>
    </row>
    <row r="465" spans="1:14">
      <c r="A465" t="s">
        <v>1967</v>
      </c>
      <c r="B465" t="s">
        <v>9673</v>
      </c>
      <c r="C465" t="s">
        <v>9674</v>
      </c>
      <c r="D465" t="s">
        <v>11</v>
      </c>
      <c r="E465" t="s">
        <v>13</v>
      </c>
      <c r="F465" t="s">
        <v>1970</v>
      </c>
      <c r="G465" t="s">
        <v>12</v>
      </c>
      <c r="I465" t="s">
        <v>9673</v>
      </c>
      <c r="J465" t="s">
        <v>10294</v>
      </c>
      <c r="K465" s="9">
        <v>3.0217499999999999</v>
      </c>
      <c r="L465" s="12">
        <v>8.0404849518809704E-2</v>
      </c>
      <c r="M465" s="11">
        <v>50.01796260888397</v>
      </c>
      <c r="N465" s="10">
        <v>443.76840161463014</v>
      </c>
    </row>
    <row r="466" spans="1:14">
      <c r="A466" t="s">
        <v>1967</v>
      </c>
      <c r="B466" t="s">
        <v>9675</v>
      </c>
      <c r="C466" t="s">
        <v>9676</v>
      </c>
      <c r="D466" t="s">
        <v>11</v>
      </c>
      <c r="E466" t="s">
        <v>13</v>
      </c>
      <c r="F466" t="s">
        <v>1970</v>
      </c>
      <c r="G466" t="s">
        <v>12</v>
      </c>
      <c r="I466" t="s">
        <v>9675</v>
      </c>
      <c r="J466" t="s">
        <v>10295</v>
      </c>
      <c r="K466" s="11">
        <v>17.735250000000001</v>
      </c>
      <c r="L466" s="9">
        <v>0.2820887802013986</v>
      </c>
      <c r="M466" s="10">
        <v>161.78351372730498</v>
      </c>
      <c r="N466" s="10">
        <v>862.86374853465998</v>
      </c>
    </row>
    <row r="467" spans="1:14">
      <c r="A467" t="s">
        <v>1967</v>
      </c>
      <c r="B467" t="s">
        <v>9677</v>
      </c>
      <c r="C467" t="s">
        <v>9676</v>
      </c>
      <c r="D467" t="s">
        <v>11</v>
      </c>
      <c r="E467" t="s">
        <v>13</v>
      </c>
      <c r="F467" t="s">
        <v>1970</v>
      </c>
      <c r="G467" t="s">
        <v>12</v>
      </c>
      <c r="I467" t="s">
        <v>9677</v>
      </c>
      <c r="J467" t="s">
        <v>10296</v>
      </c>
      <c r="K467" s="9">
        <v>3.0825</v>
      </c>
      <c r="L467" s="9">
        <v>0.22315865281743291</v>
      </c>
      <c r="M467" s="11">
        <v>23.238009363157438</v>
      </c>
      <c r="N467" s="10">
        <v>341.79033965490351</v>
      </c>
    </row>
    <row r="468" spans="1:14">
      <c r="A468" t="s">
        <v>1967</v>
      </c>
      <c r="B468" t="s">
        <v>9678</v>
      </c>
      <c r="C468" t="s">
        <v>9676</v>
      </c>
      <c r="D468" t="s">
        <v>11</v>
      </c>
      <c r="E468" t="s">
        <v>13</v>
      </c>
      <c r="F468" t="s">
        <v>1970</v>
      </c>
      <c r="G468" t="s">
        <v>12</v>
      </c>
      <c r="I468" t="s">
        <v>9678</v>
      </c>
      <c r="J468" t="s">
        <v>10297</v>
      </c>
      <c r="K468" s="9">
        <v>8.3977500000000003</v>
      </c>
      <c r="L468" s="9">
        <v>0.26117233712644478</v>
      </c>
      <c r="M468" s="10">
        <v>123.1762440531586</v>
      </c>
      <c r="N468" s="10">
        <v>722.35513735442794</v>
      </c>
    </row>
    <row r="469" spans="1:14">
      <c r="A469" t="s">
        <v>1967</v>
      </c>
      <c r="B469" t="s">
        <v>9679</v>
      </c>
      <c r="C469" t="s">
        <v>9680</v>
      </c>
      <c r="D469" t="s">
        <v>11</v>
      </c>
      <c r="E469" t="s">
        <v>13</v>
      </c>
      <c r="F469" t="s">
        <v>1970</v>
      </c>
      <c r="G469" t="s">
        <v>12</v>
      </c>
      <c r="I469" t="s">
        <v>9679</v>
      </c>
      <c r="J469" t="s">
        <v>10298</v>
      </c>
      <c r="K469" s="11">
        <v>62.435250000000003</v>
      </c>
      <c r="L469" s="9">
        <v>0.49544306358093793</v>
      </c>
      <c r="M469" s="10">
        <v>254.57871542297249</v>
      </c>
      <c r="N469" s="10">
        <v>930.69704097419276</v>
      </c>
    </row>
    <row r="470" spans="1:14">
      <c r="A470" t="s">
        <v>1967</v>
      </c>
      <c r="B470" t="s">
        <v>9681</v>
      </c>
      <c r="C470" t="s">
        <v>9682</v>
      </c>
      <c r="D470" t="s">
        <v>11</v>
      </c>
      <c r="E470" t="s">
        <v>13</v>
      </c>
      <c r="F470" t="s">
        <v>1970</v>
      </c>
      <c r="G470" t="s">
        <v>12</v>
      </c>
      <c r="I470" t="s">
        <v>9681</v>
      </c>
      <c r="J470" t="s">
        <v>10299</v>
      </c>
      <c r="K470" s="11">
        <v>57.575249999999997</v>
      </c>
      <c r="L470" s="9">
        <v>0.6257046889756892</v>
      </c>
      <c r="M470" s="10">
        <v>221.81481400108447</v>
      </c>
      <c r="N470" s="10">
        <v>906.7466290347927</v>
      </c>
    </row>
    <row r="471" spans="1:14">
      <c r="A471" t="s">
        <v>1967</v>
      </c>
      <c r="B471" t="s">
        <v>9683</v>
      </c>
      <c r="C471" t="s">
        <v>9684</v>
      </c>
      <c r="D471" t="s">
        <v>11</v>
      </c>
      <c r="E471" t="s">
        <v>13</v>
      </c>
      <c r="F471" t="s">
        <v>1970</v>
      </c>
      <c r="G471" t="s">
        <v>12</v>
      </c>
      <c r="I471" t="s">
        <v>9683</v>
      </c>
      <c r="J471" t="s">
        <v>10300</v>
      </c>
      <c r="K471" s="11">
        <v>39.431249999999999</v>
      </c>
      <c r="L471" s="9">
        <v>0.39378356349443772</v>
      </c>
      <c r="M471" s="10">
        <v>193.82358016396236</v>
      </c>
      <c r="N471" s="10">
        <v>886.28503709985648</v>
      </c>
    </row>
    <row r="472" spans="1:14">
      <c r="A472" t="s">
        <v>1967</v>
      </c>
      <c r="B472" t="s">
        <v>9685</v>
      </c>
      <c r="C472" t="s">
        <v>9686</v>
      </c>
      <c r="D472" t="s">
        <v>11</v>
      </c>
      <c r="E472" t="s">
        <v>13</v>
      </c>
      <c r="F472" t="s">
        <v>1970</v>
      </c>
      <c r="G472" t="s">
        <v>12</v>
      </c>
      <c r="I472" t="s">
        <v>9685</v>
      </c>
      <c r="J472" t="s">
        <v>10301</v>
      </c>
      <c r="K472" s="11">
        <v>33.097499999999997</v>
      </c>
      <c r="L472" s="9">
        <v>0.32549117535520689</v>
      </c>
      <c r="M472" s="10">
        <v>169.9811132153371</v>
      </c>
      <c r="N472" s="10">
        <v>868.85619376041143</v>
      </c>
    </row>
    <row r="473" spans="1:14">
      <c r="A473" t="s">
        <v>1967</v>
      </c>
      <c r="B473" t="s">
        <v>9687</v>
      </c>
      <c r="C473" t="s">
        <v>9686</v>
      </c>
      <c r="D473" t="s">
        <v>11</v>
      </c>
      <c r="E473" t="s">
        <v>13</v>
      </c>
      <c r="F473" t="s">
        <v>1970</v>
      </c>
      <c r="G473" t="s">
        <v>12</v>
      </c>
      <c r="I473" t="s">
        <v>9687</v>
      </c>
      <c r="J473" t="s">
        <v>10302</v>
      </c>
      <c r="K473" s="9">
        <v>6.4252500000000001</v>
      </c>
      <c r="L473" s="9">
        <v>0.31628634250130699</v>
      </c>
      <c r="M473" s="10">
        <v>121.41183349747988</v>
      </c>
      <c r="N473" s="10">
        <v>715.63626195840334</v>
      </c>
    </row>
    <row r="474" spans="1:14">
      <c r="A474" t="s">
        <v>1967</v>
      </c>
      <c r="B474" t="s">
        <v>9688</v>
      </c>
      <c r="C474" t="s">
        <v>9686</v>
      </c>
      <c r="D474" t="s">
        <v>11</v>
      </c>
      <c r="E474" t="s">
        <v>13</v>
      </c>
      <c r="F474" t="s">
        <v>1970</v>
      </c>
      <c r="G474" t="s">
        <v>12</v>
      </c>
      <c r="I474" t="s">
        <v>9688</v>
      </c>
      <c r="J474" t="s">
        <v>10303</v>
      </c>
      <c r="K474" s="11">
        <v>44.871749999999999</v>
      </c>
      <c r="L474" s="9">
        <v>0.36109836170944282</v>
      </c>
      <c r="M474" s="10">
        <v>216.3070159926796</v>
      </c>
      <c r="N474" s="10">
        <v>902.72042869064887</v>
      </c>
    </row>
    <row r="475" spans="1:14">
      <c r="A475" t="s">
        <v>1967</v>
      </c>
      <c r="B475" t="s">
        <v>9689</v>
      </c>
      <c r="C475" t="s">
        <v>9690</v>
      </c>
      <c r="D475" t="s">
        <v>11</v>
      </c>
      <c r="E475" t="s">
        <v>13</v>
      </c>
      <c r="F475" t="s">
        <v>1970</v>
      </c>
      <c r="G475" t="s">
        <v>12</v>
      </c>
      <c r="I475" t="s">
        <v>9689</v>
      </c>
      <c r="J475" t="s">
        <v>10304</v>
      </c>
      <c r="K475" s="11">
        <v>64.074749999999995</v>
      </c>
      <c r="L475" s="9">
        <v>0.46532679419582818</v>
      </c>
      <c r="M475" s="10">
        <v>119.66353029589456</v>
      </c>
      <c r="N475" s="10">
        <v>834.09261572560763</v>
      </c>
    </row>
    <row r="476" spans="1:14">
      <c r="A476" t="s">
        <v>1967</v>
      </c>
      <c r="B476" t="s">
        <v>9691</v>
      </c>
      <c r="C476" t="s">
        <v>9692</v>
      </c>
      <c r="D476" t="s">
        <v>11</v>
      </c>
      <c r="E476" t="s">
        <v>13</v>
      </c>
      <c r="F476" t="s">
        <v>1970</v>
      </c>
      <c r="G476" t="s">
        <v>12</v>
      </c>
      <c r="I476" t="s">
        <v>9691</v>
      </c>
      <c r="J476" t="s">
        <v>10305</v>
      </c>
      <c r="K476" s="10">
        <v>129.67425</v>
      </c>
      <c r="L476" s="9">
        <v>0.46926871792657121</v>
      </c>
      <c r="M476" s="10">
        <v>145.58464231118575</v>
      </c>
      <c r="N476" s="10">
        <v>950.21919755411216</v>
      </c>
    </row>
    <row r="477" spans="1:14">
      <c r="A477" t="s">
        <v>1967</v>
      </c>
      <c r="B477" t="s">
        <v>9693</v>
      </c>
      <c r="C477" t="s">
        <v>9694</v>
      </c>
      <c r="D477" t="s">
        <v>11</v>
      </c>
      <c r="E477" t="s">
        <v>13</v>
      </c>
      <c r="F477" t="s">
        <v>1970</v>
      </c>
      <c r="G477" t="s">
        <v>12</v>
      </c>
      <c r="I477" t="s">
        <v>9693</v>
      </c>
      <c r="J477" t="s">
        <v>10306</v>
      </c>
      <c r="K477" s="11">
        <v>45.512999999999998</v>
      </c>
      <c r="L477" s="9">
        <v>0.467979057586277</v>
      </c>
      <c r="M477" s="10">
        <v>134.13070137515342</v>
      </c>
      <c r="N477" s="10">
        <v>898.90554216068733</v>
      </c>
    </row>
    <row r="478" spans="1:14">
      <c r="A478" t="s">
        <v>1967</v>
      </c>
      <c r="B478" t="s">
        <v>9695</v>
      </c>
      <c r="C478" t="s">
        <v>9696</v>
      </c>
      <c r="D478" t="s">
        <v>11</v>
      </c>
      <c r="E478" t="s">
        <v>13</v>
      </c>
      <c r="F478" t="s">
        <v>1970</v>
      </c>
      <c r="G478" t="s">
        <v>12</v>
      </c>
      <c r="I478" t="s">
        <v>9695</v>
      </c>
      <c r="J478" t="s">
        <v>10307</v>
      </c>
      <c r="K478" s="10">
        <v>102.5835</v>
      </c>
      <c r="L478" s="9">
        <v>0.46579259726205779</v>
      </c>
      <c r="M478" s="10">
        <v>156.18768370560784</v>
      </c>
      <c r="N478" s="10">
        <v>997.72082300112322</v>
      </c>
    </row>
    <row r="479" spans="1:14">
      <c r="A479" t="s">
        <v>1967</v>
      </c>
      <c r="B479" t="s">
        <v>9697</v>
      </c>
      <c r="C479" t="s">
        <v>9698</v>
      </c>
      <c r="D479" t="s">
        <v>11</v>
      </c>
      <c r="E479" t="s">
        <v>13</v>
      </c>
      <c r="F479" t="s">
        <v>1970</v>
      </c>
      <c r="G479" t="s">
        <v>12</v>
      </c>
      <c r="I479" t="s">
        <v>9697</v>
      </c>
      <c r="J479" t="s">
        <v>10308</v>
      </c>
      <c r="K479" s="11">
        <v>41.712249999999997</v>
      </c>
      <c r="L479" s="9">
        <v>0.50478469788749769</v>
      </c>
      <c r="M479" s="10">
        <v>102.24352926274813</v>
      </c>
      <c r="N479" s="10">
        <v>756.05101109711165</v>
      </c>
    </row>
    <row r="480" spans="1:14">
      <c r="A480" t="s">
        <v>1967</v>
      </c>
      <c r="B480" t="s">
        <v>9699</v>
      </c>
      <c r="C480" t="s">
        <v>9700</v>
      </c>
      <c r="D480" t="s">
        <v>11</v>
      </c>
      <c r="E480" t="s">
        <v>13</v>
      </c>
      <c r="F480" t="s">
        <v>1970</v>
      </c>
      <c r="G480" t="s">
        <v>12</v>
      </c>
      <c r="I480" t="s">
        <v>9699</v>
      </c>
      <c r="J480" t="s">
        <v>10309</v>
      </c>
      <c r="K480" s="10">
        <v>177.68924999999999</v>
      </c>
      <c r="L480" s="9">
        <v>0.4838291774267196</v>
      </c>
      <c r="M480" s="10">
        <v>239.95936720501479</v>
      </c>
      <c r="N480" s="10">
        <v>1082.3650557963126</v>
      </c>
    </row>
    <row r="481" spans="1:14">
      <c r="A481" t="s">
        <v>1967</v>
      </c>
      <c r="B481" t="s">
        <v>9701</v>
      </c>
      <c r="C481" t="s">
        <v>9702</v>
      </c>
      <c r="D481" t="s">
        <v>11</v>
      </c>
      <c r="E481" t="s">
        <v>13</v>
      </c>
      <c r="F481" t="s">
        <v>1970</v>
      </c>
      <c r="G481" t="s">
        <v>12</v>
      </c>
      <c r="I481" t="s">
        <v>9701</v>
      </c>
      <c r="J481" t="s">
        <v>10310</v>
      </c>
      <c r="K481" s="9">
        <v>6.9337499999999999</v>
      </c>
      <c r="L481" s="9">
        <v>0.212661356686281</v>
      </c>
      <c r="M481" s="11">
        <v>64.187530263683058</v>
      </c>
      <c r="N481" s="10">
        <v>497.72611524410507</v>
      </c>
    </row>
    <row r="482" spans="1:14">
      <c r="A482" t="s">
        <v>1967</v>
      </c>
      <c r="B482" t="s">
        <v>9703</v>
      </c>
      <c r="C482" t="s">
        <v>9704</v>
      </c>
      <c r="D482" t="s">
        <v>11</v>
      </c>
      <c r="E482" t="s">
        <v>13</v>
      </c>
      <c r="F482" t="s">
        <v>1970</v>
      </c>
      <c r="G482" t="s">
        <v>12</v>
      </c>
      <c r="I482" t="s">
        <v>9703</v>
      </c>
      <c r="J482" t="s">
        <v>10311</v>
      </c>
      <c r="K482" s="9">
        <v>4.2089999999999996</v>
      </c>
      <c r="L482" s="9">
        <v>0.10469115719555951</v>
      </c>
      <c r="M482" s="11">
        <v>35.608953899716738</v>
      </c>
      <c r="N482" s="10">
        <v>388.89889645012136</v>
      </c>
    </row>
    <row r="483" spans="1:14">
      <c r="A483" t="s">
        <v>1967</v>
      </c>
      <c r="B483" t="s">
        <v>9705</v>
      </c>
      <c r="C483" t="s">
        <v>9706</v>
      </c>
      <c r="D483" t="s">
        <v>11</v>
      </c>
      <c r="E483" t="s">
        <v>13</v>
      </c>
      <c r="F483" t="s">
        <v>1970</v>
      </c>
      <c r="G483" t="s">
        <v>12</v>
      </c>
      <c r="I483" t="s">
        <v>9705</v>
      </c>
      <c r="J483" t="s">
        <v>10312</v>
      </c>
      <c r="K483" s="9">
        <v>0.24825</v>
      </c>
      <c r="L483" s="9">
        <v>0.17637722396134239</v>
      </c>
      <c r="M483" s="10">
        <v>0</v>
      </c>
      <c r="N483" s="10">
        <v>253.29999999999998</v>
      </c>
    </row>
    <row r="484" spans="1:14">
      <c r="A484" t="s">
        <v>1967</v>
      </c>
      <c r="B484" t="s">
        <v>9707</v>
      </c>
      <c r="C484" t="s">
        <v>9706</v>
      </c>
      <c r="D484" t="s">
        <v>11</v>
      </c>
      <c r="E484" t="s">
        <v>13</v>
      </c>
      <c r="F484" t="s">
        <v>1970</v>
      </c>
      <c r="G484" t="s">
        <v>12</v>
      </c>
      <c r="I484" t="s">
        <v>9707</v>
      </c>
      <c r="J484" t="s">
        <v>10313</v>
      </c>
      <c r="K484" s="9">
        <v>1.6485000000000001</v>
      </c>
      <c r="L484" s="9">
        <v>0.1530342878666815</v>
      </c>
      <c r="M484" s="10">
        <v>0</v>
      </c>
      <c r="N484" s="10">
        <v>253.29999999999998</v>
      </c>
    </row>
    <row r="485" spans="1:14">
      <c r="A485" t="s">
        <v>1967</v>
      </c>
      <c r="B485" t="s">
        <v>9708</v>
      </c>
      <c r="C485" t="s">
        <v>9706</v>
      </c>
      <c r="D485" t="s">
        <v>11</v>
      </c>
      <c r="E485" t="s">
        <v>13</v>
      </c>
      <c r="F485" t="s">
        <v>1970</v>
      </c>
      <c r="G485" t="s">
        <v>12</v>
      </c>
      <c r="I485" t="s">
        <v>9708</v>
      </c>
      <c r="J485" t="s">
        <v>10314</v>
      </c>
      <c r="K485" s="9">
        <v>1.5974999999999999</v>
      </c>
      <c r="L485" s="9">
        <v>0.18524793950760171</v>
      </c>
      <c r="M485" s="10">
        <v>0</v>
      </c>
      <c r="N485" s="10">
        <v>253.29999999999998</v>
      </c>
    </row>
    <row r="486" spans="1:14">
      <c r="A486" t="s">
        <v>1967</v>
      </c>
      <c r="B486" t="s">
        <v>9709</v>
      </c>
      <c r="C486" t="s">
        <v>9710</v>
      </c>
      <c r="D486" t="s">
        <v>11</v>
      </c>
      <c r="E486" t="s">
        <v>13</v>
      </c>
      <c r="F486" t="s">
        <v>1970</v>
      </c>
      <c r="G486" t="s">
        <v>12</v>
      </c>
      <c r="I486" t="s">
        <v>9709</v>
      </c>
      <c r="J486" t="s">
        <v>10315</v>
      </c>
      <c r="K486" s="12">
        <v>8.1000000000000003E-2</v>
      </c>
      <c r="L486" s="12">
        <v>9.2945161609204505E-2</v>
      </c>
      <c r="M486" s="10">
        <v>0</v>
      </c>
      <c r="N486" s="10">
        <v>253.29999999999998</v>
      </c>
    </row>
    <row r="487" spans="1:14">
      <c r="A487" t="s">
        <v>1967</v>
      </c>
      <c r="B487" t="s">
        <v>9711</v>
      </c>
      <c r="C487" t="s">
        <v>9712</v>
      </c>
      <c r="D487" t="s">
        <v>11</v>
      </c>
      <c r="E487" t="s">
        <v>13</v>
      </c>
      <c r="F487" t="s">
        <v>1970</v>
      </c>
      <c r="G487" t="s">
        <v>12</v>
      </c>
      <c r="I487" t="s">
        <v>9711</v>
      </c>
      <c r="J487" t="s">
        <v>10316</v>
      </c>
      <c r="K487" s="11">
        <v>50.672249999999998</v>
      </c>
      <c r="L487" s="9">
        <v>0.21844335745544979</v>
      </c>
      <c r="M487" s="10">
        <v>199.19420637001568</v>
      </c>
      <c r="N487" s="10">
        <v>890.2109648564815</v>
      </c>
    </row>
    <row r="488" spans="1:14">
      <c r="A488" t="s">
        <v>1967</v>
      </c>
      <c r="B488" t="s">
        <v>9713</v>
      </c>
      <c r="C488" t="s">
        <v>9714</v>
      </c>
      <c r="D488" t="s">
        <v>11</v>
      </c>
      <c r="E488" t="s">
        <v>13</v>
      </c>
      <c r="F488" t="s">
        <v>1970</v>
      </c>
      <c r="G488" t="s">
        <v>12</v>
      </c>
      <c r="I488" t="s">
        <v>9713</v>
      </c>
      <c r="J488" t="s">
        <v>10317</v>
      </c>
      <c r="K488" s="11">
        <v>21.069749999999999</v>
      </c>
      <c r="L488" s="9">
        <v>0.23273824530146209</v>
      </c>
      <c r="M488" s="10">
        <v>380.70528750985608</v>
      </c>
      <c r="N488" s="10">
        <v>1022.8955651697047</v>
      </c>
    </row>
    <row r="489" spans="1:14">
      <c r="A489" t="s">
        <v>1967</v>
      </c>
      <c r="B489" t="s">
        <v>9715</v>
      </c>
      <c r="C489" t="s">
        <v>9714</v>
      </c>
      <c r="D489" t="s">
        <v>11</v>
      </c>
      <c r="E489" t="s">
        <v>13</v>
      </c>
      <c r="F489" t="s">
        <v>1970</v>
      </c>
      <c r="G489" t="s">
        <v>12</v>
      </c>
      <c r="I489" t="s">
        <v>9715</v>
      </c>
      <c r="J489" t="s">
        <v>10318</v>
      </c>
      <c r="K489" s="11">
        <v>32.015999999999998</v>
      </c>
      <c r="L489" s="9">
        <v>0.22556573990903331</v>
      </c>
      <c r="M489" s="10">
        <v>267.97536713633707</v>
      </c>
      <c r="N489" s="10">
        <v>940.48999337666226</v>
      </c>
    </row>
    <row r="490" spans="1:14">
      <c r="A490" t="s">
        <v>1967</v>
      </c>
      <c r="B490" t="s">
        <v>9716</v>
      </c>
      <c r="C490" t="s">
        <v>9714</v>
      </c>
      <c r="D490" t="s">
        <v>11</v>
      </c>
      <c r="E490" t="s">
        <v>13</v>
      </c>
      <c r="F490" t="s">
        <v>1970</v>
      </c>
      <c r="G490" t="s">
        <v>12</v>
      </c>
      <c r="I490" t="s">
        <v>9716</v>
      </c>
      <c r="J490" t="s">
        <v>10319</v>
      </c>
      <c r="K490" s="11">
        <v>25.232250000000001</v>
      </c>
      <c r="L490" s="9">
        <v>0.22836073647074229</v>
      </c>
      <c r="M490" s="10">
        <v>332.73113296155555</v>
      </c>
      <c r="N490" s="10">
        <v>987.82645819489721</v>
      </c>
    </row>
    <row r="491" spans="1:14">
      <c r="A491" t="s">
        <v>1967</v>
      </c>
      <c r="B491" t="s">
        <v>9717</v>
      </c>
      <c r="C491" t="s">
        <v>9718</v>
      </c>
      <c r="D491" t="s">
        <v>11</v>
      </c>
      <c r="E491" t="s">
        <v>13</v>
      </c>
      <c r="F491" t="s">
        <v>1970</v>
      </c>
      <c r="G491" t="s">
        <v>12</v>
      </c>
      <c r="I491" t="s">
        <v>9717</v>
      </c>
      <c r="J491" t="s">
        <v>10320</v>
      </c>
      <c r="K491" s="11">
        <v>37.408499999999997</v>
      </c>
      <c r="L491" s="9">
        <v>0.42241772739911509</v>
      </c>
      <c r="M491" s="10">
        <v>162.96678438285812</v>
      </c>
      <c r="N491" s="10">
        <v>863.72871938386925</v>
      </c>
    </row>
    <row r="492" spans="1:14">
      <c r="A492" t="s">
        <v>1967</v>
      </c>
      <c r="B492" t="s">
        <v>9719</v>
      </c>
      <c r="C492" t="s">
        <v>9718</v>
      </c>
      <c r="D492" t="s">
        <v>11</v>
      </c>
      <c r="E492" t="s">
        <v>13</v>
      </c>
      <c r="F492" t="s">
        <v>1970</v>
      </c>
      <c r="G492" t="s">
        <v>12</v>
      </c>
      <c r="I492" t="s">
        <v>9719</v>
      </c>
      <c r="J492" t="s">
        <v>10321</v>
      </c>
      <c r="K492" s="9">
        <v>8.2110000000000003</v>
      </c>
      <c r="L492" s="9">
        <v>0.20240088344189069</v>
      </c>
      <c r="M492" s="10">
        <v>176.17988478915763</v>
      </c>
      <c r="N492" s="10">
        <v>873.38749578087413</v>
      </c>
    </row>
    <row r="493" spans="1:14">
      <c r="A493" t="s">
        <v>1967</v>
      </c>
      <c r="B493" t="s">
        <v>9720</v>
      </c>
      <c r="C493" t="s">
        <v>9718</v>
      </c>
      <c r="D493" t="s">
        <v>11</v>
      </c>
      <c r="E493" t="s">
        <v>13</v>
      </c>
      <c r="F493" t="s">
        <v>1970</v>
      </c>
      <c r="G493" t="s">
        <v>12</v>
      </c>
      <c r="I493" t="s">
        <v>9720</v>
      </c>
      <c r="J493" t="s">
        <v>10322</v>
      </c>
      <c r="K493" s="11">
        <v>60.325499999999998</v>
      </c>
      <c r="L493" s="9">
        <v>0.3097786565282874</v>
      </c>
      <c r="M493" s="10">
        <v>110.5663025309558</v>
      </c>
      <c r="N493" s="10">
        <v>674.33648003787971</v>
      </c>
    </row>
    <row r="494" spans="1:14">
      <c r="A494" t="s">
        <v>1967</v>
      </c>
      <c r="B494" t="s">
        <v>9721</v>
      </c>
      <c r="C494" t="s">
        <v>9722</v>
      </c>
      <c r="D494" t="s">
        <v>11</v>
      </c>
      <c r="E494" t="s">
        <v>13</v>
      </c>
      <c r="F494" t="s">
        <v>1970</v>
      </c>
      <c r="G494" t="s">
        <v>12</v>
      </c>
      <c r="I494" t="s">
        <v>9721</v>
      </c>
      <c r="J494" t="s">
        <v>10323</v>
      </c>
      <c r="K494" s="11">
        <v>25.946249999999999</v>
      </c>
      <c r="L494" s="9">
        <v>0.33842491074878478</v>
      </c>
      <c r="M494" s="11">
        <v>71.690765873215284</v>
      </c>
      <c r="N494" s="10">
        <v>526.29843644520383</v>
      </c>
    </row>
    <row r="495" spans="1:14">
      <c r="A495" t="s">
        <v>1967</v>
      </c>
      <c r="B495" t="s">
        <v>9723</v>
      </c>
      <c r="C495" t="s">
        <v>9724</v>
      </c>
      <c r="D495" t="s">
        <v>11</v>
      </c>
      <c r="E495" t="s">
        <v>13</v>
      </c>
      <c r="F495" t="s">
        <v>1970</v>
      </c>
      <c r="G495" t="s">
        <v>12</v>
      </c>
      <c r="I495" t="s">
        <v>9723</v>
      </c>
      <c r="J495" t="s">
        <v>10324</v>
      </c>
      <c r="K495" s="11">
        <v>14.94225</v>
      </c>
      <c r="L495" s="9">
        <v>0.37635382007876889</v>
      </c>
      <c r="M495" s="10">
        <v>105.85275512418568</v>
      </c>
      <c r="N495" s="10">
        <v>656.38729151289908</v>
      </c>
    </row>
    <row r="496" spans="1:14">
      <c r="A496" t="s">
        <v>1967</v>
      </c>
      <c r="B496" t="s">
        <v>9725</v>
      </c>
      <c r="C496" t="s">
        <v>9722</v>
      </c>
      <c r="D496" t="s">
        <v>11</v>
      </c>
      <c r="E496" t="s">
        <v>13</v>
      </c>
      <c r="F496" t="s">
        <v>1970</v>
      </c>
      <c r="G496" t="s">
        <v>12</v>
      </c>
      <c r="I496" t="s">
        <v>9725</v>
      </c>
      <c r="J496" t="s">
        <v>10325</v>
      </c>
      <c r="K496" s="11">
        <v>14.171250000000001</v>
      </c>
      <c r="L496" s="9">
        <v>0.3535608135639362</v>
      </c>
      <c r="M496" s="10">
        <v>139.90651017017012</v>
      </c>
      <c r="N496" s="10">
        <v>786.06399072800787</v>
      </c>
    </row>
    <row r="497" spans="1:14">
      <c r="A497" t="s">
        <v>1967</v>
      </c>
      <c r="B497" t="s">
        <v>9726</v>
      </c>
      <c r="C497" t="s">
        <v>9727</v>
      </c>
      <c r="D497" t="s">
        <v>11</v>
      </c>
      <c r="E497" t="s">
        <v>13</v>
      </c>
      <c r="F497" t="s">
        <v>1970</v>
      </c>
      <c r="G497" t="s">
        <v>12</v>
      </c>
      <c r="I497" t="s">
        <v>9726</v>
      </c>
      <c r="J497" t="s">
        <v>10326</v>
      </c>
      <c r="K497" s="11">
        <v>17.279250000000001</v>
      </c>
      <c r="L497" s="9">
        <v>0.3563999641300179</v>
      </c>
      <c r="M497" s="11">
        <v>86.536712448342811</v>
      </c>
      <c r="N497" s="10">
        <v>582.83180100328946</v>
      </c>
    </row>
    <row r="498" spans="1:14">
      <c r="A498" t="s">
        <v>1967</v>
      </c>
      <c r="B498" t="s">
        <v>9728</v>
      </c>
      <c r="C498" t="s">
        <v>9729</v>
      </c>
      <c r="D498" t="s">
        <v>11</v>
      </c>
      <c r="E498" t="s">
        <v>13</v>
      </c>
      <c r="F498" t="s">
        <v>1970</v>
      </c>
      <c r="G498" t="s">
        <v>12</v>
      </c>
      <c r="I498" t="s">
        <v>9728</v>
      </c>
      <c r="J498" t="s">
        <v>10327</v>
      </c>
      <c r="K498" s="11">
        <v>69.786749999999998</v>
      </c>
      <c r="L498" s="9">
        <v>0.40478589767210649</v>
      </c>
      <c r="M498" s="11">
        <v>77.543958379437427</v>
      </c>
      <c r="N498" s="10">
        <v>548.58739350889766</v>
      </c>
    </row>
    <row r="499" spans="1:14">
      <c r="A499" t="s">
        <v>1967</v>
      </c>
      <c r="B499" t="s">
        <v>9730</v>
      </c>
      <c r="C499" t="s">
        <v>9731</v>
      </c>
      <c r="D499" t="s">
        <v>11</v>
      </c>
      <c r="E499" t="s">
        <v>13</v>
      </c>
      <c r="F499" t="s">
        <v>1970</v>
      </c>
      <c r="G499" t="s">
        <v>12</v>
      </c>
      <c r="I499" t="s">
        <v>9730</v>
      </c>
      <c r="J499" t="s">
        <v>10328</v>
      </c>
      <c r="K499" s="11">
        <v>30.124500000000001</v>
      </c>
      <c r="L499" s="9">
        <v>0.37769478128602252</v>
      </c>
      <c r="M499" s="10">
        <v>104.8653643537006</v>
      </c>
      <c r="N499" s="10">
        <v>652.62730745889189</v>
      </c>
    </row>
    <row r="500" spans="1:14">
      <c r="A500" t="s">
        <v>1967</v>
      </c>
      <c r="B500" t="s">
        <v>9732</v>
      </c>
      <c r="C500" t="s">
        <v>9733</v>
      </c>
      <c r="D500" t="s">
        <v>11</v>
      </c>
      <c r="E500" t="s">
        <v>13</v>
      </c>
      <c r="F500" t="s">
        <v>1970</v>
      </c>
      <c r="G500" t="s">
        <v>12</v>
      </c>
      <c r="I500" t="s">
        <v>9732</v>
      </c>
      <c r="J500" t="s">
        <v>10329</v>
      </c>
      <c r="K500" s="11">
        <v>14.6145</v>
      </c>
      <c r="L500" s="9">
        <v>0.3093469518506039</v>
      </c>
      <c r="M500" s="11">
        <v>26.625944909587982</v>
      </c>
      <c r="N500" s="10">
        <v>354.691598215711</v>
      </c>
    </row>
    <row r="501" spans="1:14">
      <c r="A501" t="s">
        <v>1967</v>
      </c>
      <c r="B501" t="s">
        <v>9734</v>
      </c>
      <c r="C501" t="s">
        <v>9735</v>
      </c>
      <c r="D501" t="s">
        <v>11</v>
      </c>
      <c r="E501" t="s">
        <v>13</v>
      </c>
      <c r="F501" t="s">
        <v>1970</v>
      </c>
      <c r="G501" t="s">
        <v>12</v>
      </c>
      <c r="I501" t="s">
        <v>9734</v>
      </c>
      <c r="J501" t="s">
        <v>10330</v>
      </c>
      <c r="K501" s="10">
        <v>116.14575000000001</v>
      </c>
      <c r="L501" s="9">
        <v>0.38387419483155738</v>
      </c>
      <c r="M501" s="10">
        <v>151.88271615104935</v>
      </c>
      <c r="N501" s="10">
        <v>831.66938310319597</v>
      </c>
    </row>
    <row r="502" spans="1:14">
      <c r="A502" t="s">
        <v>1967</v>
      </c>
      <c r="B502" t="s">
        <v>9736</v>
      </c>
      <c r="C502" t="s">
        <v>9737</v>
      </c>
      <c r="D502" t="s">
        <v>11</v>
      </c>
      <c r="E502" t="s">
        <v>13</v>
      </c>
      <c r="F502" t="s">
        <v>1970</v>
      </c>
      <c r="G502" t="s">
        <v>12</v>
      </c>
      <c r="I502" t="s">
        <v>9736</v>
      </c>
      <c r="J502" t="s">
        <v>10331</v>
      </c>
      <c r="K502" s="11">
        <v>54.348750000000003</v>
      </c>
      <c r="L502" s="9">
        <v>0.29294161817246539</v>
      </c>
      <c r="M502" s="11">
        <v>84.141374928332041</v>
      </c>
      <c r="N502" s="10">
        <v>573.71035572708854</v>
      </c>
    </row>
    <row r="503" spans="1:14">
      <c r="A503" t="s">
        <v>1967</v>
      </c>
      <c r="B503" t="s">
        <v>9738</v>
      </c>
      <c r="C503" t="s">
        <v>9739</v>
      </c>
      <c r="D503" t="s">
        <v>11</v>
      </c>
      <c r="E503" t="s">
        <v>13</v>
      </c>
      <c r="F503" t="s">
        <v>1970</v>
      </c>
      <c r="G503" t="s">
        <v>12</v>
      </c>
      <c r="I503" t="s">
        <v>9738</v>
      </c>
      <c r="J503" t="s">
        <v>10332</v>
      </c>
      <c r="K503" s="11">
        <v>17.988</v>
      </c>
      <c r="L503" s="9">
        <v>0.36854930542551922</v>
      </c>
      <c r="M503" s="11">
        <v>66.006518778501672</v>
      </c>
      <c r="N503" s="10">
        <v>504.65282350853442</v>
      </c>
    </row>
    <row r="504" spans="1:14">
      <c r="A504" t="s">
        <v>1967</v>
      </c>
      <c r="B504" t="s">
        <v>9740</v>
      </c>
      <c r="C504" t="s">
        <v>9741</v>
      </c>
      <c r="D504" t="s">
        <v>11</v>
      </c>
      <c r="E504" t="s">
        <v>13</v>
      </c>
      <c r="F504" t="s">
        <v>1970</v>
      </c>
      <c r="G504" t="s">
        <v>12</v>
      </c>
      <c r="I504" t="s">
        <v>9740</v>
      </c>
      <c r="J504" t="s">
        <v>10333</v>
      </c>
      <c r="K504" s="11">
        <v>44.259749999999997</v>
      </c>
      <c r="L504" s="9">
        <v>0.40841775219549359</v>
      </c>
      <c r="M504" s="11">
        <v>92.436110985272606</v>
      </c>
      <c r="N504" s="10">
        <v>605.29671063191813</v>
      </c>
    </row>
    <row r="505" spans="1:14">
      <c r="A505" t="s">
        <v>1967</v>
      </c>
      <c r="B505" t="s">
        <v>9742</v>
      </c>
      <c r="C505" t="s">
        <v>9743</v>
      </c>
      <c r="D505" t="s">
        <v>11</v>
      </c>
      <c r="E505" t="s">
        <v>13</v>
      </c>
      <c r="F505" t="s">
        <v>1970</v>
      </c>
      <c r="G505" t="s">
        <v>12</v>
      </c>
      <c r="I505" t="s">
        <v>9742</v>
      </c>
      <c r="J505" t="s">
        <v>10334</v>
      </c>
      <c r="K505" s="11">
        <v>19.766249999999999</v>
      </c>
      <c r="L505" s="9">
        <v>0.23263300069908249</v>
      </c>
      <c r="M505" s="10">
        <v>112.1420049415408</v>
      </c>
      <c r="N505" s="10">
        <v>680.33675481738737</v>
      </c>
    </row>
    <row r="506" spans="1:14">
      <c r="A506" t="s">
        <v>1967</v>
      </c>
      <c r="B506" t="s">
        <v>9744</v>
      </c>
      <c r="C506" t="s">
        <v>9745</v>
      </c>
      <c r="D506" t="s">
        <v>11</v>
      </c>
      <c r="E506" t="s">
        <v>13</v>
      </c>
      <c r="F506" t="s">
        <v>1970</v>
      </c>
      <c r="G506" t="s">
        <v>12</v>
      </c>
      <c r="I506" t="s">
        <v>9744</v>
      </c>
      <c r="J506" t="s">
        <v>10335</v>
      </c>
      <c r="K506" s="11">
        <v>24.734999999999999</v>
      </c>
      <c r="L506" s="9">
        <v>0.22216479497550301</v>
      </c>
      <c r="M506" s="10">
        <v>155.85186451277534</v>
      </c>
      <c r="N506" s="10">
        <v>846.78390006464849</v>
      </c>
    </row>
    <row r="507" spans="1:14">
      <c r="A507" t="s">
        <v>1967</v>
      </c>
      <c r="B507" t="s">
        <v>9746</v>
      </c>
      <c r="C507" t="s">
        <v>9747</v>
      </c>
      <c r="D507" t="s">
        <v>11</v>
      </c>
      <c r="E507" t="s">
        <v>13</v>
      </c>
      <c r="F507" t="s">
        <v>1970</v>
      </c>
      <c r="G507" t="s">
        <v>12</v>
      </c>
      <c r="I507" t="s">
        <v>9746</v>
      </c>
      <c r="J507" t="s">
        <v>10336</v>
      </c>
      <c r="K507" s="10">
        <v>147.49950000000001</v>
      </c>
      <c r="L507" s="9">
        <v>0.53084635177635564</v>
      </c>
      <c r="M507" s="10">
        <v>476.18410495429191</v>
      </c>
      <c r="N507" s="10">
        <v>1092.6905807215874</v>
      </c>
    </row>
    <row r="508" spans="1:14">
      <c r="A508" t="s">
        <v>1967</v>
      </c>
      <c r="B508" t="s">
        <v>9748</v>
      </c>
      <c r="C508" t="s">
        <v>9749</v>
      </c>
      <c r="D508" t="s">
        <v>11</v>
      </c>
      <c r="E508" t="s">
        <v>13</v>
      </c>
      <c r="F508" t="s">
        <v>1970</v>
      </c>
      <c r="G508" t="s">
        <v>12</v>
      </c>
      <c r="I508" t="s">
        <v>9748</v>
      </c>
      <c r="J508" t="s">
        <v>10337</v>
      </c>
      <c r="K508" s="11">
        <v>18.211500000000001</v>
      </c>
      <c r="L508" s="9">
        <v>0.51559205104836459</v>
      </c>
      <c r="M508" s="10">
        <v>124.3065743278561</v>
      </c>
      <c r="N508" s="10">
        <v>726.65943504047607</v>
      </c>
    </row>
    <row r="509" spans="1:14">
      <c r="A509" t="s">
        <v>1967</v>
      </c>
      <c r="B509" t="s">
        <v>9750</v>
      </c>
      <c r="C509" t="s">
        <v>9751</v>
      </c>
      <c r="D509" t="s">
        <v>11</v>
      </c>
      <c r="E509" t="s">
        <v>13</v>
      </c>
      <c r="F509" t="s">
        <v>1970</v>
      </c>
      <c r="G509" t="s">
        <v>12</v>
      </c>
      <c r="I509" t="s">
        <v>9750</v>
      </c>
      <c r="J509" t="s">
        <v>10338</v>
      </c>
      <c r="K509" s="9">
        <v>3.4335</v>
      </c>
      <c r="L509" s="9">
        <v>0.28980829517131562</v>
      </c>
      <c r="M509" s="11">
        <v>38.256747937141832</v>
      </c>
      <c r="N509" s="10">
        <v>398.98169614463609</v>
      </c>
    </row>
    <row r="510" spans="1:14">
      <c r="A510" t="s">
        <v>1967</v>
      </c>
      <c r="B510" t="s">
        <v>9752</v>
      </c>
      <c r="C510" t="s">
        <v>9753</v>
      </c>
      <c r="D510" t="s">
        <v>11</v>
      </c>
      <c r="E510" t="s">
        <v>13</v>
      </c>
      <c r="F510" t="s">
        <v>1970</v>
      </c>
      <c r="G510" t="s">
        <v>12</v>
      </c>
      <c r="I510" t="s">
        <v>9752</v>
      </c>
      <c r="J510" t="s">
        <v>10339</v>
      </c>
      <c r="K510" s="11">
        <v>58.851750000000003</v>
      </c>
      <c r="L510" s="9">
        <v>0.57251362104882741</v>
      </c>
      <c r="M510" s="10">
        <v>113.23682402981817</v>
      </c>
      <c r="N510" s="10">
        <v>684.50582590554757</v>
      </c>
    </row>
    <row r="511" spans="1:14">
      <c r="A511" t="s">
        <v>1967</v>
      </c>
      <c r="B511" t="s">
        <v>9754</v>
      </c>
      <c r="C511" t="s">
        <v>9755</v>
      </c>
      <c r="D511" t="s">
        <v>11</v>
      </c>
      <c r="E511" t="s">
        <v>13</v>
      </c>
      <c r="F511" t="s">
        <v>1970</v>
      </c>
      <c r="G511" t="s">
        <v>12</v>
      </c>
      <c r="I511" t="s">
        <v>9754</v>
      </c>
      <c r="J511" t="s">
        <v>10340</v>
      </c>
      <c r="K511" s="10">
        <v>100.56825000000001</v>
      </c>
      <c r="L511" s="9">
        <v>0.48924600054586448</v>
      </c>
      <c r="M511" s="10">
        <v>107.38348296410882</v>
      </c>
      <c r="N511" s="10">
        <v>662.21630312732634</v>
      </c>
    </row>
    <row r="512" spans="1:14">
      <c r="A512" t="s">
        <v>1967</v>
      </c>
      <c r="B512" t="s">
        <v>9756</v>
      </c>
      <c r="C512" t="s">
        <v>9757</v>
      </c>
      <c r="D512" t="s">
        <v>11</v>
      </c>
      <c r="E512" t="s">
        <v>13</v>
      </c>
      <c r="F512" t="s">
        <v>1970</v>
      </c>
      <c r="G512" t="s">
        <v>12</v>
      </c>
      <c r="I512" t="s">
        <v>9756</v>
      </c>
      <c r="J512" t="s">
        <v>10341</v>
      </c>
      <c r="K512" s="11">
        <v>36.701250000000002</v>
      </c>
      <c r="L512" s="9">
        <v>0.4011220139218668</v>
      </c>
      <c r="M512" s="10">
        <v>100.60713931794668</v>
      </c>
      <c r="N512" s="10">
        <v>636.41198652274102</v>
      </c>
    </row>
    <row r="513" spans="1:14">
      <c r="A513" t="s">
        <v>1967</v>
      </c>
      <c r="B513" t="s">
        <v>9758</v>
      </c>
      <c r="C513" t="s">
        <v>9759</v>
      </c>
      <c r="D513" t="s">
        <v>11</v>
      </c>
      <c r="E513" t="s">
        <v>13</v>
      </c>
      <c r="F513" t="s">
        <v>1970</v>
      </c>
      <c r="G513" t="s">
        <v>12</v>
      </c>
      <c r="I513" t="s">
        <v>9758</v>
      </c>
      <c r="J513" t="s">
        <v>10342</v>
      </c>
      <c r="K513" s="9">
        <v>7.1992500000000001</v>
      </c>
      <c r="L513" s="9">
        <v>0.2401629396583122</v>
      </c>
      <c r="M513" s="10">
        <v>374.71987951603847</v>
      </c>
      <c r="N513" s="10">
        <v>1018.5202319262241</v>
      </c>
    </row>
    <row r="514" spans="1:14">
      <c r="A514" t="s">
        <v>1967</v>
      </c>
      <c r="B514" t="s">
        <v>9760</v>
      </c>
      <c r="C514" t="s">
        <v>9761</v>
      </c>
      <c r="D514" t="s">
        <v>11</v>
      </c>
      <c r="E514" t="s">
        <v>13</v>
      </c>
      <c r="F514" t="s">
        <v>1970</v>
      </c>
      <c r="G514" t="s">
        <v>12</v>
      </c>
      <c r="I514" t="s">
        <v>9760</v>
      </c>
      <c r="J514" t="s">
        <v>10343</v>
      </c>
      <c r="K514" s="11">
        <v>16.844249999999999</v>
      </c>
      <c r="L514" s="9">
        <v>0.25782469426216847</v>
      </c>
      <c r="M514" s="11">
        <v>97.915252011469875</v>
      </c>
      <c r="N514" s="10">
        <v>626.16127965967735</v>
      </c>
    </row>
    <row r="515" spans="1:14">
      <c r="A515" t="s">
        <v>1967</v>
      </c>
      <c r="B515" t="s">
        <v>9762</v>
      </c>
      <c r="C515" t="s">
        <v>9759</v>
      </c>
      <c r="D515" t="s">
        <v>11</v>
      </c>
      <c r="E515" t="s">
        <v>13</v>
      </c>
      <c r="F515" t="s">
        <v>1970</v>
      </c>
      <c r="G515" t="s">
        <v>12</v>
      </c>
      <c r="I515" t="s">
        <v>9762</v>
      </c>
      <c r="J515" t="s">
        <v>10344</v>
      </c>
      <c r="K515" s="11">
        <v>23.755500000000001</v>
      </c>
      <c r="L515" s="9">
        <v>0.25794277198933069</v>
      </c>
      <c r="M515" s="10">
        <v>103.33064687196692</v>
      </c>
      <c r="N515" s="10">
        <v>646.78310328845009</v>
      </c>
    </row>
    <row r="516" spans="1:14">
      <c r="A516" t="s">
        <v>1967</v>
      </c>
      <c r="B516" t="s">
        <v>9763</v>
      </c>
      <c r="C516" t="s">
        <v>9764</v>
      </c>
      <c r="D516" t="s">
        <v>11</v>
      </c>
      <c r="E516" t="s">
        <v>13</v>
      </c>
      <c r="F516" t="s">
        <v>1970</v>
      </c>
      <c r="G516" t="s">
        <v>12</v>
      </c>
      <c r="I516" t="s">
        <v>9763</v>
      </c>
      <c r="J516" t="s">
        <v>10345</v>
      </c>
      <c r="K516" s="11">
        <v>69.618750000000006</v>
      </c>
      <c r="L516" s="9">
        <v>0.35535403793657089</v>
      </c>
      <c r="M516" s="10">
        <v>152.92238487508743</v>
      </c>
      <c r="N516" s="10">
        <v>983.09228424039179</v>
      </c>
    </row>
    <row r="517" spans="1:14">
      <c r="A517" t="s">
        <v>1967</v>
      </c>
      <c r="B517" t="s">
        <v>9765</v>
      </c>
      <c r="C517" t="s">
        <v>9766</v>
      </c>
      <c r="D517" t="s">
        <v>11</v>
      </c>
      <c r="E517" t="s">
        <v>13</v>
      </c>
      <c r="F517" t="s">
        <v>1970</v>
      </c>
      <c r="G517" t="s">
        <v>12</v>
      </c>
      <c r="I517" t="s">
        <v>9765</v>
      </c>
      <c r="J517" t="s">
        <v>10346</v>
      </c>
      <c r="K517" s="9">
        <v>1.3245</v>
      </c>
      <c r="L517" s="9">
        <v>0.30850392554356942</v>
      </c>
      <c r="M517" s="11">
        <v>71.518136856724766</v>
      </c>
      <c r="N517" s="10">
        <v>618.40125311812699</v>
      </c>
    </row>
    <row r="518" spans="1:14">
      <c r="A518" t="s">
        <v>1967</v>
      </c>
      <c r="B518" t="s">
        <v>9767</v>
      </c>
      <c r="C518" t="s">
        <v>9768</v>
      </c>
      <c r="D518" t="s">
        <v>11</v>
      </c>
      <c r="E518" t="s">
        <v>13</v>
      </c>
      <c r="F518" t="s">
        <v>1970</v>
      </c>
      <c r="G518" t="s">
        <v>12</v>
      </c>
      <c r="I518" t="s">
        <v>9767</v>
      </c>
      <c r="J518" t="s">
        <v>10347</v>
      </c>
      <c r="K518" s="11">
        <v>17.204999999999998</v>
      </c>
      <c r="L518" s="9">
        <v>0.29483635360024502</v>
      </c>
      <c r="M518" s="11">
        <v>67.561278150354028</v>
      </c>
      <c r="N518" s="10">
        <v>600.67452611358613</v>
      </c>
    </row>
    <row r="519" spans="1:14">
      <c r="A519" t="s">
        <v>1967</v>
      </c>
      <c r="B519" t="s">
        <v>9769</v>
      </c>
      <c r="C519" t="s">
        <v>9770</v>
      </c>
      <c r="D519" t="s">
        <v>11</v>
      </c>
      <c r="E519" t="s">
        <v>13</v>
      </c>
      <c r="F519" t="s">
        <v>1970</v>
      </c>
      <c r="G519" t="s">
        <v>12</v>
      </c>
      <c r="I519" t="s">
        <v>9769</v>
      </c>
      <c r="J519" t="s">
        <v>10348</v>
      </c>
      <c r="K519" s="11">
        <v>29.876999999999999</v>
      </c>
      <c r="L519" s="9">
        <v>0.50377637486655091</v>
      </c>
      <c r="M519" s="10">
        <v>267.30583784478227</v>
      </c>
      <c r="N519" s="10">
        <v>940.00056746453595</v>
      </c>
    </row>
    <row r="520" spans="1:14">
      <c r="A520" t="s">
        <v>1967</v>
      </c>
      <c r="B520" t="s">
        <v>9771</v>
      </c>
      <c r="C520" t="s">
        <v>9770</v>
      </c>
      <c r="D520" t="s">
        <v>11</v>
      </c>
      <c r="E520" t="s">
        <v>13</v>
      </c>
      <c r="F520" t="s">
        <v>1970</v>
      </c>
      <c r="G520" t="s">
        <v>12</v>
      </c>
      <c r="I520" t="s">
        <v>9771</v>
      </c>
      <c r="J520" t="s">
        <v>10349</v>
      </c>
      <c r="K520" s="11">
        <v>28.78575</v>
      </c>
      <c r="L520" s="9">
        <v>0.4793363231495183</v>
      </c>
      <c r="M520" s="10">
        <v>169.21121553317252</v>
      </c>
      <c r="N520" s="10">
        <v>868.29339855474905</v>
      </c>
    </row>
    <row r="521" spans="1:14">
      <c r="A521" t="s">
        <v>1967</v>
      </c>
      <c r="B521" t="s">
        <v>9772</v>
      </c>
      <c r="C521" t="s">
        <v>9770</v>
      </c>
      <c r="D521" t="s">
        <v>11</v>
      </c>
      <c r="E521" t="s">
        <v>13</v>
      </c>
      <c r="F521" t="s">
        <v>1970</v>
      </c>
      <c r="G521" t="s">
        <v>12</v>
      </c>
      <c r="I521" t="s">
        <v>9772</v>
      </c>
      <c r="J521" t="s">
        <v>10350</v>
      </c>
      <c r="K521" s="11">
        <v>49.477499999999999</v>
      </c>
      <c r="L521" s="9">
        <v>0.4800073168571774</v>
      </c>
      <c r="M521" s="10">
        <v>269.11835017470361</v>
      </c>
      <c r="N521" s="10">
        <v>941.32551397770828</v>
      </c>
    </row>
    <row r="522" spans="1:14">
      <c r="A522" t="s">
        <v>1967</v>
      </c>
      <c r="B522" t="s">
        <v>9773</v>
      </c>
      <c r="C522" t="s">
        <v>9774</v>
      </c>
      <c r="D522" t="s">
        <v>11</v>
      </c>
      <c r="E522" t="s">
        <v>13</v>
      </c>
      <c r="F522" t="s">
        <v>1970</v>
      </c>
      <c r="G522" t="s">
        <v>12</v>
      </c>
      <c r="I522" t="s">
        <v>9773</v>
      </c>
      <c r="J522" t="s">
        <v>10351</v>
      </c>
      <c r="K522" s="11">
        <v>75.741749999999996</v>
      </c>
      <c r="L522" s="9">
        <v>0.379112584916655</v>
      </c>
      <c r="M522" s="10">
        <v>284.29097682675695</v>
      </c>
      <c r="N522" s="10">
        <v>1456.6373120923142</v>
      </c>
    </row>
    <row r="523" spans="1:14">
      <c r="A523" t="s">
        <v>1967</v>
      </c>
      <c r="B523" t="s">
        <v>9775</v>
      </c>
      <c r="C523" t="s">
        <v>9776</v>
      </c>
      <c r="D523" t="s">
        <v>11</v>
      </c>
      <c r="E523" t="s">
        <v>13</v>
      </c>
      <c r="F523" t="s">
        <v>1970</v>
      </c>
      <c r="G523" t="s">
        <v>12</v>
      </c>
      <c r="I523" t="s">
        <v>9775</v>
      </c>
      <c r="J523" t="s">
        <v>10352</v>
      </c>
      <c r="K523" s="10">
        <v>113.13575</v>
      </c>
      <c r="L523" s="9">
        <v>0.4799817741327167</v>
      </c>
      <c r="M523" s="10">
        <v>277.26897717718128</v>
      </c>
      <c r="N523" s="10">
        <v>1448.7867164840886</v>
      </c>
    </row>
    <row r="524" spans="1:14">
      <c r="A524" t="s">
        <v>1967</v>
      </c>
      <c r="B524" t="s">
        <v>9777</v>
      </c>
      <c r="C524" t="s">
        <v>9778</v>
      </c>
      <c r="D524" t="s">
        <v>11</v>
      </c>
      <c r="E524" t="s">
        <v>13</v>
      </c>
      <c r="F524" t="s">
        <v>1970</v>
      </c>
      <c r="G524" t="s">
        <v>12</v>
      </c>
      <c r="I524" t="s">
        <v>9777</v>
      </c>
      <c r="J524" t="s">
        <v>10353</v>
      </c>
      <c r="K524" s="11">
        <v>42.432250000000003</v>
      </c>
      <c r="L524" s="9">
        <v>0.2567066199708658</v>
      </c>
      <c r="M524" s="11">
        <v>43.507871425220557</v>
      </c>
      <c r="N524" s="10">
        <v>640.78984318048458</v>
      </c>
    </row>
    <row r="525" spans="1:14">
      <c r="A525" t="s">
        <v>1967</v>
      </c>
      <c r="B525" t="s">
        <v>9779</v>
      </c>
      <c r="C525" t="s">
        <v>9780</v>
      </c>
      <c r="D525" t="s">
        <v>11</v>
      </c>
      <c r="E525" t="s">
        <v>13</v>
      </c>
      <c r="F525" t="s">
        <v>1970</v>
      </c>
      <c r="G525" t="s">
        <v>12</v>
      </c>
      <c r="I525" t="s">
        <v>9779</v>
      </c>
      <c r="J525" t="s">
        <v>10354</v>
      </c>
      <c r="K525" s="11">
        <v>68.585999999999999</v>
      </c>
      <c r="L525" s="9">
        <v>0.25834159952838459</v>
      </c>
      <c r="M525" s="11">
        <v>69.491760577764481</v>
      </c>
      <c r="N525" s="10">
        <v>792.12001360490046</v>
      </c>
    </row>
    <row r="526" spans="1:14">
      <c r="A526" t="s">
        <v>1967</v>
      </c>
      <c r="B526" t="s">
        <v>9781</v>
      </c>
      <c r="C526" t="s">
        <v>9782</v>
      </c>
      <c r="D526" t="s">
        <v>11</v>
      </c>
      <c r="E526" t="s">
        <v>13</v>
      </c>
      <c r="F526" t="s">
        <v>1970</v>
      </c>
      <c r="G526" t="s">
        <v>12</v>
      </c>
      <c r="I526" t="s">
        <v>9781</v>
      </c>
      <c r="J526" t="s">
        <v>10355</v>
      </c>
      <c r="K526" s="11">
        <v>38.265500000000003</v>
      </c>
      <c r="L526" s="9">
        <v>0.35591090485574312</v>
      </c>
      <c r="M526" s="11">
        <v>52.1675947859042</v>
      </c>
      <c r="N526" s="10">
        <v>691.22407203310615</v>
      </c>
    </row>
    <row r="527" spans="1:14">
      <c r="A527" t="s">
        <v>1967</v>
      </c>
      <c r="B527" t="s">
        <v>9783</v>
      </c>
      <c r="C527" t="s">
        <v>9784</v>
      </c>
      <c r="D527" t="s">
        <v>11</v>
      </c>
      <c r="E527" t="s">
        <v>13</v>
      </c>
      <c r="F527" t="s">
        <v>1970</v>
      </c>
      <c r="G527" t="s">
        <v>12</v>
      </c>
      <c r="I527" t="s">
        <v>9783</v>
      </c>
      <c r="J527" t="s">
        <v>10356</v>
      </c>
      <c r="K527" s="11">
        <v>30.129249999999999</v>
      </c>
      <c r="L527" s="9">
        <v>0.29772205775237132</v>
      </c>
      <c r="M527" s="11">
        <v>71.31805149422263</v>
      </c>
      <c r="N527" s="10">
        <v>802.75633190235271</v>
      </c>
    </row>
    <row r="528" spans="1:14">
      <c r="A528" t="s">
        <v>1967</v>
      </c>
      <c r="B528" t="s">
        <v>9785</v>
      </c>
      <c r="C528" t="s">
        <v>9786</v>
      </c>
      <c r="D528" t="s">
        <v>11</v>
      </c>
      <c r="E528" t="s">
        <v>13</v>
      </c>
      <c r="F528" t="s">
        <v>1970</v>
      </c>
      <c r="G528" t="s">
        <v>12</v>
      </c>
      <c r="I528" t="s">
        <v>9785</v>
      </c>
      <c r="J528" t="s">
        <v>10357</v>
      </c>
      <c r="K528" s="11">
        <v>38.942250000000001</v>
      </c>
      <c r="L528" s="9">
        <v>0.73237816565944613</v>
      </c>
      <c r="M528" s="10">
        <v>142.87147191860402</v>
      </c>
      <c r="N528" s="10">
        <v>797.35456506604419</v>
      </c>
    </row>
    <row r="529" spans="1:14">
      <c r="A529" t="s">
        <v>1967</v>
      </c>
      <c r="B529" t="s">
        <v>9787</v>
      </c>
      <c r="C529" t="s">
        <v>9788</v>
      </c>
      <c r="D529" t="s">
        <v>11</v>
      </c>
      <c r="E529" t="s">
        <v>13</v>
      </c>
      <c r="F529" t="s">
        <v>1970</v>
      </c>
      <c r="G529" t="s">
        <v>12</v>
      </c>
      <c r="I529" t="s">
        <v>9787</v>
      </c>
      <c r="J529" t="s">
        <v>10358</v>
      </c>
      <c r="K529" s="11">
        <v>41.319000000000003</v>
      </c>
      <c r="L529" s="9">
        <v>0.4462528923382072</v>
      </c>
      <c r="M529" s="10">
        <v>111.41687255318556</v>
      </c>
      <c r="N529" s="10">
        <v>677.57545068253057</v>
      </c>
    </row>
    <row r="530" spans="1:14">
      <c r="A530" t="s">
        <v>1967</v>
      </c>
      <c r="B530" t="s">
        <v>9789</v>
      </c>
      <c r="C530" t="s">
        <v>9790</v>
      </c>
      <c r="D530" t="s">
        <v>11</v>
      </c>
      <c r="E530" t="s">
        <v>13</v>
      </c>
      <c r="F530" t="s">
        <v>1970</v>
      </c>
      <c r="G530" t="s">
        <v>12</v>
      </c>
      <c r="I530" t="s">
        <v>9789</v>
      </c>
      <c r="J530" t="s">
        <v>10359</v>
      </c>
      <c r="K530" s="11">
        <v>56.081249999999997</v>
      </c>
      <c r="L530" s="9">
        <v>0.42740621752066271</v>
      </c>
      <c r="M530" s="11">
        <v>87.87324375411923</v>
      </c>
      <c r="N530" s="10">
        <v>587.92131221568604</v>
      </c>
    </row>
    <row r="531" spans="1:14">
      <c r="A531" t="s">
        <v>1967</v>
      </c>
      <c r="B531" t="s">
        <v>9791</v>
      </c>
      <c r="C531" t="s">
        <v>9792</v>
      </c>
      <c r="D531" t="s">
        <v>11</v>
      </c>
      <c r="E531" t="s">
        <v>13</v>
      </c>
      <c r="F531" t="s">
        <v>1970</v>
      </c>
      <c r="G531" t="s">
        <v>12</v>
      </c>
      <c r="I531" t="s">
        <v>9791</v>
      </c>
      <c r="J531" t="s">
        <v>10360</v>
      </c>
      <c r="K531" s="9">
        <v>2.9392499999999999</v>
      </c>
      <c r="L531" s="9">
        <v>0.41692338006140461</v>
      </c>
      <c r="M531" s="10">
        <v>500.68983188796858</v>
      </c>
      <c r="N531" s="10">
        <v>1110.604267110105</v>
      </c>
    </row>
    <row r="532" spans="1:14">
      <c r="A532" t="s">
        <v>1967</v>
      </c>
      <c r="B532" t="s">
        <v>9793</v>
      </c>
      <c r="C532" t="s">
        <v>9794</v>
      </c>
      <c r="D532" t="s">
        <v>11</v>
      </c>
      <c r="E532" t="s">
        <v>13</v>
      </c>
      <c r="F532" t="s">
        <v>1970</v>
      </c>
      <c r="G532" t="s">
        <v>12</v>
      </c>
      <c r="I532" t="s">
        <v>9793</v>
      </c>
      <c r="J532" t="s">
        <v>10361</v>
      </c>
      <c r="K532" s="11">
        <v>47.823</v>
      </c>
      <c r="L532" s="9">
        <v>0.309814692750359</v>
      </c>
      <c r="M532" s="10">
        <v>335.52532277098959</v>
      </c>
      <c r="N532" s="10">
        <v>989.86901094559335</v>
      </c>
    </row>
    <row r="533" spans="1:14">
      <c r="A533" t="s">
        <v>1967</v>
      </c>
      <c r="B533" t="s">
        <v>9795</v>
      </c>
      <c r="C533" t="s">
        <v>9792</v>
      </c>
      <c r="D533" t="s">
        <v>11</v>
      </c>
      <c r="E533" t="s">
        <v>13</v>
      </c>
      <c r="F533" t="s">
        <v>1970</v>
      </c>
      <c r="G533" t="s">
        <v>12</v>
      </c>
      <c r="I533" t="s">
        <v>9795</v>
      </c>
      <c r="J533" t="s">
        <v>10362</v>
      </c>
      <c r="K533" s="11">
        <v>58.550249999999998</v>
      </c>
      <c r="L533" s="9">
        <v>0.3856526989901008</v>
      </c>
      <c r="M533" s="10">
        <v>132.89888357526877</v>
      </c>
      <c r="N533" s="10">
        <v>759.37894865462351</v>
      </c>
    </row>
    <row r="534" spans="1:14">
      <c r="A534" t="s">
        <v>1967</v>
      </c>
      <c r="B534" t="s">
        <v>9796</v>
      </c>
      <c r="C534" t="s">
        <v>9797</v>
      </c>
      <c r="D534" t="s">
        <v>11</v>
      </c>
      <c r="E534" t="s">
        <v>13</v>
      </c>
      <c r="F534" t="s">
        <v>1970</v>
      </c>
      <c r="G534" t="s">
        <v>12</v>
      </c>
      <c r="I534" t="s">
        <v>9796</v>
      </c>
      <c r="J534" t="s">
        <v>10363</v>
      </c>
      <c r="K534" s="9">
        <v>9.3737499999999994</v>
      </c>
      <c r="L534" s="9">
        <v>0.2369292054041171</v>
      </c>
      <c r="M534" s="10">
        <v>331.00062509279689</v>
      </c>
      <c r="N534" s="10">
        <v>986.56145694283452</v>
      </c>
    </row>
    <row r="535" spans="1:14">
      <c r="A535" t="s">
        <v>1967</v>
      </c>
      <c r="B535" t="s">
        <v>9798</v>
      </c>
      <c r="C535" t="s">
        <v>9799</v>
      </c>
      <c r="D535" t="s">
        <v>11</v>
      </c>
      <c r="E535" t="s">
        <v>13</v>
      </c>
      <c r="F535" t="s">
        <v>1970</v>
      </c>
      <c r="G535" t="s">
        <v>12</v>
      </c>
      <c r="I535" t="s">
        <v>9798</v>
      </c>
      <c r="J535" t="s">
        <v>10364</v>
      </c>
      <c r="K535" s="11">
        <v>92.491</v>
      </c>
      <c r="L535" s="9">
        <v>0.54608907235540571</v>
      </c>
      <c r="M535" s="10">
        <v>183.996428644601</v>
      </c>
      <c r="N535" s="10">
        <v>879.10138933920337</v>
      </c>
    </row>
    <row r="536" spans="1:14">
      <c r="A536" t="s">
        <v>1967</v>
      </c>
      <c r="B536" t="s">
        <v>9800</v>
      </c>
      <c r="C536" t="s">
        <v>9801</v>
      </c>
      <c r="D536" t="s">
        <v>11</v>
      </c>
      <c r="E536" t="s">
        <v>13</v>
      </c>
      <c r="F536" t="s">
        <v>1970</v>
      </c>
      <c r="G536" t="s">
        <v>12</v>
      </c>
      <c r="I536" t="s">
        <v>9800</v>
      </c>
      <c r="J536" t="s">
        <v>10365</v>
      </c>
      <c r="K536" s="10">
        <v>104.93774999999999</v>
      </c>
      <c r="L536" s="9">
        <v>0.4076040168336717</v>
      </c>
      <c r="M536" s="10">
        <v>336.72994103298464</v>
      </c>
      <c r="N536" s="10">
        <v>990.74958689511186</v>
      </c>
    </row>
    <row r="537" spans="1:14">
      <c r="A537" t="s">
        <v>1967</v>
      </c>
      <c r="B537" t="s">
        <v>9802</v>
      </c>
      <c r="C537" t="s">
        <v>9803</v>
      </c>
      <c r="D537" t="s">
        <v>11</v>
      </c>
      <c r="E537" t="s">
        <v>13</v>
      </c>
      <c r="F537" t="s">
        <v>1970</v>
      </c>
      <c r="G537" t="s">
        <v>12</v>
      </c>
      <c r="I537" t="s">
        <v>9802</v>
      </c>
      <c r="J537" t="s">
        <v>10366</v>
      </c>
      <c r="K537" s="11">
        <v>32.474249999999998</v>
      </c>
      <c r="L537" s="9">
        <v>0.32906881370818047</v>
      </c>
      <c r="M537" s="11">
        <v>50.75920621574565</v>
      </c>
      <c r="N537" s="10">
        <v>446.59105726955943</v>
      </c>
    </row>
    <row r="538" spans="1:14">
      <c r="A538" t="s">
        <v>1967</v>
      </c>
      <c r="B538" t="s">
        <v>9804</v>
      </c>
      <c r="C538" t="s">
        <v>9805</v>
      </c>
      <c r="D538" t="s">
        <v>11</v>
      </c>
      <c r="E538" t="s">
        <v>13</v>
      </c>
      <c r="F538" t="s">
        <v>1970</v>
      </c>
      <c r="G538" t="s">
        <v>12</v>
      </c>
      <c r="I538" t="s">
        <v>9804</v>
      </c>
      <c r="J538" t="s">
        <v>10367</v>
      </c>
      <c r="K538" s="10">
        <v>111.10275</v>
      </c>
      <c r="L538" s="9">
        <v>0.38058360526490959</v>
      </c>
      <c r="M538" s="10">
        <v>188.41713697767921</v>
      </c>
      <c r="N538" s="10">
        <v>882.3329271306834</v>
      </c>
    </row>
    <row r="539" spans="1:14">
      <c r="A539" t="s">
        <v>1967</v>
      </c>
      <c r="B539" t="s">
        <v>9806</v>
      </c>
      <c r="C539" t="s">
        <v>9807</v>
      </c>
      <c r="D539" t="s">
        <v>11</v>
      </c>
      <c r="E539" t="s">
        <v>13</v>
      </c>
      <c r="F539" t="s">
        <v>1970</v>
      </c>
      <c r="G539" t="s">
        <v>12</v>
      </c>
      <c r="I539" t="s">
        <v>9806</v>
      </c>
      <c r="J539" t="s">
        <v>10368</v>
      </c>
      <c r="K539" s="11">
        <v>64.439250000000001</v>
      </c>
      <c r="L539" s="9">
        <v>0.28746446002028819</v>
      </c>
      <c r="M539" s="10">
        <v>131.88175277075771</v>
      </c>
      <c r="N539" s="10">
        <v>755.50571455104534</v>
      </c>
    </row>
    <row r="540" spans="1:14">
      <c r="A540" t="s">
        <v>1967</v>
      </c>
      <c r="B540" t="s">
        <v>9808</v>
      </c>
      <c r="C540" t="s">
        <v>9809</v>
      </c>
      <c r="D540" t="s">
        <v>11</v>
      </c>
      <c r="E540" t="s">
        <v>13</v>
      </c>
      <c r="F540" t="s">
        <v>1970</v>
      </c>
      <c r="G540" t="s">
        <v>12</v>
      </c>
      <c r="I540" t="s">
        <v>9808</v>
      </c>
      <c r="J540" t="s">
        <v>10369</v>
      </c>
      <c r="K540" s="11">
        <v>37.289250000000003</v>
      </c>
      <c r="L540" s="9">
        <v>0.40481141951344207</v>
      </c>
      <c r="M540" s="10">
        <v>154.75589322836666</v>
      </c>
      <c r="N540" s="10">
        <v>842.61044141362026</v>
      </c>
    </row>
    <row r="541" spans="1:14">
      <c r="A541" t="s">
        <v>1967</v>
      </c>
      <c r="B541" t="s">
        <v>9810</v>
      </c>
      <c r="C541" t="s">
        <v>9807</v>
      </c>
      <c r="D541" t="s">
        <v>11</v>
      </c>
      <c r="E541" t="s">
        <v>13</v>
      </c>
      <c r="F541" t="s">
        <v>1970</v>
      </c>
      <c r="G541" t="s">
        <v>12</v>
      </c>
      <c r="I541" t="s">
        <v>9810</v>
      </c>
      <c r="J541" t="s">
        <v>10370</v>
      </c>
      <c r="K541" s="11">
        <v>48.152999999999999</v>
      </c>
      <c r="L541" s="9">
        <v>0.3152494917393141</v>
      </c>
      <c r="M541" s="10">
        <v>140.18740808214164</v>
      </c>
      <c r="N541" s="10">
        <v>787.13364997679537</v>
      </c>
    </row>
    <row r="542" spans="1:14">
      <c r="A542" t="s">
        <v>1967</v>
      </c>
      <c r="B542" t="s">
        <v>9811</v>
      </c>
      <c r="C542" t="s">
        <v>9812</v>
      </c>
      <c r="D542" t="s">
        <v>11</v>
      </c>
      <c r="E542" t="s">
        <v>13</v>
      </c>
      <c r="F542" t="s">
        <v>1970</v>
      </c>
      <c r="G542" t="s">
        <v>12</v>
      </c>
      <c r="I542" t="s">
        <v>9811</v>
      </c>
      <c r="J542" t="s">
        <v>10371</v>
      </c>
      <c r="K542" s="11">
        <v>22.149000000000001</v>
      </c>
      <c r="L542" s="9">
        <v>0.25785543651217968</v>
      </c>
      <c r="M542" s="10">
        <v>191.91022719908119</v>
      </c>
      <c r="N542" s="10">
        <v>884.88637608252839</v>
      </c>
    </row>
    <row r="543" spans="1:14">
      <c r="A543" t="s">
        <v>1967</v>
      </c>
      <c r="B543" t="s">
        <v>9813</v>
      </c>
      <c r="C543" t="s">
        <v>9812</v>
      </c>
      <c r="D543" t="s">
        <v>11</v>
      </c>
      <c r="E543" t="s">
        <v>13</v>
      </c>
      <c r="F543" t="s">
        <v>1970</v>
      </c>
      <c r="G543" t="s">
        <v>12</v>
      </c>
      <c r="I543" t="s">
        <v>9813</v>
      </c>
      <c r="J543" t="s">
        <v>10372</v>
      </c>
      <c r="K543" s="11">
        <v>51.896999999999998</v>
      </c>
      <c r="L543" s="9">
        <v>0.413838952332726</v>
      </c>
      <c r="M543" s="10">
        <v>106.33988326530203</v>
      </c>
      <c r="N543" s="10">
        <v>658.24227547427017</v>
      </c>
    </row>
    <row r="544" spans="1:14">
      <c r="A544" t="s">
        <v>1967</v>
      </c>
      <c r="B544" t="s">
        <v>9814</v>
      </c>
      <c r="C544" t="s">
        <v>9815</v>
      </c>
      <c r="D544" t="s">
        <v>11</v>
      </c>
      <c r="E544" t="s">
        <v>13</v>
      </c>
      <c r="F544" t="s">
        <v>1970</v>
      </c>
      <c r="G544" t="s">
        <v>12</v>
      </c>
      <c r="I544" t="s">
        <v>9814</v>
      </c>
      <c r="J544" t="s">
        <v>10373</v>
      </c>
      <c r="K544" s="11">
        <v>35.490749999999998</v>
      </c>
      <c r="L544" s="9">
        <v>0.28834890406959779</v>
      </c>
      <c r="M544" s="10">
        <v>104.85927429174644</v>
      </c>
      <c r="N544" s="10">
        <v>652.60411650297044</v>
      </c>
    </row>
    <row r="545" spans="1:14">
      <c r="A545" t="s">
        <v>1967</v>
      </c>
      <c r="B545" t="s">
        <v>9816</v>
      </c>
      <c r="C545" t="s">
        <v>9817</v>
      </c>
      <c r="D545" t="s">
        <v>11</v>
      </c>
      <c r="E545" t="s">
        <v>13</v>
      </c>
      <c r="F545" t="s">
        <v>1970</v>
      </c>
      <c r="G545" t="s">
        <v>12</v>
      </c>
      <c r="I545" t="s">
        <v>9816</v>
      </c>
      <c r="J545" t="s">
        <v>10374</v>
      </c>
      <c r="K545" s="11">
        <v>58.954500000000003</v>
      </c>
      <c r="L545" s="9">
        <v>0.45186002256459268</v>
      </c>
      <c r="M545" s="10">
        <v>495.5205068690214</v>
      </c>
      <c r="N545" s="10">
        <v>1106.8254905212546</v>
      </c>
    </row>
    <row r="546" spans="1:14">
      <c r="A546" t="s">
        <v>1967</v>
      </c>
      <c r="B546" t="s">
        <v>9818</v>
      </c>
      <c r="C546" t="s">
        <v>9817</v>
      </c>
      <c r="D546" t="s">
        <v>11</v>
      </c>
      <c r="E546" t="s">
        <v>13</v>
      </c>
      <c r="F546" t="s">
        <v>1970</v>
      </c>
      <c r="G546" t="s">
        <v>12</v>
      </c>
      <c r="I546" t="s">
        <v>9818</v>
      </c>
      <c r="J546" t="s">
        <v>10375</v>
      </c>
      <c r="K546" s="11">
        <v>16.005749999999999</v>
      </c>
      <c r="L546" s="9">
        <v>0.23605855493820779</v>
      </c>
      <c r="M546" s="10">
        <v>279.1437871511103</v>
      </c>
      <c r="N546" s="10">
        <v>948.65410840746154</v>
      </c>
    </row>
    <row r="547" spans="1:14">
      <c r="A547" t="s">
        <v>1967</v>
      </c>
      <c r="B547" t="s">
        <v>9819</v>
      </c>
      <c r="C547" t="s">
        <v>9820</v>
      </c>
      <c r="D547" t="s">
        <v>11</v>
      </c>
      <c r="E547" t="s">
        <v>13</v>
      </c>
      <c r="F547" t="s">
        <v>1970</v>
      </c>
      <c r="G547" t="s">
        <v>12</v>
      </c>
      <c r="I547" t="s">
        <v>9819</v>
      </c>
      <c r="J547" t="s">
        <v>10376</v>
      </c>
      <c r="K547" s="11">
        <v>93.501000000000005</v>
      </c>
      <c r="L547" s="9">
        <v>0.52328529514877775</v>
      </c>
      <c r="M547" s="10">
        <v>177.52466521298425</v>
      </c>
      <c r="N547" s="10">
        <v>874.37053027069146</v>
      </c>
    </row>
    <row r="548" spans="1:14">
      <c r="A548" t="s">
        <v>1967</v>
      </c>
      <c r="B548" t="s">
        <v>9821</v>
      </c>
      <c r="C548" t="s">
        <v>9820</v>
      </c>
      <c r="D548" t="s">
        <v>11</v>
      </c>
      <c r="E548" t="s">
        <v>13</v>
      </c>
      <c r="F548" t="s">
        <v>1970</v>
      </c>
      <c r="G548" t="s">
        <v>12</v>
      </c>
      <c r="I548" t="s">
        <v>9821</v>
      </c>
      <c r="J548" t="s">
        <v>10377</v>
      </c>
      <c r="K548" s="10">
        <v>188.13675000000001</v>
      </c>
      <c r="L548" s="9">
        <v>0.49531887222819199</v>
      </c>
      <c r="M548" s="10">
        <v>446.31003875683808</v>
      </c>
      <c r="N548" s="10">
        <v>1070.8526383312485</v>
      </c>
    </row>
    <row r="549" spans="1:14">
      <c r="A549" t="s">
        <v>1967</v>
      </c>
      <c r="B549" t="s">
        <v>9822</v>
      </c>
      <c r="C549" t="s">
        <v>9823</v>
      </c>
      <c r="D549" t="s">
        <v>11</v>
      </c>
      <c r="E549" t="s">
        <v>13</v>
      </c>
      <c r="F549" t="s">
        <v>1970</v>
      </c>
      <c r="G549" t="s">
        <v>12</v>
      </c>
      <c r="I549" t="s">
        <v>9822</v>
      </c>
      <c r="J549" t="s">
        <v>10378</v>
      </c>
      <c r="K549" s="11">
        <v>31.827000000000002</v>
      </c>
      <c r="L549" s="9">
        <v>0.3993331154645221</v>
      </c>
      <c r="M549" s="11">
        <v>96.970438842307161</v>
      </c>
      <c r="N549" s="10">
        <v>622.56343111150568</v>
      </c>
    </row>
    <row r="550" spans="1:14">
      <c r="A550" t="s">
        <v>1967</v>
      </c>
      <c r="B550" t="s">
        <v>9824</v>
      </c>
      <c r="C550" t="s">
        <v>9825</v>
      </c>
      <c r="D550" t="s">
        <v>11</v>
      </c>
      <c r="E550" t="s">
        <v>13</v>
      </c>
      <c r="F550" t="s">
        <v>1970</v>
      </c>
      <c r="G550" t="s">
        <v>12</v>
      </c>
      <c r="I550" t="s">
        <v>9824</v>
      </c>
      <c r="J550" t="s">
        <v>10379</v>
      </c>
      <c r="K550" s="11">
        <v>40.985250000000001</v>
      </c>
      <c r="L550" s="9">
        <v>0.4709874829232486</v>
      </c>
      <c r="M550" s="10">
        <v>185.98201596619441</v>
      </c>
      <c r="N550" s="10">
        <v>880.55285367128806</v>
      </c>
    </row>
    <row r="551" spans="1:14">
      <c r="A551" t="s">
        <v>1967</v>
      </c>
      <c r="B551" t="s">
        <v>9826</v>
      </c>
      <c r="C551" t="s">
        <v>9827</v>
      </c>
      <c r="D551" t="s">
        <v>11</v>
      </c>
      <c r="E551" t="s">
        <v>13</v>
      </c>
      <c r="F551" t="s">
        <v>1970</v>
      </c>
      <c r="G551" t="s">
        <v>12</v>
      </c>
      <c r="I551" t="s">
        <v>9826</v>
      </c>
      <c r="J551" t="s">
        <v>10380</v>
      </c>
      <c r="K551" s="10">
        <v>155.08349999999999</v>
      </c>
      <c r="L551" s="9">
        <v>0.51445928007396102</v>
      </c>
      <c r="M551" s="10">
        <v>250.07376416878327</v>
      </c>
      <c r="N551" s="10">
        <v>927.40392160738054</v>
      </c>
    </row>
    <row r="552" spans="1:14">
      <c r="A552" t="s">
        <v>1967</v>
      </c>
      <c r="B552" t="s">
        <v>9828</v>
      </c>
      <c r="C552" t="s">
        <v>9829</v>
      </c>
      <c r="D552" t="s">
        <v>11</v>
      </c>
      <c r="E552" t="s">
        <v>13</v>
      </c>
      <c r="F552" t="s">
        <v>1970</v>
      </c>
      <c r="G552" t="s">
        <v>12</v>
      </c>
      <c r="I552" t="s">
        <v>9828</v>
      </c>
      <c r="J552" t="s">
        <v>10381</v>
      </c>
      <c r="K552" s="11">
        <v>55.255499999999998</v>
      </c>
      <c r="L552" s="9">
        <v>0.46041556087122121</v>
      </c>
      <c r="M552" s="10">
        <v>109.08412806844947</v>
      </c>
      <c r="N552" s="10">
        <v>668.69235968465557</v>
      </c>
    </row>
    <row r="553" spans="1:14">
      <c r="A553" t="s">
        <v>1967</v>
      </c>
      <c r="B553" t="s">
        <v>9830</v>
      </c>
      <c r="C553" t="s">
        <v>9831</v>
      </c>
      <c r="D553" t="s">
        <v>11</v>
      </c>
      <c r="E553" t="s">
        <v>13</v>
      </c>
      <c r="F553" t="s">
        <v>1970</v>
      </c>
      <c r="G553" t="s">
        <v>12</v>
      </c>
      <c r="I553" t="s">
        <v>9830</v>
      </c>
      <c r="J553" t="s">
        <v>10382</v>
      </c>
      <c r="K553" s="11">
        <v>93.256500000000003</v>
      </c>
      <c r="L553" s="9">
        <v>0.40983103709510998</v>
      </c>
      <c r="M553" s="10">
        <v>290.48823421438021</v>
      </c>
      <c r="N553" s="10">
        <v>956.94689921071188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E209-7FAC-4B28-BBF9-E9ABCB80EF17}">
  <dimension ref="A1:T1165"/>
  <sheetViews>
    <sheetView tabSelected="1" workbookViewId="0"/>
  </sheetViews>
  <sheetFormatPr defaultRowHeight="14.25"/>
  <sheetData>
    <row r="1" spans="1:20">
      <c r="A1" t="s">
        <v>10615</v>
      </c>
      <c r="H1" t="s">
        <v>10615</v>
      </c>
      <c r="O1" t="s">
        <v>10615</v>
      </c>
    </row>
    <row r="2" spans="1:20">
      <c r="A2" t="s">
        <v>2</v>
      </c>
      <c r="B2" t="s">
        <v>10616</v>
      </c>
      <c r="C2" t="s">
        <v>4</v>
      </c>
      <c r="D2" t="s">
        <v>10617</v>
      </c>
      <c r="E2" t="s">
        <v>7</v>
      </c>
      <c r="F2" t="s">
        <v>10618</v>
      </c>
      <c r="H2" t="s">
        <v>2</v>
      </c>
      <c r="I2" t="s">
        <v>10616</v>
      </c>
      <c r="J2" t="s">
        <v>4</v>
      </c>
      <c r="K2" t="s">
        <v>10617</v>
      </c>
      <c r="L2" t="s">
        <v>7</v>
      </c>
      <c r="M2" t="s">
        <v>10618</v>
      </c>
      <c r="O2" t="s">
        <v>2</v>
      </c>
      <c r="P2" t="s">
        <v>10616</v>
      </c>
      <c r="Q2" t="s">
        <v>4</v>
      </c>
      <c r="R2" t="s">
        <v>10617</v>
      </c>
      <c r="S2" t="s">
        <v>7</v>
      </c>
      <c r="T2" t="s">
        <v>10618</v>
      </c>
    </row>
    <row r="3" spans="1:20">
      <c r="A3" t="s">
        <v>10619</v>
      </c>
      <c r="B3" t="s">
        <v>4192</v>
      </c>
      <c r="C3" t="s">
        <v>1969</v>
      </c>
      <c r="D3" t="s">
        <v>13</v>
      </c>
      <c r="E3" t="s">
        <v>75</v>
      </c>
      <c r="F3" t="s">
        <v>10620</v>
      </c>
      <c r="H3" t="s">
        <v>10619</v>
      </c>
      <c r="I3" t="s">
        <v>7546</v>
      </c>
      <c r="J3" t="s">
        <v>5668</v>
      </c>
      <c r="K3" t="s">
        <v>13</v>
      </c>
      <c r="L3" t="s">
        <v>75</v>
      </c>
      <c r="M3" t="s">
        <v>10620</v>
      </c>
      <c r="O3" t="s">
        <v>10619</v>
      </c>
      <c r="P3" t="s">
        <v>9832</v>
      </c>
      <c r="Q3" t="s">
        <v>8861</v>
      </c>
      <c r="R3" t="s">
        <v>13</v>
      </c>
      <c r="S3" t="s">
        <v>75</v>
      </c>
      <c r="T3" t="s">
        <v>10621</v>
      </c>
    </row>
    <row r="4" spans="1:20">
      <c r="A4" t="s">
        <v>10619</v>
      </c>
      <c r="B4" t="s">
        <v>4193</v>
      </c>
      <c r="C4" t="s">
        <v>1972</v>
      </c>
      <c r="D4" t="s">
        <v>13</v>
      </c>
      <c r="E4" t="s">
        <v>75</v>
      </c>
      <c r="F4" t="s">
        <v>10620</v>
      </c>
      <c r="H4" t="s">
        <v>10619</v>
      </c>
      <c r="I4" t="s">
        <v>7547</v>
      </c>
      <c r="J4" t="s">
        <v>5670</v>
      </c>
      <c r="K4" t="s">
        <v>13</v>
      </c>
      <c r="L4" t="s">
        <v>75</v>
      </c>
      <c r="M4" t="s">
        <v>10620</v>
      </c>
      <c r="O4" t="s">
        <v>10619</v>
      </c>
      <c r="P4" t="s">
        <v>9833</v>
      </c>
      <c r="Q4" t="s">
        <v>8861</v>
      </c>
      <c r="R4" t="s">
        <v>13</v>
      </c>
      <c r="S4" t="s">
        <v>75</v>
      </c>
      <c r="T4" t="s">
        <v>10621</v>
      </c>
    </row>
    <row r="5" spans="1:20">
      <c r="A5" t="s">
        <v>10619</v>
      </c>
      <c r="B5" t="s">
        <v>4194</v>
      </c>
      <c r="C5" t="s">
        <v>1974</v>
      </c>
      <c r="D5" t="s">
        <v>13</v>
      </c>
      <c r="E5" t="s">
        <v>75</v>
      </c>
      <c r="F5" t="s">
        <v>10620</v>
      </c>
      <c r="H5" t="s">
        <v>10619</v>
      </c>
      <c r="I5" t="s">
        <v>7548</v>
      </c>
      <c r="J5" t="s">
        <v>5672</v>
      </c>
      <c r="K5" t="s">
        <v>13</v>
      </c>
      <c r="L5" t="s">
        <v>75</v>
      </c>
      <c r="M5" t="s">
        <v>10620</v>
      </c>
      <c r="O5" t="s">
        <v>10619</v>
      </c>
      <c r="P5" t="s">
        <v>9834</v>
      </c>
      <c r="Q5" t="s">
        <v>8864</v>
      </c>
      <c r="R5" t="s">
        <v>13</v>
      </c>
      <c r="S5" t="s">
        <v>75</v>
      </c>
      <c r="T5" t="s">
        <v>10622</v>
      </c>
    </row>
    <row r="6" spans="1:20">
      <c r="A6" t="s">
        <v>10619</v>
      </c>
      <c r="B6" t="s">
        <v>4195</v>
      </c>
      <c r="C6" t="s">
        <v>1974</v>
      </c>
      <c r="D6" t="s">
        <v>13</v>
      </c>
      <c r="E6" t="s">
        <v>75</v>
      </c>
      <c r="F6" t="s">
        <v>10620</v>
      </c>
      <c r="H6" t="s">
        <v>10619</v>
      </c>
      <c r="I6" t="s">
        <v>7549</v>
      </c>
      <c r="J6" t="s">
        <v>5672</v>
      </c>
      <c r="K6" t="s">
        <v>13</v>
      </c>
      <c r="L6" t="s">
        <v>75</v>
      </c>
      <c r="M6" t="s">
        <v>10620</v>
      </c>
      <c r="O6" t="s">
        <v>10619</v>
      </c>
      <c r="P6" t="s">
        <v>9835</v>
      </c>
      <c r="Q6" t="s">
        <v>8866</v>
      </c>
      <c r="R6" t="s">
        <v>13</v>
      </c>
      <c r="S6" t="s">
        <v>75</v>
      </c>
      <c r="T6" t="s">
        <v>10622</v>
      </c>
    </row>
    <row r="7" spans="1:20">
      <c r="A7" t="s">
        <v>10619</v>
      </c>
      <c r="B7" t="s">
        <v>4196</v>
      </c>
      <c r="C7" t="s">
        <v>1977</v>
      </c>
      <c r="D7" t="s">
        <v>13</v>
      </c>
      <c r="E7" t="s">
        <v>75</v>
      </c>
      <c r="F7" t="s">
        <v>10620</v>
      </c>
      <c r="H7" t="s">
        <v>10619</v>
      </c>
      <c r="I7" t="s">
        <v>7550</v>
      </c>
      <c r="J7" t="s">
        <v>5675</v>
      </c>
      <c r="K7" t="s">
        <v>13</v>
      </c>
      <c r="L7" t="s">
        <v>75</v>
      </c>
      <c r="M7" t="s">
        <v>10620</v>
      </c>
      <c r="O7" t="s">
        <v>10619</v>
      </c>
      <c r="P7" t="s">
        <v>9836</v>
      </c>
      <c r="Q7" t="s">
        <v>8868</v>
      </c>
      <c r="R7" t="s">
        <v>13</v>
      </c>
      <c r="S7" t="s">
        <v>75</v>
      </c>
      <c r="T7" t="s">
        <v>10623</v>
      </c>
    </row>
    <row r="8" spans="1:20">
      <c r="A8" t="s">
        <v>10619</v>
      </c>
      <c r="B8" t="s">
        <v>4197</v>
      </c>
      <c r="C8" t="s">
        <v>1979</v>
      </c>
      <c r="D8" t="s">
        <v>13</v>
      </c>
      <c r="E8" t="s">
        <v>75</v>
      </c>
      <c r="F8" t="s">
        <v>10620</v>
      </c>
      <c r="H8" t="s">
        <v>10619</v>
      </c>
      <c r="I8" t="s">
        <v>7551</v>
      </c>
      <c r="J8" t="s">
        <v>5677</v>
      </c>
      <c r="K8" t="s">
        <v>13</v>
      </c>
      <c r="L8" t="s">
        <v>75</v>
      </c>
      <c r="M8" t="s">
        <v>10620</v>
      </c>
      <c r="O8" t="s">
        <v>10619</v>
      </c>
      <c r="P8" t="s">
        <v>9837</v>
      </c>
      <c r="Q8" t="s">
        <v>8868</v>
      </c>
      <c r="R8" t="s">
        <v>13</v>
      </c>
      <c r="S8" t="s">
        <v>75</v>
      </c>
      <c r="T8" t="s">
        <v>10623</v>
      </c>
    </row>
    <row r="9" spans="1:20">
      <c r="A9" t="s">
        <v>10619</v>
      </c>
      <c r="B9" t="s">
        <v>4198</v>
      </c>
      <c r="C9" t="s">
        <v>1981</v>
      </c>
      <c r="D9" t="s">
        <v>13</v>
      </c>
      <c r="E9" t="s">
        <v>75</v>
      </c>
      <c r="F9" t="s">
        <v>10620</v>
      </c>
      <c r="H9" t="s">
        <v>10619</v>
      </c>
      <c r="I9" t="s">
        <v>7552</v>
      </c>
      <c r="J9" t="s">
        <v>5679</v>
      </c>
      <c r="K9" t="s">
        <v>13</v>
      </c>
      <c r="L9" t="s">
        <v>75</v>
      </c>
      <c r="M9" t="s">
        <v>10620</v>
      </c>
      <c r="O9" t="s">
        <v>10619</v>
      </c>
      <c r="P9" t="s">
        <v>9838</v>
      </c>
      <c r="Q9" t="s">
        <v>8871</v>
      </c>
      <c r="R9" t="s">
        <v>13</v>
      </c>
      <c r="S9" t="s">
        <v>75</v>
      </c>
      <c r="T9" t="s">
        <v>10624</v>
      </c>
    </row>
    <row r="10" spans="1:20">
      <c r="A10" t="s">
        <v>10619</v>
      </c>
      <c r="B10" t="s">
        <v>4199</v>
      </c>
      <c r="C10" t="s">
        <v>1983</v>
      </c>
      <c r="D10" t="s">
        <v>13</v>
      </c>
      <c r="E10" t="s">
        <v>75</v>
      </c>
      <c r="F10" t="s">
        <v>10620</v>
      </c>
      <c r="H10" t="s">
        <v>10619</v>
      </c>
      <c r="I10" t="s">
        <v>7553</v>
      </c>
      <c r="J10" t="s">
        <v>5681</v>
      </c>
      <c r="K10" t="s">
        <v>13</v>
      </c>
      <c r="L10" t="s">
        <v>75</v>
      </c>
      <c r="M10" t="s">
        <v>10621</v>
      </c>
      <c r="O10" t="s">
        <v>10619</v>
      </c>
      <c r="P10" t="s">
        <v>9839</v>
      </c>
      <c r="Q10" t="s">
        <v>8873</v>
      </c>
      <c r="R10" t="s">
        <v>13</v>
      </c>
      <c r="S10" t="s">
        <v>75</v>
      </c>
      <c r="T10" t="s">
        <v>10624</v>
      </c>
    </row>
    <row r="11" spans="1:20">
      <c r="A11" t="s">
        <v>10619</v>
      </c>
      <c r="B11" t="s">
        <v>4200</v>
      </c>
      <c r="C11" t="s">
        <v>1985</v>
      </c>
      <c r="D11" t="s">
        <v>13</v>
      </c>
      <c r="E11" t="s">
        <v>75</v>
      </c>
      <c r="F11" t="s">
        <v>10620</v>
      </c>
      <c r="H11" t="s">
        <v>10619</v>
      </c>
      <c r="I11" t="s">
        <v>7554</v>
      </c>
      <c r="J11" t="s">
        <v>5683</v>
      </c>
      <c r="K11" t="s">
        <v>13</v>
      </c>
      <c r="L11" t="s">
        <v>75</v>
      </c>
      <c r="M11" t="s">
        <v>10621</v>
      </c>
      <c r="O11" t="s">
        <v>10619</v>
      </c>
      <c r="P11" t="s">
        <v>9840</v>
      </c>
      <c r="Q11" t="s">
        <v>8873</v>
      </c>
      <c r="R11" t="s">
        <v>13</v>
      </c>
      <c r="S11" t="s">
        <v>75</v>
      </c>
      <c r="T11" t="s">
        <v>10624</v>
      </c>
    </row>
    <row r="12" spans="1:20">
      <c r="A12" t="s">
        <v>10619</v>
      </c>
      <c r="B12" t="s">
        <v>4201</v>
      </c>
      <c r="C12" t="s">
        <v>1987</v>
      </c>
      <c r="D12" t="s">
        <v>13</v>
      </c>
      <c r="E12" t="s">
        <v>75</v>
      </c>
      <c r="F12" t="s">
        <v>10621</v>
      </c>
      <c r="H12" t="s">
        <v>10619</v>
      </c>
      <c r="I12" t="s">
        <v>7555</v>
      </c>
      <c r="J12" t="s">
        <v>5681</v>
      </c>
      <c r="K12" t="s">
        <v>13</v>
      </c>
      <c r="L12" t="s">
        <v>75</v>
      </c>
      <c r="M12" t="s">
        <v>10621</v>
      </c>
      <c r="O12" t="s">
        <v>10619</v>
      </c>
      <c r="P12" t="s">
        <v>9841</v>
      </c>
      <c r="Q12" t="s">
        <v>8876</v>
      </c>
      <c r="R12" t="s">
        <v>13</v>
      </c>
      <c r="S12" t="s">
        <v>75</v>
      </c>
      <c r="T12" t="s">
        <v>10624</v>
      </c>
    </row>
    <row r="13" spans="1:20">
      <c r="A13" t="s">
        <v>10619</v>
      </c>
      <c r="B13" t="s">
        <v>4202</v>
      </c>
      <c r="C13" t="s">
        <v>1989</v>
      </c>
      <c r="D13" t="s">
        <v>13</v>
      </c>
      <c r="E13" t="s">
        <v>75</v>
      </c>
      <c r="F13" t="s">
        <v>10621</v>
      </c>
      <c r="H13" t="s">
        <v>10619</v>
      </c>
      <c r="I13" t="s">
        <v>7556</v>
      </c>
      <c r="J13" t="s">
        <v>5686</v>
      </c>
      <c r="K13" t="s">
        <v>13</v>
      </c>
      <c r="L13" t="s">
        <v>75</v>
      </c>
      <c r="M13" t="s">
        <v>10621</v>
      </c>
      <c r="O13" t="s">
        <v>10619</v>
      </c>
      <c r="P13" t="s">
        <v>9842</v>
      </c>
      <c r="Q13" t="s">
        <v>8878</v>
      </c>
      <c r="R13" t="s">
        <v>13</v>
      </c>
      <c r="S13" t="s">
        <v>75</v>
      </c>
      <c r="T13" t="s">
        <v>10624</v>
      </c>
    </row>
    <row r="14" spans="1:20">
      <c r="A14" t="s">
        <v>10619</v>
      </c>
      <c r="B14" t="s">
        <v>4203</v>
      </c>
      <c r="C14" t="s">
        <v>1991</v>
      </c>
      <c r="D14" t="s">
        <v>13</v>
      </c>
      <c r="E14" t="s">
        <v>75</v>
      </c>
      <c r="F14" t="s">
        <v>10621</v>
      </c>
      <c r="H14" t="s">
        <v>10619</v>
      </c>
      <c r="I14" t="s">
        <v>7557</v>
      </c>
      <c r="J14" t="s">
        <v>5688</v>
      </c>
      <c r="K14" t="s">
        <v>13</v>
      </c>
      <c r="L14" t="s">
        <v>75</v>
      </c>
      <c r="M14" t="s">
        <v>10621</v>
      </c>
      <c r="O14" t="s">
        <v>10619</v>
      </c>
      <c r="P14" t="s">
        <v>9843</v>
      </c>
      <c r="Q14" t="s">
        <v>8880</v>
      </c>
      <c r="R14" t="s">
        <v>13</v>
      </c>
      <c r="S14" t="s">
        <v>75</v>
      </c>
      <c r="T14" t="s">
        <v>10624</v>
      </c>
    </row>
    <row r="15" spans="1:20">
      <c r="A15" t="s">
        <v>10619</v>
      </c>
      <c r="B15" t="s">
        <v>4204</v>
      </c>
      <c r="C15" t="s">
        <v>1993</v>
      </c>
      <c r="D15" t="s">
        <v>13</v>
      </c>
      <c r="E15" t="s">
        <v>75</v>
      </c>
      <c r="F15" t="s">
        <v>10621</v>
      </c>
      <c r="H15" t="s">
        <v>10619</v>
      </c>
      <c r="I15" t="s">
        <v>7558</v>
      </c>
      <c r="J15" t="s">
        <v>5690</v>
      </c>
      <c r="K15" t="s">
        <v>13</v>
      </c>
      <c r="L15" t="s">
        <v>75</v>
      </c>
      <c r="M15" t="s">
        <v>10621</v>
      </c>
      <c r="O15" t="s">
        <v>10619</v>
      </c>
      <c r="P15" t="s">
        <v>9844</v>
      </c>
      <c r="Q15" t="s">
        <v>8880</v>
      </c>
      <c r="R15" t="s">
        <v>13</v>
      </c>
      <c r="S15" t="s">
        <v>75</v>
      </c>
      <c r="T15" t="s">
        <v>10624</v>
      </c>
    </row>
    <row r="16" spans="1:20">
      <c r="A16" t="s">
        <v>10619</v>
      </c>
      <c r="B16" t="s">
        <v>4205</v>
      </c>
      <c r="C16" t="s">
        <v>1993</v>
      </c>
      <c r="D16" t="s">
        <v>13</v>
      </c>
      <c r="E16" t="s">
        <v>75</v>
      </c>
      <c r="F16" t="s">
        <v>10621</v>
      </c>
      <c r="H16" t="s">
        <v>10619</v>
      </c>
      <c r="I16" t="s">
        <v>7559</v>
      </c>
      <c r="J16" t="s">
        <v>5692</v>
      </c>
      <c r="K16" t="s">
        <v>13</v>
      </c>
      <c r="L16" t="s">
        <v>75</v>
      </c>
      <c r="M16" t="s">
        <v>10621</v>
      </c>
      <c r="O16" t="s">
        <v>10619</v>
      </c>
      <c r="P16" t="s">
        <v>9845</v>
      </c>
      <c r="Q16" t="s">
        <v>8883</v>
      </c>
      <c r="R16" t="s">
        <v>13</v>
      </c>
      <c r="S16" t="s">
        <v>75</v>
      </c>
      <c r="T16" t="s">
        <v>10624</v>
      </c>
    </row>
    <row r="17" spans="1:20">
      <c r="A17" t="s">
        <v>10619</v>
      </c>
      <c r="B17" t="s">
        <v>4206</v>
      </c>
      <c r="C17" t="s">
        <v>1996</v>
      </c>
      <c r="D17" t="s">
        <v>13</v>
      </c>
      <c r="E17" t="s">
        <v>75</v>
      </c>
      <c r="F17" t="s">
        <v>10621</v>
      </c>
      <c r="H17" t="s">
        <v>10619</v>
      </c>
      <c r="I17" t="s">
        <v>7560</v>
      </c>
      <c r="J17" t="s">
        <v>5694</v>
      </c>
      <c r="K17" t="s">
        <v>13</v>
      </c>
      <c r="L17" t="s">
        <v>75</v>
      </c>
      <c r="M17" t="s">
        <v>10621</v>
      </c>
      <c r="O17" t="s">
        <v>10619</v>
      </c>
      <c r="P17" t="s">
        <v>9846</v>
      </c>
      <c r="Q17" t="s">
        <v>8883</v>
      </c>
      <c r="R17" t="s">
        <v>13</v>
      </c>
      <c r="S17" t="s">
        <v>75</v>
      </c>
      <c r="T17" t="s">
        <v>10624</v>
      </c>
    </row>
    <row r="18" spans="1:20">
      <c r="A18" t="s">
        <v>10619</v>
      </c>
      <c r="B18" t="s">
        <v>4207</v>
      </c>
      <c r="C18" t="s">
        <v>1998</v>
      </c>
      <c r="D18" t="s">
        <v>13</v>
      </c>
      <c r="E18" t="s">
        <v>75</v>
      </c>
      <c r="F18" t="s">
        <v>10621</v>
      </c>
      <c r="H18" t="s">
        <v>10619</v>
      </c>
      <c r="I18" t="s">
        <v>7561</v>
      </c>
      <c r="J18" t="s">
        <v>5696</v>
      </c>
      <c r="K18" t="s">
        <v>13</v>
      </c>
      <c r="L18" t="s">
        <v>75</v>
      </c>
      <c r="M18" t="s">
        <v>10621</v>
      </c>
      <c r="O18" t="s">
        <v>10619</v>
      </c>
      <c r="P18" t="s">
        <v>9847</v>
      </c>
      <c r="Q18" t="s">
        <v>8886</v>
      </c>
      <c r="R18" t="s">
        <v>13</v>
      </c>
      <c r="S18" t="s">
        <v>75</v>
      </c>
      <c r="T18" t="s">
        <v>463</v>
      </c>
    </row>
    <row r="19" spans="1:20">
      <c r="A19" t="s">
        <v>10619</v>
      </c>
      <c r="B19" t="s">
        <v>4208</v>
      </c>
      <c r="C19" t="s">
        <v>2000</v>
      </c>
      <c r="D19" t="s">
        <v>13</v>
      </c>
      <c r="E19" t="s">
        <v>75</v>
      </c>
      <c r="F19" t="s">
        <v>10621</v>
      </c>
      <c r="H19" t="s">
        <v>10619</v>
      </c>
      <c r="I19" t="s">
        <v>7562</v>
      </c>
      <c r="J19" t="s">
        <v>5698</v>
      </c>
      <c r="K19" t="s">
        <v>13</v>
      </c>
      <c r="L19" t="s">
        <v>75</v>
      </c>
      <c r="M19" t="s">
        <v>10622</v>
      </c>
      <c r="O19" t="s">
        <v>10619</v>
      </c>
      <c r="P19" t="s">
        <v>9848</v>
      </c>
      <c r="Q19" t="s">
        <v>8888</v>
      </c>
      <c r="R19" t="s">
        <v>13</v>
      </c>
      <c r="S19" t="s">
        <v>75</v>
      </c>
      <c r="T19" t="s">
        <v>463</v>
      </c>
    </row>
    <row r="20" spans="1:20">
      <c r="A20" t="s">
        <v>10619</v>
      </c>
      <c r="B20" t="s">
        <v>4209</v>
      </c>
      <c r="C20" t="s">
        <v>2002</v>
      </c>
      <c r="D20" t="s">
        <v>13</v>
      </c>
      <c r="E20" t="s">
        <v>75</v>
      </c>
      <c r="F20" t="s">
        <v>10621</v>
      </c>
      <c r="H20" t="s">
        <v>10619</v>
      </c>
      <c r="I20" t="s">
        <v>7563</v>
      </c>
      <c r="J20" t="s">
        <v>5700</v>
      </c>
      <c r="K20" t="s">
        <v>13</v>
      </c>
      <c r="L20" t="s">
        <v>75</v>
      </c>
      <c r="M20" t="s">
        <v>10622</v>
      </c>
      <c r="O20" t="s">
        <v>10619</v>
      </c>
      <c r="P20" t="s">
        <v>9849</v>
      </c>
      <c r="Q20" t="s">
        <v>8890</v>
      </c>
      <c r="R20" t="s">
        <v>13</v>
      </c>
      <c r="S20" t="s">
        <v>75</v>
      </c>
      <c r="T20" t="s">
        <v>463</v>
      </c>
    </row>
    <row r="21" spans="1:20">
      <c r="A21" t="s">
        <v>10619</v>
      </c>
      <c r="B21" t="s">
        <v>4210</v>
      </c>
      <c r="C21" t="s">
        <v>2004</v>
      </c>
      <c r="D21" t="s">
        <v>13</v>
      </c>
      <c r="E21" t="s">
        <v>75</v>
      </c>
      <c r="F21" t="s">
        <v>10621</v>
      </c>
      <c r="H21" t="s">
        <v>10619</v>
      </c>
      <c r="I21" t="s">
        <v>7564</v>
      </c>
      <c r="J21" t="s">
        <v>5702</v>
      </c>
      <c r="K21" t="s">
        <v>13</v>
      </c>
      <c r="L21" t="s">
        <v>75</v>
      </c>
      <c r="M21" t="s">
        <v>10623</v>
      </c>
      <c r="O21" t="s">
        <v>10619</v>
      </c>
      <c r="P21" t="s">
        <v>9850</v>
      </c>
      <c r="Q21" t="s">
        <v>8892</v>
      </c>
      <c r="R21" t="s">
        <v>13</v>
      </c>
      <c r="S21" t="s">
        <v>75</v>
      </c>
      <c r="T21" t="s">
        <v>463</v>
      </c>
    </row>
    <row r="22" spans="1:20">
      <c r="A22" t="s">
        <v>10619</v>
      </c>
      <c r="B22" t="s">
        <v>4211</v>
      </c>
      <c r="C22" t="s">
        <v>2006</v>
      </c>
      <c r="D22" t="s">
        <v>13</v>
      </c>
      <c r="E22" t="s">
        <v>75</v>
      </c>
      <c r="F22" t="s">
        <v>10621</v>
      </c>
      <c r="H22" t="s">
        <v>10619</v>
      </c>
      <c r="I22" t="s">
        <v>7565</v>
      </c>
      <c r="J22" t="s">
        <v>5702</v>
      </c>
      <c r="K22" t="s">
        <v>13</v>
      </c>
      <c r="L22" t="s">
        <v>75</v>
      </c>
      <c r="M22" t="s">
        <v>10623</v>
      </c>
      <c r="O22" t="s">
        <v>10619</v>
      </c>
      <c r="P22" t="s">
        <v>9851</v>
      </c>
      <c r="Q22" t="s">
        <v>8886</v>
      </c>
      <c r="R22" t="s">
        <v>13</v>
      </c>
      <c r="S22" t="s">
        <v>75</v>
      </c>
      <c r="T22" t="s">
        <v>463</v>
      </c>
    </row>
    <row r="23" spans="1:20">
      <c r="A23" t="s">
        <v>10619</v>
      </c>
      <c r="B23" t="s">
        <v>4212</v>
      </c>
      <c r="C23" t="s">
        <v>2008</v>
      </c>
      <c r="D23" t="s">
        <v>13</v>
      </c>
      <c r="E23" t="s">
        <v>75</v>
      </c>
      <c r="F23" t="s">
        <v>10621</v>
      </c>
      <c r="H23" t="s">
        <v>10619</v>
      </c>
      <c r="I23" t="s">
        <v>7566</v>
      </c>
      <c r="J23" t="s">
        <v>5705</v>
      </c>
      <c r="K23" t="s">
        <v>13</v>
      </c>
      <c r="L23" t="s">
        <v>75</v>
      </c>
      <c r="M23" t="s">
        <v>10623</v>
      </c>
      <c r="O23" t="s">
        <v>10619</v>
      </c>
      <c r="P23" t="s">
        <v>9852</v>
      </c>
      <c r="Q23" t="s">
        <v>8886</v>
      </c>
      <c r="R23" t="s">
        <v>13</v>
      </c>
      <c r="S23" t="s">
        <v>75</v>
      </c>
      <c r="T23" t="s">
        <v>463</v>
      </c>
    </row>
    <row r="24" spans="1:20">
      <c r="A24" t="s">
        <v>10619</v>
      </c>
      <c r="B24" t="s">
        <v>4213</v>
      </c>
      <c r="C24" t="s">
        <v>2010</v>
      </c>
      <c r="D24" t="s">
        <v>13</v>
      </c>
      <c r="E24" t="s">
        <v>75</v>
      </c>
      <c r="F24" t="s">
        <v>10622</v>
      </c>
      <c r="H24" t="s">
        <v>10619</v>
      </c>
      <c r="I24" t="s">
        <v>7567</v>
      </c>
      <c r="J24" t="s">
        <v>5707</v>
      </c>
      <c r="K24" t="s">
        <v>13</v>
      </c>
      <c r="L24" t="s">
        <v>75</v>
      </c>
      <c r="M24" t="s">
        <v>10623</v>
      </c>
      <c r="O24" t="s">
        <v>10619</v>
      </c>
      <c r="P24" t="s">
        <v>9853</v>
      </c>
      <c r="Q24" t="s">
        <v>8896</v>
      </c>
      <c r="R24" t="s">
        <v>13</v>
      </c>
      <c r="S24" t="s">
        <v>75</v>
      </c>
      <c r="T24" t="s">
        <v>463</v>
      </c>
    </row>
    <row r="25" spans="1:20">
      <c r="A25" t="s">
        <v>10619</v>
      </c>
      <c r="B25" t="s">
        <v>4214</v>
      </c>
      <c r="C25" t="s">
        <v>2012</v>
      </c>
      <c r="D25" t="s">
        <v>13</v>
      </c>
      <c r="E25" t="s">
        <v>75</v>
      </c>
      <c r="F25" t="s">
        <v>10622</v>
      </c>
      <c r="H25" t="s">
        <v>10619</v>
      </c>
      <c r="I25" t="s">
        <v>7568</v>
      </c>
      <c r="J25" t="s">
        <v>5709</v>
      </c>
      <c r="K25" t="s">
        <v>13</v>
      </c>
      <c r="L25" t="s">
        <v>75</v>
      </c>
      <c r="M25" t="s">
        <v>10624</v>
      </c>
      <c r="O25" t="s">
        <v>10619</v>
      </c>
      <c r="P25" t="s">
        <v>9854</v>
      </c>
      <c r="Q25" t="s">
        <v>8898</v>
      </c>
      <c r="R25" t="s">
        <v>13</v>
      </c>
      <c r="S25" t="s">
        <v>75</v>
      </c>
      <c r="T25" t="s">
        <v>463</v>
      </c>
    </row>
    <row r="26" spans="1:20">
      <c r="A26" t="s">
        <v>10619</v>
      </c>
      <c r="B26" t="s">
        <v>4215</v>
      </c>
      <c r="C26" t="s">
        <v>2014</v>
      </c>
      <c r="D26" t="s">
        <v>13</v>
      </c>
      <c r="E26" t="s">
        <v>75</v>
      </c>
      <c r="F26" t="s">
        <v>10622</v>
      </c>
      <c r="H26" t="s">
        <v>10619</v>
      </c>
      <c r="I26" t="s">
        <v>7569</v>
      </c>
      <c r="J26" t="s">
        <v>5709</v>
      </c>
      <c r="K26" t="s">
        <v>13</v>
      </c>
      <c r="L26" t="s">
        <v>75</v>
      </c>
      <c r="M26" t="s">
        <v>10624</v>
      </c>
      <c r="O26" t="s">
        <v>10619</v>
      </c>
      <c r="P26" t="s">
        <v>9855</v>
      </c>
      <c r="Q26" t="s">
        <v>8896</v>
      </c>
      <c r="R26" t="s">
        <v>13</v>
      </c>
      <c r="S26" t="s">
        <v>75</v>
      </c>
      <c r="T26" t="s">
        <v>463</v>
      </c>
    </row>
    <row r="27" spans="1:20">
      <c r="A27" t="s">
        <v>10619</v>
      </c>
      <c r="B27" t="s">
        <v>4216</v>
      </c>
      <c r="C27" t="s">
        <v>2016</v>
      </c>
      <c r="D27" t="s">
        <v>13</v>
      </c>
      <c r="E27" t="s">
        <v>75</v>
      </c>
      <c r="F27" t="s">
        <v>10622</v>
      </c>
      <c r="H27" t="s">
        <v>10619</v>
      </c>
      <c r="I27" t="s">
        <v>7570</v>
      </c>
      <c r="J27" t="s">
        <v>5712</v>
      </c>
      <c r="K27" t="s">
        <v>13</v>
      </c>
      <c r="L27" t="s">
        <v>75</v>
      </c>
      <c r="M27" t="s">
        <v>10624</v>
      </c>
      <c r="O27" t="s">
        <v>10619</v>
      </c>
      <c r="P27" t="s">
        <v>9856</v>
      </c>
      <c r="Q27" t="s">
        <v>8896</v>
      </c>
      <c r="R27" t="s">
        <v>13</v>
      </c>
      <c r="S27" t="s">
        <v>75</v>
      </c>
      <c r="T27" t="s">
        <v>463</v>
      </c>
    </row>
    <row r="28" spans="1:20">
      <c r="A28" t="s">
        <v>10619</v>
      </c>
      <c r="B28" t="s">
        <v>4217</v>
      </c>
      <c r="C28" t="s">
        <v>2018</v>
      </c>
      <c r="D28" t="s">
        <v>13</v>
      </c>
      <c r="E28" t="s">
        <v>75</v>
      </c>
      <c r="F28" t="s">
        <v>10623</v>
      </c>
      <c r="H28" t="s">
        <v>10619</v>
      </c>
      <c r="I28" t="s">
        <v>7571</v>
      </c>
      <c r="J28" t="s">
        <v>5714</v>
      </c>
      <c r="K28" t="s">
        <v>13</v>
      </c>
      <c r="L28" t="s">
        <v>75</v>
      </c>
      <c r="M28" t="s">
        <v>10624</v>
      </c>
      <c r="O28" t="s">
        <v>10619</v>
      </c>
      <c r="P28" t="s">
        <v>9857</v>
      </c>
      <c r="Q28" t="s">
        <v>8896</v>
      </c>
      <c r="R28" t="s">
        <v>13</v>
      </c>
      <c r="S28" t="s">
        <v>75</v>
      </c>
      <c r="T28" t="s">
        <v>463</v>
      </c>
    </row>
    <row r="29" spans="1:20">
      <c r="A29" t="s">
        <v>10619</v>
      </c>
      <c r="B29" t="s">
        <v>4218</v>
      </c>
      <c r="C29" t="s">
        <v>2018</v>
      </c>
      <c r="D29" t="s">
        <v>13</v>
      </c>
      <c r="E29" t="s">
        <v>75</v>
      </c>
      <c r="F29" t="s">
        <v>10623</v>
      </c>
      <c r="H29" t="s">
        <v>10619</v>
      </c>
      <c r="I29" t="s">
        <v>7572</v>
      </c>
      <c r="J29" t="s">
        <v>5716</v>
      </c>
      <c r="K29" t="s">
        <v>13</v>
      </c>
      <c r="L29" t="s">
        <v>75</v>
      </c>
      <c r="M29" t="s">
        <v>10624</v>
      </c>
      <c r="O29" t="s">
        <v>10619</v>
      </c>
      <c r="P29" t="s">
        <v>9858</v>
      </c>
      <c r="Q29" t="s">
        <v>8896</v>
      </c>
      <c r="R29" t="s">
        <v>13</v>
      </c>
      <c r="S29" t="s">
        <v>75</v>
      </c>
      <c r="T29" t="s">
        <v>463</v>
      </c>
    </row>
    <row r="30" spans="1:20">
      <c r="A30" t="s">
        <v>10619</v>
      </c>
      <c r="B30" t="s">
        <v>4219</v>
      </c>
      <c r="C30" t="s">
        <v>2021</v>
      </c>
      <c r="D30" t="s">
        <v>13</v>
      </c>
      <c r="E30" t="s">
        <v>75</v>
      </c>
      <c r="F30" t="s">
        <v>10623</v>
      </c>
      <c r="H30" t="s">
        <v>10619</v>
      </c>
      <c r="I30" t="s">
        <v>7573</v>
      </c>
      <c r="J30" t="s">
        <v>5718</v>
      </c>
      <c r="K30" t="s">
        <v>13</v>
      </c>
      <c r="L30" t="s">
        <v>75</v>
      </c>
      <c r="M30" t="s">
        <v>10624</v>
      </c>
      <c r="O30" t="s">
        <v>10619</v>
      </c>
      <c r="P30" t="s">
        <v>9859</v>
      </c>
      <c r="Q30" t="s">
        <v>8896</v>
      </c>
      <c r="R30" t="s">
        <v>13</v>
      </c>
      <c r="S30" t="s">
        <v>75</v>
      </c>
      <c r="T30" t="s">
        <v>463</v>
      </c>
    </row>
    <row r="31" spans="1:20">
      <c r="A31" t="s">
        <v>10619</v>
      </c>
      <c r="B31" t="s">
        <v>4220</v>
      </c>
      <c r="C31" t="s">
        <v>2018</v>
      </c>
      <c r="D31" t="s">
        <v>13</v>
      </c>
      <c r="E31" t="s">
        <v>75</v>
      </c>
      <c r="F31" t="s">
        <v>10623</v>
      </c>
      <c r="H31" t="s">
        <v>10619</v>
      </c>
      <c r="I31" t="s">
        <v>7574</v>
      </c>
      <c r="J31" t="s">
        <v>5720</v>
      </c>
      <c r="K31" t="s">
        <v>13</v>
      </c>
      <c r="L31" t="s">
        <v>75</v>
      </c>
      <c r="M31" t="s">
        <v>10624</v>
      </c>
      <c r="O31" t="s">
        <v>10619</v>
      </c>
      <c r="P31" t="s">
        <v>9860</v>
      </c>
      <c r="Q31" t="s">
        <v>8905</v>
      </c>
      <c r="R31" t="s">
        <v>13</v>
      </c>
      <c r="S31" t="s">
        <v>75</v>
      </c>
      <c r="T31" t="s">
        <v>10620</v>
      </c>
    </row>
    <row r="32" spans="1:20">
      <c r="A32" t="s">
        <v>10619</v>
      </c>
      <c r="B32" t="s">
        <v>4221</v>
      </c>
      <c r="C32" t="s">
        <v>2024</v>
      </c>
      <c r="D32" t="s">
        <v>13</v>
      </c>
      <c r="E32" t="s">
        <v>75</v>
      </c>
      <c r="F32" t="s">
        <v>10624</v>
      </c>
      <c r="H32" t="s">
        <v>10619</v>
      </c>
      <c r="I32" t="s">
        <v>7575</v>
      </c>
      <c r="J32" t="s">
        <v>5722</v>
      </c>
      <c r="K32" t="s">
        <v>13</v>
      </c>
      <c r="L32" t="s">
        <v>75</v>
      </c>
      <c r="M32" t="s">
        <v>10624</v>
      </c>
      <c r="O32" t="s">
        <v>10619</v>
      </c>
      <c r="P32" t="s">
        <v>9861</v>
      </c>
      <c r="Q32" t="s">
        <v>8907</v>
      </c>
      <c r="R32" t="s">
        <v>13</v>
      </c>
      <c r="S32" t="s">
        <v>75</v>
      </c>
      <c r="T32" t="s">
        <v>10620</v>
      </c>
    </row>
    <row r="33" spans="1:20">
      <c r="A33" t="s">
        <v>10619</v>
      </c>
      <c r="B33" t="s">
        <v>4222</v>
      </c>
      <c r="C33" t="s">
        <v>2026</v>
      </c>
      <c r="D33" t="s">
        <v>13</v>
      </c>
      <c r="E33" t="s">
        <v>75</v>
      </c>
      <c r="F33" t="s">
        <v>10624</v>
      </c>
      <c r="H33" t="s">
        <v>10619</v>
      </c>
      <c r="I33" t="s">
        <v>7576</v>
      </c>
      <c r="J33" t="s">
        <v>5724</v>
      </c>
      <c r="K33" t="s">
        <v>13</v>
      </c>
      <c r="L33" t="s">
        <v>75</v>
      </c>
      <c r="M33" t="s">
        <v>10624</v>
      </c>
      <c r="O33" t="s">
        <v>10619</v>
      </c>
      <c r="P33" t="s">
        <v>9862</v>
      </c>
      <c r="Q33" t="s">
        <v>8905</v>
      </c>
      <c r="R33" t="s">
        <v>13</v>
      </c>
      <c r="S33" t="s">
        <v>75</v>
      </c>
      <c r="T33" t="s">
        <v>10620</v>
      </c>
    </row>
    <row r="34" spans="1:20">
      <c r="A34" t="s">
        <v>10619</v>
      </c>
      <c r="B34" t="s">
        <v>4223</v>
      </c>
      <c r="C34" t="s">
        <v>2028</v>
      </c>
      <c r="D34" t="s">
        <v>13</v>
      </c>
      <c r="E34" t="s">
        <v>75</v>
      </c>
      <c r="F34" t="s">
        <v>10624</v>
      </c>
      <c r="H34" t="s">
        <v>10619</v>
      </c>
      <c r="I34" t="s">
        <v>7577</v>
      </c>
      <c r="J34" t="s">
        <v>5726</v>
      </c>
      <c r="K34" t="s">
        <v>13</v>
      </c>
      <c r="L34" t="s">
        <v>75</v>
      </c>
      <c r="M34" t="s">
        <v>10624</v>
      </c>
      <c r="O34" t="s">
        <v>10619</v>
      </c>
      <c r="P34" t="s">
        <v>9863</v>
      </c>
      <c r="Q34" t="s">
        <v>8910</v>
      </c>
      <c r="R34" t="s">
        <v>13</v>
      </c>
      <c r="S34" t="s">
        <v>75</v>
      </c>
      <c r="T34" t="s">
        <v>10620</v>
      </c>
    </row>
    <row r="35" spans="1:20">
      <c r="A35" t="s">
        <v>10619</v>
      </c>
      <c r="B35" t="s">
        <v>4224</v>
      </c>
      <c r="C35" t="s">
        <v>2030</v>
      </c>
      <c r="D35" t="s">
        <v>13</v>
      </c>
      <c r="E35" t="s">
        <v>75</v>
      </c>
      <c r="F35" t="s">
        <v>10624</v>
      </c>
      <c r="H35" t="s">
        <v>10619</v>
      </c>
      <c r="I35" t="s">
        <v>7578</v>
      </c>
      <c r="J35" t="s">
        <v>5728</v>
      </c>
      <c r="K35" t="s">
        <v>13</v>
      </c>
      <c r="L35" t="s">
        <v>75</v>
      </c>
      <c r="M35" t="s">
        <v>10624</v>
      </c>
      <c r="O35" t="s">
        <v>10619</v>
      </c>
      <c r="P35" t="s">
        <v>9864</v>
      </c>
      <c r="Q35" t="s">
        <v>8912</v>
      </c>
      <c r="R35" t="s">
        <v>13</v>
      </c>
      <c r="S35" t="s">
        <v>75</v>
      </c>
      <c r="T35" t="s">
        <v>10621</v>
      </c>
    </row>
    <row r="36" spans="1:20">
      <c r="A36" t="s">
        <v>10619</v>
      </c>
      <c r="B36" t="s">
        <v>4225</v>
      </c>
      <c r="C36" t="s">
        <v>2032</v>
      </c>
      <c r="D36" t="s">
        <v>13</v>
      </c>
      <c r="E36" t="s">
        <v>75</v>
      </c>
      <c r="F36" t="s">
        <v>10624</v>
      </c>
      <c r="H36" t="s">
        <v>10619</v>
      </c>
      <c r="I36" t="s">
        <v>7579</v>
      </c>
      <c r="J36" t="s">
        <v>5730</v>
      </c>
      <c r="K36" t="s">
        <v>13</v>
      </c>
      <c r="L36" t="s">
        <v>75</v>
      </c>
      <c r="M36" t="s">
        <v>10624</v>
      </c>
      <c r="O36" t="s">
        <v>10619</v>
      </c>
      <c r="P36" t="s">
        <v>9865</v>
      </c>
      <c r="Q36" t="s">
        <v>8914</v>
      </c>
      <c r="R36" t="s">
        <v>13</v>
      </c>
      <c r="S36" t="s">
        <v>75</v>
      </c>
      <c r="T36" t="s">
        <v>10621</v>
      </c>
    </row>
    <row r="37" spans="1:20">
      <c r="A37" t="s">
        <v>10619</v>
      </c>
      <c r="B37" t="s">
        <v>4226</v>
      </c>
      <c r="C37" t="s">
        <v>2034</v>
      </c>
      <c r="D37" t="s">
        <v>13</v>
      </c>
      <c r="E37" t="s">
        <v>75</v>
      </c>
      <c r="F37" t="s">
        <v>10624</v>
      </c>
      <c r="H37" t="s">
        <v>10619</v>
      </c>
      <c r="I37" t="s">
        <v>7580</v>
      </c>
      <c r="J37" t="s">
        <v>5732</v>
      </c>
      <c r="K37" t="s">
        <v>13</v>
      </c>
      <c r="L37" t="s">
        <v>75</v>
      </c>
      <c r="M37" t="s">
        <v>10624</v>
      </c>
      <c r="O37" t="s">
        <v>10619</v>
      </c>
      <c r="P37" t="s">
        <v>9866</v>
      </c>
      <c r="Q37" t="s">
        <v>8916</v>
      </c>
      <c r="R37" t="s">
        <v>13</v>
      </c>
      <c r="S37" t="s">
        <v>75</v>
      </c>
      <c r="T37" t="s">
        <v>10620</v>
      </c>
    </row>
    <row r="38" spans="1:20">
      <c r="A38" t="s">
        <v>10619</v>
      </c>
      <c r="B38" t="s">
        <v>4227</v>
      </c>
      <c r="C38" t="s">
        <v>2036</v>
      </c>
      <c r="D38" t="s">
        <v>13</v>
      </c>
      <c r="E38" t="s">
        <v>75</v>
      </c>
      <c r="F38" t="s">
        <v>10624</v>
      </c>
      <c r="H38" t="s">
        <v>10619</v>
      </c>
      <c r="I38" t="s">
        <v>7581</v>
      </c>
      <c r="J38" t="s">
        <v>5734</v>
      </c>
      <c r="K38" t="s">
        <v>13</v>
      </c>
      <c r="L38" t="s">
        <v>75</v>
      </c>
      <c r="M38" t="s">
        <v>10624</v>
      </c>
      <c r="O38" t="s">
        <v>10619</v>
      </c>
      <c r="P38" t="s">
        <v>9867</v>
      </c>
      <c r="Q38" t="s">
        <v>8918</v>
      </c>
      <c r="R38" t="s">
        <v>13</v>
      </c>
      <c r="S38" t="s">
        <v>75</v>
      </c>
      <c r="T38" t="s">
        <v>10620</v>
      </c>
    </row>
    <row r="39" spans="1:20">
      <c r="A39" t="s">
        <v>10619</v>
      </c>
      <c r="B39" t="s">
        <v>4228</v>
      </c>
      <c r="C39" t="s">
        <v>2038</v>
      </c>
      <c r="D39" t="s">
        <v>13</v>
      </c>
      <c r="E39" t="s">
        <v>75</v>
      </c>
      <c r="F39" t="s">
        <v>10624</v>
      </c>
      <c r="H39" t="s">
        <v>10619</v>
      </c>
      <c r="I39" t="s">
        <v>7582</v>
      </c>
      <c r="J39" t="s">
        <v>5736</v>
      </c>
      <c r="K39" t="s">
        <v>13</v>
      </c>
      <c r="L39" t="s">
        <v>75</v>
      </c>
      <c r="M39" t="s">
        <v>10620</v>
      </c>
      <c r="O39" t="s">
        <v>10619</v>
      </c>
      <c r="P39" t="s">
        <v>9868</v>
      </c>
      <c r="Q39" t="s">
        <v>8918</v>
      </c>
      <c r="R39" t="s">
        <v>13</v>
      </c>
      <c r="S39" t="s">
        <v>75</v>
      </c>
      <c r="T39" t="s">
        <v>10620</v>
      </c>
    </row>
    <row r="40" spans="1:20">
      <c r="A40" t="s">
        <v>10619</v>
      </c>
      <c r="B40" t="s">
        <v>4229</v>
      </c>
      <c r="C40" t="s">
        <v>2040</v>
      </c>
      <c r="D40" t="s">
        <v>13</v>
      </c>
      <c r="E40" t="s">
        <v>75</v>
      </c>
      <c r="F40" t="s">
        <v>10624</v>
      </c>
      <c r="H40" t="s">
        <v>10619</v>
      </c>
      <c r="I40" t="s">
        <v>7583</v>
      </c>
      <c r="J40" t="s">
        <v>5738</v>
      </c>
      <c r="K40" t="s">
        <v>13</v>
      </c>
      <c r="L40" t="s">
        <v>75</v>
      </c>
      <c r="M40" t="s">
        <v>10620</v>
      </c>
      <c r="O40" t="s">
        <v>10619</v>
      </c>
      <c r="P40" t="s">
        <v>9869</v>
      </c>
      <c r="Q40" t="s">
        <v>8921</v>
      </c>
      <c r="R40" t="s">
        <v>13</v>
      </c>
      <c r="S40" t="s">
        <v>75</v>
      </c>
      <c r="T40" t="s">
        <v>10626</v>
      </c>
    </row>
    <row r="41" spans="1:20">
      <c r="A41" t="s">
        <v>10619</v>
      </c>
      <c r="B41" t="s">
        <v>4230</v>
      </c>
      <c r="C41" t="s">
        <v>2042</v>
      </c>
      <c r="D41" t="s">
        <v>13</v>
      </c>
      <c r="E41" t="s">
        <v>75</v>
      </c>
      <c r="F41" t="s">
        <v>10624</v>
      </c>
      <c r="H41" t="s">
        <v>10619</v>
      </c>
      <c r="I41" t="s">
        <v>7584</v>
      </c>
      <c r="J41" t="s">
        <v>5740</v>
      </c>
      <c r="K41" t="s">
        <v>13</v>
      </c>
      <c r="L41" t="s">
        <v>75</v>
      </c>
      <c r="M41" t="s">
        <v>10620</v>
      </c>
      <c r="O41" t="s">
        <v>10619</v>
      </c>
      <c r="P41" t="s">
        <v>9870</v>
      </c>
      <c r="Q41" t="s">
        <v>8923</v>
      </c>
      <c r="R41" t="s">
        <v>13</v>
      </c>
      <c r="S41" t="s">
        <v>75</v>
      </c>
      <c r="T41" t="s">
        <v>10626</v>
      </c>
    </row>
    <row r="42" spans="1:20">
      <c r="A42" t="s">
        <v>10619</v>
      </c>
      <c r="B42" t="s">
        <v>4231</v>
      </c>
      <c r="C42" t="s">
        <v>2044</v>
      </c>
      <c r="D42" t="s">
        <v>13</v>
      </c>
      <c r="E42" t="s">
        <v>75</v>
      </c>
      <c r="F42" t="s">
        <v>10624</v>
      </c>
      <c r="H42" t="s">
        <v>10619</v>
      </c>
      <c r="I42" t="s">
        <v>7585</v>
      </c>
      <c r="J42" t="s">
        <v>5742</v>
      </c>
      <c r="K42" t="s">
        <v>13</v>
      </c>
      <c r="L42" t="s">
        <v>75</v>
      </c>
      <c r="M42" t="s">
        <v>463</v>
      </c>
      <c r="O42" t="s">
        <v>10619</v>
      </c>
      <c r="P42" t="s">
        <v>9871</v>
      </c>
      <c r="Q42" t="s">
        <v>8923</v>
      </c>
      <c r="R42" t="s">
        <v>13</v>
      </c>
      <c r="S42" t="s">
        <v>75</v>
      </c>
      <c r="T42" t="s">
        <v>10626</v>
      </c>
    </row>
    <row r="43" spans="1:20">
      <c r="A43" t="s">
        <v>10619</v>
      </c>
      <c r="B43" t="s">
        <v>4232</v>
      </c>
      <c r="C43" t="s">
        <v>2046</v>
      </c>
      <c r="D43" t="s">
        <v>13</v>
      </c>
      <c r="E43" t="s">
        <v>75</v>
      </c>
      <c r="F43" t="s">
        <v>10624</v>
      </c>
      <c r="H43" t="s">
        <v>10619</v>
      </c>
      <c r="I43" t="s">
        <v>7586</v>
      </c>
      <c r="J43" t="s">
        <v>5744</v>
      </c>
      <c r="K43" t="s">
        <v>13</v>
      </c>
      <c r="L43" t="s">
        <v>75</v>
      </c>
      <c r="M43" t="s">
        <v>463</v>
      </c>
      <c r="O43" t="s">
        <v>10619</v>
      </c>
      <c r="P43" t="s">
        <v>9872</v>
      </c>
      <c r="Q43" t="s">
        <v>8926</v>
      </c>
      <c r="R43" t="s">
        <v>13</v>
      </c>
      <c r="S43" t="s">
        <v>75</v>
      </c>
      <c r="T43" t="s">
        <v>85</v>
      </c>
    </row>
    <row r="44" spans="1:20">
      <c r="A44" t="s">
        <v>10619</v>
      </c>
      <c r="B44" t="s">
        <v>4233</v>
      </c>
      <c r="C44" t="s">
        <v>2048</v>
      </c>
      <c r="D44" t="s">
        <v>13</v>
      </c>
      <c r="E44" t="s">
        <v>75</v>
      </c>
      <c r="F44" t="s">
        <v>10624</v>
      </c>
      <c r="H44" t="s">
        <v>10619</v>
      </c>
      <c r="I44" t="s">
        <v>7587</v>
      </c>
      <c r="J44" t="s">
        <v>5742</v>
      </c>
      <c r="K44" t="s">
        <v>13</v>
      </c>
      <c r="L44" t="s">
        <v>75</v>
      </c>
      <c r="M44" t="s">
        <v>463</v>
      </c>
      <c r="O44" t="s">
        <v>10619</v>
      </c>
      <c r="P44" t="s">
        <v>9873</v>
      </c>
      <c r="Q44" t="s">
        <v>8928</v>
      </c>
      <c r="R44" t="s">
        <v>13</v>
      </c>
      <c r="S44" t="s">
        <v>75</v>
      </c>
      <c r="T44" t="s">
        <v>85</v>
      </c>
    </row>
    <row r="45" spans="1:20">
      <c r="A45" t="s">
        <v>10619</v>
      </c>
      <c r="B45" t="s">
        <v>4234</v>
      </c>
      <c r="C45" t="s">
        <v>2050</v>
      </c>
      <c r="D45" t="s">
        <v>13</v>
      </c>
      <c r="E45" t="s">
        <v>75</v>
      </c>
      <c r="F45" t="s">
        <v>10620</v>
      </c>
      <c r="H45" t="s">
        <v>10619</v>
      </c>
      <c r="I45" t="s">
        <v>7588</v>
      </c>
      <c r="J45" t="s">
        <v>5747</v>
      </c>
      <c r="K45" t="s">
        <v>13</v>
      </c>
      <c r="L45" t="s">
        <v>75</v>
      </c>
      <c r="M45" t="s">
        <v>463</v>
      </c>
      <c r="O45" t="s">
        <v>10619</v>
      </c>
      <c r="P45" t="s">
        <v>9874</v>
      </c>
      <c r="Q45" t="s">
        <v>8930</v>
      </c>
      <c r="R45" t="s">
        <v>13</v>
      </c>
      <c r="S45" t="s">
        <v>75</v>
      </c>
      <c r="T45" t="s">
        <v>85</v>
      </c>
    </row>
    <row r="46" spans="1:20">
      <c r="A46" t="s">
        <v>10619</v>
      </c>
      <c r="B46" t="s">
        <v>4235</v>
      </c>
      <c r="C46" t="s">
        <v>2052</v>
      </c>
      <c r="D46" t="s">
        <v>13</v>
      </c>
      <c r="E46" t="s">
        <v>75</v>
      </c>
      <c r="F46" t="s">
        <v>10620</v>
      </c>
      <c r="H46" t="s">
        <v>10619</v>
      </c>
      <c r="I46" t="s">
        <v>7589</v>
      </c>
      <c r="J46" t="s">
        <v>5747</v>
      </c>
      <c r="K46" t="s">
        <v>13</v>
      </c>
      <c r="L46" t="s">
        <v>75</v>
      </c>
      <c r="M46" t="s">
        <v>463</v>
      </c>
      <c r="O46" t="s">
        <v>10619</v>
      </c>
      <c r="P46" t="s">
        <v>9875</v>
      </c>
      <c r="Q46" t="s">
        <v>8932</v>
      </c>
      <c r="R46" t="s">
        <v>13</v>
      </c>
      <c r="S46" t="s">
        <v>75</v>
      </c>
      <c r="T46" t="s">
        <v>85</v>
      </c>
    </row>
    <row r="47" spans="1:20">
      <c r="A47" t="s">
        <v>10619</v>
      </c>
      <c r="B47" t="s">
        <v>4236</v>
      </c>
      <c r="C47" t="s">
        <v>2054</v>
      </c>
      <c r="D47" t="s">
        <v>13</v>
      </c>
      <c r="E47" t="s">
        <v>75</v>
      </c>
      <c r="F47" t="s">
        <v>10620</v>
      </c>
      <c r="H47" t="s">
        <v>10619</v>
      </c>
      <c r="I47" t="s">
        <v>7590</v>
      </c>
      <c r="J47" t="s">
        <v>5750</v>
      </c>
      <c r="K47" t="s">
        <v>13</v>
      </c>
      <c r="L47" t="s">
        <v>75</v>
      </c>
      <c r="M47" t="s">
        <v>463</v>
      </c>
      <c r="O47" t="s">
        <v>10619</v>
      </c>
      <c r="P47" t="s">
        <v>9876</v>
      </c>
      <c r="Q47" t="s">
        <v>8934</v>
      </c>
      <c r="R47" t="s">
        <v>13</v>
      </c>
      <c r="S47" t="s">
        <v>75</v>
      </c>
      <c r="T47" t="s">
        <v>85</v>
      </c>
    </row>
    <row r="48" spans="1:20">
      <c r="A48" t="s">
        <v>10619</v>
      </c>
      <c r="B48" t="s">
        <v>4237</v>
      </c>
      <c r="C48" t="s">
        <v>2056</v>
      </c>
      <c r="D48" t="s">
        <v>13</v>
      </c>
      <c r="E48" t="s">
        <v>75</v>
      </c>
      <c r="F48" t="s">
        <v>463</v>
      </c>
      <c r="H48" t="s">
        <v>10619</v>
      </c>
      <c r="I48" t="s">
        <v>7591</v>
      </c>
      <c r="J48" t="s">
        <v>5752</v>
      </c>
      <c r="K48" t="s">
        <v>13</v>
      </c>
      <c r="L48" t="s">
        <v>75</v>
      </c>
      <c r="M48" t="s">
        <v>463</v>
      </c>
      <c r="O48" t="s">
        <v>10619</v>
      </c>
      <c r="P48" t="s">
        <v>9877</v>
      </c>
      <c r="Q48" t="s">
        <v>8936</v>
      </c>
      <c r="R48" t="s">
        <v>13</v>
      </c>
      <c r="S48" t="s">
        <v>75</v>
      </c>
      <c r="T48" t="s">
        <v>85</v>
      </c>
    </row>
    <row r="49" spans="1:20">
      <c r="A49" t="s">
        <v>10619</v>
      </c>
      <c r="B49" t="s">
        <v>4238</v>
      </c>
      <c r="C49" t="s">
        <v>2058</v>
      </c>
      <c r="D49" t="s">
        <v>13</v>
      </c>
      <c r="E49" t="s">
        <v>75</v>
      </c>
      <c r="F49" t="s">
        <v>463</v>
      </c>
      <c r="H49" t="s">
        <v>10619</v>
      </c>
      <c r="I49" t="s">
        <v>7592</v>
      </c>
      <c r="J49" t="s">
        <v>5754</v>
      </c>
      <c r="K49" t="s">
        <v>13</v>
      </c>
      <c r="L49" t="s">
        <v>75</v>
      </c>
      <c r="M49" t="s">
        <v>463</v>
      </c>
      <c r="O49" t="s">
        <v>10619</v>
      </c>
      <c r="P49" t="s">
        <v>9878</v>
      </c>
      <c r="Q49" t="s">
        <v>8938</v>
      </c>
      <c r="R49" t="s">
        <v>13</v>
      </c>
      <c r="S49" t="s">
        <v>75</v>
      </c>
      <c r="T49" t="s">
        <v>85</v>
      </c>
    </row>
    <row r="50" spans="1:20">
      <c r="A50" t="s">
        <v>10619</v>
      </c>
      <c r="B50" t="s">
        <v>4239</v>
      </c>
      <c r="C50" t="s">
        <v>2060</v>
      </c>
      <c r="D50" t="s">
        <v>13</v>
      </c>
      <c r="E50" t="s">
        <v>75</v>
      </c>
      <c r="F50" t="s">
        <v>463</v>
      </c>
      <c r="H50" t="s">
        <v>10619</v>
      </c>
      <c r="I50" t="s">
        <v>7593</v>
      </c>
      <c r="J50" t="s">
        <v>5756</v>
      </c>
      <c r="K50" t="s">
        <v>13</v>
      </c>
      <c r="L50" t="s">
        <v>75</v>
      </c>
      <c r="M50" t="s">
        <v>463</v>
      </c>
      <c r="O50" t="s">
        <v>10619</v>
      </c>
      <c r="P50" t="s">
        <v>9879</v>
      </c>
      <c r="Q50" t="s">
        <v>8940</v>
      </c>
      <c r="R50" t="s">
        <v>13</v>
      </c>
      <c r="S50" t="s">
        <v>75</v>
      </c>
      <c r="T50" t="s">
        <v>85</v>
      </c>
    </row>
    <row r="51" spans="1:20">
      <c r="A51" t="s">
        <v>10619</v>
      </c>
      <c r="B51" t="s">
        <v>4240</v>
      </c>
      <c r="C51" t="s">
        <v>2062</v>
      </c>
      <c r="D51" t="s">
        <v>13</v>
      </c>
      <c r="E51" t="s">
        <v>75</v>
      </c>
      <c r="F51" t="s">
        <v>463</v>
      </c>
      <c r="H51" t="s">
        <v>10619</v>
      </c>
      <c r="I51" t="s">
        <v>7594</v>
      </c>
      <c r="J51" t="s">
        <v>5758</v>
      </c>
      <c r="K51" t="s">
        <v>13</v>
      </c>
      <c r="L51" t="s">
        <v>75</v>
      </c>
      <c r="M51" t="s">
        <v>463</v>
      </c>
      <c r="O51" t="s">
        <v>10619</v>
      </c>
      <c r="P51" t="s">
        <v>9880</v>
      </c>
      <c r="Q51" t="s">
        <v>8942</v>
      </c>
      <c r="R51" t="s">
        <v>13</v>
      </c>
      <c r="S51" t="s">
        <v>75</v>
      </c>
      <c r="T51" t="s">
        <v>85</v>
      </c>
    </row>
    <row r="52" spans="1:20">
      <c r="A52" t="s">
        <v>10619</v>
      </c>
      <c r="B52" t="s">
        <v>4241</v>
      </c>
      <c r="C52" t="s">
        <v>2064</v>
      </c>
      <c r="D52" t="s">
        <v>13</v>
      </c>
      <c r="E52" t="s">
        <v>75</v>
      </c>
      <c r="F52" t="s">
        <v>463</v>
      </c>
      <c r="H52" t="s">
        <v>10619</v>
      </c>
      <c r="I52" t="s">
        <v>7595</v>
      </c>
      <c r="J52" t="s">
        <v>5742</v>
      </c>
      <c r="K52" t="s">
        <v>13</v>
      </c>
      <c r="L52" t="s">
        <v>75</v>
      </c>
      <c r="M52" t="s">
        <v>463</v>
      </c>
      <c r="O52" t="s">
        <v>10619</v>
      </c>
      <c r="P52" t="s">
        <v>9881</v>
      </c>
      <c r="Q52" t="s">
        <v>8944</v>
      </c>
      <c r="R52" t="s">
        <v>13</v>
      </c>
      <c r="S52" t="s">
        <v>75</v>
      </c>
      <c r="T52" t="s">
        <v>85</v>
      </c>
    </row>
    <row r="53" spans="1:20">
      <c r="A53" t="s">
        <v>10619</v>
      </c>
      <c r="B53" t="s">
        <v>4242</v>
      </c>
      <c r="C53" t="s">
        <v>2062</v>
      </c>
      <c r="D53" t="s">
        <v>13</v>
      </c>
      <c r="E53" t="s">
        <v>75</v>
      </c>
      <c r="F53" t="s">
        <v>463</v>
      </c>
      <c r="H53" t="s">
        <v>10619</v>
      </c>
      <c r="I53" t="s">
        <v>7596</v>
      </c>
      <c r="J53" t="s">
        <v>5758</v>
      </c>
      <c r="K53" t="s">
        <v>13</v>
      </c>
      <c r="L53" t="s">
        <v>75</v>
      </c>
      <c r="M53" t="s">
        <v>463</v>
      </c>
      <c r="O53" t="s">
        <v>10619</v>
      </c>
      <c r="P53" t="s">
        <v>9882</v>
      </c>
      <c r="Q53" t="s">
        <v>8946</v>
      </c>
      <c r="R53" t="s">
        <v>13</v>
      </c>
      <c r="S53" t="s">
        <v>75</v>
      </c>
      <c r="T53" t="s">
        <v>10627</v>
      </c>
    </row>
    <row r="54" spans="1:20">
      <c r="A54" t="s">
        <v>10619</v>
      </c>
      <c r="B54" t="s">
        <v>4243</v>
      </c>
      <c r="C54" t="s">
        <v>2058</v>
      </c>
      <c r="D54" t="s">
        <v>13</v>
      </c>
      <c r="E54" t="s">
        <v>75</v>
      </c>
      <c r="F54" t="s">
        <v>463</v>
      </c>
      <c r="H54" t="s">
        <v>10619</v>
      </c>
      <c r="I54" t="s">
        <v>7597</v>
      </c>
      <c r="J54" t="s">
        <v>5758</v>
      </c>
      <c r="K54" t="s">
        <v>13</v>
      </c>
      <c r="L54" t="s">
        <v>75</v>
      </c>
      <c r="M54" t="s">
        <v>463</v>
      </c>
      <c r="O54" t="s">
        <v>10619</v>
      </c>
      <c r="P54" t="s">
        <v>9883</v>
      </c>
      <c r="Q54" t="s">
        <v>8948</v>
      </c>
      <c r="R54" t="s">
        <v>13</v>
      </c>
      <c r="S54" t="s">
        <v>75</v>
      </c>
      <c r="T54" t="s">
        <v>10627</v>
      </c>
    </row>
    <row r="55" spans="1:20">
      <c r="A55" t="s">
        <v>10619</v>
      </c>
      <c r="B55" t="s">
        <v>4244</v>
      </c>
      <c r="C55" t="s">
        <v>2068</v>
      </c>
      <c r="D55" t="s">
        <v>13</v>
      </c>
      <c r="E55" t="s">
        <v>75</v>
      </c>
      <c r="F55" t="s">
        <v>463</v>
      </c>
      <c r="H55" t="s">
        <v>10619</v>
      </c>
      <c r="I55" t="s">
        <v>7598</v>
      </c>
      <c r="J55" t="s">
        <v>5758</v>
      </c>
      <c r="K55" t="s">
        <v>13</v>
      </c>
      <c r="L55" t="s">
        <v>75</v>
      </c>
      <c r="M55" t="s">
        <v>463</v>
      </c>
      <c r="O55" t="s">
        <v>10619</v>
      </c>
      <c r="P55" t="s">
        <v>9884</v>
      </c>
      <c r="Q55" t="s">
        <v>8950</v>
      </c>
      <c r="R55" t="s">
        <v>13</v>
      </c>
      <c r="S55" t="s">
        <v>75</v>
      </c>
      <c r="T55" t="s">
        <v>10627</v>
      </c>
    </row>
    <row r="56" spans="1:20">
      <c r="A56" t="s">
        <v>10619</v>
      </c>
      <c r="B56" t="s">
        <v>4245</v>
      </c>
      <c r="C56" t="s">
        <v>2070</v>
      </c>
      <c r="D56" t="s">
        <v>13</v>
      </c>
      <c r="E56" t="s">
        <v>75</v>
      </c>
      <c r="F56" t="s">
        <v>463</v>
      </c>
      <c r="H56" t="s">
        <v>10619</v>
      </c>
      <c r="I56" t="s">
        <v>7599</v>
      </c>
      <c r="J56" t="s">
        <v>5744</v>
      </c>
      <c r="K56" t="s">
        <v>13</v>
      </c>
      <c r="L56" t="s">
        <v>75</v>
      </c>
      <c r="M56" t="s">
        <v>463</v>
      </c>
      <c r="O56" t="s">
        <v>10619</v>
      </c>
      <c r="P56" t="s">
        <v>9885</v>
      </c>
      <c r="Q56" t="s">
        <v>8948</v>
      </c>
      <c r="R56" t="s">
        <v>13</v>
      </c>
      <c r="S56" t="s">
        <v>75</v>
      </c>
      <c r="T56" t="s">
        <v>10627</v>
      </c>
    </row>
    <row r="57" spans="1:20">
      <c r="A57" t="s">
        <v>10619</v>
      </c>
      <c r="B57" t="s">
        <v>4246</v>
      </c>
      <c r="C57" t="s">
        <v>2072</v>
      </c>
      <c r="D57" t="s">
        <v>13</v>
      </c>
      <c r="E57" t="s">
        <v>75</v>
      </c>
      <c r="F57" t="s">
        <v>463</v>
      </c>
      <c r="H57" t="s">
        <v>10619</v>
      </c>
      <c r="I57" t="s">
        <v>7600</v>
      </c>
      <c r="J57" t="s">
        <v>5744</v>
      </c>
      <c r="K57" t="s">
        <v>13</v>
      </c>
      <c r="L57" t="s">
        <v>75</v>
      </c>
      <c r="M57" t="s">
        <v>463</v>
      </c>
      <c r="O57" t="s">
        <v>10619</v>
      </c>
      <c r="P57" t="s">
        <v>9886</v>
      </c>
      <c r="Q57" t="s">
        <v>8953</v>
      </c>
      <c r="R57" t="s">
        <v>13</v>
      </c>
      <c r="S57" t="s">
        <v>75</v>
      </c>
      <c r="T57" t="s">
        <v>10627</v>
      </c>
    </row>
    <row r="58" spans="1:20">
      <c r="A58" t="s">
        <v>10619</v>
      </c>
      <c r="B58" t="s">
        <v>4247</v>
      </c>
      <c r="C58" t="s">
        <v>2062</v>
      </c>
      <c r="D58" t="s">
        <v>13</v>
      </c>
      <c r="E58" t="s">
        <v>75</v>
      </c>
      <c r="F58" t="s">
        <v>463</v>
      </c>
      <c r="H58" t="s">
        <v>10619</v>
      </c>
      <c r="I58" t="s">
        <v>7601</v>
      </c>
      <c r="J58" t="s">
        <v>5744</v>
      </c>
      <c r="K58" t="s">
        <v>13</v>
      </c>
      <c r="L58" t="s">
        <v>75</v>
      </c>
      <c r="M58" t="s">
        <v>463</v>
      </c>
      <c r="O58" t="s">
        <v>10619</v>
      </c>
      <c r="P58" t="s">
        <v>9887</v>
      </c>
      <c r="Q58" t="s">
        <v>8953</v>
      </c>
      <c r="R58" t="s">
        <v>13</v>
      </c>
      <c r="S58" t="s">
        <v>75</v>
      </c>
      <c r="T58" t="s">
        <v>10627</v>
      </c>
    </row>
    <row r="59" spans="1:20">
      <c r="A59" t="s">
        <v>10619</v>
      </c>
      <c r="B59" t="s">
        <v>4248</v>
      </c>
      <c r="C59" t="s">
        <v>2070</v>
      </c>
      <c r="D59" t="s">
        <v>13</v>
      </c>
      <c r="E59" t="s">
        <v>75</v>
      </c>
      <c r="F59" t="s">
        <v>463</v>
      </c>
      <c r="H59" t="s">
        <v>10619</v>
      </c>
      <c r="I59" t="s">
        <v>7602</v>
      </c>
      <c r="J59" t="s">
        <v>5744</v>
      </c>
      <c r="K59" t="s">
        <v>13</v>
      </c>
      <c r="L59" t="s">
        <v>75</v>
      </c>
      <c r="M59" t="s">
        <v>463</v>
      </c>
      <c r="O59" t="s">
        <v>10619</v>
      </c>
      <c r="P59" t="s">
        <v>9888</v>
      </c>
      <c r="Q59" t="s">
        <v>8946</v>
      </c>
      <c r="R59" t="s">
        <v>13</v>
      </c>
      <c r="S59" t="s">
        <v>75</v>
      </c>
      <c r="T59" t="s">
        <v>10627</v>
      </c>
    </row>
    <row r="60" spans="1:20">
      <c r="A60" t="s">
        <v>10619</v>
      </c>
      <c r="B60" t="s">
        <v>4249</v>
      </c>
      <c r="C60" t="s">
        <v>2076</v>
      </c>
      <c r="D60" t="s">
        <v>13</v>
      </c>
      <c r="E60" t="s">
        <v>75</v>
      </c>
      <c r="F60" t="s">
        <v>463</v>
      </c>
      <c r="H60" t="s">
        <v>10619</v>
      </c>
      <c r="I60" t="s">
        <v>7603</v>
      </c>
      <c r="J60" t="s">
        <v>5744</v>
      </c>
      <c r="K60" t="s">
        <v>13</v>
      </c>
      <c r="L60" t="s">
        <v>75</v>
      </c>
      <c r="M60" t="s">
        <v>463</v>
      </c>
      <c r="O60" t="s">
        <v>10619</v>
      </c>
      <c r="P60" t="s">
        <v>9889</v>
      </c>
      <c r="Q60" t="s">
        <v>8957</v>
      </c>
      <c r="R60" t="s">
        <v>13</v>
      </c>
      <c r="S60" t="s">
        <v>75</v>
      </c>
      <c r="T60" t="s">
        <v>10627</v>
      </c>
    </row>
    <row r="61" spans="1:20">
      <c r="A61" t="s">
        <v>10619</v>
      </c>
      <c r="B61" t="s">
        <v>4250</v>
      </c>
      <c r="C61" t="s">
        <v>2078</v>
      </c>
      <c r="D61" t="s">
        <v>13</v>
      </c>
      <c r="E61" t="s">
        <v>75</v>
      </c>
      <c r="F61" t="s">
        <v>463</v>
      </c>
      <c r="H61" t="s">
        <v>10619</v>
      </c>
      <c r="I61" t="s">
        <v>7604</v>
      </c>
      <c r="J61" t="s">
        <v>5744</v>
      </c>
      <c r="K61" t="s">
        <v>13</v>
      </c>
      <c r="L61" t="s">
        <v>75</v>
      </c>
      <c r="M61" t="s">
        <v>463</v>
      </c>
      <c r="O61" t="s">
        <v>10619</v>
      </c>
      <c r="P61" t="s">
        <v>9890</v>
      </c>
      <c r="Q61" t="s">
        <v>8957</v>
      </c>
      <c r="R61" t="s">
        <v>13</v>
      </c>
      <c r="S61" t="s">
        <v>75</v>
      </c>
      <c r="T61" t="s">
        <v>10627</v>
      </c>
    </row>
    <row r="62" spans="1:20">
      <c r="A62" t="s">
        <v>10619</v>
      </c>
      <c r="B62" t="s">
        <v>4251</v>
      </c>
      <c r="C62" t="s">
        <v>2072</v>
      </c>
      <c r="D62" t="s">
        <v>13</v>
      </c>
      <c r="E62" t="s">
        <v>75</v>
      </c>
      <c r="F62" t="s">
        <v>463</v>
      </c>
      <c r="H62" t="s">
        <v>10619</v>
      </c>
      <c r="I62" t="s">
        <v>7605</v>
      </c>
      <c r="J62" t="s">
        <v>5752</v>
      </c>
      <c r="K62" t="s">
        <v>13</v>
      </c>
      <c r="L62" t="s">
        <v>75</v>
      </c>
      <c r="M62" t="s">
        <v>463</v>
      </c>
      <c r="O62" t="s">
        <v>10619</v>
      </c>
      <c r="P62" t="s">
        <v>9891</v>
      </c>
      <c r="Q62" t="s">
        <v>8953</v>
      </c>
      <c r="R62" t="s">
        <v>13</v>
      </c>
      <c r="S62" t="s">
        <v>75</v>
      </c>
      <c r="T62" t="s">
        <v>10627</v>
      </c>
    </row>
    <row r="63" spans="1:20">
      <c r="A63" t="s">
        <v>10619</v>
      </c>
      <c r="B63" t="s">
        <v>4252</v>
      </c>
      <c r="C63" t="s">
        <v>2058</v>
      </c>
      <c r="D63" t="s">
        <v>13</v>
      </c>
      <c r="E63" t="s">
        <v>75</v>
      </c>
      <c r="F63" t="s">
        <v>463</v>
      </c>
      <c r="H63" t="s">
        <v>10619</v>
      </c>
      <c r="I63" t="s">
        <v>7606</v>
      </c>
      <c r="J63" t="s">
        <v>5771</v>
      </c>
      <c r="K63" t="s">
        <v>13</v>
      </c>
      <c r="L63" t="s">
        <v>75</v>
      </c>
      <c r="M63" t="s">
        <v>465</v>
      </c>
      <c r="O63" t="s">
        <v>10619</v>
      </c>
      <c r="P63" t="s">
        <v>9892</v>
      </c>
      <c r="Q63" t="s">
        <v>8953</v>
      </c>
      <c r="R63" t="s">
        <v>13</v>
      </c>
      <c r="S63" t="s">
        <v>75</v>
      </c>
      <c r="T63" t="s">
        <v>10627</v>
      </c>
    </row>
    <row r="64" spans="1:20">
      <c r="A64" t="s">
        <v>10619</v>
      </c>
      <c r="B64" t="s">
        <v>4253</v>
      </c>
      <c r="C64" t="s">
        <v>2058</v>
      </c>
      <c r="D64" t="s">
        <v>13</v>
      </c>
      <c r="E64" t="s">
        <v>75</v>
      </c>
      <c r="F64" t="s">
        <v>463</v>
      </c>
      <c r="H64" t="s">
        <v>10619</v>
      </c>
      <c r="I64" t="s">
        <v>7607</v>
      </c>
      <c r="J64" t="s">
        <v>5773</v>
      </c>
      <c r="K64" t="s">
        <v>13</v>
      </c>
      <c r="L64" t="s">
        <v>75</v>
      </c>
      <c r="M64" t="s">
        <v>465</v>
      </c>
      <c r="O64" t="s">
        <v>10619</v>
      </c>
      <c r="P64" t="s">
        <v>9893</v>
      </c>
      <c r="Q64" t="s">
        <v>8953</v>
      </c>
      <c r="R64" t="s">
        <v>13</v>
      </c>
      <c r="S64" t="s">
        <v>75</v>
      </c>
      <c r="T64" t="s">
        <v>10627</v>
      </c>
    </row>
    <row r="65" spans="1:20">
      <c r="A65" t="s">
        <v>10619</v>
      </c>
      <c r="B65" t="s">
        <v>4254</v>
      </c>
      <c r="C65" t="s">
        <v>2058</v>
      </c>
      <c r="D65" t="s">
        <v>13</v>
      </c>
      <c r="E65" t="s">
        <v>75</v>
      </c>
      <c r="F65" t="s">
        <v>463</v>
      </c>
      <c r="H65" t="s">
        <v>10619</v>
      </c>
      <c r="I65" t="s">
        <v>7608</v>
      </c>
      <c r="J65" t="s">
        <v>5775</v>
      </c>
      <c r="K65" t="s">
        <v>13</v>
      </c>
      <c r="L65" t="s">
        <v>75</v>
      </c>
      <c r="M65" t="s">
        <v>465</v>
      </c>
      <c r="O65" t="s">
        <v>10619</v>
      </c>
      <c r="P65" t="s">
        <v>9894</v>
      </c>
      <c r="Q65" t="s">
        <v>8953</v>
      </c>
      <c r="R65" t="s">
        <v>13</v>
      </c>
      <c r="S65" t="s">
        <v>75</v>
      </c>
      <c r="T65" t="s">
        <v>10627</v>
      </c>
    </row>
    <row r="66" spans="1:20">
      <c r="A66" t="s">
        <v>10619</v>
      </c>
      <c r="B66" t="s">
        <v>4255</v>
      </c>
      <c r="C66" t="s">
        <v>2064</v>
      </c>
      <c r="D66" t="s">
        <v>13</v>
      </c>
      <c r="E66" t="s">
        <v>75</v>
      </c>
      <c r="F66" t="s">
        <v>463</v>
      </c>
      <c r="H66" t="s">
        <v>10619</v>
      </c>
      <c r="I66" t="s">
        <v>7609</v>
      </c>
      <c r="J66" t="s">
        <v>5777</v>
      </c>
      <c r="K66" t="s">
        <v>13</v>
      </c>
      <c r="L66" t="s">
        <v>75</v>
      </c>
      <c r="M66" t="s">
        <v>10620</v>
      </c>
      <c r="O66" t="s">
        <v>10619</v>
      </c>
      <c r="P66" t="s">
        <v>9895</v>
      </c>
      <c r="Q66" t="s">
        <v>8953</v>
      </c>
      <c r="R66" t="s">
        <v>13</v>
      </c>
      <c r="S66" t="s">
        <v>75</v>
      </c>
      <c r="T66" t="s">
        <v>10627</v>
      </c>
    </row>
    <row r="67" spans="1:20">
      <c r="A67" t="s">
        <v>10619</v>
      </c>
      <c r="B67" t="s">
        <v>4256</v>
      </c>
      <c r="C67" t="s">
        <v>2064</v>
      </c>
      <c r="D67" t="s">
        <v>13</v>
      </c>
      <c r="E67" t="s">
        <v>75</v>
      </c>
      <c r="F67" t="s">
        <v>463</v>
      </c>
      <c r="H67" t="s">
        <v>10619</v>
      </c>
      <c r="I67" t="s">
        <v>7610</v>
      </c>
      <c r="J67" t="s">
        <v>5779</v>
      </c>
      <c r="K67" t="s">
        <v>13</v>
      </c>
      <c r="L67" t="s">
        <v>75</v>
      </c>
      <c r="M67" t="s">
        <v>10620</v>
      </c>
      <c r="O67" t="s">
        <v>10619</v>
      </c>
      <c r="P67" t="s">
        <v>9896</v>
      </c>
      <c r="Q67" t="s">
        <v>8953</v>
      </c>
      <c r="R67" t="s">
        <v>13</v>
      </c>
      <c r="S67" t="s">
        <v>75</v>
      </c>
      <c r="T67" t="s">
        <v>10627</v>
      </c>
    </row>
    <row r="68" spans="1:20">
      <c r="A68" t="s">
        <v>10619</v>
      </c>
      <c r="B68" t="s">
        <v>4257</v>
      </c>
      <c r="C68" t="s">
        <v>2064</v>
      </c>
      <c r="D68" t="s">
        <v>13</v>
      </c>
      <c r="E68" t="s">
        <v>75</v>
      </c>
      <c r="F68" t="s">
        <v>463</v>
      </c>
      <c r="H68" t="s">
        <v>10619</v>
      </c>
      <c r="I68" t="s">
        <v>7611</v>
      </c>
      <c r="J68" t="s">
        <v>5781</v>
      </c>
      <c r="K68" t="s">
        <v>13</v>
      </c>
      <c r="L68" t="s">
        <v>75</v>
      </c>
      <c r="M68" t="s">
        <v>10621</v>
      </c>
      <c r="O68" t="s">
        <v>10619</v>
      </c>
      <c r="P68" t="s">
        <v>9897</v>
      </c>
      <c r="Q68" t="s">
        <v>8966</v>
      </c>
      <c r="R68" t="s">
        <v>13</v>
      </c>
      <c r="S68" t="s">
        <v>75</v>
      </c>
      <c r="T68" t="s">
        <v>10627</v>
      </c>
    </row>
    <row r="69" spans="1:20">
      <c r="A69" t="s">
        <v>10619</v>
      </c>
      <c r="B69" t="s">
        <v>4258</v>
      </c>
      <c r="C69" t="s">
        <v>2087</v>
      </c>
      <c r="D69" t="s">
        <v>13</v>
      </c>
      <c r="E69" t="s">
        <v>75</v>
      </c>
      <c r="F69" t="s">
        <v>465</v>
      </c>
      <c r="H69" t="s">
        <v>10619</v>
      </c>
      <c r="I69" t="s">
        <v>7612</v>
      </c>
      <c r="J69" t="s">
        <v>5783</v>
      </c>
      <c r="K69" t="s">
        <v>13</v>
      </c>
      <c r="L69" t="s">
        <v>75</v>
      </c>
      <c r="M69" t="s">
        <v>10621</v>
      </c>
      <c r="O69" t="s">
        <v>10619</v>
      </c>
      <c r="P69" t="s">
        <v>9898</v>
      </c>
      <c r="Q69" t="s">
        <v>8946</v>
      </c>
      <c r="R69" t="s">
        <v>13</v>
      </c>
      <c r="S69" t="s">
        <v>75</v>
      </c>
      <c r="T69" t="s">
        <v>10627</v>
      </c>
    </row>
    <row r="70" spans="1:20">
      <c r="A70" t="s">
        <v>10619</v>
      </c>
      <c r="B70" t="s">
        <v>4259</v>
      </c>
      <c r="C70" t="s">
        <v>2089</v>
      </c>
      <c r="D70" t="s">
        <v>13</v>
      </c>
      <c r="E70" t="s">
        <v>75</v>
      </c>
      <c r="F70" t="s">
        <v>465</v>
      </c>
      <c r="H70" t="s">
        <v>10619</v>
      </c>
      <c r="I70" t="s">
        <v>7613</v>
      </c>
      <c r="J70" t="s">
        <v>5785</v>
      </c>
      <c r="K70" t="s">
        <v>13</v>
      </c>
      <c r="L70" t="s">
        <v>75</v>
      </c>
      <c r="M70" t="s">
        <v>10625</v>
      </c>
      <c r="O70" t="s">
        <v>10619</v>
      </c>
      <c r="P70" t="s">
        <v>9899</v>
      </c>
      <c r="Q70" t="s">
        <v>8946</v>
      </c>
      <c r="R70" t="s">
        <v>13</v>
      </c>
      <c r="S70" t="s">
        <v>75</v>
      </c>
      <c r="T70" t="s">
        <v>10627</v>
      </c>
    </row>
    <row r="71" spans="1:20">
      <c r="A71" t="s">
        <v>10619</v>
      </c>
      <c r="B71" t="s">
        <v>4260</v>
      </c>
      <c r="C71" t="s">
        <v>2091</v>
      </c>
      <c r="D71" t="s">
        <v>13</v>
      </c>
      <c r="E71" t="s">
        <v>75</v>
      </c>
      <c r="F71" t="s">
        <v>465</v>
      </c>
      <c r="H71" t="s">
        <v>10619</v>
      </c>
      <c r="I71" t="s">
        <v>7614</v>
      </c>
      <c r="J71" t="s">
        <v>5787</v>
      </c>
      <c r="K71" t="s">
        <v>13</v>
      </c>
      <c r="L71" t="s">
        <v>75</v>
      </c>
      <c r="M71" t="s">
        <v>10625</v>
      </c>
      <c r="O71" t="s">
        <v>10619</v>
      </c>
      <c r="P71" t="s">
        <v>9900</v>
      </c>
      <c r="Q71" t="s">
        <v>8970</v>
      </c>
      <c r="R71" t="s">
        <v>13</v>
      </c>
      <c r="S71" t="s">
        <v>75</v>
      </c>
      <c r="T71" t="s">
        <v>10627</v>
      </c>
    </row>
    <row r="72" spans="1:20">
      <c r="A72" t="s">
        <v>10619</v>
      </c>
      <c r="B72" t="s">
        <v>4261</v>
      </c>
      <c r="C72" t="s">
        <v>2093</v>
      </c>
      <c r="D72" t="s">
        <v>13</v>
      </c>
      <c r="E72" t="s">
        <v>75</v>
      </c>
      <c r="F72" t="s">
        <v>465</v>
      </c>
      <c r="H72" t="s">
        <v>10619</v>
      </c>
      <c r="I72" t="s">
        <v>7615</v>
      </c>
      <c r="J72" t="s">
        <v>5789</v>
      </c>
      <c r="K72" t="s">
        <v>13</v>
      </c>
      <c r="L72" t="s">
        <v>75</v>
      </c>
      <c r="M72" t="s">
        <v>10625</v>
      </c>
      <c r="O72" t="s">
        <v>10619</v>
      </c>
      <c r="P72" t="s">
        <v>9901</v>
      </c>
      <c r="Q72" t="s">
        <v>8972</v>
      </c>
      <c r="R72" t="s">
        <v>13</v>
      </c>
      <c r="S72" t="s">
        <v>75</v>
      </c>
      <c r="T72" t="s">
        <v>10627</v>
      </c>
    </row>
    <row r="73" spans="1:20">
      <c r="A73" t="s">
        <v>10619</v>
      </c>
      <c r="B73" t="s">
        <v>4262</v>
      </c>
      <c r="C73" t="s">
        <v>2095</v>
      </c>
      <c r="D73" t="s">
        <v>13</v>
      </c>
      <c r="E73" t="s">
        <v>75</v>
      </c>
      <c r="F73" t="s">
        <v>10620</v>
      </c>
      <c r="H73" t="s">
        <v>10619</v>
      </c>
      <c r="I73" t="s">
        <v>7616</v>
      </c>
      <c r="J73" t="s">
        <v>5791</v>
      </c>
      <c r="K73" t="s">
        <v>13</v>
      </c>
      <c r="L73" t="s">
        <v>75</v>
      </c>
      <c r="M73" t="s">
        <v>10621</v>
      </c>
      <c r="O73" t="s">
        <v>10619</v>
      </c>
      <c r="P73" t="s">
        <v>9902</v>
      </c>
      <c r="Q73" t="s">
        <v>8966</v>
      </c>
      <c r="R73" t="s">
        <v>13</v>
      </c>
      <c r="S73" t="s">
        <v>75</v>
      </c>
      <c r="T73" t="s">
        <v>10627</v>
      </c>
    </row>
    <row r="74" spans="1:20">
      <c r="A74" t="s">
        <v>10619</v>
      </c>
      <c r="B74" t="s">
        <v>4263</v>
      </c>
      <c r="C74" t="s">
        <v>2097</v>
      </c>
      <c r="D74" t="s">
        <v>13</v>
      </c>
      <c r="E74" t="s">
        <v>75</v>
      </c>
      <c r="F74" t="s">
        <v>10620</v>
      </c>
      <c r="H74" t="s">
        <v>10619</v>
      </c>
      <c r="I74" t="s">
        <v>7617</v>
      </c>
      <c r="J74" t="s">
        <v>5793</v>
      </c>
      <c r="K74" t="s">
        <v>13</v>
      </c>
      <c r="L74" t="s">
        <v>75</v>
      </c>
      <c r="M74" t="s">
        <v>10621</v>
      </c>
      <c r="O74" t="s">
        <v>10619</v>
      </c>
      <c r="P74" t="s">
        <v>9903</v>
      </c>
      <c r="Q74" t="s">
        <v>8966</v>
      </c>
      <c r="R74" t="s">
        <v>13</v>
      </c>
      <c r="S74" t="s">
        <v>75</v>
      </c>
      <c r="T74" t="s">
        <v>10627</v>
      </c>
    </row>
    <row r="75" spans="1:20">
      <c r="A75" t="s">
        <v>10619</v>
      </c>
      <c r="B75" t="s">
        <v>4264</v>
      </c>
      <c r="C75" t="s">
        <v>2099</v>
      </c>
      <c r="D75" t="s">
        <v>13</v>
      </c>
      <c r="E75" t="s">
        <v>75</v>
      </c>
      <c r="F75" t="s">
        <v>10620</v>
      </c>
      <c r="H75" t="s">
        <v>10619</v>
      </c>
      <c r="I75" t="s">
        <v>7618</v>
      </c>
      <c r="J75" t="s">
        <v>5795</v>
      </c>
      <c r="K75" t="s">
        <v>13</v>
      </c>
      <c r="L75" t="s">
        <v>75</v>
      </c>
      <c r="M75" t="s">
        <v>10621</v>
      </c>
      <c r="O75" t="s">
        <v>10619</v>
      </c>
      <c r="P75" t="s">
        <v>9904</v>
      </c>
      <c r="Q75" t="s">
        <v>8976</v>
      </c>
      <c r="R75" t="s">
        <v>13</v>
      </c>
      <c r="S75" t="s">
        <v>75</v>
      </c>
      <c r="T75" t="s">
        <v>10624</v>
      </c>
    </row>
    <row r="76" spans="1:20">
      <c r="A76" t="s">
        <v>10619</v>
      </c>
      <c r="B76" t="s">
        <v>4265</v>
      </c>
      <c r="C76" t="s">
        <v>2101</v>
      </c>
      <c r="D76" t="s">
        <v>13</v>
      </c>
      <c r="E76" t="s">
        <v>75</v>
      </c>
      <c r="F76" t="s">
        <v>10620</v>
      </c>
      <c r="H76" t="s">
        <v>10619</v>
      </c>
      <c r="I76" t="s">
        <v>7619</v>
      </c>
      <c r="J76" t="s">
        <v>5797</v>
      </c>
      <c r="K76" t="s">
        <v>13</v>
      </c>
      <c r="L76" t="s">
        <v>75</v>
      </c>
      <c r="M76" t="s">
        <v>10621</v>
      </c>
      <c r="O76" t="s">
        <v>10619</v>
      </c>
      <c r="P76" t="s">
        <v>9905</v>
      </c>
      <c r="Q76" t="s">
        <v>8978</v>
      </c>
      <c r="R76" t="s">
        <v>13</v>
      </c>
      <c r="S76" t="s">
        <v>75</v>
      </c>
      <c r="T76" t="s">
        <v>10624</v>
      </c>
    </row>
    <row r="77" spans="1:20">
      <c r="A77" t="s">
        <v>10619</v>
      </c>
      <c r="B77" t="s">
        <v>4266</v>
      </c>
      <c r="C77" t="s">
        <v>2103</v>
      </c>
      <c r="D77" t="s">
        <v>13</v>
      </c>
      <c r="E77" t="s">
        <v>75</v>
      </c>
      <c r="F77" t="s">
        <v>10621</v>
      </c>
      <c r="H77" t="s">
        <v>10619</v>
      </c>
      <c r="I77" t="s">
        <v>7620</v>
      </c>
      <c r="J77" t="s">
        <v>5799</v>
      </c>
      <c r="K77" t="s">
        <v>13</v>
      </c>
      <c r="L77" t="s">
        <v>75</v>
      </c>
      <c r="M77" t="s">
        <v>10621</v>
      </c>
      <c r="O77" t="s">
        <v>10619</v>
      </c>
      <c r="P77" t="s">
        <v>9906</v>
      </c>
      <c r="Q77" t="s">
        <v>8978</v>
      </c>
      <c r="R77" t="s">
        <v>13</v>
      </c>
      <c r="S77" t="s">
        <v>75</v>
      </c>
      <c r="T77" t="s">
        <v>10624</v>
      </c>
    </row>
    <row r="78" spans="1:20">
      <c r="A78" t="s">
        <v>10619</v>
      </c>
      <c r="B78" t="s">
        <v>4267</v>
      </c>
      <c r="C78" t="s">
        <v>2105</v>
      </c>
      <c r="D78" t="s">
        <v>13</v>
      </c>
      <c r="E78" t="s">
        <v>75</v>
      </c>
      <c r="F78" t="s">
        <v>10621</v>
      </c>
      <c r="H78" t="s">
        <v>10619</v>
      </c>
      <c r="I78" t="s">
        <v>7621</v>
      </c>
      <c r="J78" t="s">
        <v>5801</v>
      </c>
      <c r="K78" t="s">
        <v>13</v>
      </c>
      <c r="L78" t="s">
        <v>75</v>
      </c>
      <c r="M78" t="s">
        <v>10621</v>
      </c>
      <c r="O78" t="s">
        <v>10619</v>
      </c>
      <c r="P78" t="s">
        <v>9907</v>
      </c>
      <c r="Q78" t="s">
        <v>8978</v>
      </c>
      <c r="R78" t="s">
        <v>13</v>
      </c>
      <c r="S78" t="s">
        <v>75</v>
      </c>
      <c r="T78" t="s">
        <v>10624</v>
      </c>
    </row>
    <row r="79" spans="1:20">
      <c r="A79" t="s">
        <v>10619</v>
      </c>
      <c r="B79" t="s">
        <v>4268</v>
      </c>
      <c r="C79" t="s">
        <v>2107</v>
      </c>
      <c r="D79" t="s">
        <v>13</v>
      </c>
      <c r="E79" t="s">
        <v>75</v>
      </c>
      <c r="F79" t="s">
        <v>10625</v>
      </c>
      <c r="H79" t="s">
        <v>10619</v>
      </c>
      <c r="I79" t="s">
        <v>7622</v>
      </c>
      <c r="J79" t="s">
        <v>5803</v>
      </c>
      <c r="K79" t="s">
        <v>13</v>
      </c>
      <c r="L79" t="s">
        <v>75</v>
      </c>
      <c r="M79" t="s">
        <v>10621</v>
      </c>
      <c r="O79" t="s">
        <v>10619</v>
      </c>
      <c r="P79" t="s">
        <v>9908</v>
      </c>
      <c r="Q79" t="s">
        <v>8982</v>
      </c>
      <c r="R79" t="s">
        <v>13</v>
      </c>
      <c r="S79" t="s">
        <v>75</v>
      </c>
      <c r="T79" t="s">
        <v>10624</v>
      </c>
    </row>
    <row r="80" spans="1:20">
      <c r="A80" t="s">
        <v>10619</v>
      </c>
      <c r="B80" t="s">
        <v>4269</v>
      </c>
      <c r="C80" t="s">
        <v>2109</v>
      </c>
      <c r="D80" t="s">
        <v>13</v>
      </c>
      <c r="E80" t="s">
        <v>75</v>
      </c>
      <c r="F80" t="s">
        <v>10625</v>
      </c>
      <c r="H80" t="s">
        <v>10619</v>
      </c>
      <c r="I80" t="s">
        <v>7623</v>
      </c>
      <c r="J80" t="s">
        <v>5805</v>
      </c>
      <c r="K80" t="s">
        <v>13</v>
      </c>
      <c r="L80" t="s">
        <v>75</v>
      </c>
      <c r="M80" t="s">
        <v>10621</v>
      </c>
      <c r="O80" t="s">
        <v>10619</v>
      </c>
      <c r="P80" t="s">
        <v>9909</v>
      </c>
      <c r="Q80" t="s">
        <v>8984</v>
      </c>
      <c r="R80" t="s">
        <v>13</v>
      </c>
      <c r="S80" t="s">
        <v>75</v>
      </c>
      <c r="T80" t="s">
        <v>10624</v>
      </c>
    </row>
    <row r="81" spans="1:20">
      <c r="A81" t="s">
        <v>10619</v>
      </c>
      <c r="B81" t="s">
        <v>4270</v>
      </c>
      <c r="C81" t="s">
        <v>2111</v>
      </c>
      <c r="D81" t="s">
        <v>13</v>
      </c>
      <c r="E81" t="s">
        <v>75</v>
      </c>
      <c r="F81" t="s">
        <v>10625</v>
      </c>
      <c r="H81" t="s">
        <v>10619</v>
      </c>
      <c r="I81" t="s">
        <v>7624</v>
      </c>
      <c r="J81" t="s">
        <v>5807</v>
      </c>
      <c r="K81" t="s">
        <v>13</v>
      </c>
      <c r="L81" t="s">
        <v>75</v>
      </c>
      <c r="M81" t="s">
        <v>10621</v>
      </c>
      <c r="O81" t="s">
        <v>10619</v>
      </c>
      <c r="P81" t="s">
        <v>9910</v>
      </c>
      <c r="Q81" t="s">
        <v>8986</v>
      </c>
      <c r="R81" t="s">
        <v>13</v>
      </c>
      <c r="S81" t="s">
        <v>75</v>
      </c>
      <c r="T81" t="s">
        <v>10624</v>
      </c>
    </row>
    <row r="82" spans="1:20">
      <c r="A82" t="s">
        <v>10619</v>
      </c>
      <c r="B82" t="s">
        <v>4271</v>
      </c>
      <c r="C82" t="s">
        <v>2113</v>
      </c>
      <c r="D82" t="s">
        <v>13</v>
      </c>
      <c r="E82" t="s">
        <v>75</v>
      </c>
      <c r="F82" t="s">
        <v>10621</v>
      </c>
      <c r="H82" t="s">
        <v>10619</v>
      </c>
      <c r="I82" t="s">
        <v>7625</v>
      </c>
      <c r="J82" t="s">
        <v>5809</v>
      </c>
      <c r="K82" t="s">
        <v>13</v>
      </c>
      <c r="L82" t="s">
        <v>75</v>
      </c>
      <c r="M82" t="s">
        <v>10621</v>
      </c>
      <c r="O82" t="s">
        <v>10619</v>
      </c>
      <c r="P82" t="s">
        <v>9911</v>
      </c>
      <c r="Q82" t="s">
        <v>8988</v>
      </c>
      <c r="R82" t="s">
        <v>13</v>
      </c>
      <c r="S82" t="s">
        <v>75</v>
      </c>
      <c r="T82" t="s">
        <v>10624</v>
      </c>
    </row>
    <row r="83" spans="1:20">
      <c r="A83" t="s">
        <v>10619</v>
      </c>
      <c r="B83" t="s">
        <v>4272</v>
      </c>
      <c r="C83" t="s">
        <v>2115</v>
      </c>
      <c r="D83" t="s">
        <v>13</v>
      </c>
      <c r="E83" t="s">
        <v>75</v>
      </c>
      <c r="F83" t="s">
        <v>10621</v>
      </c>
      <c r="H83" t="s">
        <v>10619</v>
      </c>
      <c r="I83" t="s">
        <v>7626</v>
      </c>
      <c r="J83" t="s">
        <v>5811</v>
      </c>
      <c r="K83" t="s">
        <v>13</v>
      </c>
      <c r="L83" t="s">
        <v>75</v>
      </c>
      <c r="M83" t="s">
        <v>10621</v>
      </c>
      <c r="O83" t="s">
        <v>10619</v>
      </c>
      <c r="P83" t="s">
        <v>9912</v>
      </c>
      <c r="Q83" t="s">
        <v>8990</v>
      </c>
      <c r="R83" t="s">
        <v>13</v>
      </c>
      <c r="S83" t="s">
        <v>75</v>
      </c>
      <c r="T83" t="s">
        <v>481</v>
      </c>
    </row>
    <row r="84" spans="1:20">
      <c r="A84" t="s">
        <v>10619</v>
      </c>
      <c r="B84" t="s">
        <v>4273</v>
      </c>
      <c r="C84" t="s">
        <v>2117</v>
      </c>
      <c r="D84" t="s">
        <v>13</v>
      </c>
      <c r="E84" t="s">
        <v>75</v>
      </c>
      <c r="F84" t="s">
        <v>10621</v>
      </c>
      <c r="H84" t="s">
        <v>10619</v>
      </c>
      <c r="I84" t="s">
        <v>7627</v>
      </c>
      <c r="J84" t="s">
        <v>5813</v>
      </c>
      <c r="K84" t="s">
        <v>13</v>
      </c>
      <c r="L84" t="s">
        <v>75</v>
      </c>
      <c r="M84" t="s">
        <v>10620</v>
      </c>
      <c r="O84" t="s">
        <v>10619</v>
      </c>
      <c r="P84" t="s">
        <v>9913</v>
      </c>
      <c r="Q84" t="s">
        <v>8992</v>
      </c>
      <c r="R84" t="s">
        <v>13</v>
      </c>
      <c r="S84" t="s">
        <v>75</v>
      </c>
      <c r="T84" t="s">
        <v>481</v>
      </c>
    </row>
    <row r="85" spans="1:20">
      <c r="A85" t="s">
        <v>10619</v>
      </c>
      <c r="B85" t="s">
        <v>4274</v>
      </c>
      <c r="C85" t="s">
        <v>2119</v>
      </c>
      <c r="D85" t="s">
        <v>13</v>
      </c>
      <c r="E85" t="s">
        <v>75</v>
      </c>
      <c r="F85" t="s">
        <v>10621</v>
      </c>
      <c r="H85" t="s">
        <v>10619</v>
      </c>
      <c r="I85" t="s">
        <v>7628</v>
      </c>
      <c r="J85" t="s">
        <v>5815</v>
      </c>
      <c r="K85" t="s">
        <v>13</v>
      </c>
      <c r="L85" t="s">
        <v>75</v>
      </c>
      <c r="M85" t="s">
        <v>10620</v>
      </c>
      <c r="O85" t="s">
        <v>10619</v>
      </c>
      <c r="P85" t="s">
        <v>9914</v>
      </c>
      <c r="Q85" t="s">
        <v>8994</v>
      </c>
      <c r="R85" t="s">
        <v>13</v>
      </c>
      <c r="S85" t="s">
        <v>75</v>
      </c>
      <c r="T85" t="s">
        <v>481</v>
      </c>
    </row>
    <row r="86" spans="1:20">
      <c r="A86" t="s">
        <v>10619</v>
      </c>
      <c r="B86" t="s">
        <v>4275</v>
      </c>
      <c r="C86" t="s">
        <v>2121</v>
      </c>
      <c r="D86" t="s">
        <v>13</v>
      </c>
      <c r="E86" t="s">
        <v>75</v>
      </c>
      <c r="F86" t="s">
        <v>10621</v>
      </c>
      <c r="H86" t="s">
        <v>10619</v>
      </c>
      <c r="I86" t="s">
        <v>7629</v>
      </c>
      <c r="J86" t="s">
        <v>5817</v>
      </c>
      <c r="K86" t="s">
        <v>13</v>
      </c>
      <c r="L86" t="s">
        <v>75</v>
      </c>
      <c r="M86" t="s">
        <v>10620</v>
      </c>
      <c r="O86" t="s">
        <v>10619</v>
      </c>
      <c r="P86" t="s">
        <v>9915</v>
      </c>
      <c r="Q86" t="s">
        <v>8990</v>
      </c>
      <c r="R86" t="s">
        <v>13</v>
      </c>
      <c r="S86" t="s">
        <v>75</v>
      </c>
      <c r="T86" t="s">
        <v>481</v>
      </c>
    </row>
    <row r="87" spans="1:20">
      <c r="A87" t="s">
        <v>10619</v>
      </c>
      <c r="B87" t="s">
        <v>4276</v>
      </c>
      <c r="C87" t="s">
        <v>2123</v>
      </c>
      <c r="D87" t="s">
        <v>13</v>
      </c>
      <c r="E87" t="s">
        <v>75</v>
      </c>
      <c r="F87" t="s">
        <v>10621</v>
      </c>
      <c r="H87" t="s">
        <v>10619</v>
      </c>
      <c r="I87" t="s">
        <v>7630</v>
      </c>
      <c r="J87" t="s">
        <v>5819</v>
      </c>
      <c r="K87" t="s">
        <v>13</v>
      </c>
      <c r="L87" t="s">
        <v>75</v>
      </c>
      <c r="M87" t="s">
        <v>10620</v>
      </c>
      <c r="O87" t="s">
        <v>10619</v>
      </c>
      <c r="P87" t="s">
        <v>9916</v>
      </c>
      <c r="Q87" t="s">
        <v>8990</v>
      </c>
      <c r="R87" t="s">
        <v>13</v>
      </c>
      <c r="S87" t="s">
        <v>75</v>
      </c>
      <c r="T87" t="s">
        <v>481</v>
      </c>
    </row>
    <row r="88" spans="1:20">
      <c r="A88" t="s">
        <v>10619</v>
      </c>
      <c r="B88" t="s">
        <v>4277</v>
      </c>
      <c r="C88" t="s">
        <v>2125</v>
      </c>
      <c r="D88" t="s">
        <v>13</v>
      </c>
      <c r="E88" t="s">
        <v>75</v>
      </c>
      <c r="F88" t="s">
        <v>10621</v>
      </c>
      <c r="H88" t="s">
        <v>10619</v>
      </c>
      <c r="I88" t="s">
        <v>7631</v>
      </c>
      <c r="J88" t="s">
        <v>5821</v>
      </c>
      <c r="K88" t="s">
        <v>13</v>
      </c>
      <c r="L88" t="s">
        <v>75</v>
      </c>
      <c r="M88" t="s">
        <v>10620</v>
      </c>
      <c r="O88" t="s">
        <v>10619</v>
      </c>
      <c r="P88" t="s">
        <v>9917</v>
      </c>
      <c r="Q88" t="s">
        <v>8990</v>
      </c>
      <c r="R88" t="s">
        <v>13</v>
      </c>
      <c r="S88" t="s">
        <v>75</v>
      </c>
      <c r="T88" t="s">
        <v>481</v>
      </c>
    </row>
    <row r="89" spans="1:20">
      <c r="A89" t="s">
        <v>10619</v>
      </c>
      <c r="B89" t="s">
        <v>4278</v>
      </c>
      <c r="C89" t="s">
        <v>2127</v>
      </c>
      <c r="D89" t="s">
        <v>13</v>
      </c>
      <c r="E89" t="s">
        <v>75</v>
      </c>
      <c r="F89" t="s">
        <v>10621</v>
      </c>
      <c r="H89" t="s">
        <v>10619</v>
      </c>
      <c r="I89" t="s">
        <v>7632</v>
      </c>
      <c r="J89" t="s">
        <v>5823</v>
      </c>
      <c r="K89" t="s">
        <v>13</v>
      </c>
      <c r="L89" t="s">
        <v>75</v>
      </c>
      <c r="M89" t="s">
        <v>10626</v>
      </c>
      <c r="O89" t="s">
        <v>10619</v>
      </c>
      <c r="P89" t="s">
        <v>9918</v>
      </c>
      <c r="Q89" t="s">
        <v>8999</v>
      </c>
      <c r="R89" t="s">
        <v>13</v>
      </c>
      <c r="S89" t="s">
        <v>75</v>
      </c>
      <c r="T89" t="s">
        <v>481</v>
      </c>
    </row>
    <row r="90" spans="1:20">
      <c r="A90" t="s">
        <v>10619</v>
      </c>
      <c r="B90" t="s">
        <v>4279</v>
      </c>
      <c r="C90" t="s">
        <v>2129</v>
      </c>
      <c r="D90" t="s">
        <v>13</v>
      </c>
      <c r="E90" t="s">
        <v>75</v>
      </c>
      <c r="F90" t="s">
        <v>10621</v>
      </c>
      <c r="H90" t="s">
        <v>10619</v>
      </c>
      <c r="I90" t="s">
        <v>7633</v>
      </c>
      <c r="J90" t="s">
        <v>5825</v>
      </c>
      <c r="K90" t="s">
        <v>13</v>
      </c>
      <c r="L90" t="s">
        <v>75</v>
      </c>
      <c r="M90" t="s">
        <v>10626</v>
      </c>
      <c r="O90" t="s">
        <v>10619</v>
      </c>
      <c r="P90" t="s">
        <v>9919</v>
      </c>
      <c r="Q90" t="s">
        <v>9001</v>
      </c>
      <c r="R90" t="s">
        <v>13</v>
      </c>
      <c r="S90" t="s">
        <v>75</v>
      </c>
      <c r="T90" t="s">
        <v>481</v>
      </c>
    </row>
    <row r="91" spans="1:20">
      <c r="A91" t="s">
        <v>10619</v>
      </c>
      <c r="B91" t="s">
        <v>4280</v>
      </c>
      <c r="C91" t="s">
        <v>2131</v>
      </c>
      <c r="D91" t="s">
        <v>13</v>
      </c>
      <c r="E91" t="s">
        <v>75</v>
      </c>
      <c r="F91" t="s">
        <v>10621</v>
      </c>
      <c r="H91" t="s">
        <v>10619</v>
      </c>
      <c r="I91" t="s">
        <v>7634</v>
      </c>
      <c r="J91" t="s">
        <v>5827</v>
      </c>
      <c r="K91" t="s">
        <v>13</v>
      </c>
      <c r="L91" t="s">
        <v>75</v>
      </c>
      <c r="M91" t="s">
        <v>10626</v>
      </c>
      <c r="O91" t="s">
        <v>10619</v>
      </c>
      <c r="P91" t="s">
        <v>9920</v>
      </c>
      <c r="Q91" t="s">
        <v>9003</v>
      </c>
      <c r="R91" t="s">
        <v>13</v>
      </c>
      <c r="S91" t="s">
        <v>75</v>
      </c>
      <c r="T91" t="s">
        <v>481</v>
      </c>
    </row>
    <row r="92" spans="1:20">
      <c r="A92" t="s">
        <v>10619</v>
      </c>
      <c r="B92" t="s">
        <v>4281</v>
      </c>
      <c r="C92" t="s">
        <v>2133</v>
      </c>
      <c r="D92" t="s">
        <v>13</v>
      </c>
      <c r="E92" t="s">
        <v>75</v>
      </c>
      <c r="F92" t="s">
        <v>10621</v>
      </c>
      <c r="H92" t="s">
        <v>10619</v>
      </c>
      <c r="I92" t="s">
        <v>7635</v>
      </c>
      <c r="J92" t="s">
        <v>5829</v>
      </c>
      <c r="K92" t="s">
        <v>13</v>
      </c>
      <c r="L92" t="s">
        <v>75</v>
      </c>
      <c r="M92" t="s">
        <v>10626</v>
      </c>
      <c r="O92" t="s">
        <v>10619</v>
      </c>
      <c r="P92" t="s">
        <v>9921</v>
      </c>
      <c r="Q92" t="s">
        <v>9003</v>
      </c>
      <c r="R92" t="s">
        <v>13</v>
      </c>
      <c r="S92" t="s">
        <v>75</v>
      </c>
      <c r="T92" t="s">
        <v>481</v>
      </c>
    </row>
    <row r="93" spans="1:20">
      <c r="A93" t="s">
        <v>10619</v>
      </c>
      <c r="B93" t="s">
        <v>4282</v>
      </c>
      <c r="C93" t="s">
        <v>2135</v>
      </c>
      <c r="D93" t="s">
        <v>13</v>
      </c>
      <c r="E93" t="s">
        <v>75</v>
      </c>
      <c r="F93" t="s">
        <v>10621</v>
      </c>
      <c r="H93" t="s">
        <v>10619</v>
      </c>
      <c r="I93" t="s">
        <v>7636</v>
      </c>
      <c r="J93" t="s">
        <v>5831</v>
      </c>
      <c r="K93" t="s">
        <v>13</v>
      </c>
      <c r="L93" t="s">
        <v>75</v>
      </c>
      <c r="M93" t="s">
        <v>10622</v>
      </c>
      <c r="O93" t="s">
        <v>10619</v>
      </c>
      <c r="P93" t="s">
        <v>9922</v>
      </c>
      <c r="Q93" t="s">
        <v>9006</v>
      </c>
      <c r="R93" t="s">
        <v>13</v>
      </c>
      <c r="S93" t="s">
        <v>75</v>
      </c>
      <c r="T93" t="s">
        <v>10621</v>
      </c>
    </row>
    <row r="94" spans="1:20">
      <c r="A94" t="s">
        <v>10619</v>
      </c>
      <c r="B94" t="s">
        <v>4283</v>
      </c>
      <c r="C94" t="s">
        <v>2137</v>
      </c>
      <c r="D94" t="s">
        <v>13</v>
      </c>
      <c r="E94" t="s">
        <v>75</v>
      </c>
      <c r="F94" t="s">
        <v>10620</v>
      </c>
      <c r="H94" t="s">
        <v>10619</v>
      </c>
      <c r="I94" t="s">
        <v>7637</v>
      </c>
      <c r="J94" t="s">
        <v>5833</v>
      </c>
      <c r="K94" t="s">
        <v>13</v>
      </c>
      <c r="L94" t="s">
        <v>75</v>
      </c>
      <c r="M94" t="s">
        <v>10622</v>
      </c>
      <c r="O94" t="s">
        <v>10619</v>
      </c>
      <c r="P94" t="s">
        <v>9923</v>
      </c>
      <c r="Q94" t="s">
        <v>9008</v>
      </c>
      <c r="R94" t="s">
        <v>13</v>
      </c>
      <c r="S94" t="s">
        <v>75</v>
      </c>
      <c r="T94" t="s">
        <v>10621</v>
      </c>
    </row>
    <row r="95" spans="1:20">
      <c r="A95" t="s">
        <v>10619</v>
      </c>
      <c r="B95" t="s">
        <v>4284</v>
      </c>
      <c r="C95" t="s">
        <v>2139</v>
      </c>
      <c r="D95" t="s">
        <v>13</v>
      </c>
      <c r="E95" t="s">
        <v>75</v>
      </c>
      <c r="F95" t="s">
        <v>10620</v>
      </c>
      <c r="H95" t="s">
        <v>10619</v>
      </c>
      <c r="I95" t="s">
        <v>7638</v>
      </c>
      <c r="J95" t="s">
        <v>5835</v>
      </c>
      <c r="K95" t="s">
        <v>13</v>
      </c>
      <c r="L95" t="s">
        <v>75</v>
      </c>
      <c r="M95" t="s">
        <v>123</v>
      </c>
      <c r="O95" t="s">
        <v>10619</v>
      </c>
      <c r="P95" t="s">
        <v>9924</v>
      </c>
      <c r="Q95" t="s">
        <v>9010</v>
      </c>
      <c r="R95" t="s">
        <v>13</v>
      </c>
      <c r="S95" t="s">
        <v>75</v>
      </c>
      <c r="T95" t="s">
        <v>10621</v>
      </c>
    </row>
    <row r="96" spans="1:20">
      <c r="A96" t="s">
        <v>10619</v>
      </c>
      <c r="B96" t="s">
        <v>4285</v>
      </c>
      <c r="C96" t="s">
        <v>2141</v>
      </c>
      <c r="D96" t="s">
        <v>13</v>
      </c>
      <c r="E96" t="s">
        <v>75</v>
      </c>
      <c r="F96" t="s">
        <v>10620</v>
      </c>
      <c r="H96" t="s">
        <v>10619</v>
      </c>
      <c r="I96" t="s">
        <v>7639</v>
      </c>
      <c r="J96" t="s">
        <v>5837</v>
      </c>
      <c r="K96" t="s">
        <v>13</v>
      </c>
      <c r="L96" t="s">
        <v>75</v>
      </c>
      <c r="M96" t="s">
        <v>123</v>
      </c>
      <c r="O96" t="s">
        <v>10619</v>
      </c>
      <c r="P96" t="s">
        <v>9925</v>
      </c>
      <c r="Q96" t="s">
        <v>9012</v>
      </c>
      <c r="R96" t="s">
        <v>13</v>
      </c>
      <c r="S96" t="s">
        <v>75</v>
      </c>
      <c r="T96" t="s">
        <v>10621</v>
      </c>
    </row>
    <row r="97" spans="1:20">
      <c r="A97" t="s">
        <v>10619</v>
      </c>
      <c r="B97" t="s">
        <v>4286</v>
      </c>
      <c r="C97" t="s">
        <v>2143</v>
      </c>
      <c r="D97" t="s">
        <v>13</v>
      </c>
      <c r="E97" t="s">
        <v>75</v>
      </c>
      <c r="F97" t="s">
        <v>10620</v>
      </c>
      <c r="H97" t="s">
        <v>10619</v>
      </c>
      <c r="I97" t="s">
        <v>7640</v>
      </c>
      <c r="J97" t="s">
        <v>5839</v>
      </c>
      <c r="K97" t="s">
        <v>13</v>
      </c>
      <c r="L97" t="s">
        <v>75</v>
      </c>
      <c r="M97" t="s">
        <v>123</v>
      </c>
      <c r="O97" t="s">
        <v>10619</v>
      </c>
      <c r="P97" t="s">
        <v>9926</v>
      </c>
      <c r="Q97" t="s">
        <v>9014</v>
      </c>
      <c r="R97" t="s">
        <v>13</v>
      </c>
      <c r="S97" t="s">
        <v>75</v>
      </c>
      <c r="T97" t="s">
        <v>10621</v>
      </c>
    </row>
    <row r="98" spans="1:20">
      <c r="A98" t="s">
        <v>10619</v>
      </c>
      <c r="B98" t="s">
        <v>4287</v>
      </c>
      <c r="C98" t="s">
        <v>2145</v>
      </c>
      <c r="D98" t="s">
        <v>13</v>
      </c>
      <c r="E98" t="s">
        <v>75</v>
      </c>
      <c r="F98" t="s">
        <v>10620</v>
      </c>
      <c r="H98" t="s">
        <v>10619</v>
      </c>
      <c r="I98" t="s">
        <v>7641</v>
      </c>
      <c r="J98" t="s">
        <v>5841</v>
      </c>
      <c r="K98" t="s">
        <v>13</v>
      </c>
      <c r="L98" t="s">
        <v>75</v>
      </c>
      <c r="M98" t="s">
        <v>123</v>
      </c>
      <c r="O98" t="s">
        <v>10619</v>
      </c>
      <c r="P98" t="s">
        <v>9927</v>
      </c>
      <c r="Q98" t="s">
        <v>9016</v>
      </c>
      <c r="R98" t="s">
        <v>13</v>
      </c>
      <c r="S98" t="s">
        <v>75</v>
      </c>
      <c r="T98" t="s">
        <v>10621</v>
      </c>
    </row>
    <row r="99" spans="1:20">
      <c r="A99" t="s">
        <v>10619</v>
      </c>
      <c r="B99" t="s">
        <v>4288</v>
      </c>
      <c r="C99" t="s">
        <v>2147</v>
      </c>
      <c r="D99" t="s">
        <v>13</v>
      </c>
      <c r="E99" t="s">
        <v>75</v>
      </c>
      <c r="F99" t="s">
        <v>10626</v>
      </c>
      <c r="H99" t="s">
        <v>10619</v>
      </c>
      <c r="I99" t="s">
        <v>7642</v>
      </c>
      <c r="J99" t="s">
        <v>5843</v>
      </c>
      <c r="K99" t="s">
        <v>13</v>
      </c>
      <c r="L99" t="s">
        <v>75</v>
      </c>
      <c r="M99" t="s">
        <v>123</v>
      </c>
      <c r="O99" t="s">
        <v>10619</v>
      </c>
      <c r="P99" t="s">
        <v>9928</v>
      </c>
      <c r="Q99" t="s">
        <v>9018</v>
      </c>
      <c r="R99" t="s">
        <v>13</v>
      </c>
      <c r="S99" t="s">
        <v>75</v>
      </c>
      <c r="T99" t="s">
        <v>10621</v>
      </c>
    </row>
    <row r="100" spans="1:20">
      <c r="A100" t="s">
        <v>10619</v>
      </c>
      <c r="B100" t="s">
        <v>4289</v>
      </c>
      <c r="C100" t="s">
        <v>2149</v>
      </c>
      <c r="D100" t="s">
        <v>13</v>
      </c>
      <c r="E100" t="s">
        <v>75</v>
      </c>
      <c r="F100" t="s">
        <v>10626</v>
      </c>
      <c r="H100" t="s">
        <v>10619</v>
      </c>
      <c r="I100" t="s">
        <v>7643</v>
      </c>
      <c r="J100" t="s">
        <v>5845</v>
      </c>
      <c r="K100" t="s">
        <v>13</v>
      </c>
      <c r="L100" t="s">
        <v>75</v>
      </c>
      <c r="M100" t="s">
        <v>123</v>
      </c>
      <c r="O100" t="s">
        <v>10619</v>
      </c>
      <c r="P100" t="s">
        <v>9929</v>
      </c>
      <c r="Q100" t="s">
        <v>9020</v>
      </c>
      <c r="R100" t="s">
        <v>13</v>
      </c>
      <c r="S100" t="s">
        <v>75</v>
      </c>
      <c r="T100" t="s">
        <v>10624</v>
      </c>
    </row>
    <row r="101" spans="1:20">
      <c r="A101" t="s">
        <v>10619</v>
      </c>
      <c r="B101" t="s">
        <v>4290</v>
      </c>
      <c r="C101" t="s">
        <v>2151</v>
      </c>
      <c r="D101" t="s">
        <v>13</v>
      </c>
      <c r="E101" t="s">
        <v>75</v>
      </c>
      <c r="F101" t="s">
        <v>10626</v>
      </c>
      <c r="H101" t="s">
        <v>10619</v>
      </c>
      <c r="I101" t="s">
        <v>7644</v>
      </c>
      <c r="J101" t="s">
        <v>5847</v>
      </c>
      <c r="K101" t="s">
        <v>13</v>
      </c>
      <c r="L101" t="s">
        <v>75</v>
      </c>
      <c r="M101" t="s">
        <v>10624</v>
      </c>
      <c r="O101" t="s">
        <v>10619</v>
      </c>
      <c r="P101" t="s">
        <v>9930</v>
      </c>
      <c r="Q101" t="s">
        <v>9022</v>
      </c>
      <c r="R101" t="s">
        <v>13</v>
      </c>
      <c r="S101" t="s">
        <v>75</v>
      </c>
      <c r="T101" t="s">
        <v>10624</v>
      </c>
    </row>
    <row r="102" spans="1:20">
      <c r="A102" t="s">
        <v>10619</v>
      </c>
      <c r="B102" t="s">
        <v>4291</v>
      </c>
      <c r="C102" t="s">
        <v>2153</v>
      </c>
      <c r="D102" t="s">
        <v>13</v>
      </c>
      <c r="E102" t="s">
        <v>75</v>
      </c>
      <c r="F102" t="s">
        <v>10626</v>
      </c>
      <c r="H102" t="s">
        <v>10619</v>
      </c>
      <c r="I102" t="s">
        <v>7645</v>
      </c>
      <c r="J102" t="s">
        <v>5849</v>
      </c>
      <c r="K102" t="s">
        <v>13</v>
      </c>
      <c r="L102" t="s">
        <v>75</v>
      </c>
      <c r="M102" t="s">
        <v>10624</v>
      </c>
      <c r="O102" t="s">
        <v>10619</v>
      </c>
      <c r="P102" t="s">
        <v>9931</v>
      </c>
      <c r="Q102" t="s">
        <v>9024</v>
      </c>
      <c r="R102" t="s">
        <v>13</v>
      </c>
      <c r="S102" t="s">
        <v>75</v>
      </c>
      <c r="T102" t="s">
        <v>10624</v>
      </c>
    </row>
    <row r="103" spans="1:20">
      <c r="A103" t="s">
        <v>10619</v>
      </c>
      <c r="B103" t="s">
        <v>4292</v>
      </c>
      <c r="C103" t="s">
        <v>2155</v>
      </c>
      <c r="D103" t="s">
        <v>13</v>
      </c>
      <c r="E103" t="s">
        <v>75</v>
      </c>
      <c r="F103" t="s">
        <v>10622</v>
      </c>
      <c r="H103" t="s">
        <v>10619</v>
      </c>
      <c r="I103" t="s">
        <v>7646</v>
      </c>
      <c r="J103" t="s">
        <v>5851</v>
      </c>
      <c r="K103" t="s">
        <v>13</v>
      </c>
      <c r="L103" t="s">
        <v>75</v>
      </c>
      <c r="M103" t="s">
        <v>10624</v>
      </c>
      <c r="O103" t="s">
        <v>10619</v>
      </c>
      <c r="P103" t="s">
        <v>9932</v>
      </c>
      <c r="Q103" t="s">
        <v>9026</v>
      </c>
      <c r="R103" t="s">
        <v>13</v>
      </c>
      <c r="S103" t="s">
        <v>75</v>
      </c>
      <c r="T103" t="s">
        <v>10624</v>
      </c>
    </row>
    <row r="104" spans="1:20">
      <c r="A104" t="s">
        <v>10619</v>
      </c>
      <c r="B104" t="s">
        <v>4293</v>
      </c>
      <c r="C104" t="s">
        <v>2157</v>
      </c>
      <c r="D104" t="s">
        <v>13</v>
      </c>
      <c r="E104" t="s">
        <v>75</v>
      </c>
      <c r="F104" t="s">
        <v>10622</v>
      </c>
      <c r="H104" t="s">
        <v>10619</v>
      </c>
      <c r="I104" t="s">
        <v>7647</v>
      </c>
      <c r="J104" t="s">
        <v>5853</v>
      </c>
      <c r="K104" t="s">
        <v>13</v>
      </c>
      <c r="L104" t="s">
        <v>75</v>
      </c>
      <c r="M104" t="s">
        <v>10624</v>
      </c>
      <c r="O104" t="s">
        <v>10619</v>
      </c>
      <c r="P104" t="s">
        <v>9933</v>
      </c>
      <c r="Q104" t="s">
        <v>9028</v>
      </c>
      <c r="R104" t="s">
        <v>13</v>
      </c>
      <c r="S104" t="s">
        <v>75</v>
      </c>
      <c r="T104" t="s">
        <v>10624</v>
      </c>
    </row>
    <row r="105" spans="1:20">
      <c r="A105" t="s">
        <v>10619</v>
      </c>
      <c r="B105" t="s">
        <v>4294</v>
      </c>
      <c r="C105" t="s">
        <v>2159</v>
      </c>
      <c r="D105" t="s">
        <v>13</v>
      </c>
      <c r="E105" t="s">
        <v>75</v>
      </c>
      <c r="F105" t="s">
        <v>10622</v>
      </c>
      <c r="H105" t="s">
        <v>10619</v>
      </c>
      <c r="I105" t="s">
        <v>7648</v>
      </c>
      <c r="J105" t="s">
        <v>5855</v>
      </c>
      <c r="K105" t="s">
        <v>13</v>
      </c>
      <c r="L105" t="s">
        <v>75</v>
      </c>
      <c r="M105" t="s">
        <v>10624</v>
      </c>
      <c r="O105" t="s">
        <v>10619</v>
      </c>
      <c r="P105" t="s">
        <v>9934</v>
      </c>
      <c r="Q105" t="s">
        <v>9030</v>
      </c>
      <c r="R105" t="s">
        <v>13</v>
      </c>
      <c r="S105" t="s">
        <v>75</v>
      </c>
      <c r="T105" t="s">
        <v>10624</v>
      </c>
    </row>
    <row r="106" spans="1:20">
      <c r="A106" t="s">
        <v>10619</v>
      </c>
      <c r="B106" t="s">
        <v>4295</v>
      </c>
      <c r="C106" t="s">
        <v>2161</v>
      </c>
      <c r="D106" t="s">
        <v>13</v>
      </c>
      <c r="E106" t="s">
        <v>75</v>
      </c>
      <c r="F106" t="s">
        <v>10622</v>
      </c>
      <c r="H106" t="s">
        <v>10619</v>
      </c>
      <c r="I106" t="s">
        <v>7649</v>
      </c>
      <c r="J106" t="s">
        <v>5857</v>
      </c>
      <c r="K106" t="s">
        <v>13</v>
      </c>
      <c r="L106" t="s">
        <v>75</v>
      </c>
      <c r="M106" t="s">
        <v>10624</v>
      </c>
      <c r="O106" t="s">
        <v>10619</v>
      </c>
      <c r="P106" t="s">
        <v>9935</v>
      </c>
      <c r="Q106" t="s">
        <v>9032</v>
      </c>
      <c r="R106" t="s">
        <v>13</v>
      </c>
      <c r="S106" t="s">
        <v>75</v>
      </c>
      <c r="T106" t="s">
        <v>10624</v>
      </c>
    </row>
    <row r="107" spans="1:20">
      <c r="A107" t="s">
        <v>10619</v>
      </c>
      <c r="B107" t="s">
        <v>4296</v>
      </c>
      <c r="C107" t="s">
        <v>2163</v>
      </c>
      <c r="D107" t="s">
        <v>13</v>
      </c>
      <c r="E107" t="s">
        <v>75</v>
      </c>
      <c r="F107" t="s">
        <v>10622</v>
      </c>
      <c r="H107" t="s">
        <v>10619</v>
      </c>
      <c r="I107" t="s">
        <v>7650</v>
      </c>
      <c r="J107" t="s">
        <v>5857</v>
      </c>
      <c r="K107" t="s">
        <v>13</v>
      </c>
      <c r="L107" t="s">
        <v>75</v>
      </c>
      <c r="M107" t="s">
        <v>10624</v>
      </c>
      <c r="O107" t="s">
        <v>10619</v>
      </c>
      <c r="P107" t="s">
        <v>9936</v>
      </c>
      <c r="Q107" t="s">
        <v>9034</v>
      </c>
      <c r="R107" t="s">
        <v>13</v>
      </c>
      <c r="S107" t="s">
        <v>75</v>
      </c>
      <c r="T107" t="s">
        <v>10624</v>
      </c>
    </row>
    <row r="108" spans="1:20">
      <c r="A108" t="s">
        <v>10619</v>
      </c>
      <c r="B108" t="s">
        <v>4297</v>
      </c>
      <c r="C108" t="s">
        <v>2165</v>
      </c>
      <c r="D108" t="s">
        <v>13</v>
      </c>
      <c r="E108" t="s">
        <v>75</v>
      </c>
      <c r="F108" t="s">
        <v>123</v>
      </c>
      <c r="H108" t="s">
        <v>10619</v>
      </c>
      <c r="I108" t="s">
        <v>7651</v>
      </c>
      <c r="J108" t="s">
        <v>5860</v>
      </c>
      <c r="K108" t="s">
        <v>13</v>
      </c>
      <c r="L108" t="s">
        <v>75</v>
      </c>
      <c r="M108" t="s">
        <v>85</v>
      </c>
      <c r="O108" t="s">
        <v>10619</v>
      </c>
      <c r="P108" t="s">
        <v>9937</v>
      </c>
      <c r="Q108" t="s">
        <v>9036</v>
      </c>
      <c r="R108" t="s">
        <v>13</v>
      </c>
      <c r="S108" t="s">
        <v>75</v>
      </c>
      <c r="T108" t="s">
        <v>10624</v>
      </c>
    </row>
    <row r="109" spans="1:20">
      <c r="A109" t="s">
        <v>10619</v>
      </c>
      <c r="B109" t="s">
        <v>4298</v>
      </c>
      <c r="C109" t="s">
        <v>2167</v>
      </c>
      <c r="D109" t="s">
        <v>13</v>
      </c>
      <c r="E109" t="s">
        <v>75</v>
      </c>
      <c r="F109" t="s">
        <v>123</v>
      </c>
      <c r="H109" t="s">
        <v>10619</v>
      </c>
      <c r="I109" t="s">
        <v>7652</v>
      </c>
      <c r="J109" t="s">
        <v>5862</v>
      </c>
      <c r="K109" t="s">
        <v>13</v>
      </c>
      <c r="L109" t="s">
        <v>75</v>
      </c>
      <c r="M109" t="s">
        <v>85</v>
      </c>
      <c r="O109" t="s">
        <v>10619</v>
      </c>
      <c r="P109" t="s">
        <v>9938</v>
      </c>
      <c r="Q109" t="s">
        <v>9038</v>
      </c>
      <c r="R109" t="s">
        <v>13</v>
      </c>
      <c r="S109" t="s">
        <v>75</v>
      </c>
      <c r="T109" t="s">
        <v>10624</v>
      </c>
    </row>
    <row r="110" spans="1:20">
      <c r="A110" t="s">
        <v>10619</v>
      </c>
      <c r="B110" t="s">
        <v>4299</v>
      </c>
      <c r="C110" t="s">
        <v>2169</v>
      </c>
      <c r="D110" t="s">
        <v>13</v>
      </c>
      <c r="E110" t="s">
        <v>75</v>
      </c>
      <c r="F110" t="s">
        <v>123</v>
      </c>
      <c r="H110" t="s">
        <v>10619</v>
      </c>
      <c r="I110" t="s">
        <v>7653</v>
      </c>
      <c r="J110" t="s">
        <v>5864</v>
      </c>
      <c r="K110" t="s">
        <v>13</v>
      </c>
      <c r="L110" t="s">
        <v>75</v>
      </c>
      <c r="M110" t="s">
        <v>85</v>
      </c>
      <c r="O110" t="s">
        <v>10619</v>
      </c>
      <c r="P110" t="s">
        <v>9939</v>
      </c>
      <c r="Q110" t="s">
        <v>9040</v>
      </c>
      <c r="R110" t="s">
        <v>13</v>
      </c>
      <c r="S110" t="s">
        <v>75</v>
      </c>
      <c r="T110" t="s">
        <v>10624</v>
      </c>
    </row>
    <row r="111" spans="1:20">
      <c r="A111" t="s">
        <v>10619</v>
      </c>
      <c r="B111" t="s">
        <v>4300</v>
      </c>
      <c r="C111" t="s">
        <v>2171</v>
      </c>
      <c r="D111" t="s">
        <v>13</v>
      </c>
      <c r="E111" t="s">
        <v>75</v>
      </c>
      <c r="F111" t="s">
        <v>123</v>
      </c>
      <c r="H111" t="s">
        <v>10619</v>
      </c>
      <c r="I111" t="s">
        <v>7654</v>
      </c>
      <c r="J111" t="s">
        <v>5866</v>
      </c>
      <c r="K111" t="s">
        <v>13</v>
      </c>
      <c r="L111" t="s">
        <v>75</v>
      </c>
      <c r="M111" t="s">
        <v>85</v>
      </c>
      <c r="O111" t="s">
        <v>10619</v>
      </c>
      <c r="P111" t="s">
        <v>9940</v>
      </c>
      <c r="Q111" t="s">
        <v>9042</v>
      </c>
      <c r="R111" t="s">
        <v>13</v>
      </c>
      <c r="S111" t="s">
        <v>75</v>
      </c>
      <c r="T111" t="s">
        <v>10624</v>
      </c>
    </row>
    <row r="112" spans="1:20">
      <c r="A112" t="s">
        <v>10619</v>
      </c>
      <c r="B112" t="s">
        <v>4301</v>
      </c>
      <c r="C112" t="s">
        <v>2173</v>
      </c>
      <c r="D112" t="s">
        <v>13</v>
      </c>
      <c r="E112" t="s">
        <v>75</v>
      </c>
      <c r="F112" t="s">
        <v>123</v>
      </c>
      <c r="H112" t="s">
        <v>10619</v>
      </c>
      <c r="I112" t="s">
        <v>7655</v>
      </c>
      <c r="J112" t="s">
        <v>5868</v>
      </c>
      <c r="K112" t="s">
        <v>13</v>
      </c>
      <c r="L112" t="s">
        <v>75</v>
      </c>
      <c r="M112" t="s">
        <v>85</v>
      </c>
      <c r="O112" t="s">
        <v>10619</v>
      </c>
      <c r="P112" t="s">
        <v>9941</v>
      </c>
      <c r="Q112" t="s">
        <v>9044</v>
      </c>
      <c r="R112" t="s">
        <v>13</v>
      </c>
      <c r="S112" t="s">
        <v>75</v>
      </c>
      <c r="T112" t="s">
        <v>10634</v>
      </c>
    </row>
    <row r="113" spans="1:20">
      <c r="A113" t="s">
        <v>10619</v>
      </c>
      <c r="B113" t="s">
        <v>4302</v>
      </c>
      <c r="C113" t="s">
        <v>2175</v>
      </c>
      <c r="D113" t="s">
        <v>13</v>
      </c>
      <c r="E113" t="s">
        <v>75</v>
      </c>
      <c r="F113" t="s">
        <v>123</v>
      </c>
      <c r="H113" t="s">
        <v>10619</v>
      </c>
      <c r="I113" t="s">
        <v>7656</v>
      </c>
      <c r="J113" t="s">
        <v>5870</v>
      </c>
      <c r="K113" t="s">
        <v>13</v>
      </c>
      <c r="L113" t="s">
        <v>75</v>
      </c>
      <c r="M113" t="s">
        <v>85</v>
      </c>
      <c r="O113" t="s">
        <v>10619</v>
      </c>
      <c r="P113" t="s">
        <v>9942</v>
      </c>
      <c r="Q113" t="s">
        <v>9046</v>
      </c>
      <c r="R113" t="s">
        <v>13</v>
      </c>
      <c r="S113" t="s">
        <v>75</v>
      </c>
      <c r="T113" t="s">
        <v>10634</v>
      </c>
    </row>
    <row r="114" spans="1:20">
      <c r="A114" t="s">
        <v>10619</v>
      </c>
      <c r="B114" t="s">
        <v>4303</v>
      </c>
      <c r="C114" t="s">
        <v>2177</v>
      </c>
      <c r="D114" t="s">
        <v>13</v>
      </c>
      <c r="E114" t="s">
        <v>75</v>
      </c>
      <c r="F114" t="s">
        <v>10624</v>
      </c>
      <c r="H114" t="s">
        <v>10619</v>
      </c>
      <c r="I114" t="s">
        <v>7657</v>
      </c>
      <c r="J114" t="s">
        <v>5872</v>
      </c>
      <c r="K114" t="s">
        <v>13</v>
      </c>
      <c r="L114" t="s">
        <v>75</v>
      </c>
      <c r="M114" t="s">
        <v>85</v>
      </c>
      <c r="O114" t="s">
        <v>10619</v>
      </c>
      <c r="P114" t="s">
        <v>9943</v>
      </c>
      <c r="Q114" t="s">
        <v>9048</v>
      </c>
      <c r="R114" t="s">
        <v>13</v>
      </c>
      <c r="S114" t="s">
        <v>75</v>
      </c>
      <c r="T114" t="s">
        <v>10634</v>
      </c>
    </row>
    <row r="115" spans="1:20">
      <c r="A115" t="s">
        <v>10619</v>
      </c>
      <c r="B115" t="s">
        <v>4304</v>
      </c>
      <c r="C115" t="s">
        <v>2179</v>
      </c>
      <c r="D115" t="s">
        <v>13</v>
      </c>
      <c r="E115" t="s">
        <v>75</v>
      </c>
      <c r="F115" t="s">
        <v>10624</v>
      </c>
      <c r="H115" t="s">
        <v>10619</v>
      </c>
      <c r="I115" t="s">
        <v>7658</v>
      </c>
      <c r="J115" t="s">
        <v>5874</v>
      </c>
      <c r="K115" t="s">
        <v>13</v>
      </c>
      <c r="L115" t="s">
        <v>75</v>
      </c>
      <c r="M115" t="s">
        <v>85</v>
      </c>
      <c r="O115" t="s">
        <v>10619</v>
      </c>
      <c r="P115" t="s">
        <v>9944</v>
      </c>
      <c r="Q115" t="s">
        <v>9050</v>
      </c>
      <c r="R115" t="s">
        <v>13</v>
      </c>
      <c r="S115" t="s">
        <v>75</v>
      </c>
      <c r="T115" t="s">
        <v>486</v>
      </c>
    </row>
    <row r="116" spans="1:20">
      <c r="A116" t="s">
        <v>10619</v>
      </c>
      <c r="B116" t="s">
        <v>4305</v>
      </c>
      <c r="C116" t="s">
        <v>2177</v>
      </c>
      <c r="D116" t="s">
        <v>13</v>
      </c>
      <c r="E116" t="s">
        <v>75</v>
      </c>
      <c r="F116" t="s">
        <v>10624</v>
      </c>
      <c r="H116" t="s">
        <v>10619</v>
      </c>
      <c r="I116" t="s">
        <v>7659</v>
      </c>
      <c r="J116" t="s">
        <v>5876</v>
      </c>
      <c r="K116" t="s">
        <v>13</v>
      </c>
      <c r="L116" t="s">
        <v>75</v>
      </c>
      <c r="M116" t="s">
        <v>85</v>
      </c>
      <c r="O116" t="s">
        <v>10619</v>
      </c>
      <c r="P116" t="s">
        <v>9945</v>
      </c>
      <c r="Q116" t="s">
        <v>9052</v>
      </c>
      <c r="R116" t="s">
        <v>13</v>
      </c>
      <c r="S116" t="s">
        <v>75</v>
      </c>
      <c r="T116" t="s">
        <v>486</v>
      </c>
    </row>
    <row r="117" spans="1:20">
      <c r="A117" t="s">
        <v>10619</v>
      </c>
      <c r="B117" t="s">
        <v>4306</v>
      </c>
      <c r="C117" t="s">
        <v>2182</v>
      </c>
      <c r="D117" t="s">
        <v>13</v>
      </c>
      <c r="E117" t="s">
        <v>75</v>
      </c>
      <c r="F117" t="s">
        <v>10624</v>
      </c>
      <c r="H117" t="s">
        <v>10619</v>
      </c>
      <c r="I117" t="s">
        <v>7660</v>
      </c>
      <c r="J117" t="s">
        <v>5878</v>
      </c>
      <c r="K117" t="s">
        <v>13</v>
      </c>
      <c r="L117" t="s">
        <v>75</v>
      </c>
      <c r="M117" t="s">
        <v>85</v>
      </c>
      <c r="O117" t="s">
        <v>10619</v>
      </c>
      <c r="P117" t="s">
        <v>9946</v>
      </c>
      <c r="Q117" t="s">
        <v>9054</v>
      </c>
      <c r="R117" t="s">
        <v>13</v>
      </c>
      <c r="S117" t="s">
        <v>75</v>
      </c>
      <c r="T117" t="s">
        <v>486</v>
      </c>
    </row>
    <row r="118" spans="1:20">
      <c r="A118" t="s">
        <v>10619</v>
      </c>
      <c r="B118" t="s">
        <v>4307</v>
      </c>
      <c r="C118" t="s">
        <v>2184</v>
      </c>
      <c r="D118" t="s">
        <v>13</v>
      </c>
      <c r="E118" t="s">
        <v>75</v>
      </c>
      <c r="F118" t="s">
        <v>10624</v>
      </c>
      <c r="H118" t="s">
        <v>10619</v>
      </c>
      <c r="I118" t="s">
        <v>7661</v>
      </c>
      <c r="J118" t="s">
        <v>5880</v>
      </c>
      <c r="K118" t="s">
        <v>13</v>
      </c>
      <c r="L118" t="s">
        <v>75</v>
      </c>
      <c r="M118" t="s">
        <v>85</v>
      </c>
      <c r="O118" t="s">
        <v>10619</v>
      </c>
      <c r="P118" t="s">
        <v>9947</v>
      </c>
      <c r="Q118" t="s">
        <v>9056</v>
      </c>
      <c r="R118" t="s">
        <v>13</v>
      </c>
      <c r="S118" t="s">
        <v>75</v>
      </c>
      <c r="T118" t="s">
        <v>486</v>
      </c>
    </row>
    <row r="119" spans="1:20">
      <c r="A119" t="s">
        <v>10619</v>
      </c>
      <c r="B119" t="s">
        <v>4308</v>
      </c>
      <c r="C119" t="s">
        <v>2186</v>
      </c>
      <c r="D119" t="s">
        <v>13</v>
      </c>
      <c r="E119" t="s">
        <v>75</v>
      </c>
      <c r="F119" t="s">
        <v>10624</v>
      </c>
      <c r="H119" t="s">
        <v>10619</v>
      </c>
      <c r="I119" t="s">
        <v>7662</v>
      </c>
      <c r="J119" t="s">
        <v>5882</v>
      </c>
      <c r="K119" t="s">
        <v>13</v>
      </c>
      <c r="L119" t="s">
        <v>75</v>
      </c>
      <c r="M119" t="s">
        <v>85</v>
      </c>
      <c r="O119" t="s">
        <v>10619</v>
      </c>
      <c r="P119" t="s">
        <v>9948</v>
      </c>
      <c r="Q119" t="s">
        <v>9058</v>
      </c>
      <c r="R119" t="s">
        <v>13</v>
      </c>
      <c r="S119" t="s">
        <v>75</v>
      </c>
      <c r="T119" t="s">
        <v>10621</v>
      </c>
    </row>
    <row r="120" spans="1:20">
      <c r="A120" t="s">
        <v>10619</v>
      </c>
      <c r="B120" t="s">
        <v>4309</v>
      </c>
      <c r="C120" t="s">
        <v>2186</v>
      </c>
      <c r="D120" t="s">
        <v>13</v>
      </c>
      <c r="E120" t="s">
        <v>75</v>
      </c>
      <c r="F120" t="s">
        <v>10624</v>
      </c>
      <c r="H120" t="s">
        <v>10619</v>
      </c>
      <c r="I120" t="s">
        <v>7663</v>
      </c>
      <c r="J120" t="s">
        <v>5884</v>
      </c>
      <c r="K120" t="s">
        <v>13</v>
      </c>
      <c r="L120" t="s">
        <v>75</v>
      </c>
      <c r="M120" t="s">
        <v>85</v>
      </c>
      <c r="O120" t="s">
        <v>10619</v>
      </c>
      <c r="P120" t="s">
        <v>9949</v>
      </c>
      <c r="Q120" t="s">
        <v>9060</v>
      </c>
      <c r="R120" t="s">
        <v>13</v>
      </c>
      <c r="S120" t="s">
        <v>75</v>
      </c>
      <c r="T120" t="s">
        <v>10621</v>
      </c>
    </row>
    <row r="121" spans="1:20">
      <c r="A121" t="s">
        <v>10619</v>
      </c>
      <c r="B121" t="s">
        <v>4310</v>
      </c>
      <c r="C121" t="s">
        <v>2189</v>
      </c>
      <c r="D121" t="s">
        <v>13</v>
      </c>
      <c r="E121" t="s">
        <v>75</v>
      </c>
      <c r="F121" t="s">
        <v>10624</v>
      </c>
      <c r="H121" t="s">
        <v>10619</v>
      </c>
      <c r="I121" t="s">
        <v>7664</v>
      </c>
      <c r="J121" t="s">
        <v>5886</v>
      </c>
      <c r="K121" t="s">
        <v>13</v>
      </c>
      <c r="L121" t="s">
        <v>75</v>
      </c>
      <c r="M121" t="s">
        <v>85</v>
      </c>
      <c r="O121" t="s">
        <v>10619</v>
      </c>
      <c r="P121" t="s">
        <v>9950</v>
      </c>
      <c r="Q121" t="s">
        <v>9062</v>
      </c>
      <c r="R121" t="s">
        <v>13</v>
      </c>
      <c r="S121" t="s">
        <v>75</v>
      </c>
      <c r="T121" t="s">
        <v>10629</v>
      </c>
    </row>
    <row r="122" spans="1:20">
      <c r="A122" t="s">
        <v>10619</v>
      </c>
      <c r="B122" t="s">
        <v>4311</v>
      </c>
      <c r="C122" t="s">
        <v>2191</v>
      </c>
      <c r="D122" t="s">
        <v>13</v>
      </c>
      <c r="E122" t="s">
        <v>75</v>
      </c>
      <c r="F122" t="s">
        <v>10624</v>
      </c>
      <c r="H122" t="s">
        <v>10619</v>
      </c>
      <c r="I122" t="s">
        <v>7665</v>
      </c>
      <c r="J122" t="s">
        <v>5888</v>
      </c>
      <c r="K122" t="s">
        <v>13</v>
      </c>
      <c r="L122" t="s">
        <v>75</v>
      </c>
      <c r="M122" t="s">
        <v>85</v>
      </c>
      <c r="O122" t="s">
        <v>10619</v>
      </c>
      <c r="P122" t="s">
        <v>9951</v>
      </c>
      <c r="Q122" t="s">
        <v>9064</v>
      </c>
      <c r="R122" t="s">
        <v>13</v>
      </c>
      <c r="S122" t="s">
        <v>75</v>
      </c>
      <c r="T122" t="s">
        <v>10629</v>
      </c>
    </row>
    <row r="123" spans="1:20">
      <c r="A123" t="s">
        <v>10619</v>
      </c>
      <c r="B123" t="s">
        <v>4312</v>
      </c>
      <c r="C123" t="s">
        <v>2193</v>
      </c>
      <c r="D123" t="s">
        <v>13</v>
      </c>
      <c r="E123" t="s">
        <v>75</v>
      </c>
      <c r="F123" t="s">
        <v>10624</v>
      </c>
      <c r="H123" t="s">
        <v>10619</v>
      </c>
      <c r="I123" t="s">
        <v>7666</v>
      </c>
      <c r="J123" t="s">
        <v>5890</v>
      </c>
      <c r="K123" t="s">
        <v>13</v>
      </c>
      <c r="L123" t="s">
        <v>75</v>
      </c>
      <c r="M123" t="s">
        <v>85</v>
      </c>
      <c r="O123" t="s">
        <v>10619</v>
      </c>
      <c r="P123" t="s">
        <v>9952</v>
      </c>
      <c r="Q123" t="s">
        <v>9066</v>
      </c>
      <c r="R123" t="s">
        <v>13</v>
      </c>
      <c r="S123" t="s">
        <v>75</v>
      </c>
      <c r="T123" t="s">
        <v>10629</v>
      </c>
    </row>
    <row r="124" spans="1:20">
      <c r="A124" t="s">
        <v>10619</v>
      </c>
      <c r="B124" t="s">
        <v>4313</v>
      </c>
      <c r="C124" t="s">
        <v>2195</v>
      </c>
      <c r="D124" t="s">
        <v>13</v>
      </c>
      <c r="E124" t="s">
        <v>75</v>
      </c>
      <c r="F124" t="s">
        <v>85</v>
      </c>
      <c r="H124" t="s">
        <v>10619</v>
      </c>
      <c r="I124" t="s">
        <v>7667</v>
      </c>
      <c r="J124" t="s">
        <v>5892</v>
      </c>
      <c r="K124" t="s">
        <v>13</v>
      </c>
      <c r="L124" t="s">
        <v>75</v>
      </c>
      <c r="M124" t="s">
        <v>10621</v>
      </c>
      <c r="O124" t="s">
        <v>10619</v>
      </c>
      <c r="P124" t="s">
        <v>9953</v>
      </c>
      <c r="Q124" t="s">
        <v>9068</v>
      </c>
      <c r="R124" t="s">
        <v>13</v>
      </c>
      <c r="S124" t="s">
        <v>75</v>
      </c>
      <c r="T124" t="s">
        <v>10629</v>
      </c>
    </row>
    <row r="125" spans="1:20">
      <c r="A125" t="s">
        <v>10619</v>
      </c>
      <c r="B125" t="s">
        <v>4314</v>
      </c>
      <c r="C125" t="s">
        <v>2197</v>
      </c>
      <c r="D125" t="s">
        <v>13</v>
      </c>
      <c r="E125" t="s">
        <v>75</v>
      </c>
      <c r="F125" t="s">
        <v>85</v>
      </c>
      <c r="H125" t="s">
        <v>10619</v>
      </c>
      <c r="I125" t="s">
        <v>7668</v>
      </c>
      <c r="J125" t="s">
        <v>5894</v>
      </c>
      <c r="K125" t="s">
        <v>13</v>
      </c>
      <c r="L125" t="s">
        <v>75</v>
      </c>
      <c r="M125" t="s">
        <v>10621</v>
      </c>
      <c r="O125" t="s">
        <v>10619</v>
      </c>
      <c r="P125" t="s">
        <v>9954</v>
      </c>
      <c r="Q125" t="s">
        <v>9070</v>
      </c>
      <c r="R125" t="s">
        <v>13</v>
      </c>
      <c r="S125" t="s">
        <v>75</v>
      </c>
      <c r="T125" t="s">
        <v>10624</v>
      </c>
    </row>
    <row r="126" spans="1:20">
      <c r="A126" t="s">
        <v>10619</v>
      </c>
      <c r="B126" t="s">
        <v>4315</v>
      </c>
      <c r="C126" t="s">
        <v>2199</v>
      </c>
      <c r="D126" t="s">
        <v>13</v>
      </c>
      <c r="E126" t="s">
        <v>75</v>
      </c>
      <c r="F126" t="s">
        <v>85</v>
      </c>
      <c r="H126" t="s">
        <v>10619</v>
      </c>
      <c r="I126" t="s">
        <v>7669</v>
      </c>
      <c r="J126" t="s">
        <v>5896</v>
      </c>
      <c r="K126" t="s">
        <v>13</v>
      </c>
      <c r="L126" t="s">
        <v>75</v>
      </c>
      <c r="M126" t="s">
        <v>10621</v>
      </c>
      <c r="O126" t="s">
        <v>10619</v>
      </c>
      <c r="P126" t="s">
        <v>9955</v>
      </c>
      <c r="Q126" t="s">
        <v>9072</v>
      </c>
      <c r="R126" t="s">
        <v>13</v>
      </c>
      <c r="S126" t="s">
        <v>75</v>
      </c>
      <c r="T126" t="s">
        <v>10624</v>
      </c>
    </row>
    <row r="127" spans="1:20">
      <c r="A127" t="s">
        <v>10619</v>
      </c>
      <c r="B127" t="s">
        <v>4316</v>
      </c>
      <c r="C127" t="s">
        <v>2201</v>
      </c>
      <c r="D127" t="s">
        <v>13</v>
      </c>
      <c r="E127" t="s">
        <v>75</v>
      </c>
      <c r="F127" t="s">
        <v>85</v>
      </c>
      <c r="H127" t="s">
        <v>10619</v>
      </c>
      <c r="I127" t="s">
        <v>7670</v>
      </c>
      <c r="J127" t="s">
        <v>5898</v>
      </c>
      <c r="K127" t="s">
        <v>13</v>
      </c>
      <c r="L127" t="s">
        <v>75</v>
      </c>
      <c r="M127" t="s">
        <v>10621</v>
      </c>
      <c r="O127" t="s">
        <v>10619</v>
      </c>
      <c r="P127" t="s">
        <v>9956</v>
      </c>
      <c r="Q127" t="s">
        <v>9074</v>
      </c>
      <c r="R127" t="s">
        <v>13</v>
      </c>
      <c r="S127" t="s">
        <v>75</v>
      </c>
      <c r="T127" t="s">
        <v>10624</v>
      </c>
    </row>
    <row r="128" spans="1:20">
      <c r="A128" t="s">
        <v>10619</v>
      </c>
      <c r="B128" t="s">
        <v>4317</v>
      </c>
      <c r="C128" t="s">
        <v>2203</v>
      </c>
      <c r="D128" t="s">
        <v>13</v>
      </c>
      <c r="E128" t="s">
        <v>75</v>
      </c>
      <c r="F128" t="s">
        <v>85</v>
      </c>
      <c r="H128" t="s">
        <v>10619</v>
      </c>
      <c r="I128" t="s">
        <v>7671</v>
      </c>
      <c r="J128" t="s">
        <v>5900</v>
      </c>
      <c r="K128" t="s">
        <v>13</v>
      </c>
      <c r="L128" t="s">
        <v>75</v>
      </c>
      <c r="M128" t="s">
        <v>10621</v>
      </c>
      <c r="O128" t="s">
        <v>10619</v>
      </c>
      <c r="P128" t="s">
        <v>9957</v>
      </c>
      <c r="Q128" t="s">
        <v>9076</v>
      </c>
      <c r="R128" t="s">
        <v>13</v>
      </c>
      <c r="S128" t="s">
        <v>75</v>
      </c>
      <c r="T128" t="s">
        <v>10624</v>
      </c>
    </row>
    <row r="129" spans="1:20">
      <c r="A129" t="s">
        <v>10619</v>
      </c>
      <c r="B129" t="s">
        <v>4318</v>
      </c>
      <c r="C129" t="s">
        <v>2205</v>
      </c>
      <c r="D129" t="s">
        <v>13</v>
      </c>
      <c r="E129" t="s">
        <v>75</v>
      </c>
      <c r="F129" t="s">
        <v>85</v>
      </c>
      <c r="H129" t="s">
        <v>10619</v>
      </c>
      <c r="I129" t="s">
        <v>7672</v>
      </c>
      <c r="J129" t="s">
        <v>5902</v>
      </c>
      <c r="K129" t="s">
        <v>13</v>
      </c>
      <c r="L129" t="s">
        <v>75</v>
      </c>
      <c r="M129" t="s">
        <v>10621</v>
      </c>
      <c r="O129" t="s">
        <v>10619</v>
      </c>
      <c r="P129" t="s">
        <v>9958</v>
      </c>
      <c r="Q129" t="s">
        <v>9078</v>
      </c>
      <c r="R129" t="s">
        <v>13</v>
      </c>
      <c r="S129" t="s">
        <v>75</v>
      </c>
      <c r="T129" t="s">
        <v>10630</v>
      </c>
    </row>
    <row r="130" spans="1:20">
      <c r="A130" t="s">
        <v>10619</v>
      </c>
      <c r="B130" t="s">
        <v>4319</v>
      </c>
      <c r="C130" t="s">
        <v>2207</v>
      </c>
      <c r="D130" t="s">
        <v>13</v>
      </c>
      <c r="E130" t="s">
        <v>75</v>
      </c>
      <c r="F130" t="s">
        <v>85</v>
      </c>
      <c r="H130" t="s">
        <v>10619</v>
      </c>
      <c r="I130" t="s">
        <v>7673</v>
      </c>
      <c r="J130" t="s">
        <v>5904</v>
      </c>
      <c r="K130" t="s">
        <v>13</v>
      </c>
      <c r="L130" t="s">
        <v>75</v>
      </c>
      <c r="M130" t="s">
        <v>10621</v>
      </c>
      <c r="O130" t="s">
        <v>10619</v>
      </c>
      <c r="P130" t="s">
        <v>9959</v>
      </c>
      <c r="Q130" t="s">
        <v>9080</v>
      </c>
      <c r="R130" t="s">
        <v>13</v>
      </c>
      <c r="S130" t="s">
        <v>75</v>
      </c>
      <c r="T130" t="s">
        <v>10630</v>
      </c>
    </row>
    <row r="131" spans="1:20">
      <c r="A131" t="s">
        <v>10619</v>
      </c>
      <c r="B131" t="s">
        <v>4320</v>
      </c>
      <c r="C131" t="s">
        <v>2209</v>
      </c>
      <c r="D131" t="s">
        <v>13</v>
      </c>
      <c r="E131" t="s">
        <v>75</v>
      </c>
      <c r="F131" t="s">
        <v>85</v>
      </c>
      <c r="H131" t="s">
        <v>10619</v>
      </c>
      <c r="I131" t="s">
        <v>7674</v>
      </c>
      <c r="J131" t="s">
        <v>5902</v>
      </c>
      <c r="K131" t="s">
        <v>13</v>
      </c>
      <c r="L131" t="s">
        <v>75</v>
      </c>
      <c r="M131" t="s">
        <v>10621</v>
      </c>
      <c r="O131" t="s">
        <v>10619</v>
      </c>
      <c r="P131" t="s">
        <v>9960</v>
      </c>
      <c r="Q131" t="s">
        <v>9082</v>
      </c>
      <c r="R131" t="s">
        <v>13</v>
      </c>
      <c r="S131" t="s">
        <v>75</v>
      </c>
      <c r="T131" t="s">
        <v>10630</v>
      </c>
    </row>
    <row r="132" spans="1:20">
      <c r="A132" t="s">
        <v>10619</v>
      </c>
      <c r="B132" t="s">
        <v>4321</v>
      </c>
      <c r="C132" t="s">
        <v>2211</v>
      </c>
      <c r="D132" t="s">
        <v>13</v>
      </c>
      <c r="E132" t="s">
        <v>75</v>
      </c>
      <c r="F132" t="s">
        <v>85</v>
      </c>
      <c r="H132" t="s">
        <v>10619</v>
      </c>
      <c r="I132" t="s">
        <v>7675</v>
      </c>
      <c r="J132" t="s">
        <v>5904</v>
      </c>
      <c r="K132" t="s">
        <v>13</v>
      </c>
      <c r="L132" t="s">
        <v>75</v>
      </c>
      <c r="M132" t="s">
        <v>10621</v>
      </c>
      <c r="O132" t="s">
        <v>10619</v>
      </c>
      <c r="P132" t="s">
        <v>9961</v>
      </c>
      <c r="Q132" t="s">
        <v>9084</v>
      </c>
      <c r="R132" t="s">
        <v>13</v>
      </c>
      <c r="S132" t="s">
        <v>75</v>
      </c>
      <c r="T132" t="s">
        <v>10624</v>
      </c>
    </row>
    <row r="133" spans="1:20">
      <c r="A133" t="s">
        <v>10619</v>
      </c>
      <c r="B133" t="s">
        <v>4322</v>
      </c>
      <c r="C133" t="s">
        <v>2213</v>
      </c>
      <c r="D133" t="s">
        <v>13</v>
      </c>
      <c r="E133" t="s">
        <v>75</v>
      </c>
      <c r="F133" t="s">
        <v>85</v>
      </c>
      <c r="H133" t="s">
        <v>10619</v>
      </c>
      <c r="I133" t="s">
        <v>7676</v>
      </c>
      <c r="J133" t="s">
        <v>5908</v>
      </c>
      <c r="K133" t="s">
        <v>13</v>
      </c>
      <c r="L133" t="s">
        <v>75</v>
      </c>
      <c r="M133" t="s">
        <v>10621</v>
      </c>
      <c r="O133" t="s">
        <v>10619</v>
      </c>
      <c r="P133" t="s">
        <v>9962</v>
      </c>
      <c r="Q133" t="s">
        <v>9084</v>
      </c>
      <c r="R133" t="s">
        <v>13</v>
      </c>
      <c r="S133" t="s">
        <v>75</v>
      </c>
      <c r="T133" t="s">
        <v>10624</v>
      </c>
    </row>
    <row r="134" spans="1:20">
      <c r="A134" t="s">
        <v>10619</v>
      </c>
      <c r="B134" t="s">
        <v>4323</v>
      </c>
      <c r="C134" t="s">
        <v>2215</v>
      </c>
      <c r="D134" t="s">
        <v>13</v>
      </c>
      <c r="E134" t="s">
        <v>75</v>
      </c>
      <c r="F134" t="s">
        <v>85</v>
      </c>
      <c r="H134" t="s">
        <v>10619</v>
      </c>
      <c r="I134" t="s">
        <v>7677</v>
      </c>
      <c r="J134" t="s">
        <v>5910</v>
      </c>
      <c r="K134" t="s">
        <v>13</v>
      </c>
      <c r="L134" t="s">
        <v>75</v>
      </c>
      <c r="M134" t="s">
        <v>10621</v>
      </c>
      <c r="O134" t="s">
        <v>10619</v>
      </c>
      <c r="P134" t="s">
        <v>9963</v>
      </c>
      <c r="Q134" t="s">
        <v>9087</v>
      </c>
      <c r="R134" t="s">
        <v>13</v>
      </c>
      <c r="S134" t="s">
        <v>75</v>
      </c>
      <c r="T134" t="s">
        <v>10630</v>
      </c>
    </row>
    <row r="135" spans="1:20">
      <c r="A135" t="s">
        <v>10619</v>
      </c>
      <c r="B135" t="s">
        <v>4324</v>
      </c>
      <c r="C135" t="s">
        <v>2217</v>
      </c>
      <c r="D135" t="s">
        <v>13</v>
      </c>
      <c r="E135" t="s">
        <v>75</v>
      </c>
      <c r="F135" t="s">
        <v>85</v>
      </c>
      <c r="H135" t="s">
        <v>10619</v>
      </c>
      <c r="I135" t="s">
        <v>7678</v>
      </c>
      <c r="J135" t="s">
        <v>5912</v>
      </c>
      <c r="K135" t="s">
        <v>13</v>
      </c>
      <c r="L135" t="s">
        <v>75</v>
      </c>
      <c r="M135" t="s">
        <v>10621</v>
      </c>
      <c r="O135" t="s">
        <v>10619</v>
      </c>
      <c r="P135" t="s">
        <v>9964</v>
      </c>
      <c r="Q135" t="s">
        <v>9087</v>
      </c>
      <c r="R135" t="s">
        <v>13</v>
      </c>
      <c r="S135" t="s">
        <v>75</v>
      </c>
      <c r="T135" t="s">
        <v>10630</v>
      </c>
    </row>
    <row r="136" spans="1:20">
      <c r="A136" t="s">
        <v>10619</v>
      </c>
      <c r="B136" t="s">
        <v>4325</v>
      </c>
      <c r="C136" t="s">
        <v>2219</v>
      </c>
      <c r="D136" t="s">
        <v>13</v>
      </c>
      <c r="E136" t="s">
        <v>75</v>
      </c>
      <c r="F136" t="s">
        <v>85</v>
      </c>
      <c r="H136" t="s">
        <v>10619</v>
      </c>
      <c r="I136" t="s">
        <v>7679</v>
      </c>
      <c r="J136" t="s">
        <v>5914</v>
      </c>
      <c r="K136" t="s">
        <v>13</v>
      </c>
      <c r="L136" t="s">
        <v>75</v>
      </c>
      <c r="M136" t="s">
        <v>10627</v>
      </c>
      <c r="O136" t="s">
        <v>10619</v>
      </c>
      <c r="P136" t="s">
        <v>9965</v>
      </c>
      <c r="Q136" t="s">
        <v>9090</v>
      </c>
      <c r="R136" t="s">
        <v>13</v>
      </c>
      <c r="S136" t="s">
        <v>75</v>
      </c>
      <c r="T136" t="s">
        <v>10630</v>
      </c>
    </row>
    <row r="137" spans="1:20">
      <c r="A137" t="s">
        <v>10619</v>
      </c>
      <c r="B137" t="s">
        <v>4326</v>
      </c>
      <c r="C137" t="s">
        <v>2221</v>
      </c>
      <c r="D137" t="s">
        <v>13</v>
      </c>
      <c r="E137" t="s">
        <v>75</v>
      </c>
      <c r="F137" t="s">
        <v>85</v>
      </c>
      <c r="H137" t="s">
        <v>10619</v>
      </c>
      <c r="I137" t="s">
        <v>7680</v>
      </c>
      <c r="J137" t="s">
        <v>5916</v>
      </c>
      <c r="K137" t="s">
        <v>13</v>
      </c>
      <c r="L137" t="s">
        <v>75</v>
      </c>
      <c r="M137" t="s">
        <v>10627</v>
      </c>
      <c r="O137" t="s">
        <v>10619</v>
      </c>
      <c r="P137" t="s">
        <v>9966</v>
      </c>
      <c r="Q137" t="s">
        <v>9092</v>
      </c>
      <c r="R137" t="s">
        <v>13</v>
      </c>
      <c r="S137" t="s">
        <v>75</v>
      </c>
      <c r="T137" t="s">
        <v>10630</v>
      </c>
    </row>
    <row r="138" spans="1:20">
      <c r="A138" t="s">
        <v>10619</v>
      </c>
      <c r="B138" t="s">
        <v>4327</v>
      </c>
      <c r="C138" t="s">
        <v>2223</v>
      </c>
      <c r="D138" t="s">
        <v>13</v>
      </c>
      <c r="E138" t="s">
        <v>75</v>
      </c>
      <c r="F138" t="s">
        <v>85</v>
      </c>
      <c r="H138" t="s">
        <v>10619</v>
      </c>
      <c r="I138" t="s">
        <v>7681</v>
      </c>
      <c r="J138" t="s">
        <v>5918</v>
      </c>
      <c r="K138" t="s">
        <v>13</v>
      </c>
      <c r="L138" t="s">
        <v>75</v>
      </c>
      <c r="M138" t="s">
        <v>10627</v>
      </c>
      <c r="O138" t="s">
        <v>10619</v>
      </c>
      <c r="P138" t="s">
        <v>9967</v>
      </c>
      <c r="Q138" t="s">
        <v>9092</v>
      </c>
      <c r="R138" t="s">
        <v>13</v>
      </c>
      <c r="S138" t="s">
        <v>75</v>
      </c>
      <c r="T138" t="s">
        <v>10630</v>
      </c>
    </row>
    <row r="139" spans="1:20">
      <c r="A139" t="s">
        <v>10619</v>
      </c>
      <c r="B139" t="s">
        <v>4328</v>
      </c>
      <c r="C139" t="s">
        <v>2225</v>
      </c>
      <c r="D139" t="s">
        <v>13</v>
      </c>
      <c r="E139" t="s">
        <v>75</v>
      </c>
      <c r="F139" t="s">
        <v>85</v>
      </c>
      <c r="H139" t="s">
        <v>10619</v>
      </c>
      <c r="I139" t="s">
        <v>7682</v>
      </c>
      <c r="J139" t="s">
        <v>5920</v>
      </c>
      <c r="K139" t="s">
        <v>13</v>
      </c>
      <c r="L139" t="s">
        <v>75</v>
      </c>
      <c r="M139" t="s">
        <v>10627</v>
      </c>
      <c r="O139" t="s">
        <v>10619</v>
      </c>
      <c r="P139" t="s">
        <v>9968</v>
      </c>
      <c r="Q139" t="s">
        <v>9095</v>
      </c>
      <c r="R139" t="s">
        <v>13</v>
      </c>
      <c r="S139" t="s">
        <v>75</v>
      </c>
      <c r="T139" t="s">
        <v>10621</v>
      </c>
    </row>
    <row r="140" spans="1:20">
      <c r="A140" t="s">
        <v>10619</v>
      </c>
      <c r="B140" t="s">
        <v>4329</v>
      </c>
      <c r="C140" t="s">
        <v>2227</v>
      </c>
      <c r="D140" t="s">
        <v>13</v>
      </c>
      <c r="E140" t="s">
        <v>75</v>
      </c>
      <c r="F140" t="s">
        <v>85</v>
      </c>
      <c r="H140" t="s">
        <v>10619</v>
      </c>
      <c r="I140" t="s">
        <v>7683</v>
      </c>
      <c r="J140" t="s">
        <v>5920</v>
      </c>
      <c r="K140" t="s">
        <v>13</v>
      </c>
      <c r="L140" t="s">
        <v>75</v>
      </c>
      <c r="M140" t="s">
        <v>10627</v>
      </c>
      <c r="O140" t="s">
        <v>10619</v>
      </c>
      <c r="P140" t="s">
        <v>9969</v>
      </c>
      <c r="Q140" t="s">
        <v>9097</v>
      </c>
      <c r="R140" t="s">
        <v>13</v>
      </c>
      <c r="S140" t="s">
        <v>75</v>
      </c>
      <c r="T140" t="s">
        <v>10621</v>
      </c>
    </row>
    <row r="141" spans="1:20">
      <c r="A141" t="s">
        <v>10619</v>
      </c>
      <c r="B141" t="s">
        <v>4330</v>
      </c>
      <c r="C141" t="s">
        <v>2229</v>
      </c>
      <c r="D141" t="s">
        <v>13</v>
      </c>
      <c r="E141" t="s">
        <v>75</v>
      </c>
      <c r="F141" t="s">
        <v>85</v>
      </c>
      <c r="H141" t="s">
        <v>10619</v>
      </c>
      <c r="I141" t="s">
        <v>7684</v>
      </c>
      <c r="J141" t="s">
        <v>5916</v>
      </c>
      <c r="K141" t="s">
        <v>13</v>
      </c>
      <c r="L141" t="s">
        <v>75</v>
      </c>
      <c r="M141" t="s">
        <v>10627</v>
      </c>
      <c r="O141" t="s">
        <v>10619</v>
      </c>
      <c r="P141" t="s">
        <v>9970</v>
      </c>
      <c r="Q141" t="s">
        <v>9097</v>
      </c>
      <c r="R141" t="s">
        <v>13</v>
      </c>
      <c r="S141" t="s">
        <v>75</v>
      </c>
      <c r="T141" t="s">
        <v>10621</v>
      </c>
    </row>
    <row r="142" spans="1:20">
      <c r="A142" t="s">
        <v>10619</v>
      </c>
      <c r="B142" t="s">
        <v>4331</v>
      </c>
      <c r="C142" t="s">
        <v>2231</v>
      </c>
      <c r="D142" t="s">
        <v>13</v>
      </c>
      <c r="E142" t="s">
        <v>75</v>
      </c>
      <c r="F142" t="s">
        <v>85</v>
      </c>
      <c r="H142" t="s">
        <v>10619</v>
      </c>
      <c r="I142" t="s">
        <v>7685</v>
      </c>
      <c r="J142" t="s">
        <v>5920</v>
      </c>
      <c r="K142" t="s">
        <v>13</v>
      </c>
      <c r="L142" t="s">
        <v>75</v>
      </c>
      <c r="M142" t="s">
        <v>10627</v>
      </c>
      <c r="O142" t="s">
        <v>10619</v>
      </c>
      <c r="P142" t="s">
        <v>9971</v>
      </c>
      <c r="Q142" t="s">
        <v>9100</v>
      </c>
      <c r="R142" t="s">
        <v>13</v>
      </c>
      <c r="S142" t="s">
        <v>75</v>
      </c>
      <c r="T142" t="s">
        <v>10631</v>
      </c>
    </row>
    <row r="143" spans="1:20">
      <c r="A143" t="s">
        <v>10619</v>
      </c>
      <c r="B143" t="s">
        <v>4332</v>
      </c>
      <c r="C143" t="s">
        <v>2233</v>
      </c>
      <c r="D143" t="s">
        <v>13</v>
      </c>
      <c r="E143" t="s">
        <v>75</v>
      </c>
      <c r="F143" t="s">
        <v>85</v>
      </c>
      <c r="H143" t="s">
        <v>10619</v>
      </c>
      <c r="I143" t="s">
        <v>7686</v>
      </c>
      <c r="J143" t="s">
        <v>5925</v>
      </c>
      <c r="K143" t="s">
        <v>13</v>
      </c>
      <c r="L143" t="s">
        <v>75</v>
      </c>
      <c r="M143" t="s">
        <v>10627</v>
      </c>
      <c r="O143" t="s">
        <v>10619</v>
      </c>
      <c r="P143" t="s">
        <v>9972</v>
      </c>
      <c r="Q143" t="s">
        <v>9102</v>
      </c>
      <c r="R143" t="s">
        <v>13</v>
      </c>
      <c r="S143" t="s">
        <v>75</v>
      </c>
      <c r="T143" t="s">
        <v>10631</v>
      </c>
    </row>
    <row r="144" spans="1:20">
      <c r="A144" t="s">
        <v>10619</v>
      </c>
      <c r="B144" t="s">
        <v>4333</v>
      </c>
      <c r="C144" t="s">
        <v>2235</v>
      </c>
      <c r="D144" t="s">
        <v>13</v>
      </c>
      <c r="E144" t="s">
        <v>75</v>
      </c>
      <c r="F144" t="s">
        <v>85</v>
      </c>
      <c r="H144" t="s">
        <v>10619</v>
      </c>
      <c r="I144" t="s">
        <v>7687</v>
      </c>
      <c r="J144" t="s">
        <v>5927</v>
      </c>
      <c r="K144" t="s">
        <v>13</v>
      </c>
      <c r="L144" t="s">
        <v>75</v>
      </c>
      <c r="M144" t="s">
        <v>10627</v>
      </c>
      <c r="O144" t="s">
        <v>10619</v>
      </c>
      <c r="P144" t="s">
        <v>9973</v>
      </c>
      <c r="Q144" t="s">
        <v>9104</v>
      </c>
      <c r="R144" t="s">
        <v>13</v>
      </c>
      <c r="S144" t="s">
        <v>75</v>
      </c>
      <c r="T144" t="s">
        <v>10631</v>
      </c>
    </row>
    <row r="145" spans="1:20">
      <c r="A145" t="s">
        <v>10619</v>
      </c>
      <c r="B145" t="s">
        <v>4334</v>
      </c>
      <c r="C145" t="s">
        <v>2237</v>
      </c>
      <c r="D145" t="s">
        <v>13</v>
      </c>
      <c r="E145" t="s">
        <v>75</v>
      </c>
      <c r="F145" t="s">
        <v>85</v>
      </c>
      <c r="H145" t="s">
        <v>10619</v>
      </c>
      <c r="I145" t="s">
        <v>7688</v>
      </c>
      <c r="J145" t="s">
        <v>5925</v>
      </c>
      <c r="K145" t="s">
        <v>13</v>
      </c>
      <c r="L145" t="s">
        <v>75</v>
      </c>
      <c r="M145" t="s">
        <v>10627</v>
      </c>
      <c r="O145" t="s">
        <v>10619</v>
      </c>
      <c r="P145" t="s">
        <v>9974</v>
      </c>
      <c r="Q145" t="s">
        <v>9106</v>
      </c>
      <c r="R145" t="s">
        <v>13</v>
      </c>
      <c r="S145" t="s">
        <v>75</v>
      </c>
      <c r="T145" t="s">
        <v>10631</v>
      </c>
    </row>
    <row r="146" spans="1:20">
      <c r="A146" t="s">
        <v>10619</v>
      </c>
      <c r="B146" t="s">
        <v>4335</v>
      </c>
      <c r="C146" t="s">
        <v>2239</v>
      </c>
      <c r="D146" t="s">
        <v>13</v>
      </c>
      <c r="E146" t="s">
        <v>75</v>
      </c>
      <c r="F146" t="s">
        <v>85</v>
      </c>
      <c r="H146" t="s">
        <v>10619</v>
      </c>
      <c r="I146" t="s">
        <v>7689</v>
      </c>
      <c r="J146" t="s">
        <v>5930</v>
      </c>
      <c r="K146" t="s">
        <v>13</v>
      </c>
      <c r="L146" t="s">
        <v>75</v>
      </c>
      <c r="M146" t="s">
        <v>10627</v>
      </c>
      <c r="O146" t="s">
        <v>10619</v>
      </c>
      <c r="P146" t="s">
        <v>9975</v>
      </c>
      <c r="Q146" t="s">
        <v>9108</v>
      </c>
      <c r="R146" t="s">
        <v>13</v>
      </c>
      <c r="S146" t="s">
        <v>75</v>
      </c>
      <c r="T146" t="s">
        <v>10631</v>
      </c>
    </row>
    <row r="147" spans="1:20">
      <c r="A147" t="s">
        <v>10619</v>
      </c>
      <c r="B147" t="s">
        <v>4336</v>
      </c>
      <c r="C147" t="s">
        <v>2241</v>
      </c>
      <c r="D147" t="s">
        <v>13</v>
      </c>
      <c r="E147" t="s">
        <v>75</v>
      </c>
      <c r="F147" t="s">
        <v>10621</v>
      </c>
      <c r="H147" t="s">
        <v>10619</v>
      </c>
      <c r="I147" t="s">
        <v>7690</v>
      </c>
      <c r="J147" t="s">
        <v>5925</v>
      </c>
      <c r="K147" t="s">
        <v>13</v>
      </c>
      <c r="L147" t="s">
        <v>75</v>
      </c>
      <c r="M147" t="s">
        <v>10627</v>
      </c>
      <c r="O147" t="s">
        <v>10619</v>
      </c>
      <c r="P147" t="s">
        <v>9976</v>
      </c>
      <c r="Q147" t="s">
        <v>9110</v>
      </c>
      <c r="R147" t="s">
        <v>13</v>
      </c>
      <c r="S147" t="s">
        <v>75</v>
      </c>
      <c r="T147" t="s">
        <v>10631</v>
      </c>
    </row>
    <row r="148" spans="1:20">
      <c r="A148" t="s">
        <v>10619</v>
      </c>
      <c r="B148" t="s">
        <v>4337</v>
      </c>
      <c r="C148" t="s">
        <v>2243</v>
      </c>
      <c r="D148" t="s">
        <v>13</v>
      </c>
      <c r="E148" t="s">
        <v>75</v>
      </c>
      <c r="F148" t="s">
        <v>10621</v>
      </c>
      <c r="H148" t="s">
        <v>10619</v>
      </c>
      <c r="I148" t="s">
        <v>7691</v>
      </c>
      <c r="J148" t="s">
        <v>5925</v>
      </c>
      <c r="K148" t="s">
        <v>13</v>
      </c>
      <c r="L148" t="s">
        <v>75</v>
      </c>
      <c r="M148" t="s">
        <v>10627</v>
      </c>
      <c r="O148" t="s">
        <v>10619</v>
      </c>
      <c r="P148" t="s">
        <v>9977</v>
      </c>
      <c r="Q148" t="s">
        <v>9112</v>
      </c>
      <c r="R148" t="s">
        <v>13</v>
      </c>
      <c r="S148" t="s">
        <v>75</v>
      </c>
      <c r="T148" t="s">
        <v>10631</v>
      </c>
    </row>
    <row r="149" spans="1:20">
      <c r="A149" t="s">
        <v>10619</v>
      </c>
      <c r="B149" t="s">
        <v>4338</v>
      </c>
      <c r="C149" t="s">
        <v>2245</v>
      </c>
      <c r="D149" t="s">
        <v>13</v>
      </c>
      <c r="E149" t="s">
        <v>75</v>
      </c>
      <c r="F149" t="s">
        <v>10621</v>
      </c>
      <c r="H149" t="s">
        <v>10619</v>
      </c>
      <c r="I149" t="s">
        <v>7692</v>
      </c>
      <c r="J149" t="s">
        <v>5934</v>
      </c>
      <c r="K149" t="s">
        <v>13</v>
      </c>
      <c r="L149" t="s">
        <v>75</v>
      </c>
      <c r="M149" t="s">
        <v>10627</v>
      </c>
      <c r="O149" t="s">
        <v>10619</v>
      </c>
      <c r="P149" t="s">
        <v>9978</v>
      </c>
      <c r="Q149" t="s">
        <v>9114</v>
      </c>
      <c r="R149" t="s">
        <v>13</v>
      </c>
      <c r="S149" t="s">
        <v>75</v>
      </c>
      <c r="T149" t="s">
        <v>10632</v>
      </c>
    </row>
    <row r="150" spans="1:20">
      <c r="A150" t="s">
        <v>10619</v>
      </c>
      <c r="B150" t="s">
        <v>4339</v>
      </c>
      <c r="C150" t="s">
        <v>2247</v>
      </c>
      <c r="D150" t="s">
        <v>13</v>
      </c>
      <c r="E150" t="s">
        <v>75</v>
      </c>
      <c r="F150" t="s">
        <v>10621</v>
      </c>
      <c r="H150" t="s">
        <v>10619</v>
      </c>
      <c r="I150" t="s">
        <v>7693</v>
      </c>
      <c r="J150" t="s">
        <v>5936</v>
      </c>
      <c r="K150" t="s">
        <v>13</v>
      </c>
      <c r="L150" t="s">
        <v>75</v>
      </c>
      <c r="M150" t="s">
        <v>10627</v>
      </c>
      <c r="O150" t="s">
        <v>10619</v>
      </c>
      <c r="P150" t="s">
        <v>9979</v>
      </c>
      <c r="Q150" t="s">
        <v>9114</v>
      </c>
      <c r="R150" t="s">
        <v>13</v>
      </c>
      <c r="S150" t="s">
        <v>75</v>
      </c>
      <c r="T150" t="s">
        <v>10632</v>
      </c>
    </row>
    <row r="151" spans="1:20">
      <c r="A151" t="s">
        <v>10619</v>
      </c>
      <c r="B151" t="s">
        <v>4340</v>
      </c>
      <c r="C151" t="s">
        <v>2249</v>
      </c>
      <c r="D151" t="s">
        <v>13</v>
      </c>
      <c r="E151" t="s">
        <v>75</v>
      </c>
      <c r="F151" t="s">
        <v>10621</v>
      </c>
      <c r="H151" t="s">
        <v>10619</v>
      </c>
      <c r="I151" t="s">
        <v>7694</v>
      </c>
      <c r="J151" t="s">
        <v>5938</v>
      </c>
      <c r="K151" t="s">
        <v>13</v>
      </c>
      <c r="L151" t="s">
        <v>75</v>
      </c>
      <c r="M151" t="s">
        <v>10627</v>
      </c>
      <c r="O151" t="s">
        <v>10619</v>
      </c>
      <c r="P151" t="s">
        <v>9980</v>
      </c>
      <c r="Q151" t="s">
        <v>9114</v>
      </c>
      <c r="R151" t="s">
        <v>13</v>
      </c>
      <c r="S151" t="s">
        <v>75</v>
      </c>
      <c r="T151" t="s">
        <v>10632</v>
      </c>
    </row>
    <row r="152" spans="1:20">
      <c r="A152" t="s">
        <v>10619</v>
      </c>
      <c r="B152" t="s">
        <v>4341</v>
      </c>
      <c r="C152" t="s">
        <v>2251</v>
      </c>
      <c r="D152" t="s">
        <v>13</v>
      </c>
      <c r="E152" t="s">
        <v>75</v>
      </c>
      <c r="F152" t="s">
        <v>10621</v>
      </c>
      <c r="H152" t="s">
        <v>10619</v>
      </c>
      <c r="I152" t="s">
        <v>7695</v>
      </c>
      <c r="J152" t="s">
        <v>5940</v>
      </c>
      <c r="K152" t="s">
        <v>13</v>
      </c>
      <c r="L152" t="s">
        <v>75</v>
      </c>
      <c r="M152" t="s">
        <v>10627</v>
      </c>
      <c r="O152" t="s">
        <v>10619</v>
      </c>
      <c r="P152" t="s">
        <v>9981</v>
      </c>
      <c r="Q152" t="s">
        <v>9118</v>
      </c>
      <c r="R152" t="s">
        <v>13</v>
      </c>
      <c r="S152" t="s">
        <v>75</v>
      </c>
      <c r="T152" t="s">
        <v>10629</v>
      </c>
    </row>
    <row r="153" spans="1:20">
      <c r="A153" t="s">
        <v>10619</v>
      </c>
      <c r="B153" t="s">
        <v>4342</v>
      </c>
      <c r="C153" t="s">
        <v>2253</v>
      </c>
      <c r="D153" t="s">
        <v>13</v>
      </c>
      <c r="E153" t="s">
        <v>75</v>
      </c>
      <c r="F153" t="s">
        <v>10621</v>
      </c>
      <c r="H153" t="s">
        <v>10619</v>
      </c>
      <c r="I153" t="s">
        <v>7696</v>
      </c>
      <c r="J153" t="s">
        <v>5942</v>
      </c>
      <c r="K153" t="s">
        <v>13</v>
      </c>
      <c r="L153" t="s">
        <v>75</v>
      </c>
      <c r="M153" t="s">
        <v>10627</v>
      </c>
      <c r="O153" t="s">
        <v>10619</v>
      </c>
      <c r="P153" t="s">
        <v>9982</v>
      </c>
      <c r="Q153" t="s">
        <v>9120</v>
      </c>
      <c r="R153" t="s">
        <v>13</v>
      </c>
      <c r="S153" t="s">
        <v>75</v>
      </c>
      <c r="T153" t="s">
        <v>10629</v>
      </c>
    </row>
    <row r="154" spans="1:20">
      <c r="A154" t="s">
        <v>10619</v>
      </c>
      <c r="B154" t="s">
        <v>4343</v>
      </c>
      <c r="C154" t="s">
        <v>2255</v>
      </c>
      <c r="D154" t="s">
        <v>13</v>
      </c>
      <c r="E154" t="s">
        <v>75</v>
      </c>
      <c r="F154" t="s">
        <v>10621</v>
      </c>
      <c r="H154" t="s">
        <v>10619</v>
      </c>
      <c r="I154" t="s">
        <v>7697</v>
      </c>
      <c r="J154" t="s">
        <v>5942</v>
      </c>
      <c r="K154" t="s">
        <v>13</v>
      </c>
      <c r="L154" t="s">
        <v>75</v>
      </c>
      <c r="M154" t="s">
        <v>10627</v>
      </c>
      <c r="O154" t="s">
        <v>10619</v>
      </c>
      <c r="P154" t="s">
        <v>9983</v>
      </c>
      <c r="Q154" t="s">
        <v>9122</v>
      </c>
      <c r="R154" t="s">
        <v>13</v>
      </c>
      <c r="S154" t="s">
        <v>75</v>
      </c>
      <c r="T154" t="s">
        <v>10629</v>
      </c>
    </row>
    <row r="155" spans="1:20">
      <c r="A155" t="s">
        <v>10619</v>
      </c>
      <c r="B155" t="s">
        <v>4344</v>
      </c>
      <c r="C155" t="s">
        <v>2257</v>
      </c>
      <c r="D155" t="s">
        <v>13</v>
      </c>
      <c r="E155" t="s">
        <v>75</v>
      </c>
      <c r="F155" t="s">
        <v>10621</v>
      </c>
      <c r="H155" t="s">
        <v>10619</v>
      </c>
      <c r="I155" t="s">
        <v>7698</v>
      </c>
      <c r="J155" t="s">
        <v>5945</v>
      </c>
      <c r="K155" t="s">
        <v>13</v>
      </c>
      <c r="L155" t="s">
        <v>75</v>
      </c>
      <c r="M155" t="s">
        <v>10627</v>
      </c>
      <c r="O155" t="s">
        <v>10619</v>
      </c>
      <c r="P155" t="s">
        <v>9984</v>
      </c>
      <c r="Q155" t="s">
        <v>9124</v>
      </c>
      <c r="R155" t="s">
        <v>13</v>
      </c>
      <c r="S155" t="s">
        <v>75</v>
      </c>
      <c r="T155" t="s">
        <v>10629</v>
      </c>
    </row>
    <row r="156" spans="1:20">
      <c r="A156" t="s">
        <v>10619</v>
      </c>
      <c r="B156" t="s">
        <v>4345</v>
      </c>
      <c r="C156" t="s">
        <v>2259</v>
      </c>
      <c r="D156" t="s">
        <v>13</v>
      </c>
      <c r="E156" t="s">
        <v>75</v>
      </c>
      <c r="F156" t="s">
        <v>10621</v>
      </c>
      <c r="H156" t="s">
        <v>10619</v>
      </c>
      <c r="I156" t="s">
        <v>7699</v>
      </c>
      <c r="J156" t="s">
        <v>5934</v>
      </c>
      <c r="K156" t="s">
        <v>13</v>
      </c>
      <c r="L156" t="s">
        <v>75</v>
      </c>
      <c r="M156" t="s">
        <v>10627</v>
      </c>
      <c r="O156" t="s">
        <v>10619</v>
      </c>
      <c r="P156" t="s">
        <v>9985</v>
      </c>
      <c r="Q156" t="s">
        <v>9126</v>
      </c>
      <c r="R156" t="s">
        <v>13</v>
      </c>
      <c r="S156" t="s">
        <v>75</v>
      </c>
      <c r="T156" t="s">
        <v>498</v>
      </c>
    </row>
    <row r="157" spans="1:20">
      <c r="A157" t="s">
        <v>10619</v>
      </c>
      <c r="B157" t="s">
        <v>4346</v>
      </c>
      <c r="C157" t="s">
        <v>2261</v>
      </c>
      <c r="D157" t="s">
        <v>13</v>
      </c>
      <c r="E157" t="s">
        <v>75</v>
      </c>
      <c r="F157" t="s">
        <v>10621</v>
      </c>
      <c r="H157" t="s">
        <v>10619</v>
      </c>
      <c r="I157" t="s">
        <v>7700</v>
      </c>
      <c r="J157" t="s">
        <v>5934</v>
      </c>
      <c r="K157" t="s">
        <v>13</v>
      </c>
      <c r="L157" t="s">
        <v>75</v>
      </c>
      <c r="M157" t="s">
        <v>10627</v>
      </c>
      <c r="O157" t="s">
        <v>10619</v>
      </c>
      <c r="P157" t="s">
        <v>9986</v>
      </c>
      <c r="Q157" t="s">
        <v>9128</v>
      </c>
      <c r="R157" t="s">
        <v>13</v>
      </c>
      <c r="S157" t="s">
        <v>75</v>
      </c>
      <c r="T157" t="s">
        <v>498</v>
      </c>
    </row>
    <row r="158" spans="1:20">
      <c r="A158" t="s">
        <v>10619</v>
      </c>
      <c r="B158" t="s">
        <v>4347</v>
      </c>
      <c r="C158" t="s">
        <v>2263</v>
      </c>
      <c r="D158" t="s">
        <v>13</v>
      </c>
      <c r="E158" t="s">
        <v>75</v>
      </c>
      <c r="F158" t="s">
        <v>10621</v>
      </c>
      <c r="H158" t="s">
        <v>10619</v>
      </c>
      <c r="I158" t="s">
        <v>7701</v>
      </c>
      <c r="J158" t="s">
        <v>5942</v>
      </c>
      <c r="K158" t="s">
        <v>13</v>
      </c>
      <c r="L158" t="s">
        <v>75</v>
      </c>
      <c r="M158" t="s">
        <v>10627</v>
      </c>
      <c r="O158" t="s">
        <v>10619</v>
      </c>
      <c r="P158" t="s">
        <v>9987</v>
      </c>
      <c r="Q158" t="s">
        <v>9130</v>
      </c>
      <c r="R158" t="s">
        <v>13</v>
      </c>
      <c r="S158" t="s">
        <v>75</v>
      </c>
      <c r="T158" t="s">
        <v>498</v>
      </c>
    </row>
    <row r="159" spans="1:20">
      <c r="A159" t="s">
        <v>10619</v>
      </c>
      <c r="B159" t="s">
        <v>4348</v>
      </c>
      <c r="C159" t="s">
        <v>2265</v>
      </c>
      <c r="D159" t="s">
        <v>13</v>
      </c>
      <c r="E159" t="s">
        <v>75</v>
      </c>
      <c r="F159" t="s">
        <v>10621</v>
      </c>
      <c r="H159" t="s">
        <v>10619</v>
      </c>
      <c r="I159" t="s">
        <v>7702</v>
      </c>
      <c r="J159" t="s">
        <v>5950</v>
      </c>
      <c r="K159" t="s">
        <v>13</v>
      </c>
      <c r="L159" t="s">
        <v>75</v>
      </c>
      <c r="M159" t="s">
        <v>479</v>
      </c>
      <c r="O159" t="s">
        <v>10619</v>
      </c>
      <c r="P159" t="s">
        <v>9988</v>
      </c>
      <c r="Q159" t="s">
        <v>9132</v>
      </c>
      <c r="R159" t="s">
        <v>13</v>
      </c>
      <c r="S159" t="s">
        <v>75</v>
      </c>
      <c r="T159" t="s">
        <v>498</v>
      </c>
    </row>
    <row r="160" spans="1:20">
      <c r="A160" t="s">
        <v>10619</v>
      </c>
      <c r="B160" t="s">
        <v>4349</v>
      </c>
      <c r="C160" t="s">
        <v>2267</v>
      </c>
      <c r="D160" t="s">
        <v>13</v>
      </c>
      <c r="E160" t="s">
        <v>75</v>
      </c>
      <c r="F160" t="s">
        <v>10621</v>
      </c>
      <c r="H160" t="s">
        <v>10619</v>
      </c>
      <c r="I160" t="s">
        <v>7703</v>
      </c>
      <c r="J160" t="s">
        <v>5952</v>
      </c>
      <c r="K160" t="s">
        <v>13</v>
      </c>
      <c r="L160" t="s">
        <v>75</v>
      </c>
      <c r="M160" t="s">
        <v>479</v>
      </c>
      <c r="O160" t="s">
        <v>10619</v>
      </c>
      <c r="P160" t="s">
        <v>9989</v>
      </c>
      <c r="Q160" t="s">
        <v>9134</v>
      </c>
      <c r="R160" t="s">
        <v>13</v>
      </c>
      <c r="S160" t="s">
        <v>75</v>
      </c>
      <c r="T160" t="s">
        <v>498</v>
      </c>
    </row>
    <row r="161" spans="1:20">
      <c r="A161" t="s">
        <v>10619</v>
      </c>
      <c r="B161" t="s">
        <v>4350</v>
      </c>
      <c r="C161" t="s">
        <v>2265</v>
      </c>
      <c r="D161" t="s">
        <v>13</v>
      </c>
      <c r="E161" t="s">
        <v>75</v>
      </c>
      <c r="F161" t="s">
        <v>10621</v>
      </c>
      <c r="H161" t="s">
        <v>10619</v>
      </c>
      <c r="I161" t="s">
        <v>7704</v>
      </c>
      <c r="J161" t="s">
        <v>5954</v>
      </c>
      <c r="K161" t="s">
        <v>13</v>
      </c>
      <c r="L161" t="s">
        <v>75</v>
      </c>
      <c r="M161" t="s">
        <v>10624</v>
      </c>
      <c r="O161" t="s">
        <v>10619</v>
      </c>
      <c r="P161" t="s">
        <v>9990</v>
      </c>
      <c r="Q161" t="s">
        <v>9136</v>
      </c>
      <c r="R161" t="s">
        <v>13</v>
      </c>
      <c r="S161" t="s">
        <v>75</v>
      </c>
      <c r="T161" t="s">
        <v>498</v>
      </c>
    </row>
    <row r="162" spans="1:20">
      <c r="A162" t="s">
        <v>10619</v>
      </c>
      <c r="B162" t="s">
        <v>4351</v>
      </c>
      <c r="C162" t="s">
        <v>2270</v>
      </c>
      <c r="D162" t="s">
        <v>13</v>
      </c>
      <c r="E162" t="s">
        <v>75</v>
      </c>
      <c r="F162" t="s">
        <v>10621</v>
      </c>
      <c r="H162" t="s">
        <v>10619</v>
      </c>
      <c r="I162" t="s">
        <v>7705</v>
      </c>
      <c r="J162" t="s">
        <v>5956</v>
      </c>
      <c r="K162" t="s">
        <v>13</v>
      </c>
      <c r="L162" t="s">
        <v>75</v>
      </c>
      <c r="M162" t="s">
        <v>10624</v>
      </c>
      <c r="O162" t="s">
        <v>10619</v>
      </c>
      <c r="P162" t="s">
        <v>9991</v>
      </c>
      <c r="Q162" t="s">
        <v>9138</v>
      </c>
      <c r="R162" t="s">
        <v>13</v>
      </c>
      <c r="S162" t="s">
        <v>75</v>
      </c>
      <c r="T162" t="s">
        <v>10621</v>
      </c>
    </row>
    <row r="163" spans="1:20">
      <c r="A163" t="s">
        <v>10619</v>
      </c>
      <c r="B163" t="s">
        <v>4352</v>
      </c>
      <c r="C163" t="s">
        <v>2272</v>
      </c>
      <c r="D163" t="s">
        <v>13</v>
      </c>
      <c r="E163" t="s">
        <v>75</v>
      </c>
      <c r="F163" t="s">
        <v>10621</v>
      </c>
      <c r="H163" t="s">
        <v>10619</v>
      </c>
      <c r="I163" t="s">
        <v>7706</v>
      </c>
      <c r="J163" t="s">
        <v>5958</v>
      </c>
      <c r="K163" t="s">
        <v>13</v>
      </c>
      <c r="L163" t="s">
        <v>75</v>
      </c>
      <c r="M163" t="s">
        <v>10624</v>
      </c>
      <c r="O163" t="s">
        <v>10619</v>
      </c>
      <c r="P163" t="s">
        <v>9992</v>
      </c>
      <c r="Q163" t="s">
        <v>9138</v>
      </c>
      <c r="R163" t="s">
        <v>13</v>
      </c>
      <c r="S163" t="s">
        <v>75</v>
      </c>
      <c r="T163" t="s">
        <v>10621</v>
      </c>
    </row>
    <row r="164" spans="1:20">
      <c r="A164" t="s">
        <v>10619</v>
      </c>
      <c r="B164" t="s">
        <v>4353</v>
      </c>
      <c r="C164" t="s">
        <v>2274</v>
      </c>
      <c r="D164" t="s">
        <v>13</v>
      </c>
      <c r="E164" t="s">
        <v>75</v>
      </c>
      <c r="F164" t="s">
        <v>10621</v>
      </c>
      <c r="H164" t="s">
        <v>10619</v>
      </c>
      <c r="I164" t="s">
        <v>7707</v>
      </c>
      <c r="J164" t="s">
        <v>5960</v>
      </c>
      <c r="K164" t="s">
        <v>13</v>
      </c>
      <c r="L164" t="s">
        <v>75</v>
      </c>
      <c r="M164" t="s">
        <v>10624</v>
      </c>
      <c r="O164" t="s">
        <v>10619</v>
      </c>
      <c r="P164" t="s">
        <v>9993</v>
      </c>
      <c r="Q164" t="s">
        <v>9141</v>
      </c>
      <c r="R164" t="s">
        <v>13</v>
      </c>
      <c r="S164" t="s">
        <v>75</v>
      </c>
      <c r="T164" t="s">
        <v>10621</v>
      </c>
    </row>
    <row r="165" spans="1:20">
      <c r="A165" t="s">
        <v>10619</v>
      </c>
      <c r="B165" t="s">
        <v>4354</v>
      </c>
      <c r="C165" t="s">
        <v>2276</v>
      </c>
      <c r="D165" t="s">
        <v>13</v>
      </c>
      <c r="E165" t="s">
        <v>75</v>
      </c>
      <c r="F165" t="s">
        <v>10627</v>
      </c>
      <c r="H165" t="s">
        <v>10619</v>
      </c>
      <c r="I165" t="s">
        <v>7708</v>
      </c>
      <c r="J165" t="s">
        <v>5962</v>
      </c>
      <c r="K165" t="s">
        <v>13</v>
      </c>
      <c r="L165" t="s">
        <v>75</v>
      </c>
      <c r="M165" t="s">
        <v>10624</v>
      </c>
      <c r="O165" t="s">
        <v>10619</v>
      </c>
      <c r="P165" t="s">
        <v>9994</v>
      </c>
      <c r="Q165" t="s">
        <v>9138</v>
      </c>
      <c r="R165" t="s">
        <v>13</v>
      </c>
      <c r="S165" t="s">
        <v>75</v>
      </c>
      <c r="T165" t="s">
        <v>10621</v>
      </c>
    </row>
    <row r="166" spans="1:20">
      <c r="A166" t="s">
        <v>10619</v>
      </c>
      <c r="B166" t="s">
        <v>4355</v>
      </c>
      <c r="C166" t="s">
        <v>2278</v>
      </c>
      <c r="D166" t="s">
        <v>13</v>
      </c>
      <c r="E166" t="s">
        <v>75</v>
      </c>
      <c r="F166" t="s">
        <v>10627</v>
      </c>
      <c r="H166" t="s">
        <v>10619</v>
      </c>
      <c r="I166" t="s">
        <v>7709</v>
      </c>
      <c r="J166" t="s">
        <v>5964</v>
      </c>
      <c r="K166" t="s">
        <v>13</v>
      </c>
      <c r="L166" t="s">
        <v>75</v>
      </c>
      <c r="M166" t="s">
        <v>10624</v>
      </c>
      <c r="O166" t="s">
        <v>10619</v>
      </c>
      <c r="P166" t="s">
        <v>9995</v>
      </c>
      <c r="Q166" t="s">
        <v>9144</v>
      </c>
      <c r="R166" t="s">
        <v>13</v>
      </c>
      <c r="S166" t="s">
        <v>75</v>
      </c>
      <c r="T166" t="s">
        <v>10633</v>
      </c>
    </row>
    <row r="167" spans="1:20">
      <c r="A167" t="s">
        <v>10619</v>
      </c>
      <c r="B167" t="s">
        <v>4356</v>
      </c>
      <c r="C167" t="s">
        <v>2276</v>
      </c>
      <c r="D167" t="s">
        <v>13</v>
      </c>
      <c r="E167" t="s">
        <v>75</v>
      </c>
      <c r="F167" t="s">
        <v>10627</v>
      </c>
      <c r="H167" t="s">
        <v>10619</v>
      </c>
      <c r="I167" t="s">
        <v>7710</v>
      </c>
      <c r="J167" t="s">
        <v>5966</v>
      </c>
      <c r="K167" t="s">
        <v>13</v>
      </c>
      <c r="L167" t="s">
        <v>75</v>
      </c>
      <c r="M167" t="s">
        <v>10624</v>
      </c>
      <c r="O167" t="s">
        <v>10619</v>
      </c>
      <c r="P167" t="s">
        <v>9996</v>
      </c>
      <c r="Q167" t="s">
        <v>9146</v>
      </c>
      <c r="R167" t="s">
        <v>13</v>
      </c>
      <c r="S167" t="s">
        <v>75</v>
      </c>
      <c r="T167" t="s">
        <v>10633</v>
      </c>
    </row>
    <row r="168" spans="1:20">
      <c r="A168" t="s">
        <v>10619</v>
      </c>
      <c r="B168" t="s">
        <v>4357</v>
      </c>
      <c r="C168" t="s">
        <v>2276</v>
      </c>
      <c r="D168" t="s">
        <v>13</v>
      </c>
      <c r="E168" t="s">
        <v>75</v>
      </c>
      <c r="F168" t="s">
        <v>10627</v>
      </c>
      <c r="H168" t="s">
        <v>10619</v>
      </c>
      <c r="I168" t="s">
        <v>7711</v>
      </c>
      <c r="J168" t="s">
        <v>5968</v>
      </c>
      <c r="K168" t="s">
        <v>13</v>
      </c>
      <c r="L168" t="s">
        <v>75</v>
      </c>
      <c r="M168" t="s">
        <v>10624</v>
      </c>
      <c r="O168" t="s">
        <v>10619</v>
      </c>
      <c r="P168" t="s">
        <v>9997</v>
      </c>
      <c r="Q168" t="s">
        <v>9148</v>
      </c>
      <c r="R168" t="s">
        <v>13</v>
      </c>
      <c r="S168" t="s">
        <v>75</v>
      </c>
      <c r="T168" t="s">
        <v>10633</v>
      </c>
    </row>
    <row r="169" spans="1:20">
      <c r="A169" t="s">
        <v>10619</v>
      </c>
      <c r="B169" t="s">
        <v>4358</v>
      </c>
      <c r="C169" t="s">
        <v>2276</v>
      </c>
      <c r="D169" t="s">
        <v>13</v>
      </c>
      <c r="E169" t="s">
        <v>75</v>
      </c>
      <c r="F169" t="s">
        <v>10627</v>
      </c>
      <c r="H169" t="s">
        <v>10619</v>
      </c>
      <c r="I169" t="s">
        <v>7712</v>
      </c>
      <c r="J169" t="s">
        <v>5970</v>
      </c>
      <c r="K169" t="s">
        <v>13</v>
      </c>
      <c r="L169" t="s">
        <v>75</v>
      </c>
      <c r="M169" t="s">
        <v>481</v>
      </c>
      <c r="O169" t="s">
        <v>10619</v>
      </c>
      <c r="P169" t="s">
        <v>9998</v>
      </c>
      <c r="Q169" t="s">
        <v>9150</v>
      </c>
      <c r="R169" t="s">
        <v>13</v>
      </c>
      <c r="S169" t="s">
        <v>75</v>
      </c>
      <c r="T169" t="s">
        <v>10633</v>
      </c>
    </row>
    <row r="170" spans="1:20">
      <c r="A170" t="s">
        <v>10619</v>
      </c>
      <c r="B170" t="s">
        <v>4359</v>
      </c>
      <c r="C170" t="s">
        <v>2276</v>
      </c>
      <c r="D170" t="s">
        <v>13</v>
      </c>
      <c r="E170" t="s">
        <v>75</v>
      </c>
      <c r="F170" t="s">
        <v>10627</v>
      </c>
      <c r="H170" t="s">
        <v>10619</v>
      </c>
      <c r="I170" t="s">
        <v>7713</v>
      </c>
      <c r="J170" t="s">
        <v>5970</v>
      </c>
      <c r="K170" t="s">
        <v>13</v>
      </c>
      <c r="L170" t="s">
        <v>75</v>
      </c>
      <c r="M170" t="s">
        <v>481</v>
      </c>
      <c r="O170" t="s">
        <v>10619</v>
      </c>
      <c r="P170" t="s">
        <v>9999</v>
      </c>
      <c r="Q170" t="s">
        <v>9152</v>
      </c>
      <c r="R170" t="s">
        <v>13</v>
      </c>
      <c r="S170" t="s">
        <v>75</v>
      </c>
      <c r="T170" t="s">
        <v>10633</v>
      </c>
    </row>
    <row r="171" spans="1:20">
      <c r="A171" t="s">
        <v>10619</v>
      </c>
      <c r="B171" t="s">
        <v>4360</v>
      </c>
      <c r="C171" t="s">
        <v>2284</v>
      </c>
      <c r="D171" t="s">
        <v>13</v>
      </c>
      <c r="E171" t="s">
        <v>75</v>
      </c>
      <c r="F171" t="s">
        <v>10627</v>
      </c>
      <c r="H171" t="s">
        <v>10619</v>
      </c>
      <c r="I171" t="s">
        <v>7714</v>
      </c>
      <c r="J171" t="s">
        <v>5973</v>
      </c>
      <c r="K171" t="s">
        <v>13</v>
      </c>
      <c r="L171" t="s">
        <v>75</v>
      </c>
      <c r="M171" t="s">
        <v>481</v>
      </c>
      <c r="O171" t="s">
        <v>10619</v>
      </c>
      <c r="P171" t="s">
        <v>10000</v>
      </c>
      <c r="Q171" t="s">
        <v>9154</v>
      </c>
      <c r="R171" t="s">
        <v>13</v>
      </c>
      <c r="S171" t="s">
        <v>75</v>
      </c>
      <c r="T171" t="s">
        <v>10633</v>
      </c>
    </row>
    <row r="172" spans="1:20">
      <c r="A172" t="s">
        <v>10619</v>
      </c>
      <c r="B172" t="s">
        <v>4361</v>
      </c>
      <c r="C172" t="s">
        <v>2286</v>
      </c>
      <c r="D172" t="s">
        <v>13</v>
      </c>
      <c r="E172" t="s">
        <v>75</v>
      </c>
      <c r="F172" t="s">
        <v>10627</v>
      </c>
      <c r="H172" t="s">
        <v>10619</v>
      </c>
      <c r="I172" t="s">
        <v>7715</v>
      </c>
      <c r="J172" t="s">
        <v>5970</v>
      </c>
      <c r="K172" t="s">
        <v>13</v>
      </c>
      <c r="L172" t="s">
        <v>75</v>
      </c>
      <c r="M172" t="s">
        <v>481</v>
      </c>
      <c r="O172" t="s">
        <v>10619</v>
      </c>
      <c r="P172" t="s">
        <v>10001</v>
      </c>
      <c r="Q172" t="s">
        <v>9154</v>
      </c>
      <c r="R172" t="s">
        <v>13</v>
      </c>
      <c r="S172" t="s">
        <v>75</v>
      </c>
      <c r="T172" t="s">
        <v>10633</v>
      </c>
    </row>
    <row r="173" spans="1:20">
      <c r="A173" t="s">
        <v>10619</v>
      </c>
      <c r="B173" t="s">
        <v>4362</v>
      </c>
      <c r="C173" t="s">
        <v>2286</v>
      </c>
      <c r="D173" t="s">
        <v>13</v>
      </c>
      <c r="E173" t="s">
        <v>75</v>
      </c>
      <c r="F173" t="s">
        <v>10627</v>
      </c>
      <c r="H173" t="s">
        <v>10619</v>
      </c>
      <c r="I173" t="s">
        <v>7716</v>
      </c>
      <c r="J173" t="s">
        <v>5976</v>
      </c>
      <c r="K173" t="s">
        <v>13</v>
      </c>
      <c r="L173" t="s">
        <v>75</v>
      </c>
      <c r="M173" t="s">
        <v>481</v>
      </c>
      <c r="O173" t="s">
        <v>10619</v>
      </c>
      <c r="P173" t="s">
        <v>10002</v>
      </c>
      <c r="Q173" t="s">
        <v>9157</v>
      </c>
      <c r="R173" t="s">
        <v>13</v>
      </c>
      <c r="S173" t="s">
        <v>75</v>
      </c>
      <c r="T173" t="s">
        <v>10633</v>
      </c>
    </row>
    <row r="174" spans="1:20">
      <c r="A174" t="s">
        <v>10619</v>
      </c>
      <c r="B174" t="s">
        <v>4363</v>
      </c>
      <c r="C174" t="s">
        <v>2289</v>
      </c>
      <c r="D174" t="s">
        <v>13</v>
      </c>
      <c r="E174" t="s">
        <v>75</v>
      </c>
      <c r="F174" t="s">
        <v>10627</v>
      </c>
      <c r="H174" t="s">
        <v>10619</v>
      </c>
      <c r="I174" t="s">
        <v>7717</v>
      </c>
      <c r="J174" t="s">
        <v>5970</v>
      </c>
      <c r="K174" t="s">
        <v>13</v>
      </c>
      <c r="L174" t="s">
        <v>75</v>
      </c>
      <c r="M174" t="s">
        <v>481</v>
      </c>
      <c r="O174" t="s">
        <v>10619</v>
      </c>
      <c r="P174" t="s">
        <v>10003</v>
      </c>
      <c r="Q174" t="s">
        <v>9159</v>
      </c>
      <c r="R174" t="s">
        <v>13</v>
      </c>
      <c r="S174" t="s">
        <v>75</v>
      </c>
      <c r="T174" t="s">
        <v>10633</v>
      </c>
    </row>
    <row r="175" spans="1:20">
      <c r="A175" t="s">
        <v>10619</v>
      </c>
      <c r="B175" t="s">
        <v>4364</v>
      </c>
      <c r="C175" t="s">
        <v>2291</v>
      </c>
      <c r="D175" t="s">
        <v>13</v>
      </c>
      <c r="E175" t="s">
        <v>75</v>
      </c>
      <c r="F175" t="s">
        <v>10627</v>
      </c>
      <c r="H175" t="s">
        <v>10619</v>
      </c>
      <c r="I175" t="s">
        <v>7718</v>
      </c>
      <c r="J175" t="s">
        <v>5979</v>
      </c>
      <c r="K175" t="s">
        <v>13</v>
      </c>
      <c r="L175" t="s">
        <v>75</v>
      </c>
      <c r="M175" t="s">
        <v>481</v>
      </c>
      <c r="O175" t="s">
        <v>10619</v>
      </c>
      <c r="P175" t="s">
        <v>10004</v>
      </c>
      <c r="Q175" t="s">
        <v>9157</v>
      </c>
      <c r="R175" t="s">
        <v>13</v>
      </c>
      <c r="S175" t="s">
        <v>75</v>
      </c>
      <c r="T175" t="s">
        <v>10633</v>
      </c>
    </row>
    <row r="176" spans="1:20">
      <c r="A176" t="s">
        <v>10619</v>
      </c>
      <c r="B176" t="s">
        <v>4365</v>
      </c>
      <c r="C176" t="s">
        <v>2293</v>
      </c>
      <c r="D176" t="s">
        <v>13</v>
      </c>
      <c r="E176" t="s">
        <v>75</v>
      </c>
      <c r="F176" t="s">
        <v>10627</v>
      </c>
      <c r="H176" t="s">
        <v>10619</v>
      </c>
      <c r="I176" t="s">
        <v>7719</v>
      </c>
      <c r="J176" t="s">
        <v>5981</v>
      </c>
      <c r="K176" t="s">
        <v>13</v>
      </c>
      <c r="L176" t="s">
        <v>75</v>
      </c>
      <c r="M176" t="s">
        <v>481</v>
      </c>
      <c r="O176" t="s">
        <v>10619</v>
      </c>
      <c r="P176" t="s">
        <v>10005</v>
      </c>
      <c r="Q176" t="s">
        <v>9162</v>
      </c>
      <c r="R176" t="s">
        <v>13</v>
      </c>
      <c r="S176" t="s">
        <v>75</v>
      </c>
      <c r="T176" t="s">
        <v>10620</v>
      </c>
    </row>
    <row r="177" spans="1:20">
      <c r="A177" t="s">
        <v>10619</v>
      </c>
      <c r="B177" t="s">
        <v>4366</v>
      </c>
      <c r="C177" t="s">
        <v>2295</v>
      </c>
      <c r="D177" t="s">
        <v>13</v>
      </c>
      <c r="E177" t="s">
        <v>75</v>
      </c>
      <c r="F177" t="s">
        <v>10627</v>
      </c>
      <c r="H177" t="s">
        <v>10619</v>
      </c>
      <c r="I177" t="s">
        <v>7720</v>
      </c>
      <c r="J177" t="s">
        <v>5983</v>
      </c>
      <c r="K177" t="s">
        <v>13</v>
      </c>
      <c r="L177" t="s">
        <v>75</v>
      </c>
      <c r="M177" t="s">
        <v>481</v>
      </c>
      <c r="O177" t="s">
        <v>10619</v>
      </c>
      <c r="P177" t="s">
        <v>10006</v>
      </c>
      <c r="Q177" t="s">
        <v>9162</v>
      </c>
      <c r="R177" t="s">
        <v>13</v>
      </c>
      <c r="S177" t="s">
        <v>75</v>
      </c>
      <c r="T177" t="s">
        <v>10620</v>
      </c>
    </row>
    <row r="178" spans="1:20">
      <c r="A178" t="s">
        <v>10619</v>
      </c>
      <c r="B178" t="s">
        <v>4367</v>
      </c>
      <c r="C178" t="s">
        <v>2297</v>
      </c>
      <c r="D178" t="s">
        <v>13</v>
      </c>
      <c r="E178" t="s">
        <v>75</v>
      </c>
      <c r="F178" t="s">
        <v>10627</v>
      </c>
      <c r="H178" t="s">
        <v>10619</v>
      </c>
      <c r="I178" t="s">
        <v>7721</v>
      </c>
      <c r="J178" t="s">
        <v>5985</v>
      </c>
      <c r="K178" t="s">
        <v>13</v>
      </c>
      <c r="L178" t="s">
        <v>75</v>
      </c>
      <c r="M178" t="s">
        <v>481</v>
      </c>
      <c r="O178" t="s">
        <v>10619</v>
      </c>
      <c r="P178" t="s">
        <v>10007</v>
      </c>
      <c r="Q178" t="s">
        <v>9165</v>
      </c>
      <c r="R178" t="s">
        <v>13</v>
      </c>
      <c r="S178" t="s">
        <v>75</v>
      </c>
      <c r="T178" t="s">
        <v>10621</v>
      </c>
    </row>
    <row r="179" spans="1:20">
      <c r="A179" t="s">
        <v>10619</v>
      </c>
      <c r="B179" t="s">
        <v>4368</v>
      </c>
      <c r="C179" t="s">
        <v>2293</v>
      </c>
      <c r="D179" t="s">
        <v>13</v>
      </c>
      <c r="E179" t="s">
        <v>75</v>
      </c>
      <c r="F179" t="s">
        <v>10627</v>
      </c>
      <c r="H179" t="s">
        <v>10619</v>
      </c>
      <c r="I179" t="s">
        <v>7722</v>
      </c>
      <c r="J179" t="s">
        <v>5987</v>
      </c>
      <c r="K179" t="s">
        <v>13</v>
      </c>
      <c r="L179" t="s">
        <v>75</v>
      </c>
      <c r="M179" t="s">
        <v>481</v>
      </c>
      <c r="O179" t="s">
        <v>10619</v>
      </c>
      <c r="P179" t="s">
        <v>10008</v>
      </c>
      <c r="Q179" t="s">
        <v>9167</v>
      </c>
      <c r="R179" t="s">
        <v>13</v>
      </c>
      <c r="S179" t="s">
        <v>75</v>
      </c>
      <c r="T179" t="s">
        <v>10621</v>
      </c>
    </row>
    <row r="180" spans="1:20">
      <c r="A180" t="s">
        <v>10619</v>
      </c>
      <c r="B180" t="s">
        <v>4369</v>
      </c>
      <c r="C180" t="s">
        <v>2300</v>
      </c>
      <c r="D180" t="s">
        <v>13</v>
      </c>
      <c r="E180" t="s">
        <v>75</v>
      </c>
      <c r="F180" t="s">
        <v>10627</v>
      </c>
      <c r="H180" t="s">
        <v>10619</v>
      </c>
      <c r="I180" t="s">
        <v>7723</v>
      </c>
      <c r="J180" t="s">
        <v>5989</v>
      </c>
      <c r="K180" t="s">
        <v>13</v>
      </c>
      <c r="L180" t="s">
        <v>75</v>
      </c>
      <c r="M180" t="s">
        <v>481</v>
      </c>
      <c r="O180" t="s">
        <v>10619</v>
      </c>
      <c r="P180" t="s">
        <v>10009</v>
      </c>
      <c r="Q180" t="s">
        <v>9165</v>
      </c>
      <c r="R180" t="s">
        <v>13</v>
      </c>
      <c r="S180" t="s">
        <v>75</v>
      </c>
      <c r="T180" t="s">
        <v>10621</v>
      </c>
    </row>
    <row r="181" spans="1:20">
      <c r="A181" t="s">
        <v>10619</v>
      </c>
      <c r="B181" t="s">
        <v>4370</v>
      </c>
      <c r="C181" t="s">
        <v>2302</v>
      </c>
      <c r="D181" t="s">
        <v>13</v>
      </c>
      <c r="E181" t="s">
        <v>75</v>
      </c>
      <c r="F181" t="s">
        <v>10627</v>
      </c>
      <c r="H181" t="s">
        <v>10619</v>
      </c>
      <c r="I181" t="s">
        <v>7724</v>
      </c>
      <c r="J181" t="s">
        <v>5991</v>
      </c>
      <c r="K181" t="s">
        <v>13</v>
      </c>
      <c r="L181" t="s">
        <v>75</v>
      </c>
      <c r="M181" t="s">
        <v>481</v>
      </c>
      <c r="O181" t="s">
        <v>10619</v>
      </c>
      <c r="P181" t="s">
        <v>10010</v>
      </c>
      <c r="Q181" t="s">
        <v>9170</v>
      </c>
      <c r="R181" t="s">
        <v>13</v>
      </c>
      <c r="S181" t="s">
        <v>75</v>
      </c>
      <c r="T181" t="s">
        <v>10621</v>
      </c>
    </row>
    <row r="182" spans="1:20">
      <c r="A182" t="s">
        <v>10619</v>
      </c>
      <c r="B182" t="s">
        <v>4371</v>
      </c>
      <c r="C182" t="s">
        <v>2300</v>
      </c>
      <c r="D182" t="s">
        <v>13</v>
      </c>
      <c r="E182" t="s">
        <v>75</v>
      </c>
      <c r="F182" t="s">
        <v>10627</v>
      </c>
      <c r="H182" t="s">
        <v>10619</v>
      </c>
      <c r="I182" t="s">
        <v>7725</v>
      </c>
      <c r="J182" t="s">
        <v>5993</v>
      </c>
      <c r="K182" t="s">
        <v>13</v>
      </c>
      <c r="L182" t="s">
        <v>75</v>
      </c>
      <c r="M182" t="s">
        <v>481</v>
      </c>
      <c r="O182" t="s">
        <v>10619</v>
      </c>
      <c r="P182" t="s">
        <v>10011</v>
      </c>
      <c r="Q182" t="s">
        <v>9170</v>
      </c>
      <c r="R182" t="s">
        <v>13</v>
      </c>
      <c r="S182" t="s">
        <v>75</v>
      </c>
      <c r="T182" t="s">
        <v>10621</v>
      </c>
    </row>
    <row r="183" spans="1:20">
      <c r="A183" t="s">
        <v>10619</v>
      </c>
      <c r="B183" t="s">
        <v>4372</v>
      </c>
      <c r="C183" t="s">
        <v>2305</v>
      </c>
      <c r="D183" t="s">
        <v>13</v>
      </c>
      <c r="E183" t="s">
        <v>75</v>
      </c>
      <c r="F183" t="s">
        <v>10627</v>
      </c>
      <c r="H183" t="s">
        <v>10619</v>
      </c>
      <c r="I183" t="s">
        <v>7726</v>
      </c>
      <c r="J183" t="s">
        <v>5995</v>
      </c>
      <c r="K183" t="s">
        <v>13</v>
      </c>
      <c r="L183" t="s">
        <v>75</v>
      </c>
      <c r="M183" t="s">
        <v>481</v>
      </c>
      <c r="O183" t="s">
        <v>10619</v>
      </c>
      <c r="P183" t="s">
        <v>10012</v>
      </c>
      <c r="Q183" t="s">
        <v>9170</v>
      </c>
      <c r="R183" t="s">
        <v>13</v>
      </c>
      <c r="S183" t="s">
        <v>75</v>
      </c>
      <c r="T183" t="s">
        <v>10621</v>
      </c>
    </row>
    <row r="184" spans="1:20">
      <c r="A184" t="s">
        <v>10619</v>
      </c>
      <c r="B184" t="s">
        <v>4373</v>
      </c>
      <c r="C184" t="s">
        <v>2307</v>
      </c>
      <c r="D184" t="s">
        <v>13</v>
      </c>
      <c r="E184" t="s">
        <v>75</v>
      </c>
      <c r="F184" t="s">
        <v>10627</v>
      </c>
      <c r="H184" t="s">
        <v>10619</v>
      </c>
      <c r="I184" t="s">
        <v>7727</v>
      </c>
      <c r="J184" t="s">
        <v>5997</v>
      </c>
      <c r="K184" t="s">
        <v>13</v>
      </c>
      <c r="L184" t="s">
        <v>75</v>
      </c>
      <c r="M184" t="s">
        <v>481</v>
      </c>
      <c r="O184" t="s">
        <v>10619</v>
      </c>
      <c r="P184" t="s">
        <v>10013</v>
      </c>
      <c r="Q184" t="s">
        <v>9174</v>
      </c>
      <c r="R184" t="s">
        <v>13</v>
      </c>
      <c r="S184" t="s">
        <v>75</v>
      </c>
      <c r="T184" t="s">
        <v>10621</v>
      </c>
    </row>
    <row r="185" spans="1:20">
      <c r="A185" t="s">
        <v>10619</v>
      </c>
      <c r="B185" t="s">
        <v>4374</v>
      </c>
      <c r="C185" t="s">
        <v>2309</v>
      </c>
      <c r="D185" t="s">
        <v>13</v>
      </c>
      <c r="E185" t="s">
        <v>75</v>
      </c>
      <c r="F185" t="s">
        <v>10627</v>
      </c>
      <c r="H185" t="s">
        <v>10619</v>
      </c>
      <c r="I185" t="s">
        <v>7728</v>
      </c>
      <c r="J185" t="s">
        <v>5999</v>
      </c>
      <c r="K185" t="s">
        <v>13</v>
      </c>
      <c r="L185" t="s">
        <v>75</v>
      </c>
      <c r="M185" t="s">
        <v>481</v>
      </c>
      <c r="O185" t="s">
        <v>10619</v>
      </c>
      <c r="P185" t="s">
        <v>10014</v>
      </c>
      <c r="Q185" t="s">
        <v>9174</v>
      </c>
      <c r="R185" t="s">
        <v>13</v>
      </c>
      <c r="S185" t="s">
        <v>75</v>
      </c>
      <c r="T185" t="s">
        <v>10621</v>
      </c>
    </row>
    <row r="186" spans="1:20">
      <c r="A186" t="s">
        <v>10619</v>
      </c>
      <c r="B186" t="s">
        <v>4375</v>
      </c>
      <c r="C186" t="s">
        <v>2311</v>
      </c>
      <c r="D186" t="s">
        <v>13</v>
      </c>
      <c r="E186" t="s">
        <v>75</v>
      </c>
      <c r="F186" t="s">
        <v>10627</v>
      </c>
      <c r="H186" t="s">
        <v>10619</v>
      </c>
      <c r="I186" t="s">
        <v>7729</v>
      </c>
      <c r="J186" t="s">
        <v>6001</v>
      </c>
      <c r="K186" t="s">
        <v>13</v>
      </c>
      <c r="L186" t="s">
        <v>75</v>
      </c>
      <c r="M186" t="s">
        <v>481</v>
      </c>
      <c r="O186" t="s">
        <v>10619</v>
      </c>
      <c r="P186" t="s">
        <v>10015</v>
      </c>
      <c r="Q186" t="s">
        <v>9174</v>
      </c>
      <c r="R186" t="s">
        <v>13</v>
      </c>
      <c r="S186" t="s">
        <v>75</v>
      </c>
      <c r="T186" t="s">
        <v>10621</v>
      </c>
    </row>
    <row r="187" spans="1:20">
      <c r="A187" t="s">
        <v>10619</v>
      </c>
      <c r="B187" t="s">
        <v>4376</v>
      </c>
      <c r="C187" t="s">
        <v>2276</v>
      </c>
      <c r="D187" t="s">
        <v>13</v>
      </c>
      <c r="E187" t="s">
        <v>75</v>
      </c>
      <c r="F187" t="s">
        <v>10627</v>
      </c>
      <c r="H187" t="s">
        <v>10619</v>
      </c>
      <c r="I187" t="s">
        <v>7730</v>
      </c>
      <c r="J187" t="s">
        <v>6003</v>
      </c>
      <c r="K187" t="s">
        <v>13</v>
      </c>
      <c r="L187" t="s">
        <v>75</v>
      </c>
      <c r="M187" t="s">
        <v>481</v>
      </c>
      <c r="O187" t="s">
        <v>10619</v>
      </c>
      <c r="P187" t="s">
        <v>10016</v>
      </c>
      <c r="Q187" t="s">
        <v>9178</v>
      </c>
      <c r="R187" t="s">
        <v>13</v>
      </c>
      <c r="S187" t="s">
        <v>75</v>
      </c>
      <c r="T187" t="s">
        <v>10621</v>
      </c>
    </row>
    <row r="188" spans="1:20">
      <c r="A188" t="s">
        <v>10619</v>
      </c>
      <c r="B188" t="s">
        <v>4377</v>
      </c>
      <c r="C188" t="s">
        <v>2314</v>
      </c>
      <c r="D188" t="s">
        <v>13</v>
      </c>
      <c r="E188" t="s">
        <v>75</v>
      </c>
      <c r="F188" t="s">
        <v>479</v>
      </c>
      <c r="H188" t="s">
        <v>10619</v>
      </c>
      <c r="I188" t="s">
        <v>7731</v>
      </c>
      <c r="J188" t="s">
        <v>6005</v>
      </c>
      <c r="K188" t="s">
        <v>13</v>
      </c>
      <c r="L188" t="s">
        <v>75</v>
      </c>
      <c r="M188" t="s">
        <v>481</v>
      </c>
      <c r="O188" t="s">
        <v>10619</v>
      </c>
      <c r="P188" t="s">
        <v>10017</v>
      </c>
      <c r="Q188" t="s">
        <v>9178</v>
      </c>
      <c r="R188" t="s">
        <v>13</v>
      </c>
      <c r="S188" t="s">
        <v>75</v>
      </c>
      <c r="T188" t="s">
        <v>10621</v>
      </c>
    </row>
    <row r="189" spans="1:20">
      <c r="A189" t="s">
        <v>10619</v>
      </c>
      <c r="B189" t="s">
        <v>4378</v>
      </c>
      <c r="C189" t="s">
        <v>2316</v>
      </c>
      <c r="D189" t="s">
        <v>13</v>
      </c>
      <c r="E189" t="s">
        <v>75</v>
      </c>
      <c r="F189" t="s">
        <v>479</v>
      </c>
      <c r="H189" t="s">
        <v>10619</v>
      </c>
      <c r="I189" t="s">
        <v>7732</v>
      </c>
      <c r="J189" t="s">
        <v>6007</v>
      </c>
      <c r="K189" t="s">
        <v>13</v>
      </c>
      <c r="L189" t="s">
        <v>75</v>
      </c>
      <c r="M189" t="s">
        <v>481</v>
      </c>
      <c r="O189" t="s">
        <v>10619</v>
      </c>
      <c r="P189" t="s">
        <v>10018</v>
      </c>
      <c r="Q189" t="s">
        <v>9181</v>
      </c>
      <c r="R189" t="s">
        <v>13</v>
      </c>
      <c r="S189" t="s">
        <v>75</v>
      </c>
      <c r="T189" t="s">
        <v>10621</v>
      </c>
    </row>
    <row r="190" spans="1:20">
      <c r="A190" t="s">
        <v>10619</v>
      </c>
      <c r="B190" t="s">
        <v>4379</v>
      </c>
      <c r="C190" t="s">
        <v>2318</v>
      </c>
      <c r="D190" t="s">
        <v>13</v>
      </c>
      <c r="E190" t="s">
        <v>75</v>
      </c>
      <c r="F190" t="s">
        <v>479</v>
      </c>
      <c r="H190" t="s">
        <v>10619</v>
      </c>
      <c r="I190" t="s">
        <v>7733</v>
      </c>
      <c r="J190" t="s">
        <v>6009</v>
      </c>
      <c r="K190" t="s">
        <v>13</v>
      </c>
      <c r="L190" t="s">
        <v>75</v>
      </c>
      <c r="M190" t="s">
        <v>481</v>
      </c>
      <c r="O190" t="s">
        <v>10619</v>
      </c>
      <c r="P190" t="s">
        <v>10019</v>
      </c>
      <c r="Q190" t="s">
        <v>9183</v>
      </c>
      <c r="R190" t="s">
        <v>13</v>
      </c>
      <c r="S190" t="s">
        <v>75</v>
      </c>
      <c r="T190" t="s">
        <v>10634</v>
      </c>
    </row>
    <row r="191" spans="1:20">
      <c r="A191" t="s">
        <v>10619</v>
      </c>
      <c r="B191" t="s">
        <v>4380</v>
      </c>
      <c r="C191" t="s">
        <v>2320</v>
      </c>
      <c r="D191" t="s">
        <v>13</v>
      </c>
      <c r="E191" t="s">
        <v>75</v>
      </c>
      <c r="F191" t="s">
        <v>10624</v>
      </c>
      <c r="H191" t="s">
        <v>10619</v>
      </c>
      <c r="I191" t="s">
        <v>7734</v>
      </c>
      <c r="J191" t="s">
        <v>6011</v>
      </c>
      <c r="K191" t="s">
        <v>13</v>
      </c>
      <c r="L191" t="s">
        <v>75</v>
      </c>
      <c r="M191" t="s">
        <v>481</v>
      </c>
      <c r="O191" t="s">
        <v>10619</v>
      </c>
      <c r="P191" t="s">
        <v>10020</v>
      </c>
      <c r="Q191" t="s">
        <v>9185</v>
      </c>
      <c r="R191" t="s">
        <v>13</v>
      </c>
      <c r="S191" t="s">
        <v>75</v>
      </c>
      <c r="T191" t="s">
        <v>10634</v>
      </c>
    </row>
    <row r="192" spans="1:20">
      <c r="A192" t="s">
        <v>10619</v>
      </c>
      <c r="B192" t="s">
        <v>4381</v>
      </c>
      <c r="C192" t="s">
        <v>2322</v>
      </c>
      <c r="D192" t="s">
        <v>13</v>
      </c>
      <c r="E192" t="s">
        <v>75</v>
      </c>
      <c r="F192" t="s">
        <v>10624</v>
      </c>
      <c r="H192" t="s">
        <v>10619</v>
      </c>
      <c r="I192" t="s">
        <v>7735</v>
      </c>
      <c r="J192" t="s">
        <v>6013</v>
      </c>
      <c r="K192" t="s">
        <v>13</v>
      </c>
      <c r="L192" t="s">
        <v>75</v>
      </c>
      <c r="M192" t="s">
        <v>10621</v>
      </c>
      <c r="O192" t="s">
        <v>10619</v>
      </c>
      <c r="P192" t="s">
        <v>10021</v>
      </c>
      <c r="Q192" t="s">
        <v>9187</v>
      </c>
      <c r="R192" t="s">
        <v>13</v>
      </c>
      <c r="S192" t="s">
        <v>75</v>
      </c>
      <c r="T192" t="s">
        <v>10634</v>
      </c>
    </row>
    <row r="193" spans="1:20">
      <c r="A193" t="s">
        <v>10619</v>
      </c>
      <c r="B193" t="s">
        <v>4382</v>
      </c>
      <c r="C193" t="s">
        <v>2324</v>
      </c>
      <c r="D193" t="s">
        <v>13</v>
      </c>
      <c r="E193" t="s">
        <v>75</v>
      </c>
      <c r="F193" t="s">
        <v>10624</v>
      </c>
      <c r="H193" t="s">
        <v>10619</v>
      </c>
      <c r="I193" t="s">
        <v>7736</v>
      </c>
      <c r="J193" t="s">
        <v>6015</v>
      </c>
      <c r="K193" t="s">
        <v>13</v>
      </c>
      <c r="L193" t="s">
        <v>75</v>
      </c>
      <c r="M193" t="s">
        <v>10621</v>
      </c>
      <c r="O193" t="s">
        <v>10619</v>
      </c>
      <c r="P193" t="s">
        <v>10022</v>
      </c>
      <c r="Q193" t="s">
        <v>9189</v>
      </c>
      <c r="R193" t="s">
        <v>13</v>
      </c>
      <c r="S193" t="s">
        <v>75</v>
      </c>
      <c r="T193" t="s">
        <v>10634</v>
      </c>
    </row>
    <row r="194" spans="1:20">
      <c r="A194" t="s">
        <v>10619</v>
      </c>
      <c r="B194" t="s">
        <v>4383</v>
      </c>
      <c r="C194" t="s">
        <v>2326</v>
      </c>
      <c r="D194" t="s">
        <v>13</v>
      </c>
      <c r="E194" t="s">
        <v>75</v>
      </c>
      <c r="F194" t="s">
        <v>10624</v>
      </c>
      <c r="H194" t="s">
        <v>10619</v>
      </c>
      <c r="I194" t="s">
        <v>7737</v>
      </c>
      <c r="J194" t="s">
        <v>6017</v>
      </c>
      <c r="K194" t="s">
        <v>13</v>
      </c>
      <c r="L194" t="s">
        <v>75</v>
      </c>
      <c r="M194" t="s">
        <v>10621</v>
      </c>
      <c r="O194" t="s">
        <v>10619</v>
      </c>
      <c r="P194" t="s">
        <v>10023</v>
      </c>
      <c r="Q194" t="s">
        <v>9191</v>
      </c>
      <c r="R194" t="s">
        <v>13</v>
      </c>
      <c r="S194" t="s">
        <v>75</v>
      </c>
      <c r="T194" t="s">
        <v>10634</v>
      </c>
    </row>
    <row r="195" spans="1:20">
      <c r="A195" t="s">
        <v>10619</v>
      </c>
      <c r="B195" t="s">
        <v>4384</v>
      </c>
      <c r="C195" t="s">
        <v>2328</v>
      </c>
      <c r="D195" t="s">
        <v>13</v>
      </c>
      <c r="E195" t="s">
        <v>75</v>
      </c>
      <c r="F195" t="s">
        <v>10624</v>
      </c>
      <c r="H195" t="s">
        <v>10619</v>
      </c>
      <c r="I195" t="s">
        <v>7738</v>
      </c>
      <c r="J195" t="s">
        <v>6019</v>
      </c>
      <c r="K195" t="s">
        <v>13</v>
      </c>
      <c r="L195" t="s">
        <v>75</v>
      </c>
      <c r="M195" t="s">
        <v>10621</v>
      </c>
      <c r="O195" t="s">
        <v>10619</v>
      </c>
      <c r="P195" t="s">
        <v>10024</v>
      </c>
      <c r="Q195" t="s">
        <v>9193</v>
      </c>
      <c r="R195" t="s">
        <v>13</v>
      </c>
      <c r="S195" t="s">
        <v>75</v>
      </c>
      <c r="T195" t="s">
        <v>10634</v>
      </c>
    </row>
    <row r="196" spans="1:20">
      <c r="A196" t="s">
        <v>10619</v>
      </c>
      <c r="B196" t="s">
        <v>4385</v>
      </c>
      <c r="C196" t="s">
        <v>2330</v>
      </c>
      <c r="D196" t="s">
        <v>13</v>
      </c>
      <c r="E196" t="s">
        <v>75</v>
      </c>
      <c r="F196" t="s">
        <v>10624</v>
      </c>
      <c r="H196" t="s">
        <v>10619</v>
      </c>
      <c r="I196" t="s">
        <v>7739</v>
      </c>
      <c r="J196" t="s">
        <v>6021</v>
      </c>
      <c r="K196" t="s">
        <v>13</v>
      </c>
      <c r="L196" t="s">
        <v>75</v>
      </c>
      <c r="M196" t="s">
        <v>10621</v>
      </c>
      <c r="O196" t="s">
        <v>10619</v>
      </c>
      <c r="P196" t="s">
        <v>10025</v>
      </c>
      <c r="Q196" t="s">
        <v>9195</v>
      </c>
      <c r="R196" t="s">
        <v>13</v>
      </c>
      <c r="S196" t="s">
        <v>75</v>
      </c>
      <c r="T196" t="s">
        <v>10624</v>
      </c>
    </row>
    <row r="197" spans="1:20">
      <c r="A197" t="s">
        <v>10619</v>
      </c>
      <c r="B197" t="s">
        <v>4386</v>
      </c>
      <c r="C197" t="s">
        <v>2332</v>
      </c>
      <c r="D197" t="s">
        <v>13</v>
      </c>
      <c r="E197" t="s">
        <v>75</v>
      </c>
      <c r="F197" t="s">
        <v>10624</v>
      </c>
      <c r="H197" t="s">
        <v>10619</v>
      </c>
      <c r="I197" t="s">
        <v>7740</v>
      </c>
      <c r="J197" t="s">
        <v>6023</v>
      </c>
      <c r="K197" t="s">
        <v>13</v>
      </c>
      <c r="L197" t="s">
        <v>75</v>
      </c>
      <c r="M197" t="s">
        <v>10621</v>
      </c>
      <c r="O197" t="s">
        <v>10619</v>
      </c>
      <c r="P197" t="s">
        <v>10026</v>
      </c>
      <c r="Q197" t="s">
        <v>9197</v>
      </c>
      <c r="R197" t="s">
        <v>13</v>
      </c>
      <c r="S197" t="s">
        <v>75</v>
      </c>
      <c r="T197" t="s">
        <v>10624</v>
      </c>
    </row>
    <row r="198" spans="1:20">
      <c r="A198" t="s">
        <v>10619</v>
      </c>
      <c r="B198" t="s">
        <v>4387</v>
      </c>
      <c r="C198" t="s">
        <v>2334</v>
      </c>
      <c r="D198" t="s">
        <v>13</v>
      </c>
      <c r="E198" t="s">
        <v>75</v>
      </c>
      <c r="F198" t="s">
        <v>481</v>
      </c>
      <c r="H198" t="s">
        <v>10619</v>
      </c>
      <c r="I198" t="s">
        <v>7741</v>
      </c>
      <c r="J198" t="s">
        <v>6023</v>
      </c>
      <c r="K198" t="s">
        <v>13</v>
      </c>
      <c r="L198" t="s">
        <v>75</v>
      </c>
      <c r="M198" t="s">
        <v>10621</v>
      </c>
      <c r="O198" t="s">
        <v>10619</v>
      </c>
      <c r="P198" t="s">
        <v>10027</v>
      </c>
      <c r="Q198" t="s">
        <v>9199</v>
      </c>
      <c r="R198" t="s">
        <v>13</v>
      </c>
      <c r="S198" t="s">
        <v>75</v>
      </c>
      <c r="T198" t="s">
        <v>10624</v>
      </c>
    </row>
    <row r="199" spans="1:20">
      <c r="A199" t="s">
        <v>10619</v>
      </c>
      <c r="B199" t="s">
        <v>4388</v>
      </c>
      <c r="C199" t="s">
        <v>2336</v>
      </c>
      <c r="D199" t="s">
        <v>13</v>
      </c>
      <c r="E199" t="s">
        <v>75</v>
      </c>
      <c r="F199" t="s">
        <v>481</v>
      </c>
      <c r="H199" t="s">
        <v>10619</v>
      </c>
      <c r="I199" t="s">
        <v>7742</v>
      </c>
      <c r="J199" t="s">
        <v>6026</v>
      </c>
      <c r="K199" t="s">
        <v>13</v>
      </c>
      <c r="L199" t="s">
        <v>75</v>
      </c>
      <c r="M199" t="s">
        <v>10621</v>
      </c>
      <c r="O199" t="s">
        <v>10619</v>
      </c>
      <c r="P199" t="s">
        <v>10028</v>
      </c>
      <c r="Q199" t="s">
        <v>9201</v>
      </c>
      <c r="R199" t="s">
        <v>13</v>
      </c>
      <c r="S199" t="s">
        <v>75</v>
      </c>
      <c r="T199" t="s">
        <v>10624</v>
      </c>
    </row>
    <row r="200" spans="1:20">
      <c r="A200" t="s">
        <v>10619</v>
      </c>
      <c r="B200" t="s">
        <v>4389</v>
      </c>
      <c r="C200" t="s">
        <v>2338</v>
      </c>
      <c r="D200" t="s">
        <v>13</v>
      </c>
      <c r="E200" t="s">
        <v>75</v>
      </c>
      <c r="F200" t="s">
        <v>481</v>
      </c>
      <c r="H200" t="s">
        <v>10619</v>
      </c>
      <c r="I200" t="s">
        <v>7743</v>
      </c>
      <c r="J200" t="s">
        <v>6028</v>
      </c>
      <c r="K200" t="s">
        <v>13</v>
      </c>
      <c r="L200" t="s">
        <v>75</v>
      </c>
      <c r="M200" t="s">
        <v>10621</v>
      </c>
      <c r="O200" t="s">
        <v>10619</v>
      </c>
      <c r="P200" t="s">
        <v>10029</v>
      </c>
      <c r="Q200" t="s">
        <v>9203</v>
      </c>
      <c r="R200" t="s">
        <v>13</v>
      </c>
      <c r="S200" t="s">
        <v>75</v>
      </c>
      <c r="T200" t="s">
        <v>10624</v>
      </c>
    </row>
    <row r="201" spans="1:20">
      <c r="A201" t="s">
        <v>10619</v>
      </c>
      <c r="B201" t="s">
        <v>4390</v>
      </c>
      <c r="C201" t="s">
        <v>2340</v>
      </c>
      <c r="D201" t="s">
        <v>13</v>
      </c>
      <c r="E201" t="s">
        <v>75</v>
      </c>
      <c r="F201" t="s">
        <v>481</v>
      </c>
      <c r="H201" t="s">
        <v>10619</v>
      </c>
      <c r="I201" t="s">
        <v>7744</v>
      </c>
      <c r="J201" t="s">
        <v>6028</v>
      </c>
      <c r="K201" t="s">
        <v>13</v>
      </c>
      <c r="L201" t="s">
        <v>75</v>
      </c>
      <c r="M201" t="s">
        <v>10621</v>
      </c>
      <c r="O201" t="s">
        <v>10619</v>
      </c>
      <c r="P201" t="s">
        <v>10030</v>
      </c>
      <c r="Q201" t="s">
        <v>9205</v>
      </c>
      <c r="R201" t="s">
        <v>13</v>
      </c>
      <c r="S201" t="s">
        <v>75</v>
      </c>
      <c r="T201" t="s">
        <v>10624</v>
      </c>
    </row>
    <row r="202" spans="1:20">
      <c r="A202" t="s">
        <v>10619</v>
      </c>
      <c r="B202" t="s">
        <v>4391</v>
      </c>
      <c r="C202" t="s">
        <v>2342</v>
      </c>
      <c r="D202" t="s">
        <v>13</v>
      </c>
      <c r="E202" t="s">
        <v>75</v>
      </c>
      <c r="F202" t="s">
        <v>481</v>
      </c>
      <c r="H202" t="s">
        <v>10619</v>
      </c>
      <c r="I202" t="s">
        <v>7745</v>
      </c>
      <c r="J202" t="s">
        <v>6028</v>
      </c>
      <c r="K202" t="s">
        <v>13</v>
      </c>
      <c r="L202" t="s">
        <v>75</v>
      </c>
      <c r="M202" t="s">
        <v>10621</v>
      </c>
      <c r="O202" t="s">
        <v>10619</v>
      </c>
      <c r="P202" t="s">
        <v>10031</v>
      </c>
      <c r="Q202" t="s">
        <v>9203</v>
      </c>
      <c r="R202" t="s">
        <v>13</v>
      </c>
      <c r="S202" t="s">
        <v>75</v>
      </c>
      <c r="T202" t="s">
        <v>10624</v>
      </c>
    </row>
    <row r="203" spans="1:20">
      <c r="A203" t="s">
        <v>10619</v>
      </c>
      <c r="B203" t="s">
        <v>4392</v>
      </c>
      <c r="C203" t="s">
        <v>2344</v>
      </c>
      <c r="D203" t="s">
        <v>13</v>
      </c>
      <c r="E203" t="s">
        <v>75</v>
      </c>
      <c r="F203" t="s">
        <v>481</v>
      </c>
      <c r="H203" t="s">
        <v>10619</v>
      </c>
      <c r="I203" t="s">
        <v>7746</v>
      </c>
      <c r="J203" t="s">
        <v>6028</v>
      </c>
      <c r="K203" t="s">
        <v>13</v>
      </c>
      <c r="L203" t="s">
        <v>75</v>
      </c>
      <c r="M203" t="s">
        <v>10621</v>
      </c>
      <c r="O203" t="s">
        <v>10619</v>
      </c>
      <c r="P203" t="s">
        <v>10032</v>
      </c>
      <c r="Q203" t="s">
        <v>9208</v>
      </c>
      <c r="R203" t="s">
        <v>13</v>
      </c>
      <c r="S203" t="s">
        <v>75</v>
      </c>
      <c r="T203" t="s">
        <v>10624</v>
      </c>
    </row>
    <row r="204" spans="1:20">
      <c r="A204" t="s">
        <v>10619</v>
      </c>
      <c r="B204" t="s">
        <v>4393</v>
      </c>
      <c r="C204" t="s">
        <v>2346</v>
      </c>
      <c r="D204" t="s">
        <v>13</v>
      </c>
      <c r="E204" t="s">
        <v>75</v>
      </c>
      <c r="F204" t="s">
        <v>481</v>
      </c>
      <c r="H204" t="s">
        <v>10619</v>
      </c>
      <c r="I204" t="s">
        <v>7747</v>
      </c>
      <c r="J204" t="s">
        <v>6033</v>
      </c>
      <c r="K204" t="s">
        <v>13</v>
      </c>
      <c r="L204" t="s">
        <v>75</v>
      </c>
      <c r="M204" t="s">
        <v>10621</v>
      </c>
      <c r="O204" t="s">
        <v>10619</v>
      </c>
      <c r="P204" t="s">
        <v>10033</v>
      </c>
      <c r="Q204" t="s">
        <v>9210</v>
      </c>
      <c r="R204" t="s">
        <v>13</v>
      </c>
      <c r="S204" t="s">
        <v>75</v>
      </c>
      <c r="T204" t="s">
        <v>10624</v>
      </c>
    </row>
    <row r="205" spans="1:20">
      <c r="A205" t="s">
        <v>10619</v>
      </c>
      <c r="B205" t="s">
        <v>4394</v>
      </c>
      <c r="C205" t="s">
        <v>2348</v>
      </c>
      <c r="D205" t="s">
        <v>13</v>
      </c>
      <c r="E205" t="s">
        <v>75</v>
      </c>
      <c r="F205" t="s">
        <v>481</v>
      </c>
      <c r="H205" t="s">
        <v>10619</v>
      </c>
      <c r="I205" t="s">
        <v>7748</v>
      </c>
      <c r="J205" t="s">
        <v>6035</v>
      </c>
      <c r="K205" t="s">
        <v>13</v>
      </c>
      <c r="L205" t="s">
        <v>75</v>
      </c>
      <c r="M205" t="s">
        <v>10621</v>
      </c>
      <c r="O205" t="s">
        <v>10619</v>
      </c>
      <c r="P205" t="s">
        <v>10034</v>
      </c>
      <c r="Q205" t="s">
        <v>9210</v>
      </c>
      <c r="R205" t="s">
        <v>13</v>
      </c>
      <c r="S205" t="s">
        <v>75</v>
      </c>
      <c r="T205" t="s">
        <v>10624</v>
      </c>
    </row>
    <row r="206" spans="1:20">
      <c r="A206" t="s">
        <v>10619</v>
      </c>
      <c r="B206" t="s">
        <v>4395</v>
      </c>
      <c r="C206" t="s">
        <v>2350</v>
      </c>
      <c r="D206" t="s">
        <v>13</v>
      </c>
      <c r="E206" t="s">
        <v>75</v>
      </c>
      <c r="F206" t="s">
        <v>481</v>
      </c>
      <c r="H206" t="s">
        <v>10619</v>
      </c>
      <c r="I206" t="s">
        <v>7749</v>
      </c>
      <c r="J206" t="s">
        <v>6037</v>
      </c>
      <c r="K206" t="s">
        <v>13</v>
      </c>
      <c r="L206" t="s">
        <v>75</v>
      </c>
      <c r="M206" t="s">
        <v>10621</v>
      </c>
      <c r="O206" t="s">
        <v>10619</v>
      </c>
      <c r="P206" t="s">
        <v>10035</v>
      </c>
      <c r="Q206" t="s">
        <v>9208</v>
      </c>
      <c r="R206" t="s">
        <v>13</v>
      </c>
      <c r="S206" t="s">
        <v>75</v>
      </c>
      <c r="T206" t="s">
        <v>10624</v>
      </c>
    </row>
    <row r="207" spans="1:20">
      <c r="A207" t="s">
        <v>10619</v>
      </c>
      <c r="B207" t="s">
        <v>4396</v>
      </c>
      <c r="C207" t="s">
        <v>2352</v>
      </c>
      <c r="D207" t="s">
        <v>13</v>
      </c>
      <c r="E207" t="s">
        <v>75</v>
      </c>
      <c r="F207" t="s">
        <v>481</v>
      </c>
      <c r="H207" t="s">
        <v>10619</v>
      </c>
      <c r="I207" t="s">
        <v>7750</v>
      </c>
      <c r="J207" t="s">
        <v>6039</v>
      </c>
      <c r="K207" t="s">
        <v>13</v>
      </c>
      <c r="L207" t="s">
        <v>75</v>
      </c>
      <c r="M207" t="s">
        <v>10621</v>
      </c>
      <c r="O207" t="s">
        <v>10619</v>
      </c>
      <c r="P207" t="s">
        <v>10036</v>
      </c>
      <c r="Q207" t="s">
        <v>9214</v>
      </c>
      <c r="R207" t="s">
        <v>13</v>
      </c>
      <c r="S207" t="s">
        <v>75</v>
      </c>
      <c r="T207" t="s">
        <v>10635</v>
      </c>
    </row>
    <row r="208" spans="1:20">
      <c r="A208" t="s">
        <v>10619</v>
      </c>
      <c r="B208" t="s">
        <v>4397</v>
      </c>
      <c r="C208" t="s">
        <v>2354</v>
      </c>
      <c r="D208" t="s">
        <v>13</v>
      </c>
      <c r="E208" t="s">
        <v>75</v>
      </c>
      <c r="F208" t="s">
        <v>481</v>
      </c>
      <c r="H208" t="s">
        <v>10619</v>
      </c>
      <c r="I208" t="s">
        <v>7751</v>
      </c>
      <c r="J208" t="s">
        <v>6041</v>
      </c>
      <c r="K208" t="s">
        <v>13</v>
      </c>
      <c r="L208" t="s">
        <v>75</v>
      </c>
      <c r="M208" t="s">
        <v>10624</v>
      </c>
      <c r="O208" t="s">
        <v>10619</v>
      </c>
      <c r="P208" t="s">
        <v>10037</v>
      </c>
      <c r="Q208" t="s">
        <v>9216</v>
      </c>
      <c r="R208" t="s">
        <v>13</v>
      </c>
      <c r="S208" t="s">
        <v>75</v>
      </c>
      <c r="T208" t="s">
        <v>10635</v>
      </c>
    </row>
    <row r="209" spans="1:20">
      <c r="A209" t="s">
        <v>10619</v>
      </c>
      <c r="B209" t="s">
        <v>4398</v>
      </c>
      <c r="C209" t="s">
        <v>2356</v>
      </c>
      <c r="D209" t="s">
        <v>13</v>
      </c>
      <c r="E209" t="s">
        <v>75</v>
      </c>
      <c r="F209" t="s">
        <v>481</v>
      </c>
      <c r="H209" t="s">
        <v>10619</v>
      </c>
      <c r="I209" t="s">
        <v>7752</v>
      </c>
      <c r="J209" t="s">
        <v>6043</v>
      </c>
      <c r="K209" t="s">
        <v>13</v>
      </c>
      <c r="L209" t="s">
        <v>75</v>
      </c>
      <c r="M209" t="s">
        <v>10624</v>
      </c>
      <c r="O209" t="s">
        <v>10619</v>
      </c>
      <c r="P209" t="s">
        <v>10038</v>
      </c>
      <c r="Q209" t="s">
        <v>9218</v>
      </c>
      <c r="R209" t="s">
        <v>13</v>
      </c>
      <c r="S209" t="s">
        <v>75</v>
      </c>
      <c r="T209" t="s">
        <v>10635</v>
      </c>
    </row>
    <row r="210" spans="1:20">
      <c r="A210" t="s">
        <v>10619</v>
      </c>
      <c r="B210" t="s">
        <v>4399</v>
      </c>
      <c r="C210" t="s">
        <v>2358</v>
      </c>
      <c r="D210" t="s">
        <v>13</v>
      </c>
      <c r="E210" t="s">
        <v>75</v>
      </c>
      <c r="F210" t="s">
        <v>481</v>
      </c>
      <c r="H210" t="s">
        <v>10619</v>
      </c>
      <c r="I210" t="s">
        <v>7753</v>
      </c>
      <c r="J210" t="s">
        <v>6045</v>
      </c>
      <c r="K210" t="s">
        <v>13</v>
      </c>
      <c r="L210" t="s">
        <v>75</v>
      </c>
      <c r="M210" t="s">
        <v>10624</v>
      </c>
      <c r="O210" t="s">
        <v>10619</v>
      </c>
      <c r="P210" t="s">
        <v>10039</v>
      </c>
      <c r="Q210" t="s">
        <v>9220</v>
      </c>
      <c r="R210" t="s">
        <v>13</v>
      </c>
      <c r="S210" t="s">
        <v>75</v>
      </c>
      <c r="T210" t="s">
        <v>10635</v>
      </c>
    </row>
    <row r="211" spans="1:20">
      <c r="A211" t="s">
        <v>10619</v>
      </c>
      <c r="B211" t="s">
        <v>4400</v>
      </c>
      <c r="C211" t="s">
        <v>2360</v>
      </c>
      <c r="D211" t="s">
        <v>13</v>
      </c>
      <c r="E211" t="s">
        <v>75</v>
      </c>
      <c r="F211" t="s">
        <v>481</v>
      </c>
      <c r="H211" t="s">
        <v>10619</v>
      </c>
      <c r="I211" t="s">
        <v>7754</v>
      </c>
      <c r="J211" t="s">
        <v>6047</v>
      </c>
      <c r="K211" t="s">
        <v>13</v>
      </c>
      <c r="L211" t="s">
        <v>75</v>
      </c>
      <c r="M211" t="s">
        <v>10624</v>
      </c>
      <c r="O211" t="s">
        <v>10619</v>
      </c>
      <c r="P211" t="s">
        <v>10040</v>
      </c>
      <c r="Q211" t="s">
        <v>9222</v>
      </c>
      <c r="R211" t="s">
        <v>13</v>
      </c>
      <c r="S211" t="s">
        <v>75</v>
      </c>
      <c r="T211" t="s">
        <v>10635</v>
      </c>
    </row>
    <row r="212" spans="1:20">
      <c r="A212" t="s">
        <v>10619</v>
      </c>
      <c r="B212" t="s">
        <v>4401</v>
      </c>
      <c r="C212" t="s">
        <v>2360</v>
      </c>
      <c r="D212" t="s">
        <v>13</v>
      </c>
      <c r="E212" t="s">
        <v>75</v>
      </c>
      <c r="F212" t="s">
        <v>481</v>
      </c>
      <c r="H212" t="s">
        <v>10619</v>
      </c>
      <c r="I212" t="s">
        <v>7755</v>
      </c>
      <c r="J212" t="s">
        <v>6049</v>
      </c>
      <c r="K212" t="s">
        <v>13</v>
      </c>
      <c r="L212" t="s">
        <v>75</v>
      </c>
      <c r="M212" t="s">
        <v>10624</v>
      </c>
      <c r="O212" t="s">
        <v>10619</v>
      </c>
      <c r="P212" t="s">
        <v>10041</v>
      </c>
      <c r="Q212" t="s">
        <v>9224</v>
      </c>
      <c r="R212" t="s">
        <v>13</v>
      </c>
      <c r="S212" t="s">
        <v>75</v>
      </c>
      <c r="T212" t="s">
        <v>10624</v>
      </c>
    </row>
    <row r="213" spans="1:20">
      <c r="A213" t="s">
        <v>10619</v>
      </c>
      <c r="B213" t="s">
        <v>4402</v>
      </c>
      <c r="C213" t="s">
        <v>2363</v>
      </c>
      <c r="D213" t="s">
        <v>13</v>
      </c>
      <c r="E213" t="s">
        <v>75</v>
      </c>
      <c r="F213" t="s">
        <v>481</v>
      </c>
      <c r="H213" t="s">
        <v>10619</v>
      </c>
      <c r="I213" t="s">
        <v>7756</v>
      </c>
      <c r="J213" t="s">
        <v>6051</v>
      </c>
      <c r="K213" t="s">
        <v>13</v>
      </c>
      <c r="L213" t="s">
        <v>75</v>
      </c>
      <c r="M213" t="s">
        <v>10624</v>
      </c>
      <c r="O213" t="s">
        <v>10619</v>
      </c>
      <c r="P213" t="s">
        <v>10042</v>
      </c>
      <c r="Q213" t="s">
        <v>9226</v>
      </c>
      <c r="R213" t="s">
        <v>13</v>
      </c>
      <c r="S213" t="s">
        <v>75</v>
      </c>
      <c r="T213" t="s">
        <v>10624</v>
      </c>
    </row>
    <row r="214" spans="1:20">
      <c r="A214" t="s">
        <v>10619</v>
      </c>
      <c r="B214" t="s">
        <v>4403</v>
      </c>
      <c r="C214" t="s">
        <v>2365</v>
      </c>
      <c r="D214" t="s">
        <v>13</v>
      </c>
      <c r="E214" t="s">
        <v>75</v>
      </c>
      <c r="F214" t="s">
        <v>481</v>
      </c>
      <c r="H214" t="s">
        <v>10619</v>
      </c>
      <c r="I214" t="s">
        <v>7757</v>
      </c>
      <c r="J214" t="s">
        <v>6053</v>
      </c>
      <c r="K214" t="s">
        <v>13</v>
      </c>
      <c r="L214" t="s">
        <v>75</v>
      </c>
      <c r="M214" t="s">
        <v>10624</v>
      </c>
      <c r="O214" t="s">
        <v>10619</v>
      </c>
      <c r="P214" t="s">
        <v>10043</v>
      </c>
      <c r="Q214" t="s">
        <v>9228</v>
      </c>
      <c r="R214" t="s">
        <v>13</v>
      </c>
      <c r="S214" t="s">
        <v>75</v>
      </c>
      <c r="T214" t="s">
        <v>10620</v>
      </c>
    </row>
    <row r="215" spans="1:20">
      <c r="A215" t="s">
        <v>10619</v>
      </c>
      <c r="B215" t="s">
        <v>4404</v>
      </c>
      <c r="C215" t="s">
        <v>2367</v>
      </c>
      <c r="D215" t="s">
        <v>13</v>
      </c>
      <c r="E215" t="s">
        <v>75</v>
      </c>
      <c r="F215" t="s">
        <v>481</v>
      </c>
      <c r="H215" t="s">
        <v>10619</v>
      </c>
      <c r="I215" t="s">
        <v>7758</v>
      </c>
      <c r="J215" t="s">
        <v>6055</v>
      </c>
      <c r="K215" t="s">
        <v>13</v>
      </c>
      <c r="L215" t="s">
        <v>75</v>
      </c>
      <c r="M215" t="s">
        <v>10624</v>
      </c>
      <c r="O215" t="s">
        <v>10619</v>
      </c>
      <c r="P215" t="s">
        <v>10044</v>
      </c>
      <c r="Q215" t="s">
        <v>9230</v>
      </c>
      <c r="R215" t="s">
        <v>13</v>
      </c>
      <c r="S215" t="s">
        <v>75</v>
      </c>
      <c r="T215" t="s">
        <v>10620</v>
      </c>
    </row>
    <row r="216" spans="1:20">
      <c r="A216" t="s">
        <v>10619</v>
      </c>
      <c r="B216" t="s">
        <v>4405</v>
      </c>
      <c r="C216" t="s">
        <v>2367</v>
      </c>
      <c r="D216" t="s">
        <v>13</v>
      </c>
      <c r="E216" t="s">
        <v>75</v>
      </c>
      <c r="F216" t="s">
        <v>481</v>
      </c>
      <c r="H216" t="s">
        <v>10619</v>
      </c>
      <c r="I216" t="s">
        <v>7759</v>
      </c>
      <c r="J216" t="s">
        <v>6057</v>
      </c>
      <c r="K216" t="s">
        <v>13</v>
      </c>
      <c r="L216" t="s">
        <v>75</v>
      </c>
      <c r="M216" t="s">
        <v>10624</v>
      </c>
      <c r="O216" t="s">
        <v>10619</v>
      </c>
      <c r="P216" t="s">
        <v>10045</v>
      </c>
      <c r="Q216" t="s">
        <v>9230</v>
      </c>
      <c r="R216" t="s">
        <v>13</v>
      </c>
      <c r="S216" t="s">
        <v>75</v>
      </c>
      <c r="T216" t="s">
        <v>10620</v>
      </c>
    </row>
    <row r="217" spans="1:20">
      <c r="A217" t="s">
        <v>10619</v>
      </c>
      <c r="B217" t="s">
        <v>4406</v>
      </c>
      <c r="C217" t="s">
        <v>2367</v>
      </c>
      <c r="D217" t="s">
        <v>13</v>
      </c>
      <c r="E217" t="s">
        <v>75</v>
      </c>
      <c r="F217" t="s">
        <v>481</v>
      </c>
      <c r="H217" t="s">
        <v>10619</v>
      </c>
      <c r="I217" t="s">
        <v>7760</v>
      </c>
      <c r="J217" t="s">
        <v>6059</v>
      </c>
      <c r="K217" t="s">
        <v>13</v>
      </c>
      <c r="L217" t="s">
        <v>75</v>
      </c>
      <c r="M217" t="s">
        <v>10624</v>
      </c>
      <c r="O217" t="s">
        <v>10619</v>
      </c>
      <c r="P217" t="s">
        <v>10046</v>
      </c>
      <c r="Q217" t="s">
        <v>9230</v>
      </c>
      <c r="R217" t="s">
        <v>13</v>
      </c>
      <c r="S217" t="s">
        <v>75</v>
      </c>
      <c r="T217" t="s">
        <v>10620</v>
      </c>
    </row>
    <row r="218" spans="1:20">
      <c r="A218" t="s">
        <v>10619</v>
      </c>
      <c r="B218" t="s">
        <v>4407</v>
      </c>
      <c r="C218" t="s">
        <v>2371</v>
      </c>
      <c r="D218" t="s">
        <v>13</v>
      </c>
      <c r="E218" t="s">
        <v>75</v>
      </c>
      <c r="F218" t="s">
        <v>481</v>
      </c>
      <c r="H218" t="s">
        <v>10619</v>
      </c>
      <c r="I218" t="s">
        <v>7761</v>
      </c>
      <c r="J218" t="s">
        <v>6061</v>
      </c>
      <c r="K218" t="s">
        <v>13</v>
      </c>
      <c r="L218" t="s">
        <v>75</v>
      </c>
      <c r="M218" t="s">
        <v>10624</v>
      </c>
      <c r="O218" t="s">
        <v>10619</v>
      </c>
      <c r="P218" t="s">
        <v>10047</v>
      </c>
      <c r="Q218" t="s">
        <v>9234</v>
      </c>
      <c r="R218" t="s">
        <v>13</v>
      </c>
      <c r="S218" t="s">
        <v>75</v>
      </c>
      <c r="T218" t="s">
        <v>10620</v>
      </c>
    </row>
    <row r="219" spans="1:20">
      <c r="A219" t="s">
        <v>10619</v>
      </c>
      <c r="B219" t="s">
        <v>4408</v>
      </c>
      <c r="C219" t="s">
        <v>2373</v>
      </c>
      <c r="D219" t="s">
        <v>13</v>
      </c>
      <c r="E219" t="s">
        <v>75</v>
      </c>
      <c r="F219" t="s">
        <v>481</v>
      </c>
      <c r="H219" t="s">
        <v>10619</v>
      </c>
      <c r="I219" t="s">
        <v>7762</v>
      </c>
      <c r="J219" t="s">
        <v>6063</v>
      </c>
      <c r="K219" t="s">
        <v>13</v>
      </c>
      <c r="L219" t="s">
        <v>75</v>
      </c>
      <c r="M219" t="s">
        <v>10628</v>
      </c>
      <c r="O219" t="s">
        <v>10619</v>
      </c>
      <c r="P219" t="s">
        <v>10048</v>
      </c>
      <c r="Q219" t="s">
        <v>9236</v>
      </c>
      <c r="R219" t="s">
        <v>13</v>
      </c>
      <c r="S219" t="s">
        <v>75</v>
      </c>
      <c r="T219" t="s">
        <v>10620</v>
      </c>
    </row>
    <row r="220" spans="1:20">
      <c r="A220" t="s">
        <v>10619</v>
      </c>
      <c r="B220" t="s">
        <v>4409</v>
      </c>
      <c r="C220" t="s">
        <v>2375</v>
      </c>
      <c r="D220" t="s">
        <v>13</v>
      </c>
      <c r="E220" t="s">
        <v>75</v>
      </c>
      <c r="F220" t="s">
        <v>481</v>
      </c>
      <c r="H220" t="s">
        <v>10619</v>
      </c>
      <c r="I220" t="s">
        <v>7763</v>
      </c>
      <c r="J220" t="s">
        <v>6065</v>
      </c>
      <c r="K220" t="s">
        <v>13</v>
      </c>
      <c r="L220" t="s">
        <v>75</v>
      </c>
      <c r="M220" t="s">
        <v>10628</v>
      </c>
      <c r="O220" t="s">
        <v>10619</v>
      </c>
      <c r="P220" t="s">
        <v>10049</v>
      </c>
      <c r="Q220" t="s">
        <v>9238</v>
      </c>
      <c r="R220" t="s">
        <v>13</v>
      </c>
      <c r="S220" t="s">
        <v>75</v>
      </c>
      <c r="T220" t="s">
        <v>10620</v>
      </c>
    </row>
    <row r="221" spans="1:20">
      <c r="A221" t="s">
        <v>10619</v>
      </c>
      <c r="B221" t="s">
        <v>4410</v>
      </c>
      <c r="C221" t="s">
        <v>2377</v>
      </c>
      <c r="D221" t="s">
        <v>13</v>
      </c>
      <c r="E221" t="s">
        <v>75</v>
      </c>
      <c r="F221" t="s">
        <v>481</v>
      </c>
      <c r="H221" t="s">
        <v>10619</v>
      </c>
      <c r="I221" t="s">
        <v>7764</v>
      </c>
      <c r="J221" t="s">
        <v>6067</v>
      </c>
      <c r="K221" t="s">
        <v>13</v>
      </c>
      <c r="L221" t="s">
        <v>75</v>
      </c>
      <c r="M221" t="s">
        <v>10628</v>
      </c>
      <c r="O221" t="s">
        <v>10619</v>
      </c>
      <c r="P221" t="s">
        <v>10050</v>
      </c>
      <c r="Q221" t="s">
        <v>9240</v>
      </c>
      <c r="R221" t="s">
        <v>13</v>
      </c>
      <c r="S221" t="s">
        <v>75</v>
      </c>
      <c r="T221" t="s">
        <v>10620</v>
      </c>
    </row>
    <row r="222" spans="1:20">
      <c r="A222" t="s">
        <v>10619</v>
      </c>
      <c r="B222" t="s">
        <v>4411</v>
      </c>
      <c r="C222" t="s">
        <v>2379</v>
      </c>
      <c r="D222" t="s">
        <v>13</v>
      </c>
      <c r="E222" t="s">
        <v>75</v>
      </c>
      <c r="F222" t="s">
        <v>481</v>
      </c>
      <c r="H222" t="s">
        <v>10619</v>
      </c>
      <c r="I222" t="s">
        <v>7765</v>
      </c>
      <c r="J222" t="s">
        <v>6069</v>
      </c>
      <c r="K222" t="s">
        <v>13</v>
      </c>
      <c r="L222" t="s">
        <v>75</v>
      </c>
      <c r="M222" t="s">
        <v>10628</v>
      </c>
      <c r="O222" t="s">
        <v>10619</v>
      </c>
      <c r="P222" t="s">
        <v>10051</v>
      </c>
      <c r="Q222" t="s">
        <v>9242</v>
      </c>
      <c r="R222" t="s">
        <v>13</v>
      </c>
      <c r="S222" t="s">
        <v>75</v>
      </c>
      <c r="T222" t="s">
        <v>10620</v>
      </c>
    </row>
    <row r="223" spans="1:20">
      <c r="A223" t="s">
        <v>10619</v>
      </c>
      <c r="B223" t="s">
        <v>4412</v>
      </c>
      <c r="C223" t="s">
        <v>2381</v>
      </c>
      <c r="D223" t="s">
        <v>13</v>
      </c>
      <c r="E223" t="s">
        <v>75</v>
      </c>
      <c r="F223" t="s">
        <v>481</v>
      </c>
      <c r="H223" t="s">
        <v>10619</v>
      </c>
      <c r="I223" t="s">
        <v>7766</v>
      </c>
      <c r="J223" t="s">
        <v>6071</v>
      </c>
      <c r="K223" t="s">
        <v>13</v>
      </c>
      <c r="L223" t="s">
        <v>75</v>
      </c>
      <c r="M223" t="s">
        <v>486</v>
      </c>
      <c r="O223" t="s">
        <v>10619</v>
      </c>
      <c r="P223" t="s">
        <v>10052</v>
      </c>
      <c r="Q223" t="s">
        <v>9244</v>
      </c>
      <c r="R223" t="s">
        <v>13</v>
      </c>
      <c r="S223" t="s">
        <v>75</v>
      </c>
      <c r="T223" t="s">
        <v>10620</v>
      </c>
    </row>
    <row r="224" spans="1:20">
      <c r="A224" t="s">
        <v>10619</v>
      </c>
      <c r="B224" t="s">
        <v>4413</v>
      </c>
      <c r="C224" t="s">
        <v>2383</v>
      </c>
      <c r="D224" t="s">
        <v>13</v>
      </c>
      <c r="E224" t="s">
        <v>75</v>
      </c>
      <c r="F224" t="s">
        <v>10621</v>
      </c>
      <c r="H224" t="s">
        <v>10619</v>
      </c>
      <c r="I224" t="s">
        <v>7767</v>
      </c>
      <c r="J224" t="s">
        <v>6073</v>
      </c>
      <c r="K224" t="s">
        <v>13</v>
      </c>
      <c r="L224" t="s">
        <v>75</v>
      </c>
      <c r="M224" t="s">
        <v>486</v>
      </c>
      <c r="O224" t="s">
        <v>10619</v>
      </c>
      <c r="P224" t="s">
        <v>10053</v>
      </c>
      <c r="Q224" t="s">
        <v>9246</v>
      </c>
      <c r="R224" t="s">
        <v>13</v>
      </c>
      <c r="S224" t="s">
        <v>75</v>
      </c>
      <c r="T224" t="s">
        <v>102</v>
      </c>
    </row>
    <row r="225" spans="1:20">
      <c r="A225" t="s">
        <v>10619</v>
      </c>
      <c r="B225" t="s">
        <v>4414</v>
      </c>
      <c r="C225" t="s">
        <v>2385</v>
      </c>
      <c r="D225" t="s">
        <v>13</v>
      </c>
      <c r="E225" t="s">
        <v>75</v>
      </c>
      <c r="F225" t="s">
        <v>10621</v>
      </c>
      <c r="H225" t="s">
        <v>10619</v>
      </c>
      <c r="I225" t="s">
        <v>7768</v>
      </c>
      <c r="J225" t="s">
        <v>6075</v>
      </c>
      <c r="K225" t="s">
        <v>13</v>
      </c>
      <c r="L225" t="s">
        <v>75</v>
      </c>
      <c r="M225" t="s">
        <v>486</v>
      </c>
      <c r="O225" t="s">
        <v>10619</v>
      </c>
      <c r="P225" t="s">
        <v>10054</v>
      </c>
      <c r="Q225" t="s">
        <v>9248</v>
      </c>
      <c r="R225" t="s">
        <v>13</v>
      </c>
      <c r="S225" t="s">
        <v>75</v>
      </c>
      <c r="T225" t="s">
        <v>102</v>
      </c>
    </row>
    <row r="226" spans="1:20">
      <c r="A226" t="s">
        <v>10619</v>
      </c>
      <c r="B226" t="s">
        <v>4415</v>
      </c>
      <c r="C226" t="s">
        <v>2387</v>
      </c>
      <c r="D226" t="s">
        <v>13</v>
      </c>
      <c r="E226" t="s">
        <v>75</v>
      </c>
      <c r="F226" t="s">
        <v>10621</v>
      </c>
      <c r="H226" t="s">
        <v>10619</v>
      </c>
      <c r="I226" t="s">
        <v>7769</v>
      </c>
      <c r="J226" t="s">
        <v>6077</v>
      </c>
      <c r="K226" t="s">
        <v>13</v>
      </c>
      <c r="L226" t="s">
        <v>75</v>
      </c>
      <c r="M226" t="s">
        <v>486</v>
      </c>
      <c r="O226" t="s">
        <v>10619</v>
      </c>
      <c r="P226" t="s">
        <v>10055</v>
      </c>
      <c r="Q226" t="s">
        <v>9250</v>
      </c>
      <c r="R226" t="s">
        <v>13</v>
      </c>
      <c r="S226" t="s">
        <v>75</v>
      </c>
      <c r="T226" t="s">
        <v>102</v>
      </c>
    </row>
    <row r="227" spans="1:20">
      <c r="A227" t="s">
        <v>10619</v>
      </c>
      <c r="B227" t="s">
        <v>4416</v>
      </c>
      <c r="C227" t="s">
        <v>2389</v>
      </c>
      <c r="D227" t="s">
        <v>13</v>
      </c>
      <c r="E227" t="s">
        <v>75</v>
      </c>
      <c r="F227" t="s">
        <v>10621</v>
      </c>
      <c r="H227" t="s">
        <v>10619</v>
      </c>
      <c r="I227" t="s">
        <v>7770</v>
      </c>
      <c r="J227" t="s">
        <v>6079</v>
      </c>
      <c r="K227" t="s">
        <v>13</v>
      </c>
      <c r="L227" t="s">
        <v>75</v>
      </c>
      <c r="M227" t="s">
        <v>486</v>
      </c>
      <c r="O227" t="s">
        <v>10619</v>
      </c>
      <c r="P227" t="s">
        <v>10056</v>
      </c>
      <c r="Q227" t="s">
        <v>9252</v>
      </c>
      <c r="R227" t="s">
        <v>13</v>
      </c>
      <c r="S227" t="s">
        <v>75</v>
      </c>
      <c r="T227" t="s">
        <v>102</v>
      </c>
    </row>
    <row r="228" spans="1:20">
      <c r="A228" t="s">
        <v>10619</v>
      </c>
      <c r="B228" t="s">
        <v>4417</v>
      </c>
      <c r="C228" t="s">
        <v>2391</v>
      </c>
      <c r="D228" t="s">
        <v>13</v>
      </c>
      <c r="E228" t="s">
        <v>75</v>
      </c>
      <c r="F228" t="s">
        <v>10621</v>
      </c>
      <c r="H228" t="s">
        <v>10619</v>
      </c>
      <c r="I228" t="s">
        <v>7771</v>
      </c>
      <c r="J228" t="s">
        <v>6081</v>
      </c>
      <c r="K228" t="s">
        <v>13</v>
      </c>
      <c r="L228" t="s">
        <v>75</v>
      </c>
      <c r="M228" t="s">
        <v>486</v>
      </c>
      <c r="O228" t="s">
        <v>10619</v>
      </c>
      <c r="P228" t="s">
        <v>10057</v>
      </c>
      <c r="Q228" t="s">
        <v>9254</v>
      </c>
      <c r="R228" t="s">
        <v>13</v>
      </c>
      <c r="S228" t="s">
        <v>75</v>
      </c>
      <c r="T228" t="s">
        <v>102</v>
      </c>
    </row>
    <row r="229" spans="1:20">
      <c r="A229" t="s">
        <v>10619</v>
      </c>
      <c r="B229" t="s">
        <v>4418</v>
      </c>
      <c r="C229" t="s">
        <v>2393</v>
      </c>
      <c r="D229" t="s">
        <v>13</v>
      </c>
      <c r="E229" t="s">
        <v>75</v>
      </c>
      <c r="F229" t="s">
        <v>10621</v>
      </c>
      <c r="H229" t="s">
        <v>10619</v>
      </c>
      <c r="I229" t="s">
        <v>7772</v>
      </c>
      <c r="J229" t="s">
        <v>6083</v>
      </c>
      <c r="K229" t="s">
        <v>13</v>
      </c>
      <c r="L229" t="s">
        <v>75</v>
      </c>
      <c r="M229" t="s">
        <v>486</v>
      </c>
      <c r="O229" t="s">
        <v>10619</v>
      </c>
      <c r="P229" t="s">
        <v>10058</v>
      </c>
      <c r="Q229" t="s">
        <v>9256</v>
      </c>
      <c r="R229" t="s">
        <v>13</v>
      </c>
      <c r="S229" t="s">
        <v>75</v>
      </c>
      <c r="T229" t="s">
        <v>102</v>
      </c>
    </row>
    <row r="230" spans="1:20">
      <c r="A230" t="s">
        <v>10619</v>
      </c>
      <c r="B230" t="s">
        <v>4419</v>
      </c>
      <c r="C230" t="s">
        <v>2395</v>
      </c>
      <c r="D230" t="s">
        <v>13</v>
      </c>
      <c r="E230" t="s">
        <v>75</v>
      </c>
      <c r="F230" t="s">
        <v>10621</v>
      </c>
      <c r="H230" t="s">
        <v>10619</v>
      </c>
      <c r="I230" t="s">
        <v>7773</v>
      </c>
      <c r="J230" t="s">
        <v>6085</v>
      </c>
      <c r="K230" t="s">
        <v>13</v>
      </c>
      <c r="L230" t="s">
        <v>75</v>
      </c>
      <c r="M230" t="s">
        <v>486</v>
      </c>
      <c r="O230" t="s">
        <v>10619</v>
      </c>
      <c r="P230" t="s">
        <v>10059</v>
      </c>
      <c r="Q230" t="s">
        <v>9258</v>
      </c>
      <c r="R230" t="s">
        <v>13</v>
      </c>
      <c r="S230" t="s">
        <v>75</v>
      </c>
      <c r="T230" t="s">
        <v>102</v>
      </c>
    </row>
    <row r="231" spans="1:20">
      <c r="A231" t="s">
        <v>10619</v>
      </c>
      <c r="B231" t="s">
        <v>4420</v>
      </c>
      <c r="C231" t="s">
        <v>2397</v>
      </c>
      <c r="D231" t="s">
        <v>13</v>
      </c>
      <c r="E231" t="s">
        <v>75</v>
      </c>
      <c r="F231" t="s">
        <v>10621</v>
      </c>
      <c r="H231" t="s">
        <v>10619</v>
      </c>
      <c r="I231" t="s">
        <v>7774</v>
      </c>
      <c r="J231" t="s">
        <v>6087</v>
      </c>
      <c r="K231" t="s">
        <v>13</v>
      </c>
      <c r="L231" t="s">
        <v>75</v>
      </c>
      <c r="M231" t="s">
        <v>10621</v>
      </c>
      <c r="O231" t="s">
        <v>10619</v>
      </c>
      <c r="P231" t="s">
        <v>10060</v>
      </c>
      <c r="Q231" t="s">
        <v>9260</v>
      </c>
      <c r="R231" t="s">
        <v>13</v>
      </c>
      <c r="S231" t="s">
        <v>75</v>
      </c>
      <c r="T231" t="s">
        <v>102</v>
      </c>
    </row>
    <row r="232" spans="1:20">
      <c r="A232" t="s">
        <v>10619</v>
      </c>
      <c r="B232" t="s">
        <v>4421</v>
      </c>
      <c r="C232" t="s">
        <v>2399</v>
      </c>
      <c r="D232" t="s">
        <v>13</v>
      </c>
      <c r="E232" t="s">
        <v>75</v>
      </c>
      <c r="F232" t="s">
        <v>10621</v>
      </c>
      <c r="H232" t="s">
        <v>10619</v>
      </c>
      <c r="I232" t="s">
        <v>7775</v>
      </c>
      <c r="J232" t="s">
        <v>6089</v>
      </c>
      <c r="K232" t="s">
        <v>13</v>
      </c>
      <c r="L232" t="s">
        <v>75</v>
      </c>
      <c r="M232" t="s">
        <v>10621</v>
      </c>
      <c r="O232" t="s">
        <v>10619</v>
      </c>
      <c r="P232" t="s">
        <v>10061</v>
      </c>
      <c r="Q232" t="s">
        <v>9262</v>
      </c>
      <c r="R232" t="s">
        <v>13</v>
      </c>
      <c r="S232" t="s">
        <v>75</v>
      </c>
      <c r="T232" t="s">
        <v>509</v>
      </c>
    </row>
    <row r="233" spans="1:20">
      <c r="A233" t="s">
        <v>10619</v>
      </c>
      <c r="B233" t="s">
        <v>4422</v>
      </c>
      <c r="C233" t="s">
        <v>2401</v>
      </c>
      <c r="D233" t="s">
        <v>13</v>
      </c>
      <c r="E233" t="s">
        <v>75</v>
      </c>
      <c r="F233" t="s">
        <v>10621</v>
      </c>
      <c r="H233" t="s">
        <v>10619</v>
      </c>
      <c r="I233" t="s">
        <v>7776</v>
      </c>
      <c r="J233" t="s">
        <v>6091</v>
      </c>
      <c r="K233" t="s">
        <v>13</v>
      </c>
      <c r="L233" t="s">
        <v>75</v>
      </c>
      <c r="M233" t="s">
        <v>10629</v>
      </c>
      <c r="O233" t="s">
        <v>10619</v>
      </c>
      <c r="P233" t="s">
        <v>10062</v>
      </c>
      <c r="Q233" t="s">
        <v>9264</v>
      </c>
      <c r="R233" t="s">
        <v>13</v>
      </c>
      <c r="S233" t="s">
        <v>75</v>
      </c>
      <c r="T233" t="s">
        <v>509</v>
      </c>
    </row>
    <row r="234" spans="1:20">
      <c r="A234" t="s">
        <v>10619</v>
      </c>
      <c r="B234" t="s">
        <v>4423</v>
      </c>
      <c r="C234" t="s">
        <v>2403</v>
      </c>
      <c r="D234" t="s">
        <v>13</v>
      </c>
      <c r="E234" t="s">
        <v>75</v>
      </c>
      <c r="F234" t="s">
        <v>10621</v>
      </c>
      <c r="H234" t="s">
        <v>10619</v>
      </c>
      <c r="I234" t="s">
        <v>7777</v>
      </c>
      <c r="J234" t="s">
        <v>6093</v>
      </c>
      <c r="K234" t="s">
        <v>13</v>
      </c>
      <c r="L234" t="s">
        <v>75</v>
      </c>
      <c r="M234" t="s">
        <v>10629</v>
      </c>
      <c r="O234" t="s">
        <v>10619</v>
      </c>
      <c r="P234" t="s">
        <v>10063</v>
      </c>
      <c r="Q234" t="s">
        <v>9266</v>
      </c>
      <c r="R234" t="s">
        <v>13</v>
      </c>
      <c r="S234" t="s">
        <v>75</v>
      </c>
      <c r="T234" t="s">
        <v>509</v>
      </c>
    </row>
    <row r="235" spans="1:20">
      <c r="A235" t="s">
        <v>10619</v>
      </c>
      <c r="B235" t="s">
        <v>4424</v>
      </c>
      <c r="C235" t="s">
        <v>2405</v>
      </c>
      <c r="D235" t="s">
        <v>13</v>
      </c>
      <c r="E235" t="s">
        <v>75</v>
      </c>
      <c r="F235" t="s">
        <v>10621</v>
      </c>
      <c r="H235" t="s">
        <v>10619</v>
      </c>
      <c r="I235" t="s">
        <v>7778</v>
      </c>
      <c r="J235" t="s">
        <v>6095</v>
      </c>
      <c r="K235" t="s">
        <v>13</v>
      </c>
      <c r="L235" t="s">
        <v>75</v>
      </c>
      <c r="M235" t="s">
        <v>10629</v>
      </c>
      <c r="O235" t="s">
        <v>10619</v>
      </c>
      <c r="P235" t="s">
        <v>10064</v>
      </c>
      <c r="Q235" t="s">
        <v>9268</v>
      </c>
      <c r="R235" t="s">
        <v>13</v>
      </c>
      <c r="S235" t="s">
        <v>75</v>
      </c>
      <c r="T235" t="s">
        <v>509</v>
      </c>
    </row>
    <row r="236" spans="1:20">
      <c r="A236" t="s">
        <v>10619</v>
      </c>
      <c r="B236" t="s">
        <v>4425</v>
      </c>
      <c r="C236" t="s">
        <v>2407</v>
      </c>
      <c r="D236" t="s">
        <v>13</v>
      </c>
      <c r="E236" t="s">
        <v>75</v>
      </c>
      <c r="F236" t="s">
        <v>10621</v>
      </c>
      <c r="H236" t="s">
        <v>10619</v>
      </c>
      <c r="I236" t="s">
        <v>7779</v>
      </c>
      <c r="J236" t="s">
        <v>6097</v>
      </c>
      <c r="K236" t="s">
        <v>13</v>
      </c>
      <c r="L236" t="s">
        <v>75</v>
      </c>
      <c r="M236" t="s">
        <v>10629</v>
      </c>
      <c r="O236" t="s">
        <v>10619</v>
      </c>
      <c r="P236" t="s">
        <v>10065</v>
      </c>
      <c r="Q236" t="s">
        <v>9270</v>
      </c>
      <c r="R236" t="s">
        <v>13</v>
      </c>
      <c r="S236" t="s">
        <v>75</v>
      </c>
      <c r="T236" t="s">
        <v>509</v>
      </c>
    </row>
    <row r="237" spans="1:20">
      <c r="A237" t="s">
        <v>10619</v>
      </c>
      <c r="B237" t="s">
        <v>4426</v>
      </c>
      <c r="C237" t="s">
        <v>2409</v>
      </c>
      <c r="D237" t="s">
        <v>13</v>
      </c>
      <c r="E237" t="s">
        <v>75</v>
      </c>
      <c r="F237" t="s">
        <v>10621</v>
      </c>
      <c r="H237" t="s">
        <v>10619</v>
      </c>
      <c r="I237" t="s">
        <v>7780</v>
      </c>
      <c r="J237" t="s">
        <v>6099</v>
      </c>
      <c r="K237" t="s">
        <v>13</v>
      </c>
      <c r="L237" t="s">
        <v>75</v>
      </c>
      <c r="M237" t="s">
        <v>10624</v>
      </c>
      <c r="O237" t="s">
        <v>10619</v>
      </c>
      <c r="P237" t="s">
        <v>10066</v>
      </c>
      <c r="Q237" t="s">
        <v>9272</v>
      </c>
      <c r="R237" t="s">
        <v>13</v>
      </c>
      <c r="S237" t="s">
        <v>75</v>
      </c>
      <c r="T237" t="s">
        <v>509</v>
      </c>
    </row>
    <row r="238" spans="1:20">
      <c r="A238" t="s">
        <v>10619</v>
      </c>
      <c r="B238" t="s">
        <v>4427</v>
      </c>
      <c r="C238" t="s">
        <v>2411</v>
      </c>
      <c r="D238" t="s">
        <v>13</v>
      </c>
      <c r="E238" t="s">
        <v>75</v>
      </c>
      <c r="F238" t="s">
        <v>10621</v>
      </c>
      <c r="H238" t="s">
        <v>10619</v>
      </c>
      <c r="I238" t="s">
        <v>7781</v>
      </c>
      <c r="J238" t="s">
        <v>6101</v>
      </c>
      <c r="K238" t="s">
        <v>13</v>
      </c>
      <c r="L238" t="s">
        <v>75</v>
      </c>
      <c r="M238" t="s">
        <v>10624</v>
      </c>
      <c r="O238" t="s">
        <v>10619</v>
      </c>
      <c r="P238" t="s">
        <v>10067</v>
      </c>
      <c r="Q238" t="s">
        <v>9274</v>
      </c>
      <c r="R238" t="s">
        <v>13</v>
      </c>
      <c r="S238" t="s">
        <v>75</v>
      </c>
      <c r="T238" t="s">
        <v>10623</v>
      </c>
    </row>
    <row r="239" spans="1:20">
      <c r="A239" t="s">
        <v>10619</v>
      </c>
      <c r="B239" t="s">
        <v>4428</v>
      </c>
      <c r="C239" t="s">
        <v>2413</v>
      </c>
      <c r="D239" t="s">
        <v>13</v>
      </c>
      <c r="E239" t="s">
        <v>75</v>
      </c>
      <c r="F239" t="s">
        <v>10621</v>
      </c>
      <c r="H239" t="s">
        <v>10619</v>
      </c>
      <c r="I239" t="s">
        <v>7782</v>
      </c>
      <c r="J239" t="s">
        <v>6103</v>
      </c>
      <c r="K239" t="s">
        <v>13</v>
      </c>
      <c r="L239" t="s">
        <v>75</v>
      </c>
      <c r="M239" t="s">
        <v>10624</v>
      </c>
      <c r="O239" t="s">
        <v>10619</v>
      </c>
      <c r="P239" t="s">
        <v>10068</v>
      </c>
      <c r="Q239" t="s">
        <v>9274</v>
      </c>
      <c r="R239" t="s">
        <v>13</v>
      </c>
      <c r="S239" t="s">
        <v>75</v>
      </c>
      <c r="T239" t="s">
        <v>10623</v>
      </c>
    </row>
    <row r="240" spans="1:20">
      <c r="A240" t="s">
        <v>10619</v>
      </c>
      <c r="B240" t="s">
        <v>4429</v>
      </c>
      <c r="C240" t="s">
        <v>2415</v>
      </c>
      <c r="D240" t="s">
        <v>13</v>
      </c>
      <c r="E240" t="s">
        <v>75</v>
      </c>
      <c r="F240" t="s">
        <v>10621</v>
      </c>
      <c r="H240" t="s">
        <v>10619</v>
      </c>
      <c r="I240" t="s">
        <v>7783</v>
      </c>
      <c r="J240" t="s">
        <v>6105</v>
      </c>
      <c r="K240" t="s">
        <v>13</v>
      </c>
      <c r="L240" t="s">
        <v>75</v>
      </c>
      <c r="M240" t="s">
        <v>10630</v>
      </c>
      <c r="O240" t="s">
        <v>10619</v>
      </c>
      <c r="P240" t="s">
        <v>10069</v>
      </c>
      <c r="Q240" t="s">
        <v>9277</v>
      </c>
      <c r="R240" t="s">
        <v>13</v>
      </c>
      <c r="S240" t="s">
        <v>75</v>
      </c>
      <c r="T240" t="s">
        <v>10623</v>
      </c>
    </row>
    <row r="241" spans="1:20">
      <c r="A241" t="s">
        <v>10619</v>
      </c>
      <c r="B241" t="s">
        <v>4430</v>
      </c>
      <c r="C241" t="s">
        <v>2417</v>
      </c>
      <c r="D241" t="s">
        <v>13</v>
      </c>
      <c r="E241" t="s">
        <v>75</v>
      </c>
      <c r="F241" t="s">
        <v>10621</v>
      </c>
      <c r="H241" t="s">
        <v>10619</v>
      </c>
      <c r="I241" t="s">
        <v>7784</v>
      </c>
      <c r="J241" t="s">
        <v>6107</v>
      </c>
      <c r="K241" t="s">
        <v>13</v>
      </c>
      <c r="L241" t="s">
        <v>75</v>
      </c>
      <c r="M241" t="s">
        <v>10630</v>
      </c>
      <c r="O241" t="s">
        <v>10619</v>
      </c>
      <c r="P241" t="s">
        <v>10070</v>
      </c>
      <c r="Q241" t="s">
        <v>9274</v>
      </c>
      <c r="R241" t="s">
        <v>13</v>
      </c>
      <c r="S241" t="s">
        <v>75</v>
      </c>
      <c r="T241" t="s">
        <v>10623</v>
      </c>
    </row>
    <row r="242" spans="1:20">
      <c r="A242" t="s">
        <v>10619</v>
      </c>
      <c r="B242" t="s">
        <v>4431</v>
      </c>
      <c r="C242" t="s">
        <v>2419</v>
      </c>
      <c r="D242" t="s">
        <v>13</v>
      </c>
      <c r="E242" t="s">
        <v>75</v>
      </c>
      <c r="F242" t="s">
        <v>10621</v>
      </c>
      <c r="H242" t="s">
        <v>10619</v>
      </c>
      <c r="I242" t="s">
        <v>7785</v>
      </c>
      <c r="J242" t="s">
        <v>6109</v>
      </c>
      <c r="K242" t="s">
        <v>13</v>
      </c>
      <c r="L242" t="s">
        <v>75</v>
      </c>
      <c r="M242" t="s">
        <v>10630</v>
      </c>
      <c r="O242" t="s">
        <v>10619</v>
      </c>
      <c r="P242" t="s">
        <v>10071</v>
      </c>
      <c r="Q242" t="s">
        <v>9280</v>
      </c>
      <c r="R242" t="s">
        <v>13</v>
      </c>
      <c r="S242" t="s">
        <v>75</v>
      </c>
      <c r="T242" t="s">
        <v>10636</v>
      </c>
    </row>
    <row r="243" spans="1:20">
      <c r="A243" t="s">
        <v>10619</v>
      </c>
      <c r="B243" t="s">
        <v>4432</v>
      </c>
      <c r="C243" t="s">
        <v>2413</v>
      </c>
      <c r="D243" t="s">
        <v>13</v>
      </c>
      <c r="E243" t="s">
        <v>75</v>
      </c>
      <c r="F243" t="s">
        <v>10621</v>
      </c>
      <c r="H243" t="s">
        <v>10619</v>
      </c>
      <c r="I243" t="s">
        <v>7786</v>
      </c>
      <c r="J243" t="s">
        <v>6111</v>
      </c>
      <c r="K243" t="s">
        <v>13</v>
      </c>
      <c r="L243" t="s">
        <v>75</v>
      </c>
      <c r="M243" t="s">
        <v>10630</v>
      </c>
      <c r="O243" t="s">
        <v>10619</v>
      </c>
      <c r="P243" t="s">
        <v>10072</v>
      </c>
      <c r="Q243" t="s">
        <v>9282</v>
      </c>
      <c r="R243" t="s">
        <v>13</v>
      </c>
      <c r="S243" t="s">
        <v>75</v>
      </c>
      <c r="T243" t="s">
        <v>10636</v>
      </c>
    </row>
    <row r="244" spans="1:20">
      <c r="A244" t="s">
        <v>10619</v>
      </c>
      <c r="B244" t="s">
        <v>4433</v>
      </c>
      <c r="C244" t="s">
        <v>2422</v>
      </c>
      <c r="D244" t="s">
        <v>13</v>
      </c>
      <c r="E244" t="s">
        <v>75</v>
      </c>
      <c r="F244" t="s">
        <v>10621</v>
      </c>
      <c r="H244" t="s">
        <v>10619</v>
      </c>
      <c r="I244" t="s">
        <v>7787</v>
      </c>
      <c r="J244" t="s">
        <v>6113</v>
      </c>
      <c r="K244" t="s">
        <v>13</v>
      </c>
      <c r="L244" t="s">
        <v>75</v>
      </c>
      <c r="M244" t="s">
        <v>10630</v>
      </c>
      <c r="O244" t="s">
        <v>10619</v>
      </c>
      <c r="P244" t="s">
        <v>10073</v>
      </c>
      <c r="Q244" t="s">
        <v>9284</v>
      </c>
      <c r="R244" t="s">
        <v>13</v>
      </c>
      <c r="S244" t="s">
        <v>75</v>
      </c>
      <c r="T244" t="s">
        <v>10636</v>
      </c>
    </row>
    <row r="245" spans="1:20">
      <c r="A245" t="s">
        <v>10619</v>
      </c>
      <c r="B245" t="s">
        <v>4434</v>
      </c>
      <c r="C245" t="s">
        <v>2424</v>
      </c>
      <c r="D245" t="s">
        <v>13</v>
      </c>
      <c r="E245" t="s">
        <v>75</v>
      </c>
      <c r="F245" t="s">
        <v>10621</v>
      </c>
      <c r="H245" t="s">
        <v>10619</v>
      </c>
      <c r="I245" t="s">
        <v>7788</v>
      </c>
      <c r="J245" t="s">
        <v>6115</v>
      </c>
      <c r="K245" t="s">
        <v>13</v>
      </c>
      <c r="L245" t="s">
        <v>75</v>
      </c>
      <c r="M245" t="s">
        <v>10630</v>
      </c>
      <c r="O245" t="s">
        <v>10619</v>
      </c>
      <c r="P245" t="s">
        <v>10074</v>
      </c>
      <c r="Q245" t="s">
        <v>9286</v>
      </c>
      <c r="R245" t="s">
        <v>13</v>
      </c>
      <c r="S245" t="s">
        <v>75</v>
      </c>
      <c r="T245" t="s">
        <v>10636</v>
      </c>
    </row>
    <row r="246" spans="1:20">
      <c r="A246" t="s">
        <v>10619</v>
      </c>
      <c r="B246" t="s">
        <v>4435</v>
      </c>
      <c r="C246" t="s">
        <v>2426</v>
      </c>
      <c r="D246" t="s">
        <v>13</v>
      </c>
      <c r="E246" t="s">
        <v>75</v>
      </c>
      <c r="F246" t="s">
        <v>10621</v>
      </c>
      <c r="H246" t="s">
        <v>10619</v>
      </c>
      <c r="I246" t="s">
        <v>7789</v>
      </c>
      <c r="J246" t="s">
        <v>6117</v>
      </c>
      <c r="K246" t="s">
        <v>13</v>
      </c>
      <c r="L246" t="s">
        <v>75</v>
      </c>
      <c r="M246" t="s">
        <v>10630</v>
      </c>
      <c r="O246" t="s">
        <v>10619</v>
      </c>
      <c r="P246" t="s">
        <v>10075</v>
      </c>
      <c r="Q246" t="s">
        <v>9288</v>
      </c>
      <c r="R246" t="s">
        <v>13</v>
      </c>
      <c r="S246" t="s">
        <v>75</v>
      </c>
      <c r="T246" t="s">
        <v>10636</v>
      </c>
    </row>
    <row r="247" spans="1:20">
      <c r="A247" t="s">
        <v>10619</v>
      </c>
      <c r="B247" t="s">
        <v>4436</v>
      </c>
      <c r="C247" t="s">
        <v>2428</v>
      </c>
      <c r="D247" t="s">
        <v>13</v>
      </c>
      <c r="E247" t="s">
        <v>75</v>
      </c>
      <c r="F247" t="s">
        <v>10621</v>
      </c>
      <c r="H247" t="s">
        <v>10619</v>
      </c>
      <c r="I247" t="s">
        <v>7790</v>
      </c>
      <c r="J247" t="s">
        <v>6117</v>
      </c>
      <c r="K247" t="s">
        <v>13</v>
      </c>
      <c r="L247" t="s">
        <v>75</v>
      </c>
      <c r="M247" t="s">
        <v>10630</v>
      </c>
      <c r="O247" t="s">
        <v>10619</v>
      </c>
      <c r="P247" t="s">
        <v>10076</v>
      </c>
      <c r="Q247" t="s">
        <v>9290</v>
      </c>
      <c r="R247" t="s">
        <v>13</v>
      </c>
      <c r="S247" t="s">
        <v>75</v>
      </c>
      <c r="T247" t="s">
        <v>10636</v>
      </c>
    </row>
    <row r="248" spans="1:20">
      <c r="A248" t="s">
        <v>10619</v>
      </c>
      <c r="B248" t="s">
        <v>4437</v>
      </c>
      <c r="C248" t="s">
        <v>2430</v>
      </c>
      <c r="D248" t="s">
        <v>13</v>
      </c>
      <c r="E248" t="s">
        <v>75</v>
      </c>
      <c r="F248" t="s">
        <v>10621</v>
      </c>
      <c r="H248" t="s">
        <v>10619</v>
      </c>
      <c r="I248" t="s">
        <v>7791</v>
      </c>
      <c r="J248" t="s">
        <v>6120</v>
      </c>
      <c r="K248" t="s">
        <v>13</v>
      </c>
      <c r="L248" t="s">
        <v>75</v>
      </c>
      <c r="M248" t="s">
        <v>10630</v>
      </c>
      <c r="O248" t="s">
        <v>10619</v>
      </c>
      <c r="P248" t="s">
        <v>10077</v>
      </c>
      <c r="Q248" t="s">
        <v>9292</v>
      </c>
      <c r="R248" t="s">
        <v>13</v>
      </c>
      <c r="S248" t="s">
        <v>75</v>
      </c>
      <c r="T248" t="s">
        <v>10636</v>
      </c>
    </row>
    <row r="249" spans="1:20">
      <c r="A249" t="s">
        <v>10619</v>
      </c>
      <c r="B249" t="s">
        <v>4438</v>
      </c>
      <c r="C249" t="s">
        <v>2432</v>
      </c>
      <c r="D249" t="s">
        <v>13</v>
      </c>
      <c r="E249" t="s">
        <v>75</v>
      </c>
      <c r="F249" t="s">
        <v>10621</v>
      </c>
      <c r="H249" t="s">
        <v>10619</v>
      </c>
      <c r="I249" t="s">
        <v>7792</v>
      </c>
      <c r="J249" t="s">
        <v>6117</v>
      </c>
      <c r="K249" t="s">
        <v>13</v>
      </c>
      <c r="L249" t="s">
        <v>75</v>
      </c>
      <c r="M249" t="s">
        <v>10630</v>
      </c>
      <c r="O249" t="s">
        <v>10619</v>
      </c>
      <c r="P249" t="s">
        <v>10078</v>
      </c>
      <c r="Q249" t="s">
        <v>9294</v>
      </c>
      <c r="R249" t="s">
        <v>13</v>
      </c>
      <c r="S249" t="s">
        <v>75</v>
      </c>
      <c r="T249" t="s">
        <v>10624</v>
      </c>
    </row>
    <row r="250" spans="1:20">
      <c r="A250" t="s">
        <v>10619</v>
      </c>
      <c r="B250" t="s">
        <v>4439</v>
      </c>
      <c r="C250" t="s">
        <v>2434</v>
      </c>
      <c r="D250" t="s">
        <v>13</v>
      </c>
      <c r="E250" t="s">
        <v>75</v>
      </c>
      <c r="F250" t="s">
        <v>10621</v>
      </c>
      <c r="H250" t="s">
        <v>10619</v>
      </c>
      <c r="I250" t="s">
        <v>7793</v>
      </c>
      <c r="J250" t="s">
        <v>6117</v>
      </c>
      <c r="K250" t="s">
        <v>13</v>
      </c>
      <c r="L250" t="s">
        <v>75</v>
      </c>
      <c r="M250" t="s">
        <v>10630</v>
      </c>
      <c r="O250" t="s">
        <v>10619</v>
      </c>
      <c r="P250" t="s">
        <v>10079</v>
      </c>
      <c r="Q250" t="s">
        <v>9296</v>
      </c>
      <c r="R250" t="s">
        <v>13</v>
      </c>
      <c r="S250" t="s">
        <v>75</v>
      </c>
      <c r="T250" t="s">
        <v>10624</v>
      </c>
    </row>
    <row r="251" spans="1:20">
      <c r="A251" t="s">
        <v>10619</v>
      </c>
      <c r="B251" t="s">
        <v>4440</v>
      </c>
      <c r="C251" t="s">
        <v>2436</v>
      </c>
      <c r="D251" t="s">
        <v>13</v>
      </c>
      <c r="E251" t="s">
        <v>75</v>
      </c>
      <c r="F251" t="s">
        <v>10621</v>
      </c>
      <c r="H251" t="s">
        <v>10619</v>
      </c>
      <c r="I251" t="s">
        <v>7794</v>
      </c>
      <c r="J251" t="s">
        <v>6124</v>
      </c>
      <c r="K251" t="s">
        <v>13</v>
      </c>
      <c r="L251" t="s">
        <v>75</v>
      </c>
      <c r="M251" t="s">
        <v>10630</v>
      </c>
      <c r="O251" t="s">
        <v>10619</v>
      </c>
      <c r="P251" t="s">
        <v>10080</v>
      </c>
      <c r="Q251" t="s">
        <v>9298</v>
      </c>
      <c r="R251" t="s">
        <v>13</v>
      </c>
      <c r="S251" t="s">
        <v>75</v>
      </c>
      <c r="T251" t="s">
        <v>10624</v>
      </c>
    </row>
    <row r="252" spans="1:20">
      <c r="A252" t="s">
        <v>10619</v>
      </c>
      <c r="B252" t="s">
        <v>4441</v>
      </c>
      <c r="C252" t="s">
        <v>2422</v>
      </c>
      <c r="D252" t="s">
        <v>13</v>
      </c>
      <c r="E252" t="s">
        <v>75</v>
      </c>
      <c r="F252" t="s">
        <v>10621</v>
      </c>
      <c r="H252" t="s">
        <v>10619</v>
      </c>
      <c r="I252" t="s">
        <v>7795</v>
      </c>
      <c r="J252" t="s">
        <v>6120</v>
      </c>
      <c r="K252" t="s">
        <v>13</v>
      </c>
      <c r="L252" t="s">
        <v>75</v>
      </c>
      <c r="M252" t="s">
        <v>10630</v>
      </c>
      <c r="O252" t="s">
        <v>10619</v>
      </c>
      <c r="P252" t="s">
        <v>10081</v>
      </c>
      <c r="Q252" t="s">
        <v>9294</v>
      </c>
      <c r="R252" t="s">
        <v>13</v>
      </c>
      <c r="S252" t="s">
        <v>75</v>
      </c>
      <c r="T252" t="s">
        <v>10624</v>
      </c>
    </row>
    <row r="253" spans="1:20">
      <c r="A253" t="s">
        <v>10619</v>
      </c>
      <c r="B253" t="s">
        <v>4442</v>
      </c>
      <c r="C253" t="s">
        <v>2439</v>
      </c>
      <c r="D253" t="s">
        <v>13</v>
      </c>
      <c r="E253" t="s">
        <v>75</v>
      </c>
      <c r="F253" t="s">
        <v>10621</v>
      </c>
      <c r="H253" t="s">
        <v>10619</v>
      </c>
      <c r="I253" t="s">
        <v>7796</v>
      </c>
      <c r="J253" t="s">
        <v>6127</v>
      </c>
      <c r="K253" t="s">
        <v>13</v>
      </c>
      <c r="L253" t="s">
        <v>75</v>
      </c>
      <c r="M253" t="s">
        <v>10630</v>
      </c>
      <c r="O253" t="s">
        <v>10619</v>
      </c>
      <c r="P253" t="s">
        <v>10082</v>
      </c>
      <c r="Q253" t="s">
        <v>9301</v>
      </c>
      <c r="R253" t="s">
        <v>13</v>
      </c>
      <c r="S253" t="s">
        <v>75</v>
      </c>
      <c r="T253" t="s">
        <v>518</v>
      </c>
    </row>
    <row r="254" spans="1:20">
      <c r="A254" t="s">
        <v>10619</v>
      </c>
      <c r="B254" t="s">
        <v>4443</v>
      </c>
      <c r="C254" t="s">
        <v>2441</v>
      </c>
      <c r="D254" t="s">
        <v>13</v>
      </c>
      <c r="E254" t="s">
        <v>75</v>
      </c>
      <c r="F254" t="s">
        <v>10621</v>
      </c>
      <c r="H254" t="s">
        <v>10619</v>
      </c>
      <c r="I254" t="s">
        <v>7797</v>
      </c>
      <c r="J254" t="s">
        <v>6129</v>
      </c>
      <c r="K254" t="s">
        <v>13</v>
      </c>
      <c r="L254" t="s">
        <v>75</v>
      </c>
      <c r="M254" t="s">
        <v>10630</v>
      </c>
      <c r="O254" t="s">
        <v>10619</v>
      </c>
      <c r="P254" t="s">
        <v>10083</v>
      </c>
      <c r="Q254" t="s">
        <v>9303</v>
      </c>
      <c r="R254" t="s">
        <v>13</v>
      </c>
      <c r="S254" t="s">
        <v>75</v>
      </c>
      <c r="T254" t="s">
        <v>518</v>
      </c>
    </row>
    <row r="255" spans="1:20">
      <c r="A255" t="s">
        <v>10619</v>
      </c>
      <c r="B255" t="s">
        <v>4444</v>
      </c>
      <c r="C255" t="s">
        <v>2443</v>
      </c>
      <c r="D255" t="s">
        <v>13</v>
      </c>
      <c r="E255" t="s">
        <v>75</v>
      </c>
      <c r="F255" t="s">
        <v>10621</v>
      </c>
      <c r="H255" t="s">
        <v>10619</v>
      </c>
      <c r="I255" t="s">
        <v>7798</v>
      </c>
      <c r="J255" t="s">
        <v>6131</v>
      </c>
      <c r="K255" t="s">
        <v>13</v>
      </c>
      <c r="L255" t="s">
        <v>75</v>
      </c>
      <c r="M255" t="s">
        <v>10630</v>
      </c>
      <c r="O255" t="s">
        <v>10619</v>
      </c>
      <c r="P255" t="s">
        <v>10084</v>
      </c>
      <c r="Q255" t="s">
        <v>9305</v>
      </c>
      <c r="R255" t="s">
        <v>13</v>
      </c>
      <c r="S255" t="s">
        <v>75</v>
      </c>
      <c r="T255" t="s">
        <v>518</v>
      </c>
    </row>
    <row r="256" spans="1:20">
      <c r="A256" t="s">
        <v>10619</v>
      </c>
      <c r="B256" t="s">
        <v>4445</v>
      </c>
      <c r="C256" t="s">
        <v>2445</v>
      </c>
      <c r="D256" t="s">
        <v>13</v>
      </c>
      <c r="E256" t="s">
        <v>75</v>
      </c>
      <c r="F256" t="s">
        <v>10621</v>
      </c>
      <c r="H256" t="s">
        <v>10619</v>
      </c>
      <c r="I256" t="s">
        <v>7799</v>
      </c>
      <c r="J256" t="s">
        <v>6133</v>
      </c>
      <c r="K256" t="s">
        <v>13</v>
      </c>
      <c r="L256" t="s">
        <v>75</v>
      </c>
      <c r="M256" t="s">
        <v>10624</v>
      </c>
      <c r="O256" t="s">
        <v>10619</v>
      </c>
      <c r="P256" t="s">
        <v>10085</v>
      </c>
      <c r="Q256" t="s">
        <v>9307</v>
      </c>
      <c r="R256" t="s">
        <v>13</v>
      </c>
      <c r="S256" t="s">
        <v>75</v>
      </c>
      <c r="T256" t="s">
        <v>518</v>
      </c>
    </row>
    <row r="257" spans="1:20">
      <c r="A257" t="s">
        <v>10619</v>
      </c>
      <c r="B257" t="s">
        <v>4446</v>
      </c>
      <c r="C257" t="s">
        <v>2443</v>
      </c>
      <c r="D257" t="s">
        <v>13</v>
      </c>
      <c r="E257" t="s">
        <v>75</v>
      </c>
      <c r="F257" t="s">
        <v>10621</v>
      </c>
      <c r="H257" t="s">
        <v>10619</v>
      </c>
      <c r="I257" t="s">
        <v>7800</v>
      </c>
      <c r="J257" t="s">
        <v>6133</v>
      </c>
      <c r="K257" t="s">
        <v>13</v>
      </c>
      <c r="L257" t="s">
        <v>75</v>
      </c>
      <c r="M257" t="s">
        <v>10624</v>
      </c>
      <c r="O257" t="s">
        <v>10619</v>
      </c>
      <c r="P257" t="s">
        <v>10086</v>
      </c>
      <c r="Q257" t="s">
        <v>9309</v>
      </c>
      <c r="R257" t="s">
        <v>13</v>
      </c>
      <c r="S257" t="s">
        <v>75</v>
      </c>
      <c r="T257" t="s">
        <v>518</v>
      </c>
    </row>
    <row r="258" spans="1:20">
      <c r="A258" t="s">
        <v>10619</v>
      </c>
      <c r="B258" t="s">
        <v>4447</v>
      </c>
      <c r="C258" t="s">
        <v>2448</v>
      </c>
      <c r="D258" t="s">
        <v>13</v>
      </c>
      <c r="E258" t="s">
        <v>75</v>
      </c>
      <c r="F258" t="s">
        <v>10621</v>
      </c>
      <c r="H258" t="s">
        <v>10619</v>
      </c>
      <c r="I258" t="s">
        <v>7801</v>
      </c>
      <c r="J258" t="s">
        <v>6136</v>
      </c>
      <c r="K258" t="s">
        <v>13</v>
      </c>
      <c r="L258" t="s">
        <v>75</v>
      </c>
      <c r="M258" t="s">
        <v>10624</v>
      </c>
      <c r="O258" t="s">
        <v>10619</v>
      </c>
      <c r="P258" t="s">
        <v>10087</v>
      </c>
      <c r="Q258" t="s">
        <v>9311</v>
      </c>
      <c r="R258" t="s">
        <v>13</v>
      </c>
      <c r="S258" t="s">
        <v>75</v>
      </c>
      <c r="T258" t="s">
        <v>518</v>
      </c>
    </row>
    <row r="259" spans="1:20">
      <c r="A259" t="s">
        <v>10619</v>
      </c>
      <c r="B259" t="s">
        <v>4448</v>
      </c>
      <c r="C259" t="s">
        <v>2450</v>
      </c>
      <c r="D259" t="s">
        <v>13</v>
      </c>
      <c r="E259" t="s">
        <v>75</v>
      </c>
      <c r="F259" t="s">
        <v>10621</v>
      </c>
      <c r="H259" t="s">
        <v>10619</v>
      </c>
      <c r="I259" t="s">
        <v>7802</v>
      </c>
      <c r="J259" t="s">
        <v>6133</v>
      </c>
      <c r="K259" t="s">
        <v>13</v>
      </c>
      <c r="L259" t="s">
        <v>75</v>
      </c>
      <c r="M259" t="s">
        <v>10624</v>
      </c>
      <c r="O259" t="s">
        <v>10619</v>
      </c>
      <c r="P259" t="s">
        <v>10088</v>
      </c>
      <c r="Q259" t="s">
        <v>9313</v>
      </c>
      <c r="R259" t="s">
        <v>13</v>
      </c>
      <c r="S259" t="s">
        <v>75</v>
      </c>
      <c r="T259" t="s">
        <v>518</v>
      </c>
    </row>
    <row r="260" spans="1:20">
      <c r="A260" t="s">
        <v>10619</v>
      </c>
      <c r="B260" t="s">
        <v>4449</v>
      </c>
      <c r="C260" t="s">
        <v>2452</v>
      </c>
      <c r="D260" t="s">
        <v>13</v>
      </c>
      <c r="E260" t="s">
        <v>75</v>
      </c>
      <c r="F260" t="s">
        <v>10621</v>
      </c>
      <c r="H260" t="s">
        <v>10619</v>
      </c>
      <c r="I260" t="s">
        <v>7803</v>
      </c>
      <c r="J260" t="s">
        <v>6139</v>
      </c>
      <c r="K260" t="s">
        <v>13</v>
      </c>
      <c r="L260" t="s">
        <v>75</v>
      </c>
      <c r="M260" t="s">
        <v>10630</v>
      </c>
      <c r="O260" t="s">
        <v>10619</v>
      </c>
      <c r="P260" t="s">
        <v>10089</v>
      </c>
      <c r="Q260" t="s">
        <v>9315</v>
      </c>
      <c r="R260" t="s">
        <v>13</v>
      </c>
      <c r="S260" t="s">
        <v>75</v>
      </c>
      <c r="T260" t="s">
        <v>518</v>
      </c>
    </row>
    <row r="261" spans="1:20">
      <c r="A261" t="s">
        <v>10619</v>
      </c>
      <c r="B261" t="s">
        <v>4450</v>
      </c>
      <c r="C261" t="s">
        <v>2454</v>
      </c>
      <c r="D261" t="s">
        <v>13</v>
      </c>
      <c r="E261" t="s">
        <v>75</v>
      </c>
      <c r="F261" t="s">
        <v>10624</v>
      </c>
      <c r="H261" t="s">
        <v>10619</v>
      </c>
      <c r="I261" t="s">
        <v>7804</v>
      </c>
      <c r="J261" t="s">
        <v>6141</v>
      </c>
      <c r="K261" t="s">
        <v>13</v>
      </c>
      <c r="L261" t="s">
        <v>75</v>
      </c>
      <c r="M261" t="s">
        <v>10630</v>
      </c>
      <c r="O261" t="s">
        <v>10619</v>
      </c>
      <c r="P261" t="s">
        <v>10090</v>
      </c>
      <c r="Q261" t="s">
        <v>9317</v>
      </c>
      <c r="R261" t="s">
        <v>13</v>
      </c>
      <c r="S261" t="s">
        <v>75</v>
      </c>
      <c r="T261" t="s">
        <v>518</v>
      </c>
    </row>
    <row r="262" spans="1:20">
      <c r="A262" t="s">
        <v>10619</v>
      </c>
      <c r="B262" t="s">
        <v>4451</v>
      </c>
      <c r="C262" t="s">
        <v>2456</v>
      </c>
      <c r="D262" t="s">
        <v>13</v>
      </c>
      <c r="E262" t="s">
        <v>75</v>
      </c>
      <c r="F262" t="s">
        <v>10624</v>
      </c>
      <c r="H262" t="s">
        <v>10619</v>
      </c>
      <c r="I262" t="s">
        <v>7805</v>
      </c>
      <c r="J262" t="s">
        <v>6141</v>
      </c>
      <c r="K262" t="s">
        <v>13</v>
      </c>
      <c r="L262" t="s">
        <v>75</v>
      </c>
      <c r="M262" t="s">
        <v>10630</v>
      </c>
      <c r="O262" t="s">
        <v>10619</v>
      </c>
      <c r="P262" t="s">
        <v>10091</v>
      </c>
      <c r="Q262" t="s">
        <v>9319</v>
      </c>
      <c r="R262" t="s">
        <v>13</v>
      </c>
      <c r="S262" t="s">
        <v>75</v>
      </c>
      <c r="T262" t="s">
        <v>518</v>
      </c>
    </row>
    <row r="263" spans="1:20">
      <c r="A263" t="s">
        <v>10619</v>
      </c>
      <c r="B263" t="s">
        <v>4452</v>
      </c>
      <c r="C263" t="s">
        <v>2458</v>
      </c>
      <c r="D263" t="s">
        <v>13</v>
      </c>
      <c r="E263" t="s">
        <v>75</v>
      </c>
      <c r="F263" t="s">
        <v>10624</v>
      </c>
      <c r="H263" t="s">
        <v>10619</v>
      </c>
      <c r="I263" t="s">
        <v>7806</v>
      </c>
      <c r="J263" t="s">
        <v>6144</v>
      </c>
      <c r="K263" t="s">
        <v>13</v>
      </c>
      <c r="L263" t="s">
        <v>75</v>
      </c>
      <c r="M263" t="s">
        <v>10630</v>
      </c>
      <c r="O263" t="s">
        <v>10619</v>
      </c>
      <c r="P263" t="s">
        <v>10092</v>
      </c>
      <c r="Q263" t="s">
        <v>9321</v>
      </c>
      <c r="R263" t="s">
        <v>13</v>
      </c>
      <c r="S263" t="s">
        <v>75</v>
      </c>
      <c r="T263" t="s">
        <v>518</v>
      </c>
    </row>
    <row r="264" spans="1:20">
      <c r="A264" t="s">
        <v>10619</v>
      </c>
      <c r="B264" t="s">
        <v>4453</v>
      </c>
      <c r="C264" t="s">
        <v>2460</v>
      </c>
      <c r="D264" t="s">
        <v>13</v>
      </c>
      <c r="E264" t="s">
        <v>75</v>
      </c>
      <c r="F264" t="s">
        <v>10624</v>
      </c>
      <c r="H264" t="s">
        <v>10619</v>
      </c>
      <c r="I264" t="s">
        <v>7807</v>
      </c>
      <c r="J264" t="s">
        <v>6146</v>
      </c>
      <c r="K264" t="s">
        <v>13</v>
      </c>
      <c r="L264" t="s">
        <v>75</v>
      </c>
      <c r="M264" t="s">
        <v>10630</v>
      </c>
      <c r="O264" t="s">
        <v>10619</v>
      </c>
      <c r="P264" t="s">
        <v>10093</v>
      </c>
      <c r="Q264" t="s">
        <v>9323</v>
      </c>
      <c r="R264" t="s">
        <v>13</v>
      </c>
      <c r="S264" t="s">
        <v>75</v>
      </c>
      <c r="T264" t="s">
        <v>518</v>
      </c>
    </row>
    <row r="265" spans="1:20">
      <c r="A265" t="s">
        <v>10619</v>
      </c>
      <c r="B265" t="s">
        <v>4454</v>
      </c>
      <c r="C265" t="s">
        <v>2462</v>
      </c>
      <c r="D265" t="s">
        <v>13</v>
      </c>
      <c r="E265" t="s">
        <v>75</v>
      </c>
      <c r="F265" t="s">
        <v>10624</v>
      </c>
      <c r="H265" t="s">
        <v>10619</v>
      </c>
      <c r="I265" t="s">
        <v>7808</v>
      </c>
      <c r="J265" t="s">
        <v>6148</v>
      </c>
      <c r="K265" t="s">
        <v>13</v>
      </c>
      <c r="L265" t="s">
        <v>75</v>
      </c>
      <c r="M265" t="s">
        <v>10630</v>
      </c>
      <c r="O265" t="s">
        <v>10619</v>
      </c>
      <c r="P265" t="s">
        <v>10094</v>
      </c>
      <c r="Q265" t="s">
        <v>9325</v>
      </c>
      <c r="R265" t="s">
        <v>13</v>
      </c>
      <c r="S265" t="s">
        <v>75</v>
      </c>
      <c r="T265" t="s">
        <v>10620</v>
      </c>
    </row>
    <row r="266" spans="1:20">
      <c r="A266" t="s">
        <v>10619</v>
      </c>
      <c r="B266" t="s">
        <v>4455</v>
      </c>
      <c r="C266" t="s">
        <v>2464</v>
      </c>
      <c r="D266" t="s">
        <v>13</v>
      </c>
      <c r="E266" t="s">
        <v>75</v>
      </c>
      <c r="F266" t="s">
        <v>10624</v>
      </c>
      <c r="H266" t="s">
        <v>10619</v>
      </c>
      <c r="I266" t="s">
        <v>7809</v>
      </c>
      <c r="J266" t="s">
        <v>6150</v>
      </c>
      <c r="K266" t="s">
        <v>13</v>
      </c>
      <c r="L266" t="s">
        <v>75</v>
      </c>
      <c r="M266" t="s">
        <v>10630</v>
      </c>
      <c r="O266" t="s">
        <v>10619</v>
      </c>
      <c r="P266" t="s">
        <v>10095</v>
      </c>
      <c r="Q266" t="s">
        <v>9327</v>
      </c>
      <c r="R266" t="s">
        <v>13</v>
      </c>
      <c r="S266" t="s">
        <v>75</v>
      </c>
      <c r="T266" t="s">
        <v>10620</v>
      </c>
    </row>
    <row r="267" spans="1:20">
      <c r="A267" t="s">
        <v>10619</v>
      </c>
      <c r="B267" t="s">
        <v>4456</v>
      </c>
      <c r="C267" t="s">
        <v>2466</v>
      </c>
      <c r="D267" t="s">
        <v>13</v>
      </c>
      <c r="E267" t="s">
        <v>75</v>
      </c>
      <c r="F267" t="s">
        <v>10624</v>
      </c>
      <c r="H267" t="s">
        <v>10619</v>
      </c>
      <c r="I267" t="s">
        <v>7810</v>
      </c>
      <c r="J267" t="s">
        <v>6152</v>
      </c>
      <c r="K267" t="s">
        <v>13</v>
      </c>
      <c r="L267" t="s">
        <v>75</v>
      </c>
      <c r="M267" t="s">
        <v>10630</v>
      </c>
      <c r="O267" t="s">
        <v>10619</v>
      </c>
      <c r="P267" t="s">
        <v>10096</v>
      </c>
      <c r="Q267" t="s">
        <v>9327</v>
      </c>
      <c r="R267" t="s">
        <v>13</v>
      </c>
      <c r="S267" t="s">
        <v>75</v>
      </c>
      <c r="T267" t="s">
        <v>10620</v>
      </c>
    </row>
    <row r="268" spans="1:20">
      <c r="A268" t="s">
        <v>10619</v>
      </c>
      <c r="B268" t="s">
        <v>4457</v>
      </c>
      <c r="C268" t="s">
        <v>2468</v>
      </c>
      <c r="D268" t="s">
        <v>13</v>
      </c>
      <c r="E268" t="s">
        <v>75</v>
      </c>
      <c r="F268" t="s">
        <v>10624</v>
      </c>
      <c r="H268" t="s">
        <v>10619</v>
      </c>
      <c r="I268" t="s">
        <v>7811</v>
      </c>
      <c r="J268" t="s">
        <v>6154</v>
      </c>
      <c r="K268" t="s">
        <v>13</v>
      </c>
      <c r="L268" t="s">
        <v>75</v>
      </c>
      <c r="M268" t="s">
        <v>10630</v>
      </c>
      <c r="O268" t="s">
        <v>10619</v>
      </c>
      <c r="P268" t="s">
        <v>10097</v>
      </c>
      <c r="Q268" t="s">
        <v>9327</v>
      </c>
      <c r="R268" t="s">
        <v>13</v>
      </c>
      <c r="S268" t="s">
        <v>75</v>
      </c>
      <c r="T268" t="s">
        <v>10620</v>
      </c>
    </row>
    <row r="269" spans="1:20">
      <c r="A269" t="s">
        <v>10619</v>
      </c>
      <c r="B269" t="s">
        <v>4458</v>
      </c>
      <c r="C269" t="s">
        <v>2470</v>
      </c>
      <c r="D269" t="s">
        <v>13</v>
      </c>
      <c r="E269" t="s">
        <v>75</v>
      </c>
      <c r="F269" t="s">
        <v>10624</v>
      </c>
      <c r="H269" t="s">
        <v>10619</v>
      </c>
      <c r="I269" t="s">
        <v>7812</v>
      </c>
      <c r="J269" t="s">
        <v>6152</v>
      </c>
      <c r="K269" t="s">
        <v>13</v>
      </c>
      <c r="L269" t="s">
        <v>75</v>
      </c>
      <c r="M269" t="s">
        <v>10630</v>
      </c>
      <c r="O269" t="s">
        <v>10619</v>
      </c>
      <c r="P269" t="s">
        <v>10098</v>
      </c>
      <c r="Q269" t="s">
        <v>9331</v>
      </c>
      <c r="R269" t="s">
        <v>13</v>
      </c>
      <c r="S269" t="s">
        <v>75</v>
      </c>
      <c r="T269" t="s">
        <v>10621</v>
      </c>
    </row>
    <row r="270" spans="1:20">
      <c r="A270" t="s">
        <v>10619</v>
      </c>
      <c r="B270" t="s">
        <v>4459</v>
      </c>
      <c r="C270" t="s">
        <v>2472</v>
      </c>
      <c r="D270" t="s">
        <v>13</v>
      </c>
      <c r="E270" t="s">
        <v>75</v>
      </c>
      <c r="F270" t="s">
        <v>10624</v>
      </c>
      <c r="H270" t="s">
        <v>10619</v>
      </c>
      <c r="I270" t="s">
        <v>7813</v>
      </c>
      <c r="J270" t="s">
        <v>6152</v>
      </c>
      <c r="K270" t="s">
        <v>13</v>
      </c>
      <c r="L270" t="s">
        <v>75</v>
      </c>
      <c r="M270" t="s">
        <v>10630</v>
      </c>
      <c r="O270" t="s">
        <v>10619</v>
      </c>
      <c r="P270" t="s">
        <v>10099</v>
      </c>
      <c r="Q270" t="s">
        <v>9331</v>
      </c>
      <c r="R270" t="s">
        <v>13</v>
      </c>
      <c r="S270" t="s">
        <v>75</v>
      </c>
      <c r="T270" t="s">
        <v>10621</v>
      </c>
    </row>
    <row r="271" spans="1:20">
      <c r="A271" t="s">
        <v>10619</v>
      </c>
      <c r="B271" t="s">
        <v>4460</v>
      </c>
      <c r="C271" t="s">
        <v>2474</v>
      </c>
      <c r="D271" t="s">
        <v>13</v>
      </c>
      <c r="E271" t="s">
        <v>75</v>
      </c>
      <c r="F271" t="s">
        <v>10624</v>
      </c>
      <c r="H271" t="s">
        <v>10619</v>
      </c>
      <c r="I271" t="s">
        <v>7814</v>
      </c>
      <c r="J271" t="s">
        <v>6158</v>
      </c>
      <c r="K271" t="s">
        <v>13</v>
      </c>
      <c r="L271" t="s">
        <v>75</v>
      </c>
      <c r="M271" t="s">
        <v>10621</v>
      </c>
      <c r="O271" t="s">
        <v>10619</v>
      </c>
      <c r="P271" t="s">
        <v>10100</v>
      </c>
      <c r="Q271" t="s">
        <v>9331</v>
      </c>
      <c r="R271" t="s">
        <v>13</v>
      </c>
      <c r="S271" t="s">
        <v>75</v>
      </c>
      <c r="T271" t="s">
        <v>10621</v>
      </c>
    </row>
    <row r="272" spans="1:20">
      <c r="A272" t="s">
        <v>10619</v>
      </c>
      <c r="B272" t="s">
        <v>4461</v>
      </c>
      <c r="C272" t="s">
        <v>2476</v>
      </c>
      <c r="D272" t="s">
        <v>13</v>
      </c>
      <c r="E272" t="s">
        <v>75</v>
      </c>
      <c r="F272" t="s">
        <v>10624</v>
      </c>
      <c r="H272" t="s">
        <v>10619</v>
      </c>
      <c r="I272" t="s">
        <v>7815</v>
      </c>
      <c r="J272" t="s">
        <v>6160</v>
      </c>
      <c r="K272" t="s">
        <v>13</v>
      </c>
      <c r="L272" t="s">
        <v>75</v>
      </c>
      <c r="M272" t="s">
        <v>10621</v>
      </c>
      <c r="O272" t="s">
        <v>10619</v>
      </c>
      <c r="P272" t="s">
        <v>10101</v>
      </c>
      <c r="Q272" t="s">
        <v>9335</v>
      </c>
      <c r="R272" t="s">
        <v>13</v>
      </c>
      <c r="S272" t="s">
        <v>75</v>
      </c>
      <c r="T272" t="s">
        <v>10620</v>
      </c>
    </row>
    <row r="273" spans="1:20">
      <c r="A273" t="s">
        <v>10619</v>
      </c>
      <c r="B273" t="s">
        <v>4462</v>
      </c>
      <c r="C273" t="s">
        <v>2478</v>
      </c>
      <c r="D273" t="s">
        <v>13</v>
      </c>
      <c r="E273" t="s">
        <v>75</v>
      </c>
      <c r="F273" t="s">
        <v>10624</v>
      </c>
      <c r="H273" t="s">
        <v>10619</v>
      </c>
      <c r="I273" t="s">
        <v>7816</v>
      </c>
      <c r="J273" t="s">
        <v>6162</v>
      </c>
      <c r="K273" t="s">
        <v>13</v>
      </c>
      <c r="L273" t="s">
        <v>75</v>
      </c>
      <c r="M273" t="s">
        <v>10621</v>
      </c>
      <c r="O273" t="s">
        <v>10619</v>
      </c>
      <c r="P273" t="s">
        <v>10102</v>
      </c>
      <c r="Q273" t="s">
        <v>9337</v>
      </c>
      <c r="R273" t="s">
        <v>13</v>
      </c>
      <c r="S273" t="s">
        <v>75</v>
      </c>
      <c r="T273" t="s">
        <v>10620</v>
      </c>
    </row>
    <row r="274" spans="1:20">
      <c r="A274" t="s">
        <v>10619</v>
      </c>
      <c r="B274" t="s">
        <v>4463</v>
      </c>
      <c r="C274" t="s">
        <v>2480</v>
      </c>
      <c r="D274" t="s">
        <v>13</v>
      </c>
      <c r="E274" t="s">
        <v>75</v>
      </c>
      <c r="F274" t="s">
        <v>10624</v>
      </c>
      <c r="H274" t="s">
        <v>10619</v>
      </c>
      <c r="I274" t="s">
        <v>7817</v>
      </c>
      <c r="J274" t="s">
        <v>6164</v>
      </c>
      <c r="K274" t="s">
        <v>13</v>
      </c>
      <c r="L274" t="s">
        <v>75</v>
      </c>
      <c r="M274" t="s">
        <v>10621</v>
      </c>
      <c r="O274" t="s">
        <v>10619</v>
      </c>
      <c r="P274" t="s">
        <v>10103</v>
      </c>
      <c r="Q274" t="s">
        <v>9339</v>
      </c>
      <c r="R274" t="s">
        <v>13</v>
      </c>
      <c r="S274" t="s">
        <v>75</v>
      </c>
      <c r="T274" t="s">
        <v>10620</v>
      </c>
    </row>
    <row r="275" spans="1:20">
      <c r="A275" t="s">
        <v>10619</v>
      </c>
      <c r="B275" t="s">
        <v>4464</v>
      </c>
      <c r="C275" t="s">
        <v>2482</v>
      </c>
      <c r="D275" t="s">
        <v>13</v>
      </c>
      <c r="E275" t="s">
        <v>75</v>
      </c>
      <c r="F275" t="s">
        <v>10624</v>
      </c>
      <c r="H275" t="s">
        <v>10619</v>
      </c>
      <c r="I275" t="s">
        <v>7818</v>
      </c>
      <c r="J275" t="s">
        <v>6162</v>
      </c>
      <c r="K275" t="s">
        <v>13</v>
      </c>
      <c r="L275" t="s">
        <v>75</v>
      </c>
      <c r="M275" t="s">
        <v>10621</v>
      </c>
      <c r="O275" t="s">
        <v>10619</v>
      </c>
      <c r="P275" t="s">
        <v>10104</v>
      </c>
      <c r="Q275" t="s">
        <v>9341</v>
      </c>
      <c r="R275" t="s">
        <v>13</v>
      </c>
      <c r="S275" t="s">
        <v>75</v>
      </c>
      <c r="T275" t="s">
        <v>10620</v>
      </c>
    </row>
    <row r="276" spans="1:20">
      <c r="A276" t="s">
        <v>10619</v>
      </c>
      <c r="B276" t="s">
        <v>4465</v>
      </c>
      <c r="C276" t="s">
        <v>2484</v>
      </c>
      <c r="D276" t="s">
        <v>13</v>
      </c>
      <c r="E276" t="s">
        <v>75</v>
      </c>
      <c r="F276" t="s">
        <v>10624</v>
      </c>
      <c r="H276" t="s">
        <v>10619</v>
      </c>
      <c r="I276" t="s">
        <v>7819</v>
      </c>
      <c r="J276" t="s">
        <v>6167</v>
      </c>
      <c r="K276" t="s">
        <v>13</v>
      </c>
      <c r="L276" t="s">
        <v>75</v>
      </c>
      <c r="M276" t="s">
        <v>10631</v>
      </c>
      <c r="O276" t="s">
        <v>10619</v>
      </c>
      <c r="P276" t="s">
        <v>10105</v>
      </c>
      <c r="Q276" t="s">
        <v>9341</v>
      </c>
      <c r="R276" t="s">
        <v>13</v>
      </c>
      <c r="S276" t="s">
        <v>75</v>
      </c>
      <c r="T276" t="s">
        <v>10620</v>
      </c>
    </row>
    <row r="277" spans="1:20">
      <c r="A277" t="s">
        <v>10619</v>
      </c>
      <c r="B277" t="s">
        <v>4466</v>
      </c>
      <c r="C277" t="s">
        <v>2486</v>
      </c>
      <c r="D277" t="s">
        <v>13</v>
      </c>
      <c r="E277" t="s">
        <v>75</v>
      </c>
      <c r="F277" t="s">
        <v>10624</v>
      </c>
      <c r="H277" t="s">
        <v>10619</v>
      </c>
      <c r="I277" t="s">
        <v>7820</v>
      </c>
      <c r="J277" t="s">
        <v>6169</v>
      </c>
      <c r="K277" t="s">
        <v>13</v>
      </c>
      <c r="L277" t="s">
        <v>75</v>
      </c>
      <c r="M277" t="s">
        <v>10631</v>
      </c>
      <c r="O277" t="s">
        <v>10619</v>
      </c>
      <c r="P277" t="s">
        <v>10106</v>
      </c>
      <c r="Q277" t="s">
        <v>9344</v>
      </c>
      <c r="R277" t="s">
        <v>13</v>
      </c>
      <c r="S277" t="s">
        <v>75</v>
      </c>
      <c r="T277" t="s">
        <v>10620</v>
      </c>
    </row>
    <row r="278" spans="1:20">
      <c r="A278" t="s">
        <v>10619</v>
      </c>
      <c r="B278" t="s">
        <v>4467</v>
      </c>
      <c r="C278" t="s">
        <v>2488</v>
      </c>
      <c r="D278" t="s">
        <v>13</v>
      </c>
      <c r="E278" t="s">
        <v>75</v>
      </c>
      <c r="F278" t="s">
        <v>10624</v>
      </c>
      <c r="H278" t="s">
        <v>10619</v>
      </c>
      <c r="I278" t="s">
        <v>7821</v>
      </c>
      <c r="J278" t="s">
        <v>6171</v>
      </c>
      <c r="K278" t="s">
        <v>13</v>
      </c>
      <c r="L278" t="s">
        <v>75</v>
      </c>
      <c r="M278" t="s">
        <v>10631</v>
      </c>
      <c r="O278" t="s">
        <v>10619</v>
      </c>
      <c r="P278" t="s">
        <v>10107</v>
      </c>
      <c r="Q278" t="s">
        <v>9341</v>
      </c>
      <c r="R278" t="s">
        <v>13</v>
      </c>
      <c r="S278" t="s">
        <v>75</v>
      </c>
      <c r="T278" t="s">
        <v>10620</v>
      </c>
    </row>
    <row r="279" spans="1:20">
      <c r="A279" t="s">
        <v>10619</v>
      </c>
      <c r="B279" t="s">
        <v>4468</v>
      </c>
      <c r="C279" t="s">
        <v>2490</v>
      </c>
      <c r="D279" t="s">
        <v>13</v>
      </c>
      <c r="E279" t="s">
        <v>75</v>
      </c>
      <c r="F279" t="s">
        <v>10624</v>
      </c>
      <c r="H279" t="s">
        <v>10619</v>
      </c>
      <c r="I279" t="s">
        <v>7822</v>
      </c>
      <c r="J279" t="s">
        <v>6173</v>
      </c>
      <c r="K279" t="s">
        <v>13</v>
      </c>
      <c r="L279" t="s">
        <v>75</v>
      </c>
      <c r="M279" t="s">
        <v>10631</v>
      </c>
      <c r="O279" t="s">
        <v>10619</v>
      </c>
      <c r="P279" t="s">
        <v>10108</v>
      </c>
      <c r="Q279" t="s">
        <v>9344</v>
      </c>
      <c r="R279" t="s">
        <v>13</v>
      </c>
      <c r="S279" t="s">
        <v>75</v>
      </c>
      <c r="T279" t="s">
        <v>10620</v>
      </c>
    </row>
    <row r="280" spans="1:20">
      <c r="A280" t="s">
        <v>10619</v>
      </c>
      <c r="B280" t="s">
        <v>4469</v>
      </c>
      <c r="C280" t="s">
        <v>2492</v>
      </c>
      <c r="D280" t="s">
        <v>13</v>
      </c>
      <c r="E280" t="s">
        <v>75</v>
      </c>
      <c r="F280" t="s">
        <v>10628</v>
      </c>
      <c r="H280" t="s">
        <v>10619</v>
      </c>
      <c r="I280" t="s">
        <v>7823</v>
      </c>
      <c r="J280" t="s">
        <v>6175</v>
      </c>
      <c r="K280" t="s">
        <v>13</v>
      </c>
      <c r="L280" t="s">
        <v>75</v>
      </c>
      <c r="M280" t="s">
        <v>10631</v>
      </c>
      <c r="O280" t="s">
        <v>10619</v>
      </c>
      <c r="P280" t="s">
        <v>10109</v>
      </c>
      <c r="Q280" t="s">
        <v>9348</v>
      </c>
      <c r="R280" t="s">
        <v>13</v>
      </c>
      <c r="S280" t="s">
        <v>75</v>
      </c>
      <c r="T280" t="s">
        <v>10620</v>
      </c>
    </row>
    <row r="281" spans="1:20">
      <c r="A281" t="s">
        <v>10619</v>
      </c>
      <c r="B281" t="s">
        <v>4470</v>
      </c>
      <c r="C281" t="s">
        <v>2494</v>
      </c>
      <c r="D281" t="s">
        <v>13</v>
      </c>
      <c r="E281" t="s">
        <v>75</v>
      </c>
      <c r="F281" t="s">
        <v>10628</v>
      </c>
      <c r="H281" t="s">
        <v>10619</v>
      </c>
      <c r="I281" t="s">
        <v>7824</v>
      </c>
      <c r="J281" t="s">
        <v>6177</v>
      </c>
      <c r="K281" t="s">
        <v>13</v>
      </c>
      <c r="L281" t="s">
        <v>75</v>
      </c>
      <c r="M281" t="s">
        <v>10631</v>
      </c>
      <c r="O281" t="s">
        <v>10619</v>
      </c>
      <c r="P281" t="s">
        <v>10110</v>
      </c>
      <c r="Q281" t="s">
        <v>9350</v>
      </c>
      <c r="R281" t="s">
        <v>13</v>
      </c>
      <c r="S281" t="s">
        <v>75</v>
      </c>
      <c r="T281" t="s">
        <v>10620</v>
      </c>
    </row>
    <row r="282" spans="1:20">
      <c r="A282" t="s">
        <v>10619</v>
      </c>
      <c r="B282" t="s">
        <v>4471</v>
      </c>
      <c r="C282" t="s">
        <v>2496</v>
      </c>
      <c r="D282" t="s">
        <v>13</v>
      </c>
      <c r="E282" t="s">
        <v>75</v>
      </c>
      <c r="F282" t="s">
        <v>10628</v>
      </c>
      <c r="H282" t="s">
        <v>10619</v>
      </c>
      <c r="I282" t="s">
        <v>7825</v>
      </c>
      <c r="J282" t="s">
        <v>6179</v>
      </c>
      <c r="K282" t="s">
        <v>13</v>
      </c>
      <c r="L282" t="s">
        <v>75</v>
      </c>
      <c r="M282" t="s">
        <v>10631</v>
      </c>
      <c r="O282" t="s">
        <v>10619</v>
      </c>
      <c r="P282" t="s">
        <v>10111</v>
      </c>
      <c r="Q282" t="s">
        <v>9352</v>
      </c>
      <c r="R282" t="s">
        <v>13</v>
      </c>
      <c r="S282" t="s">
        <v>75</v>
      </c>
      <c r="T282" t="s">
        <v>10623</v>
      </c>
    </row>
    <row r="283" spans="1:20">
      <c r="A283" t="s">
        <v>10619</v>
      </c>
      <c r="B283" t="s">
        <v>4472</v>
      </c>
      <c r="C283" t="s">
        <v>2498</v>
      </c>
      <c r="D283" t="s">
        <v>13</v>
      </c>
      <c r="E283" t="s">
        <v>75</v>
      </c>
      <c r="F283" t="s">
        <v>10628</v>
      </c>
      <c r="H283" t="s">
        <v>10619</v>
      </c>
      <c r="I283" t="s">
        <v>7826</v>
      </c>
      <c r="J283" t="s">
        <v>6181</v>
      </c>
      <c r="K283" t="s">
        <v>13</v>
      </c>
      <c r="L283" t="s">
        <v>75</v>
      </c>
      <c r="M283" t="s">
        <v>10631</v>
      </c>
      <c r="O283" t="s">
        <v>10619</v>
      </c>
      <c r="P283" t="s">
        <v>10112</v>
      </c>
      <c r="Q283" t="s">
        <v>9354</v>
      </c>
      <c r="R283" t="s">
        <v>13</v>
      </c>
      <c r="S283" t="s">
        <v>75</v>
      </c>
      <c r="T283" t="s">
        <v>10623</v>
      </c>
    </row>
    <row r="284" spans="1:20">
      <c r="A284" t="s">
        <v>10619</v>
      </c>
      <c r="B284" t="s">
        <v>4473</v>
      </c>
      <c r="C284" t="s">
        <v>2500</v>
      </c>
      <c r="D284" t="s">
        <v>13</v>
      </c>
      <c r="E284" t="s">
        <v>75</v>
      </c>
      <c r="F284" t="s">
        <v>486</v>
      </c>
      <c r="H284" t="s">
        <v>10619</v>
      </c>
      <c r="I284" t="s">
        <v>7827</v>
      </c>
      <c r="J284" t="s">
        <v>6183</v>
      </c>
      <c r="K284" t="s">
        <v>13</v>
      </c>
      <c r="L284" t="s">
        <v>75</v>
      </c>
      <c r="M284" t="s">
        <v>10632</v>
      </c>
      <c r="O284" t="s">
        <v>10619</v>
      </c>
      <c r="P284" t="s">
        <v>10113</v>
      </c>
      <c r="Q284" t="s">
        <v>9356</v>
      </c>
      <c r="R284" t="s">
        <v>13</v>
      </c>
      <c r="S284" t="s">
        <v>75</v>
      </c>
      <c r="T284" t="s">
        <v>10623</v>
      </c>
    </row>
    <row r="285" spans="1:20">
      <c r="A285" t="s">
        <v>10619</v>
      </c>
      <c r="B285" t="s">
        <v>4474</v>
      </c>
      <c r="C285" t="s">
        <v>2502</v>
      </c>
      <c r="D285" t="s">
        <v>13</v>
      </c>
      <c r="E285" t="s">
        <v>75</v>
      </c>
      <c r="F285" t="s">
        <v>486</v>
      </c>
      <c r="H285" t="s">
        <v>10619</v>
      </c>
      <c r="I285" t="s">
        <v>7828</v>
      </c>
      <c r="J285" t="s">
        <v>6185</v>
      </c>
      <c r="K285" t="s">
        <v>13</v>
      </c>
      <c r="L285" t="s">
        <v>75</v>
      </c>
      <c r="M285" t="s">
        <v>10632</v>
      </c>
      <c r="O285" t="s">
        <v>10619</v>
      </c>
      <c r="P285" t="s">
        <v>10114</v>
      </c>
      <c r="Q285" t="s">
        <v>9358</v>
      </c>
      <c r="R285" t="s">
        <v>13</v>
      </c>
      <c r="S285" t="s">
        <v>75</v>
      </c>
      <c r="T285" t="s">
        <v>10623</v>
      </c>
    </row>
    <row r="286" spans="1:20">
      <c r="A286" t="s">
        <v>10619</v>
      </c>
      <c r="B286" t="s">
        <v>4475</v>
      </c>
      <c r="C286" t="s">
        <v>2504</v>
      </c>
      <c r="D286" t="s">
        <v>13</v>
      </c>
      <c r="E286" t="s">
        <v>75</v>
      </c>
      <c r="F286" t="s">
        <v>486</v>
      </c>
      <c r="H286" t="s">
        <v>10619</v>
      </c>
      <c r="I286" t="s">
        <v>7829</v>
      </c>
      <c r="J286" t="s">
        <v>6187</v>
      </c>
      <c r="K286" t="s">
        <v>13</v>
      </c>
      <c r="L286" t="s">
        <v>75</v>
      </c>
      <c r="M286" t="s">
        <v>10632</v>
      </c>
      <c r="O286" t="s">
        <v>10619</v>
      </c>
      <c r="P286" t="s">
        <v>10115</v>
      </c>
      <c r="Q286" t="s">
        <v>9360</v>
      </c>
      <c r="R286" t="s">
        <v>13</v>
      </c>
      <c r="S286" t="s">
        <v>75</v>
      </c>
      <c r="T286" t="s">
        <v>10623</v>
      </c>
    </row>
    <row r="287" spans="1:20">
      <c r="A287" t="s">
        <v>10619</v>
      </c>
      <c r="B287" t="s">
        <v>4476</v>
      </c>
      <c r="C287" t="s">
        <v>2506</v>
      </c>
      <c r="D287" t="s">
        <v>13</v>
      </c>
      <c r="E287" t="s">
        <v>75</v>
      </c>
      <c r="F287" t="s">
        <v>486</v>
      </c>
      <c r="H287" t="s">
        <v>10619</v>
      </c>
      <c r="I287" t="s">
        <v>7830</v>
      </c>
      <c r="J287" t="s">
        <v>6189</v>
      </c>
      <c r="K287" t="s">
        <v>13</v>
      </c>
      <c r="L287" t="s">
        <v>75</v>
      </c>
      <c r="M287" t="s">
        <v>10632</v>
      </c>
      <c r="O287" t="s">
        <v>10619</v>
      </c>
      <c r="P287" t="s">
        <v>10116</v>
      </c>
      <c r="Q287" t="s">
        <v>9362</v>
      </c>
      <c r="R287" t="s">
        <v>13</v>
      </c>
      <c r="S287" t="s">
        <v>75</v>
      </c>
      <c r="T287" t="s">
        <v>10623</v>
      </c>
    </row>
    <row r="288" spans="1:20">
      <c r="A288" t="s">
        <v>10619</v>
      </c>
      <c r="B288" t="s">
        <v>4477</v>
      </c>
      <c r="C288" t="s">
        <v>2508</v>
      </c>
      <c r="D288" t="s">
        <v>13</v>
      </c>
      <c r="E288" t="s">
        <v>75</v>
      </c>
      <c r="F288" t="s">
        <v>486</v>
      </c>
      <c r="H288" t="s">
        <v>10619</v>
      </c>
      <c r="I288" t="s">
        <v>7831</v>
      </c>
      <c r="J288" t="s">
        <v>6191</v>
      </c>
      <c r="K288" t="s">
        <v>13</v>
      </c>
      <c r="L288" t="s">
        <v>75</v>
      </c>
      <c r="M288" t="s">
        <v>10621</v>
      </c>
      <c r="O288" t="s">
        <v>10619</v>
      </c>
      <c r="P288" t="s">
        <v>10117</v>
      </c>
      <c r="Q288" t="s">
        <v>9364</v>
      </c>
      <c r="R288" t="s">
        <v>13</v>
      </c>
      <c r="S288" t="s">
        <v>75</v>
      </c>
      <c r="T288" t="s">
        <v>10621</v>
      </c>
    </row>
    <row r="289" spans="1:20">
      <c r="A289" t="s">
        <v>10619</v>
      </c>
      <c r="B289" t="s">
        <v>4478</v>
      </c>
      <c r="C289" t="s">
        <v>2510</v>
      </c>
      <c r="D289" t="s">
        <v>13</v>
      </c>
      <c r="E289" t="s">
        <v>75</v>
      </c>
      <c r="F289" t="s">
        <v>486</v>
      </c>
      <c r="H289" t="s">
        <v>10619</v>
      </c>
      <c r="I289" t="s">
        <v>7832</v>
      </c>
      <c r="J289" t="s">
        <v>6193</v>
      </c>
      <c r="K289" t="s">
        <v>13</v>
      </c>
      <c r="L289" t="s">
        <v>75</v>
      </c>
      <c r="M289" t="s">
        <v>10621</v>
      </c>
      <c r="O289" t="s">
        <v>10619</v>
      </c>
      <c r="P289" t="s">
        <v>10118</v>
      </c>
      <c r="Q289" t="s">
        <v>9366</v>
      </c>
      <c r="R289" t="s">
        <v>13</v>
      </c>
      <c r="S289" t="s">
        <v>75</v>
      </c>
      <c r="T289" t="s">
        <v>10621</v>
      </c>
    </row>
    <row r="290" spans="1:20">
      <c r="A290" t="s">
        <v>10619</v>
      </c>
      <c r="B290" t="s">
        <v>4479</v>
      </c>
      <c r="C290" t="s">
        <v>2512</v>
      </c>
      <c r="D290" t="s">
        <v>13</v>
      </c>
      <c r="E290" t="s">
        <v>75</v>
      </c>
      <c r="F290" t="s">
        <v>486</v>
      </c>
      <c r="H290" t="s">
        <v>10619</v>
      </c>
      <c r="I290" t="s">
        <v>7833</v>
      </c>
      <c r="J290" t="s">
        <v>6195</v>
      </c>
      <c r="K290" t="s">
        <v>13</v>
      </c>
      <c r="L290" t="s">
        <v>75</v>
      </c>
      <c r="M290" t="s">
        <v>10621</v>
      </c>
      <c r="O290" t="s">
        <v>10619</v>
      </c>
      <c r="P290" t="s">
        <v>10119</v>
      </c>
      <c r="Q290" t="s">
        <v>9366</v>
      </c>
      <c r="R290" t="s">
        <v>13</v>
      </c>
      <c r="S290" t="s">
        <v>75</v>
      </c>
      <c r="T290" t="s">
        <v>10621</v>
      </c>
    </row>
    <row r="291" spans="1:20">
      <c r="A291" t="s">
        <v>10619</v>
      </c>
      <c r="B291" t="s">
        <v>4480</v>
      </c>
      <c r="C291" t="s">
        <v>2514</v>
      </c>
      <c r="D291" t="s">
        <v>13</v>
      </c>
      <c r="E291" t="s">
        <v>75</v>
      </c>
      <c r="F291" t="s">
        <v>486</v>
      </c>
      <c r="H291" t="s">
        <v>10619</v>
      </c>
      <c r="I291" t="s">
        <v>7834</v>
      </c>
      <c r="J291" t="s">
        <v>6197</v>
      </c>
      <c r="K291" t="s">
        <v>13</v>
      </c>
      <c r="L291" t="s">
        <v>75</v>
      </c>
      <c r="M291" t="s">
        <v>10621</v>
      </c>
      <c r="O291" t="s">
        <v>10619</v>
      </c>
      <c r="P291" t="s">
        <v>10120</v>
      </c>
      <c r="Q291" t="s">
        <v>9369</v>
      </c>
      <c r="R291" t="s">
        <v>13</v>
      </c>
      <c r="S291" t="s">
        <v>75</v>
      </c>
      <c r="T291" t="s">
        <v>10630</v>
      </c>
    </row>
    <row r="292" spans="1:20">
      <c r="A292" t="s">
        <v>10619</v>
      </c>
      <c r="B292" t="s">
        <v>4481</v>
      </c>
      <c r="C292" t="s">
        <v>2516</v>
      </c>
      <c r="D292" t="s">
        <v>13</v>
      </c>
      <c r="E292" t="s">
        <v>75</v>
      </c>
      <c r="F292" t="s">
        <v>10621</v>
      </c>
      <c r="H292" t="s">
        <v>10619</v>
      </c>
      <c r="I292" t="s">
        <v>7835</v>
      </c>
      <c r="J292" t="s">
        <v>6199</v>
      </c>
      <c r="K292" t="s">
        <v>13</v>
      </c>
      <c r="L292" t="s">
        <v>75</v>
      </c>
      <c r="M292" t="s">
        <v>10621</v>
      </c>
      <c r="O292" t="s">
        <v>10619</v>
      </c>
      <c r="P292" t="s">
        <v>10121</v>
      </c>
      <c r="Q292" t="s">
        <v>9371</v>
      </c>
      <c r="R292" t="s">
        <v>13</v>
      </c>
      <c r="S292" t="s">
        <v>75</v>
      </c>
      <c r="T292" t="s">
        <v>10630</v>
      </c>
    </row>
    <row r="293" spans="1:20">
      <c r="A293" t="s">
        <v>10619</v>
      </c>
      <c r="B293" t="s">
        <v>4482</v>
      </c>
      <c r="C293" t="s">
        <v>2518</v>
      </c>
      <c r="D293" t="s">
        <v>13</v>
      </c>
      <c r="E293" t="s">
        <v>75</v>
      </c>
      <c r="F293" t="s">
        <v>10621</v>
      </c>
      <c r="H293" t="s">
        <v>10619</v>
      </c>
      <c r="I293" t="s">
        <v>7836</v>
      </c>
      <c r="J293" t="s">
        <v>6201</v>
      </c>
      <c r="K293" t="s">
        <v>13</v>
      </c>
      <c r="L293" t="s">
        <v>75</v>
      </c>
      <c r="M293" t="s">
        <v>10621</v>
      </c>
      <c r="O293" t="s">
        <v>10619</v>
      </c>
      <c r="P293" t="s">
        <v>10122</v>
      </c>
      <c r="Q293" t="s">
        <v>9373</v>
      </c>
      <c r="R293" t="s">
        <v>13</v>
      </c>
      <c r="S293" t="s">
        <v>75</v>
      </c>
      <c r="T293" t="s">
        <v>10630</v>
      </c>
    </row>
    <row r="294" spans="1:20">
      <c r="A294" t="s">
        <v>10619</v>
      </c>
      <c r="B294" t="s">
        <v>4483</v>
      </c>
      <c r="C294" t="s">
        <v>2520</v>
      </c>
      <c r="D294" t="s">
        <v>13</v>
      </c>
      <c r="E294" t="s">
        <v>75</v>
      </c>
      <c r="F294" t="s">
        <v>10629</v>
      </c>
      <c r="H294" t="s">
        <v>10619</v>
      </c>
      <c r="I294" t="s">
        <v>7837</v>
      </c>
      <c r="J294" t="s">
        <v>6203</v>
      </c>
      <c r="K294" t="s">
        <v>13</v>
      </c>
      <c r="L294" t="s">
        <v>75</v>
      </c>
      <c r="M294" t="s">
        <v>10621</v>
      </c>
      <c r="O294" t="s">
        <v>10619</v>
      </c>
      <c r="P294" t="s">
        <v>10123</v>
      </c>
      <c r="Q294" t="s">
        <v>9375</v>
      </c>
      <c r="R294" t="s">
        <v>13</v>
      </c>
      <c r="S294" t="s">
        <v>75</v>
      </c>
      <c r="T294" t="s">
        <v>10630</v>
      </c>
    </row>
    <row r="295" spans="1:20">
      <c r="A295" t="s">
        <v>10619</v>
      </c>
      <c r="B295" t="s">
        <v>4484</v>
      </c>
      <c r="C295" t="s">
        <v>2522</v>
      </c>
      <c r="D295" t="s">
        <v>13</v>
      </c>
      <c r="E295" t="s">
        <v>75</v>
      </c>
      <c r="F295" t="s">
        <v>10629</v>
      </c>
      <c r="H295" t="s">
        <v>10619</v>
      </c>
      <c r="I295" t="s">
        <v>7838</v>
      </c>
      <c r="J295" t="s">
        <v>6205</v>
      </c>
      <c r="K295" t="s">
        <v>13</v>
      </c>
      <c r="L295" t="s">
        <v>75</v>
      </c>
      <c r="M295" t="s">
        <v>10621</v>
      </c>
      <c r="O295" t="s">
        <v>10619</v>
      </c>
      <c r="P295" t="s">
        <v>10124</v>
      </c>
      <c r="Q295" t="s">
        <v>9377</v>
      </c>
      <c r="R295" t="s">
        <v>13</v>
      </c>
      <c r="S295" t="s">
        <v>75</v>
      </c>
      <c r="T295" t="s">
        <v>10630</v>
      </c>
    </row>
    <row r="296" spans="1:20">
      <c r="A296" t="s">
        <v>10619</v>
      </c>
      <c r="B296" t="s">
        <v>4485</v>
      </c>
      <c r="C296" t="s">
        <v>2524</v>
      </c>
      <c r="D296" t="s">
        <v>13</v>
      </c>
      <c r="E296" t="s">
        <v>75</v>
      </c>
      <c r="F296" t="s">
        <v>10629</v>
      </c>
      <c r="H296" t="s">
        <v>10619</v>
      </c>
      <c r="I296" t="s">
        <v>7839</v>
      </c>
      <c r="J296" t="s">
        <v>6207</v>
      </c>
      <c r="K296" t="s">
        <v>13</v>
      </c>
      <c r="L296" t="s">
        <v>75</v>
      </c>
      <c r="M296" t="s">
        <v>10621</v>
      </c>
      <c r="O296" t="s">
        <v>10619</v>
      </c>
      <c r="P296" t="s">
        <v>10125</v>
      </c>
      <c r="Q296" t="s">
        <v>9379</v>
      </c>
      <c r="R296" t="s">
        <v>13</v>
      </c>
      <c r="S296" t="s">
        <v>75</v>
      </c>
      <c r="T296" t="s">
        <v>10630</v>
      </c>
    </row>
    <row r="297" spans="1:20">
      <c r="A297" t="s">
        <v>10619</v>
      </c>
      <c r="B297" t="s">
        <v>4486</v>
      </c>
      <c r="C297" t="s">
        <v>2526</v>
      </c>
      <c r="D297" t="s">
        <v>13</v>
      </c>
      <c r="E297" t="s">
        <v>75</v>
      </c>
      <c r="F297" t="s">
        <v>10629</v>
      </c>
      <c r="H297" t="s">
        <v>10619</v>
      </c>
      <c r="I297" t="s">
        <v>7840</v>
      </c>
      <c r="J297" t="s">
        <v>6209</v>
      </c>
      <c r="K297" t="s">
        <v>13</v>
      </c>
      <c r="L297" t="s">
        <v>75</v>
      </c>
      <c r="M297" t="s">
        <v>10629</v>
      </c>
      <c r="O297" t="s">
        <v>10619</v>
      </c>
      <c r="P297" t="s">
        <v>10126</v>
      </c>
      <c r="Q297" t="s">
        <v>9381</v>
      </c>
      <c r="R297" t="s">
        <v>13</v>
      </c>
      <c r="S297" t="s">
        <v>75</v>
      </c>
      <c r="T297" t="s">
        <v>10620</v>
      </c>
    </row>
    <row r="298" spans="1:20">
      <c r="A298" t="s">
        <v>10619</v>
      </c>
      <c r="B298" t="s">
        <v>4487</v>
      </c>
      <c r="C298" t="s">
        <v>2528</v>
      </c>
      <c r="D298" t="s">
        <v>13</v>
      </c>
      <c r="E298" t="s">
        <v>75</v>
      </c>
      <c r="F298" t="s">
        <v>10624</v>
      </c>
      <c r="H298" t="s">
        <v>10619</v>
      </c>
      <c r="I298" t="s">
        <v>7841</v>
      </c>
      <c r="J298" t="s">
        <v>6211</v>
      </c>
      <c r="K298" t="s">
        <v>13</v>
      </c>
      <c r="L298" t="s">
        <v>75</v>
      </c>
      <c r="M298" t="s">
        <v>10629</v>
      </c>
      <c r="O298" t="s">
        <v>10619</v>
      </c>
      <c r="P298" t="s">
        <v>10127</v>
      </c>
      <c r="Q298" t="s">
        <v>9383</v>
      </c>
      <c r="R298" t="s">
        <v>13</v>
      </c>
      <c r="S298" t="s">
        <v>75</v>
      </c>
      <c r="T298" t="s">
        <v>10620</v>
      </c>
    </row>
    <row r="299" spans="1:20">
      <c r="A299" t="s">
        <v>10619</v>
      </c>
      <c r="B299" t="s">
        <v>4488</v>
      </c>
      <c r="C299" t="s">
        <v>2530</v>
      </c>
      <c r="D299" t="s">
        <v>13</v>
      </c>
      <c r="E299" t="s">
        <v>75</v>
      </c>
      <c r="F299" t="s">
        <v>10624</v>
      </c>
      <c r="H299" t="s">
        <v>10619</v>
      </c>
      <c r="I299" t="s">
        <v>7842</v>
      </c>
      <c r="J299" t="s">
        <v>6213</v>
      </c>
      <c r="K299" t="s">
        <v>13</v>
      </c>
      <c r="L299" t="s">
        <v>75</v>
      </c>
      <c r="M299" t="s">
        <v>10629</v>
      </c>
      <c r="O299" t="s">
        <v>10619</v>
      </c>
      <c r="P299" t="s">
        <v>10128</v>
      </c>
      <c r="Q299" t="s">
        <v>9385</v>
      </c>
      <c r="R299" t="s">
        <v>13</v>
      </c>
      <c r="S299" t="s">
        <v>75</v>
      </c>
      <c r="T299" t="s">
        <v>10620</v>
      </c>
    </row>
    <row r="300" spans="1:20">
      <c r="A300" t="s">
        <v>10619</v>
      </c>
      <c r="B300" t="s">
        <v>4489</v>
      </c>
      <c r="C300" t="s">
        <v>2532</v>
      </c>
      <c r="D300" t="s">
        <v>13</v>
      </c>
      <c r="E300" t="s">
        <v>75</v>
      </c>
      <c r="F300" t="s">
        <v>10624</v>
      </c>
      <c r="H300" t="s">
        <v>10619</v>
      </c>
      <c r="I300" t="s">
        <v>7843</v>
      </c>
      <c r="J300" t="s">
        <v>6215</v>
      </c>
      <c r="K300" t="s">
        <v>13</v>
      </c>
      <c r="L300" t="s">
        <v>75</v>
      </c>
      <c r="M300" t="s">
        <v>10629</v>
      </c>
      <c r="O300" t="s">
        <v>10619</v>
      </c>
      <c r="P300" t="s">
        <v>10129</v>
      </c>
      <c r="Q300" t="s">
        <v>9387</v>
      </c>
      <c r="R300" t="s">
        <v>13</v>
      </c>
      <c r="S300" t="s">
        <v>75</v>
      </c>
      <c r="T300" t="s">
        <v>10620</v>
      </c>
    </row>
    <row r="301" spans="1:20">
      <c r="A301" t="s">
        <v>10619</v>
      </c>
      <c r="B301" t="s">
        <v>4490</v>
      </c>
      <c r="C301" t="s">
        <v>2534</v>
      </c>
      <c r="D301" t="s">
        <v>13</v>
      </c>
      <c r="E301" t="s">
        <v>75</v>
      </c>
      <c r="F301" t="s">
        <v>10630</v>
      </c>
      <c r="H301" t="s">
        <v>10619</v>
      </c>
      <c r="I301" t="s">
        <v>7844</v>
      </c>
      <c r="J301" t="s">
        <v>6217</v>
      </c>
      <c r="K301" t="s">
        <v>13</v>
      </c>
      <c r="L301" t="s">
        <v>75</v>
      </c>
      <c r="M301" t="s">
        <v>10629</v>
      </c>
      <c r="O301" t="s">
        <v>10619</v>
      </c>
      <c r="P301" t="s">
        <v>10130</v>
      </c>
      <c r="Q301" t="s">
        <v>9389</v>
      </c>
      <c r="R301" t="s">
        <v>13</v>
      </c>
      <c r="S301" t="s">
        <v>75</v>
      </c>
      <c r="T301" t="s">
        <v>10632</v>
      </c>
    </row>
    <row r="302" spans="1:20">
      <c r="A302" t="s">
        <v>10619</v>
      </c>
      <c r="B302" t="s">
        <v>4491</v>
      </c>
      <c r="C302" t="s">
        <v>2536</v>
      </c>
      <c r="D302" t="s">
        <v>13</v>
      </c>
      <c r="E302" t="s">
        <v>75</v>
      </c>
      <c r="F302" t="s">
        <v>10630</v>
      </c>
      <c r="H302" t="s">
        <v>10619</v>
      </c>
      <c r="I302" t="s">
        <v>7845</v>
      </c>
      <c r="J302" t="s">
        <v>6219</v>
      </c>
      <c r="K302" t="s">
        <v>13</v>
      </c>
      <c r="L302" t="s">
        <v>75</v>
      </c>
      <c r="M302" t="s">
        <v>10629</v>
      </c>
      <c r="O302" t="s">
        <v>10619</v>
      </c>
      <c r="P302" t="s">
        <v>10131</v>
      </c>
      <c r="Q302" t="s">
        <v>9389</v>
      </c>
      <c r="R302" t="s">
        <v>13</v>
      </c>
      <c r="S302" t="s">
        <v>75</v>
      </c>
      <c r="T302" t="s">
        <v>10632</v>
      </c>
    </row>
    <row r="303" spans="1:20">
      <c r="A303" t="s">
        <v>10619</v>
      </c>
      <c r="B303" t="s">
        <v>4492</v>
      </c>
      <c r="C303" t="s">
        <v>2538</v>
      </c>
      <c r="D303" t="s">
        <v>13</v>
      </c>
      <c r="E303" t="s">
        <v>75</v>
      </c>
      <c r="F303" t="s">
        <v>10630</v>
      </c>
      <c r="H303" t="s">
        <v>10619</v>
      </c>
      <c r="I303" t="s">
        <v>7846</v>
      </c>
      <c r="J303" t="s">
        <v>6221</v>
      </c>
      <c r="K303" t="s">
        <v>13</v>
      </c>
      <c r="L303" t="s">
        <v>75</v>
      </c>
      <c r="M303" t="s">
        <v>10629</v>
      </c>
      <c r="O303" t="s">
        <v>10619</v>
      </c>
      <c r="P303" t="s">
        <v>10132</v>
      </c>
      <c r="Q303" t="s">
        <v>9392</v>
      </c>
      <c r="R303" t="s">
        <v>13</v>
      </c>
      <c r="S303" t="s">
        <v>75</v>
      </c>
      <c r="T303" t="s">
        <v>10632</v>
      </c>
    </row>
    <row r="304" spans="1:20">
      <c r="A304" t="s">
        <v>10619</v>
      </c>
      <c r="B304" t="s">
        <v>4493</v>
      </c>
      <c r="C304" t="s">
        <v>2540</v>
      </c>
      <c r="D304" t="s">
        <v>13</v>
      </c>
      <c r="E304" t="s">
        <v>75</v>
      </c>
      <c r="F304" t="s">
        <v>10630</v>
      </c>
      <c r="H304" t="s">
        <v>10619</v>
      </c>
      <c r="I304" t="s">
        <v>7847</v>
      </c>
      <c r="J304" t="s">
        <v>6217</v>
      </c>
      <c r="K304" t="s">
        <v>13</v>
      </c>
      <c r="L304" t="s">
        <v>75</v>
      </c>
      <c r="M304" t="s">
        <v>10629</v>
      </c>
      <c r="O304" t="s">
        <v>10619</v>
      </c>
      <c r="P304" t="s">
        <v>10133</v>
      </c>
      <c r="Q304" t="s">
        <v>9394</v>
      </c>
      <c r="R304" t="s">
        <v>13</v>
      </c>
      <c r="S304" t="s">
        <v>75</v>
      </c>
      <c r="T304" t="s">
        <v>10632</v>
      </c>
    </row>
    <row r="305" spans="1:20">
      <c r="A305" t="s">
        <v>10619</v>
      </c>
      <c r="B305" t="s">
        <v>4494</v>
      </c>
      <c r="C305" t="s">
        <v>2542</v>
      </c>
      <c r="D305" t="s">
        <v>13</v>
      </c>
      <c r="E305" t="s">
        <v>75</v>
      </c>
      <c r="F305" t="s">
        <v>10630</v>
      </c>
      <c r="H305" t="s">
        <v>10619</v>
      </c>
      <c r="I305" t="s">
        <v>7848</v>
      </c>
      <c r="J305" t="s">
        <v>6224</v>
      </c>
      <c r="K305" t="s">
        <v>13</v>
      </c>
      <c r="L305" t="s">
        <v>75</v>
      </c>
      <c r="M305" t="s">
        <v>498</v>
      </c>
      <c r="O305" t="s">
        <v>10619</v>
      </c>
      <c r="P305" t="s">
        <v>10134</v>
      </c>
      <c r="Q305" t="s">
        <v>9396</v>
      </c>
      <c r="R305" t="s">
        <v>13</v>
      </c>
      <c r="S305" t="s">
        <v>75</v>
      </c>
      <c r="T305" t="s">
        <v>10630</v>
      </c>
    </row>
    <row r="306" spans="1:20">
      <c r="A306" t="s">
        <v>10619</v>
      </c>
      <c r="B306" t="s">
        <v>4495</v>
      </c>
      <c r="C306" t="s">
        <v>2544</v>
      </c>
      <c r="D306" t="s">
        <v>13</v>
      </c>
      <c r="E306" t="s">
        <v>75</v>
      </c>
      <c r="F306" t="s">
        <v>10630</v>
      </c>
      <c r="H306" t="s">
        <v>10619</v>
      </c>
      <c r="I306" t="s">
        <v>7849</v>
      </c>
      <c r="J306" t="s">
        <v>6226</v>
      </c>
      <c r="K306" t="s">
        <v>13</v>
      </c>
      <c r="L306" t="s">
        <v>75</v>
      </c>
      <c r="M306" t="s">
        <v>498</v>
      </c>
      <c r="O306" t="s">
        <v>10619</v>
      </c>
      <c r="P306" t="s">
        <v>10135</v>
      </c>
      <c r="Q306" t="s">
        <v>9398</v>
      </c>
      <c r="R306" t="s">
        <v>13</v>
      </c>
      <c r="S306" t="s">
        <v>75</v>
      </c>
      <c r="T306" t="s">
        <v>10630</v>
      </c>
    </row>
    <row r="307" spans="1:20">
      <c r="A307" t="s">
        <v>10619</v>
      </c>
      <c r="B307" t="s">
        <v>4496</v>
      </c>
      <c r="C307" t="s">
        <v>2546</v>
      </c>
      <c r="D307" t="s">
        <v>13</v>
      </c>
      <c r="E307" t="s">
        <v>75</v>
      </c>
      <c r="F307" t="s">
        <v>10630</v>
      </c>
      <c r="H307" t="s">
        <v>10619</v>
      </c>
      <c r="I307" t="s">
        <v>7850</v>
      </c>
      <c r="J307" t="s">
        <v>6228</v>
      </c>
      <c r="K307" t="s">
        <v>13</v>
      </c>
      <c r="L307" t="s">
        <v>75</v>
      </c>
      <c r="M307" t="s">
        <v>498</v>
      </c>
      <c r="O307" t="s">
        <v>10619</v>
      </c>
      <c r="P307" t="s">
        <v>10136</v>
      </c>
      <c r="Q307" t="s">
        <v>9400</v>
      </c>
      <c r="R307" t="s">
        <v>13</v>
      </c>
      <c r="S307" t="s">
        <v>75</v>
      </c>
      <c r="T307" t="s">
        <v>10630</v>
      </c>
    </row>
    <row r="308" spans="1:20">
      <c r="A308" t="s">
        <v>10619</v>
      </c>
      <c r="B308" t="s">
        <v>4497</v>
      </c>
      <c r="C308" t="s">
        <v>2548</v>
      </c>
      <c r="D308" t="s">
        <v>13</v>
      </c>
      <c r="E308" t="s">
        <v>75</v>
      </c>
      <c r="F308" t="s">
        <v>10630</v>
      </c>
      <c r="H308" t="s">
        <v>10619</v>
      </c>
      <c r="I308" t="s">
        <v>7851</v>
      </c>
      <c r="J308" t="s">
        <v>6230</v>
      </c>
      <c r="K308" t="s">
        <v>13</v>
      </c>
      <c r="L308" t="s">
        <v>75</v>
      </c>
      <c r="M308" t="s">
        <v>498</v>
      </c>
      <c r="O308" t="s">
        <v>10619</v>
      </c>
      <c r="P308" t="s">
        <v>10137</v>
      </c>
      <c r="Q308" t="s">
        <v>9402</v>
      </c>
      <c r="R308" t="s">
        <v>13</v>
      </c>
      <c r="S308" t="s">
        <v>75</v>
      </c>
      <c r="T308" t="s">
        <v>10630</v>
      </c>
    </row>
    <row r="309" spans="1:20">
      <c r="A309" t="s">
        <v>10619</v>
      </c>
      <c r="B309" t="s">
        <v>4498</v>
      </c>
      <c r="C309" t="s">
        <v>2550</v>
      </c>
      <c r="D309" t="s">
        <v>13</v>
      </c>
      <c r="E309" t="s">
        <v>75</v>
      </c>
      <c r="F309" t="s">
        <v>10630</v>
      </c>
      <c r="H309" t="s">
        <v>10619</v>
      </c>
      <c r="I309" t="s">
        <v>7852</v>
      </c>
      <c r="J309" t="s">
        <v>6232</v>
      </c>
      <c r="K309" t="s">
        <v>13</v>
      </c>
      <c r="L309" t="s">
        <v>75</v>
      </c>
      <c r="M309" t="s">
        <v>498</v>
      </c>
      <c r="O309" t="s">
        <v>10619</v>
      </c>
      <c r="P309" t="s">
        <v>10138</v>
      </c>
      <c r="Q309" t="s">
        <v>9404</v>
      </c>
      <c r="R309" t="s">
        <v>13</v>
      </c>
      <c r="S309" t="s">
        <v>75</v>
      </c>
      <c r="T309" t="s">
        <v>10630</v>
      </c>
    </row>
    <row r="310" spans="1:20">
      <c r="A310" t="s">
        <v>10619</v>
      </c>
      <c r="B310" t="s">
        <v>4499</v>
      </c>
      <c r="C310" t="s">
        <v>2552</v>
      </c>
      <c r="D310" t="s">
        <v>13</v>
      </c>
      <c r="E310" t="s">
        <v>75</v>
      </c>
      <c r="F310" t="s">
        <v>10630</v>
      </c>
      <c r="H310" t="s">
        <v>10619</v>
      </c>
      <c r="I310" t="s">
        <v>7853</v>
      </c>
      <c r="J310" t="s">
        <v>6234</v>
      </c>
      <c r="K310" t="s">
        <v>13</v>
      </c>
      <c r="L310" t="s">
        <v>75</v>
      </c>
      <c r="M310" t="s">
        <v>498</v>
      </c>
      <c r="O310" t="s">
        <v>10619</v>
      </c>
      <c r="P310" t="s">
        <v>10139</v>
      </c>
      <c r="Q310" t="s">
        <v>9406</v>
      </c>
      <c r="R310" t="s">
        <v>13</v>
      </c>
      <c r="S310" t="s">
        <v>75</v>
      </c>
      <c r="T310" t="s">
        <v>10621</v>
      </c>
    </row>
    <row r="311" spans="1:20">
      <c r="A311" t="s">
        <v>10619</v>
      </c>
      <c r="B311" t="s">
        <v>4500</v>
      </c>
      <c r="C311" t="s">
        <v>2548</v>
      </c>
      <c r="D311" t="s">
        <v>13</v>
      </c>
      <c r="E311" t="s">
        <v>75</v>
      </c>
      <c r="F311" t="s">
        <v>10630</v>
      </c>
      <c r="H311" t="s">
        <v>10619</v>
      </c>
      <c r="I311" t="s">
        <v>7854</v>
      </c>
      <c r="J311" t="s">
        <v>6236</v>
      </c>
      <c r="K311" t="s">
        <v>13</v>
      </c>
      <c r="L311" t="s">
        <v>75</v>
      </c>
      <c r="M311" t="s">
        <v>498</v>
      </c>
      <c r="O311" t="s">
        <v>10619</v>
      </c>
      <c r="P311" t="s">
        <v>10140</v>
      </c>
      <c r="Q311" t="s">
        <v>9408</v>
      </c>
      <c r="R311" t="s">
        <v>13</v>
      </c>
      <c r="S311" t="s">
        <v>75</v>
      </c>
      <c r="T311" t="s">
        <v>10621</v>
      </c>
    </row>
    <row r="312" spans="1:20">
      <c r="A312" t="s">
        <v>10619</v>
      </c>
      <c r="B312" t="s">
        <v>4501</v>
      </c>
      <c r="C312" t="s">
        <v>2555</v>
      </c>
      <c r="D312" t="s">
        <v>13</v>
      </c>
      <c r="E312" t="s">
        <v>75</v>
      </c>
      <c r="F312" t="s">
        <v>10630</v>
      </c>
      <c r="H312" t="s">
        <v>10619</v>
      </c>
      <c r="I312" t="s">
        <v>7855</v>
      </c>
      <c r="J312" t="s">
        <v>6238</v>
      </c>
      <c r="K312" t="s">
        <v>13</v>
      </c>
      <c r="L312" t="s">
        <v>75</v>
      </c>
      <c r="M312" t="s">
        <v>498</v>
      </c>
      <c r="O312" t="s">
        <v>10619</v>
      </c>
      <c r="P312" t="s">
        <v>10141</v>
      </c>
      <c r="Q312" t="s">
        <v>9410</v>
      </c>
      <c r="R312" t="s">
        <v>13</v>
      </c>
      <c r="S312" t="s">
        <v>75</v>
      </c>
      <c r="T312" t="s">
        <v>10621</v>
      </c>
    </row>
    <row r="313" spans="1:20">
      <c r="A313" t="s">
        <v>10619</v>
      </c>
      <c r="B313" t="s">
        <v>4502</v>
      </c>
      <c r="C313" t="s">
        <v>2557</v>
      </c>
      <c r="D313" t="s">
        <v>13</v>
      </c>
      <c r="E313" t="s">
        <v>75</v>
      </c>
      <c r="F313" t="s">
        <v>10630</v>
      </c>
      <c r="H313" t="s">
        <v>10619</v>
      </c>
      <c r="I313" t="s">
        <v>7856</v>
      </c>
      <c r="J313" t="s">
        <v>6240</v>
      </c>
      <c r="K313" t="s">
        <v>13</v>
      </c>
      <c r="L313" t="s">
        <v>75</v>
      </c>
      <c r="M313" t="s">
        <v>498</v>
      </c>
      <c r="O313" t="s">
        <v>10619</v>
      </c>
      <c r="P313" t="s">
        <v>10142</v>
      </c>
      <c r="Q313" t="s">
        <v>9412</v>
      </c>
      <c r="R313" t="s">
        <v>13</v>
      </c>
      <c r="S313" t="s">
        <v>75</v>
      </c>
      <c r="T313" t="s">
        <v>10621</v>
      </c>
    </row>
    <row r="314" spans="1:20">
      <c r="A314" t="s">
        <v>10619</v>
      </c>
      <c r="B314" t="s">
        <v>4503</v>
      </c>
      <c r="C314" t="s">
        <v>2557</v>
      </c>
      <c r="D314" t="s">
        <v>13</v>
      </c>
      <c r="E314" t="s">
        <v>75</v>
      </c>
      <c r="F314" t="s">
        <v>10630</v>
      </c>
      <c r="H314" t="s">
        <v>10619</v>
      </c>
      <c r="I314" t="s">
        <v>7857</v>
      </c>
      <c r="J314" t="s">
        <v>6242</v>
      </c>
      <c r="K314" t="s">
        <v>13</v>
      </c>
      <c r="L314" t="s">
        <v>75</v>
      </c>
      <c r="M314" t="s">
        <v>10621</v>
      </c>
      <c r="O314" t="s">
        <v>10619</v>
      </c>
      <c r="P314" t="s">
        <v>10143</v>
      </c>
      <c r="Q314" t="s">
        <v>9414</v>
      </c>
      <c r="R314" t="s">
        <v>13</v>
      </c>
      <c r="S314" t="s">
        <v>75</v>
      </c>
      <c r="T314" t="s">
        <v>10621</v>
      </c>
    </row>
    <row r="315" spans="1:20">
      <c r="A315" t="s">
        <v>10619</v>
      </c>
      <c r="B315" t="s">
        <v>4504</v>
      </c>
      <c r="C315" t="s">
        <v>2560</v>
      </c>
      <c r="D315" t="s">
        <v>13</v>
      </c>
      <c r="E315" t="s">
        <v>75</v>
      </c>
      <c r="F315" t="s">
        <v>10630</v>
      </c>
      <c r="H315" t="s">
        <v>10619</v>
      </c>
      <c r="I315" t="s">
        <v>7858</v>
      </c>
      <c r="J315" t="s">
        <v>6244</v>
      </c>
      <c r="K315" t="s">
        <v>13</v>
      </c>
      <c r="L315" t="s">
        <v>75</v>
      </c>
      <c r="M315" t="s">
        <v>10621</v>
      </c>
      <c r="O315" t="s">
        <v>10619</v>
      </c>
      <c r="P315" t="s">
        <v>10144</v>
      </c>
      <c r="Q315" t="s">
        <v>9416</v>
      </c>
      <c r="R315" t="s">
        <v>13</v>
      </c>
      <c r="S315" t="s">
        <v>75</v>
      </c>
      <c r="T315" t="s">
        <v>10627</v>
      </c>
    </row>
    <row r="316" spans="1:20">
      <c r="A316" t="s">
        <v>10619</v>
      </c>
      <c r="B316" t="s">
        <v>4505</v>
      </c>
      <c r="C316" t="s">
        <v>2562</v>
      </c>
      <c r="D316" t="s">
        <v>13</v>
      </c>
      <c r="E316" t="s">
        <v>75</v>
      </c>
      <c r="F316" t="s">
        <v>10630</v>
      </c>
      <c r="H316" t="s">
        <v>10619</v>
      </c>
      <c r="I316" t="s">
        <v>7859</v>
      </c>
      <c r="J316" t="s">
        <v>6246</v>
      </c>
      <c r="K316" t="s">
        <v>13</v>
      </c>
      <c r="L316" t="s">
        <v>75</v>
      </c>
      <c r="M316" t="s">
        <v>10633</v>
      </c>
      <c r="O316" t="s">
        <v>10619</v>
      </c>
      <c r="P316" t="s">
        <v>10145</v>
      </c>
      <c r="Q316" t="s">
        <v>9418</v>
      </c>
      <c r="R316" t="s">
        <v>13</v>
      </c>
      <c r="S316" t="s">
        <v>75</v>
      </c>
      <c r="T316" t="s">
        <v>10627</v>
      </c>
    </row>
    <row r="317" spans="1:20">
      <c r="A317" t="s">
        <v>10619</v>
      </c>
      <c r="B317" t="s">
        <v>4506</v>
      </c>
      <c r="C317" t="s">
        <v>2564</v>
      </c>
      <c r="D317" t="s">
        <v>13</v>
      </c>
      <c r="E317" t="s">
        <v>75</v>
      </c>
      <c r="F317" t="s">
        <v>10624</v>
      </c>
      <c r="H317" t="s">
        <v>10619</v>
      </c>
      <c r="I317" t="s">
        <v>7860</v>
      </c>
      <c r="J317" t="s">
        <v>6248</v>
      </c>
      <c r="K317" t="s">
        <v>13</v>
      </c>
      <c r="L317" t="s">
        <v>75</v>
      </c>
      <c r="M317" t="s">
        <v>10633</v>
      </c>
      <c r="O317" t="s">
        <v>10619</v>
      </c>
      <c r="P317" t="s">
        <v>10146</v>
      </c>
      <c r="Q317" t="s">
        <v>9420</v>
      </c>
      <c r="R317" t="s">
        <v>13</v>
      </c>
      <c r="S317" t="s">
        <v>75</v>
      </c>
      <c r="T317" t="s">
        <v>10627</v>
      </c>
    </row>
    <row r="318" spans="1:20">
      <c r="A318" t="s">
        <v>10619</v>
      </c>
      <c r="B318" t="s">
        <v>4507</v>
      </c>
      <c r="C318" t="s">
        <v>2566</v>
      </c>
      <c r="D318" t="s">
        <v>13</v>
      </c>
      <c r="E318" t="s">
        <v>75</v>
      </c>
      <c r="F318" t="s">
        <v>10624</v>
      </c>
      <c r="H318" t="s">
        <v>10619</v>
      </c>
      <c r="I318" t="s">
        <v>7861</v>
      </c>
      <c r="J318" t="s">
        <v>6250</v>
      </c>
      <c r="K318" t="s">
        <v>13</v>
      </c>
      <c r="L318" t="s">
        <v>75</v>
      </c>
      <c r="M318" t="s">
        <v>10633</v>
      </c>
      <c r="O318" t="s">
        <v>10619</v>
      </c>
      <c r="P318" t="s">
        <v>10147</v>
      </c>
      <c r="Q318" t="s">
        <v>9418</v>
      </c>
      <c r="R318" t="s">
        <v>13</v>
      </c>
      <c r="S318" t="s">
        <v>75</v>
      </c>
      <c r="T318" t="s">
        <v>10627</v>
      </c>
    </row>
    <row r="319" spans="1:20">
      <c r="A319" t="s">
        <v>10619</v>
      </c>
      <c r="B319" t="s">
        <v>4508</v>
      </c>
      <c r="C319" t="s">
        <v>2568</v>
      </c>
      <c r="D319" t="s">
        <v>13</v>
      </c>
      <c r="E319" t="s">
        <v>75</v>
      </c>
      <c r="F319" t="s">
        <v>10624</v>
      </c>
      <c r="H319" t="s">
        <v>10619</v>
      </c>
      <c r="I319" t="s">
        <v>7862</v>
      </c>
      <c r="J319" t="s">
        <v>6252</v>
      </c>
      <c r="K319" t="s">
        <v>13</v>
      </c>
      <c r="L319" t="s">
        <v>75</v>
      </c>
      <c r="M319" t="s">
        <v>10633</v>
      </c>
      <c r="O319" t="s">
        <v>10619</v>
      </c>
      <c r="P319" t="s">
        <v>10148</v>
      </c>
      <c r="Q319" t="s">
        <v>9423</v>
      </c>
      <c r="R319" t="s">
        <v>13</v>
      </c>
      <c r="S319" t="s">
        <v>75</v>
      </c>
      <c r="T319" t="s">
        <v>10627</v>
      </c>
    </row>
    <row r="320" spans="1:20">
      <c r="A320" t="s">
        <v>10619</v>
      </c>
      <c r="B320" t="s">
        <v>4509</v>
      </c>
      <c r="C320" t="s">
        <v>2570</v>
      </c>
      <c r="D320" t="s">
        <v>13</v>
      </c>
      <c r="E320" t="s">
        <v>75</v>
      </c>
      <c r="F320" t="s">
        <v>10624</v>
      </c>
      <c r="H320" t="s">
        <v>10619</v>
      </c>
      <c r="I320" t="s">
        <v>7863</v>
      </c>
      <c r="J320" t="s">
        <v>6254</v>
      </c>
      <c r="K320" t="s">
        <v>13</v>
      </c>
      <c r="L320" t="s">
        <v>75</v>
      </c>
      <c r="M320" t="s">
        <v>10633</v>
      </c>
      <c r="O320" t="s">
        <v>10619</v>
      </c>
      <c r="P320" t="s">
        <v>10149</v>
      </c>
      <c r="Q320" t="s">
        <v>9425</v>
      </c>
      <c r="R320" t="s">
        <v>13</v>
      </c>
      <c r="S320" t="s">
        <v>75</v>
      </c>
      <c r="T320" t="s">
        <v>10627</v>
      </c>
    </row>
    <row r="321" spans="1:20">
      <c r="A321" t="s">
        <v>10619</v>
      </c>
      <c r="B321" t="s">
        <v>4510</v>
      </c>
      <c r="C321" t="s">
        <v>2572</v>
      </c>
      <c r="D321" t="s">
        <v>13</v>
      </c>
      <c r="E321" t="s">
        <v>75</v>
      </c>
      <c r="F321" t="s">
        <v>10624</v>
      </c>
      <c r="H321" t="s">
        <v>10619</v>
      </c>
      <c r="I321" t="s">
        <v>7864</v>
      </c>
      <c r="J321" t="s">
        <v>6252</v>
      </c>
      <c r="K321" t="s">
        <v>13</v>
      </c>
      <c r="L321" t="s">
        <v>75</v>
      </c>
      <c r="M321" t="s">
        <v>10633</v>
      </c>
      <c r="O321" t="s">
        <v>10619</v>
      </c>
      <c r="P321" t="s">
        <v>10150</v>
      </c>
      <c r="Q321" t="s">
        <v>9427</v>
      </c>
      <c r="R321" t="s">
        <v>13</v>
      </c>
      <c r="S321" t="s">
        <v>75</v>
      </c>
      <c r="T321" t="s">
        <v>10627</v>
      </c>
    </row>
    <row r="322" spans="1:20">
      <c r="A322" t="s">
        <v>10619</v>
      </c>
      <c r="B322" t="s">
        <v>4511</v>
      </c>
      <c r="C322" t="s">
        <v>2574</v>
      </c>
      <c r="D322" t="s">
        <v>13</v>
      </c>
      <c r="E322" t="s">
        <v>75</v>
      </c>
      <c r="F322" t="s">
        <v>10630</v>
      </c>
      <c r="H322" t="s">
        <v>10619</v>
      </c>
      <c r="I322" t="s">
        <v>7865</v>
      </c>
      <c r="J322" t="s">
        <v>6257</v>
      </c>
      <c r="K322" t="s">
        <v>13</v>
      </c>
      <c r="L322" t="s">
        <v>75</v>
      </c>
      <c r="M322" t="s">
        <v>10633</v>
      </c>
      <c r="O322" t="s">
        <v>10619</v>
      </c>
      <c r="P322" t="s">
        <v>10151</v>
      </c>
      <c r="Q322" t="s">
        <v>9429</v>
      </c>
      <c r="R322" t="s">
        <v>13</v>
      </c>
      <c r="S322" t="s">
        <v>75</v>
      </c>
      <c r="T322" t="s">
        <v>10627</v>
      </c>
    </row>
    <row r="323" spans="1:20">
      <c r="A323" t="s">
        <v>10619</v>
      </c>
      <c r="B323" t="s">
        <v>4512</v>
      </c>
      <c r="C323" t="s">
        <v>2576</v>
      </c>
      <c r="D323" t="s">
        <v>13</v>
      </c>
      <c r="E323" t="s">
        <v>75</v>
      </c>
      <c r="F323" t="s">
        <v>10630</v>
      </c>
      <c r="H323" t="s">
        <v>10619</v>
      </c>
      <c r="I323" t="s">
        <v>7866</v>
      </c>
      <c r="J323" t="s">
        <v>6259</v>
      </c>
      <c r="K323" t="s">
        <v>13</v>
      </c>
      <c r="L323" t="s">
        <v>75</v>
      </c>
      <c r="M323" t="s">
        <v>10620</v>
      </c>
      <c r="O323" t="s">
        <v>10619</v>
      </c>
      <c r="P323" t="s">
        <v>10152</v>
      </c>
      <c r="Q323" t="s">
        <v>9431</v>
      </c>
      <c r="R323" t="s">
        <v>13</v>
      </c>
      <c r="S323" t="s">
        <v>75</v>
      </c>
      <c r="T323" t="s">
        <v>10627</v>
      </c>
    </row>
    <row r="324" spans="1:20">
      <c r="A324" t="s">
        <v>10619</v>
      </c>
      <c r="B324" t="s">
        <v>4513</v>
      </c>
      <c r="C324" t="s">
        <v>2578</v>
      </c>
      <c r="D324" t="s">
        <v>13</v>
      </c>
      <c r="E324" t="s">
        <v>75</v>
      </c>
      <c r="F324" t="s">
        <v>10630</v>
      </c>
      <c r="H324" t="s">
        <v>10619</v>
      </c>
      <c r="I324" t="s">
        <v>7867</v>
      </c>
      <c r="J324" t="s">
        <v>6261</v>
      </c>
      <c r="K324" t="s">
        <v>13</v>
      </c>
      <c r="L324" t="s">
        <v>75</v>
      </c>
      <c r="M324" t="s">
        <v>10620</v>
      </c>
      <c r="O324" t="s">
        <v>10619</v>
      </c>
      <c r="P324" t="s">
        <v>10153</v>
      </c>
      <c r="Q324" t="s">
        <v>9433</v>
      </c>
      <c r="R324" t="s">
        <v>13</v>
      </c>
      <c r="S324" t="s">
        <v>75</v>
      </c>
      <c r="T324" t="s">
        <v>10636</v>
      </c>
    </row>
    <row r="325" spans="1:20">
      <c r="A325" t="s">
        <v>10619</v>
      </c>
      <c r="B325" t="s">
        <v>4514</v>
      </c>
      <c r="C325" t="s">
        <v>2580</v>
      </c>
      <c r="D325" t="s">
        <v>13</v>
      </c>
      <c r="E325" t="s">
        <v>75</v>
      </c>
      <c r="F325" t="s">
        <v>10630</v>
      </c>
      <c r="H325" t="s">
        <v>10619</v>
      </c>
      <c r="I325" t="s">
        <v>7868</v>
      </c>
      <c r="J325" t="s">
        <v>6263</v>
      </c>
      <c r="K325" t="s">
        <v>13</v>
      </c>
      <c r="L325" t="s">
        <v>75</v>
      </c>
      <c r="M325" t="s">
        <v>10621</v>
      </c>
      <c r="O325" t="s">
        <v>10619</v>
      </c>
      <c r="P325" t="s">
        <v>10154</v>
      </c>
      <c r="Q325" t="s">
        <v>9435</v>
      </c>
      <c r="R325" t="s">
        <v>13</v>
      </c>
      <c r="S325" t="s">
        <v>75</v>
      </c>
      <c r="T325" t="s">
        <v>10636</v>
      </c>
    </row>
    <row r="326" spans="1:20">
      <c r="A326" t="s">
        <v>10619</v>
      </c>
      <c r="B326" t="s">
        <v>4515</v>
      </c>
      <c r="C326" t="s">
        <v>2582</v>
      </c>
      <c r="D326" t="s">
        <v>13</v>
      </c>
      <c r="E326" t="s">
        <v>75</v>
      </c>
      <c r="F326" t="s">
        <v>10630</v>
      </c>
      <c r="H326" t="s">
        <v>10619</v>
      </c>
      <c r="I326" t="s">
        <v>7869</v>
      </c>
      <c r="J326" t="s">
        <v>6265</v>
      </c>
      <c r="K326" t="s">
        <v>13</v>
      </c>
      <c r="L326" t="s">
        <v>75</v>
      </c>
      <c r="M326" t="s">
        <v>10621</v>
      </c>
      <c r="O326" t="s">
        <v>10619</v>
      </c>
      <c r="P326" t="s">
        <v>10155</v>
      </c>
      <c r="Q326" t="s">
        <v>9433</v>
      </c>
      <c r="R326" t="s">
        <v>13</v>
      </c>
      <c r="S326" t="s">
        <v>75</v>
      </c>
      <c r="T326" t="s">
        <v>10636</v>
      </c>
    </row>
    <row r="327" spans="1:20">
      <c r="A327" t="s">
        <v>10619</v>
      </c>
      <c r="B327" t="s">
        <v>4516</v>
      </c>
      <c r="C327" t="s">
        <v>2584</v>
      </c>
      <c r="D327" t="s">
        <v>13</v>
      </c>
      <c r="E327" t="s">
        <v>75</v>
      </c>
      <c r="F327" t="s">
        <v>10630</v>
      </c>
      <c r="H327" t="s">
        <v>10619</v>
      </c>
      <c r="I327" t="s">
        <v>7870</v>
      </c>
      <c r="J327" t="s">
        <v>6267</v>
      </c>
      <c r="K327" t="s">
        <v>13</v>
      </c>
      <c r="L327" t="s">
        <v>75</v>
      </c>
      <c r="M327" t="s">
        <v>10621</v>
      </c>
      <c r="O327" t="s">
        <v>10619</v>
      </c>
      <c r="P327" t="s">
        <v>10156</v>
      </c>
      <c r="Q327" t="s">
        <v>9438</v>
      </c>
      <c r="R327" t="s">
        <v>13</v>
      </c>
      <c r="S327" t="s">
        <v>75</v>
      </c>
      <c r="T327" t="s">
        <v>10620</v>
      </c>
    </row>
    <row r="328" spans="1:20">
      <c r="A328" t="s">
        <v>10619</v>
      </c>
      <c r="B328" t="s">
        <v>4517</v>
      </c>
      <c r="C328" t="s">
        <v>2586</v>
      </c>
      <c r="D328" t="s">
        <v>13</v>
      </c>
      <c r="E328" t="s">
        <v>75</v>
      </c>
      <c r="F328" t="s">
        <v>10630</v>
      </c>
      <c r="H328" t="s">
        <v>10619</v>
      </c>
      <c r="I328" t="s">
        <v>7871</v>
      </c>
      <c r="J328" t="s">
        <v>6269</v>
      </c>
      <c r="K328" t="s">
        <v>13</v>
      </c>
      <c r="L328" t="s">
        <v>75</v>
      </c>
      <c r="M328" t="s">
        <v>10621</v>
      </c>
      <c r="O328" t="s">
        <v>10619</v>
      </c>
      <c r="P328" t="s">
        <v>10157</v>
      </c>
      <c r="Q328" t="s">
        <v>9440</v>
      </c>
      <c r="R328" t="s">
        <v>13</v>
      </c>
      <c r="S328" t="s">
        <v>75</v>
      </c>
      <c r="T328" t="s">
        <v>10620</v>
      </c>
    </row>
    <row r="329" spans="1:20">
      <c r="A329" t="s">
        <v>10619</v>
      </c>
      <c r="B329" t="s">
        <v>4518</v>
      </c>
      <c r="C329" t="s">
        <v>2574</v>
      </c>
      <c r="D329" t="s">
        <v>13</v>
      </c>
      <c r="E329" t="s">
        <v>75</v>
      </c>
      <c r="F329" t="s">
        <v>10630</v>
      </c>
      <c r="H329" t="s">
        <v>10619</v>
      </c>
      <c r="I329" t="s">
        <v>7872</v>
      </c>
      <c r="J329" t="s">
        <v>6271</v>
      </c>
      <c r="K329" t="s">
        <v>13</v>
      </c>
      <c r="L329" t="s">
        <v>75</v>
      </c>
      <c r="M329" t="s">
        <v>10621</v>
      </c>
      <c r="O329" t="s">
        <v>10619</v>
      </c>
      <c r="P329" t="s">
        <v>10158</v>
      </c>
      <c r="Q329" t="s">
        <v>9442</v>
      </c>
      <c r="R329" t="s">
        <v>13</v>
      </c>
      <c r="S329" t="s">
        <v>75</v>
      </c>
      <c r="T329" t="s">
        <v>10620</v>
      </c>
    </row>
    <row r="330" spans="1:20">
      <c r="A330" t="s">
        <v>10619</v>
      </c>
      <c r="B330" t="s">
        <v>4519</v>
      </c>
      <c r="C330" t="s">
        <v>2589</v>
      </c>
      <c r="D330" t="s">
        <v>13</v>
      </c>
      <c r="E330" t="s">
        <v>75</v>
      </c>
      <c r="F330" t="s">
        <v>10630</v>
      </c>
      <c r="H330" t="s">
        <v>10619</v>
      </c>
      <c r="I330" t="s">
        <v>7873</v>
      </c>
      <c r="J330" t="s">
        <v>6273</v>
      </c>
      <c r="K330" t="s">
        <v>13</v>
      </c>
      <c r="L330" t="s">
        <v>75</v>
      </c>
      <c r="M330" t="s">
        <v>10621</v>
      </c>
      <c r="O330" t="s">
        <v>10619</v>
      </c>
      <c r="P330" t="s">
        <v>10159</v>
      </c>
      <c r="Q330" t="s">
        <v>9442</v>
      </c>
      <c r="R330" t="s">
        <v>13</v>
      </c>
      <c r="S330" t="s">
        <v>75</v>
      </c>
      <c r="T330" t="s">
        <v>10620</v>
      </c>
    </row>
    <row r="331" spans="1:20">
      <c r="A331" t="s">
        <v>10619</v>
      </c>
      <c r="B331" t="s">
        <v>4520</v>
      </c>
      <c r="C331" t="s">
        <v>2576</v>
      </c>
      <c r="D331" t="s">
        <v>13</v>
      </c>
      <c r="E331" t="s">
        <v>75</v>
      </c>
      <c r="F331" t="s">
        <v>10630</v>
      </c>
      <c r="H331" t="s">
        <v>10619</v>
      </c>
      <c r="I331" t="s">
        <v>7874</v>
      </c>
      <c r="J331" t="s">
        <v>6275</v>
      </c>
      <c r="K331" t="s">
        <v>13</v>
      </c>
      <c r="L331" t="s">
        <v>75</v>
      </c>
      <c r="M331" t="s">
        <v>10621</v>
      </c>
      <c r="O331" t="s">
        <v>10619</v>
      </c>
      <c r="P331" t="s">
        <v>10160</v>
      </c>
      <c r="Q331" t="s">
        <v>9445</v>
      </c>
      <c r="R331" t="s">
        <v>13</v>
      </c>
      <c r="S331" t="s">
        <v>75</v>
      </c>
      <c r="T331" t="s">
        <v>10622</v>
      </c>
    </row>
    <row r="332" spans="1:20">
      <c r="A332" t="s">
        <v>10619</v>
      </c>
      <c r="B332" t="s">
        <v>4521</v>
      </c>
      <c r="C332" t="s">
        <v>2576</v>
      </c>
      <c r="D332" t="s">
        <v>13</v>
      </c>
      <c r="E332" t="s">
        <v>75</v>
      </c>
      <c r="F332" t="s">
        <v>10630</v>
      </c>
      <c r="H332" t="s">
        <v>10619</v>
      </c>
      <c r="I332" t="s">
        <v>7875</v>
      </c>
      <c r="J332" t="s">
        <v>6277</v>
      </c>
      <c r="K332" t="s">
        <v>13</v>
      </c>
      <c r="L332" t="s">
        <v>75</v>
      </c>
      <c r="M332" t="s">
        <v>10621</v>
      </c>
      <c r="O332" t="s">
        <v>10619</v>
      </c>
      <c r="P332" t="s">
        <v>10161</v>
      </c>
      <c r="Q332" t="s">
        <v>9447</v>
      </c>
      <c r="R332" t="s">
        <v>13</v>
      </c>
      <c r="S332" t="s">
        <v>75</v>
      </c>
      <c r="T332" t="s">
        <v>10622</v>
      </c>
    </row>
    <row r="333" spans="1:20">
      <c r="A333" t="s">
        <v>10619</v>
      </c>
      <c r="B333" t="s">
        <v>4522</v>
      </c>
      <c r="C333" t="s">
        <v>2593</v>
      </c>
      <c r="D333" t="s">
        <v>13</v>
      </c>
      <c r="E333" t="s">
        <v>75</v>
      </c>
      <c r="F333" t="s">
        <v>10621</v>
      </c>
      <c r="H333" t="s">
        <v>10619</v>
      </c>
      <c r="I333" t="s">
        <v>7876</v>
      </c>
      <c r="J333" t="s">
        <v>6279</v>
      </c>
      <c r="K333" t="s">
        <v>13</v>
      </c>
      <c r="L333" t="s">
        <v>75</v>
      </c>
      <c r="M333" t="s">
        <v>10621</v>
      </c>
      <c r="O333" t="s">
        <v>10619</v>
      </c>
      <c r="P333" t="s">
        <v>10162</v>
      </c>
      <c r="Q333" t="s">
        <v>9449</v>
      </c>
      <c r="R333" t="s">
        <v>13</v>
      </c>
      <c r="S333" t="s">
        <v>75</v>
      </c>
      <c r="T333" t="s">
        <v>10621</v>
      </c>
    </row>
    <row r="334" spans="1:20">
      <c r="A334" t="s">
        <v>10619</v>
      </c>
      <c r="B334" t="s">
        <v>4523</v>
      </c>
      <c r="C334" t="s">
        <v>2595</v>
      </c>
      <c r="D334" t="s">
        <v>13</v>
      </c>
      <c r="E334" t="s">
        <v>75</v>
      </c>
      <c r="F334" t="s">
        <v>10621</v>
      </c>
      <c r="H334" t="s">
        <v>10619</v>
      </c>
      <c r="I334" t="s">
        <v>7877</v>
      </c>
      <c r="J334" t="s">
        <v>6281</v>
      </c>
      <c r="K334" t="s">
        <v>13</v>
      </c>
      <c r="L334" t="s">
        <v>75</v>
      </c>
      <c r="M334" t="s">
        <v>10621</v>
      </c>
      <c r="O334" t="s">
        <v>10619</v>
      </c>
      <c r="P334" t="s">
        <v>10163</v>
      </c>
      <c r="Q334" t="s">
        <v>9449</v>
      </c>
      <c r="R334" t="s">
        <v>13</v>
      </c>
      <c r="S334" t="s">
        <v>75</v>
      </c>
      <c r="T334" t="s">
        <v>10621</v>
      </c>
    </row>
    <row r="335" spans="1:20">
      <c r="A335" t="s">
        <v>10619</v>
      </c>
      <c r="B335" t="s">
        <v>4524</v>
      </c>
      <c r="C335" t="s">
        <v>2597</v>
      </c>
      <c r="D335" t="s">
        <v>13</v>
      </c>
      <c r="E335" t="s">
        <v>75</v>
      </c>
      <c r="F335" t="s">
        <v>10621</v>
      </c>
      <c r="H335" t="s">
        <v>10619</v>
      </c>
      <c r="I335" t="s">
        <v>7878</v>
      </c>
      <c r="J335" t="s">
        <v>6283</v>
      </c>
      <c r="K335" t="s">
        <v>13</v>
      </c>
      <c r="L335" t="s">
        <v>75</v>
      </c>
      <c r="M335" t="s">
        <v>10621</v>
      </c>
      <c r="O335" t="s">
        <v>10619</v>
      </c>
      <c r="P335" t="s">
        <v>10164</v>
      </c>
      <c r="Q335" t="s">
        <v>9452</v>
      </c>
      <c r="R335" t="s">
        <v>13</v>
      </c>
      <c r="S335" t="s">
        <v>75</v>
      </c>
      <c r="T335" t="s">
        <v>10621</v>
      </c>
    </row>
    <row r="336" spans="1:20">
      <c r="A336" t="s">
        <v>10619</v>
      </c>
      <c r="B336" t="s">
        <v>4525</v>
      </c>
      <c r="C336" t="s">
        <v>2599</v>
      </c>
      <c r="D336" t="s">
        <v>13</v>
      </c>
      <c r="E336" t="s">
        <v>75</v>
      </c>
      <c r="F336" t="s">
        <v>10621</v>
      </c>
      <c r="H336" t="s">
        <v>10619</v>
      </c>
      <c r="I336" t="s">
        <v>7879</v>
      </c>
      <c r="J336" t="s">
        <v>6285</v>
      </c>
      <c r="K336" t="s">
        <v>13</v>
      </c>
      <c r="L336" t="s">
        <v>75</v>
      </c>
      <c r="M336" t="s">
        <v>10621</v>
      </c>
      <c r="O336" t="s">
        <v>10619</v>
      </c>
      <c r="P336" t="s">
        <v>10165</v>
      </c>
      <c r="Q336" t="s">
        <v>9454</v>
      </c>
      <c r="R336" t="s">
        <v>13</v>
      </c>
      <c r="S336" t="s">
        <v>75</v>
      </c>
      <c r="T336" t="s">
        <v>10621</v>
      </c>
    </row>
    <row r="337" spans="1:20">
      <c r="A337" t="s">
        <v>10619</v>
      </c>
      <c r="B337" t="s">
        <v>4526</v>
      </c>
      <c r="C337" t="s">
        <v>2601</v>
      </c>
      <c r="D337" t="s">
        <v>13</v>
      </c>
      <c r="E337" t="s">
        <v>75</v>
      </c>
      <c r="F337" t="s">
        <v>10621</v>
      </c>
      <c r="H337" t="s">
        <v>10619</v>
      </c>
      <c r="I337" t="s">
        <v>7880</v>
      </c>
      <c r="J337" t="s">
        <v>6287</v>
      </c>
      <c r="K337" t="s">
        <v>13</v>
      </c>
      <c r="L337" t="s">
        <v>75</v>
      </c>
      <c r="M337" t="s">
        <v>10634</v>
      </c>
      <c r="O337" t="s">
        <v>10619</v>
      </c>
      <c r="P337" t="s">
        <v>10166</v>
      </c>
      <c r="Q337" t="s">
        <v>9456</v>
      </c>
      <c r="R337" t="s">
        <v>13</v>
      </c>
      <c r="S337" t="s">
        <v>75</v>
      </c>
      <c r="T337" t="s">
        <v>10621</v>
      </c>
    </row>
    <row r="338" spans="1:20">
      <c r="A338" t="s">
        <v>10619</v>
      </c>
      <c r="B338" t="s">
        <v>4527</v>
      </c>
      <c r="C338" t="s">
        <v>2603</v>
      </c>
      <c r="D338" t="s">
        <v>13</v>
      </c>
      <c r="E338" t="s">
        <v>75</v>
      </c>
      <c r="F338" t="s">
        <v>10631</v>
      </c>
      <c r="H338" t="s">
        <v>10619</v>
      </c>
      <c r="I338" t="s">
        <v>7881</v>
      </c>
      <c r="J338" t="s">
        <v>6289</v>
      </c>
      <c r="K338" t="s">
        <v>13</v>
      </c>
      <c r="L338" t="s">
        <v>75</v>
      </c>
      <c r="M338" t="s">
        <v>10634</v>
      </c>
      <c r="O338" t="s">
        <v>10619</v>
      </c>
      <c r="P338" t="s">
        <v>10167</v>
      </c>
      <c r="Q338" t="s">
        <v>9458</v>
      </c>
      <c r="R338" t="s">
        <v>13</v>
      </c>
      <c r="S338" t="s">
        <v>75</v>
      </c>
      <c r="T338" t="s">
        <v>10621</v>
      </c>
    </row>
    <row r="339" spans="1:20">
      <c r="A339" t="s">
        <v>10619</v>
      </c>
      <c r="B339" t="s">
        <v>4528</v>
      </c>
      <c r="C339" t="s">
        <v>2605</v>
      </c>
      <c r="D339" t="s">
        <v>13</v>
      </c>
      <c r="E339" t="s">
        <v>75</v>
      </c>
      <c r="F339" t="s">
        <v>10631</v>
      </c>
      <c r="H339" t="s">
        <v>10619</v>
      </c>
      <c r="I339" t="s">
        <v>7882</v>
      </c>
      <c r="J339" t="s">
        <v>6291</v>
      </c>
      <c r="K339" t="s">
        <v>13</v>
      </c>
      <c r="L339" t="s">
        <v>75</v>
      </c>
      <c r="M339" t="s">
        <v>10634</v>
      </c>
      <c r="O339" t="s">
        <v>10619</v>
      </c>
      <c r="P339" t="s">
        <v>10168</v>
      </c>
      <c r="Q339" t="s">
        <v>9460</v>
      </c>
      <c r="R339" t="s">
        <v>13</v>
      </c>
      <c r="S339" t="s">
        <v>75</v>
      </c>
      <c r="T339" t="s">
        <v>10621</v>
      </c>
    </row>
    <row r="340" spans="1:20">
      <c r="A340" t="s">
        <v>10619</v>
      </c>
      <c r="B340" t="s">
        <v>4529</v>
      </c>
      <c r="C340" t="s">
        <v>2607</v>
      </c>
      <c r="D340" t="s">
        <v>13</v>
      </c>
      <c r="E340" t="s">
        <v>75</v>
      </c>
      <c r="F340" t="s">
        <v>10631</v>
      </c>
      <c r="H340" t="s">
        <v>10619</v>
      </c>
      <c r="I340" t="s">
        <v>7883</v>
      </c>
      <c r="J340" t="s">
        <v>6293</v>
      </c>
      <c r="K340" t="s">
        <v>13</v>
      </c>
      <c r="L340" t="s">
        <v>75</v>
      </c>
      <c r="M340" t="s">
        <v>10634</v>
      </c>
      <c r="O340" t="s">
        <v>10619</v>
      </c>
      <c r="P340" t="s">
        <v>10169</v>
      </c>
      <c r="Q340" t="s">
        <v>9462</v>
      </c>
      <c r="R340" t="s">
        <v>13</v>
      </c>
      <c r="S340" t="s">
        <v>75</v>
      </c>
      <c r="T340" t="s">
        <v>10621</v>
      </c>
    </row>
    <row r="341" spans="1:20">
      <c r="A341" t="s">
        <v>10619</v>
      </c>
      <c r="B341" t="s">
        <v>4530</v>
      </c>
      <c r="C341" t="s">
        <v>2609</v>
      </c>
      <c r="D341" t="s">
        <v>13</v>
      </c>
      <c r="E341" t="s">
        <v>75</v>
      </c>
      <c r="F341" t="s">
        <v>10631</v>
      </c>
      <c r="H341" t="s">
        <v>10619</v>
      </c>
      <c r="I341" t="s">
        <v>7884</v>
      </c>
      <c r="J341" t="s">
        <v>6295</v>
      </c>
      <c r="K341" t="s">
        <v>13</v>
      </c>
      <c r="L341" t="s">
        <v>75</v>
      </c>
      <c r="M341" t="s">
        <v>10634</v>
      </c>
      <c r="O341" t="s">
        <v>10619</v>
      </c>
      <c r="P341" t="s">
        <v>10170</v>
      </c>
      <c r="Q341" t="s">
        <v>9462</v>
      </c>
      <c r="R341" t="s">
        <v>13</v>
      </c>
      <c r="S341" t="s">
        <v>75</v>
      </c>
      <c r="T341" t="s">
        <v>10621</v>
      </c>
    </row>
    <row r="342" spans="1:20">
      <c r="A342" t="s">
        <v>10619</v>
      </c>
      <c r="B342" t="s">
        <v>4531</v>
      </c>
      <c r="C342" t="s">
        <v>2611</v>
      </c>
      <c r="D342" t="s">
        <v>13</v>
      </c>
      <c r="E342" t="s">
        <v>75</v>
      </c>
      <c r="F342" t="s">
        <v>10631</v>
      </c>
      <c r="H342" t="s">
        <v>10619</v>
      </c>
      <c r="I342" t="s">
        <v>7885</v>
      </c>
      <c r="J342" t="s">
        <v>6297</v>
      </c>
      <c r="K342" t="s">
        <v>13</v>
      </c>
      <c r="L342" t="s">
        <v>75</v>
      </c>
      <c r="M342" t="s">
        <v>10634</v>
      </c>
      <c r="O342" t="s">
        <v>10619</v>
      </c>
      <c r="P342" t="s">
        <v>10171</v>
      </c>
      <c r="Q342" t="s">
        <v>9465</v>
      </c>
      <c r="R342" t="s">
        <v>13</v>
      </c>
      <c r="S342" t="s">
        <v>75</v>
      </c>
      <c r="T342" t="s">
        <v>10620</v>
      </c>
    </row>
    <row r="343" spans="1:20">
      <c r="A343" t="s">
        <v>10619</v>
      </c>
      <c r="B343" t="s">
        <v>4532</v>
      </c>
      <c r="C343" t="s">
        <v>2613</v>
      </c>
      <c r="D343" t="s">
        <v>13</v>
      </c>
      <c r="E343" t="s">
        <v>75</v>
      </c>
      <c r="F343" t="s">
        <v>10631</v>
      </c>
      <c r="H343" t="s">
        <v>10619</v>
      </c>
      <c r="I343" t="s">
        <v>7886</v>
      </c>
      <c r="J343" t="s">
        <v>6299</v>
      </c>
      <c r="K343" t="s">
        <v>13</v>
      </c>
      <c r="L343" t="s">
        <v>75</v>
      </c>
      <c r="M343" t="s">
        <v>10624</v>
      </c>
      <c r="O343" t="s">
        <v>10619</v>
      </c>
      <c r="P343" t="s">
        <v>10172</v>
      </c>
      <c r="Q343" t="s">
        <v>9467</v>
      </c>
      <c r="R343" t="s">
        <v>13</v>
      </c>
      <c r="S343" t="s">
        <v>75</v>
      </c>
      <c r="T343" t="s">
        <v>10620</v>
      </c>
    </row>
    <row r="344" spans="1:20">
      <c r="A344" t="s">
        <v>10619</v>
      </c>
      <c r="B344" t="s">
        <v>4533</v>
      </c>
      <c r="C344" t="s">
        <v>2615</v>
      </c>
      <c r="D344" t="s">
        <v>13</v>
      </c>
      <c r="E344" t="s">
        <v>75</v>
      </c>
      <c r="F344" t="s">
        <v>10631</v>
      </c>
      <c r="H344" t="s">
        <v>10619</v>
      </c>
      <c r="I344" t="s">
        <v>7887</v>
      </c>
      <c r="J344" t="s">
        <v>6301</v>
      </c>
      <c r="K344" t="s">
        <v>13</v>
      </c>
      <c r="L344" t="s">
        <v>75</v>
      </c>
      <c r="M344" t="s">
        <v>10624</v>
      </c>
      <c r="O344" t="s">
        <v>10619</v>
      </c>
      <c r="P344" t="s">
        <v>10173</v>
      </c>
      <c r="Q344" t="s">
        <v>9469</v>
      </c>
      <c r="R344" t="s">
        <v>13</v>
      </c>
      <c r="S344" t="s">
        <v>75</v>
      </c>
      <c r="T344" t="s">
        <v>10620</v>
      </c>
    </row>
    <row r="345" spans="1:20">
      <c r="A345" t="s">
        <v>10619</v>
      </c>
      <c r="B345" t="s">
        <v>4534</v>
      </c>
      <c r="C345" t="s">
        <v>2617</v>
      </c>
      <c r="D345" t="s">
        <v>13</v>
      </c>
      <c r="E345" t="s">
        <v>75</v>
      </c>
      <c r="F345" t="s">
        <v>10631</v>
      </c>
      <c r="H345" t="s">
        <v>10619</v>
      </c>
      <c r="I345" t="s">
        <v>7888</v>
      </c>
      <c r="J345" t="s">
        <v>6303</v>
      </c>
      <c r="K345" t="s">
        <v>13</v>
      </c>
      <c r="L345" t="s">
        <v>75</v>
      </c>
      <c r="M345" t="s">
        <v>10624</v>
      </c>
      <c r="O345" t="s">
        <v>10619</v>
      </c>
      <c r="P345" t="s">
        <v>10174</v>
      </c>
      <c r="Q345" t="s">
        <v>9469</v>
      </c>
      <c r="R345" t="s">
        <v>13</v>
      </c>
      <c r="S345" t="s">
        <v>75</v>
      </c>
      <c r="T345" t="s">
        <v>10620</v>
      </c>
    </row>
    <row r="346" spans="1:20">
      <c r="A346" t="s">
        <v>10619</v>
      </c>
      <c r="B346" t="s">
        <v>4535</v>
      </c>
      <c r="C346" t="s">
        <v>2619</v>
      </c>
      <c r="D346" t="s">
        <v>13</v>
      </c>
      <c r="E346" t="s">
        <v>75</v>
      </c>
      <c r="F346" t="s">
        <v>10632</v>
      </c>
      <c r="H346" t="s">
        <v>10619</v>
      </c>
      <c r="I346" t="s">
        <v>7889</v>
      </c>
      <c r="J346" t="s">
        <v>6305</v>
      </c>
      <c r="K346" t="s">
        <v>13</v>
      </c>
      <c r="L346" t="s">
        <v>75</v>
      </c>
      <c r="M346" t="s">
        <v>10624</v>
      </c>
      <c r="O346" t="s">
        <v>10619</v>
      </c>
      <c r="P346" t="s">
        <v>10175</v>
      </c>
      <c r="Q346" t="s">
        <v>9472</v>
      </c>
      <c r="R346" t="s">
        <v>13</v>
      </c>
      <c r="S346" t="s">
        <v>75</v>
      </c>
      <c r="T346" t="s">
        <v>10621</v>
      </c>
    </row>
    <row r="347" spans="1:20">
      <c r="A347" t="s">
        <v>10619</v>
      </c>
      <c r="B347" t="s">
        <v>4536</v>
      </c>
      <c r="C347" t="s">
        <v>2621</v>
      </c>
      <c r="D347" t="s">
        <v>13</v>
      </c>
      <c r="E347" t="s">
        <v>75</v>
      </c>
      <c r="F347" t="s">
        <v>10632</v>
      </c>
      <c r="H347" t="s">
        <v>10619</v>
      </c>
      <c r="I347" t="s">
        <v>7890</v>
      </c>
      <c r="J347" t="s">
        <v>6307</v>
      </c>
      <c r="K347" t="s">
        <v>13</v>
      </c>
      <c r="L347" t="s">
        <v>75</v>
      </c>
      <c r="M347" t="s">
        <v>10624</v>
      </c>
      <c r="O347" t="s">
        <v>10619</v>
      </c>
      <c r="P347" t="s">
        <v>10176</v>
      </c>
      <c r="Q347" t="s">
        <v>9474</v>
      </c>
      <c r="R347" t="s">
        <v>13</v>
      </c>
      <c r="S347" t="s">
        <v>75</v>
      </c>
      <c r="T347" t="s">
        <v>10621</v>
      </c>
    </row>
    <row r="348" spans="1:20">
      <c r="A348" t="s">
        <v>10619</v>
      </c>
      <c r="B348" t="s">
        <v>4537</v>
      </c>
      <c r="C348" t="s">
        <v>2623</v>
      </c>
      <c r="D348" t="s">
        <v>13</v>
      </c>
      <c r="E348" t="s">
        <v>75</v>
      </c>
      <c r="F348" t="s">
        <v>10632</v>
      </c>
      <c r="H348" t="s">
        <v>10619</v>
      </c>
      <c r="I348" t="s">
        <v>7891</v>
      </c>
      <c r="J348" t="s">
        <v>6309</v>
      </c>
      <c r="K348" t="s">
        <v>13</v>
      </c>
      <c r="L348" t="s">
        <v>75</v>
      </c>
      <c r="M348" t="s">
        <v>10620</v>
      </c>
      <c r="O348" t="s">
        <v>10619</v>
      </c>
      <c r="P348" t="s">
        <v>10177</v>
      </c>
      <c r="Q348" t="s">
        <v>9476</v>
      </c>
      <c r="R348" t="s">
        <v>13</v>
      </c>
      <c r="S348" t="s">
        <v>75</v>
      </c>
      <c r="T348" t="s">
        <v>10621</v>
      </c>
    </row>
    <row r="349" spans="1:20">
      <c r="A349" t="s">
        <v>10619</v>
      </c>
      <c r="B349" t="s">
        <v>4538</v>
      </c>
      <c r="C349" t="s">
        <v>2625</v>
      </c>
      <c r="D349" t="s">
        <v>13</v>
      </c>
      <c r="E349" t="s">
        <v>75</v>
      </c>
      <c r="F349" t="s">
        <v>10632</v>
      </c>
      <c r="H349" t="s">
        <v>10619</v>
      </c>
      <c r="I349" t="s">
        <v>7892</v>
      </c>
      <c r="J349" t="s">
        <v>6311</v>
      </c>
      <c r="K349" t="s">
        <v>13</v>
      </c>
      <c r="L349" t="s">
        <v>75</v>
      </c>
      <c r="M349" t="s">
        <v>10620</v>
      </c>
      <c r="O349" t="s">
        <v>10619</v>
      </c>
      <c r="P349" t="s">
        <v>10178</v>
      </c>
      <c r="Q349" t="s">
        <v>9478</v>
      </c>
      <c r="R349" t="s">
        <v>13</v>
      </c>
      <c r="S349" t="s">
        <v>75</v>
      </c>
      <c r="T349" t="s">
        <v>10621</v>
      </c>
    </row>
    <row r="350" spans="1:20">
      <c r="A350" t="s">
        <v>10619</v>
      </c>
      <c r="B350" t="s">
        <v>4539</v>
      </c>
      <c r="C350" t="s">
        <v>2627</v>
      </c>
      <c r="D350" t="s">
        <v>13</v>
      </c>
      <c r="E350" t="s">
        <v>75</v>
      </c>
      <c r="F350" t="s">
        <v>10621</v>
      </c>
      <c r="H350" t="s">
        <v>10619</v>
      </c>
      <c r="I350" t="s">
        <v>7893</v>
      </c>
      <c r="J350" t="s">
        <v>6313</v>
      </c>
      <c r="K350" t="s">
        <v>13</v>
      </c>
      <c r="L350" t="s">
        <v>75</v>
      </c>
      <c r="M350" t="s">
        <v>10620</v>
      </c>
      <c r="O350" t="s">
        <v>10619</v>
      </c>
      <c r="P350" t="s">
        <v>10179</v>
      </c>
      <c r="Q350" t="s">
        <v>9474</v>
      </c>
      <c r="R350" t="s">
        <v>13</v>
      </c>
      <c r="S350" t="s">
        <v>75</v>
      </c>
      <c r="T350" t="s">
        <v>10621</v>
      </c>
    </row>
    <row r="351" spans="1:20">
      <c r="A351" t="s">
        <v>10619</v>
      </c>
      <c r="B351" t="s">
        <v>4540</v>
      </c>
      <c r="C351" t="s">
        <v>2629</v>
      </c>
      <c r="D351" t="s">
        <v>13</v>
      </c>
      <c r="E351" t="s">
        <v>75</v>
      </c>
      <c r="F351" t="s">
        <v>10621</v>
      </c>
      <c r="H351" t="s">
        <v>10619</v>
      </c>
      <c r="I351" t="s">
        <v>7894</v>
      </c>
      <c r="J351" t="s">
        <v>6315</v>
      </c>
      <c r="K351" t="s">
        <v>13</v>
      </c>
      <c r="L351" t="s">
        <v>75</v>
      </c>
      <c r="M351" t="s">
        <v>10620</v>
      </c>
      <c r="O351" t="s">
        <v>10619</v>
      </c>
      <c r="P351" t="s">
        <v>10180</v>
      </c>
      <c r="Q351" t="s">
        <v>9474</v>
      </c>
      <c r="R351" t="s">
        <v>13</v>
      </c>
      <c r="S351" t="s">
        <v>75</v>
      </c>
      <c r="T351" t="s">
        <v>10621</v>
      </c>
    </row>
    <row r="352" spans="1:20">
      <c r="A352" t="s">
        <v>10619</v>
      </c>
      <c r="B352" t="s">
        <v>4541</v>
      </c>
      <c r="C352" t="s">
        <v>2631</v>
      </c>
      <c r="D352" t="s">
        <v>13</v>
      </c>
      <c r="E352" t="s">
        <v>75</v>
      </c>
      <c r="F352" t="s">
        <v>10621</v>
      </c>
      <c r="H352" t="s">
        <v>10619</v>
      </c>
      <c r="I352" t="s">
        <v>7895</v>
      </c>
      <c r="J352" t="s">
        <v>6317</v>
      </c>
      <c r="K352" t="s">
        <v>13</v>
      </c>
      <c r="L352" t="s">
        <v>75</v>
      </c>
      <c r="M352" t="s">
        <v>10624</v>
      </c>
      <c r="O352" t="s">
        <v>10619</v>
      </c>
      <c r="P352" t="s">
        <v>10181</v>
      </c>
      <c r="Q352" t="s">
        <v>9482</v>
      </c>
      <c r="R352" t="s">
        <v>13</v>
      </c>
      <c r="S352" t="s">
        <v>75</v>
      </c>
      <c r="T352" t="s">
        <v>10620</v>
      </c>
    </row>
    <row r="353" spans="1:20">
      <c r="A353" t="s">
        <v>10619</v>
      </c>
      <c r="B353" t="s">
        <v>4542</v>
      </c>
      <c r="C353" t="s">
        <v>2631</v>
      </c>
      <c r="D353" t="s">
        <v>13</v>
      </c>
      <c r="E353" t="s">
        <v>75</v>
      </c>
      <c r="F353" t="s">
        <v>10621</v>
      </c>
      <c r="H353" t="s">
        <v>10619</v>
      </c>
      <c r="I353" t="s">
        <v>7896</v>
      </c>
      <c r="J353" t="s">
        <v>6319</v>
      </c>
      <c r="K353" t="s">
        <v>13</v>
      </c>
      <c r="L353" t="s">
        <v>75</v>
      </c>
      <c r="M353" t="s">
        <v>10624</v>
      </c>
      <c r="O353" t="s">
        <v>10619</v>
      </c>
      <c r="P353" t="s">
        <v>10182</v>
      </c>
      <c r="Q353" t="s">
        <v>9484</v>
      </c>
      <c r="R353" t="s">
        <v>13</v>
      </c>
      <c r="S353" t="s">
        <v>75</v>
      </c>
      <c r="T353" t="s">
        <v>10620</v>
      </c>
    </row>
    <row r="354" spans="1:20">
      <c r="A354" t="s">
        <v>10619</v>
      </c>
      <c r="B354" t="s">
        <v>4543</v>
      </c>
      <c r="C354" t="s">
        <v>2634</v>
      </c>
      <c r="D354" t="s">
        <v>13</v>
      </c>
      <c r="E354" t="s">
        <v>75</v>
      </c>
      <c r="F354" t="s">
        <v>10621</v>
      </c>
      <c r="H354" t="s">
        <v>10619</v>
      </c>
      <c r="I354" t="s">
        <v>7897</v>
      </c>
      <c r="J354" t="s">
        <v>6321</v>
      </c>
      <c r="K354" t="s">
        <v>13</v>
      </c>
      <c r="L354" t="s">
        <v>75</v>
      </c>
      <c r="M354" t="s">
        <v>10624</v>
      </c>
      <c r="O354" t="s">
        <v>10619</v>
      </c>
      <c r="P354" t="s">
        <v>10183</v>
      </c>
      <c r="Q354" t="s">
        <v>9482</v>
      </c>
      <c r="R354" t="s">
        <v>13</v>
      </c>
      <c r="S354" t="s">
        <v>75</v>
      </c>
      <c r="T354" t="s">
        <v>10620</v>
      </c>
    </row>
    <row r="355" spans="1:20">
      <c r="A355" t="s">
        <v>10619</v>
      </c>
      <c r="B355" t="s">
        <v>4544</v>
      </c>
      <c r="C355" t="s">
        <v>2636</v>
      </c>
      <c r="D355" t="s">
        <v>13</v>
      </c>
      <c r="E355" t="s">
        <v>75</v>
      </c>
      <c r="F355" t="s">
        <v>10621</v>
      </c>
      <c r="H355" t="s">
        <v>10619</v>
      </c>
      <c r="I355" t="s">
        <v>7898</v>
      </c>
      <c r="J355" t="s">
        <v>6323</v>
      </c>
      <c r="K355" t="s">
        <v>13</v>
      </c>
      <c r="L355" t="s">
        <v>75</v>
      </c>
      <c r="M355" t="s">
        <v>10635</v>
      </c>
      <c r="O355" t="s">
        <v>10619</v>
      </c>
      <c r="P355" t="s">
        <v>10184</v>
      </c>
      <c r="Q355" t="s">
        <v>9487</v>
      </c>
      <c r="R355" t="s">
        <v>13</v>
      </c>
      <c r="S355" t="s">
        <v>75</v>
      </c>
      <c r="T355" t="s">
        <v>10621</v>
      </c>
    </row>
    <row r="356" spans="1:20">
      <c r="A356" t="s">
        <v>10619</v>
      </c>
      <c r="B356" t="s">
        <v>4545</v>
      </c>
      <c r="C356" t="s">
        <v>2638</v>
      </c>
      <c r="D356" t="s">
        <v>13</v>
      </c>
      <c r="E356" t="s">
        <v>75</v>
      </c>
      <c r="F356" t="s">
        <v>10621</v>
      </c>
      <c r="H356" t="s">
        <v>10619</v>
      </c>
      <c r="I356" t="s">
        <v>7899</v>
      </c>
      <c r="J356" t="s">
        <v>6325</v>
      </c>
      <c r="K356" t="s">
        <v>13</v>
      </c>
      <c r="L356" t="s">
        <v>75</v>
      </c>
      <c r="M356" t="s">
        <v>10635</v>
      </c>
      <c r="O356" t="s">
        <v>10619</v>
      </c>
      <c r="P356" t="s">
        <v>10185</v>
      </c>
      <c r="Q356" t="s">
        <v>9489</v>
      </c>
      <c r="R356" t="s">
        <v>13</v>
      </c>
      <c r="S356" t="s">
        <v>75</v>
      </c>
      <c r="T356" t="s">
        <v>10621</v>
      </c>
    </row>
    <row r="357" spans="1:20">
      <c r="A357" t="s">
        <v>10619</v>
      </c>
      <c r="B357" t="s">
        <v>4546</v>
      </c>
      <c r="C357" t="s">
        <v>2640</v>
      </c>
      <c r="D357" t="s">
        <v>13</v>
      </c>
      <c r="E357" t="s">
        <v>75</v>
      </c>
      <c r="F357" t="s">
        <v>10621</v>
      </c>
      <c r="H357" t="s">
        <v>10619</v>
      </c>
      <c r="I357" t="s">
        <v>7900</v>
      </c>
      <c r="J357" t="s">
        <v>6327</v>
      </c>
      <c r="K357" t="s">
        <v>13</v>
      </c>
      <c r="L357" t="s">
        <v>75</v>
      </c>
      <c r="M357" t="s">
        <v>10635</v>
      </c>
      <c r="O357" t="s">
        <v>10619</v>
      </c>
      <c r="P357" t="s">
        <v>10186</v>
      </c>
      <c r="Q357" t="s">
        <v>9491</v>
      </c>
      <c r="R357" t="s">
        <v>13</v>
      </c>
      <c r="S357" t="s">
        <v>75</v>
      </c>
      <c r="T357" t="s">
        <v>10621</v>
      </c>
    </row>
    <row r="358" spans="1:20">
      <c r="A358" t="s">
        <v>10619</v>
      </c>
      <c r="B358" t="s">
        <v>4547</v>
      </c>
      <c r="C358" t="s">
        <v>2642</v>
      </c>
      <c r="D358" t="s">
        <v>13</v>
      </c>
      <c r="E358" t="s">
        <v>75</v>
      </c>
      <c r="F358" t="s">
        <v>10621</v>
      </c>
      <c r="H358" t="s">
        <v>10619</v>
      </c>
      <c r="I358" t="s">
        <v>7901</v>
      </c>
      <c r="J358" t="s">
        <v>6329</v>
      </c>
      <c r="K358" t="s">
        <v>13</v>
      </c>
      <c r="L358" t="s">
        <v>75</v>
      </c>
      <c r="M358" t="s">
        <v>10635</v>
      </c>
      <c r="O358" t="s">
        <v>10619</v>
      </c>
      <c r="P358" t="s">
        <v>10187</v>
      </c>
      <c r="Q358" t="s">
        <v>9491</v>
      </c>
      <c r="R358" t="s">
        <v>13</v>
      </c>
      <c r="S358" t="s">
        <v>75</v>
      </c>
      <c r="T358" t="s">
        <v>10621</v>
      </c>
    </row>
    <row r="359" spans="1:20">
      <c r="A359" t="s">
        <v>10619</v>
      </c>
      <c r="B359" t="s">
        <v>4548</v>
      </c>
      <c r="C359" t="s">
        <v>2644</v>
      </c>
      <c r="D359" t="s">
        <v>13</v>
      </c>
      <c r="E359" t="s">
        <v>75</v>
      </c>
      <c r="F359" t="s">
        <v>10621</v>
      </c>
      <c r="H359" t="s">
        <v>10619</v>
      </c>
      <c r="I359" t="s">
        <v>7902</v>
      </c>
      <c r="J359" t="s">
        <v>6331</v>
      </c>
      <c r="K359" t="s">
        <v>13</v>
      </c>
      <c r="L359" t="s">
        <v>75</v>
      </c>
      <c r="M359" t="s">
        <v>10635</v>
      </c>
      <c r="O359" t="s">
        <v>10619</v>
      </c>
      <c r="P359" t="s">
        <v>10188</v>
      </c>
      <c r="Q359" t="s">
        <v>9494</v>
      </c>
      <c r="R359" t="s">
        <v>13</v>
      </c>
      <c r="S359" t="s">
        <v>75</v>
      </c>
      <c r="T359" t="s">
        <v>10624</v>
      </c>
    </row>
    <row r="360" spans="1:20">
      <c r="A360" t="s">
        <v>10619</v>
      </c>
      <c r="B360" t="s">
        <v>4549</v>
      </c>
      <c r="C360" t="s">
        <v>2646</v>
      </c>
      <c r="D360" t="s">
        <v>13</v>
      </c>
      <c r="E360" t="s">
        <v>75</v>
      </c>
      <c r="F360" t="s">
        <v>10621</v>
      </c>
      <c r="H360" t="s">
        <v>10619</v>
      </c>
      <c r="I360" t="s">
        <v>7903</v>
      </c>
      <c r="J360" t="s">
        <v>6333</v>
      </c>
      <c r="K360" t="s">
        <v>13</v>
      </c>
      <c r="L360" t="s">
        <v>75</v>
      </c>
      <c r="M360" t="s">
        <v>10624</v>
      </c>
      <c r="O360" t="s">
        <v>10619</v>
      </c>
      <c r="P360" t="s">
        <v>10189</v>
      </c>
      <c r="Q360" t="s">
        <v>9496</v>
      </c>
      <c r="R360" t="s">
        <v>13</v>
      </c>
      <c r="S360" t="s">
        <v>75</v>
      </c>
      <c r="T360" t="s">
        <v>10624</v>
      </c>
    </row>
    <row r="361" spans="1:20">
      <c r="A361" t="s">
        <v>10619</v>
      </c>
      <c r="B361" t="s">
        <v>4550</v>
      </c>
      <c r="C361" t="s">
        <v>2648</v>
      </c>
      <c r="D361" t="s">
        <v>13</v>
      </c>
      <c r="E361" t="s">
        <v>75</v>
      </c>
      <c r="F361" t="s">
        <v>10621</v>
      </c>
      <c r="H361" t="s">
        <v>10619</v>
      </c>
      <c r="I361" t="s">
        <v>7904</v>
      </c>
      <c r="J361" t="s">
        <v>6335</v>
      </c>
      <c r="K361" t="s">
        <v>13</v>
      </c>
      <c r="L361" t="s">
        <v>75</v>
      </c>
      <c r="M361" t="s">
        <v>10624</v>
      </c>
      <c r="O361" t="s">
        <v>10619</v>
      </c>
      <c r="P361" t="s">
        <v>10190</v>
      </c>
      <c r="Q361" t="s">
        <v>9498</v>
      </c>
      <c r="R361" t="s">
        <v>13</v>
      </c>
      <c r="S361" t="s">
        <v>75</v>
      </c>
      <c r="T361" t="s">
        <v>10624</v>
      </c>
    </row>
    <row r="362" spans="1:20">
      <c r="A362" t="s">
        <v>10619</v>
      </c>
      <c r="B362" t="s">
        <v>4551</v>
      </c>
      <c r="C362" t="s">
        <v>2650</v>
      </c>
      <c r="D362" t="s">
        <v>13</v>
      </c>
      <c r="E362" t="s">
        <v>75</v>
      </c>
      <c r="F362" t="s">
        <v>498</v>
      </c>
      <c r="H362" t="s">
        <v>10619</v>
      </c>
      <c r="I362" t="s">
        <v>7905</v>
      </c>
      <c r="J362" t="s">
        <v>6337</v>
      </c>
      <c r="K362" t="s">
        <v>13</v>
      </c>
      <c r="L362" t="s">
        <v>75</v>
      </c>
      <c r="M362" t="s">
        <v>10626</v>
      </c>
      <c r="O362" t="s">
        <v>10619</v>
      </c>
      <c r="P362" t="s">
        <v>10191</v>
      </c>
      <c r="Q362" t="s">
        <v>9500</v>
      </c>
      <c r="R362" t="s">
        <v>13</v>
      </c>
      <c r="S362" t="s">
        <v>75</v>
      </c>
      <c r="T362" t="s">
        <v>10624</v>
      </c>
    </row>
    <row r="363" spans="1:20">
      <c r="A363" t="s">
        <v>10619</v>
      </c>
      <c r="B363" t="s">
        <v>4552</v>
      </c>
      <c r="C363" t="s">
        <v>2652</v>
      </c>
      <c r="D363" t="s">
        <v>13</v>
      </c>
      <c r="E363" t="s">
        <v>75</v>
      </c>
      <c r="F363" t="s">
        <v>498</v>
      </c>
      <c r="H363" t="s">
        <v>10619</v>
      </c>
      <c r="I363" t="s">
        <v>7906</v>
      </c>
      <c r="J363" t="s">
        <v>6339</v>
      </c>
      <c r="K363" t="s">
        <v>13</v>
      </c>
      <c r="L363" t="s">
        <v>75</v>
      </c>
      <c r="M363" t="s">
        <v>10626</v>
      </c>
      <c r="O363" t="s">
        <v>10619</v>
      </c>
      <c r="P363" t="s">
        <v>10192</v>
      </c>
      <c r="Q363" t="s">
        <v>9500</v>
      </c>
      <c r="R363" t="s">
        <v>13</v>
      </c>
      <c r="S363" t="s">
        <v>75</v>
      </c>
      <c r="T363" t="s">
        <v>10624</v>
      </c>
    </row>
    <row r="364" spans="1:20">
      <c r="A364" t="s">
        <v>10619</v>
      </c>
      <c r="B364" t="s">
        <v>4553</v>
      </c>
      <c r="C364" t="s">
        <v>2654</v>
      </c>
      <c r="D364" t="s">
        <v>13</v>
      </c>
      <c r="E364" t="s">
        <v>75</v>
      </c>
      <c r="F364" t="s">
        <v>498</v>
      </c>
      <c r="H364" t="s">
        <v>10619</v>
      </c>
      <c r="I364" t="s">
        <v>7907</v>
      </c>
      <c r="J364" t="s">
        <v>6341</v>
      </c>
      <c r="K364" t="s">
        <v>13</v>
      </c>
      <c r="L364" t="s">
        <v>75</v>
      </c>
      <c r="M364" t="s">
        <v>10626</v>
      </c>
      <c r="O364" t="s">
        <v>10619</v>
      </c>
      <c r="P364" t="s">
        <v>10193</v>
      </c>
      <c r="Q364" t="s">
        <v>9503</v>
      </c>
      <c r="R364" t="s">
        <v>13</v>
      </c>
      <c r="S364" t="s">
        <v>75</v>
      </c>
      <c r="T364" t="s">
        <v>10625</v>
      </c>
    </row>
    <row r="365" spans="1:20">
      <c r="A365" t="s">
        <v>10619</v>
      </c>
      <c r="B365" t="s">
        <v>4554</v>
      </c>
      <c r="C365" t="s">
        <v>2656</v>
      </c>
      <c r="D365" t="s">
        <v>13</v>
      </c>
      <c r="E365" t="s">
        <v>75</v>
      </c>
      <c r="F365" t="s">
        <v>498</v>
      </c>
      <c r="H365" t="s">
        <v>10619</v>
      </c>
      <c r="I365" t="s">
        <v>7908</v>
      </c>
      <c r="J365" t="s">
        <v>6343</v>
      </c>
      <c r="K365" t="s">
        <v>13</v>
      </c>
      <c r="L365" t="s">
        <v>75</v>
      </c>
      <c r="M365" t="s">
        <v>10626</v>
      </c>
      <c r="O365" t="s">
        <v>10619</v>
      </c>
      <c r="P365" t="s">
        <v>10194</v>
      </c>
      <c r="Q365" t="s">
        <v>9505</v>
      </c>
      <c r="R365" t="s">
        <v>13</v>
      </c>
      <c r="S365" t="s">
        <v>75</v>
      </c>
      <c r="T365" t="s">
        <v>10625</v>
      </c>
    </row>
    <row r="366" spans="1:20">
      <c r="A366" t="s">
        <v>10619</v>
      </c>
      <c r="B366" t="s">
        <v>4555</v>
      </c>
      <c r="C366" t="s">
        <v>2658</v>
      </c>
      <c r="D366" t="s">
        <v>13</v>
      </c>
      <c r="E366" t="s">
        <v>75</v>
      </c>
      <c r="F366" t="s">
        <v>498</v>
      </c>
      <c r="H366" t="s">
        <v>10619</v>
      </c>
      <c r="I366" t="s">
        <v>7909</v>
      </c>
      <c r="J366" t="s">
        <v>6345</v>
      </c>
      <c r="K366" t="s">
        <v>13</v>
      </c>
      <c r="L366" t="s">
        <v>75</v>
      </c>
      <c r="M366" t="s">
        <v>10620</v>
      </c>
      <c r="O366" t="s">
        <v>10619</v>
      </c>
      <c r="P366" t="s">
        <v>10195</v>
      </c>
      <c r="Q366" t="s">
        <v>9507</v>
      </c>
      <c r="R366" t="s">
        <v>13</v>
      </c>
      <c r="S366" t="s">
        <v>75</v>
      </c>
      <c r="T366" t="s">
        <v>543</v>
      </c>
    </row>
    <row r="367" spans="1:20">
      <c r="A367" t="s">
        <v>10619</v>
      </c>
      <c r="B367" t="s">
        <v>4556</v>
      </c>
      <c r="C367" t="s">
        <v>2660</v>
      </c>
      <c r="D367" t="s">
        <v>13</v>
      </c>
      <c r="E367" t="s">
        <v>75</v>
      </c>
      <c r="F367" t="s">
        <v>498</v>
      </c>
      <c r="H367" t="s">
        <v>10619</v>
      </c>
      <c r="I367" t="s">
        <v>7910</v>
      </c>
      <c r="J367" t="s">
        <v>6347</v>
      </c>
      <c r="K367" t="s">
        <v>13</v>
      </c>
      <c r="L367" t="s">
        <v>75</v>
      </c>
      <c r="M367" t="s">
        <v>10620</v>
      </c>
      <c r="O367" t="s">
        <v>10619</v>
      </c>
      <c r="P367" t="s">
        <v>10196</v>
      </c>
      <c r="Q367" t="s">
        <v>9509</v>
      </c>
      <c r="R367" t="s">
        <v>13</v>
      </c>
      <c r="S367" t="s">
        <v>75</v>
      </c>
      <c r="T367" t="s">
        <v>543</v>
      </c>
    </row>
    <row r="368" spans="1:20">
      <c r="A368" t="s">
        <v>10619</v>
      </c>
      <c r="B368" t="s">
        <v>4557</v>
      </c>
      <c r="C368" t="s">
        <v>2662</v>
      </c>
      <c r="D368" t="s">
        <v>13</v>
      </c>
      <c r="E368" t="s">
        <v>75</v>
      </c>
      <c r="F368" t="s">
        <v>498</v>
      </c>
      <c r="H368" t="s">
        <v>10619</v>
      </c>
      <c r="I368" t="s">
        <v>7911</v>
      </c>
      <c r="J368" t="s">
        <v>6349</v>
      </c>
      <c r="K368" t="s">
        <v>13</v>
      </c>
      <c r="L368" t="s">
        <v>75</v>
      </c>
      <c r="M368" t="s">
        <v>10620</v>
      </c>
      <c r="O368" t="s">
        <v>10619</v>
      </c>
      <c r="P368" t="s">
        <v>10197</v>
      </c>
      <c r="Q368" t="s">
        <v>9507</v>
      </c>
      <c r="R368" t="s">
        <v>13</v>
      </c>
      <c r="S368" t="s">
        <v>75</v>
      </c>
      <c r="T368" t="s">
        <v>543</v>
      </c>
    </row>
    <row r="369" spans="1:20">
      <c r="A369" t="s">
        <v>10619</v>
      </c>
      <c r="B369" t="s">
        <v>4558</v>
      </c>
      <c r="C369" t="s">
        <v>2664</v>
      </c>
      <c r="D369" t="s">
        <v>13</v>
      </c>
      <c r="E369" t="s">
        <v>75</v>
      </c>
      <c r="F369" t="s">
        <v>498</v>
      </c>
      <c r="H369" t="s">
        <v>10619</v>
      </c>
      <c r="I369" t="s">
        <v>7912</v>
      </c>
      <c r="J369" t="s">
        <v>6351</v>
      </c>
      <c r="K369" t="s">
        <v>13</v>
      </c>
      <c r="L369" t="s">
        <v>75</v>
      </c>
      <c r="M369" t="s">
        <v>10620</v>
      </c>
      <c r="O369" t="s">
        <v>10619</v>
      </c>
      <c r="P369" t="s">
        <v>10198</v>
      </c>
      <c r="Q369" t="s">
        <v>9507</v>
      </c>
      <c r="R369" t="s">
        <v>13</v>
      </c>
      <c r="S369" t="s">
        <v>75</v>
      </c>
      <c r="T369" t="s">
        <v>543</v>
      </c>
    </row>
    <row r="370" spans="1:20">
      <c r="A370" t="s">
        <v>10619</v>
      </c>
      <c r="B370" t="s">
        <v>4559</v>
      </c>
      <c r="C370" t="s">
        <v>2666</v>
      </c>
      <c r="D370" t="s">
        <v>13</v>
      </c>
      <c r="E370" t="s">
        <v>75</v>
      </c>
      <c r="F370" t="s">
        <v>498</v>
      </c>
      <c r="H370" t="s">
        <v>10619</v>
      </c>
      <c r="I370" t="s">
        <v>7913</v>
      </c>
      <c r="J370" t="s">
        <v>6353</v>
      </c>
      <c r="K370" t="s">
        <v>13</v>
      </c>
      <c r="L370" t="s">
        <v>75</v>
      </c>
      <c r="M370" t="s">
        <v>10620</v>
      </c>
      <c r="O370" t="s">
        <v>10619</v>
      </c>
      <c r="P370" t="s">
        <v>10199</v>
      </c>
      <c r="Q370" t="s">
        <v>9513</v>
      </c>
      <c r="R370" t="s">
        <v>13</v>
      </c>
      <c r="S370" t="s">
        <v>75</v>
      </c>
      <c r="T370" t="s">
        <v>543</v>
      </c>
    </row>
    <row r="371" spans="1:20">
      <c r="A371" t="s">
        <v>10619</v>
      </c>
      <c r="B371" t="s">
        <v>4560</v>
      </c>
      <c r="C371" t="s">
        <v>2668</v>
      </c>
      <c r="D371" t="s">
        <v>13</v>
      </c>
      <c r="E371" t="s">
        <v>75</v>
      </c>
      <c r="F371" t="s">
        <v>10621</v>
      </c>
      <c r="H371" t="s">
        <v>10619</v>
      </c>
      <c r="I371" t="s">
        <v>7914</v>
      </c>
      <c r="J371" t="s">
        <v>6355</v>
      </c>
      <c r="K371" t="s">
        <v>13</v>
      </c>
      <c r="L371" t="s">
        <v>75</v>
      </c>
      <c r="M371" t="s">
        <v>10620</v>
      </c>
      <c r="O371" t="s">
        <v>10619</v>
      </c>
      <c r="P371" t="s">
        <v>10200</v>
      </c>
      <c r="Q371" t="s">
        <v>9515</v>
      </c>
      <c r="R371" t="s">
        <v>13</v>
      </c>
      <c r="S371" t="s">
        <v>75</v>
      </c>
      <c r="T371" t="s">
        <v>543</v>
      </c>
    </row>
    <row r="372" spans="1:20">
      <c r="A372" t="s">
        <v>10619</v>
      </c>
      <c r="B372" t="s">
        <v>4561</v>
      </c>
      <c r="C372" t="s">
        <v>2670</v>
      </c>
      <c r="D372" t="s">
        <v>13</v>
      </c>
      <c r="E372" t="s">
        <v>75</v>
      </c>
      <c r="F372" t="s">
        <v>10621</v>
      </c>
      <c r="H372" t="s">
        <v>10619</v>
      </c>
      <c r="I372" t="s">
        <v>7915</v>
      </c>
      <c r="J372" t="s">
        <v>6357</v>
      </c>
      <c r="K372" t="s">
        <v>13</v>
      </c>
      <c r="L372" t="s">
        <v>75</v>
      </c>
      <c r="M372" t="s">
        <v>10620</v>
      </c>
      <c r="O372" t="s">
        <v>10619</v>
      </c>
      <c r="P372" t="s">
        <v>10201</v>
      </c>
      <c r="Q372" t="s">
        <v>9517</v>
      </c>
      <c r="R372" t="s">
        <v>13</v>
      </c>
      <c r="S372" t="s">
        <v>75</v>
      </c>
      <c r="T372" t="s">
        <v>543</v>
      </c>
    </row>
    <row r="373" spans="1:20">
      <c r="A373" t="s">
        <v>10619</v>
      </c>
      <c r="B373" t="s">
        <v>4562</v>
      </c>
      <c r="C373" t="s">
        <v>2668</v>
      </c>
      <c r="D373" t="s">
        <v>13</v>
      </c>
      <c r="E373" t="s">
        <v>75</v>
      </c>
      <c r="F373" t="s">
        <v>10621</v>
      </c>
      <c r="H373" t="s">
        <v>10619</v>
      </c>
      <c r="I373" t="s">
        <v>7916</v>
      </c>
      <c r="J373" t="s">
        <v>6359</v>
      </c>
      <c r="K373" t="s">
        <v>13</v>
      </c>
      <c r="L373" t="s">
        <v>75</v>
      </c>
      <c r="M373" t="s">
        <v>10620</v>
      </c>
      <c r="O373" t="s">
        <v>10619</v>
      </c>
      <c r="P373" t="s">
        <v>10202</v>
      </c>
      <c r="Q373" t="s">
        <v>9519</v>
      </c>
      <c r="R373" t="s">
        <v>13</v>
      </c>
      <c r="S373" t="s">
        <v>75</v>
      </c>
      <c r="T373" t="s">
        <v>543</v>
      </c>
    </row>
    <row r="374" spans="1:20">
      <c r="A374" t="s">
        <v>10619</v>
      </c>
      <c r="B374" t="s">
        <v>4563</v>
      </c>
      <c r="C374" t="s">
        <v>2673</v>
      </c>
      <c r="D374" t="s">
        <v>13</v>
      </c>
      <c r="E374" t="s">
        <v>75</v>
      </c>
      <c r="F374" t="s">
        <v>10621</v>
      </c>
      <c r="H374" t="s">
        <v>10619</v>
      </c>
      <c r="I374" t="s">
        <v>7917</v>
      </c>
      <c r="J374" t="s">
        <v>6361</v>
      </c>
      <c r="K374" t="s">
        <v>13</v>
      </c>
      <c r="L374" t="s">
        <v>75</v>
      </c>
      <c r="M374" t="s">
        <v>10620</v>
      </c>
      <c r="O374" t="s">
        <v>10619</v>
      </c>
      <c r="P374" t="s">
        <v>10203</v>
      </c>
      <c r="Q374" t="s">
        <v>9521</v>
      </c>
      <c r="R374" t="s">
        <v>13</v>
      </c>
      <c r="S374" t="s">
        <v>75</v>
      </c>
      <c r="T374" t="s">
        <v>543</v>
      </c>
    </row>
    <row r="375" spans="1:20">
      <c r="A375" t="s">
        <v>10619</v>
      </c>
      <c r="B375" t="s">
        <v>4564</v>
      </c>
      <c r="C375" t="s">
        <v>2675</v>
      </c>
      <c r="D375" t="s">
        <v>13</v>
      </c>
      <c r="E375" t="s">
        <v>75</v>
      </c>
      <c r="F375" t="s">
        <v>10621</v>
      </c>
      <c r="H375" t="s">
        <v>10619</v>
      </c>
      <c r="I375" t="s">
        <v>7918</v>
      </c>
      <c r="J375" t="s">
        <v>6363</v>
      </c>
      <c r="K375" t="s">
        <v>13</v>
      </c>
      <c r="L375" t="s">
        <v>75</v>
      </c>
      <c r="M375" t="s">
        <v>10620</v>
      </c>
      <c r="O375" t="s">
        <v>10619</v>
      </c>
      <c r="P375" t="s">
        <v>10204</v>
      </c>
      <c r="Q375" t="s">
        <v>9523</v>
      </c>
      <c r="R375" t="s">
        <v>13</v>
      </c>
      <c r="S375" t="s">
        <v>75</v>
      </c>
      <c r="T375" t="s">
        <v>543</v>
      </c>
    </row>
    <row r="376" spans="1:20">
      <c r="A376" t="s">
        <v>10619</v>
      </c>
      <c r="B376" t="s">
        <v>4565</v>
      </c>
      <c r="C376" t="s">
        <v>2677</v>
      </c>
      <c r="D376" t="s">
        <v>13</v>
      </c>
      <c r="E376" t="s">
        <v>75</v>
      </c>
      <c r="F376" t="s">
        <v>10633</v>
      </c>
      <c r="H376" t="s">
        <v>10619</v>
      </c>
      <c r="I376" t="s">
        <v>7919</v>
      </c>
      <c r="J376" t="s">
        <v>6365</v>
      </c>
      <c r="K376" t="s">
        <v>13</v>
      </c>
      <c r="L376" t="s">
        <v>75</v>
      </c>
      <c r="M376" t="s">
        <v>102</v>
      </c>
      <c r="O376" t="s">
        <v>10619</v>
      </c>
      <c r="P376" t="s">
        <v>10205</v>
      </c>
      <c r="Q376" t="s">
        <v>9525</v>
      </c>
      <c r="R376" t="s">
        <v>13</v>
      </c>
      <c r="S376" t="s">
        <v>75</v>
      </c>
      <c r="T376" t="s">
        <v>10620</v>
      </c>
    </row>
    <row r="377" spans="1:20">
      <c r="A377" t="s">
        <v>10619</v>
      </c>
      <c r="B377" t="s">
        <v>4566</v>
      </c>
      <c r="C377" t="s">
        <v>2679</v>
      </c>
      <c r="D377" t="s">
        <v>13</v>
      </c>
      <c r="E377" t="s">
        <v>75</v>
      </c>
      <c r="F377" t="s">
        <v>10633</v>
      </c>
      <c r="H377" t="s">
        <v>10619</v>
      </c>
      <c r="I377" t="s">
        <v>7920</v>
      </c>
      <c r="J377" t="s">
        <v>6367</v>
      </c>
      <c r="K377" t="s">
        <v>13</v>
      </c>
      <c r="L377" t="s">
        <v>75</v>
      </c>
      <c r="M377" t="s">
        <v>102</v>
      </c>
      <c r="O377" t="s">
        <v>10619</v>
      </c>
      <c r="P377" t="s">
        <v>10206</v>
      </c>
      <c r="Q377" t="s">
        <v>9527</v>
      </c>
      <c r="R377" t="s">
        <v>13</v>
      </c>
      <c r="S377" t="s">
        <v>75</v>
      </c>
      <c r="T377" t="s">
        <v>10620</v>
      </c>
    </row>
    <row r="378" spans="1:20">
      <c r="A378" t="s">
        <v>10619</v>
      </c>
      <c r="B378" t="s">
        <v>4567</v>
      </c>
      <c r="C378" t="s">
        <v>2681</v>
      </c>
      <c r="D378" t="s">
        <v>13</v>
      </c>
      <c r="E378" t="s">
        <v>75</v>
      </c>
      <c r="F378" t="s">
        <v>10633</v>
      </c>
      <c r="H378" t="s">
        <v>10619</v>
      </c>
      <c r="I378" t="s">
        <v>7921</v>
      </c>
      <c r="J378" t="s">
        <v>6369</v>
      </c>
      <c r="K378" t="s">
        <v>13</v>
      </c>
      <c r="L378" t="s">
        <v>75</v>
      </c>
      <c r="M378" t="s">
        <v>102</v>
      </c>
      <c r="O378" t="s">
        <v>10619</v>
      </c>
      <c r="P378" t="s">
        <v>10207</v>
      </c>
      <c r="Q378" t="s">
        <v>9527</v>
      </c>
      <c r="R378" t="s">
        <v>13</v>
      </c>
      <c r="S378" t="s">
        <v>75</v>
      </c>
      <c r="T378" t="s">
        <v>10620</v>
      </c>
    </row>
    <row r="379" spans="1:20">
      <c r="A379" t="s">
        <v>10619</v>
      </c>
      <c r="B379" t="s">
        <v>4568</v>
      </c>
      <c r="C379" t="s">
        <v>2683</v>
      </c>
      <c r="D379" t="s">
        <v>13</v>
      </c>
      <c r="E379" t="s">
        <v>75</v>
      </c>
      <c r="F379" t="s">
        <v>10633</v>
      </c>
      <c r="H379" t="s">
        <v>10619</v>
      </c>
      <c r="I379" t="s">
        <v>7922</v>
      </c>
      <c r="J379" t="s">
        <v>6371</v>
      </c>
      <c r="K379" t="s">
        <v>13</v>
      </c>
      <c r="L379" t="s">
        <v>75</v>
      </c>
      <c r="M379" t="s">
        <v>102</v>
      </c>
      <c r="O379" t="s">
        <v>10619</v>
      </c>
      <c r="P379" t="s">
        <v>10208</v>
      </c>
      <c r="Q379" t="s">
        <v>9530</v>
      </c>
      <c r="R379" t="s">
        <v>13</v>
      </c>
      <c r="S379" t="s">
        <v>75</v>
      </c>
      <c r="T379" t="s">
        <v>10620</v>
      </c>
    </row>
    <row r="380" spans="1:20">
      <c r="A380" t="s">
        <v>10619</v>
      </c>
      <c r="B380" t="s">
        <v>4569</v>
      </c>
      <c r="C380" t="s">
        <v>2685</v>
      </c>
      <c r="D380" t="s">
        <v>13</v>
      </c>
      <c r="E380" t="s">
        <v>75</v>
      </c>
      <c r="F380" t="s">
        <v>10633</v>
      </c>
      <c r="H380" t="s">
        <v>10619</v>
      </c>
      <c r="I380" t="s">
        <v>7923</v>
      </c>
      <c r="J380" t="s">
        <v>6373</v>
      </c>
      <c r="K380" t="s">
        <v>13</v>
      </c>
      <c r="L380" t="s">
        <v>75</v>
      </c>
      <c r="M380" t="s">
        <v>102</v>
      </c>
      <c r="O380" t="s">
        <v>10619</v>
      </c>
      <c r="P380" t="s">
        <v>10209</v>
      </c>
      <c r="Q380" t="s">
        <v>9532</v>
      </c>
      <c r="R380" t="s">
        <v>13</v>
      </c>
      <c r="S380" t="s">
        <v>75</v>
      </c>
      <c r="T380" t="s">
        <v>10620</v>
      </c>
    </row>
    <row r="381" spans="1:20">
      <c r="A381" t="s">
        <v>10619</v>
      </c>
      <c r="B381" t="s">
        <v>4570</v>
      </c>
      <c r="C381" t="s">
        <v>2687</v>
      </c>
      <c r="D381" t="s">
        <v>13</v>
      </c>
      <c r="E381" t="s">
        <v>75</v>
      </c>
      <c r="F381" t="s">
        <v>10633</v>
      </c>
      <c r="H381" t="s">
        <v>10619</v>
      </c>
      <c r="I381" t="s">
        <v>7924</v>
      </c>
      <c r="J381" t="s">
        <v>6375</v>
      </c>
      <c r="K381" t="s">
        <v>13</v>
      </c>
      <c r="L381" t="s">
        <v>75</v>
      </c>
      <c r="M381" t="s">
        <v>102</v>
      </c>
      <c r="O381" t="s">
        <v>10619</v>
      </c>
      <c r="P381" t="s">
        <v>10210</v>
      </c>
      <c r="Q381" t="s">
        <v>9532</v>
      </c>
      <c r="R381" t="s">
        <v>13</v>
      </c>
      <c r="S381" t="s">
        <v>75</v>
      </c>
      <c r="T381" t="s">
        <v>10620</v>
      </c>
    </row>
    <row r="382" spans="1:20">
      <c r="A382" t="s">
        <v>10619</v>
      </c>
      <c r="B382" t="s">
        <v>4571</v>
      </c>
      <c r="C382" t="s">
        <v>2689</v>
      </c>
      <c r="D382" t="s">
        <v>13</v>
      </c>
      <c r="E382" t="s">
        <v>75</v>
      </c>
      <c r="F382" t="s">
        <v>10633</v>
      </c>
      <c r="H382" t="s">
        <v>10619</v>
      </c>
      <c r="I382" t="s">
        <v>7925</v>
      </c>
      <c r="J382" t="s">
        <v>6377</v>
      </c>
      <c r="K382" t="s">
        <v>13</v>
      </c>
      <c r="L382" t="s">
        <v>75</v>
      </c>
      <c r="M382" t="s">
        <v>102</v>
      </c>
      <c r="O382" t="s">
        <v>10619</v>
      </c>
      <c r="P382" t="s">
        <v>10211</v>
      </c>
      <c r="Q382" t="s">
        <v>9532</v>
      </c>
      <c r="R382" t="s">
        <v>13</v>
      </c>
      <c r="S382" t="s">
        <v>75</v>
      </c>
      <c r="T382" t="s">
        <v>10620</v>
      </c>
    </row>
    <row r="383" spans="1:20">
      <c r="A383" t="s">
        <v>10619</v>
      </c>
      <c r="B383" t="s">
        <v>4572</v>
      </c>
      <c r="C383" t="s">
        <v>2691</v>
      </c>
      <c r="D383" t="s">
        <v>13</v>
      </c>
      <c r="E383" t="s">
        <v>75</v>
      </c>
      <c r="F383" t="s">
        <v>10620</v>
      </c>
      <c r="H383" t="s">
        <v>10619</v>
      </c>
      <c r="I383" t="s">
        <v>7926</v>
      </c>
      <c r="J383" t="s">
        <v>6379</v>
      </c>
      <c r="K383" t="s">
        <v>13</v>
      </c>
      <c r="L383" t="s">
        <v>75</v>
      </c>
      <c r="M383" t="s">
        <v>102</v>
      </c>
      <c r="O383" t="s">
        <v>10619</v>
      </c>
      <c r="P383" t="s">
        <v>10212</v>
      </c>
      <c r="Q383" t="s">
        <v>9532</v>
      </c>
      <c r="R383" t="s">
        <v>13</v>
      </c>
      <c r="S383" t="s">
        <v>75</v>
      </c>
      <c r="T383" t="s">
        <v>10620</v>
      </c>
    </row>
    <row r="384" spans="1:20">
      <c r="A384" t="s">
        <v>10619</v>
      </c>
      <c r="B384" t="s">
        <v>4573</v>
      </c>
      <c r="C384" t="s">
        <v>2693</v>
      </c>
      <c r="D384" t="s">
        <v>13</v>
      </c>
      <c r="E384" t="s">
        <v>75</v>
      </c>
      <c r="F384" t="s">
        <v>10620</v>
      </c>
      <c r="H384" t="s">
        <v>10619</v>
      </c>
      <c r="I384" t="s">
        <v>7927</v>
      </c>
      <c r="J384" t="s">
        <v>6381</v>
      </c>
      <c r="K384" t="s">
        <v>13</v>
      </c>
      <c r="L384" t="s">
        <v>75</v>
      </c>
      <c r="M384" t="s">
        <v>102</v>
      </c>
      <c r="O384" t="s">
        <v>10619</v>
      </c>
      <c r="P384" t="s">
        <v>10213</v>
      </c>
      <c r="Q384" t="s">
        <v>9532</v>
      </c>
      <c r="R384" t="s">
        <v>13</v>
      </c>
      <c r="S384" t="s">
        <v>75</v>
      </c>
      <c r="T384" t="s">
        <v>10620</v>
      </c>
    </row>
    <row r="385" spans="1:20">
      <c r="A385" t="s">
        <v>10619</v>
      </c>
      <c r="B385" t="s">
        <v>4574</v>
      </c>
      <c r="C385" t="s">
        <v>2695</v>
      </c>
      <c r="D385" t="s">
        <v>13</v>
      </c>
      <c r="E385" t="s">
        <v>75</v>
      </c>
      <c r="F385" t="s">
        <v>10620</v>
      </c>
      <c r="H385" t="s">
        <v>10619</v>
      </c>
      <c r="I385" t="s">
        <v>7928</v>
      </c>
      <c r="J385" t="s">
        <v>6383</v>
      </c>
      <c r="K385" t="s">
        <v>13</v>
      </c>
      <c r="L385" t="s">
        <v>75</v>
      </c>
      <c r="M385" t="s">
        <v>102</v>
      </c>
      <c r="O385" t="s">
        <v>10619</v>
      </c>
      <c r="P385" t="s">
        <v>10214</v>
      </c>
      <c r="Q385" t="s">
        <v>9538</v>
      </c>
      <c r="R385" t="s">
        <v>13</v>
      </c>
      <c r="S385" t="s">
        <v>75</v>
      </c>
      <c r="T385" t="s">
        <v>10620</v>
      </c>
    </row>
    <row r="386" spans="1:20">
      <c r="A386" t="s">
        <v>10619</v>
      </c>
      <c r="B386" t="s">
        <v>4575</v>
      </c>
      <c r="C386" t="s">
        <v>2697</v>
      </c>
      <c r="D386" t="s">
        <v>13</v>
      </c>
      <c r="E386" t="s">
        <v>75</v>
      </c>
      <c r="F386" t="s">
        <v>10620</v>
      </c>
      <c r="H386" t="s">
        <v>10619</v>
      </c>
      <c r="I386" t="s">
        <v>7929</v>
      </c>
      <c r="J386" t="s">
        <v>6385</v>
      </c>
      <c r="K386" t="s">
        <v>13</v>
      </c>
      <c r="L386" t="s">
        <v>75</v>
      </c>
      <c r="M386" t="s">
        <v>102</v>
      </c>
      <c r="O386" t="s">
        <v>10619</v>
      </c>
      <c r="P386" t="s">
        <v>10215</v>
      </c>
      <c r="Q386" t="s">
        <v>9540</v>
      </c>
      <c r="R386" t="s">
        <v>13</v>
      </c>
      <c r="S386" t="s">
        <v>75</v>
      </c>
      <c r="T386" t="s">
        <v>10623</v>
      </c>
    </row>
    <row r="387" spans="1:20">
      <c r="A387" t="s">
        <v>10619</v>
      </c>
      <c r="B387" t="s">
        <v>4576</v>
      </c>
      <c r="C387" t="s">
        <v>2699</v>
      </c>
      <c r="D387" t="s">
        <v>13</v>
      </c>
      <c r="E387" t="s">
        <v>75</v>
      </c>
      <c r="F387" t="s">
        <v>10621</v>
      </c>
      <c r="H387" t="s">
        <v>10619</v>
      </c>
      <c r="I387" t="s">
        <v>7930</v>
      </c>
      <c r="J387" t="s">
        <v>6387</v>
      </c>
      <c r="K387" t="s">
        <v>13</v>
      </c>
      <c r="L387" t="s">
        <v>75</v>
      </c>
      <c r="M387" t="s">
        <v>102</v>
      </c>
      <c r="O387" t="s">
        <v>10619</v>
      </c>
      <c r="P387" t="s">
        <v>10216</v>
      </c>
      <c r="Q387" t="s">
        <v>9542</v>
      </c>
      <c r="R387" t="s">
        <v>13</v>
      </c>
      <c r="S387" t="s">
        <v>75</v>
      </c>
      <c r="T387" t="s">
        <v>10623</v>
      </c>
    </row>
    <row r="388" spans="1:20">
      <c r="A388" t="s">
        <v>10619</v>
      </c>
      <c r="B388" t="s">
        <v>4577</v>
      </c>
      <c r="C388" t="s">
        <v>2701</v>
      </c>
      <c r="D388" t="s">
        <v>13</v>
      </c>
      <c r="E388" t="s">
        <v>75</v>
      </c>
      <c r="F388" t="s">
        <v>10621</v>
      </c>
      <c r="H388" t="s">
        <v>10619</v>
      </c>
      <c r="I388" t="s">
        <v>7931</v>
      </c>
      <c r="J388" t="s">
        <v>6389</v>
      </c>
      <c r="K388" t="s">
        <v>13</v>
      </c>
      <c r="L388" t="s">
        <v>75</v>
      </c>
      <c r="M388" t="s">
        <v>102</v>
      </c>
      <c r="O388" t="s">
        <v>10619</v>
      </c>
      <c r="P388" t="s">
        <v>10217</v>
      </c>
      <c r="Q388" t="s">
        <v>9544</v>
      </c>
      <c r="R388" t="s">
        <v>13</v>
      </c>
      <c r="S388" t="s">
        <v>75</v>
      </c>
      <c r="T388" t="s">
        <v>10623</v>
      </c>
    </row>
    <row r="389" spans="1:20">
      <c r="A389" t="s">
        <v>10619</v>
      </c>
      <c r="B389" t="s">
        <v>4578</v>
      </c>
      <c r="C389" t="s">
        <v>2703</v>
      </c>
      <c r="D389" t="s">
        <v>13</v>
      </c>
      <c r="E389" t="s">
        <v>75</v>
      </c>
      <c r="F389" t="s">
        <v>10621</v>
      </c>
      <c r="H389" t="s">
        <v>10619</v>
      </c>
      <c r="I389" t="s">
        <v>7932</v>
      </c>
      <c r="J389" t="s">
        <v>6391</v>
      </c>
      <c r="K389" t="s">
        <v>13</v>
      </c>
      <c r="L389" t="s">
        <v>75</v>
      </c>
      <c r="M389" t="s">
        <v>102</v>
      </c>
      <c r="O389" t="s">
        <v>10619</v>
      </c>
      <c r="P389" t="s">
        <v>10218</v>
      </c>
      <c r="Q389" t="s">
        <v>9544</v>
      </c>
      <c r="R389" t="s">
        <v>13</v>
      </c>
      <c r="S389" t="s">
        <v>75</v>
      </c>
      <c r="T389" t="s">
        <v>10623</v>
      </c>
    </row>
    <row r="390" spans="1:20">
      <c r="A390" t="s">
        <v>10619</v>
      </c>
      <c r="B390" t="s">
        <v>4579</v>
      </c>
      <c r="C390" t="s">
        <v>2705</v>
      </c>
      <c r="D390" t="s">
        <v>13</v>
      </c>
      <c r="E390" t="s">
        <v>75</v>
      </c>
      <c r="F390" t="s">
        <v>10621</v>
      </c>
      <c r="H390" t="s">
        <v>10619</v>
      </c>
      <c r="I390" t="s">
        <v>7933</v>
      </c>
      <c r="J390" t="s">
        <v>6393</v>
      </c>
      <c r="K390" t="s">
        <v>13</v>
      </c>
      <c r="L390" t="s">
        <v>75</v>
      </c>
      <c r="M390" t="s">
        <v>102</v>
      </c>
      <c r="O390" t="s">
        <v>10619</v>
      </c>
      <c r="P390" t="s">
        <v>10219</v>
      </c>
      <c r="Q390" t="s">
        <v>9547</v>
      </c>
      <c r="R390" t="s">
        <v>13</v>
      </c>
      <c r="S390" t="s">
        <v>75</v>
      </c>
      <c r="T390" t="s">
        <v>10620</v>
      </c>
    </row>
    <row r="391" spans="1:20">
      <c r="A391" t="s">
        <v>10619</v>
      </c>
      <c r="B391" t="s">
        <v>4580</v>
      </c>
      <c r="C391" t="s">
        <v>2707</v>
      </c>
      <c r="D391" t="s">
        <v>13</v>
      </c>
      <c r="E391" t="s">
        <v>75</v>
      </c>
      <c r="F391" t="s">
        <v>10621</v>
      </c>
      <c r="H391" t="s">
        <v>10619</v>
      </c>
      <c r="I391" t="s">
        <v>7934</v>
      </c>
      <c r="J391" t="s">
        <v>6395</v>
      </c>
      <c r="K391" t="s">
        <v>13</v>
      </c>
      <c r="L391" t="s">
        <v>75</v>
      </c>
      <c r="M391" t="s">
        <v>102</v>
      </c>
      <c r="O391" t="s">
        <v>10619</v>
      </c>
      <c r="P391" t="s">
        <v>10220</v>
      </c>
      <c r="Q391" t="s">
        <v>9547</v>
      </c>
      <c r="R391" t="s">
        <v>13</v>
      </c>
      <c r="S391" t="s">
        <v>75</v>
      </c>
      <c r="T391" t="s">
        <v>10620</v>
      </c>
    </row>
    <row r="392" spans="1:20">
      <c r="A392" t="s">
        <v>10619</v>
      </c>
      <c r="B392" t="s">
        <v>4581</v>
      </c>
      <c r="C392" t="s">
        <v>2709</v>
      </c>
      <c r="D392" t="s">
        <v>13</v>
      </c>
      <c r="E392" t="s">
        <v>75</v>
      </c>
      <c r="F392" t="s">
        <v>10621</v>
      </c>
      <c r="H392" t="s">
        <v>10619</v>
      </c>
      <c r="I392" t="s">
        <v>7935</v>
      </c>
      <c r="J392" t="s">
        <v>6397</v>
      </c>
      <c r="K392" t="s">
        <v>13</v>
      </c>
      <c r="L392" t="s">
        <v>75</v>
      </c>
      <c r="M392" t="s">
        <v>509</v>
      </c>
      <c r="O392" t="s">
        <v>10619</v>
      </c>
      <c r="P392" t="s">
        <v>10221</v>
      </c>
      <c r="Q392" t="s">
        <v>9547</v>
      </c>
      <c r="R392" t="s">
        <v>13</v>
      </c>
      <c r="S392" t="s">
        <v>75</v>
      </c>
      <c r="T392" t="s">
        <v>10620</v>
      </c>
    </row>
    <row r="393" spans="1:20">
      <c r="A393" t="s">
        <v>10619</v>
      </c>
      <c r="B393" t="s">
        <v>4582</v>
      </c>
      <c r="C393" t="s">
        <v>2711</v>
      </c>
      <c r="D393" t="s">
        <v>13</v>
      </c>
      <c r="E393" t="s">
        <v>75</v>
      </c>
      <c r="F393" t="s">
        <v>10621</v>
      </c>
      <c r="H393" t="s">
        <v>10619</v>
      </c>
      <c r="I393" t="s">
        <v>7936</v>
      </c>
      <c r="J393" t="s">
        <v>6399</v>
      </c>
      <c r="K393" t="s">
        <v>13</v>
      </c>
      <c r="L393" t="s">
        <v>75</v>
      </c>
      <c r="M393" t="s">
        <v>509</v>
      </c>
      <c r="O393" t="s">
        <v>10619</v>
      </c>
      <c r="P393" t="s">
        <v>10222</v>
      </c>
      <c r="Q393" t="s">
        <v>9551</v>
      </c>
      <c r="R393" t="s">
        <v>13</v>
      </c>
      <c r="S393" t="s">
        <v>75</v>
      </c>
      <c r="T393" t="s">
        <v>10624</v>
      </c>
    </row>
    <row r="394" spans="1:20">
      <c r="A394" t="s">
        <v>10619</v>
      </c>
      <c r="B394" t="s">
        <v>4583</v>
      </c>
      <c r="C394" t="s">
        <v>2713</v>
      </c>
      <c r="D394" t="s">
        <v>13</v>
      </c>
      <c r="E394" t="s">
        <v>75</v>
      </c>
      <c r="F394" t="s">
        <v>10621</v>
      </c>
      <c r="H394" t="s">
        <v>10619</v>
      </c>
      <c r="I394" t="s">
        <v>7937</v>
      </c>
      <c r="J394" t="s">
        <v>6401</v>
      </c>
      <c r="K394" t="s">
        <v>13</v>
      </c>
      <c r="L394" t="s">
        <v>75</v>
      </c>
      <c r="M394" t="s">
        <v>509</v>
      </c>
      <c r="O394" t="s">
        <v>10619</v>
      </c>
      <c r="P394" t="s">
        <v>10223</v>
      </c>
      <c r="Q394" t="s">
        <v>9553</v>
      </c>
      <c r="R394" t="s">
        <v>13</v>
      </c>
      <c r="S394" t="s">
        <v>75</v>
      </c>
      <c r="T394" t="s">
        <v>10624</v>
      </c>
    </row>
    <row r="395" spans="1:20">
      <c r="A395" t="s">
        <v>10619</v>
      </c>
      <c r="B395" t="s">
        <v>4584</v>
      </c>
      <c r="C395" t="s">
        <v>2715</v>
      </c>
      <c r="D395" t="s">
        <v>13</v>
      </c>
      <c r="E395" t="s">
        <v>75</v>
      </c>
      <c r="F395" t="s">
        <v>10621</v>
      </c>
      <c r="H395" t="s">
        <v>10619</v>
      </c>
      <c r="I395" t="s">
        <v>7938</v>
      </c>
      <c r="J395" t="s">
        <v>6403</v>
      </c>
      <c r="K395" t="s">
        <v>13</v>
      </c>
      <c r="L395" t="s">
        <v>75</v>
      </c>
      <c r="M395" t="s">
        <v>509</v>
      </c>
      <c r="O395" t="s">
        <v>10619</v>
      </c>
      <c r="P395" t="s">
        <v>10224</v>
      </c>
      <c r="Q395" t="s">
        <v>9555</v>
      </c>
      <c r="R395" t="s">
        <v>13</v>
      </c>
      <c r="S395" t="s">
        <v>75</v>
      </c>
      <c r="T395" t="s">
        <v>10624</v>
      </c>
    </row>
    <row r="396" spans="1:20">
      <c r="A396" t="s">
        <v>10619</v>
      </c>
      <c r="B396" t="s">
        <v>4585</v>
      </c>
      <c r="C396" t="s">
        <v>2717</v>
      </c>
      <c r="D396" t="s">
        <v>13</v>
      </c>
      <c r="E396" t="s">
        <v>75</v>
      </c>
      <c r="F396" t="s">
        <v>10621</v>
      </c>
      <c r="H396" t="s">
        <v>10619</v>
      </c>
      <c r="I396" t="s">
        <v>7939</v>
      </c>
      <c r="J396" t="s">
        <v>6405</v>
      </c>
      <c r="K396" t="s">
        <v>13</v>
      </c>
      <c r="L396" t="s">
        <v>75</v>
      </c>
      <c r="M396" t="s">
        <v>10623</v>
      </c>
      <c r="O396" t="s">
        <v>10619</v>
      </c>
      <c r="P396" t="s">
        <v>10225</v>
      </c>
      <c r="Q396" t="s">
        <v>9555</v>
      </c>
      <c r="R396" t="s">
        <v>13</v>
      </c>
      <c r="S396" t="s">
        <v>75</v>
      </c>
      <c r="T396" t="s">
        <v>10624</v>
      </c>
    </row>
    <row r="397" spans="1:20">
      <c r="A397" t="s">
        <v>10619</v>
      </c>
      <c r="B397" t="s">
        <v>4586</v>
      </c>
      <c r="C397" t="s">
        <v>2719</v>
      </c>
      <c r="D397" t="s">
        <v>13</v>
      </c>
      <c r="E397" t="s">
        <v>75</v>
      </c>
      <c r="F397" t="s">
        <v>10621</v>
      </c>
      <c r="H397" t="s">
        <v>10619</v>
      </c>
      <c r="I397" t="s">
        <v>7940</v>
      </c>
      <c r="J397" t="s">
        <v>6407</v>
      </c>
      <c r="K397" t="s">
        <v>13</v>
      </c>
      <c r="L397" t="s">
        <v>75</v>
      </c>
      <c r="M397" t="s">
        <v>10623</v>
      </c>
      <c r="O397" t="s">
        <v>10619</v>
      </c>
      <c r="P397" t="s">
        <v>10226</v>
      </c>
      <c r="Q397" t="s">
        <v>9558</v>
      </c>
      <c r="R397" t="s">
        <v>13</v>
      </c>
      <c r="S397" t="s">
        <v>75</v>
      </c>
      <c r="T397" t="s">
        <v>10624</v>
      </c>
    </row>
    <row r="398" spans="1:20">
      <c r="A398" t="s">
        <v>10619</v>
      </c>
      <c r="B398" t="s">
        <v>4587</v>
      </c>
      <c r="C398" t="s">
        <v>2721</v>
      </c>
      <c r="D398" t="s">
        <v>13</v>
      </c>
      <c r="E398" t="s">
        <v>75</v>
      </c>
      <c r="F398" t="s">
        <v>10621</v>
      </c>
      <c r="H398" t="s">
        <v>10619</v>
      </c>
      <c r="I398" t="s">
        <v>7941</v>
      </c>
      <c r="J398" t="s">
        <v>6409</v>
      </c>
      <c r="K398" t="s">
        <v>13</v>
      </c>
      <c r="L398" t="s">
        <v>75</v>
      </c>
      <c r="M398" t="s">
        <v>10623</v>
      </c>
      <c r="O398" t="s">
        <v>10619</v>
      </c>
      <c r="P398" t="s">
        <v>10227</v>
      </c>
      <c r="Q398" t="s">
        <v>9560</v>
      </c>
      <c r="R398" t="s">
        <v>13</v>
      </c>
      <c r="S398" t="s">
        <v>75</v>
      </c>
      <c r="T398" t="s">
        <v>10624</v>
      </c>
    </row>
    <row r="399" spans="1:20">
      <c r="A399" t="s">
        <v>10619</v>
      </c>
      <c r="B399" t="s">
        <v>4588</v>
      </c>
      <c r="C399" t="s">
        <v>2723</v>
      </c>
      <c r="D399" t="s">
        <v>13</v>
      </c>
      <c r="E399" t="s">
        <v>75</v>
      </c>
      <c r="F399" t="s">
        <v>10621</v>
      </c>
      <c r="H399" t="s">
        <v>10619</v>
      </c>
      <c r="I399" t="s">
        <v>7942</v>
      </c>
      <c r="J399" t="s">
        <v>6411</v>
      </c>
      <c r="K399" t="s">
        <v>13</v>
      </c>
      <c r="L399" t="s">
        <v>75</v>
      </c>
      <c r="M399" t="s">
        <v>10623</v>
      </c>
      <c r="O399" t="s">
        <v>10619</v>
      </c>
      <c r="P399" t="s">
        <v>10228</v>
      </c>
      <c r="Q399" t="s">
        <v>9562</v>
      </c>
      <c r="R399" t="s">
        <v>13</v>
      </c>
      <c r="S399" t="s">
        <v>75</v>
      </c>
      <c r="T399" t="s">
        <v>10624</v>
      </c>
    </row>
    <row r="400" spans="1:20">
      <c r="A400" t="s">
        <v>10619</v>
      </c>
      <c r="B400" t="s">
        <v>4589</v>
      </c>
      <c r="C400" t="s">
        <v>2725</v>
      </c>
      <c r="D400" t="s">
        <v>13</v>
      </c>
      <c r="E400" t="s">
        <v>75</v>
      </c>
      <c r="F400" t="s">
        <v>10621</v>
      </c>
      <c r="H400" t="s">
        <v>10619</v>
      </c>
      <c r="I400" t="s">
        <v>7943</v>
      </c>
      <c r="J400" t="s">
        <v>6413</v>
      </c>
      <c r="K400" t="s">
        <v>13</v>
      </c>
      <c r="L400" t="s">
        <v>75</v>
      </c>
      <c r="M400" t="s">
        <v>10623</v>
      </c>
      <c r="O400" t="s">
        <v>10619</v>
      </c>
      <c r="P400" t="s">
        <v>10229</v>
      </c>
      <c r="Q400" t="s">
        <v>9564</v>
      </c>
      <c r="R400" t="s">
        <v>13</v>
      </c>
      <c r="S400" t="s">
        <v>75</v>
      </c>
      <c r="T400" t="s">
        <v>10620</v>
      </c>
    </row>
    <row r="401" spans="1:20">
      <c r="A401" t="s">
        <v>10619</v>
      </c>
      <c r="B401" t="s">
        <v>4590</v>
      </c>
      <c r="C401" t="s">
        <v>2727</v>
      </c>
      <c r="D401" t="s">
        <v>13</v>
      </c>
      <c r="E401" t="s">
        <v>75</v>
      </c>
      <c r="F401" t="s">
        <v>10621</v>
      </c>
      <c r="H401" t="s">
        <v>10619</v>
      </c>
      <c r="I401" t="s">
        <v>7944</v>
      </c>
      <c r="J401" t="s">
        <v>6411</v>
      </c>
      <c r="K401" t="s">
        <v>13</v>
      </c>
      <c r="L401" t="s">
        <v>75</v>
      </c>
      <c r="M401" t="s">
        <v>10623</v>
      </c>
      <c r="O401" t="s">
        <v>10619</v>
      </c>
      <c r="P401" t="s">
        <v>10230</v>
      </c>
      <c r="Q401" t="s">
        <v>9566</v>
      </c>
      <c r="R401" t="s">
        <v>13</v>
      </c>
      <c r="S401" t="s">
        <v>75</v>
      </c>
      <c r="T401" t="s">
        <v>10620</v>
      </c>
    </row>
    <row r="402" spans="1:20">
      <c r="A402" t="s">
        <v>10619</v>
      </c>
      <c r="B402" t="s">
        <v>4591</v>
      </c>
      <c r="C402" t="s">
        <v>2729</v>
      </c>
      <c r="D402" t="s">
        <v>13</v>
      </c>
      <c r="E402" t="s">
        <v>75</v>
      </c>
      <c r="F402" t="s">
        <v>10621</v>
      </c>
      <c r="H402" t="s">
        <v>10619</v>
      </c>
      <c r="I402" t="s">
        <v>7945</v>
      </c>
      <c r="J402" t="s">
        <v>6416</v>
      </c>
      <c r="K402" t="s">
        <v>13</v>
      </c>
      <c r="L402" t="s">
        <v>75</v>
      </c>
      <c r="M402" t="s">
        <v>10623</v>
      </c>
      <c r="O402" t="s">
        <v>10619</v>
      </c>
      <c r="P402" t="s">
        <v>10231</v>
      </c>
      <c r="Q402" t="s">
        <v>9568</v>
      </c>
      <c r="R402" t="s">
        <v>13</v>
      </c>
      <c r="S402" t="s">
        <v>75</v>
      </c>
      <c r="T402" t="s">
        <v>10620</v>
      </c>
    </row>
    <row r="403" spans="1:20">
      <c r="A403" t="s">
        <v>10619</v>
      </c>
      <c r="B403" t="s">
        <v>4592</v>
      </c>
      <c r="C403" t="s">
        <v>2731</v>
      </c>
      <c r="D403" t="s">
        <v>13</v>
      </c>
      <c r="E403" t="s">
        <v>75</v>
      </c>
      <c r="F403" t="s">
        <v>10621</v>
      </c>
      <c r="H403" t="s">
        <v>10619</v>
      </c>
      <c r="I403" t="s">
        <v>7946</v>
      </c>
      <c r="J403" t="s">
        <v>6418</v>
      </c>
      <c r="K403" t="s">
        <v>13</v>
      </c>
      <c r="L403" t="s">
        <v>75</v>
      </c>
      <c r="M403" t="s">
        <v>10623</v>
      </c>
      <c r="O403" t="s">
        <v>10619</v>
      </c>
      <c r="P403" t="s">
        <v>10232</v>
      </c>
      <c r="Q403" t="s">
        <v>9570</v>
      </c>
      <c r="R403" t="s">
        <v>13</v>
      </c>
      <c r="S403" t="s">
        <v>75</v>
      </c>
      <c r="T403" t="s">
        <v>10620</v>
      </c>
    </row>
    <row r="404" spans="1:20">
      <c r="A404" t="s">
        <v>10619</v>
      </c>
      <c r="B404" t="s">
        <v>4593</v>
      </c>
      <c r="C404" t="s">
        <v>2733</v>
      </c>
      <c r="D404" t="s">
        <v>13</v>
      </c>
      <c r="E404" t="s">
        <v>75</v>
      </c>
      <c r="F404" t="s">
        <v>10634</v>
      </c>
      <c r="H404" t="s">
        <v>10619</v>
      </c>
      <c r="I404" t="s">
        <v>7947</v>
      </c>
      <c r="J404" t="s">
        <v>6420</v>
      </c>
      <c r="K404" t="s">
        <v>13</v>
      </c>
      <c r="L404" t="s">
        <v>75</v>
      </c>
      <c r="M404" t="s">
        <v>10623</v>
      </c>
      <c r="O404" t="s">
        <v>10619</v>
      </c>
      <c r="P404" t="s">
        <v>10233</v>
      </c>
      <c r="Q404" t="s">
        <v>9572</v>
      </c>
      <c r="R404" t="s">
        <v>13</v>
      </c>
      <c r="S404" t="s">
        <v>75</v>
      </c>
      <c r="T404" t="s">
        <v>10620</v>
      </c>
    </row>
    <row r="405" spans="1:20">
      <c r="A405" t="s">
        <v>10619</v>
      </c>
      <c r="B405" t="s">
        <v>4594</v>
      </c>
      <c r="C405" t="s">
        <v>2735</v>
      </c>
      <c r="D405" t="s">
        <v>13</v>
      </c>
      <c r="E405" t="s">
        <v>75</v>
      </c>
      <c r="F405" t="s">
        <v>10634</v>
      </c>
      <c r="H405" t="s">
        <v>10619</v>
      </c>
      <c r="I405" t="s">
        <v>7948</v>
      </c>
      <c r="J405" t="s">
        <v>6422</v>
      </c>
      <c r="K405" t="s">
        <v>13</v>
      </c>
      <c r="L405" t="s">
        <v>75</v>
      </c>
      <c r="M405" t="s">
        <v>10623</v>
      </c>
      <c r="O405" t="s">
        <v>10619</v>
      </c>
      <c r="P405" t="s">
        <v>10234</v>
      </c>
      <c r="Q405" t="s">
        <v>9574</v>
      </c>
      <c r="R405" t="s">
        <v>13</v>
      </c>
      <c r="S405" t="s">
        <v>75</v>
      </c>
      <c r="T405" t="s">
        <v>10620</v>
      </c>
    </row>
    <row r="406" spans="1:20">
      <c r="A406" t="s">
        <v>10619</v>
      </c>
      <c r="B406" t="s">
        <v>4595</v>
      </c>
      <c r="C406" t="s">
        <v>2737</v>
      </c>
      <c r="D406" t="s">
        <v>13</v>
      </c>
      <c r="E406" t="s">
        <v>75</v>
      </c>
      <c r="F406" t="s">
        <v>10634</v>
      </c>
      <c r="H406" t="s">
        <v>10619</v>
      </c>
      <c r="I406" t="s">
        <v>7949</v>
      </c>
      <c r="J406" t="s">
        <v>6424</v>
      </c>
      <c r="K406" t="s">
        <v>13</v>
      </c>
      <c r="L406" t="s">
        <v>75</v>
      </c>
      <c r="M406" t="s">
        <v>10623</v>
      </c>
      <c r="O406" t="s">
        <v>10619</v>
      </c>
      <c r="P406" t="s">
        <v>10235</v>
      </c>
      <c r="Q406" t="s">
        <v>9576</v>
      </c>
      <c r="R406" t="s">
        <v>13</v>
      </c>
      <c r="S406" t="s">
        <v>75</v>
      </c>
      <c r="T406" t="s">
        <v>10620</v>
      </c>
    </row>
    <row r="407" spans="1:20">
      <c r="A407" t="s">
        <v>10619</v>
      </c>
      <c r="B407" t="s">
        <v>4596</v>
      </c>
      <c r="C407" t="s">
        <v>2739</v>
      </c>
      <c r="D407" t="s">
        <v>13</v>
      </c>
      <c r="E407" t="s">
        <v>75</v>
      </c>
      <c r="F407" t="s">
        <v>10634</v>
      </c>
      <c r="H407" t="s">
        <v>10619</v>
      </c>
      <c r="I407" t="s">
        <v>7950</v>
      </c>
      <c r="J407" t="s">
        <v>6426</v>
      </c>
      <c r="K407" t="s">
        <v>13</v>
      </c>
      <c r="L407" t="s">
        <v>75</v>
      </c>
      <c r="M407" t="s">
        <v>10623</v>
      </c>
      <c r="O407" t="s">
        <v>10619</v>
      </c>
      <c r="P407" t="s">
        <v>10236</v>
      </c>
      <c r="Q407" t="s">
        <v>9578</v>
      </c>
      <c r="R407" t="s">
        <v>13</v>
      </c>
      <c r="S407" t="s">
        <v>75</v>
      </c>
      <c r="T407" t="s">
        <v>10620</v>
      </c>
    </row>
    <row r="408" spans="1:20">
      <c r="A408" t="s">
        <v>10619</v>
      </c>
      <c r="B408" t="s">
        <v>4597</v>
      </c>
      <c r="C408" t="s">
        <v>2741</v>
      </c>
      <c r="D408" t="s">
        <v>13</v>
      </c>
      <c r="E408" t="s">
        <v>75</v>
      </c>
      <c r="F408" t="s">
        <v>10634</v>
      </c>
      <c r="H408" t="s">
        <v>10619</v>
      </c>
      <c r="I408" t="s">
        <v>7951</v>
      </c>
      <c r="J408" t="s">
        <v>6428</v>
      </c>
      <c r="K408" t="s">
        <v>13</v>
      </c>
      <c r="L408" t="s">
        <v>75</v>
      </c>
      <c r="M408" t="s">
        <v>10623</v>
      </c>
      <c r="O408" t="s">
        <v>10619</v>
      </c>
      <c r="P408" t="s">
        <v>10237</v>
      </c>
      <c r="Q408" t="s">
        <v>9580</v>
      </c>
      <c r="R408" t="s">
        <v>13</v>
      </c>
      <c r="S408" t="s">
        <v>75</v>
      </c>
      <c r="T408" t="s">
        <v>10620</v>
      </c>
    </row>
    <row r="409" spans="1:20">
      <c r="A409" t="s">
        <v>10619</v>
      </c>
      <c r="B409" t="s">
        <v>4598</v>
      </c>
      <c r="C409" t="s">
        <v>2743</v>
      </c>
      <c r="D409" t="s">
        <v>13</v>
      </c>
      <c r="E409" t="s">
        <v>75</v>
      </c>
      <c r="F409" t="s">
        <v>10634</v>
      </c>
      <c r="H409" t="s">
        <v>10619</v>
      </c>
      <c r="I409" t="s">
        <v>7952</v>
      </c>
      <c r="J409" t="s">
        <v>6430</v>
      </c>
      <c r="K409" t="s">
        <v>13</v>
      </c>
      <c r="L409" t="s">
        <v>75</v>
      </c>
      <c r="M409" t="s">
        <v>10623</v>
      </c>
      <c r="O409" t="s">
        <v>10619</v>
      </c>
      <c r="P409" t="s">
        <v>10238</v>
      </c>
      <c r="Q409" t="s">
        <v>9582</v>
      </c>
      <c r="R409" t="s">
        <v>13</v>
      </c>
      <c r="S409" t="s">
        <v>75</v>
      </c>
      <c r="T409" t="s">
        <v>10620</v>
      </c>
    </row>
    <row r="410" spans="1:20">
      <c r="A410" t="s">
        <v>10619</v>
      </c>
      <c r="B410" t="s">
        <v>4599</v>
      </c>
      <c r="C410" t="s">
        <v>2745</v>
      </c>
      <c r="D410" t="s">
        <v>13</v>
      </c>
      <c r="E410" t="s">
        <v>75</v>
      </c>
      <c r="F410" t="s">
        <v>10624</v>
      </c>
      <c r="H410" t="s">
        <v>10619</v>
      </c>
      <c r="I410" t="s">
        <v>7953</v>
      </c>
      <c r="J410" t="s">
        <v>6432</v>
      </c>
      <c r="K410" t="s">
        <v>13</v>
      </c>
      <c r="L410" t="s">
        <v>75</v>
      </c>
      <c r="M410" t="s">
        <v>10623</v>
      </c>
      <c r="O410" t="s">
        <v>10619</v>
      </c>
      <c r="P410" t="s">
        <v>10239</v>
      </c>
      <c r="Q410" t="s">
        <v>9584</v>
      </c>
      <c r="R410" t="s">
        <v>13</v>
      </c>
      <c r="S410" t="s">
        <v>75</v>
      </c>
      <c r="T410" t="s">
        <v>10620</v>
      </c>
    </row>
    <row r="411" spans="1:20">
      <c r="A411" t="s">
        <v>10619</v>
      </c>
      <c r="B411" t="s">
        <v>4600</v>
      </c>
      <c r="C411" t="s">
        <v>2747</v>
      </c>
      <c r="D411" t="s">
        <v>13</v>
      </c>
      <c r="E411" t="s">
        <v>75</v>
      </c>
      <c r="F411" t="s">
        <v>10624</v>
      </c>
      <c r="H411" t="s">
        <v>10619</v>
      </c>
      <c r="I411" t="s">
        <v>7954</v>
      </c>
      <c r="J411" t="s">
        <v>6434</v>
      </c>
      <c r="K411" t="s">
        <v>13</v>
      </c>
      <c r="L411" t="s">
        <v>75</v>
      </c>
      <c r="M411" t="s">
        <v>10623</v>
      </c>
      <c r="O411" t="s">
        <v>10619</v>
      </c>
      <c r="P411" t="s">
        <v>10240</v>
      </c>
      <c r="Q411" t="s">
        <v>9584</v>
      </c>
      <c r="R411" t="s">
        <v>13</v>
      </c>
      <c r="S411" t="s">
        <v>75</v>
      </c>
      <c r="T411" t="s">
        <v>10620</v>
      </c>
    </row>
    <row r="412" spans="1:20">
      <c r="A412" t="s">
        <v>10619</v>
      </c>
      <c r="B412" t="s">
        <v>4601</v>
      </c>
      <c r="C412" t="s">
        <v>2749</v>
      </c>
      <c r="D412" t="s">
        <v>13</v>
      </c>
      <c r="E412" t="s">
        <v>75</v>
      </c>
      <c r="F412" t="s">
        <v>10624</v>
      </c>
      <c r="H412" t="s">
        <v>10619</v>
      </c>
      <c r="I412" t="s">
        <v>7955</v>
      </c>
      <c r="J412" t="s">
        <v>6436</v>
      </c>
      <c r="K412" t="s">
        <v>13</v>
      </c>
      <c r="L412" t="s">
        <v>75</v>
      </c>
      <c r="M412" t="s">
        <v>10623</v>
      </c>
      <c r="O412" t="s">
        <v>10619</v>
      </c>
      <c r="P412" t="s">
        <v>10241</v>
      </c>
      <c r="Q412" t="s">
        <v>9587</v>
      </c>
      <c r="R412" t="s">
        <v>13</v>
      </c>
      <c r="S412" t="s">
        <v>75</v>
      </c>
      <c r="T412" t="s">
        <v>10620</v>
      </c>
    </row>
    <row r="413" spans="1:20">
      <c r="A413" t="s">
        <v>10619</v>
      </c>
      <c r="B413" t="s">
        <v>4602</v>
      </c>
      <c r="C413" t="s">
        <v>2751</v>
      </c>
      <c r="D413" t="s">
        <v>13</v>
      </c>
      <c r="E413" t="s">
        <v>75</v>
      </c>
      <c r="F413" t="s">
        <v>10624</v>
      </c>
      <c r="H413" t="s">
        <v>10619</v>
      </c>
      <c r="I413" t="s">
        <v>7956</v>
      </c>
      <c r="J413" t="s">
        <v>6428</v>
      </c>
      <c r="K413" t="s">
        <v>13</v>
      </c>
      <c r="L413" t="s">
        <v>75</v>
      </c>
      <c r="M413" t="s">
        <v>10623</v>
      </c>
      <c r="O413" t="s">
        <v>10619</v>
      </c>
      <c r="P413" t="s">
        <v>10242</v>
      </c>
      <c r="Q413" t="s">
        <v>9589</v>
      </c>
      <c r="R413" t="s">
        <v>13</v>
      </c>
      <c r="S413" t="s">
        <v>75</v>
      </c>
      <c r="T413" t="s">
        <v>10620</v>
      </c>
    </row>
    <row r="414" spans="1:20">
      <c r="A414" t="s">
        <v>10619</v>
      </c>
      <c r="B414" t="s">
        <v>4603</v>
      </c>
      <c r="C414" t="s">
        <v>2753</v>
      </c>
      <c r="D414" t="s">
        <v>13</v>
      </c>
      <c r="E414" t="s">
        <v>75</v>
      </c>
      <c r="F414" t="s">
        <v>10624</v>
      </c>
      <c r="H414" t="s">
        <v>10619</v>
      </c>
      <c r="I414" t="s">
        <v>7957</v>
      </c>
      <c r="J414" t="s">
        <v>6439</v>
      </c>
      <c r="K414" t="s">
        <v>13</v>
      </c>
      <c r="L414" t="s">
        <v>75</v>
      </c>
      <c r="M414" t="s">
        <v>10623</v>
      </c>
      <c r="O414" t="s">
        <v>10619</v>
      </c>
      <c r="P414" t="s">
        <v>10243</v>
      </c>
      <c r="Q414" t="s">
        <v>9591</v>
      </c>
      <c r="R414" t="s">
        <v>13</v>
      </c>
      <c r="S414" t="s">
        <v>75</v>
      </c>
      <c r="T414" t="s">
        <v>548</v>
      </c>
    </row>
    <row r="415" spans="1:20">
      <c r="A415" t="s">
        <v>10619</v>
      </c>
      <c r="B415" t="s">
        <v>4604</v>
      </c>
      <c r="C415" t="s">
        <v>2755</v>
      </c>
      <c r="D415" t="s">
        <v>13</v>
      </c>
      <c r="E415" t="s">
        <v>75</v>
      </c>
      <c r="F415" t="s">
        <v>10624</v>
      </c>
      <c r="H415" t="s">
        <v>10619</v>
      </c>
      <c r="I415" t="s">
        <v>7958</v>
      </c>
      <c r="J415" t="s">
        <v>6441</v>
      </c>
      <c r="K415" t="s">
        <v>13</v>
      </c>
      <c r="L415" t="s">
        <v>75</v>
      </c>
      <c r="M415" t="s">
        <v>10623</v>
      </c>
      <c r="O415" t="s">
        <v>10619</v>
      </c>
      <c r="P415" t="s">
        <v>10244</v>
      </c>
      <c r="Q415" t="s">
        <v>9593</v>
      </c>
      <c r="R415" t="s">
        <v>13</v>
      </c>
      <c r="S415" t="s">
        <v>75</v>
      </c>
      <c r="T415" t="s">
        <v>548</v>
      </c>
    </row>
    <row r="416" spans="1:20">
      <c r="A416" t="s">
        <v>10619</v>
      </c>
      <c r="B416" t="s">
        <v>4605</v>
      </c>
      <c r="C416" t="s">
        <v>2757</v>
      </c>
      <c r="D416" t="s">
        <v>13</v>
      </c>
      <c r="E416" t="s">
        <v>75</v>
      </c>
      <c r="F416" t="s">
        <v>10624</v>
      </c>
      <c r="H416" t="s">
        <v>10619</v>
      </c>
      <c r="I416" t="s">
        <v>7959</v>
      </c>
      <c r="J416" t="s">
        <v>6443</v>
      </c>
      <c r="K416" t="s">
        <v>13</v>
      </c>
      <c r="L416" t="s">
        <v>75</v>
      </c>
      <c r="M416" t="s">
        <v>10623</v>
      </c>
      <c r="O416" t="s">
        <v>10619</v>
      </c>
      <c r="P416" t="s">
        <v>10245</v>
      </c>
      <c r="Q416" t="s">
        <v>9595</v>
      </c>
      <c r="R416" t="s">
        <v>13</v>
      </c>
      <c r="S416" t="s">
        <v>75</v>
      </c>
      <c r="T416" t="s">
        <v>548</v>
      </c>
    </row>
    <row r="417" spans="1:20">
      <c r="A417" t="s">
        <v>10619</v>
      </c>
      <c r="B417" t="s">
        <v>4606</v>
      </c>
      <c r="C417" t="s">
        <v>2759</v>
      </c>
      <c r="D417" t="s">
        <v>13</v>
      </c>
      <c r="E417" t="s">
        <v>75</v>
      </c>
      <c r="F417" t="s">
        <v>10624</v>
      </c>
      <c r="H417" t="s">
        <v>10619</v>
      </c>
      <c r="I417" t="s">
        <v>7960</v>
      </c>
      <c r="J417" t="s">
        <v>6445</v>
      </c>
      <c r="K417" t="s">
        <v>13</v>
      </c>
      <c r="L417" t="s">
        <v>75</v>
      </c>
      <c r="M417" t="s">
        <v>10623</v>
      </c>
      <c r="O417" t="s">
        <v>10619</v>
      </c>
      <c r="P417" t="s">
        <v>10246</v>
      </c>
      <c r="Q417" t="s">
        <v>9597</v>
      </c>
      <c r="R417" t="s">
        <v>13</v>
      </c>
      <c r="S417" t="s">
        <v>75</v>
      </c>
      <c r="T417" t="s">
        <v>10624</v>
      </c>
    </row>
    <row r="418" spans="1:20">
      <c r="A418" t="s">
        <v>10619</v>
      </c>
      <c r="B418" t="s">
        <v>4607</v>
      </c>
      <c r="C418" t="s">
        <v>2761</v>
      </c>
      <c r="D418" t="s">
        <v>13</v>
      </c>
      <c r="E418" t="s">
        <v>75</v>
      </c>
      <c r="F418" t="s">
        <v>10624</v>
      </c>
      <c r="H418" t="s">
        <v>10619</v>
      </c>
      <c r="I418" t="s">
        <v>7961</v>
      </c>
      <c r="J418" t="s">
        <v>6447</v>
      </c>
      <c r="K418" t="s">
        <v>13</v>
      </c>
      <c r="L418" t="s">
        <v>75</v>
      </c>
      <c r="M418" t="s">
        <v>10636</v>
      </c>
      <c r="O418" t="s">
        <v>10619</v>
      </c>
      <c r="P418" t="s">
        <v>10247</v>
      </c>
      <c r="Q418" t="s">
        <v>9599</v>
      </c>
      <c r="R418" t="s">
        <v>13</v>
      </c>
      <c r="S418" t="s">
        <v>75</v>
      </c>
      <c r="T418" t="s">
        <v>10624</v>
      </c>
    </row>
    <row r="419" spans="1:20">
      <c r="A419" t="s">
        <v>10619</v>
      </c>
      <c r="B419" t="s">
        <v>4608</v>
      </c>
      <c r="C419" t="s">
        <v>2763</v>
      </c>
      <c r="D419" t="s">
        <v>13</v>
      </c>
      <c r="E419" t="s">
        <v>75</v>
      </c>
      <c r="F419" t="s">
        <v>10620</v>
      </c>
      <c r="H419" t="s">
        <v>10619</v>
      </c>
      <c r="I419" t="s">
        <v>7962</v>
      </c>
      <c r="J419" t="s">
        <v>6449</v>
      </c>
      <c r="K419" t="s">
        <v>13</v>
      </c>
      <c r="L419" t="s">
        <v>75</v>
      </c>
      <c r="M419" t="s">
        <v>10636</v>
      </c>
      <c r="O419" t="s">
        <v>10619</v>
      </c>
      <c r="P419" t="s">
        <v>10248</v>
      </c>
      <c r="Q419" t="s">
        <v>9601</v>
      </c>
      <c r="R419" t="s">
        <v>13</v>
      </c>
      <c r="S419" t="s">
        <v>75</v>
      </c>
      <c r="T419" t="s">
        <v>10624</v>
      </c>
    </row>
    <row r="420" spans="1:20">
      <c r="A420" t="s">
        <v>10619</v>
      </c>
      <c r="B420" t="s">
        <v>4609</v>
      </c>
      <c r="C420" t="s">
        <v>2765</v>
      </c>
      <c r="D420" t="s">
        <v>13</v>
      </c>
      <c r="E420" t="s">
        <v>75</v>
      </c>
      <c r="F420" t="s">
        <v>10620</v>
      </c>
      <c r="H420" t="s">
        <v>10619</v>
      </c>
      <c r="I420" t="s">
        <v>7963</v>
      </c>
      <c r="J420" t="s">
        <v>6451</v>
      </c>
      <c r="K420" t="s">
        <v>13</v>
      </c>
      <c r="L420" t="s">
        <v>75</v>
      </c>
      <c r="M420" t="s">
        <v>10636</v>
      </c>
      <c r="O420" t="s">
        <v>10619</v>
      </c>
      <c r="P420" t="s">
        <v>10249</v>
      </c>
      <c r="Q420" t="s">
        <v>9601</v>
      </c>
      <c r="R420" t="s">
        <v>13</v>
      </c>
      <c r="S420" t="s">
        <v>75</v>
      </c>
      <c r="T420" t="s">
        <v>10624</v>
      </c>
    </row>
    <row r="421" spans="1:20">
      <c r="A421" t="s">
        <v>10619</v>
      </c>
      <c r="B421" t="s">
        <v>4610</v>
      </c>
      <c r="C421" t="s">
        <v>2767</v>
      </c>
      <c r="D421" t="s">
        <v>13</v>
      </c>
      <c r="E421" t="s">
        <v>75</v>
      </c>
      <c r="F421" t="s">
        <v>10620</v>
      </c>
      <c r="H421" t="s">
        <v>10619</v>
      </c>
      <c r="I421" t="s">
        <v>7964</v>
      </c>
      <c r="J421" t="s">
        <v>6453</v>
      </c>
      <c r="K421" t="s">
        <v>13</v>
      </c>
      <c r="L421" t="s">
        <v>75</v>
      </c>
      <c r="M421" t="s">
        <v>10636</v>
      </c>
      <c r="O421" t="s">
        <v>10619</v>
      </c>
      <c r="P421" t="s">
        <v>10250</v>
      </c>
      <c r="Q421" t="s">
        <v>9604</v>
      </c>
      <c r="R421" t="s">
        <v>13</v>
      </c>
      <c r="S421" t="s">
        <v>75</v>
      </c>
      <c r="T421" t="s">
        <v>10620</v>
      </c>
    </row>
    <row r="422" spans="1:20">
      <c r="A422" t="s">
        <v>10619</v>
      </c>
      <c r="B422" t="s">
        <v>4611</v>
      </c>
      <c r="C422" t="s">
        <v>2769</v>
      </c>
      <c r="D422" t="s">
        <v>13</v>
      </c>
      <c r="E422" t="s">
        <v>75</v>
      </c>
      <c r="F422" t="s">
        <v>10620</v>
      </c>
      <c r="H422" t="s">
        <v>10619</v>
      </c>
      <c r="I422" t="s">
        <v>7965</v>
      </c>
      <c r="J422" t="s">
        <v>6455</v>
      </c>
      <c r="K422" t="s">
        <v>13</v>
      </c>
      <c r="L422" t="s">
        <v>75</v>
      </c>
      <c r="M422" t="s">
        <v>10636</v>
      </c>
      <c r="O422" t="s">
        <v>10619</v>
      </c>
      <c r="P422" t="s">
        <v>10251</v>
      </c>
      <c r="Q422" t="s">
        <v>9606</v>
      </c>
      <c r="R422" t="s">
        <v>13</v>
      </c>
      <c r="S422" t="s">
        <v>75</v>
      </c>
      <c r="T422" t="s">
        <v>10620</v>
      </c>
    </row>
    <row r="423" spans="1:20">
      <c r="A423" t="s">
        <v>10619</v>
      </c>
      <c r="B423" t="s">
        <v>4612</v>
      </c>
      <c r="C423" t="s">
        <v>2771</v>
      </c>
      <c r="D423" t="s">
        <v>13</v>
      </c>
      <c r="E423" t="s">
        <v>75</v>
      </c>
      <c r="F423" t="s">
        <v>10624</v>
      </c>
      <c r="H423" t="s">
        <v>10619</v>
      </c>
      <c r="I423" t="s">
        <v>7966</v>
      </c>
      <c r="J423" t="s">
        <v>6457</v>
      </c>
      <c r="K423" t="s">
        <v>13</v>
      </c>
      <c r="L423" t="s">
        <v>75</v>
      </c>
      <c r="M423" t="s">
        <v>10636</v>
      </c>
      <c r="O423" t="s">
        <v>10619</v>
      </c>
      <c r="P423" t="s">
        <v>10252</v>
      </c>
      <c r="Q423" t="s">
        <v>9608</v>
      </c>
      <c r="R423" t="s">
        <v>13</v>
      </c>
      <c r="S423" t="s">
        <v>75</v>
      </c>
      <c r="T423" t="s">
        <v>10620</v>
      </c>
    </row>
    <row r="424" spans="1:20">
      <c r="A424" t="s">
        <v>10619</v>
      </c>
      <c r="B424" t="s">
        <v>4613</v>
      </c>
      <c r="C424" t="s">
        <v>2773</v>
      </c>
      <c r="D424" t="s">
        <v>13</v>
      </c>
      <c r="E424" t="s">
        <v>75</v>
      </c>
      <c r="F424" t="s">
        <v>10624</v>
      </c>
      <c r="H424" t="s">
        <v>10619</v>
      </c>
      <c r="I424" t="s">
        <v>7967</v>
      </c>
      <c r="J424" t="s">
        <v>6459</v>
      </c>
      <c r="K424" t="s">
        <v>13</v>
      </c>
      <c r="L424" t="s">
        <v>75</v>
      </c>
      <c r="M424" t="s">
        <v>10636</v>
      </c>
      <c r="O424" t="s">
        <v>10619</v>
      </c>
      <c r="P424" t="s">
        <v>10253</v>
      </c>
      <c r="Q424" t="s">
        <v>9610</v>
      </c>
      <c r="R424" t="s">
        <v>13</v>
      </c>
      <c r="S424" t="s">
        <v>75</v>
      </c>
      <c r="T424" t="s">
        <v>10631</v>
      </c>
    </row>
    <row r="425" spans="1:20">
      <c r="A425" t="s">
        <v>10619</v>
      </c>
      <c r="B425" t="s">
        <v>4614</v>
      </c>
      <c r="C425" t="s">
        <v>2775</v>
      </c>
      <c r="D425" t="s">
        <v>13</v>
      </c>
      <c r="E425" t="s">
        <v>75</v>
      </c>
      <c r="F425" t="s">
        <v>10624</v>
      </c>
      <c r="H425" t="s">
        <v>10619</v>
      </c>
      <c r="I425" t="s">
        <v>7968</v>
      </c>
      <c r="J425" t="s">
        <v>6461</v>
      </c>
      <c r="K425" t="s">
        <v>13</v>
      </c>
      <c r="L425" t="s">
        <v>75</v>
      </c>
      <c r="M425" t="s">
        <v>10624</v>
      </c>
      <c r="O425" t="s">
        <v>10619</v>
      </c>
      <c r="P425" t="s">
        <v>10254</v>
      </c>
      <c r="Q425" t="s">
        <v>9612</v>
      </c>
      <c r="R425" t="s">
        <v>13</v>
      </c>
      <c r="S425" t="s">
        <v>75</v>
      </c>
      <c r="T425" t="s">
        <v>10631</v>
      </c>
    </row>
    <row r="426" spans="1:20">
      <c r="A426" t="s">
        <v>10619</v>
      </c>
      <c r="B426" t="s">
        <v>4615</v>
      </c>
      <c r="C426" t="s">
        <v>2777</v>
      </c>
      <c r="D426" t="s">
        <v>13</v>
      </c>
      <c r="E426" t="s">
        <v>75</v>
      </c>
      <c r="F426" t="s">
        <v>10624</v>
      </c>
      <c r="H426" t="s">
        <v>10619</v>
      </c>
      <c r="I426" t="s">
        <v>7969</v>
      </c>
      <c r="J426" t="s">
        <v>6463</v>
      </c>
      <c r="K426" t="s">
        <v>13</v>
      </c>
      <c r="L426" t="s">
        <v>75</v>
      </c>
      <c r="M426" t="s">
        <v>10624</v>
      </c>
      <c r="O426" t="s">
        <v>10619</v>
      </c>
      <c r="P426" t="s">
        <v>10255</v>
      </c>
      <c r="Q426" t="s">
        <v>9614</v>
      </c>
      <c r="R426" t="s">
        <v>13</v>
      </c>
      <c r="S426" t="s">
        <v>75</v>
      </c>
      <c r="T426" t="s">
        <v>10631</v>
      </c>
    </row>
    <row r="427" spans="1:20">
      <c r="A427" t="s">
        <v>10619</v>
      </c>
      <c r="B427" t="s">
        <v>4616</v>
      </c>
      <c r="C427" t="s">
        <v>2779</v>
      </c>
      <c r="D427" t="s">
        <v>13</v>
      </c>
      <c r="E427" t="s">
        <v>75</v>
      </c>
      <c r="F427" t="s">
        <v>10624</v>
      </c>
      <c r="H427" t="s">
        <v>10619</v>
      </c>
      <c r="I427" t="s">
        <v>7970</v>
      </c>
      <c r="J427" t="s">
        <v>6465</v>
      </c>
      <c r="K427" t="s">
        <v>13</v>
      </c>
      <c r="L427" t="s">
        <v>75</v>
      </c>
      <c r="M427" t="s">
        <v>10623</v>
      </c>
      <c r="O427" t="s">
        <v>10619</v>
      </c>
      <c r="P427" t="s">
        <v>10256</v>
      </c>
      <c r="Q427" t="s">
        <v>9616</v>
      </c>
      <c r="R427" t="s">
        <v>13</v>
      </c>
      <c r="S427" t="s">
        <v>75</v>
      </c>
      <c r="T427" t="s">
        <v>10631</v>
      </c>
    </row>
    <row r="428" spans="1:20">
      <c r="A428" t="s">
        <v>10619</v>
      </c>
      <c r="B428" t="s">
        <v>4617</v>
      </c>
      <c r="C428" t="s">
        <v>2781</v>
      </c>
      <c r="D428" t="s">
        <v>13</v>
      </c>
      <c r="E428" t="s">
        <v>75</v>
      </c>
      <c r="F428" t="s">
        <v>10635</v>
      </c>
      <c r="H428" t="s">
        <v>10619</v>
      </c>
      <c r="I428" t="s">
        <v>7971</v>
      </c>
      <c r="J428" t="s">
        <v>6467</v>
      </c>
      <c r="K428" t="s">
        <v>13</v>
      </c>
      <c r="L428" t="s">
        <v>75</v>
      </c>
      <c r="M428" t="s">
        <v>10623</v>
      </c>
      <c r="O428" t="s">
        <v>10619</v>
      </c>
      <c r="P428" t="s">
        <v>10257</v>
      </c>
      <c r="Q428" t="s">
        <v>9618</v>
      </c>
      <c r="R428" t="s">
        <v>13</v>
      </c>
      <c r="S428" t="s">
        <v>75</v>
      </c>
      <c r="T428" t="s">
        <v>10623</v>
      </c>
    </row>
    <row r="429" spans="1:20">
      <c r="A429" t="s">
        <v>10619</v>
      </c>
      <c r="B429" t="s">
        <v>4618</v>
      </c>
      <c r="C429" t="s">
        <v>2783</v>
      </c>
      <c r="D429" t="s">
        <v>13</v>
      </c>
      <c r="E429" t="s">
        <v>75</v>
      </c>
      <c r="F429" t="s">
        <v>10635</v>
      </c>
      <c r="H429" t="s">
        <v>10619</v>
      </c>
      <c r="I429" t="s">
        <v>7972</v>
      </c>
      <c r="J429" t="s">
        <v>6469</v>
      </c>
      <c r="K429" t="s">
        <v>13</v>
      </c>
      <c r="L429" t="s">
        <v>75</v>
      </c>
      <c r="M429" t="s">
        <v>10623</v>
      </c>
      <c r="O429" t="s">
        <v>10619</v>
      </c>
      <c r="P429" t="s">
        <v>10258</v>
      </c>
      <c r="Q429" t="s">
        <v>9618</v>
      </c>
      <c r="R429" t="s">
        <v>13</v>
      </c>
      <c r="S429" t="s">
        <v>75</v>
      </c>
      <c r="T429" t="s">
        <v>10623</v>
      </c>
    </row>
    <row r="430" spans="1:20">
      <c r="A430" t="s">
        <v>10619</v>
      </c>
      <c r="B430" t="s">
        <v>4619</v>
      </c>
      <c r="C430" t="s">
        <v>2785</v>
      </c>
      <c r="D430" t="s">
        <v>13</v>
      </c>
      <c r="E430" t="s">
        <v>75</v>
      </c>
      <c r="F430" t="s">
        <v>10635</v>
      </c>
      <c r="H430" t="s">
        <v>10619</v>
      </c>
      <c r="I430" t="s">
        <v>7973</v>
      </c>
      <c r="J430" t="s">
        <v>6471</v>
      </c>
      <c r="K430" t="s">
        <v>13</v>
      </c>
      <c r="L430" t="s">
        <v>75</v>
      </c>
      <c r="M430" t="s">
        <v>10623</v>
      </c>
      <c r="O430" t="s">
        <v>10619</v>
      </c>
      <c r="P430" t="s">
        <v>10259</v>
      </c>
      <c r="Q430" t="s">
        <v>9621</v>
      </c>
      <c r="R430" t="s">
        <v>13</v>
      </c>
      <c r="S430" t="s">
        <v>75</v>
      </c>
      <c r="T430" t="s">
        <v>123</v>
      </c>
    </row>
    <row r="431" spans="1:20">
      <c r="A431" t="s">
        <v>10619</v>
      </c>
      <c r="B431" t="s">
        <v>4620</v>
      </c>
      <c r="C431" t="s">
        <v>2787</v>
      </c>
      <c r="D431" t="s">
        <v>13</v>
      </c>
      <c r="E431" t="s">
        <v>75</v>
      </c>
      <c r="F431" t="s">
        <v>10635</v>
      </c>
      <c r="H431" t="s">
        <v>10619</v>
      </c>
      <c r="I431" t="s">
        <v>7974</v>
      </c>
      <c r="J431" t="s">
        <v>6473</v>
      </c>
      <c r="K431" t="s">
        <v>13</v>
      </c>
      <c r="L431" t="s">
        <v>75</v>
      </c>
      <c r="M431" t="s">
        <v>518</v>
      </c>
      <c r="O431" t="s">
        <v>10619</v>
      </c>
      <c r="P431" t="s">
        <v>10260</v>
      </c>
      <c r="Q431" t="s">
        <v>9621</v>
      </c>
      <c r="R431" t="s">
        <v>13</v>
      </c>
      <c r="S431" t="s">
        <v>75</v>
      </c>
      <c r="T431" t="s">
        <v>123</v>
      </c>
    </row>
    <row r="432" spans="1:20">
      <c r="A432" t="s">
        <v>10619</v>
      </c>
      <c r="B432" t="s">
        <v>4621</v>
      </c>
      <c r="C432" t="s">
        <v>2789</v>
      </c>
      <c r="D432" t="s">
        <v>13</v>
      </c>
      <c r="E432" t="s">
        <v>75</v>
      </c>
      <c r="F432" t="s">
        <v>10635</v>
      </c>
      <c r="H432" t="s">
        <v>10619</v>
      </c>
      <c r="I432" t="s">
        <v>7975</v>
      </c>
      <c r="J432" t="s">
        <v>6475</v>
      </c>
      <c r="K432" t="s">
        <v>13</v>
      </c>
      <c r="L432" t="s">
        <v>75</v>
      </c>
      <c r="M432" t="s">
        <v>518</v>
      </c>
      <c r="O432" t="s">
        <v>10619</v>
      </c>
      <c r="P432" t="s">
        <v>10261</v>
      </c>
      <c r="Q432" t="s">
        <v>9624</v>
      </c>
      <c r="R432" t="s">
        <v>13</v>
      </c>
      <c r="S432" t="s">
        <v>75</v>
      </c>
      <c r="T432" t="s">
        <v>123</v>
      </c>
    </row>
    <row r="433" spans="1:20">
      <c r="A433" t="s">
        <v>10619</v>
      </c>
      <c r="B433" t="s">
        <v>4622</v>
      </c>
      <c r="C433" t="s">
        <v>2791</v>
      </c>
      <c r="D433" t="s">
        <v>13</v>
      </c>
      <c r="E433" t="s">
        <v>75</v>
      </c>
      <c r="F433" t="s">
        <v>10635</v>
      </c>
      <c r="H433" t="s">
        <v>10619</v>
      </c>
      <c r="I433" t="s">
        <v>7976</v>
      </c>
      <c r="J433" t="s">
        <v>6477</v>
      </c>
      <c r="K433" t="s">
        <v>13</v>
      </c>
      <c r="L433" t="s">
        <v>75</v>
      </c>
      <c r="M433" t="s">
        <v>518</v>
      </c>
      <c r="O433" t="s">
        <v>10619</v>
      </c>
      <c r="P433" t="s">
        <v>10262</v>
      </c>
      <c r="Q433" t="s">
        <v>9624</v>
      </c>
      <c r="R433" t="s">
        <v>13</v>
      </c>
      <c r="S433" t="s">
        <v>75</v>
      </c>
      <c r="T433" t="s">
        <v>123</v>
      </c>
    </row>
    <row r="434" spans="1:20">
      <c r="A434" t="s">
        <v>10619</v>
      </c>
      <c r="B434" t="s">
        <v>4623</v>
      </c>
      <c r="C434" t="s">
        <v>2793</v>
      </c>
      <c r="D434" t="s">
        <v>13</v>
      </c>
      <c r="E434" t="s">
        <v>75</v>
      </c>
      <c r="F434" t="s">
        <v>10624</v>
      </c>
      <c r="H434" t="s">
        <v>10619</v>
      </c>
      <c r="I434" t="s">
        <v>7977</v>
      </c>
      <c r="J434" t="s">
        <v>6479</v>
      </c>
      <c r="K434" t="s">
        <v>13</v>
      </c>
      <c r="L434" t="s">
        <v>75</v>
      </c>
      <c r="M434" t="s">
        <v>518</v>
      </c>
      <c r="O434" t="s">
        <v>10619</v>
      </c>
      <c r="P434" t="s">
        <v>10263</v>
      </c>
      <c r="Q434" t="s">
        <v>9627</v>
      </c>
      <c r="R434" t="s">
        <v>13</v>
      </c>
      <c r="S434" t="s">
        <v>75</v>
      </c>
      <c r="T434" t="s">
        <v>123</v>
      </c>
    </row>
    <row r="435" spans="1:20">
      <c r="A435" t="s">
        <v>10619</v>
      </c>
      <c r="B435" t="s">
        <v>4624</v>
      </c>
      <c r="C435" t="s">
        <v>2795</v>
      </c>
      <c r="D435" t="s">
        <v>13</v>
      </c>
      <c r="E435" t="s">
        <v>75</v>
      </c>
      <c r="F435" t="s">
        <v>10624</v>
      </c>
      <c r="H435" t="s">
        <v>10619</v>
      </c>
      <c r="I435" t="s">
        <v>7978</v>
      </c>
      <c r="J435" t="s">
        <v>6475</v>
      </c>
      <c r="K435" t="s">
        <v>13</v>
      </c>
      <c r="L435" t="s">
        <v>75</v>
      </c>
      <c r="M435" t="s">
        <v>518</v>
      </c>
      <c r="O435" t="s">
        <v>10619</v>
      </c>
      <c r="P435" t="s">
        <v>10264</v>
      </c>
      <c r="Q435" t="s">
        <v>9627</v>
      </c>
      <c r="R435" t="s">
        <v>13</v>
      </c>
      <c r="S435" t="s">
        <v>75</v>
      </c>
      <c r="T435" t="s">
        <v>123</v>
      </c>
    </row>
    <row r="436" spans="1:20">
      <c r="A436" t="s">
        <v>10619</v>
      </c>
      <c r="B436" t="s">
        <v>4625</v>
      </c>
      <c r="C436" t="s">
        <v>2797</v>
      </c>
      <c r="D436" t="s">
        <v>13</v>
      </c>
      <c r="E436" t="s">
        <v>75</v>
      </c>
      <c r="F436" t="s">
        <v>10624</v>
      </c>
      <c r="H436" t="s">
        <v>10619</v>
      </c>
      <c r="I436" t="s">
        <v>7979</v>
      </c>
      <c r="J436" t="s">
        <v>6482</v>
      </c>
      <c r="K436" t="s">
        <v>13</v>
      </c>
      <c r="L436" t="s">
        <v>75</v>
      </c>
      <c r="M436" t="s">
        <v>518</v>
      </c>
      <c r="O436" t="s">
        <v>10619</v>
      </c>
      <c r="P436" t="s">
        <v>10265</v>
      </c>
      <c r="Q436" t="s">
        <v>9621</v>
      </c>
      <c r="R436" t="s">
        <v>13</v>
      </c>
      <c r="S436" t="s">
        <v>75</v>
      </c>
      <c r="T436" t="s">
        <v>123</v>
      </c>
    </row>
    <row r="437" spans="1:20">
      <c r="A437" t="s">
        <v>10619</v>
      </c>
      <c r="B437" t="s">
        <v>4626</v>
      </c>
      <c r="C437" t="s">
        <v>2799</v>
      </c>
      <c r="D437" t="s">
        <v>13</v>
      </c>
      <c r="E437" t="s">
        <v>75</v>
      </c>
      <c r="F437" t="s">
        <v>10626</v>
      </c>
      <c r="H437" t="s">
        <v>10619</v>
      </c>
      <c r="I437" t="s">
        <v>7980</v>
      </c>
      <c r="J437" t="s">
        <v>6484</v>
      </c>
      <c r="K437" t="s">
        <v>13</v>
      </c>
      <c r="L437" t="s">
        <v>75</v>
      </c>
      <c r="M437" t="s">
        <v>518</v>
      </c>
      <c r="O437" t="s">
        <v>10619</v>
      </c>
      <c r="P437" t="s">
        <v>10266</v>
      </c>
      <c r="Q437" t="s">
        <v>9631</v>
      </c>
      <c r="R437" t="s">
        <v>13</v>
      </c>
      <c r="S437" t="s">
        <v>75</v>
      </c>
      <c r="T437" t="s">
        <v>123</v>
      </c>
    </row>
    <row r="438" spans="1:20">
      <c r="A438" t="s">
        <v>10619</v>
      </c>
      <c r="B438" t="s">
        <v>4627</v>
      </c>
      <c r="C438" t="s">
        <v>2801</v>
      </c>
      <c r="D438" t="s">
        <v>13</v>
      </c>
      <c r="E438" t="s">
        <v>75</v>
      </c>
      <c r="F438" t="s">
        <v>10626</v>
      </c>
      <c r="H438" t="s">
        <v>10619</v>
      </c>
      <c r="I438" t="s">
        <v>7981</v>
      </c>
      <c r="J438" t="s">
        <v>6486</v>
      </c>
      <c r="K438" t="s">
        <v>13</v>
      </c>
      <c r="L438" t="s">
        <v>75</v>
      </c>
      <c r="M438" t="s">
        <v>518</v>
      </c>
      <c r="O438" t="s">
        <v>10619</v>
      </c>
      <c r="P438" t="s">
        <v>10267</v>
      </c>
      <c r="Q438" t="s">
        <v>9633</v>
      </c>
      <c r="R438" t="s">
        <v>13</v>
      </c>
      <c r="S438" t="s">
        <v>75</v>
      </c>
      <c r="T438" t="s">
        <v>123</v>
      </c>
    </row>
    <row r="439" spans="1:20">
      <c r="A439" t="s">
        <v>10619</v>
      </c>
      <c r="B439" t="s">
        <v>4628</v>
      </c>
      <c r="C439" t="s">
        <v>2803</v>
      </c>
      <c r="D439" t="s">
        <v>13</v>
      </c>
      <c r="E439" t="s">
        <v>75</v>
      </c>
      <c r="F439" t="s">
        <v>10626</v>
      </c>
      <c r="H439" t="s">
        <v>10619</v>
      </c>
      <c r="I439" t="s">
        <v>7982</v>
      </c>
      <c r="J439" t="s">
        <v>6488</v>
      </c>
      <c r="K439" t="s">
        <v>13</v>
      </c>
      <c r="L439" t="s">
        <v>75</v>
      </c>
      <c r="M439" t="s">
        <v>518</v>
      </c>
      <c r="O439" t="s">
        <v>10619</v>
      </c>
      <c r="P439" t="s">
        <v>10268</v>
      </c>
      <c r="Q439" t="s">
        <v>9633</v>
      </c>
      <c r="R439" t="s">
        <v>13</v>
      </c>
      <c r="S439" t="s">
        <v>75</v>
      </c>
      <c r="T439" t="s">
        <v>123</v>
      </c>
    </row>
    <row r="440" spans="1:20">
      <c r="A440" t="s">
        <v>10619</v>
      </c>
      <c r="B440" t="s">
        <v>4629</v>
      </c>
      <c r="C440" t="s">
        <v>2805</v>
      </c>
      <c r="D440" t="s">
        <v>13</v>
      </c>
      <c r="E440" t="s">
        <v>75</v>
      </c>
      <c r="F440" t="s">
        <v>10626</v>
      </c>
      <c r="H440" t="s">
        <v>10619</v>
      </c>
      <c r="I440" t="s">
        <v>7983</v>
      </c>
      <c r="J440" t="s">
        <v>6490</v>
      </c>
      <c r="K440" t="s">
        <v>13</v>
      </c>
      <c r="L440" t="s">
        <v>75</v>
      </c>
      <c r="M440" t="s">
        <v>518</v>
      </c>
      <c r="O440" t="s">
        <v>10619</v>
      </c>
      <c r="P440" t="s">
        <v>10269</v>
      </c>
      <c r="Q440" t="s">
        <v>9636</v>
      </c>
      <c r="R440" t="s">
        <v>13</v>
      </c>
      <c r="S440" t="s">
        <v>75</v>
      </c>
      <c r="T440" t="s">
        <v>123</v>
      </c>
    </row>
    <row r="441" spans="1:20">
      <c r="A441" t="s">
        <v>10619</v>
      </c>
      <c r="B441" t="s">
        <v>4630</v>
      </c>
      <c r="C441" t="s">
        <v>2807</v>
      </c>
      <c r="D441" t="s">
        <v>13</v>
      </c>
      <c r="E441" t="s">
        <v>75</v>
      </c>
      <c r="F441" t="s">
        <v>10620</v>
      </c>
      <c r="H441" t="s">
        <v>10619</v>
      </c>
      <c r="I441" t="s">
        <v>7984</v>
      </c>
      <c r="J441" t="s">
        <v>6492</v>
      </c>
      <c r="K441" t="s">
        <v>13</v>
      </c>
      <c r="L441" t="s">
        <v>75</v>
      </c>
      <c r="M441" t="s">
        <v>10620</v>
      </c>
      <c r="O441" t="s">
        <v>10619</v>
      </c>
      <c r="P441" t="s">
        <v>10270</v>
      </c>
      <c r="Q441" t="s">
        <v>9621</v>
      </c>
      <c r="R441" t="s">
        <v>13</v>
      </c>
      <c r="S441" t="s">
        <v>75</v>
      </c>
      <c r="T441" t="s">
        <v>123</v>
      </c>
    </row>
    <row r="442" spans="1:20">
      <c r="A442" t="s">
        <v>10619</v>
      </c>
      <c r="B442" t="s">
        <v>4631</v>
      </c>
      <c r="C442" t="s">
        <v>2809</v>
      </c>
      <c r="D442" t="s">
        <v>13</v>
      </c>
      <c r="E442" t="s">
        <v>75</v>
      </c>
      <c r="F442" t="s">
        <v>10620</v>
      </c>
      <c r="H442" t="s">
        <v>10619</v>
      </c>
      <c r="I442" t="s">
        <v>7985</v>
      </c>
      <c r="J442" t="s">
        <v>6494</v>
      </c>
      <c r="K442" t="s">
        <v>13</v>
      </c>
      <c r="L442" t="s">
        <v>75</v>
      </c>
      <c r="M442" t="s">
        <v>10620</v>
      </c>
      <c r="O442" t="s">
        <v>10619</v>
      </c>
      <c r="P442" t="s">
        <v>10271</v>
      </c>
      <c r="Q442" t="s">
        <v>9636</v>
      </c>
      <c r="R442" t="s">
        <v>13</v>
      </c>
      <c r="S442" t="s">
        <v>75</v>
      </c>
      <c r="T442" t="s">
        <v>123</v>
      </c>
    </row>
    <row r="443" spans="1:20">
      <c r="A443" t="s">
        <v>10619</v>
      </c>
      <c r="B443" t="s">
        <v>4632</v>
      </c>
      <c r="C443" t="s">
        <v>2811</v>
      </c>
      <c r="D443" t="s">
        <v>13</v>
      </c>
      <c r="E443" t="s">
        <v>75</v>
      </c>
      <c r="F443" t="s">
        <v>10620</v>
      </c>
      <c r="H443" t="s">
        <v>10619</v>
      </c>
      <c r="I443" t="s">
        <v>7986</v>
      </c>
      <c r="J443" t="s">
        <v>6496</v>
      </c>
      <c r="K443" t="s">
        <v>13</v>
      </c>
      <c r="L443" t="s">
        <v>75</v>
      </c>
      <c r="M443" t="s">
        <v>10620</v>
      </c>
      <c r="O443" t="s">
        <v>10619</v>
      </c>
      <c r="P443" t="s">
        <v>10272</v>
      </c>
      <c r="Q443" t="s">
        <v>9636</v>
      </c>
      <c r="R443" t="s">
        <v>13</v>
      </c>
      <c r="S443" t="s">
        <v>75</v>
      </c>
      <c r="T443" t="s">
        <v>123</v>
      </c>
    </row>
    <row r="444" spans="1:20">
      <c r="A444" t="s">
        <v>10619</v>
      </c>
      <c r="B444" t="s">
        <v>4633</v>
      </c>
      <c r="C444" t="s">
        <v>2813</v>
      </c>
      <c r="D444" t="s">
        <v>13</v>
      </c>
      <c r="E444" t="s">
        <v>75</v>
      </c>
      <c r="F444" t="s">
        <v>10620</v>
      </c>
      <c r="H444" t="s">
        <v>10619</v>
      </c>
      <c r="I444" t="s">
        <v>7987</v>
      </c>
      <c r="J444" t="s">
        <v>6498</v>
      </c>
      <c r="K444" t="s">
        <v>13</v>
      </c>
      <c r="L444" t="s">
        <v>75</v>
      </c>
      <c r="M444" t="s">
        <v>10620</v>
      </c>
      <c r="O444" t="s">
        <v>10619</v>
      </c>
      <c r="P444" t="s">
        <v>10273</v>
      </c>
      <c r="Q444" t="s">
        <v>9636</v>
      </c>
      <c r="R444" t="s">
        <v>13</v>
      </c>
      <c r="S444" t="s">
        <v>75</v>
      </c>
      <c r="T444" t="s">
        <v>123</v>
      </c>
    </row>
    <row r="445" spans="1:20">
      <c r="A445" t="s">
        <v>10619</v>
      </c>
      <c r="B445" t="s">
        <v>4634</v>
      </c>
      <c r="C445" t="s">
        <v>2815</v>
      </c>
      <c r="D445" t="s">
        <v>13</v>
      </c>
      <c r="E445" t="s">
        <v>75</v>
      </c>
      <c r="F445" t="s">
        <v>10620</v>
      </c>
      <c r="H445" t="s">
        <v>10619</v>
      </c>
      <c r="I445" t="s">
        <v>7988</v>
      </c>
      <c r="J445" t="s">
        <v>6500</v>
      </c>
      <c r="K445" t="s">
        <v>13</v>
      </c>
      <c r="L445" t="s">
        <v>75</v>
      </c>
      <c r="M445" t="s">
        <v>10620</v>
      </c>
      <c r="O445" t="s">
        <v>10619</v>
      </c>
      <c r="P445" t="s">
        <v>10274</v>
      </c>
      <c r="Q445" t="s">
        <v>9636</v>
      </c>
      <c r="R445" t="s">
        <v>13</v>
      </c>
      <c r="S445" t="s">
        <v>75</v>
      </c>
      <c r="T445" t="s">
        <v>123</v>
      </c>
    </row>
    <row r="446" spans="1:20">
      <c r="A446" t="s">
        <v>10619</v>
      </c>
      <c r="B446" t="s">
        <v>4635</v>
      </c>
      <c r="C446" t="s">
        <v>2817</v>
      </c>
      <c r="D446" t="s">
        <v>13</v>
      </c>
      <c r="E446" t="s">
        <v>75</v>
      </c>
      <c r="F446" t="s">
        <v>10620</v>
      </c>
      <c r="H446" t="s">
        <v>10619</v>
      </c>
      <c r="I446" t="s">
        <v>7989</v>
      </c>
      <c r="J446" t="s">
        <v>6502</v>
      </c>
      <c r="K446" t="s">
        <v>13</v>
      </c>
      <c r="L446" t="s">
        <v>75</v>
      </c>
      <c r="M446" t="s">
        <v>10620</v>
      </c>
      <c r="O446" t="s">
        <v>10619</v>
      </c>
      <c r="P446" t="s">
        <v>10275</v>
      </c>
      <c r="Q446" t="s">
        <v>9643</v>
      </c>
      <c r="R446" t="s">
        <v>13</v>
      </c>
      <c r="S446" t="s">
        <v>75</v>
      </c>
      <c r="T446" t="s">
        <v>10637</v>
      </c>
    </row>
    <row r="447" spans="1:20">
      <c r="A447" t="s">
        <v>10619</v>
      </c>
      <c r="B447" t="s">
        <v>4636</v>
      </c>
      <c r="C447" t="s">
        <v>2819</v>
      </c>
      <c r="D447" t="s">
        <v>13</v>
      </c>
      <c r="E447" t="s">
        <v>75</v>
      </c>
      <c r="F447" t="s">
        <v>10620</v>
      </c>
      <c r="H447" t="s">
        <v>10619</v>
      </c>
      <c r="I447" t="s">
        <v>7990</v>
      </c>
      <c r="J447" t="s">
        <v>6504</v>
      </c>
      <c r="K447" t="s">
        <v>13</v>
      </c>
      <c r="L447" t="s">
        <v>75</v>
      </c>
      <c r="M447" t="s">
        <v>10620</v>
      </c>
      <c r="O447" t="s">
        <v>10619</v>
      </c>
      <c r="P447" t="s">
        <v>10276</v>
      </c>
      <c r="Q447" t="s">
        <v>9643</v>
      </c>
      <c r="R447" t="s">
        <v>13</v>
      </c>
      <c r="S447" t="s">
        <v>75</v>
      </c>
      <c r="T447" t="s">
        <v>10637</v>
      </c>
    </row>
    <row r="448" spans="1:20">
      <c r="A448" t="s">
        <v>10619</v>
      </c>
      <c r="B448" t="s">
        <v>4637</v>
      </c>
      <c r="C448" t="s">
        <v>2821</v>
      </c>
      <c r="D448" t="s">
        <v>13</v>
      </c>
      <c r="E448" t="s">
        <v>75</v>
      </c>
      <c r="F448" t="s">
        <v>10620</v>
      </c>
      <c r="H448" t="s">
        <v>10619</v>
      </c>
      <c r="I448" t="s">
        <v>7991</v>
      </c>
      <c r="J448" t="s">
        <v>6506</v>
      </c>
      <c r="K448" t="s">
        <v>13</v>
      </c>
      <c r="L448" t="s">
        <v>75</v>
      </c>
      <c r="M448" t="s">
        <v>10620</v>
      </c>
      <c r="O448" t="s">
        <v>10619</v>
      </c>
      <c r="P448" t="s">
        <v>10277</v>
      </c>
      <c r="Q448" t="s">
        <v>9646</v>
      </c>
      <c r="R448" t="s">
        <v>13</v>
      </c>
      <c r="S448" t="s">
        <v>75</v>
      </c>
      <c r="T448" t="s">
        <v>10637</v>
      </c>
    </row>
    <row r="449" spans="1:20">
      <c r="A449" t="s">
        <v>10619</v>
      </c>
      <c r="B449" t="s">
        <v>4638</v>
      </c>
      <c r="C449" t="s">
        <v>2823</v>
      </c>
      <c r="D449" t="s">
        <v>13</v>
      </c>
      <c r="E449" t="s">
        <v>75</v>
      </c>
      <c r="F449" t="s">
        <v>10620</v>
      </c>
      <c r="H449" t="s">
        <v>10619</v>
      </c>
      <c r="I449" t="s">
        <v>7992</v>
      </c>
      <c r="J449" t="s">
        <v>6508</v>
      </c>
      <c r="K449" t="s">
        <v>13</v>
      </c>
      <c r="L449" t="s">
        <v>75</v>
      </c>
      <c r="M449" t="s">
        <v>10620</v>
      </c>
      <c r="O449" t="s">
        <v>10619</v>
      </c>
      <c r="P449" t="s">
        <v>10278</v>
      </c>
      <c r="Q449" t="s">
        <v>9648</v>
      </c>
      <c r="R449" t="s">
        <v>13</v>
      </c>
      <c r="S449" t="s">
        <v>75</v>
      </c>
      <c r="T449" t="s">
        <v>10637</v>
      </c>
    </row>
    <row r="450" spans="1:20">
      <c r="A450" t="s">
        <v>10619</v>
      </c>
      <c r="B450" t="s">
        <v>4639</v>
      </c>
      <c r="C450" t="s">
        <v>2825</v>
      </c>
      <c r="D450" t="s">
        <v>13</v>
      </c>
      <c r="E450" t="s">
        <v>75</v>
      </c>
      <c r="F450" t="s">
        <v>10620</v>
      </c>
      <c r="H450" t="s">
        <v>10619</v>
      </c>
      <c r="I450" t="s">
        <v>7993</v>
      </c>
      <c r="J450" t="s">
        <v>6510</v>
      </c>
      <c r="K450" t="s">
        <v>13</v>
      </c>
      <c r="L450" t="s">
        <v>75</v>
      </c>
      <c r="M450" t="s">
        <v>10620</v>
      </c>
      <c r="O450" t="s">
        <v>10619</v>
      </c>
      <c r="P450" t="s">
        <v>10279</v>
      </c>
      <c r="Q450" t="s">
        <v>9648</v>
      </c>
      <c r="R450" t="s">
        <v>13</v>
      </c>
      <c r="S450" t="s">
        <v>75</v>
      </c>
      <c r="T450" t="s">
        <v>10637</v>
      </c>
    </row>
    <row r="451" spans="1:20">
      <c r="A451" t="s">
        <v>10619</v>
      </c>
      <c r="B451" t="s">
        <v>4640</v>
      </c>
      <c r="C451" t="s">
        <v>2823</v>
      </c>
      <c r="D451" t="s">
        <v>13</v>
      </c>
      <c r="E451" t="s">
        <v>75</v>
      </c>
      <c r="F451" t="s">
        <v>10620</v>
      </c>
      <c r="H451" t="s">
        <v>10619</v>
      </c>
      <c r="I451" t="s">
        <v>7994</v>
      </c>
      <c r="J451" t="s">
        <v>6512</v>
      </c>
      <c r="K451" t="s">
        <v>13</v>
      </c>
      <c r="L451" t="s">
        <v>75</v>
      </c>
      <c r="M451" t="s">
        <v>10620</v>
      </c>
      <c r="O451" t="s">
        <v>10619</v>
      </c>
      <c r="P451" t="s">
        <v>10280</v>
      </c>
      <c r="Q451" t="s">
        <v>9651</v>
      </c>
      <c r="R451" t="s">
        <v>13</v>
      </c>
      <c r="S451" t="s">
        <v>75</v>
      </c>
      <c r="T451" t="s">
        <v>10637</v>
      </c>
    </row>
    <row r="452" spans="1:20">
      <c r="A452" t="s">
        <v>10619</v>
      </c>
      <c r="B452" t="s">
        <v>4641</v>
      </c>
      <c r="C452" t="s">
        <v>2828</v>
      </c>
      <c r="D452" t="s">
        <v>13</v>
      </c>
      <c r="E452" t="s">
        <v>75</v>
      </c>
      <c r="F452" t="s">
        <v>10620</v>
      </c>
      <c r="H452" t="s">
        <v>10619</v>
      </c>
      <c r="I452" t="s">
        <v>7995</v>
      </c>
      <c r="J452" t="s">
        <v>6514</v>
      </c>
      <c r="K452" t="s">
        <v>13</v>
      </c>
      <c r="L452" t="s">
        <v>75</v>
      </c>
      <c r="M452" t="s">
        <v>10620</v>
      </c>
      <c r="O452" t="s">
        <v>10619</v>
      </c>
      <c r="P452" t="s">
        <v>10281</v>
      </c>
      <c r="Q452" t="s">
        <v>9653</v>
      </c>
      <c r="R452" t="s">
        <v>13</v>
      </c>
      <c r="S452" t="s">
        <v>75</v>
      </c>
      <c r="T452" t="s">
        <v>10621</v>
      </c>
    </row>
    <row r="453" spans="1:20">
      <c r="A453" t="s">
        <v>10619</v>
      </c>
      <c r="B453" t="s">
        <v>4642</v>
      </c>
      <c r="C453" t="s">
        <v>2830</v>
      </c>
      <c r="D453" t="s">
        <v>13</v>
      </c>
      <c r="E453" t="s">
        <v>75</v>
      </c>
      <c r="F453" t="s">
        <v>10620</v>
      </c>
      <c r="H453" t="s">
        <v>10619</v>
      </c>
      <c r="I453" t="s">
        <v>7996</v>
      </c>
      <c r="J453" t="s">
        <v>6516</v>
      </c>
      <c r="K453" t="s">
        <v>13</v>
      </c>
      <c r="L453" t="s">
        <v>75</v>
      </c>
      <c r="M453" t="s">
        <v>10620</v>
      </c>
      <c r="O453" t="s">
        <v>10619</v>
      </c>
      <c r="P453" t="s">
        <v>10282</v>
      </c>
      <c r="Q453" t="s">
        <v>9653</v>
      </c>
      <c r="R453" t="s">
        <v>13</v>
      </c>
      <c r="S453" t="s">
        <v>75</v>
      </c>
      <c r="T453" t="s">
        <v>10621</v>
      </c>
    </row>
    <row r="454" spans="1:20">
      <c r="A454" t="s">
        <v>10619</v>
      </c>
      <c r="B454" t="s">
        <v>4643</v>
      </c>
      <c r="C454" t="s">
        <v>2832</v>
      </c>
      <c r="D454" t="s">
        <v>13</v>
      </c>
      <c r="E454" t="s">
        <v>75</v>
      </c>
      <c r="F454" t="s">
        <v>10620</v>
      </c>
      <c r="H454" t="s">
        <v>10619</v>
      </c>
      <c r="I454" t="s">
        <v>7997</v>
      </c>
      <c r="J454" t="s">
        <v>6518</v>
      </c>
      <c r="K454" t="s">
        <v>13</v>
      </c>
      <c r="L454" t="s">
        <v>75</v>
      </c>
      <c r="M454" t="s">
        <v>10620</v>
      </c>
      <c r="O454" t="s">
        <v>10619</v>
      </c>
      <c r="P454" t="s">
        <v>10283</v>
      </c>
      <c r="Q454" t="s">
        <v>9653</v>
      </c>
      <c r="R454" t="s">
        <v>13</v>
      </c>
      <c r="S454" t="s">
        <v>75</v>
      </c>
      <c r="T454" t="s">
        <v>10621</v>
      </c>
    </row>
    <row r="455" spans="1:20">
      <c r="A455" t="s">
        <v>10619</v>
      </c>
      <c r="B455" t="s">
        <v>4644</v>
      </c>
      <c r="C455" t="s">
        <v>2834</v>
      </c>
      <c r="D455" t="s">
        <v>13</v>
      </c>
      <c r="E455" t="s">
        <v>75</v>
      </c>
      <c r="F455" t="s">
        <v>10620</v>
      </c>
      <c r="H455" t="s">
        <v>10619</v>
      </c>
      <c r="I455" t="s">
        <v>7998</v>
      </c>
      <c r="J455" t="s">
        <v>6492</v>
      </c>
      <c r="K455" t="s">
        <v>13</v>
      </c>
      <c r="L455" t="s">
        <v>75</v>
      </c>
      <c r="M455" t="s">
        <v>10620</v>
      </c>
      <c r="O455" t="s">
        <v>10619</v>
      </c>
      <c r="P455" t="s">
        <v>10284</v>
      </c>
      <c r="Q455" t="s">
        <v>9653</v>
      </c>
      <c r="R455" t="s">
        <v>13</v>
      </c>
      <c r="S455" t="s">
        <v>75</v>
      </c>
      <c r="T455" t="s">
        <v>10621</v>
      </c>
    </row>
    <row r="456" spans="1:20">
      <c r="A456" t="s">
        <v>10619</v>
      </c>
      <c r="B456" t="s">
        <v>4645</v>
      </c>
      <c r="C456" t="s">
        <v>2836</v>
      </c>
      <c r="D456" t="s">
        <v>13</v>
      </c>
      <c r="E456" t="s">
        <v>75</v>
      </c>
      <c r="F456" t="s">
        <v>10620</v>
      </c>
      <c r="H456" t="s">
        <v>10619</v>
      </c>
      <c r="I456" t="s">
        <v>7999</v>
      </c>
      <c r="J456" t="s">
        <v>6494</v>
      </c>
      <c r="K456" t="s">
        <v>13</v>
      </c>
      <c r="L456" t="s">
        <v>75</v>
      </c>
      <c r="M456" t="s">
        <v>10620</v>
      </c>
      <c r="O456" t="s">
        <v>10619</v>
      </c>
      <c r="P456" t="s">
        <v>10285</v>
      </c>
      <c r="Q456" t="s">
        <v>9658</v>
      </c>
      <c r="R456" t="s">
        <v>13</v>
      </c>
      <c r="S456" t="s">
        <v>75</v>
      </c>
      <c r="T456" t="s">
        <v>10621</v>
      </c>
    </row>
    <row r="457" spans="1:20">
      <c r="A457" t="s">
        <v>10619</v>
      </c>
      <c r="B457" t="s">
        <v>4646</v>
      </c>
      <c r="C457" t="s">
        <v>2838</v>
      </c>
      <c r="D457" t="s">
        <v>13</v>
      </c>
      <c r="E457" t="s">
        <v>75</v>
      </c>
      <c r="F457" t="s">
        <v>10620</v>
      </c>
      <c r="H457" t="s">
        <v>10619</v>
      </c>
      <c r="I457" t="s">
        <v>8000</v>
      </c>
      <c r="J457" t="s">
        <v>6522</v>
      </c>
      <c r="K457" t="s">
        <v>13</v>
      </c>
      <c r="L457" t="s">
        <v>75</v>
      </c>
      <c r="M457" t="s">
        <v>10620</v>
      </c>
      <c r="O457" t="s">
        <v>10619</v>
      </c>
      <c r="P457" t="s">
        <v>10286</v>
      </c>
      <c r="Q457" t="s">
        <v>9660</v>
      </c>
      <c r="R457" t="s">
        <v>13</v>
      </c>
      <c r="S457" t="s">
        <v>75</v>
      </c>
      <c r="T457" t="s">
        <v>10621</v>
      </c>
    </row>
    <row r="458" spans="1:20">
      <c r="A458" t="s">
        <v>10619</v>
      </c>
      <c r="B458" t="s">
        <v>4647</v>
      </c>
      <c r="C458" t="s">
        <v>2840</v>
      </c>
      <c r="D458" t="s">
        <v>13</v>
      </c>
      <c r="E458" t="s">
        <v>75</v>
      </c>
      <c r="F458" t="s">
        <v>102</v>
      </c>
      <c r="H458" t="s">
        <v>10619</v>
      </c>
      <c r="I458" t="s">
        <v>8001</v>
      </c>
      <c r="J458" t="s">
        <v>6524</v>
      </c>
      <c r="K458" t="s">
        <v>13</v>
      </c>
      <c r="L458" t="s">
        <v>75</v>
      </c>
      <c r="M458" t="s">
        <v>10621</v>
      </c>
      <c r="O458" t="s">
        <v>10619</v>
      </c>
      <c r="P458" t="s">
        <v>10287</v>
      </c>
      <c r="Q458" t="s">
        <v>9662</v>
      </c>
      <c r="R458" t="s">
        <v>13</v>
      </c>
      <c r="S458" t="s">
        <v>75</v>
      </c>
      <c r="T458" t="s">
        <v>10621</v>
      </c>
    </row>
    <row r="459" spans="1:20">
      <c r="A459" t="s">
        <v>10619</v>
      </c>
      <c r="B459" t="s">
        <v>4648</v>
      </c>
      <c r="C459" t="s">
        <v>2842</v>
      </c>
      <c r="D459" t="s">
        <v>13</v>
      </c>
      <c r="E459" t="s">
        <v>75</v>
      </c>
      <c r="F459" t="s">
        <v>102</v>
      </c>
      <c r="H459" t="s">
        <v>10619</v>
      </c>
      <c r="I459" t="s">
        <v>8002</v>
      </c>
      <c r="J459" t="s">
        <v>6526</v>
      </c>
      <c r="K459" t="s">
        <v>13</v>
      </c>
      <c r="L459" t="s">
        <v>75</v>
      </c>
      <c r="M459" t="s">
        <v>10621</v>
      </c>
      <c r="O459" t="s">
        <v>10619</v>
      </c>
      <c r="P459" t="s">
        <v>10288</v>
      </c>
      <c r="Q459" t="s">
        <v>9664</v>
      </c>
      <c r="R459" t="s">
        <v>13</v>
      </c>
      <c r="S459" t="s">
        <v>75</v>
      </c>
      <c r="T459" t="s">
        <v>10620</v>
      </c>
    </row>
    <row r="460" spans="1:20">
      <c r="A460" t="s">
        <v>10619</v>
      </c>
      <c r="B460" t="s">
        <v>4649</v>
      </c>
      <c r="C460" t="s">
        <v>2844</v>
      </c>
      <c r="D460" t="s">
        <v>13</v>
      </c>
      <c r="E460" t="s">
        <v>75</v>
      </c>
      <c r="F460" t="s">
        <v>102</v>
      </c>
      <c r="H460" t="s">
        <v>10619</v>
      </c>
      <c r="I460" t="s">
        <v>8003</v>
      </c>
      <c r="J460" t="s">
        <v>6528</v>
      </c>
      <c r="K460" t="s">
        <v>13</v>
      </c>
      <c r="L460" t="s">
        <v>75</v>
      </c>
      <c r="M460" t="s">
        <v>10621</v>
      </c>
      <c r="O460" t="s">
        <v>10619</v>
      </c>
      <c r="P460" t="s">
        <v>10289</v>
      </c>
      <c r="Q460" t="s">
        <v>9664</v>
      </c>
      <c r="R460" t="s">
        <v>13</v>
      </c>
      <c r="S460" t="s">
        <v>75</v>
      </c>
      <c r="T460" t="s">
        <v>10620</v>
      </c>
    </row>
    <row r="461" spans="1:20">
      <c r="A461" t="s">
        <v>10619</v>
      </c>
      <c r="B461" t="s">
        <v>4650</v>
      </c>
      <c r="C461" t="s">
        <v>2846</v>
      </c>
      <c r="D461" t="s">
        <v>13</v>
      </c>
      <c r="E461" t="s">
        <v>75</v>
      </c>
      <c r="F461" t="s">
        <v>102</v>
      </c>
      <c r="H461" t="s">
        <v>10619</v>
      </c>
      <c r="I461" t="s">
        <v>8004</v>
      </c>
      <c r="J461" t="s">
        <v>6530</v>
      </c>
      <c r="K461" t="s">
        <v>13</v>
      </c>
      <c r="L461" t="s">
        <v>75</v>
      </c>
      <c r="M461" t="s">
        <v>10621</v>
      </c>
      <c r="O461" t="s">
        <v>10619</v>
      </c>
      <c r="P461" t="s">
        <v>10290</v>
      </c>
      <c r="Q461" t="s">
        <v>9667</v>
      </c>
      <c r="R461" t="s">
        <v>13</v>
      </c>
      <c r="S461" t="s">
        <v>75</v>
      </c>
      <c r="T461" t="s">
        <v>10621</v>
      </c>
    </row>
    <row r="462" spans="1:20">
      <c r="A462" t="s">
        <v>10619</v>
      </c>
      <c r="B462" t="s">
        <v>4651</v>
      </c>
      <c r="C462" t="s">
        <v>2848</v>
      </c>
      <c r="D462" t="s">
        <v>13</v>
      </c>
      <c r="E462" t="s">
        <v>75</v>
      </c>
      <c r="F462" t="s">
        <v>102</v>
      </c>
      <c r="H462" t="s">
        <v>10619</v>
      </c>
      <c r="I462" t="s">
        <v>8005</v>
      </c>
      <c r="J462" t="s">
        <v>6532</v>
      </c>
      <c r="K462" t="s">
        <v>13</v>
      </c>
      <c r="L462" t="s">
        <v>75</v>
      </c>
      <c r="M462" t="s">
        <v>10621</v>
      </c>
      <c r="O462" t="s">
        <v>10619</v>
      </c>
      <c r="P462" t="s">
        <v>10291</v>
      </c>
      <c r="Q462" t="s">
        <v>9669</v>
      </c>
      <c r="R462" t="s">
        <v>13</v>
      </c>
      <c r="S462" t="s">
        <v>75</v>
      </c>
      <c r="T462" t="s">
        <v>10621</v>
      </c>
    </row>
    <row r="463" spans="1:20">
      <c r="A463" t="s">
        <v>10619</v>
      </c>
      <c r="B463" t="s">
        <v>4652</v>
      </c>
      <c r="C463" t="s">
        <v>2850</v>
      </c>
      <c r="D463" t="s">
        <v>13</v>
      </c>
      <c r="E463" t="s">
        <v>75</v>
      </c>
      <c r="F463" t="s">
        <v>102</v>
      </c>
      <c r="H463" t="s">
        <v>10619</v>
      </c>
      <c r="I463" t="s">
        <v>8006</v>
      </c>
      <c r="J463" t="s">
        <v>6534</v>
      </c>
      <c r="K463" t="s">
        <v>13</v>
      </c>
      <c r="L463" t="s">
        <v>75</v>
      </c>
      <c r="M463" t="s">
        <v>10621</v>
      </c>
      <c r="O463" t="s">
        <v>10619</v>
      </c>
      <c r="P463" t="s">
        <v>10292</v>
      </c>
      <c r="Q463" t="s">
        <v>9669</v>
      </c>
      <c r="R463" t="s">
        <v>13</v>
      </c>
      <c r="S463" t="s">
        <v>75</v>
      </c>
      <c r="T463" t="s">
        <v>10621</v>
      </c>
    </row>
    <row r="464" spans="1:20">
      <c r="A464" t="s">
        <v>10619</v>
      </c>
      <c r="B464" t="s">
        <v>4653</v>
      </c>
      <c r="C464" t="s">
        <v>2852</v>
      </c>
      <c r="D464" t="s">
        <v>13</v>
      </c>
      <c r="E464" t="s">
        <v>75</v>
      </c>
      <c r="F464" t="s">
        <v>102</v>
      </c>
      <c r="H464" t="s">
        <v>10619</v>
      </c>
      <c r="I464" t="s">
        <v>8007</v>
      </c>
      <c r="J464" t="s">
        <v>6534</v>
      </c>
      <c r="K464" t="s">
        <v>13</v>
      </c>
      <c r="L464" t="s">
        <v>75</v>
      </c>
      <c r="M464" t="s">
        <v>10621</v>
      </c>
      <c r="O464" t="s">
        <v>10619</v>
      </c>
      <c r="P464" t="s">
        <v>10293</v>
      </c>
      <c r="Q464" t="s">
        <v>9672</v>
      </c>
      <c r="R464" t="s">
        <v>13</v>
      </c>
      <c r="S464" t="s">
        <v>75</v>
      </c>
      <c r="T464" t="s">
        <v>10624</v>
      </c>
    </row>
    <row r="465" spans="1:20">
      <c r="A465" t="s">
        <v>10619</v>
      </c>
      <c r="B465" t="s">
        <v>4654</v>
      </c>
      <c r="C465" t="s">
        <v>2854</v>
      </c>
      <c r="D465" t="s">
        <v>13</v>
      </c>
      <c r="E465" t="s">
        <v>75</v>
      </c>
      <c r="F465" t="s">
        <v>102</v>
      </c>
      <c r="H465" t="s">
        <v>10619</v>
      </c>
      <c r="I465" t="s">
        <v>8008</v>
      </c>
      <c r="J465" t="s">
        <v>6537</v>
      </c>
      <c r="K465" t="s">
        <v>13</v>
      </c>
      <c r="L465" t="s">
        <v>75</v>
      </c>
      <c r="M465" t="s">
        <v>10621</v>
      </c>
      <c r="O465" t="s">
        <v>10619</v>
      </c>
      <c r="P465" t="s">
        <v>10294</v>
      </c>
      <c r="Q465" t="s">
        <v>9674</v>
      </c>
      <c r="R465" t="s">
        <v>13</v>
      </c>
      <c r="S465" t="s">
        <v>75</v>
      </c>
      <c r="T465" t="s">
        <v>10624</v>
      </c>
    </row>
    <row r="466" spans="1:20">
      <c r="A466" t="s">
        <v>10619</v>
      </c>
      <c r="B466" t="s">
        <v>4655</v>
      </c>
      <c r="C466" t="s">
        <v>2856</v>
      </c>
      <c r="D466" t="s">
        <v>13</v>
      </c>
      <c r="E466" t="s">
        <v>75</v>
      </c>
      <c r="F466" t="s">
        <v>102</v>
      </c>
      <c r="H466" t="s">
        <v>10619</v>
      </c>
      <c r="I466" t="s">
        <v>8009</v>
      </c>
      <c r="J466" t="s">
        <v>6539</v>
      </c>
      <c r="K466" t="s">
        <v>13</v>
      </c>
      <c r="L466" t="s">
        <v>75</v>
      </c>
      <c r="M466" t="s">
        <v>10620</v>
      </c>
      <c r="O466" t="s">
        <v>10619</v>
      </c>
      <c r="P466" t="s">
        <v>10295</v>
      </c>
      <c r="Q466" t="s">
        <v>9676</v>
      </c>
      <c r="R466" t="s">
        <v>13</v>
      </c>
      <c r="S466" t="s">
        <v>75</v>
      </c>
      <c r="T466" t="s">
        <v>10621</v>
      </c>
    </row>
    <row r="467" spans="1:20">
      <c r="A467" t="s">
        <v>10619</v>
      </c>
      <c r="B467" t="s">
        <v>4656</v>
      </c>
      <c r="C467" t="s">
        <v>2858</v>
      </c>
      <c r="D467" t="s">
        <v>13</v>
      </c>
      <c r="E467" t="s">
        <v>75</v>
      </c>
      <c r="F467" t="s">
        <v>102</v>
      </c>
      <c r="H467" t="s">
        <v>10619</v>
      </c>
      <c r="I467" t="s">
        <v>8010</v>
      </c>
      <c r="J467" t="s">
        <v>6541</v>
      </c>
      <c r="K467" t="s">
        <v>13</v>
      </c>
      <c r="L467" t="s">
        <v>75</v>
      </c>
      <c r="M467" t="s">
        <v>10620</v>
      </c>
      <c r="O467" t="s">
        <v>10619</v>
      </c>
      <c r="P467" t="s">
        <v>10296</v>
      </c>
      <c r="Q467" t="s">
        <v>9676</v>
      </c>
      <c r="R467" t="s">
        <v>13</v>
      </c>
      <c r="S467" t="s">
        <v>75</v>
      </c>
      <c r="T467" t="s">
        <v>10621</v>
      </c>
    </row>
    <row r="468" spans="1:20">
      <c r="A468" t="s">
        <v>10619</v>
      </c>
      <c r="B468" t="s">
        <v>4657</v>
      </c>
      <c r="C468" t="s">
        <v>2860</v>
      </c>
      <c r="D468" t="s">
        <v>13</v>
      </c>
      <c r="E468" t="s">
        <v>75</v>
      </c>
      <c r="F468" t="s">
        <v>102</v>
      </c>
      <c r="H468" t="s">
        <v>10619</v>
      </c>
      <c r="I468" t="s">
        <v>8011</v>
      </c>
      <c r="J468" t="s">
        <v>6543</v>
      </c>
      <c r="K468" t="s">
        <v>13</v>
      </c>
      <c r="L468" t="s">
        <v>75</v>
      </c>
      <c r="M468" t="s">
        <v>10620</v>
      </c>
      <c r="O468" t="s">
        <v>10619</v>
      </c>
      <c r="P468" t="s">
        <v>10297</v>
      </c>
      <c r="Q468" t="s">
        <v>9676</v>
      </c>
      <c r="R468" t="s">
        <v>13</v>
      </c>
      <c r="S468" t="s">
        <v>75</v>
      </c>
      <c r="T468" t="s">
        <v>10621</v>
      </c>
    </row>
    <row r="469" spans="1:20">
      <c r="A469" t="s">
        <v>10619</v>
      </c>
      <c r="B469" t="s">
        <v>4658</v>
      </c>
      <c r="C469" t="s">
        <v>2862</v>
      </c>
      <c r="D469" t="s">
        <v>13</v>
      </c>
      <c r="E469" t="s">
        <v>75</v>
      </c>
      <c r="F469" t="s">
        <v>102</v>
      </c>
      <c r="H469" t="s">
        <v>10619</v>
      </c>
      <c r="I469" t="s">
        <v>8012</v>
      </c>
      <c r="J469" t="s">
        <v>6539</v>
      </c>
      <c r="K469" t="s">
        <v>13</v>
      </c>
      <c r="L469" t="s">
        <v>75</v>
      </c>
      <c r="M469" t="s">
        <v>10620</v>
      </c>
      <c r="O469" t="s">
        <v>10619</v>
      </c>
      <c r="P469" t="s">
        <v>10298</v>
      </c>
      <c r="Q469" t="s">
        <v>9680</v>
      </c>
      <c r="R469" t="s">
        <v>13</v>
      </c>
      <c r="S469" t="s">
        <v>75</v>
      </c>
      <c r="T469" t="s">
        <v>10621</v>
      </c>
    </row>
    <row r="470" spans="1:20">
      <c r="A470" t="s">
        <v>10619</v>
      </c>
      <c r="B470" t="s">
        <v>4659</v>
      </c>
      <c r="C470" t="s">
        <v>2864</v>
      </c>
      <c r="D470" t="s">
        <v>13</v>
      </c>
      <c r="E470" t="s">
        <v>75</v>
      </c>
      <c r="F470" t="s">
        <v>102</v>
      </c>
      <c r="H470" t="s">
        <v>10619</v>
      </c>
      <c r="I470" t="s">
        <v>8013</v>
      </c>
      <c r="J470" t="s">
        <v>6546</v>
      </c>
      <c r="K470" t="s">
        <v>13</v>
      </c>
      <c r="L470" t="s">
        <v>75</v>
      </c>
      <c r="M470" t="s">
        <v>10620</v>
      </c>
      <c r="O470" t="s">
        <v>10619</v>
      </c>
      <c r="P470" t="s">
        <v>10299</v>
      </c>
      <c r="Q470" t="s">
        <v>9682</v>
      </c>
      <c r="R470" t="s">
        <v>13</v>
      </c>
      <c r="S470" t="s">
        <v>75</v>
      </c>
      <c r="T470" t="s">
        <v>10621</v>
      </c>
    </row>
    <row r="471" spans="1:20">
      <c r="A471" t="s">
        <v>10619</v>
      </c>
      <c r="B471" t="s">
        <v>4660</v>
      </c>
      <c r="C471" t="s">
        <v>2866</v>
      </c>
      <c r="D471" t="s">
        <v>13</v>
      </c>
      <c r="E471" t="s">
        <v>75</v>
      </c>
      <c r="F471" t="s">
        <v>102</v>
      </c>
      <c r="H471" t="s">
        <v>10619</v>
      </c>
      <c r="I471" t="s">
        <v>8014</v>
      </c>
      <c r="J471" t="s">
        <v>6548</v>
      </c>
      <c r="K471" t="s">
        <v>13</v>
      </c>
      <c r="L471" t="s">
        <v>75</v>
      </c>
      <c r="M471" t="s">
        <v>10620</v>
      </c>
      <c r="O471" t="s">
        <v>10619</v>
      </c>
      <c r="P471" t="s">
        <v>10300</v>
      </c>
      <c r="Q471" t="s">
        <v>9684</v>
      </c>
      <c r="R471" t="s">
        <v>13</v>
      </c>
      <c r="S471" t="s">
        <v>75</v>
      </c>
      <c r="T471" t="s">
        <v>10621</v>
      </c>
    </row>
    <row r="472" spans="1:20">
      <c r="A472" t="s">
        <v>10619</v>
      </c>
      <c r="B472" t="s">
        <v>4661</v>
      </c>
      <c r="C472" t="s">
        <v>2868</v>
      </c>
      <c r="D472" t="s">
        <v>13</v>
      </c>
      <c r="E472" t="s">
        <v>75</v>
      </c>
      <c r="F472" t="s">
        <v>102</v>
      </c>
      <c r="H472" t="s">
        <v>10619</v>
      </c>
      <c r="I472" t="s">
        <v>8015</v>
      </c>
      <c r="J472" t="s">
        <v>6550</v>
      </c>
      <c r="K472" t="s">
        <v>13</v>
      </c>
      <c r="L472" t="s">
        <v>75</v>
      </c>
      <c r="M472" t="s">
        <v>10620</v>
      </c>
      <c r="O472" t="s">
        <v>10619</v>
      </c>
      <c r="P472" t="s">
        <v>10301</v>
      </c>
      <c r="Q472" t="s">
        <v>9686</v>
      </c>
      <c r="R472" t="s">
        <v>13</v>
      </c>
      <c r="S472" t="s">
        <v>75</v>
      </c>
      <c r="T472" t="s">
        <v>10624</v>
      </c>
    </row>
    <row r="473" spans="1:20">
      <c r="A473" t="s">
        <v>10619</v>
      </c>
      <c r="B473" t="s">
        <v>4662</v>
      </c>
      <c r="C473" t="s">
        <v>2870</v>
      </c>
      <c r="D473" t="s">
        <v>13</v>
      </c>
      <c r="E473" t="s">
        <v>75</v>
      </c>
      <c r="F473" t="s">
        <v>102</v>
      </c>
      <c r="H473" t="s">
        <v>10619</v>
      </c>
      <c r="I473" t="s">
        <v>8016</v>
      </c>
      <c r="J473" t="s">
        <v>6552</v>
      </c>
      <c r="K473" t="s">
        <v>13</v>
      </c>
      <c r="L473" t="s">
        <v>75</v>
      </c>
      <c r="M473" t="s">
        <v>10620</v>
      </c>
      <c r="O473" t="s">
        <v>10619</v>
      </c>
      <c r="P473" t="s">
        <v>10302</v>
      </c>
      <c r="Q473" t="s">
        <v>9686</v>
      </c>
      <c r="R473" t="s">
        <v>13</v>
      </c>
      <c r="S473" t="s">
        <v>75</v>
      </c>
      <c r="T473" t="s">
        <v>10624</v>
      </c>
    </row>
    <row r="474" spans="1:20">
      <c r="A474" t="s">
        <v>10619</v>
      </c>
      <c r="B474" t="s">
        <v>4663</v>
      </c>
      <c r="C474" t="s">
        <v>2872</v>
      </c>
      <c r="D474" t="s">
        <v>13</v>
      </c>
      <c r="E474" t="s">
        <v>75</v>
      </c>
      <c r="F474" t="s">
        <v>102</v>
      </c>
      <c r="H474" t="s">
        <v>10619</v>
      </c>
      <c r="I474" t="s">
        <v>8017</v>
      </c>
      <c r="J474" t="s">
        <v>6554</v>
      </c>
      <c r="K474" t="s">
        <v>13</v>
      </c>
      <c r="L474" t="s">
        <v>75</v>
      </c>
      <c r="M474" t="s">
        <v>10620</v>
      </c>
      <c r="O474" t="s">
        <v>10619</v>
      </c>
      <c r="P474" t="s">
        <v>10303</v>
      </c>
      <c r="Q474" t="s">
        <v>9686</v>
      </c>
      <c r="R474" t="s">
        <v>13</v>
      </c>
      <c r="S474" t="s">
        <v>75</v>
      </c>
      <c r="T474" t="s">
        <v>10624</v>
      </c>
    </row>
    <row r="475" spans="1:20">
      <c r="A475" t="s">
        <v>10619</v>
      </c>
      <c r="B475" t="s">
        <v>4664</v>
      </c>
      <c r="C475" t="s">
        <v>2874</v>
      </c>
      <c r="D475" t="s">
        <v>13</v>
      </c>
      <c r="E475" t="s">
        <v>75</v>
      </c>
      <c r="F475" t="s">
        <v>102</v>
      </c>
      <c r="H475" t="s">
        <v>10619</v>
      </c>
      <c r="I475" t="s">
        <v>8018</v>
      </c>
      <c r="J475" t="s">
        <v>6556</v>
      </c>
      <c r="K475" t="s">
        <v>13</v>
      </c>
      <c r="L475" t="s">
        <v>75</v>
      </c>
      <c r="M475" t="s">
        <v>10620</v>
      </c>
      <c r="O475" t="s">
        <v>10619</v>
      </c>
      <c r="P475" t="s">
        <v>10304</v>
      </c>
      <c r="Q475" t="s">
        <v>9690</v>
      </c>
      <c r="R475" t="s">
        <v>13</v>
      </c>
      <c r="S475" t="s">
        <v>75</v>
      </c>
      <c r="T475" t="s">
        <v>10629</v>
      </c>
    </row>
    <row r="476" spans="1:20">
      <c r="A476" t="s">
        <v>10619</v>
      </c>
      <c r="B476" t="s">
        <v>4665</v>
      </c>
      <c r="C476" t="s">
        <v>2876</v>
      </c>
      <c r="D476" t="s">
        <v>13</v>
      </c>
      <c r="E476" t="s">
        <v>75</v>
      </c>
      <c r="F476" t="s">
        <v>509</v>
      </c>
      <c r="H476" t="s">
        <v>10619</v>
      </c>
      <c r="I476" t="s">
        <v>8019</v>
      </c>
      <c r="J476" t="s">
        <v>6558</v>
      </c>
      <c r="K476" t="s">
        <v>13</v>
      </c>
      <c r="L476" t="s">
        <v>75</v>
      </c>
      <c r="M476" t="s">
        <v>10620</v>
      </c>
      <c r="O476" t="s">
        <v>10619</v>
      </c>
      <c r="P476" t="s">
        <v>10305</v>
      </c>
      <c r="Q476" t="s">
        <v>9692</v>
      </c>
      <c r="R476" t="s">
        <v>13</v>
      </c>
      <c r="S476" t="s">
        <v>75</v>
      </c>
      <c r="T476" t="s">
        <v>10629</v>
      </c>
    </row>
    <row r="477" spans="1:20">
      <c r="A477" t="s">
        <v>10619</v>
      </c>
      <c r="B477" t="s">
        <v>4666</v>
      </c>
      <c r="C477" t="s">
        <v>2878</v>
      </c>
      <c r="D477" t="s">
        <v>13</v>
      </c>
      <c r="E477" t="s">
        <v>75</v>
      </c>
      <c r="F477" t="s">
        <v>509</v>
      </c>
      <c r="H477" t="s">
        <v>10619</v>
      </c>
      <c r="I477" t="s">
        <v>8020</v>
      </c>
      <c r="J477" t="s">
        <v>6560</v>
      </c>
      <c r="K477" t="s">
        <v>13</v>
      </c>
      <c r="L477" t="s">
        <v>75</v>
      </c>
      <c r="M477" t="s">
        <v>10620</v>
      </c>
      <c r="O477" t="s">
        <v>10619</v>
      </c>
      <c r="P477" t="s">
        <v>10306</v>
      </c>
      <c r="Q477" t="s">
        <v>9694</v>
      </c>
      <c r="R477" t="s">
        <v>13</v>
      </c>
      <c r="S477" t="s">
        <v>75</v>
      </c>
      <c r="T477" t="s">
        <v>10629</v>
      </c>
    </row>
    <row r="478" spans="1:20">
      <c r="A478" t="s">
        <v>10619</v>
      </c>
      <c r="B478" t="s">
        <v>4667</v>
      </c>
      <c r="C478" t="s">
        <v>2880</v>
      </c>
      <c r="D478" t="s">
        <v>13</v>
      </c>
      <c r="E478" t="s">
        <v>75</v>
      </c>
      <c r="F478" t="s">
        <v>509</v>
      </c>
      <c r="H478" t="s">
        <v>10619</v>
      </c>
      <c r="I478" t="s">
        <v>8021</v>
      </c>
      <c r="J478" t="s">
        <v>6562</v>
      </c>
      <c r="K478" t="s">
        <v>13</v>
      </c>
      <c r="L478" t="s">
        <v>75</v>
      </c>
      <c r="M478" t="s">
        <v>10620</v>
      </c>
      <c r="O478" t="s">
        <v>10619</v>
      </c>
      <c r="P478" t="s">
        <v>10307</v>
      </c>
      <c r="Q478" t="s">
        <v>9696</v>
      </c>
      <c r="R478" t="s">
        <v>13</v>
      </c>
      <c r="S478" t="s">
        <v>75</v>
      </c>
      <c r="T478" t="s">
        <v>10629</v>
      </c>
    </row>
    <row r="479" spans="1:20">
      <c r="A479" t="s">
        <v>10619</v>
      </c>
      <c r="B479" t="s">
        <v>4668</v>
      </c>
      <c r="C479" t="s">
        <v>2882</v>
      </c>
      <c r="D479" t="s">
        <v>13</v>
      </c>
      <c r="E479" t="s">
        <v>75</v>
      </c>
      <c r="F479" t="s">
        <v>509</v>
      </c>
      <c r="H479" t="s">
        <v>10619</v>
      </c>
      <c r="I479" t="s">
        <v>8022</v>
      </c>
      <c r="J479" t="s">
        <v>6564</v>
      </c>
      <c r="K479" t="s">
        <v>13</v>
      </c>
      <c r="L479" t="s">
        <v>75</v>
      </c>
      <c r="M479" t="s">
        <v>10620</v>
      </c>
      <c r="O479" t="s">
        <v>10619</v>
      </c>
      <c r="P479" t="s">
        <v>10308</v>
      </c>
      <c r="Q479" t="s">
        <v>9698</v>
      </c>
      <c r="R479" t="s">
        <v>13</v>
      </c>
      <c r="S479" t="s">
        <v>75</v>
      </c>
      <c r="T479" t="s">
        <v>10629</v>
      </c>
    </row>
    <row r="480" spans="1:20">
      <c r="A480" t="s">
        <v>10619</v>
      </c>
      <c r="B480" t="s">
        <v>4669</v>
      </c>
      <c r="C480" t="s">
        <v>2884</v>
      </c>
      <c r="D480" t="s">
        <v>13</v>
      </c>
      <c r="E480" t="s">
        <v>75</v>
      </c>
      <c r="F480" t="s">
        <v>10623</v>
      </c>
      <c r="H480" t="s">
        <v>10619</v>
      </c>
      <c r="I480" t="s">
        <v>8023</v>
      </c>
      <c r="J480" t="s">
        <v>6566</v>
      </c>
      <c r="K480" t="s">
        <v>13</v>
      </c>
      <c r="L480" t="s">
        <v>75</v>
      </c>
      <c r="M480" t="s">
        <v>10623</v>
      </c>
      <c r="O480" t="s">
        <v>10619</v>
      </c>
      <c r="P480" t="s">
        <v>10309</v>
      </c>
      <c r="Q480" t="s">
        <v>9700</v>
      </c>
      <c r="R480" t="s">
        <v>13</v>
      </c>
      <c r="S480" t="s">
        <v>75</v>
      </c>
      <c r="T480" t="s">
        <v>10629</v>
      </c>
    </row>
    <row r="481" spans="1:20">
      <c r="A481" t="s">
        <v>10619</v>
      </c>
      <c r="B481" t="s">
        <v>4670</v>
      </c>
      <c r="C481" t="s">
        <v>2886</v>
      </c>
      <c r="D481" t="s">
        <v>13</v>
      </c>
      <c r="E481" t="s">
        <v>75</v>
      </c>
      <c r="F481" t="s">
        <v>10623</v>
      </c>
      <c r="H481" t="s">
        <v>10619</v>
      </c>
      <c r="I481" t="s">
        <v>8024</v>
      </c>
      <c r="J481" t="s">
        <v>6568</v>
      </c>
      <c r="K481" t="s">
        <v>13</v>
      </c>
      <c r="L481" t="s">
        <v>75</v>
      </c>
      <c r="M481" t="s">
        <v>10623</v>
      </c>
      <c r="O481" t="s">
        <v>10619</v>
      </c>
      <c r="P481" t="s">
        <v>10310</v>
      </c>
      <c r="Q481" t="s">
        <v>9702</v>
      </c>
      <c r="R481" t="s">
        <v>13</v>
      </c>
      <c r="S481" t="s">
        <v>75</v>
      </c>
      <c r="T481" t="s">
        <v>10623</v>
      </c>
    </row>
    <row r="482" spans="1:20">
      <c r="A482" t="s">
        <v>10619</v>
      </c>
      <c r="B482" t="s">
        <v>4671</v>
      </c>
      <c r="C482" t="s">
        <v>2888</v>
      </c>
      <c r="D482" t="s">
        <v>13</v>
      </c>
      <c r="E482" t="s">
        <v>75</v>
      </c>
      <c r="F482" t="s">
        <v>10623</v>
      </c>
      <c r="H482" t="s">
        <v>10619</v>
      </c>
      <c r="I482" t="s">
        <v>8025</v>
      </c>
      <c r="J482" t="s">
        <v>6570</v>
      </c>
      <c r="K482" t="s">
        <v>13</v>
      </c>
      <c r="L482" t="s">
        <v>75</v>
      </c>
      <c r="M482" t="s">
        <v>10620</v>
      </c>
      <c r="O482" t="s">
        <v>10619</v>
      </c>
      <c r="P482" t="s">
        <v>10311</v>
      </c>
      <c r="Q482" t="s">
        <v>9704</v>
      </c>
      <c r="R482" t="s">
        <v>13</v>
      </c>
      <c r="S482" t="s">
        <v>75</v>
      </c>
      <c r="T482" t="s">
        <v>10623</v>
      </c>
    </row>
    <row r="483" spans="1:20">
      <c r="A483" t="s">
        <v>10619</v>
      </c>
      <c r="B483" t="s">
        <v>4672</v>
      </c>
      <c r="C483" t="s">
        <v>2890</v>
      </c>
      <c r="D483" t="s">
        <v>13</v>
      </c>
      <c r="E483" t="s">
        <v>75</v>
      </c>
      <c r="F483" t="s">
        <v>10623</v>
      </c>
      <c r="H483" t="s">
        <v>10619</v>
      </c>
      <c r="I483" t="s">
        <v>8026</v>
      </c>
      <c r="J483" t="s">
        <v>6572</v>
      </c>
      <c r="K483" t="s">
        <v>13</v>
      </c>
      <c r="L483" t="s">
        <v>75</v>
      </c>
      <c r="M483" t="s">
        <v>10620</v>
      </c>
      <c r="O483" t="s">
        <v>10619</v>
      </c>
      <c r="P483" t="s">
        <v>10312</v>
      </c>
      <c r="Q483" t="s">
        <v>9706</v>
      </c>
      <c r="R483" t="s">
        <v>13</v>
      </c>
      <c r="S483" t="s">
        <v>75</v>
      </c>
      <c r="T483" t="s">
        <v>10621</v>
      </c>
    </row>
    <row r="484" spans="1:20">
      <c r="A484" t="s">
        <v>10619</v>
      </c>
      <c r="B484" t="s">
        <v>4673</v>
      </c>
      <c r="C484" t="s">
        <v>2892</v>
      </c>
      <c r="D484" t="s">
        <v>13</v>
      </c>
      <c r="E484" t="s">
        <v>75</v>
      </c>
      <c r="F484" t="s">
        <v>10623</v>
      </c>
      <c r="H484" t="s">
        <v>10619</v>
      </c>
      <c r="I484" t="s">
        <v>8027</v>
      </c>
      <c r="J484" t="s">
        <v>6574</v>
      </c>
      <c r="K484" t="s">
        <v>13</v>
      </c>
      <c r="L484" t="s">
        <v>75</v>
      </c>
      <c r="M484" t="s">
        <v>10620</v>
      </c>
      <c r="O484" t="s">
        <v>10619</v>
      </c>
      <c r="P484" t="s">
        <v>10313</v>
      </c>
      <c r="Q484" t="s">
        <v>9706</v>
      </c>
      <c r="R484" t="s">
        <v>13</v>
      </c>
      <c r="S484" t="s">
        <v>75</v>
      </c>
      <c r="T484" t="s">
        <v>10621</v>
      </c>
    </row>
    <row r="485" spans="1:20">
      <c r="A485" t="s">
        <v>10619</v>
      </c>
      <c r="B485" t="s">
        <v>4674</v>
      </c>
      <c r="C485" t="s">
        <v>2894</v>
      </c>
      <c r="D485" t="s">
        <v>13</v>
      </c>
      <c r="E485" t="s">
        <v>75</v>
      </c>
      <c r="F485" t="s">
        <v>10623</v>
      </c>
      <c r="H485" t="s">
        <v>10619</v>
      </c>
      <c r="I485" t="s">
        <v>8028</v>
      </c>
      <c r="J485" t="s">
        <v>6576</v>
      </c>
      <c r="K485" t="s">
        <v>13</v>
      </c>
      <c r="L485" t="s">
        <v>75</v>
      </c>
      <c r="M485" t="s">
        <v>10623</v>
      </c>
      <c r="O485" t="s">
        <v>10619</v>
      </c>
      <c r="P485" t="s">
        <v>10314</v>
      </c>
      <c r="Q485" t="s">
        <v>9706</v>
      </c>
      <c r="R485" t="s">
        <v>13</v>
      </c>
      <c r="S485" t="s">
        <v>75</v>
      </c>
      <c r="T485" t="s">
        <v>10621</v>
      </c>
    </row>
    <row r="486" spans="1:20">
      <c r="A486" t="s">
        <v>10619</v>
      </c>
      <c r="B486" t="s">
        <v>4675</v>
      </c>
      <c r="C486" t="s">
        <v>2896</v>
      </c>
      <c r="D486" t="s">
        <v>13</v>
      </c>
      <c r="E486" t="s">
        <v>75</v>
      </c>
      <c r="F486" t="s">
        <v>10623</v>
      </c>
      <c r="H486" t="s">
        <v>10619</v>
      </c>
      <c r="I486" t="s">
        <v>8029</v>
      </c>
      <c r="J486" t="s">
        <v>6578</v>
      </c>
      <c r="K486" t="s">
        <v>13</v>
      </c>
      <c r="L486" t="s">
        <v>75</v>
      </c>
      <c r="M486" t="s">
        <v>10623</v>
      </c>
      <c r="O486" t="s">
        <v>10619</v>
      </c>
      <c r="P486" t="s">
        <v>10315</v>
      </c>
      <c r="Q486" t="s">
        <v>9710</v>
      </c>
      <c r="R486" t="s">
        <v>13</v>
      </c>
      <c r="S486" t="s">
        <v>75</v>
      </c>
      <c r="T486" t="s">
        <v>10621</v>
      </c>
    </row>
    <row r="487" spans="1:20">
      <c r="A487" t="s">
        <v>10619</v>
      </c>
      <c r="B487" t="s">
        <v>4676</v>
      </c>
      <c r="C487" t="s">
        <v>2898</v>
      </c>
      <c r="D487" t="s">
        <v>13</v>
      </c>
      <c r="E487" t="s">
        <v>75</v>
      </c>
      <c r="F487" t="s">
        <v>10623</v>
      </c>
      <c r="H487" t="s">
        <v>10619</v>
      </c>
      <c r="I487" t="s">
        <v>8030</v>
      </c>
      <c r="J487" t="s">
        <v>6580</v>
      </c>
      <c r="K487" t="s">
        <v>13</v>
      </c>
      <c r="L487" t="s">
        <v>75</v>
      </c>
      <c r="M487" t="s">
        <v>10621</v>
      </c>
      <c r="O487" t="s">
        <v>10619</v>
      </c>
      <c r="P487" t="s">
        <v>10316</v>
      </c>
      <c r="Q487" t="s">
        <v>9712</v>
      </c>
      <c r="R487" t="s">
        <v>13</v>
      </c>
      <c r="S487" t="s">
        <v>75</v>
      </c>
      <c r="T487" t="s">
        <v>10620</v>
      </c>
    </row>
    <row r="488" spans="1:20">
      <c r="A488" t="s">
        <v>10619</v>
      </c>
      <c r="B488" t="s">
        <v>4677</v>
      </c>
      <c r="C488" t="s">
        <v>2900</v>
      </c>
      <c r="D488" t="s">
        <v>13</v>
      </c>
      <c r="E488" t="s">
        <v>75</v>
      </c>
      <c r="F488" t="s">
        <v>10623</v>
      </c>
      <c r="H488" t="s">
        <v>10619</v>
      </c>
      <c r="I488" t="s">
        <v>8031</v>
      </c>
      <c r="J488" t="s">
        <v>6582</v>
      </c>
      <c r="K488" t="s">
        <v>13</v>
      </c>
      <c r="L488" t="s">
        <v>75</v>
      </c>
      <c r="M488" t="s">
        <v>10621</v>
      </c>
      <c r="O488" t="s">
        <v>10619</v>
      </c>
      <c r="P488" t="s">
        <v>10317</v>
      </c>
      <c r="Q488" t="s">
        <v>9714</v>
      </c>
      <c r="R488" t="s">
        <v>13</v>
      </c>
      <c r="S488" t="s">
        <v>75</v>
      </c>
      <c r="T488" t="s">
        <v>10620</v>
      </c>
    </row>
    <row r="489" spans="1:20">
      <c r="A489" t="s">
        <v>10619</v>
      </c>
      <c r="B489" t="s">
        <v>4678</v>
      </c>
      <c r="C489" t="s">
        <v>2902</v>
      </c>
      <c r="D489" t="s">
        <v>13</v>
      </c>
      <c r="E489" t="s">
        <v>75</v>
      </c>
      <c r="F489" t="s">
        <v>10623</v>
      </c>
      <c r="H489" t="s">
        <v>10619</v>
      </c>
      <c r="I489" t="s">
        <v>8032</v>
      </c>
      <c r="J489" t="s">
        <v>6584</v>
      </c>
      <c r="K489" t="s">
        <v>13</v>
      </c>
      <c r="L489" t="s">
        <v>75</v>
      </c>
      <c r="M489" t="s">
        <v>10621</v>
      </c>
      <c r="O489" t="s">
        <v>10619</v>
      </c>
      <c r="P489" t="s">
        <v>10318</v>
      </c>
      <c r="Q489" t="s">
        <v>9714</v>
      </c>
      <c r="R489" t="s">
        <v>13</v>
      </c>
      <c r="S489" t="s">
        <v>75</v>
      </c>
      <c r="T489" t="s">
        <v>10620</v>
      </c>
    </row>
    <row r="490" spans="1:20">
      <c r="A490" t="s">
        <v>10619</v>
      </c>
      <c r="B490" t="s">
        <v>4679</v>
      </c>
      <c r="C490" t="s">
        <v>2904</v>
      </c>
      <c r="D490" t="s">
        <v>13</v>
      </c>
      <c r="E490" t="s">
        <v>75</v>
      </c>
      <c r="F490" t="s">
        <v>10623</v>
      </c>
      <c r="H490" t="s">
        <v>10619</v>
      </c>
      <c r="I490" t="s">
        <v>8033</v>
      </c>
      <c r="J490" t="s">
        <v>6586</v>
      </c>
      <c r="K490" t="s">
        <v>13</v>
      </c>
      <c r="L490" t="s">
        <v>75</v>
      </c>
      <c r="M490" t="s">
        <v>10621</v>
      </c>
      <c r="O490" t="s">
        <v>10619</v>
      </c>
      <c r="P490" t="s">
        <v>10319</v>
      </c>
      <c r="Q490" t="s">
        <v>9714</v>
      </c>
      <c r="R490" t="s">
        <v>13</v>
      </c>
      <c r="S490" t="s">
        <v>75</v>
      </c>
      <c r="T490" t="s">
        <v>10620</v>
      </c>
    </row>
    <row r="491" spans="1:20">
      <c r="A491" t="s">
        <v>10619</v>
      </c>
      <c r="B491" t="s">
        <v>4680</v>
      </c>
      <c r="C491" t="s">
        <v>2906</v>
      </c>
      <c r="D491" t="s">
        <v>13</v>
      </c>
      <c r="E491" t="s">
        <v>75</v>
      </c>
      <c r="F491" t="s">
        <v>10623</v>
      </c>
      <c r="H491" t="s">
        <v>10619</v>
      </c>
      <c r="I491" t="s">
        <v>8034</v>
      </c>
      <c r="J491" t="s">
        <v>6588</v>
      </c>
      <c r="K491" t="s">
        <v>13</v>
      </c>
      <c r="L491" t="s">
        <v>75</v>
      </c>
      <c r="M491" t="s">
        <v>10630</v>
      </c>
      <c r="O491" t="s">
        <v>10619</v>
      </c>
      <c r="P491" t="s">
        <v>10320</v>
      </c>
      <c r="Q491" t="s">
        <v>9718</v>
      </c>
      <c r="R491" t="s">
        <v>13</v>
      </c>
      <c r="S491" t="s">
        <v>75</v>
      </c>
      <c r="T491" t="s">
        <v>10620</v>
      </c>
    </row>
    <row r="492" spans="1:20">
      <c r="A492" t="s">
        <v>10619</v>
      </c>
      <c r="B492" t="s">
        <v>4681</v>
      </c>
      <c r="C492" t="s">
        <v>2908</v>
      </c>
      <c r="D492" t="s">
        <v>13</v>
      </c>
      <c r="E492" t="s">
        <v>75</v>
      </c>
      <c r="F492" t="s">
        <v>10623</v>
      </c>
      <c r="H492" t="s">
        <v>10619</v>
      </c>
      <c r="I492" t="s">
        <v>8035</v>
      </c>
      <c r="J492" t="s">
        <v>6590</v>
      </c>
      <c r="K492" t="s">
        <v>13</v>
      </c>
      <c r="L492" t="s">
        <v>75</v>
      </c>
      <c r="M492" t="s">
        <v>10630</v>
      </c>
      <c r="O492" t="s">
        <v>10619</v>
      </c>
      <c r="P492" t="s">
        <v>10321</v>
      </c>
      <c r="Q492" t="s">
        <v>9718</v>
      </c>
      <c r="R492" t="s">
        <v>13</v>
      </c>
      <c r="S492" t="s">
        <v>75</v>
      </c>
      <c r="T492" t="s">
        <v>10620</v>
      </c>
    </row>
    <row r="493" spans="1:20">
      <c r="A493" t="s">
        <v>10619</v>
      </c>
      <c r="B493" t="s">
        <v>4682</v>
      </c>
      <c r="C493" t="s">
        <v>2910</v>
      </c>
      <c r="D493" t="s">
        <v>13</v>
      </c>
      <c r="E493" t="s">
        <v>75</v>
      </c>
      <c r="F493" t="s">
        <v>10623</v>
      </c>
      <c r="H493" t="s">
        <v>10619</v>
      </c>
      <c r="I493" t="s">
        <v>8036</v>
      </c>
      <c r="J493" t="s">
        <v>6592</v>
      </c>
      <c r="K493" t="s">
        <v>13</v>
      </c>
      <c r="L493" t="s">
        <v>75</v>
      </c>
      <c r="M493" t="s">
        <v>10630</v>
      </c>
      <c r="O493" t="s">
        <v>10619</v>
      </c>
      <c r="P493" t="s">
        <v>10322</v>
      </c>
      <c r="Q493" t="s">
        <v>9718</v>
      </c>
      <c r="R493" t="s">
        <v>13</v>
      </c>
      <c r="S493" t="s">
        <v>75</v>
      </c>
      <c r="T493" t="s">
        <v>10620</v>
      </c>
    </row>
    <row r="494" spans="1:20">
      <c r="A494" t="s">
        <v>10619</v>
      </c>
      <c r="B494" t="s">
        <v>4683</v>
      </c>
      <c r="C494" t="s">
        <v>2912</v>
      </c>
      <c r="D494" t="s">
        <v>13</v>
      </c>
      <c r="E494" t="s">
        <v>75</v>
      </c>
      <c r="F494" t="s">
        <v>10623</v>
      </c>
      <c r="H494" t="s">
        <v>10619</v>
      </c>
      <c r="I494" t="s">
        <v>8037</v>
      </c>
      <c r="J494" t="s">
        <v>6594</v>
      </c>
      <c r="K494" t="s">
        <v>13</v>
      </c>
      <c r="L494" t="s">
        <v>75</v>
      </c>
      <c r="M494" t="s">
        <v>10630</v>
      </c>
      <c r="O494" t="s">
        <v>10619</v>
      </c>
      <c r="P494" t="s">
        <v>10323</v>
      </c>
      <c r="Q494" t="s">
        <v>9722</v>
      </c>
      <c r="R494" t="s">
        <v>13</v>
      </c>
      <c r="S494" t="s">
        <v>75</v>
      </c>
      <c r="T494" t="s">
        <v>10624</v>
      </c>
    </row>
    <row r="495" spans="1:20">
      <c r="A495" t="s">
        <v>10619</v>
      </c>
      <c r="B495" t="s">
        <v>4684</v>
      </c>
      <c r="C495" t="s">
        <v>2914</v>
      </c>
      <c r="D495" t="s">
        <v>13</v>
      </c>
      <c r="E495" t="s">
        <v>75</v>
      </c>
      <c r="F495" t="s">
        <v>10623</v>
      </c>
      <c r="H495" t="s">
        <v>10619</v>
      </c>
      <c r="I495" t="s">
        <v>8038</v>
      </c>
      <c r="J495" t="s">
        <v>6596</v>
      </c>
      <c r="K495" t="s">
        <v>13</v>
      </c>
      <c r="L495" t="s">
        <v>75</v>
      </c>
      <c r="M495" t="s">
        <v>10630</v>
      </c>
      <c r="O495" t="s">
        <v>10619</v>
      </c>
      <c r="P495" t="s">
        <v>10324</v>
      </c>
      <c r="Q495" t="s">
        <v>9724</v>
      </c>
      <c r="R495" t="s">
        <v>13</v>
      </c>
      <c r="S495" t="s">
        <v>75</v>
      </c>
      <c r="T495" t="s">
        <v>10624</v>
      </c>
    </row>
    <row r="496" spans="1:20">
      <c r="A496" t="s">
        <v>10619</v>
      </c>
      <c r="B496" t="s">
        <v>4685</v>
      </c>
      <c r="C496" t="s">
        <v>2916</v>
      </c>
      <c r="D496" t="s">
        <v>13</v>
      </c>
      <c r="E496" t="s">
        <v>75</v>
      </c>
      <c r="F496" t="s">
        <v>10623</v>
      </c>
      <c r="H496" t="s">
        <v>10619</v>
      </c>
      <c r="I496" t="s">
        <v>8039</v>
      </c>
      <c r="J496" t="s">
        <v>6598</v>
      </c>
      <c r="K496" t="s">
        <v>13</v>
      </c>
      <c r="L496" t="s">
        <v>75</v>
      </c>
      <c r="M496" t="s">
        <v>10630</v>
      </c>
      <c r="O496" t="s">
        <v>10619</v>
      </c>
      <c r="P496" t="s">
        <v>10325</v>
      </c>
      <c r="Q496" t="s">
        <v>9722</v>
      </c>
      <c r="R496" t="s">
        <v>13</v>
      </c>
      <c r="S496" t="s">
        <v>75</v>
      </c>
      <c r="T496" t="s">
        <v>10624</v>
      </c>
    </row>
    <row r="497" spans="1:20">
      <c r="A497" t="s">
        <v>10619</v>
      </c>
      <c r="B497" t="s">
        <v>4686</v>
      </c>
      <c r="C497" t="s">
        <v>2918</v>
      </c>
      <c r="D497" t="s">
        <v>13</v>
      </c>
      <c r="E497" t="s">
        <v>75</v>
      </c>
      <c r="F497" t="s">
        <v>10623</v>
      </c>
      <c r="H497" t="s">
        <v>10619</v>
      </c>
      <c r="I497" t="s">
        <v>8040</v>
      </c>
      <c r="J497" t="s">
        <v>6590</v>
      </c>
      <c r="K497" t="s">
        <v>13</v>
      </c>
      <c r="L497" t="s">
        <v>75</v>
      </c>
      <c r="M497" t="s">
        <v>10630</v>
      </c>
      <c r="O497" t="s">
        <v>10619</v>
      </c>
      <c r="P497" t="s">
        <v>10326</v>
      </c>
      <c r="Q497" t="s">
        <v>9727</v>
      </c>
      <c r="R497" t="s">
        <v>13</v>
      </c>
      <c r="S497" t="s">
        <v>75</v>
      </c>
      <c r="T497" t="s">
        <v>10630</v>
      </c>
    </row>
    <row r="498" spans="1:20">
      <c r="A498" t="s">
        <v>10619</v>
      </c>
      <c r="B498" t="s">
        <v>4687</v>
      </c>
      <c r="C498" t="s">
        <v>2920</v>
      </c>
      <c r="D498" t="s">
        <v>13</v>
      </c>
      <c r="E498" t="s">
        <v>75</v>
      </c>
      <c r="F498" t="s">
        <v>10623</v>
      </c>
      <c r="H498" t="s">
        <v>10619</v>
      </c>
      <c r="I498" t="s">
        <v>8041</v>
      </c>
      <c r="J498" t="s">
        <v>6601</v>
      </c>
      <c r="K498" t="s">
        <v>13</v>
      </c>
      <c r="L498" t="s">
        <v>75</v>
      </c>
      <c r="M498" t="s">
        <v>10630</v>
      </c>
      <c r="O498" t="s">
        <v>10619</v>
      </c>
      <c r="P498" t="s">
        <v>10327</v>
      </c>
      <c r="Q498" t="s">
        <v>9729</v>
      </c>
      <c r="R498" t="s">
        <v>13</v>
      </c>
      <c r="S498" t="s">
        <v>75</v>
      </c>
      <c r="T498" t="s">
        <v>10630</v>
      </c>
    </row>
    <row r="499" spans="1:20">
      <c r="A499" t="s">
        <v>10619</v>
      </c>
      <c r="B499" t="s">
        <v>4688</v>
      </c>
      <c r="C499" t="s">
        <v>2922</v>
      </c>
      <c r="D499" t="s">
        <v>13</v>
      </c>
      <c r="E499" t="s">
        <v>75</v>
      </c>
      <c r="F499" t="s">
        <v>10623</v>
      </c>
      <c r="H499" t="s">
        <v>10619</v>
      </c>
      <c r="I499" t="s">
        <v>8042</v>
      </c>
      <c r="J499" t="s">
        <v>6603</v>
      </c>
      <c r="K499" t="s">
        <v>13</v>
      </c>
      <c r="L499" t="s">
        <v>75</v>
      </c>
      <c r="M499" t="s">
        <v>10630</v>
      </c>
      <c r="O499" t="s">
        <v>10619</v>
      </c>
      <c r="P499" t="s">
        <v>10328</v>
      </c>
      <c r="Q499" t="s">
        <v>9731</v>
      </c>
      <c r="R499" t="s">
        <v>13</v>
      </c>
      <c r="S499" t="s">
        <v>75</v>
      </c>
      <c r="T499" t="s">
        <v>10630</v>
      </c>
    </row>
    <row r="500" spans="1:20">
      <c r="A500" t="s">
        <v>10619</v>
      </c>
      <c r="B500" t="s">
        <v>4689</v>
      </c>
      <c r="C500" t="s">
        <v>2924</v>
      </c>
      <c r="D500" t="s">
        <v>13</v>
      </c>
      <c r="E500" t="s">
        <v>75</v>
      </c>
      <c r="F500" t="s">
        <v>10623</v>
      </c>
      <c r="H500" t="s">
        <v>10619</v>
      </c>
      <c r="I500" t="s">
        <v>8043</v>
      </c>
      <c r="J500" t="s">
        <v>6605</v>
      </c>
      <c r="K500" t="s">
        <v>13</v>
      </c>
      <c r="L500" t="s">
        <v>75</v>
      </c>
      <c r="M500" t="s">
        <v>10630</v>
      </c>
      <c r="O500" t="s">
        <v>10619</v>
      </c>
      <c r="P500" t="s">
        <v>10329</v>
      </c>
      <c r="Q500" t="s">
        <v>9733</v>
      </c>
      <c r="R500" t="s">
        <v>13</v>
      </c>
      <c r="S500" t="s">
        <v>75</v>
      </c>
      <c r="T500" t="s">
        <v>10630</v>
      </c>
    </row>
    <row r="501" spans="1:20">
      <c r="A501" t="s">
        <v>10619</v>
      </c>
      <c r="B501" t="s">
        <v>4690</v>
      </c>
      <c r="C501" t="s">
        <v>2912</v>
      </c>
      <c r="D501" t="s">
        <v>13</v>
      </c>
      <c r="E501" t="s">
        <v>75</v>
      </c>
      <c r="F501" t="s">
        <v>10623</v>
      </c>
      <c r="H501" t="s">
        <v>10619</v>
      </c>
      <c r="I501" t="s">
        <v>8044</v>
      </c>
      <c r="J501" t="s">
        <v>6607</v>
      </c>
      <c r="K501" t="s">
        <v>13</v>
      </c>
      <c r="L501" t="s">
        <v>75</v>
      </c>
      <c r="M501" t="s">
        <v>10630</v>
      </c>
      <c r="O501" t="s">
        <v>10619</v>
      </c>
      <c r="P501" t="s">
        <v>10330</v>
      </c>
      <c r="Q501" t="s">
        <v>9735</v>
      </c>
      <c r="R501" t="s">
        <v>13</v>
      </c>
      <c r="S501" t="s">
        <v>75</v>
      </c>
      <c r="T501" t="s">
        <v>10630</v>
      </c>
    </row>
    <row r="502" spans="1:20">
      <c r="A502" t="s">
        <v>10619</v>
      </c>
      <c r="B502" t="s">
        <v>4691</v>
      </c>
      <c r="C502" t="s">
        <v>2927</v>
      </c>
      <c r="D502" t="s">
        <v>13</v>
      </c>
      <c r="E502" t="s">
        <v>75</v>
      </c>
      <c r="F502" t="s">
        <v>10623</v>
      </c>
      <c r="H502" t="s">
        <v>10619</v>
      </c>
      <c r="I502" t="s">
        <v>8045</v>
      </c>
      <c r="J502" t="s">
        <v>6605</v>
      </c>
      <c r="K502" t="s">
        <v>13</v>
      </c>
      <c r="L502" t="s">
        <v>75</v>
      </c>
      <c r="M502" t="s">
        <v>10630</v>
      </c>
      <c r="O502" t="s">
        <v>10619</v>
      </c>
      <c r="P502" t="s">
        <v>10331</v>
      </c>
      <c r="Q502" t="s">
        <v>9737</v>
      </c>
      <c r="R502" t="s">
        <v>13</v>
      </c>
      <c r="S502" t="s">
        <v>75</v>
      </c>
      <c r="T502" t="s">
        <v>10638</v>
      </c>
    </row>
    <row r="503" spans="1:20">
      <c r="A503" t="s">
        <v>10619</v>
      </c>
      <c r="B503" t="s">
        <v>4692</v>
      </c>
      <c r="C503" t="s">
        <v>2929</v>
      </c>
      <c r="D503" t="s">
        <v>13</v>
      </c>
      <c r="E503" t="s">
        <v>75</v>
      </c>
      <c r="F503" t="s">
        <v>10623</v>
      </c>
      <c r="H503" t="s">
        <v>10619</v>
      </c>
      <c r="I503" t="s">
        <v>8046</v>
      </c>
      <c r="J503" t="s">
        <v>6607</v>
      </c>
      <c r="K503" t="s">
        <v>13</v>
      </c>
      <c r="L503" t="s">
        <v>75</v>
      </c>
      <c r="M503" t="s">
        <v>10630</v>
      </c>
      <c r="O503" t="s">
        <v>10619</v>
      </c>
      <c r="P503" t="s">
        <v>10332</v>
      </c>
      <c r="Q503" t="s">
        <v>9739</v>
      </c>
      <c r="R503" t="s">
        <v>13</v>
      </c>
      <c r="S503" t="s">
        <v>75</v>
      </c>
      <c r="T503" t="s">
        <v>10638</v>
      </c>
    </row>
    <row r="504" spans="1:20">
      <c r="A504" t="s">
        <v>10619</v>
      </c>
      <c r="B504" t="s">
        <v>4693</v>
      </c>
      <c r="C504" t="s">
        <v>2931</v>
      </c>
      <c r="D504" t="s">
        <v>13</v>
      </c>
      <c r="E504" t="s">
        <v>75</v>
      </c>
      <c r="F504" t="s">
        <v>10623</v>
      </c>
      <c r="H504" t="s">
        <v>10619</v>
      </c>
      <c r="I504" t="s">
        <v>8047</v>
      </c>
      <c r="J504" t="s">
        <v>6607</v>
      </c>
      <c r="K504" t="s">
        <v>13</v>
      </c>
      <c r="L504" t="s">
        <v>75</v>
      </c>
      <c r="M504" t="s">
        <v>10630</v>
      </c>
      <c r="O504" t="s">
        <v>10619</v>
      </c>
      <c r="P504" t="s">
        <v>10333</v>
      </c>
      <c r="Q504" t="s">
        <v>9741</v>
      </c>
      <c r="R504" t="s">
        <v>13</v>
      </c>
      <c r="S504" t="s">
        <v>75</v>
      </c>
      <c r="T504" t="s">
        <v>10638</v>
      </c>
    </row>
    <row r="505" spans="1:20">
      <c r="A505" t="s">
        <v>10619</v>
      </c>
      <c r="B505" t="s">
        <v>4694</v>
      </c>
      <c r="C505" t="s">
        <v>2933</v>
      </c>
      <c r="D505" t="s">
        <v>13</v>
      </c>
      <c r="E505" t="s">
        <v>75</v>
      </c>
      <c r="F505" t="s">
        <v>10636</v>
      </c>
      <c r="H505" t="s">
        <v>10619</v>
      </c>
      <c r="I505" t="s">
        <v>8048</v>
      </c>
      <c r="J505" t="s">
        <v>6612</v>
      </c>
      <c r="K505" t="s">
        <v>13</v>
      </c>
      <c r="L505" t="s">
        <v>75</v>
      </c>
      <c r="M505" t="s">
        <v>10620</v>
      </c>
      <c r="O505" t="s">
        <v>10619</v>
      </c>
      <c r="P505" t="s">
        <v>10334</v>
      </c>
      <c r="Q505" t="s">
        <v>9743</v>
      </c>
      <c r="R505" t="s">
        <v>13</v>
      </c>
      <c r="S505" t="s">
        <v>75</v>
      </c>
      <c r="T505" t="s">
        <v>10638</v>
      </c>
    </row>
    <row r="506" spans="1:20">
      <c r="A506" t="s">
        <v>10619</v>
      </c>
      <c r="B506" t="s">
        <v>4695</v>
      </c>
      <c r="C506" t="s">
        <v>2935</v>
      </c>
      <c r="D506" t="s">
        <v>13</v>
      </c>
      <c r="E506" t="s">
        <v>75</v>
      </c>
      <c r="F506" t="s">
        <v>10636</v>
      </c>
      <c r="H506" t="s">
        <v>10619</v>
      </c>
      <c r="I506" t="s">
        <v>8049</v>
      </c>
      <c r="J506" t="s">
        <v>6614</v>
      </c>
      <c r="K506" t="s">
        <v>13</v>
      </c>
      <c r="L506" t="s">
        <v>75</v>
      </c>
      <c r="M506" t="s">
        <v>10620</v>
      </c>
      <c r="O506" t="s">
        <v>10619</v>
      </c>
      <c r="P506" t="s">
        <v>10335</v>
      </c>
      <c r="Q506" t="s">
        <v>9745</v>
      </c>
      <c r="R506" t="s">
        <v>13</v>
      </c>
      <c r="S506" t="s">
        <v>75</v>
      </c>
      <c r="T506" t="s">
        <v>10638</v>
      </c>
    </row>
    <row r="507" spans="1:20">
      <c r="A507" t="s">
        <v>10619</v>
      </c>
      <c r="B507" t="s">
        <v>4696</v>
      </c>
      <c r="C507" t="s">
        <v>2937</v>
      </c>
      <c r="D507" t="s">
        <v>13</v>
      </c>
      <c r="E507" t="s">
        <v>75</v>
      </c>
      <c r="F507" t="s">
        <v>10636</v>
      </c>
      <c r="H507" t="s">
        <v>10619</v>
      </c>
      <c r="I507" t="s">
        <v>8050</v>
      </c>
      <c r="J507" t="s">
        <v>6616</v>
      </c>
      <c r="K507" t="s">
        <v>13</v>
      </c>
      <c r="L507" t="s">
        <v>75</v>
      </c>
      <c r="M507" t="s">
        <v>10620</v>
      </c>
      <c r="O507" t="s">
        <v>10619</v>
      </c>
      <c r="P507" t="s">
        <v>10336</v>
      </c>
      <c r="Q507" t="s">
        <v>9747</v>
      </c>
      <c r="R507" t="s">
        <v>13</v>
      </c>
      <c r="S507" t="s">
        <v>75</v>
      </c>
      <c r="T507" t="s">
        <v>10620</v>
      </c>
    </row>
    <row r="508" spans="1:20">
      <c r="A508" t="s">
        <v>10619</v>
      </c>
      <c r="B508" t="s">
        <v>4697</v>
      </c>
      <c r="C508" t="s">
        <v>2939</v>
      </c>
      <c r="D508" t="s">
        <v>13</v>
      </c>
      <c r="E508" t="s">
        <v>75</v>
      </c>
      <c r="F508" t="s">
        <v>10636</v>
      </c>
      <c r="H508" t="s">
        <v>10619</v>
      </c>
      <c r="I508" t="s">
        <v>8051</v>
      </c>
      <c r="J508" t="s">
        <v>6618</v>
      </c>
      <c r="K508" t="s">
        <v>13</v>
      </c>
      <c r="L508" t="s">
        <v>75</v>
      </c>
      <c r="M508" t="s">
        <v>10621</v>
      </c>
      <c r="O508" t="s">
        <v>10619</v>
      </c>
      <c r="P508" t="s">
        <v>10337</v>
      </c>
      <c r="Q508" t="s">
        <v>9749</v>
      </c>
      <c r="R508" t="s">
        <v>13</v>
      </c>
      <c r="S508" t="s">
        <v>75</v>
      </c>
      <c r="T508" t="s">
        <v>10620</v>
      </c>
    </row>
    <row r="509" spans="1:20">
      <c r="A509" t="s">
        <v>10619</v>
      </c>
      <c r="B509" t="s">
        <v>4698</v>
      </c>
      <c r="C509" t="s">
        <v>2941</v>
      </c>
      <c r="D509" t="s">
        <v>13</v>
      </c>
      <c r="E509" t="s">
        <v>75</v>
      </c>
      <c r="F509" t="s">
        <v>10636</v>
      </c>
      <c r="H509" t="s">
        <v>10619</v>
      </c>
      <c r="I509" t="s">
        <v>8052</v>
      </c>
      <c r="J509" t="s">
        <v>6620</v>
      </c>
      <c r="K509" t="s">
        <v>13</v>
      </c>
      <c r="L509" t="s">
        <v>75</v>
      </c>
      <c r="M509" t="s">
        <v>10621</v>
      </c>
      <c r="O509" t="s">
        <v>10619</v>
      </c>
      <c r="P509" t="s">
        <v>10338</v>
      </c>
      <c r="Q509" t="s">
        <v>9751</v>
      </c>
      <c r="R509" t="s">
        <v>13</v>
      </c>
      <c r="S509" t="s">
        <v>75</v>
      </c>
      <c r="T509" t="s">
        <v>10620</v>
      </c>
    </row>
    <row r="510" spans="1:20">
      <c r="A510" t="s">
        <v>10619</v>
      </c>
      <c r="B510" t="s">
        <v>4699</v>
      </c>
      <c r="C510" t="s">
        <v>2943</v>
      </c>
      <c r="D510" t="s">
        <v>13</v>
      </c>
      <c r="E510" t="s">
        <v>75</v>
      </c>
      <c r="F510" t="s">
        <v>10636</v>
      </c>
      <c r="H510" t="s">
        <v>10619</v>
      </c>
      <c r="I510" t="s">
        <v>8053</v>
      </c>
      <c r="J510" t="s">
        <v>6622</v>
      </c>
      <c r="K510" t="s">
        <v>13</v>
      </c>
      <c r="L510" t="s">
        <v>75</v>
      </c>
      <c r="M510" t="s">
        <v>10632</v>
      </c>
      <c r="O510" t="s">
        <v>10619</v>
      </c>
      <c r="P510" t="s">
        <v>10339</v>
      </c>
      <c r="Q510" t="s">
        <v>9753</v>
      </c>
      <c r="R510" t="s">
        <v>13</v>
      </c>
      <c r="S510" t="s">
        <v>75</v>
      </c>
      <c r="T510" t="s">
        <v>10620</v>
      </c>
    </row>
    <row r="511" spans="1:20">
      <c r="A511" t="s">
        <v>10619</v>
      </c>
      <c r="B511" t="s">
        <v>4700</v>
      </c>
      <c r="C511" t="s">
        <v>2945</v>
      </c>
      <c r="D511" t="s">
        <v>13</v>
      </c>
      <c r="E511" t="s">
        <v>75</v>
      </c>
      <c r="F511" t="s">
        <v>10636</v>
      </c>
      <c r="H511" t="s">
        <v>10619</v>
      </c>
      <c r="I511" t="s">
        <v>8054</v>
      </c>
      <c r="J511" t="s">
        <v>6624</v>
      </c>
      <c r="K511" t="s">
        <v>13</v>
      </c>
      <c r="L511" t="s">
        <v>75</v>
      </c>
      <c r="M511" t="s">
        <v>10632</v>
      </c>
      <c r="O511" t="s">
        <v>10619</v>
      </c>
      <c r="P511" t="s">
        <v>10340</v>
      </c>
      <c r="Q511" t="s">
        <v>9755</v>
      </c>
      <c r="R511" t="s">
        <v>13</v>
      </c>
      <c r="S511" t="s">
        <v>75</v>
      </c>
      <c r="T511" t="s">
        <v>10620</v>
      </c>
    </row>
    <row r="512" spans="1:20">
      <c r="A512" t="s">
        <v>10619</v>
      </c>
      <c r="B512" t="s">
        <v>4701</v>
      </c>
      <c r="C512" t="s">
        <v>2947</v>
      </c>
      <c r="D512" t="s">
        <v>13</v>
      </c>
      <c r="E512" t="s">
        <v>75</v>
      </c>
      <c r="F512" t="s">
        <v>10636</v>
      </c>
      <c r="H512" t="s">
        <v>10619</v>
      </c>
      <c r="I512" t="s">
        <v>8055</v>
      </c>
      <c r="J512" t="s">
        <v>6626</v>
      </c>
      <c r="K512" t="s">
        <v>13</v>
      </c>
      <c r="L512" t="s">
        <v>75</v>
      </c>
      <c r="M512" t="s">
        <v>10632</v>
      </c>
      <c r="O512" t="s">
        <v>10619</v>
      </c>
      <c r="P512" t="s">
        <v>10341</v>
      </c>
      <c r="Q512" t="s">
        <v>9757</v>
      </c>
      <c r="R512" t="s">
        <v>13</v>
      </c>
      <c r="S512" t="s">
        <v>75</v>
      </c>
      <c r="T512" t="s">
        <v>10620</v>
      </c>
    </row>
    <row r="513" spans="1:20">
      <c r="A513" t="s">
        <v>10619</v>
      </c>
      <c r="B513" t="s">
        <v>4702</v>
      </c>
      <c r="C513" t="s">
        <v>2949</v>
      </c>
      <c r="D513" t="s">
        <v>13</v>
      </c>
      <c r="E513" t="s">
        <v>75</v>
      </c>
      <c r="F513" t="s">
        <v>10624</v>
      </c>
      <c r="H513" t="s">
        <v>10619</v>
      </c>
      <c r="I513" t="s">
        <v>8056</v>
      </c>
      <c r="J513" t="s">
        <v>6628</v>
      </c>
      <c r="K513" t="s">
        <v>13</v>
      </c>
      <c r="L513" t="s">
        <v>75</v>
      </c>
      <c r="M513" t="s">
        <v>10632</v>
      </c>
      <c r="O513" t="s">
        <v>10619</v>
      </c>
      <c r="P513" t="s">
        <v>10342</v>
      </c>
      <c r="Q513" t="s">
        <v>9759</v>
      </c>
      <c r="R513" t="s">
        <v>13</v>
      </c>
      <c r="S513" t="s">
        <v>75</v>
      </c>
      <c r="T513" t="s">
        <v>10621</v>
      </c>
    </row>
    <row r="514" spans="1:20">
      <c r="A514" t="s">
        <v>10619</v>
      </c>
      <c r="B514" t="s">
        <v>4703</v>
      </c>
      <c r="C514" t="s">
        <v>2951</v>
      </c>
      <c r="D514" t="s">
        <v>13</v>
      </c>
      <c r="E514" t="s">
        <v>75</v>
      </c>
      <c r="F514" t="s">
        <v>10624</v>
      </c>
      <c r="H514" t="s">
        <v>10619</v>
      </c>
      <c r="I514" t="s">
        <v>8057</v>
      </c>
      <c r="J514" t="s">
        <v>6630</v>
      </c>
      <c r="K514" t="s">
        <v>13</v>
      </c>
      <c r="L514" t="s">
        <v>75</v>
      </c>
      <c r="M514" t="s">
        <v>10625</v>
      </c>
      <c r="O514" t="s">
        <v>10619</v>
      </c>
      <c r="P514" t="s">
        <v>10343</v>
      </c>
      <c r="Q514" t="s">
        <v>9761</v>
      </c>
      <c r="R514" t="s">
        <v>13</v>
      </c>
      <c r="S514" t="s">
        <v>75</v>
      </c>
      <c r="T514" t="s">
        <v>10621</v>
      </c>
    </row>
    <row r="515" spans="1:20">
      <c r="A515" t="s">
        <v>10619</v>
      </c>
      <c r="B515" t="s">
        <v>4704</v>
      </c>
      <c r="C515" t="s">
        <v>2953</v>
      </c>
      <c r="D515" t="s">
        <v>13</v>
      </c>
      <c r="E515" t="s">
        <v>75</v>
      </c>
      <c r="F515" t="s">
        <v>10623</v>
      </c>
      <c r="H515" t="s">
        <v>10619</v>
      </c>
      <c r="I515" t="s">
        <v>8058</v>
      </c>
      <c r="J515" t="s">
        <v>6632</v>
      </c>
      <c r="K515" t="s">
        <v>13</v>
      </c>
      <c r="L515" t="s">
        <v>75</v>
      </c>
      <c r="M515" t="s">
        <v>10625</v>
      </c>
      <c r="O515" t="s">
        <v>10619</v>
      </c>
      <c r="P515" t="s">
        <v>10344</v>
      </c>
      <c r="Q515" t="s">
        <v>9759</v>
      </c>
      <c r="R515" t="s">
        <v>13</v>
      </c>
      <c r="S515" t="s">
        <v>75</v>
      </c>
      <c r="T515" t="s">
        <v>10621</v>
      </c>
    </row>
    <row r="516" spans="1:20">
      <c r="A516" t="s">
        <v>10619</v>
      </c>
      <c r="B516" t="s">
        <v>4705</v>
      </c>
      <c r="C516" t="s">
        <v>2953</v>
      </c>
      <c r="D516" t="s">
        <v>13</v>
      </c>
      <c r="E516" t="s">
        <v>75</v>
      </c>
      <c r="F516" t="s">
        <v>10623</v>
      </c>
      <c r="H516" t="s">
        <v>10619</v>
      </c>
      <c r="I516" t="s">
        <v>8059</v>
      </c>
      <c r="J516" t="s">
        <v>6632</v>
      </c>
      <c r="K516" t="s">
        <v>13</v>
      </c>
      <c r="L516" t="s">
        <v>75</v>
      </c>
      <c r="M516" t="s">
        <v>10625</v>
      </c>
      <c r="O516" t="s">
        <v>10619</v>
      </c>
      <c r="P516" t="s">
        <v>10345</v>
      </c>
      <c r="Q516" t="s">
        <v>9764</v>
      </c>
      <c r="R516" t="s">
        <v>13</v>
      </c>
      <c r="S516" t="s">
        <v>75</v>
      </c>
      <c r="T516" t="s">
        <v>583</v>
      </c>
    </row>
    <row r="517" spans="1:20">
      <c r="A517" t="s">
        <v>10619</v>
      </c>
      <c r="B517" t="s">
        <v>4706</v>
      </c>
      <c r="C517" t="s">
        <v>2956</v>
      </c>
      <c r="D517" t="s">
        <v>13</v>
      </c>
      <c r="E517" t="s">
        <v>75</v>
      </c>
      <c r="F517" t="s">
        <v>10623</v>
      </c>
      <c r="H517" t="s">
        <v>10619</v>
      </c>
      <c r="I517" t="s">
        <v>8060</v>
      </c>
      <c r="J517" t="s">
        <v>6632</v>
      </c>
      <c r="K517" t="s">
        <v>13</v>
      </c>
      <c r="L517" t="s">
        <v>75</v>
      </c>
      <c r="M517" t="s">
        <v>10625</v>
      </c>
      <c r="O517" t="s">
        <v>10619</v>
      </c>
      <c r="P517" t="s">
        <v>10346</v>
      </c>
      <c r="Q517" t="s">
        <v>9766</v>
      </c>
      <c r="R517" t="s">
        <v>13</v>
      </c>
      <c r="S517" t="s">
        <v>75</v>
      </c>
      <c r="T517" t="s">
        <v>583</v>
      </c>
    </row>
    <row r="518" spans="1:20">
      <c r="A518" t="s">
        <v>10619</v>
      </c>
      <c r="B518" t="s">
        <v>4707</v>
      </c>
      <c r="C518" t="s">
        <v>2958</v>
      </c>
      <c r="D518" t="s">
        <v>13</v>
      </c>
      <c r="E518" t="s">
        <v>75</v>
      </c>
      <c r="F518" t="s">
        <v>10623</v>
      </c>
      <c r="H518" t="s">
        <v>10619</v>
      </c>
      <c r="I518" t="s">
        <v>8061</v>
      </c>
      <c r="J518" t="s">
        <v>6630</v>
      </c>
      <c r="K518" t="s">
        <v>13</v>
      </c>
      <c r="L518" t="s">
        <v>75</v>
      </c>
      <c r="M518" t="s">
        <v>10625</v>
      </c>
      <c r="O518" t="s">
        <v>10619</v>
      </c>
      <c r="P518" t="s">
        <v>10347</v>
      </c>
      <c r="Q518" t="s">
        <v>9768</v>
      </c>
      <c r="R518" t="s">
        <v>13</v>
      </c>
      <c r="S518" t="s">
        <v>75</v>
      </c>
      <c r="T518" t="s">
        <v>583</v>
      </c>
    </row>
    <row r="519" spans="1:20">
      <c r="A519" t="s">
        <v>10619</v>
      </c>
      <c r="B519" t="s">
        <v>4708</v>
      </c>
      <c r="C519" t="s">
        <v>2960</v>
      </c>
      <c r="D519" t="s">
        <v>13</v>
      </c>
      <c r="E519" t="s">
        <v>75</v>
      </c>
      <c r="F519" t="s">
        <v>518</v>
      </c>
      <c r="H519" t="s">
        <v>10619</v>
      </c>
      <c r="I519" t="s">
        <v>8062</v>
      </c>
      <c r="J519" t="s">
        <v>6637</v>
      </c>
      <c r="K519" t="s">
        <v>13</v>
      </c>
      <c r="L519" t="s">
        <v>75</v>
      </c>
      <c r="M519" t="s">
        <v>10625</v>
      </c>
      <c r="O519" t="s">
        <v>10619</v>
      </c>
      <c r="P519" t="s">
        <v>10348</v>
      </c>
      <c r="Q519" t="s">
        <v>9770</v>
      </c>
      <c r="R519" t="s">
        <v>13</v>
      </c>
      <c r="S519" t="s">
        <v>75</v>
      </c>
      <c r="T519" t="s">
        <v>10624</v>
      </c>
    </row>
    <row r="520" spans="1:20">
      <c r="A520" t="s">
        <v>10619</v>
      </c>
      <c r="B520" t="s">
        <v>4709</v>
      </c>
      <c r="C520" t="s">
        <v>2962</v>
      </c>
      <c r="D520" t="s">
        <v>13</v>
      </c>
      <c r="E520" t="s">
        <v>75</v>
      </c>
      <c r="F520" t="s">
        <v>518</v>
      </c>
      <c r="H520" t="s">
        <v>10619</v>
      </c>
      <c r="I520" t="s">
        <v>8063</v>
      </c>
      <c r="J520" t="s">
        <v>6639</v>
      </c>
      <c r="K520" t="s">
        <v>13</v>
      </c>
      <c r="L520" t="s">
        <v>75</v>
      </c>
      <c r="M520" t="s">
        <v>10632</v>
      </c>
      <c r="O520" t="s">
        <v>10619</v>
      </c>
      <c r="P520" t="s">
        <v>10349</v>
      </c>
      <c r="Q520" t="s">
        <v>9770</v>
      </c>
      <c r="R520" t="s">
        <v>13</v>
      </c>
      <c r="S520" t="s">
        <v>75</v>
      </c>
      <c r="T520" t="s">
        <v>10624</v>
      </c>
    </row>
    <row r="521" spans="1:20">
      <c r="A521" t="s">
        <v>10619</v>
      </c>
      <c r="B521" t="s">
        <v>4710</v>
      </c>
      <c r="C521" t="s">
        <v>2964</v>
      </c>
      <c r="D521" t="s">
        <v>13</v>
      </c>
      <c r="E521" t="s">
        <v>75</v>
      </c>
      <c r="F521" t="s">
        <v>518</v>
      </c>
      <c r="H521" t="s">
        <v>10619</v>
      </c>
      <c r="I521" t="s">
        <v>8064</v>
      </c>
      <c r="J521" t="s">
        <v>6641</v>
      </c>
      <c r="K521" t="s">
        <v>13</v>
      </c>
      <c r="L521" t="s">
        <v>75</v>
      </c>
      <c r="M521" t="s">
        <v>10632</v>
      </c>
      <c r="O521" t="s">
        <v>10619</v>
      </c>
      <c r="P521" t="s">
        <v>10350</v>
      </c>
      <c r="Q521" t="s">
        <v>9770</v>
      </c>
      <c r="R521" t="s">
        <v>13</v>
      </c>
      <c r="S521" t="s">
        <v>75</v>
      </c>
      <c r="T521" t="s">
        <v>10624</v>
      </c>
    </row>
    <row r="522" spans="1:20">
      <c r="A522" t="s">
        <v>10619</v>
      </c>
      <c r="B522" t="s">
        <v>4711</v>
      </c>
      <c r="C522" t="s">
        <v>2966</v>
      </c>
      <c r="D522" t="s">
        <v>13</v>
      </c>
      <c r="E522" t="s">
        <v>75</v>
      </c>
      <c r="F522" t="s">
        <v>518</v>
      </c>
      <c r="H522" t="s">
        <v>10619</v>
      </c>
      <c r="I522" t="s">
        <v>8065</v>
      </c>
      <c r="J522" t="s">
        <v>6643</v>
      </c>
      <c r="K522" t="s">
        <v>13</v>
      </c>
      <c r="L522" t="s">
        <v>75</v>
      </c>
      <c r="M522" t="s">
        <v>10632</v>
      </c>
      <c r="O522" t="s">
        <v>10619</v>
      </c>
      <c r="P522" t="s">
        <v>10351</v>
      </c>
      <c r="Q522" t="s">
        <v>9774</v>
      </c>
      <c r="R522" t="s">
        <v>13</v>
      </c>
      <c r="S522" t="s">
        <v>75</v>
      </c>
      <c r="T522" t="s">
        <v>10627</v>
      </c>
    </row>
    <row r="523" spans="1:20">
      <c r="A523" t="s">
        <v>10619</v>
      </c>
      <c r="B523" t="s">
        <v>4712</v>
      </c>
      <c r="C523" t="s">
        <v>2968</v>
      </c>
      <c r="D523" t="s">
        <v>13</v>
      </c>
      <c r="E523" t="s">
        <v>75</v>
      </c>
      <c r="F523" t="s">
        <v>518</v>
      </c>
      <c r="H523" t="s">
        <v>10619</v>
      </c>
      <c r="I523" t="s">
        <v>8066</v>
      </c>
      <c r="J523" t="s">
        <v>6645</v>
      </c>
      <c r="K523" t="s">
        <v>13</v>
      </c>
      <c r="L523" t="s">
        <v>75</v>
      </c>
      <c r="M523" t="s">
        <v>10632</v>
      </c>
      <c r="O523" t="s">
        <v>10619</v>
      </c>
      <c r="P523" t="s">
        <v>10352</v>
      </c>
      <c r="Q523" t="s">
        <v>9776</v>
      </c>
      <c r="R523" t="s">
        <v>13</v>
      </c>
      <c r="S523" t="s">
        <v>75</v>
      </c>
      <c r="T523" t="s">
        <v>10627</v>
      </c>
    </row>
    <row r="524" spans="1:20">
      <c r="A524" t="s">
        <v>10619</v>
      </c>
      <c r="B524" t="s">
        <v>4713</v>
      </c>
      <c r="C524" t="s">
        <v>2970</v>
      </c>
      <c r="D524" t="s">
        <v>13</v>
      </c>
      <c r="E524" t="s">
        <v>75</v>
      </c>
      <c r="F524" t="s">
        <v>518</v>
      </c>
      <c r="H524" t="s">
        <v>10619</v>
      </c>
      <c r="I524" t="s">
        <v>8067</v>
      </c>
      <c r="J524" t="s">
        <v>6647</v>
      </c>
      <c r="K524" t="s">
        <v>13</v>
      </c>
      <c r="L524" t="s">
        <v>75</v>
      </c>
      <c r="M524" t="s">
        <v>10630</v>
      </c>
      <c r="O524" t="s">
        <v>10619</v>
      </c>
      <c r="P524" t="s">
        <v>10353</v>
      </c>
      <c r="Q524" t="s">
        <v>9778</v>
      </c>
      <c r="R524" t="s">
        <v>13</v>
      </c>
      <c r="S524" t="s">
        <v>75</v>
      </c>
      <c r="T524" t="s">
        <v>10627</v>
      </c>
    </row>
    <row r="525" spans="1:20">
      <c r="A525" t="s">
        <v>10619</v>
      </c>
      <c r="B525" t="s">
        <v>4714</v>
      </c>
      <c r="C525" t="s">
        <v>2972</v>
      </c>
      <c r="D525" t="s">
        <v>13</v>
      </c>
      <c r="E525" t="s">
        <v>75</v>
      </c>
      <c r="F525" t="s">
        <v>518</v>
      </c>
      <c r="H525" t="s">
        <v>10619</v>
      </c>
      <c r="I525" t="s">
        <v>8068</v>
      </c>
      <c r="J525" t="s">
        <v>6649</v>
      </c>
      <c r="K525" t="s">
        <v>13</v>
      </c>
      <c r="L525" t="s">
        <v>75</v>
      </c>
      <c r="M525" t="s">
        <v>10630</v>
      </c>
      <c r="O525" t="s">
        <v>10619</v>
      </c>
      <c r="P525" t="s">
        <v>10354</v>
      </c>
      <c r="Q525" t="s">
        <v>9780</v>
      </c>
      <c r="R525" t="s">
        <v>13</v>
      </c>
      <c r="S525" t="s">
        <v>75</v>
      </c>
      <c r="T525" t="s">
        <v>10627</v>
      </c>
    </row>
    <row r="526" spans="1:20">
      <c r="A526" t="s">
        <v>10619</v>
      </c>
      <c r="B526" t="s">
        <v>4715</v>
      </c>
      <c r="C526" t="s">
        <v>2974</v>
      </c>
      <c r="D526" t="s">
        <v>13</v>
      </c>
      <c r="E526" t="s">
        <v>75</v>
      </c>
      <c r="F526" t="s">
        <v>518</v>
      </c>
      <c r="H526" t="s">
        <v>10619</v>
      </c>
      <c r="I526" t="s">
        <v>8069</v>
      </c>
      <c r="J526" t="s">
        <v>6651</v>
      </c>
      <c r="K526" t="s">
        <v>13</v>
      </c>
      <c r="L526" t="s">
        <v>75</v>
      </c>
      <c r="M526" t="s">
        <v>10630</v>
      </c>
      <c r="O526" t="s">
        <v>10619</v>
      </c>
      <c r="P526" t="s">
        <v>10355</v>
      </c>
      <c r="Q526" t="s">
        <v>9782</v>
      </c>
      <c r="R526" t="s">
        <v>13</v>
      </c>
      <c r="S526" t="s">
        <v>75</v>
      </c>
      <c r="T526" t="s">
        <v>10627</v>
      </c>
    </row>
    <row r="527" spans="1:20">
      <c r="A527" t="s">
        <v>10619</v>
      </c>
      <c r="B527" t="s">
        <v>4716</v>
      </c>
      <c r="C527" t="s">
        <v>2976</v>
      </c>
      <c r="D527" t="s">
        <v>13</v>
      </c>
      <c r="E527" t="s">
        <v>75</v>
      </c>
      <c r="F527" t="s">
        <v>518</v>
      </c>
      <c r="H527" t="s">
        <v>10619</v>
      </c>
      <c r="I527" t="s">
        <v>8070</v>
      </c>
      <c r="J527" t="s">
        <v>6653</v>
      </c>
      <c r="K527" t="s">
        <v>13</v>
      </c>
      <c r="L527" t="s">
        <v>75</v>
      </c>
      <c r="M527" t="s">
        <v>10630</v>
      </c>
      <c r="O527" t="s">
        <v>10619</v>
      </c>
      <c r="P527" t="s">
        <v>10356</v>
      </c>
      <c r="Q527" t="s">
        <v>9784</v>
      </c>
      <c r="R527" t="s">
        <v>13</v>
      </c>
      <c r="S527" t="s">
        <v>75</v>
      </c>
      <c r="T527" t="s">
        <v>10627</v>
      </c>
    </row>
    <row r="528" spans="1:20">
      <c r="A528" t="s">
        <v>10619</v>
      </c>
      <c r="B528" t="s">
        <v>4717</v>
      </c>
      <c r="C528" t="s">
        <v>2978</v>
      </c>
      <c r="D528" t="s">
        <v>13</v>
      </c>
      <c r="E528" t="s">
        <v>75</v>
      </c>
      <c r="F528" t="s">
        <v>10620</v>
      </c>
      <c r="H528" t="s">
        <v>10619</v>
      </c>
      <c r="I528" t="s">
        <v>8071</v>
      </c>
      <c r="J528" t="s">
        <v>6655</v>
      </c>
      <c r="K528" t="s">
        <v>13</v>
      </c>
      <c r="L528" t="s">
        <v>75</v>
      </c>
      <c r="M528" t="s">
        <v>10630</v>
      </c>
      <c r="O528" t="s">
        <v>10619</v>
      </c>
      <c r="P528" t="s">
        <v>10357</v>
      </c>
      <c r="Q528" t="s">
        <v>9786</v>
      </c>
      <c r="R528" t="s">
        <v>13</v>
      </c>
      <c r="S528" t="s">
        <v>75</v>
      </c>
      <c r="T528" t="s">
        <v>10624</v>
      </c>
    </row>
    <row r="529" spans="1:20">
      <c r="A529" t="s">
        <v>10619</v>
      </c>
      <c r="B529" t="s">
        <v>4718</v>
      </c>
      <c r="C529" t="s">
        <v>2978</v>
      </c>
      <c r="D529" t="s">
        <v>13</v>
      </c>
      <c r="E529" t="s">
        <v>75</v>
      </c>
      <c r="F529" t="s">
        <v>10620</v>
      </c>
      <c r="H529" t="s">
        <v>10619</v>
      </c>
      <c r="I529" t="s">
        <v>8072</v>
      </c>
      <c r="J529" t="s">
        <v>6657</v>
      </c>
      <c r="K529" t="s">
        <v>13</v>
      </c>
      <c r="L529" t="s">
        <v>75</v>
      </c>
      <c r="M529" t="s">
        <v>10630</v>
      </c>
      <c r="O529" t="s">
        <v>10619</v>
      </c>
      <c r="P529" t="s">
        <v>10358</v>
      </c>
      <c r="Q529" t="s">
        <v>9788</v>
      </c>
      <c r="R529" t="s">
        <v>13</v>
      </c>
      <c r="S529" t="s">
        <v>75</v>
      </c>
      <c r="T529" t="s">
        <v>10624</v>
      </c>
    </row>
    <row r="530" spans="1:20">
      <c r="A530" t="s">
        <v>10619</v>
      </c>
      <c r="B530" t="s">
        <v>4719</v>
      </c>
      <c r="C530" t="s">
        <v>2981</v>
      </c>
      <c r="D530" t="s">
        <v>13</v>
      </c>
      <c r="E530" t="s">
        <v>75</v>
      </c>
      <c r="F530" t="s">
        <v>10620</v>
      </c>
      <c r="H530" t="s">
        <v>10619</v>
      </c>
      <c r="I530" t="s">
        <v>8073</v>
      </c>
      <c r="J530" t="s">
        <v>6659</v>
      </c>
      <c r="K530" t="s">
        <v>13</v>
      </c>
      <c r="L530" t="s">
        <v>75</v>
      </c>
      <c r="M530" t="s">
        <v>10630</v>
      </c>
      <c r="O530" t="s">
        <v>10619</v>
      </c>
      <c r="P530" t="s">
        <v>10359</v>
      </c>
      <c r="Q530" t="s">
        <v>9790</v>
      </c>
      <c r="R530" t="s">
        <v>13</v>
      </c>
      <c r="S530" t="s">
        <v>75</v>
      </c>
      <c r="T530" t="s">
        <v>10624</v>
      </c>
    </row>
    <row r="531" spans="1:20">
      <c r="A531" t="s">
        <v>10619</v>
      </c>
      <c r="B531" t="s">
        <v>4720</v>
      </c>
      <c r="C531" t="s">
        <v>2983</v>
      </c>
      <c r="D531" t="s">
        <v>13</v>
      </c>
      <c r="E531" t="s">
        <v>75</v>
      </c>
      <c r="F531" t="s">
        <v>10620</v>
      </c>
      <c r="H531" t="s">
        <v>10619</v>
      </c>
      <c r="I531" t="s">
        <v>8074</v>
      </c>
      <c r="J531" t="s">
        <v>6661</v>
      </c>
      <c r="K531" t="s">
        <v>13</v>
      </c>
      <c r="L531" t="s">
        <v>75</v>
      </c>
      <c r="M531" t="s">
        <v>583</v>
      </c>
      <c r="O531" t="s">
        <v>10619</v>
      </c>
      <c r="P531" t="s">
        <v>10360</v>
      </c>
      <c r="Q531" t="s">
        <v>9792</v>
      </c>
      <c r="R531" t="s">
        <v>13</v>
      </c>
      <c r="S531" t="s">
        <v>75</v>
      </c>
      <c r="T531" t="s">
        <v>10624</v>
      </c>
    </row>
    <row r="532" spans="1:20">
      <c r="A532" t="s">
        <v>10619</v>
      </c>
      <c r="B532" t="s">
        <v>4721</v>
      </c>
      <c r="C532" t="s">
        <v>2985</v>
      </c>
      <c r="D532" t="s">
        <v>13</v>
      </c>
      <c r="E532" t="s">
        <v>75</v>
      </c>
      <c r="F532" t="s">
        <v>10620</v>
      </c>
      <c r="H532" t="s">
        <v>10619</v>
      </c>
      <c r="I532" t="s">
        <v>8075</v>
      </c>
      <c r="J532" t="s">
        <v>6663</v>
      </c>
      <c r="K532" t="s">
        <v>13</v>
      </c>
      <c r="L532" t="s">
        <v>75</v>
      </c>
      <c r="M532" t="s">
        <v>583</v>
      </c>
      <c r="O532" t="s">
        <v>10619</v>
      </c>
      <c r="P532" t="s">
        <v>10361</v>
      </c>
      <c r="Q532" t="s">
        <v>9794</v>
      </c>
      <c r="R532" t="s">
        <v>13</v>
      </c>
      <c r="S532" t="s">
        <v>75</v>
      </c>
      <c r="T532" t="s">
        <v>10624</v>
      </c>
    </row>
    <row r="533" spans="1:20">
      <c r="A533" t="s">
        <v>10619</v>
      </c>
      <c r="B533" t="s">
        <v>4722</v>
      </c>
      <c r="C533" t="s">
        <v>2987</v>
      </c>
      <c r="D533" t="s">
        <v>13</v>
      </c>
      <c r="E533" t="s">
        <v>75</v>
      </c>
      <c r="F533" t="s">
        <v>10620</v>
      </c>
      <c r="H533" t="s">
        <v>10619</v>
      </c>
      <c r="I533" t="s">
        <v>8076</v>
      </c>
      <c r="J533" t="s">
        <v>6665</v>
      </c>
      <c r="K533" t="s">
        <v>13</v>
      </c>
      <c r="L533" t="s">
        <v>75</v>
      </c>
      <c r="M533" t="s">
        <v>583</v>
      </c>
      <c r="O533" t="s">
        <v>10619</v>
      </c>
      <c r="P533" t="s">
        <v>10362</v>
      </c>
      <c r="Q533" t="s">
        <v>9792</v>
      </c>
      <c r="R533" t="s">
        <v>13</v>
      </c>
      <c r="S533" t="s">
        <v>75</v>
      </c>
      <c r="T533" t="s">
        <v>10624</v>
      </c>
    </row>
    <row r="534" spans="1:20">
      <c r="A534" t="s">
        <v>10619</v>
      </c>
      <c r="B534" t="s">
        <v>4723</v>
      </c>
      <c r="C534" t="s">
        <v>2989</v>
      </c>
      <c r="D534" t="s">
        <v>13</v>
      </c>
      <c r="E534" t="s">
        <v>75</v>
      </c>
      <c r="F534" t="s">
        <v>10620</v>
      </c>
      <c r="H534" t="s">
        <v>10619</v>
      </c>
      <c r="I534" t="s">
        <v>8077</v>
      </c>
      <c r="J534" t="s">
        <v>6667</v>
      </c>
      <c r="K534" t="s">
        <v>13</v>
      </c>
      <c r="L534" t="s">
        <v>75</v>
      </c>
      <c r="M534" t="s">
        <v>10621</v>
      </c>
      <c r="O534" t="s">
        <v>10619</v>
      </c>
      <c r="P534" t="s">
        <v>10363</v>
      </c>
      <c r="Q534" t="s">
        <v>9797</v>
      </c>
      <c r="R534" t="s">
        <v>13</v>
      </c>
      <c r="S534" t="s">
        <v>75</v>
      </c>
      <c r="T534" t="s">
        <v>10620</v>
      </c>
    </row>
    <row r="535" spans="1:20">
      <c r="A535" t="s">
        <v>10619</v>
      </c>
      <c r="B535" t="s">
        <v>4724</v>
      </c>
      <c r="C535" t="s">
        <v>2991</v>
      </c>
      <c r="D535" t="s">
        <v>13</v>
      </c>
      <c r="E535" t="s">
        <v>75</v>
      </c>
      <c r="F535" t="s">
        <v>10620</v>
      </c>
      <c r="H535" t="s">
        <v>10619</v>
      </c>
      <c r="I535" t="s">
        <v>8078</v>
      </c>
      <c r="J535" t="s">
        <v>6669</v>
      </c>
      <c r="K535" t="s">
        <v>13</v>
      </c>
      <c r="L535" t="s">
        <v>75</v>
      </c>
      <c r="M535" t="s">
        <v>10621</v>
      </c>
      <c r="O535" t="s">
        <v>10619</v>
      </c>
      <c r="P535" t="s">
        <v>10364</v>
      </c>
      <c r="Q535" t="s">
        <v>9799</v>
      </c>
      <c r="R535" t="s">
        <v>13</v>
      </c>
      <c r="S535" t="s">
        <v>75</v>
      </c>
      <c r="T535" t="s">
        <v>10620</v>
      </c>
    </row>
    <row r="536" spans="1:20">
      <c r="A536" t="s">
        <v>10619</v>
      </c>
      <c r="B536" t="s">
        <v>4725</v>
      </c>
      <c r="C536" t="s">
        <v>2993</v>
      </c>
      <c r="D536" t="s">
        <v>13</v>
      </c>
      <c r="E536" t="s">
        <v>75</v>
      </c>
      <c r="F536" t="s">
        <v>10620</v>
      </c>
      <c r="H536" t="s">
        <v>10619</v>
      </c>
      <c r="I536" t="s">
        <v>8079</v>
      </c>
      <c r="J536" t="s">
        <v>6671</v>
      </c>
      <c r="K536" t="s">
        <v>13</v>
      </c>
      <c r="L536" t="s">
        <v>75</v>
      </c>
      <c r="M536" t="s">
        <v>10621</v>
      </c>
      <c r="O536" t="s">
        <v>10619</v>
      </c>
      <c r="P536" t="s">
        <v>10365</v>
      </c>
      <c r="Q536" t="s">
        <v>9801</v>
      </c>
      <c r="R536" t="s">
        <v>13</v>
      </c>
      <c r="S536" t="s">
        <v>75</v>
      </c>
      <c r="T536" t="s">
        <v>10620</v>
      </c>
    </row>
    <row r="537" spans="1:20">
      <c r="A537" t="s">
        <v>10619</v>
      </c>
      <c r="B537" t="s">
        <v>4726</v>
      </c>
      <c r="C537" t="s">
        <v>2995</v>
      </c>
      <c r="D537" t="s">
        <v>13</v>
      </c>
      <c r="E537" t="s">
        <v>75</v>
      </c>
      <c r="F537" t="s">
        <v>10620</v>
      </c>
      <c r="H537" t="s">
        <v>10619</v>
      </c>
      <c r="I537" t="s">
        <v>8080</v>
      </c>
      <c r="J537" t="s">
        <v>6673</v>
      </c>
      <c r="K537" t="s">
        <v>13</v>
      </c>
      <c r="L537" t="s">
        <v>75</v>
      </c>
      <c r="M537" t="s">
        <v>10621</v>
      </c>
      <c r="O537" t="s">
        <v>10619</v>
      </c>
      <c r="P537" t="s">
        <v>10366</v>
      </c>
      <c r="Q537" t="s">
        <v>9803</v>
      </c>
      <c r="R537" t="s">
        <v>13</v>
      </c>
      <c r="S537" t="s">
        <v>75</v>
      </c>
      <c r="T537" t="s">
        <v>10620</v>
      </c>
    </row>
    <row r="538" spans="1:20">
      <c r="A538" t="s">
        <v>10619</v>
      </c>
      <c r="B538" t="s">
        <v>4727</v>
      </c>
      <c r="C538" t="s">
        <v>2997</v>
      </c>
      <c r="D538" t="s">
        <v>13</v>
      </c>
      <c r="E538" t="s">
        <v>75</v>
      </c>
      <c r="F538" t="s">
        <v>10620</v>
      </c>
      <c r="H538" t="s">
        <v>10619</v>
      </c>
      <c r="I538" t="s">
        <v>8081</v>
      </c>
      <c r="J538" t="s">
        <v>6675</v>
      </c>
      <c r="K538" t="s">
        <v>13</v>
      </c>
      <c r="L538" t="s">
        <v>75</v>
      </c>
      <c r="M538" t="s">
        <v>10621</v>
      </c>
      <c r="O538" t="s">
        <v>10619</v>
      </c>
      <c r="P538" t="s">
        <v>10367</v>
      </c>
      <c r="Q538" t="s">
        <v>9805</v>
      </c>
      <c r="R538" t="s">
        <v>13</v>
      </c>
      <c r="S538" t="s">
        <v>75</v>
      </c>
      <c r="T538" t="s">
        <v>10620</v>
      </c>
    </row>
    <row r="539" spans="1:20">
      <c r="A539" t="s">
        <v>10619</v>
      </c>
      <c r="B539" t="s">
        <v>4728</v>
      </c>
      <c r="C539" t="s">
        <v>2987</v>
      </c>
      <c r="D539" t="s">
        <v>13</v>
      </c>
      <c r="E539" t="s">
        <v>75</v>
      </c>
      <c r="F539" t="s">
        <v>10620</v>
      </c>
      <c r="H539" t="s">
        <v>10619</v>
      </c>
      <c r="I539" t="s">
        <v>8082</v>
      </c>
      <c r="J539" t="s">
        <v>6677</v>
      </c>
      <c r="K539" t="s">
        <v>13</v>
      </c>
      <c r="L539" t="s">
        <v>75</v>
      </c>
      <c r="M539" t="s">
        <v>10621</v>
      </c>
      <c r="O539" t="s">
        <v>10619</v>
      </c>
      <c r="P539" t="s">
        <v>10368</v>
      </c>
      <c r="Q539" t="s">
        <v>9807</v>
      </c>
      <c r="R539" t="s">
        <v>13</v>
      </c>
      <c r="S539" t="s">
        <v>75</v>
      </c>
      <c r="T539" t="s">
        <v>10620</v>
      </c>
    </row>
    <row r="540" spans="1:20">
      <c r="A540" t="s">
        <v>10619</v>
      </c>
      <c r="B540" t="s">
        <v>4729</v>
      </c>
      <c r="C540" t="s">
        <v>3000</v>
      </c>
      <c r="D540" t="s">
        <v>13</v>
      </c>
      <c r="E540" t="s">
        <v>75</v>
      </c>
      <c r="F540" t="s">
        <v>10620</v>
      </c>
      <c r="H540" t="s">
        <v>10619</v>
      </c>
      <c r="I540" t="s">
        <v>8083</v>
      </c>
      <c r="J540" t="s">
        <v>6679</v>
      </c>
      <c r="K540" t="s">
        <v>13</v>
      </c>
      <c r="L540" t="s">
        <v>75</v>
      </c>
      <c r="M540" t="s">
        <v>10621</v>
      </c>
      <c r="O540" t="s">
        <v>10619</v>
      </c>
      <c r="P540" t="s">
        <v>10369</v>
      </c>
      <c r="Q540" t="s">
        <v>9809</v>
      </c>
      <c r="R540" t="s">
        <v>13</v>
      </c>
      <c r="S540" t="s">
        <v>75</v>
      </c>
      <c r="T540" t="s">
        <v>10620</v>
      </c>
    </row>
    <row r="541" spans="1:20">
      <c r="A541" t="s">
        <v>10619</v>
      </c>
      <c r="B541" t="s">
        <v>4730</v>
      </c>
      <c r="C541" t="s">
        <v>3002</v>
      </c>
      <c r="D541" t="s">
        <v>13</v>
      </c>
      <c r="E541" t="s">
        <v>75</v>
      </c>
      <c r="F541" t="s">
        <v>10620</v>
      </c>
      <c r="H541" t="s">
        <v>10619</v>
      </c>
      <c r="I541" t="s">
        <v>8084</v>
      </c>
      <c r="J541" t="s">
        <v>6681</v>
      </c>
      <c r="K541" t="s">
        <v>13</v>
      </c>
      <c r="L541" t="s">
        <v>75</v>
      </c>
      <c r="M541" t="s">
        <v>10621</v>
      </c>
      <c r="O541" t="s">
        <v>10619</v>
      </c>
      <c r="P541" t="s">
        <v>10370</v>
      </c>
      <c r="Q541" t="s">
        <v>9807</v>
      </c>
      <c r="R541" t="s">
        <v>13</v>
      </c>
      <c r="S541" t="s">
        <v>75</v>
      </c>
      <c r="T541" t="s">
        <v>10620</v>
      </c>
    </row>
    <row r="542" spans="1:20">
      <c r="A542" t="s">
        <v>10619</v>
      </c>
      <c r="B542" t="s">
        <v>4731</v>
      </c>
      <c r="C542" t="s">
        <v>3004</v>
      </c>
      <c r="D542" t="s">
        <v>13</v>
      </c>
      <c r="E542" t="s">
        <v>75</v>
      </c>
      <c r="F542" t="s">
        <v>10620</v>
      </c>
      <c r="H542" t="s">
        <v>10619</v>
      </c>
      <c r="I542" t="s">
        <v>8085</v>
      </c>
      <c r="J542" t="s">
        <v>6683</v>
      </c>
      <c r="K542" t="s">
        <v>13</v>
      </c>
      <c r="L542" t="s">
        <v>75</v>
      </c>
      <c r="M542" t="s">
        <v>10627</v>
      </c>
      <c r="O542" t="s">
        <v>10619</v>
      </c>
      <c r="P542" t="s">
        <v>10371</v>
      </c>
      <c r="Q542" t="s">
        <v>9812</v>
      </c>
      <c r="R542" t="s">
        <v>13</v>
      </c>
      <c r="S542" t="s">
        <v>75</v>
      </c>
      <c r="T542" t="s">
        <v>10623</v>
      </c>
    </row>
    <row r="543" spans="1:20">
      <c r="A543" t="s">
        <v>10619</v>
      </c>
      <c r="B543" t="s">
        <v>4732</v>
      </c>
      <c r="C543" t="s">
        <v>3006</v>
      </c>
      <c r="D543" t="s">
        <v>13</v>
      </c>
      <c r="E543" t="s">
        <v>75</v>
      </c>
      <c r="F543" t="s">
        <v>10620</v>
      </c>
      <c r="H543" t="s">
        <v>10619</v>
      </c>
      <c r="I543" t="s">
        <v>8086</v>
      </c>
      <c r="J543" t="s">
        <v>6685</v>
      </c>
      <c r="K543" t="s">
        <v>13</v>
      </c>
      <c r="L543" t="s">
        <v>75</v>
      </c>
      <c r="M543" t="s">
        <v>10627</v>
      </c>
      <c r="O543" t="s">
        <v>10619</v>
      </c>
      <c r="P543" t="s">
        <v>10372</v>
      </c>
      <c r="Q543" t="s">
        <v>9812</v>
      </c>
      <c r="R543" t="s">
        <v>13</v>
      </c>
      <c r="S543" t="s">
        <v>75</v>
      </c>
      <c r="T543" t="s">
        <v>10623</v>
      </c>
    </row>
    <row r="544" spans="1:20">
      <c r="A544" t="s">
        <v>10619</v>
      </c>
      <c r="B544" t="s">
        <v>4733</v>
      </c>
      <c r="C544" t="s">
        <v>3008</v>
      </c>
      <c r="D544" t="s">
        <v>13</v>
      </c>
      <c r="E544" t="s">
        <v>75</v>
      </c>
      <c r="F544" t="s">
        <v>10620</v>
      </c>
      <c r="H544" t="s">
        <v>10619</v>
      </c>
      <c r="I544" t="s">
        <v>8087</v>
      </c>
      <c r="J544" t="s">
        <v>6687</v>
      </c>
      <c r="K544" t="s">
        <v>13</v>
      </c>
      <c r="L544" t="s">
        <v>75</v>
      </c>
      <c r="M544" t="s">
        <v>10627</v>
      </c>
      <c r="O544" t="s">
        <v>10619</v>
      </c>
      <c r="P544" t="s">
        <v>10373</v>
      </c>
      <c r="Q544" t="s">
        <v>9815</v>
      </c>
      <c r="R544" t="s">
        <v>13</v>
      </c>
      <c r="S544" t="s">
        <v>75</v>
      </c>
      <c r="T544" t="s">
        <v>10623</v>
      </c>
    </row>
    <row r="545" spans="1:20">
      <c r="A545" t="s">
        <v>10619</v>
      </c>
      <c r="B545" t="s">
        <v>4734</v>
      </c>
      <c r="C545" t="s">
        <v>3010</v>
      </c>
      <c r="D545" t="s">
        <v>13</v>
      </c>
      <c r="E545" t="s">
        <v>75</v>
      </c>
      <c r="F545" t="s">
        <v>10621</v>
      </c>
      <c r="H545" t="s">
        <v>10619</v>
      </c>
      <c r="I545" t="s">
        <v>8088</v>
      </c>
      <c r="J545" t="s">
        <v>6689</v>
      </c>
      <c r="K545" t="s">
        <v>13</v>
      </c>
      <c r="L545" t="s">
        <v>75</v>
      </c>
      <c r="M545" t="s">
        <v>10627</v>
      </c>
      <c r="O545" t="s">
        <v>10619</v>
      </c>
      <c r="P545" t="s">
        <v>10374</v>
      </c>
      <c r="Q545" t="s">
        <v>9817</v>
      </c>
      <c r="R545" t="s">
        <v>13</v>
      </c>
      <c r="S545" t="s">
        <v>75</v>
      </c>
      <c r="T545" t="s">
        <v>10623</v>
      </c>
    </row>
    <row r="546" spans="1:20">
      <c r="A546" t="s">
        <v>10619</v>
      </c>
      <c r="B546" t="s">
        <v>4735</v>
      </c>
      <c r="C546" t="s">
        <v>3012</v>
      </c>
      <c r="D546" t="s">
        <v>13</v>
      </c>
      <c r="E546" t="s">
        <v>75</v>
      </c>
      <c r="F546" t="s">
        <v>10621</v>
      </c>
      <c r="H546" t="s">
        <v>10619</v>
      </c>
      <c r="I546" t="s">
        <v>8089</v>
      </c>
      <c r="J546" t="s">
        <v>6691</v>
      </c>
      <c r="K546" t="s">
        <v>13</v>
      </c>
      <c r="L546" t="s">
        <v>75</v>
      </c>
      <c r="M546" t="s">
        <v>10627</v>
      </c>
      <c r="O546" t="s">
        <v>10619</v>
      </c>
      <c r="P546" t="s">
        <v>10375</v>
      </c>
      <c r="Q546" t="s">
        <v>9817</v>
      </c>
      <c r="R546" t="s">
        <v>13</v>
      </c>
      <c r="S546" t="s">
        <v>75</v>
      </c>
      <c r="T546" t="s">
        <v>10623</v>
      </c>
    </row>
    <row r="547" spans="1:20">
      <c r="A547" t="s">
        <v>10619</v>
      </c>
      <c r="B547" t="s">
        <v>4736</v>
      </c>
      <c r="C547" t="s">
        <v>3014</v>
      </c>
      <c r="D547" t="s">
        <v>13</v>
      </c>
      <c r="E547" t="s">
        <v>75</v>
      </c>
      <c r="F547" t="s">
        <v>10621</v>
      </c>
      <c r="H547" t="s">
        <v>10619</v>
      </c>
      <c r="I547" t="s">
        <v>8090</v>
      </c>
      <c r="J547" t="s">
        <v>6693</v>
      </c>
      <c r="K547" t="s">
        <v>13</v>
      </c>
      <c r="L547" t="s">
        <v>75</v>
      </c>
      <c r="M547" t="s">
        <v>10627</v>
      </c>
      <c r="O547" t="s">
        <v>10619</v>
      </c>
      <c r="P547" t="s">
        <v>10376</v>
      </c>
      <c r="Q547" t="s">
        <v>9820</v>
      </c>
      <c r="R547" t="s">
        <v>13</v>
      </c>
      <c r="S547" t="s">
        <v>75</v>
      </c>
      <c r="T547" t="s">
        <v>10639</v>
      </c>
    </row>
    <row r="548" spans="1:20">
      <c r="A548" t="s">
        <v>10619</v>
      </c>
      <c r="B548" t="s">
        <v>4737</v>
      </c>
      <c r="C548" t="s">
        <v>3016</v>
      </c>
      <c r="D548" t="s">
        <v>13</v>
      </c>
      <c r="E548" t="s">
        <v>75</v>
      </c>
      <c r="F548" t="s">
        <v>10621</v>
      </c>
      <c r="H548" t="s">
        <v>10619</v>
      </c>
      <c r="I548" t="s">
        <v>8091</v>
      </c>
      <c r="J548" t="s">
        <v>6695</v>
      </c>
      <c r="K548" t="s">
        <v>13</v>
      </c>
      <c r="L548" t="s">
        <v>75</v>
      </c>
      <c r="M548" t="s">
        <v>10627</v>
      </c>
      <c r="O548" t="s">
        <v>10619</v>
      </c>
      <c r="P548" t="s">
        <v>10377</v>
      </c>
      <c r="Q548" t="s">
        <v>9820</v>
      </c>
      <c r="R548" t="s">
        <v>13</v>
      </c>
      <c r="S548" t="s">
        <v>75</v>
      </c>
      <c r="T548" t="s">
        <v>10639</v>
      </c>
    </row>
    <row r="549" spans="1:20">
      <c r="A549" t="s">
        <v>10619</v>
      </c>
      <c r="B549" t="s">
        <v>4738</v>
      </c>
      <c r="C549" t="s">
        <v>3018</v>
      </c>
      <c r="D549" t="s">
        <v>13</v>
      </c>
      <c r="E549" t="s">
        <v>75</v>
      </c>
      <c r="F549" t="s">
        <v>10621</v>
      </c>
      <c r="H549" t="s">
        <v>10619</v>
      </c>
      <c r="I549" t="s">
        <v>8092</v>
      </c>
      <c r="J549" t="s">
        <v>6697</v>
      </c>
      <c r="K549" t="s">
        <v>13</v>
      </c>
      <c r="L549" t="s">
        <v>75</v>
      </c>
      <c r="M549" t="s">
        <v>10627</v>
      </c>
      <c r="O549" t="s">
        <v>10619</v>
      </c>
      <c r="P549" t="s">
        <v>10378</v>
      </c>
      <c r="Q549" t="s">
        <v>9823</v>
      </c>
      <c r="R549" t="s">
        <v>13</v>
      </c>
      <c r="S549" t="s">
        <v>75</v>
      </c>
      <c r="T549" t="s">
        <v>10639</v>
      </c>
    </row>
    <row r="550" spans="1:20">
      <c r="A550" t="s">
        <v>10619</v>
      </c>
      <c r="B550" t="s">
        <v>4739</v>
      </c>
      <c r="C550" t="s">
        <v>3020</v>
      </c>
      <c r="D550" t="s">
        <v>13</v>
      </c>
      <c r="E550" t="s">
        <v>75</v>
      </c>
      <c r="F550" t="s">
        <v>10621</v>
      </c>
      <c r="H550" t="s">
        <v>10619</v>
      </c>
      <c r="I550" t="s">
        <v>8093</v>
      </c>
      <c r="J550" t="s">
        <v>6699</v>
      </c>
      <c r="K550" t="s">
        <v>13</v>
      </c>
      <c r="L550" t="s">
        <v>75</v>
      </c>
      <c r="M550" t="s">
        <v>10627</v>
      </c>
      <c r="O550" t="s">
        <v>10619</v>
      </c>
      <c r="P550" t="s">
        <v>10379</v>
      </c>
      <c r="Q550" t="s">
        <v>9825</v>
      </c>
      <c r="R550" t="s">
        <v>13</v>
      </c>
      <c r="S550" t="s">
        <v>75</v>
      </c>
      <c r="T550" t="s">
        <v>10639</v>
      </c>
    </row>
    <row r="551" spans="1:20">
      <c r="A551" t="s">
        <v>10619</v>
      </c>
      <c r="B551" t="s">
        <v>4740</v>
      </c>
      <c r="C551" t="s">
        <v>3022</v>
      </c>
      <c r="D551" t="s">
        <v>13</v>
      </c>
      <c r="E551" t="s">
        <v>75</v>
      </c>
      <c r="F551" t="s">
        <v>10621</v>
      </c>
      <c r="H551" t="s">
        <v>10619</v>
      </c>
      <c r="I551" t="s">
        <v>8094</v>
      </c>
      <c r="J551" t="s">
        <v>6701</v>
      </c>
      <c r="K551" t="s">
        <v>13</v>
      </c>
      <c r="L551" t="s">
        <v>75</v>
      </c>
      <c r="M551" t="s">
        <v>10627</v>
      </c>
      <c r="O551" t="s">
        <v>10619</v>
      </c>
      <c r="P551" t="s">
        <v>10380</v>
      </c>
      <c r="Q551" t="s">
        <v>9827</v>
      </c>
      <c r="R551" t="s">
        <v>13</v>
      </c>
      <c r="S551" t="s">
        <v>75</v>
      </c>
      <c r="T551" t="s">
        <v>10639</v>
      </c>
    </row>
    <row r="552" spans="1:20">
      <c r="A552" t="s">
        <v>10619</v>
      </c>
      <c r="B552" t="s">
        <v>4741</v>
      </c>
      <c r="C552" t="s">
        <v>3024</v>
      </c>
      <c r="D552" t="s">
        <v>13</v>
      </c>
      <c r="E552" t="s">
        <v>75</v>
      </c>
      <c r="F552" t="s">
        <v>10621</v>
      </c>
      <c r="H552" t="s">
        <v>10619</v>
      </c>
      <c r="I552" t="s">
        <v>8095</v>
      </c>
      <c r="J552" t="s">
        <v>6703</v>
      </c>
      <c r="K552" t="s">
        <v>13</v>
      </c>
      <c r="L552" t="s">
        <v>75</v>
      </c>
      <c r="M552" t="s">
        <v>10627</v>
      </c>
      <c r="O552" t="s">
        <v>10619</v>
      </c>
      <c r="P552" t="s">
        <v>10381</v>
      </c>
      <c r="Q552" t="s">
        <v>9829</v>
      </c>
      <c r="R552" t="s">
        <v>13</v>
      </c>
      <c r="S552" t="s">
        <v>75</v>
      </c>
      <c r="T552" t="s">
        <v>10639</v>
      </c>
    </row>
    <row r="553" spans="1:20">
      <c r="A553" t="s">
        <v>10619</v>
      </c>
      <c r="B553" t="s">
        <v>4742</v>
      </c>
      <c r="C553" t="s">
        <v>3018</v>
      </c>
      <c r="D553" t="s">
        <v>13</v>
      </c>
      <c r="E553" t="s">
        <v>75</v>
      </c>
      <c r="F553" t="s">
        <v>10621</v>
      </c>
      <c r="H553" t="s">
        <v>10619</v>
      </c>
      <c r="I553" t="s">
        <v>8096</v>
      </c>
      <c r="J553" t="s">
        <v>6705</v>
      </c>
      <c r="K553" t="s">
        <v>13</v>
      </c>
      <c r="L553" t="s">
        <v>75</v>
      </c>
      <c r="M553" t="s">
        <v>10627</v>
      </c>
      <c r="O553" t="s">
        <v>10619</v>
      </c>
      <c r="P553" t="s">
        <v>10382</v>
      </c>
      <c r="Q553" t="s">
        <v>9831</v>
      </c>
      <c r="R553" t="s">
        <v>13</v>
      </c>
      <c r="S553" t="s">
        <v>75</v>
      </c>
      <c r="T553" t="s">
        <v>10639</v>
      </c>
    </row>
    <row r="554" spans="1:20">
      <c r="A554" t="s">
        <v>10619</v>
      </c>
      <c r="B554" t="s">
        <v>4743</v>
      </c>
      <c r="C554" t="s">
        <v>3027</v>
      </c>
      <c r="D554" t="s">
        <v>13</v>
      </c>
      <c r="E554" t="s">
        <v>75</v>
      </c>
      <c r="F554" t="s">
        <v>10620</v>
      </c>
      <c r="H554" t="s">
        <v>10619</v>
      </c>
      <c r="I554" t="s">
        <v>8097</v>
      </c>
      <c r="J554" t="s">
        <v>6707</v>
      </c>
      <c r="K554" t="s">
        <v>13</v>
      </c>
      <c r="L554" t="s">
        <v>75</v>
      </c>
      <c r="M554" t="s">
        <v>10622</v>
      </c>
    </row>
    <row r="555" spans="1:20">
      <c r="A555" t="s">
        <v>10619</v>
      </c>
      <c r="B555" t="s">
        <v>4744</v>
      </c>
      <c r="C555" t="s">
        <v>3029</v>
      </c>
      <c r="D555" t="s">
        <v>13</v>
      </c>
      <c r="E555" t="s">
        <v>75</v>
      </c>
      <c r="F555" t="s">
        <v>10620</v>
      </c>
      <c r="H555" t="s">
        <v>10619</v>
      </c>
      <c r="I555" t="s">
        <v>8098</v>
      </c>
      <c r="J555" t="s">
        <v>6709</v>
      </c>
      <c r="K555" t="s">
        <v>13</v>
      </c>
      <c r="L555" t="s">
        <v>75</v>
      </c>
      <c r="M555" t="s">
        <v>10622</v>
      </c>
    </row>
    <row r="556" spans="1:20">
      <c r="A556" t="s">
        <v>10619</v>
      </c>
      <c r="B556" t="s">
        <v>4745</v>
      </c>
      <c r="C556" t="s">
        <v>3031</v>
      </c>
      <c r="D556" t="s">
        <v>13</v>
      </c>
      <c r="E556" t="s">
        <v>75</v>
      </c>
      <c r="F556" t="s">
        <v>10620</v>
      </c>
      <c r="H556" t="s">
        <v>10619</v>
      </c>
      <c r="I556" t="s">
        <v>8099</v>
      </c>
      <c r="J556" t="s">
        <v>6711</v>
      </c>
      <c r="K556" t="s">
        <v>13</v>
      </c>
      <c r="L556" t="s">
        <v>75</v>
      </c>
      <c r="M556" t="s">
        <v>10622</v>
      </c>
    </row>
    <row r="557" spans="1:20">
      <c r="A557" t="s">
        <v>10619</v>
      </c>
      <c r="B557" t="s">
        <v>4746</v>
      </c>
      <c r="C557" t="s">
        <v>3033</v>
      </c>
      <c r="D557" t="s">
        <v>13</v>
      </c>
      <c r="E557" t="s">
        <v>75</v>
      </c>
      <c r="F557" t="s">
        <v>10620</v>
      </c>
      <c r="H557" t="s">
        <v>10619</v>
      </c>
      <c r="I557" t="s">
        <v>8100</v>
      </c>
      <c r="J557" t="s">
        <v>6713</v>
      </c>
      <c r="K557" t="s">
        <v>13</v>
      </c>
      <c r="L557" t="s">
        <v>75</v>
      </c>
      <c r="M557" t="s">
        <v>10622</v>
      </c>
    </row>
    <row r="558" spans="1:20">
      <c r="A558" t="s">
        <v>10619</v>
      </c>
      <c r="B558" t="s">
        <v>4747</v>
      </c>
      <c r="C558" t="s">
        <v>3035</v>
      </c>
      <c r="D558" t="s">
        <v>13</v>
      </c>
      <c r="E558" t="s">
        <v>75</v>
      </c>
      <c r="F558" t="s">
        <v>10620</v>
      </c>
      <c r="H558" t="s">
        <v>10619</v>
      </c>
      <c r="I558" t="s">
        <v>8101</v>
      </c>
      <c r="J558" t="s">
        <v>6715</v>
      </c>
      <c r="K558" t="s">
        <v>13</v>
      </c>
      <c r="L558" t="s">
        <v>75</v>
      </c>
      <c r="M558" t="s">
        <v>10621</v>
      </c>
    </row>
    <row r="559" spans="1:20">
      <c r="A559" t="s">
        <v>10619</v>
      </c>
      <c r="B559" t="s">
        <v>4748</v>
      </c>
      <c r="C559" t="s">
        <v>3037</v>
      </c>
      <c r="D559" t="s">
        <v>13</v>
      </c>
      <c r="E559" t="s">
        <v>75</v>
      </c>
      <c r="F559" t="s">
        <v>10620</v>
      </c>
      <c r="H559" t="s">
        <v>10619</v>
      </c>
      <c r="I559" t="s">
        <v>8102</v>
      </c>
      <c r="J559" t="s">
        <v>6717</v>
      </c>
      <c r="K559" t="s">
        <v>13</v>
      </c>
      <c r="L559" t="s">
        <v>75</v>
      </c>
      <c r="M559" t="s">
        <v>10621</v>
      </c>
    </row>
    <row r="560" spans="1:20">
      <c r="A560" t="s">
        <v>10619</v>
      </c>
      <c r="B560" t="s">
        <v>4749</v>
      </c>
      <c r="C560" t="s">
        <v>3039</v>
      </c>
      <c r="D560" t="s">
        <v>13</v>
      </c>
      <c r="E560" t="s">
        <v>75</v>
      </c>
      <c r="F560" t="s">
        <v>10620</v>
      </c>
      <c r="H560" t="s">
        <v>10619</v>
      </c>
      <c r="I560" t="s">
        <v>8103</v>
      </c>
      <c r="J560" t="s">
        <v>6719</v>
      </c>
      <c r="K560" t="s">
        <v>13</v>
      </c>
      <c r="L560" t="s">
        <v>75</v>
      </c>
      <c r="M560" t="s">
        <v>10621</v>
      </c>
    </row>
    <row r="561" spans="1:13">
      <c r="A561" t="s">
        <v>10619</v>
      </c>
      <c r="B561" t="s">
        <v>4750</v>
      </c>
      <c r="C561" t="s">
        <v>3041</v>
      </c>
      <c r="D561" t="s">
        <v>13</v>
      </c>
      <c r="E561" t="s">
        <v>75</v>
      </c>
      <c r="F561" t="s">
        <v>10620</v>
      </c>
      <c r="H561" t="s">
        <v>10619</v>
      </c>
      <c r="I561" t="s">
        <v>8104</v>
      </c>
      <c r="J561" t="s">
        <v>6721</v>
      </c>
      <c r="K561" t="s">
        <v>13</v>
      </c>
      <c r="L561" t="s">
        <v>75</v>
      </c>
      <c r="M561" t="s">
        <v>10621</v>
      </c>
    </row>
    <row r="562" spans="1:13">
      <c r="A562" t="s">
        <v>10619</v>
      </c>
      <c r="B562" t="s">
        <v>4751</v>
      </c>
      <c r="C562" t="s">
        <v>3043</v>
      </c>
      <c r="D562" t="s">
        <v>13</v>
      </c>
      <c r="E562" t="s">
        <v>75</v>
      </c>
      <c r="F562" t="s">
        <v>10620</v>
      </c>
      <c r="H562" t="s">
        <v>10619</v>
      </c>
      <c r="I562" t="s">
        <v>8105</v>
      </c>
      <c r="J562" t="s">
        <v>6723</v>
      </c>
      <c r="K562" t="s">
        <v>13</v>
      </c>
      <c r="L562" t="s">
        <v>75</v>
      </c>
      <c r="M562" t="s">
        <v>10621</v>
      </c>
    </row>
    <row r="563" spans="1:13">
      <c r="A563" t="s">
        <v>10619</v>
      </c>
      <c r="B563" t="s">
        <v>4752</v>
      </c>
      <c r="C563" t="s">
        <v>3045</v>
      </c>
      <c r="D563" t="s">
        <v>13</v>
      </c>
      <c r="E563" t="s">
        <v>75</v>
      </c>
      <c r="F563" t="s">
        <v>10620</v>
      </c>
      <c r="H563" t="s">
        <v>10619</v>
      </c>
      <c r="I563" t="s">
        <v>8106</v>
      </c>
      <c r="J563" t="s">
        <v>6725</v>
      </c>
      <c r="K563" t="s">
        <v>13</v>
      </c>
      <c r="L563" t="s">
        <v>75</v>
      </c>
      <c r="M563" t="s">
        <v>10621</v>
      </c>
    </row>
    <row r="564" spans="1:13">
      <c r="A564" t="s">
        <v>10619</v>
      </c>
      <c r="B564" t="s">
        <v>4753</v>
      </c>
      <c r="C564" t="s">
        <v>3047</v>
      </c>
      <c r="D564" t="s">
        <v>13</v>
      </c>
      <c r="E564" t="s">
        <v>75</v>
      </c>
      <c r="F564" t="s">
        <v>10620</v>
      </c>
      <c r="H564" t="s">
        <v>10619</v>
      </c>
      <c r="I564" t="s">
        <v>8107</v>
      </c>
      <c r="J564" t="s">
        <v>6725</v>
      </c>
      <c r="K564" t="s">
        <v>13</v>
      </c>
      <c r="L564" t="s">
        <v>75</v>
      </c>
      <c r="M564" t="s">
        <v>10621</v>
      </c>
    </row>
    <row r="565" spans="1:13">
      <c r="A565" t="s">
        <v>10619</v>
      </c>
      <c r="B565" t="s">
        <v>4754</v>
      </c>
      <c r="C565" t="s">
        <v>3049</v>
      </c>
      <c r="D565" t="s">
        <v>13</v>
      </c>
      <c r="E565" t="s">
        <v>75</v>
      </c>
      <c r="F565" t="s">
        <v>10620</v>
      </c>
      <c r="H565" t="s">
        <v>10619</v>
      </c>
      <c r="I565" t="s">
        <v>8108</v>
      </c>
      <c r="J565" t="s">
        <v>6728</v>
      </c>
      <c r="K565" t="s">
        <v>13</v>
      </c>
      <c r="L565" t="s">
        <v>75</v>
      </c>
      <c r="M565" t="s">
        <v>10621</v>
      </c>
    </row>
    <row r="566" spans="1:13">
      <c r="A566" t="s">
        <v>10619</v>
      </c>
      <c r="B566" t="s">
        <v>4755</v>
      </c>
      <c r="C566" t="s">
        <v>3051</v>
      </c>
      <c r="D566" t="s">
        <v>13</v>
      </c>
      <c r="E566" t="s">
        <v>75</v>
      </c>
      <c r="F566" t="s">
        <v>10620</v>
      </c>
      <c r="H566" t="s">
        <v>10619</v>
      </c>
      <c r="I566" t="s">
        <v>8109</v>
      </c>
      <c r="J566" t="s">
        <v>6730</v>
      </c>
      <c r="K566" t="s">
        <v>13</v>
      </c>
      <c r="L566" t="s">
        <v>75</v>
      </c>
      <c r="M566" t="s">
        <v>10621</v>
      </c>
    </row>
    <row r="567" spans="1:13">
      <c r="A567" t="s">
        <v>10619</v>
      </c>
      <c r="B567" t="s">
        <v>4756</v>
      </c>
      <c r="C567" t="s">
        <v>3053</v>
      </c>
      <c r="D567" t="s">
        <v>13</v>
      </c>
      <c r="E567" t="s">
        <v>75</v>
      </c>
      <c r="F567" t="s">
        <v>10620</v>
      </c>
      <c r="H567" t="s">
        <v>10619</v>
      </c>
      <c r="I567" t="s">
        <v>8110</v>
      </c>
      <c r="J567" t="s">
        <v>6732</v>
      </c>
      <c r="K567" t="s">
        <v>13</v>
      </c>
      <c r="L567" t="s">
        <v>75</v>
      </c>
      <c r="M567" t="s">
        <v>10621</v>
      </c>
    </row>
    <row r="568" spans="1:13">
      <c r="A568" t="s">
        <v>10619</v>
      </c>
      <c r="B568" t="s">
        <v>4757</v>
      </c>
      <c r="C568" t="s">
        <v>3055</v>
      </c>
      <c r="D568" t="s">
        <v>13</v>
      </c>
      <c r="E568" t="s">
        <v>75</v>
      </c>
      <c r="F568" t="s">
        <v>10620</v>
      </c>
      <c r="H568" t="s">
        <v>10619</v>
      </c>
      <c r="I568" t="s">
        <v>8111</v>
      </c>
      <c r="J568" t="s">
        <v>6725</v>
      </c>
      <c r="K568" t="s">
        <v>13</v>
      </c>
      <c r="L568" t="s">
        <v>75</v>
      </c>
      <c r="M568" t="s">
        <v>10621</v>
      </c>
    </row>
    <row r="569" spans="1:13">
      <c r="A569" t="s">
        <v>10619</v>
      </c>
      <c r="B569" t="s">
        <v>4758</v>
      </c>
      <c r="C569" t="s">
        <v>3057</v>
      </c>
      <c r="D569" t="s">
        <v>13</v>
      </c>
      <c r="E569" t="s">
        <v>75</v>
      </c>
      <c r="F569" t="s">
        <v>10620</v>
      </c>
      <c r="H569" t="s">
        <v>10619</v>
      </c>
      <c r="I569" t="s">
        <v>8112</v>
      </c>
      <c r="J569" t="s">
        <v>6732</v>
      </c>
      <c r="K569" t="s">
        <v>13</v>
      </c>
      <c r="L569" t="s">
        <v>75</v>
      </c>
      <c r="M569" t="s">
        <v>10621</v>
      </c>
    </row>
    <row r="570" spans="1:13">
      <c r="A570" t="s">
        <v>10619</v>
      </c>
      <c r="B570" t="s">
        <v>4759</v>
      </c>
      <c r="C570" t="s">
        <v>3059</v>
      </c>
      <c r="D570" t="s">
        <v>13</v>
      </c>
      <c r="E570" t="s">
        <v>75</v>
      </c>
      <c r="F570" t="s">
        <v>10623</v>
      </c>
      <c r="H570" t="s">
        <v>10619</v>
      </c>
      <c r="I570" t="s">
        <v>8113</v>
      </c>
      <c r="J570" t="s">
        <v>6736</v>
      </c>
      <c r="K570" t="s">
        <v>13</v>
      </c>
      <c r="L570" t="s">
        <v>75</v>
      </c>
      <c r="M570" t="s">
        <v>10620</v>
      </c>
    </row>
    <row r="571" spans="1:13">
      <c r="A571" t="s">
        <v>10619</v>
      </c>
      <c r="B571" t="s">
        <v>4760</v>
      </c>
      <c r="C571" t="s">
        <v>3061</v>
      </c>
      <c r="D571" t="s">
        <v>13</v>
      </c>
      <c r="E571" t="s">
        <v>75</v>
      </c>
      <c r="F571" t="s">
        <v>10623</v>
      </c>
      <c r="H571" t="s">
        <v>10619</v>
      </c>
      <c r="I571" t="s">
        <v>8114</v>
      </c>
      <c r="J571" t="s">
        <v>6738</v>
      </c>
      <c r="K571" t="s">
        <v>13</v>
      </c>
      <c r="L571" t="s">
        <v>75</v>
      </c>
      <c r="M571" t="s">
        <v>10620</v>
      </c>
    </row>
    <row r="572" spans="1:13">
      <c r="A572" t="s">
        <v>10619</v>
      </c>
      <c r="B572" t="s">
        <v>4761</v>
      </c>
      <c r="C572" t="s">
        <v>3063</v>
      </c>
      <c r="D572" t="s">
        <v>13</v>
      </c>
      <c r="E572" t="s">
        <v>75</v>
      </c>
      <c r="F572" t="s">
        <v>10620</v>
      </c>
      <c r="H572" t="s">
        <v>10619</v>
      </c>
      <c r="I572" t="s">
        <v>8115</v>
      </c>
      <c r="J572" t="s">
        <v>6740</v>
      </c>
      <c r="K572" t="s">
        <v>13</v>
      </c>
      <c r="L572" t="s">
        <v>75</v>
      </c>
      <c r="M572" t="s">
        <v>10620</v>
      </c>
    </row>
    <row r="573" spans="1:13">
      <c r="A573" t="s">
        <v>10619</v>
      </c>
      <c r="B573" t="s">
        <v>4762</v>
      </c>
      <c r="C573" t="s">
        <v>3065</v>
      </c>
      <c r="D573" t="s">
        <v>13</v>
      </c>
      <c r="E573" t="s">
        <v>75</v>
      </c>
      <c r="F573" t="s">
        <v>10620</v>
      </c>
      <c r="H573" t="s">
        <v>10619</v>
      </c>
      <c r="I573" t="s">
        <v>8116</v>
      </c>
      <c r="J573" t="s">
        <v>6742</v>
      </c>
      <c r="K573" t="s">
        <v>13</v>
      </c>
      <c r="L573" t="s">
        <v>75</v>
      </c>
      <c r="M573" t="s">
        <v>10620</v>
      </c>
    </row>
    <row r="574" spans="1:13">
      <c r="A574" t="s">
        <v>10619</v>
      </c>
      <c r="B574" t="s">
        <v>4763</v>
      </c>
      <c r="C574" t="s">
        <v>3067</v>
      </c>
      <c r="D574" t="s">
        <v>13</v>
      </c>
      <c r="E574" t="s">
        <v>75</v>
      </c>
      <c r="F574" t="s">
        <v>10620</v>
      </c>
      <c r="H574" t="s">
        <v>10619</v>
      </c>
      <c r="I574" t="s">
        <v>8117</v>
      </c>
      <c r="J574" t="s">
        <v>6744</v>
      </c>
      <c r="K574" t="s">
        <v>13</v>
      </c>
      <c r="L574" t="s">
        <v>75</v>
      </c>
      <c r="M574" t="s">
        <v>10620</v>
      </c>
    </row>
    <row r="575" spans="1:13">
      <c r="A575" t="s">
        <v>10619</v>
      </c>
      <c r="B575" t="s">
        <v>4764</v>
      </c>
      <c r="C575" t="s">
        <v>3069</v>
      </c>
      <c r="D575" t="s">
        <v>13</v>
      </c>
      <c r="E575" t="s">
        <v>75</v>
      </c>
      <c r="F575" t="s">
        <v>10620</v>
      </c>
      <c r="H575" t="s">
        <v>10619</v>
      </c>
      <c r="I575" t="s">
        <v>8118</v>
      </c>
      <c r="J575" t="s">
        <v>6746</v>
      </c>
      <c r="K575" t="s">
        <v>13</v>
      </c>
      <c r="L575" t="s">
        <v>75</v>
      </c>
      <c r="M575" t="s">
        <v>10620</v>
      </c>
    </row>
    <row r="576" spans="1:13">
      <c r="A576" t="s">
        <v>10619</v>
      </c>
      <c r="B576" t="s">
        <v>4765</v>
      </c>
      <c r="C576" t="s">
        <v>3071</v>
      </c>
      <c r="D576" t="s">
        <v>13</v>
      </c>
      <c r="E576" t="s">
        <v>75</v>
      </c>
      <c r="F576" t="s">
        <v>10620</v>
      </c>
      <c r="H576" t="s">
        <v>10619</v>
      </c>
      <c r="I576" t="s">
        <v>8119</v>
      </c>
      <c r="J576" t="s">
        <v>6748</v>
      </c>
      <c r="K576" t="s">
        <v>13</v>
      </c>
      <c r="L576" t="s">
        <v>75</v>
      </c>
      <c r="M576" t="s">
        <v>10622</v>
      </c>
    </row>
    <row r="577" spans="1:13">
      <c r="A577" t="s">
        <v>10619</v>
      </c>
      <c r="B577" t="s">
        <v>4766</v>
      </c>
      <c r="C577" t="s">
        <v>3073</v>
      </c>
      <c r="D577" t="s">
        <v>13</v>
      </c>
      <c r="E577" t="s">
        <v>75</v>
      </c>
      <c r="F577" t="s">
        <v>10620</v>
      </c>
      <c r="H577" t="s">
        <v>10619</v>
      </c>
      <c r="I577" t="s">
        <v>8120</v>
      </c>
      <c r="J577" t="s">
        <v>6750</v>
      </c>
      <c r="K577" t="s">
        <v>13</v>
      </c>
      <c r="L577" t="s">
        <v>75</v>
      </c>
      <c r="M577" t="s">
        <v>10622</v>
      </c>
    </row>
    <row r="578" spans="1:13">
      <c r="A578" t="s">
        <v>10619</v>
      </c>
      <c r="B578" t="s">
        <v>4767</v>
      </c>
      <c r="C578" t="s">
        <v>3075</v>
      </c>
      <c r="D578" t="s">
        <v>13</v>
      </c>
      <c r="E578" t="s">
        <v>75</v>
      </c>
      <c r="F578" t="s">
        <v>10620</v>
      </c>
      <c r="H578" t="s">
        <v>10619</v>
      </c>
      <c r="I578" t="s">
        <v>8121</v>
      </c>
      <c r="J578" t="s">
        <v>6752</v>
      </c>
      <c r="K578" t="s">
        <v>13</v>
      </c>
      <c r="L578" t="s">
        <v>75</v>
      </c>
      <c r="M578" t="s">
        <v>10622</v>
      </c>
    </row>
    <row r="579" spans="1:13">
      <c r="A579" t="s">
        <v>10619</v>
      </c>
      <c r="B579" t="s">
        <v>4768</v>
      </c>
      <c r="C579" t="s">
        <v>3077</v>
      </c>
      <c r="D579" t="s">
        <v>13</v>
      </c>
      <c r="E579" t="s">
        <v>75</v>
      </c>
      <c r="F579" t="s">
        <v>10623</v>
      </c>
      <c r="H579" t="s">
        <v>10619</v>
      </c>
      <c r="I579" t="s">
        <v>8122</v>
      </c>
      <c r="J579" t="s">
        <v>6754</v>
      </c>
      <c r="K579" t="s">
        <v>13</v>
      </c>
      <c r="L579" t="s">
        <v>75</v>
      </c>
      <c r="M579" t="s">
        <v>10620</v>
      </c>
    </row>
    <row r="580" spans="1:13">
      <c r="A580" t="s">
        <v>10619</v>
      </c>
      <c r="B580" t="s">
        <v>4769</v>
      </c>
      <c r="C580" t="s">
        <v>3079</v>
      </c>
      <c r="D580" t="s">
        <v>13</v>
      </c>
      <c r="E580" t="s">
        <v>75</v>
      </c>
      <c r="F580" t="s">
        <v>10623</v>
      </c>
      <c r="H580" t="s">
        <v>10619</v>
      </c>
      <c r="I580" t="s">
        <v>8123</v>
      </c>
      <c r="J580" t="s">
        <v>6756</v>
      </c>
      <c r="K580" t="s">
        <v>13</v>
      </c>
      <c r="L580" t="s">
        <v>75</v>
      </c>
      <c r="M580" t="s">
        <v>10620</v>
      </c>
    </row>
    <row r="581" spans="1:13">
      <c r="A581" t="s">
        <v>10619</v>
      </c>
      <c r="B581" t="s">
        <v>4770</v>
      </c>
      <c r="C581" t="s">
        <v>3081</v>
      </c>
      <c r="D581" t="s">
        <v>13</v>
      </c>
      <c r="E581" t="s">
        <v>75</v>
      </c>
      <c r="F581" t="s">
        <v>10621</v>
      </c>
      <c r="H581" t="s">
        <v>10619</v>
      </c>
      <c r="I581" t="s">
        <v>8124</v>
      </c>
      <c r="J581" t="s">
        <v>6758</v>
      </c>
      <c r="K581" t="s">
        <v>13</v>
      </c>
      <c r="L581" t="s">
        <v>75</v>
      </c>
      <c r="M581" t="s">
        <v>10620</v>
      </c>
    </row>
    <row r="582" spans="1:13">
      <c r="A582" t="s">
        <v>10619</v>
      </c>
      <c r="B582" t="s">
        <v>4771</v>
      </c>
      <c r="C582" t="s">
        <v>3083</v>
      </c>
      <c r="D582" t="s">
        <v>13</v>
      </c>
      <c r="E582" t="s">
        <v>75</v>
      </c>
      <c r="F582" t="s">
        <v>10621</v>
      </c>
      <c r="H582" t="s">
        <v>10619</v>
      </c>
      <c r="I582" t="s">
        <v>8125</v>
      </c>
      <c r="J582" t="s">
        <v>6760</v>
      </c>
      <c r="K582" t="s">
        <v>13</v>
      </c>
      <c r="L582" t="s">
        <v>75</v>
      </c>
      <c r="M582" t="s">
        <v>10620</v>
      </c>
    </row>
    <row r="583" spans="1:13">
      <c r="A583" t="s">
        <v>10619</v>
      </c>
      <c r="B583" t="s">
        <v>4772</v>
      </c>
      <c r="C583" t="s">
        <v>3085</v>
      </c>
      <c r="D583" t="s">
        <v>13</v>
      </c>
      <c r="E583" t="s">
        <v>75</v>
      </c>
      <c r="F583" t="s">
        <v>10621</v>
      </c>
      <c r="H583" t="s">
        <v>10619</v>
      </c>
      <c r="I583" t="s">
        <v>8126</v>
      </c>
      <c r="J583" t="s">
        <v>6762</v>
      </c>
      <c r="K583" t="s">
        <v>13</v>
      </c>
      <c r="L583" t="s">
        <v>75</v>
      </c>
      <c r="M583" t="s">
        <v>10620</v>
      </c>
    </row>
    <row r="584" spans="1:13">
      <c r="A584" t="s">
        <v>10619</v>
      </c>
      <c r="B584" t="s">
        <v>4773</v>
      </c>
      <c r="C584" t="s">
        <v>3087</v>
      </c>
      <c r="D584" t="s">
        <v>13</v>
      </c>
      <c r="E584" t="s">
        <v>75</v>
      </c>
      <c r="F584" t="s">
        <v>10621</v>
      </c>
      <c r="H584" t="s">
        <v>10619</v>
      </c>
      <c r="I584" t="s">
        <v>8127</v>
      </c>
      <c r="J584" t="s">
        <v>6764</v>
      </c>
      <c r="K584" t="s">
        <v>13</v>
      </c>
      <c r="L584" t="s">
        <v>75</v>
      </c>
      <c r="M584" t="s">
        <v>10620</v>
      </c>
    </row>
    <row r="585" spans="1:13">
      <c r="A585" t="s">
        <v>10619</v>
      </c>
      <c r="B585" t="s">
        <v>4774</v>
      </c>
      <c r="C585" t="s">
        <v>3089</v>
      </c>
      <c r="D585" t="s">
        <v>13</v>
      </c>
      <c r="E585" t="s">
        <v>75</v>
      </c>
      <c r="F585" t="s">
        <v>10630</v>
      </c>
      <c r="H585" t="s">
        <v>10619</v>
      </c>
      <c r="I585" t="s">
        <v>8128</v>
      </c>
      <c r="J585" t="s">
        <v>6766</v>
      </c>
      <c r="K585" t="s">
        <v>13</v>
      </c>
      <c r="L585" t="s">
        <v>75</v>
      </c>
      <c r="M585" t="s">
        <v>10620</v>
      </c>
    </row>
    <row r="586" spans="1:13">
      <c r="A586" t="s">
        <v>10619</v>
      </c>
      <c r="B586" t="s">
        <v>4775</v>
      </c>
      <c r="C586" t="s">
        <v>3091</v>
      </c>
      <c r="D586" t="s">
        <v>13</v>
      </c>
      <c r="E586" t="s">
        <v>75</v>
      </c>
      <c r="F586" t="s">
        <v>10630</v>
      </c>
      <c r="H586" t="s">
        <v>10619</v>
      </c>
      <c r="I586" t="s">
        <v>8129</v>
      </c>
      <c r="J586" t="s">
        <v>6768</v>
      </c>
      <c r="K586" t="s">
        <v>13</v>
      </c>
      <c r="L586" t="s">
        <v>75</v>
      </c>
      <c r="M586" t="s">
        <v>10620</v>
      </c>
    </row>
    <row r="587" spans="1:13">
      <c r="A587" t="s">
        <v>10619</v>
      </c>
      <c r="B587" t="s">
        <v>4776</v>
      </c>
      <c r="C587" t="s">
        <v>3093</v>
      </c>
      <c r="D587" t="s">
        <v>13</v>
      </c>
      <c r="E587" t="s">
        <v>75</v>
      </c>
      <c r="F587" t="s">
        <v>10630</v>
      </c>
      <c r="H587" t="s">
        <v>10619</v>
      </c>
      <c r="I587" t="s">
        <v>8130</v>
      </c>
      <c r="J587" t="s">
        <v>6764</v>
      </c>
      <c r="K587" t="s">
        <v>13</v>
      </c>
      <c r="L587" t="s">
        <v>75</v>
      </c>
      <c r="M587" t="s">
        <v>10620</v>
      </c>
    </row>
    <row r="588" spans="1:13">
      <c r="A588" t="s">
        <v>10619</v>
      </c>
      <c r="B588" t="s">
        <v>4777</v>
      </c>
      <c r="C588" t="s">
        <v>3095</v>
      </c>
      <c r="D588" t="s">
        <v>13</v>
      </c>
      <c r="E588" t="s">
        <v>75</v>
      </c>
      <c r="F588" t="s">
        <v>10630</v>
      </c>
      <c r="H588" t="s">
        <v>10619</v>
      </c>
      <c r="I588" t="s">
        <v>8131</v>
      </c>
      <c r="J588" t="s">
        <v>6771</v>
      </c>
      <c r="K588" t="s">
        <v>13</v>
      </c>
      <c r="L588" t="s">
        <v>75</v>
      </c>
      <c r="M588" t="s">
        <v>10620</v>
      </c>
    </row>
    <row r="589" spans="1:13">
      <c r="A589" t="s">
        <v>10619</v>
      </c>
      <c r="B589" t="s">
        <v>4778</v>
      </c>
      <c r="C589" t="s">
        <v>3097</v>
      </c>
      <c r="D589" t="s">
        <v>13</v>
      </c>
      <c r="E589" t="s">
        <v>75</v>
      </c>
      <c r="F589" t="s">
        <v>10630</v>
      </c>
      <c r="H589" t="s">
        <v>10619</v>
      </c>
      <c r="I589" t="s">
        <v>8132</v>
      </c>
      <c r="J589" t="s">
        <v>6773</v>
      </c>
      <c r="K589" t="s">
        <v>13</v>
      </c>
      <c r="L589" t="s">
        <v>75</v>
      </c>
      <c r="M589" t="s">
        <v>10620</v>
      </c>
    </row>
    <row r="590" spans="1:13">
      <c r="A590" t="s">
        <v>10619</v>
      </c>
      <c r="B590" t="s">
        <v>4779</v>
      </c>
      <c r="C590" t="s">
        <v>3099</v>
      </c>
      <c r="D590" t="s">
        <v>13</v>
      </c>
      <c r="E590" t="s">
        <v>75</v>
      </c>
      <c r="F590" t="s">
        <v>10630</v>
      </c>
      <c r="H590" t="s">
        <v>10619</v>
      </c>
      <c r="I590" t="s">
        <v>8133</v>
      </c>
      <c r="J590" t="s">
        <v>6775</v>
      </c>
      <c r="K590" t="s">
        <v>13</v>
      </c>
      <c r="L590" t="s">
        <v>75</v>
      </c>
      <c r="M590" t="s">
        <v>10620</v>
      </c>
    </row>
    <row r="591" spans="1:13">
      <c r="A591" t="s">
        <v>10619</v>
      </c>
      <c r="B591" t="s">
        <v>4780</v>
      </c>
      <c r="C591" t="s">
        <v>3089</v>
      </c>
      <c r="D591" t="s">
        <v>13</v>
      </c>
      <c r="E591" t="s">
        <v>75</v>
      </c>
      <c r="F591" t="s">
        <v>10630</v>
      </c>
      <c r="H591" t="s">
        <v>10619</v>
      </c>
      <c r="I591" t="s">
        <v>8134</v>
      </c>
      <c r="J591" t="s">
        <v>6777</v>
      </c>
      <c r="K591" t="s">
        <v>13</v>
      </c>
      <c r="L591" t="s">
        <v>75</v>
      </c>
      <c r="M591" t="s">
        <v>10620</v>
      </c>
    </row>
    <row r="592" spans="1:13">
      <c r="A592" t="s">
        <v>10619</v>
      </c>
      <c r="B592" t="s">
        <v>4781</v>
      </c>
      <c r="C592" t="s">
        <v>3102</v>
      </c>
      <c r="D592" t="s">
        <v>13</v>
      </c>
      <c r="E592" t="s">
        <v>75</v>
      </c>
      <c r="F592" t="s">
        <v>10630</v>
      </c>
      <c r="H592" t="s">
        <v>10619</v>
      </c>
      <c r="I592" t="s">
        <v>8135</v>
      </c>
      <c r="J592" t="s">
        <v>6779</v>
      </c>
      <c r="K592" t="s">
        <v>13</v>
      </c>
      <c r="L592" t="s">
        <v>75</v>
      </c>
      <c r="M592" t="s">
        <v>10621</v>
      </c>
    </row>
    <row r="593" spans="1:13">
      <c r="A593" t="s">
        <v>10619</v>
      </c>
      <c r="B593" t="s">
        <v>4782</v>
      </c>
      <c r="C593" t="s">
        <v>3104</v>
      </c>
      <c r="D593" t="s">
        <v>13</v>
      </c>
      <c r="E593" t="s">
        <v>75</v>
      </c>
      <c r="F593" t="s">
        <v>10630</v>
      </c>
      <c r="H593" t="s">
        <v>10619</v>
      </c>
      <c r="I593" t="s">
        <v>8136</v>
      </c>
      <c r="J593" t="s">
        <v>6781</v>
      </c>
      <c r="K593" t="s">
        <v>13</v>
      </c>
      <c r="L593" t="s">
        <v>75</v>
      </c>
      <c r="M593" t="s">
        <v>10621</v>
      </c>
    </row>
    <row r="594" spans="1:13">
      <c r="A594" t="s">
        <v>10619</v>
      </c>
      <c r="B594" t="s">
        <v>4783</v>
      </c>
      <c r="C594" t="s">
        <v>3106</v>
      </c>
      <c r="D594" t="s">
        <v>13</v>
      </c>
      <c r="E594" t="s">
        <v>75</v>
      </c>
      <c r="F594" t="s">
        <v>10630</v>
      </c>
      <c r="H594" t="s">
        <v>10619</v>
      </c>
      <c r="I594" t="s">
        <v>8137</v>
      </c>
      <c r="J594" t="s">
        <v>6783</v>
      </c>
      <c r="K594" t="s">
        <v>13</v>
      </c>
      <c r="L594" t="s">
        <v>75</v>
      </c>
      <c r="M594" t="s">
        <v>10621</v>
      </c>
    </row>
    <row r="595" spans="1:13">
      <c r="A595" t="s">
        <v>10619</v>
      </c>
      <c r="B595" t="s">
        <v>4784</v>
      </c>
      <c r="C595" t="s">
        <v>3108</v>
      </c>
      <c r="D595" t="s">
        <v>13</v>
      </c>
      <c r="E595" t="s">
        <v>75</v>
      </c>
      <c r="F595" t="s">
        <v>10630</v>
      </c>
      <c r="H595" t="s">
        <v>10619</v>
      </c>
      <c r="I595" t="s">
        <v>8138</v>
      </c>
      <c r="J595" t="s">
        <v>6785</v>
      </c>
      <c r="K595" t="s">
        <v>13</v>
      </c>
      <c r="L595" t="s">
        <v>75</v>
      </c>
      <c r="M595" t="s">
        <v>10621</v>
      </c>
    </row>
    <row r="596" spans="1:13">
      <c r="A596" t="s">
        <v>10619</v>
      </c>
      <c r="B596" t="s">
        <v>4785</v>
      </c>
      <c r="C596" t="s">
        <v>3110</v>
      </c>
      <c r="D596" t="s">
        <v>13</v>
      </c>
      <c r="E596" t="s">
        <v>75</v>
      </c>
      <c r="F596" t="s">
        <v>10630</v>
      </c>
      <c r="H596" t="s">
        <v>10619</v>
      </c>
      <c r="I596" t="s">
        <v>8139</v>
      </c>
      <c r="J596" t="s">
        <v>6787</v>
      </c>
      <c r="K596" t="s">
        <v>13</v>
      </c>
      <c r="L596" t="s">
        <v>75</v>
      </c>
      <c r="M596" t="s">
        <v>10621</v>
      </c>
    </row>
    <row r="597" spans="1:13">
      <c r="A597" t="s">
        <v>10619</v>
      </c>
      <c r="B597" t="s">
        <v>4786</v>
      </c>
      <c r="C597" t="s">
        <v>3099</v>
      </c>
      <c r="D597" t="s">
        <v>13</v>
      </c>
      <c r="E597" t="s">
        <v>75</v>
      </c>
      <c r="F597" t="s">
        <v>10630</v>
      </c>
      <c r="H597" t="s">
        <v>10619</v>
      </c>
      <c r="I597" t="s">
        <v>8140</v>
      </c>
      <c r="J597" t="s">
        <v>6789</v>
      </c>
      <c r="K597" t="s">
        <v>13</v>
      </c>
      <c r="L597" t="s">
        <v>75</v>
      </c>
      <c r="M597" t="s">
        <v>10621</v>
      </c>
    </row>
    <row r="598" spans="1:13">
      <c r="A598" t="s">
        <v>10619</v>
      </c>
      <c r="B598" t="s">
        <v>4787</v>
      </c>
      <c r="C598" t="s">
        <v>3106</v>
      </c>
      <c r="D598" t="s">
        <v>13</v>
      </c>
      <c r="E598" t="s">
        <v>75</v>
      </c>
      <c r="F598" t="s">
        <v>10630</v>
      </c>
      <c r="H598" t="s">
        <v>10619</v>
      </c>
      <c r="I598" t="s">
        <v>8141</v>
      </c>
      <c r="J598" t="s">
        <v>6791</v>
      </c>
      <c r="K598" t="s">
        <v>13</v>
      </c>
      <c r="L598" t="s">
        <v>75</v>
      </c>
      <c r="M598" t="s">
        <v>10621</v>
      </c>
    </row>
    <row r="599" spans="1:13">
      <c r="A599" t="s">
        <v>10619</v>
      </c>
      <c r="B599" t="s">
        <v>4788</v>
      </c>
      <c r="C599" t="s">
        <v>3114</v>
      </c>
      <c r="D599" t="s">
        <v>13</v>
      </c>
      <c r="E599" t="s">
        <v>75</v>
      </c>
      <c r="F599" t="s">
        <v>10620</v>
      </c>
      <c r="H599" t="s">
        <v>10619</v>
      </c>
      <c r="I599" t="s">
        <v>8142</v>
      </c>
      <c r="J599" t="s">
        <v>6793</v>
      </c>
      <c r="K599" t="s">
        <v>13</v>
      </c>
      <c r="L599" t="s">
        <v>75</v>
      </c>
      <c r="M599" t="s">
        <v>10621</v>
      </c>
    </row>
    <row r="600" spans="1:13">
      <c r="A600" t="s">
        <v>10619</v>
      </c>
      <c r="B600" t="s">
        <v>4789</v>
      </c>
      <c r="C600" t="s">
        <v>3116</v>
      </c>
      <c r="D600" t="s">
        <v>13</v>
      </c>
      <c r="E600" t="s">
        <v>75</v>
      </c>
      <c r="F600" t="s">
        <v>10620</v>
      </c>
      <c r="H600" t="s">
        <v>10619</v>
      </c>
      <c r="I600" t="s">
        <v>8143</v>
      </c>
      <c r="J600" t="s">
        <v>6795</v>
      </c>
      <c r="K600" t="s">
        <v>13</v>
      </c>
      <c r="L600" t="s">
        <v>75</v>
      </c>
      <c r="M600" t="s">
        <v>10621</v>
      </c>
    </row>
    <row r="601" spans="1:13">
      <c r="A601" t="s">
        <v>10619</v>
      </c>
      <c r="B601" t="s">
        <v>4790</v>
      </c>
      <c r="C601" t="s">
        <v>3118</v>
      </c>
      <c r="D601" t="s">
        <v>13</v>
      </c>
      <c r="E601" t="s">
        <v>75</v>
      </c>
      <c r="F601" t="s">
        <v>10620</v>
      </c>
      <c r="H601" t="s">
        <v>10619</v>
      </c>
      <c r="I601" t="s">
        <v>8144</v>
      </c>
      <c r="J601" t="s">
        <v>6797</v>
      </c>
      <c r="K601" t="s">
        <v>13</v>
      </c>
      <c r="L601" t="s">
        <v>75</v>
      </c>
      <c r="M601" t="s">
        <v>10621</v>
      </c>
    </row>
    <row r="602" spans="1:13">
      <c r="A602" t="s">
        <v>10619</v>
      </c>
      <c r="B602" t="s">
        <v>4791</v>
      </c>
      <c r="C602" t="s">
        <v>3120</v>
      </c>
      <c r="D602" t="s">
        <v>13</v>
      </c>
      <c r="E602" t="s">
        <v>75</v>
      </c>
      <c r="F602" t="s">
        <v>10620</v>
      </c>
      <c r="H602" t="s">
        <v>10619</v>
      </c>
      <c r="I602" t="s">
        <v>8145</v>
      </c>
      <c r="J602" t="s">
        <v>6797</v>
      </c>
      <c r="K602" t="s">
        <v>13</v>
      </c>
      <c r="L602" t="s">
        <v>75</v>
      </c>
      <c r="M602" t="s">
        <v>10621</v>
      </c>
    </row>
    <row r="603" spans="1:13">
      <c r="A603" t="s">
        <v>10619</v>
      </c>
      <c r="B603" t="s">
        <v>4792</v>
      </c>
      <c r="C603" t="s">
        <v>3122</v>
      </c>
      <c r="D603" t="s">
        <v>13</v>
      </c>
      <c r="E603" t="s">
        <v>75</v>
      </c>
      <c r="F603" t="s">
        <v>10621</v>
      </c>
      <c r="H603" t="s">
        <v>10619</v>
      </c>
      <c r="I603" t="s">
        <v>8146</v>
      </c>
      <c r="J603" t="s">
        <v>6797</v>
      </c>
      <c r="K603" t="s">
        <v>13</v>
      </c>
      <c r="L603" t="s">
        <v>75</v>
      </c>
      <c r="M603" t="s">
        <v>10621</v>
      </c>
    </row>
    <row r="604" spans="1:13">
      <c r="A604" t="s">
        <v>10619</v>
      </c>
      <c r="B604" t="s">
        <v>4793</v>
      </c>
      <c r="C604" t="s">
        <v>3124</v>
      </c>
      <c r="D604" t="s">
        <v>13</v>
      </c>
      <c r="E604" t="s">
        <v>75</v>
      </c>
      <c r="F604" t="s">
        <v>10621</v>
      </c>
      <c r="H604" t="s">
        <v>10619</v>
      </c>
      <c r="I604" t="s">
        <v>8147</v>
      </c>
      <c r="J604" t="s">
        <v>6801</v>
      </c>
      <c r="K604" t="s">
        <v>13</v>
      </c>
      <c r="L604" t="s">
        <v>75</v>
      </c>
      <c r="M604" t="s">
        <v>10621</v>
      </c>
    </row>
    <row r="605" spans="1:13">
      <c r="A605" t="s">
        <v>10619</v>
      </c>
      <c r="B605" t="s">
        <v>4794</v>
      </c>
      <c r="C605" t="s">
        <v>3126</v>
      </c>
      <c r="D605" t="s">
        <v>13</v>
      </c>
      <c r="E605" t="s">
        <v>75</v>
      </c>
      <c r="F605" t="s">
        <v>10621</v>
      </c>
      <c r="H605" t="s">
        <v>10619</v>
      </c>
      <c r="I605" t="s">
        <v>8148</v>
      </c>
      <c r="J605" t="s">
        <v>6803</v>
      </c>
      <c r="K605" t="s">
        <v>13</v>
      </c>
      <c r="L605" t="s">
        <v>75</v>
      </c>
      <c r="M605" t="s">
        <v>10621</v>
      </c>
    </row>
    <row r="606" spans="1:13">
      <c r="A606" t="s">
        <v>10619</v>
      </c>
      <c r="B606" t="s">
        <v>4795</v>
      </c>
      <c r="C606" t="s">
        <v>3128</v>
      </c>
      <c r="D606" t="s">
        <v>13</v>
      </c>
      <c r="E606" t="s">
        <v>75</v>
      </c>
      <c r="F606" t="s">
        <v>10632</v>
      </c>
      <c r="H606" t="s">
        <v>10619</v>
      </c>
      <c r="I606" t="s">
        <v>8149</v>
      </c>
      <c r="J606" t="s">
        <v>6803</v>
      </c>
      <c r="K606" t="s">
        <v>13</v>
      </c>
      <c r="L606" t="s">
        <v>75</v>
      </c>
      <c r="M606" t="s">
        <v>10621</v>
      </c>
    </row>
    <row r="607" spans="1:13">
      <c r="A607" t="s">
        <v>10619</v>
      </c>
      <c r="B607" t="s">
        <v>4796</v>
      </c>
      <c r="C607" t="s">
        <v>3130</v>
      </c>
      <c r="D607" t="s">
        <v>13</v>
      </c>
      <c r="E607" t="s">
        <v>75</v>
      </c>
      <c r="F607" t="s">
        <v>10632</v>
      </c>
      <c r="H607" t="s">
        <v>10619</v>
      </c>
      <c r="I607" t="s">
        <v>8150</v>
      </c>
      <c r="J607" t="s">
        <v>6806</v>
      </c>
      <c r="K607" t="s">
        <v>13</v>
      </c>
      <c r="L607" t="s">
        <v>75</v>
      </c>
      <c r="M607" t="s">
        <v>10621</v>
      </c>
    </row>
    <row r="608" spans="1:13">
      <c r="A608" t="s">
        <v>10619</v>
      </c>
      <c r="B608" t="s">
        <v>4797</v>
      </c>
      <c r="C608" t="s">
        <v>3132</v>
      </c>
      <c r="D608" t="s">
        <v>13</v>
      </c>
      <c r="E608" t="s">
        <v>75</v>
      </c>
      <c r="F608" t="s">
        <v>10632</v>
      </c>
      <c r="H608" t="s">
        <v>10619</v>
      </c>
      <c r="I608" t="s">
        <v>8151</v>
      </c>
      <c r="J608" t="s">
        <v>6808</v>
      </c>
      <c r="K608" t="s">
        <v>13</v>
      </c>
      <c r="L608" t="s">
        <v>75</v>
      </c>
      <c r="M608" t="s">
        <v>10621</v>
      </c>
    </row>
    <row r="609" spans="1:13">
      <c r="A609" t="s">
        <v>10619</v>
      </c>
      <c r="B609" t="s">
        <v>4798</v>
      </c>
      <c r="C609" t="s">
        <v>3134</v>
      </c>
      <c r="D609" t="s">
        <v>13</v>
      </c>
      <c r="E609" t="s">
        <v>75</v>
      </c>
      <c r="F609" t="s">
        <v>10632</v>
      </c>
      <c r="H609" t="s">
        <v>10619</v>
      </c>
      <c r="I609" t="s">
        <v>8152</v>
      </c>
      <c r="J609" t="s">
        <v>6810</v>
      </c>
      <c r="K609" t="s">
        <v>13</v>
      </c>
      <c r="L609" t="s">
        <v>75</v>
      </c>
      <c r="M609" t="s">
        <v>10621</v>
      </c>
    </row>
    <row r="610" spans="1:13">
      <c r="A610" t="s">
        <v>10619</v>
      </c>
      <c r="B610" t="s">
        <v>4799</v>
      </c>
      <c r="C610" t="s">
        <v>3136</v>
      </c>
      <c r="D610" t="s">
        <v>13</v>
      </c>
      <c r="E610" t="s">
        <v>75</v>
      </c>
      <c r="F610" t="s">
        <v>10625</v>
      </c>
      <c r="H610" t="s">
        <v>10619</v>
      </c>
      <c r="I610" t="s">
        <v>8153</v>
      </c>
      <c r="J610" t="s">
        <v>6812</v>
      </c>
      <c r="K610" t="s">
        <v>13</v>
      </c>
      <c r="L610" t="s">
        <v>75</v>
      </c>
      <c r="M610" t="s">
        <v>10621</v>
      </c>
    </row>
    <row r="611" spans="1:13">
      <c r="A611" t="s">
        <v>10619</v>
      </c>
      <c r="B611" t="s">
        <v>4800</v>
      </c>
      <c r="C611" t="s">
        <v>3138</v>
      </c>
      <c r="D611" t="s">
        <v>13</v>
      </c>
      <c r="E611" t="s">
        <v>75</v>
      </c>
      <c r="F611" t="s">
        <v>10625</v>
      </c>
      <c r="H611" t="s">
        <v>10619</v>
      </c>
      <c r="I611" t="s">
        <v>8154</v>
      </c>
      <c r="J611" t="s">
        <v>6814</v>
      </c>
      <c r="K611" t="s">
        <v>13</v>
      </c>
      <c r="L611" t="s">
        <v>75</v>
      </c>
      <c r="M611" t="s">
        <v>10621</v>
      </c>
    </row>
    <row r="612" spans="1:13">
      <c r="A612" t="s">
        <v>10619</v>
      </c>
      <c r="B612" t="s">
        <v>4801</v>
      </c>
      <c r="C612" t="s">
        <v>3138</v>
      </c>
      <c r="D612" t="s">
        <v>13</v>
      </c>
      <c r="E612" t="s">
        <v>75</v>
      </c>
      <c r="F612" t="s">
        <v>10625</v>
      </c>
      <c r="H612" t="s">
        <v>10619</v>
      </c>
      <c r="I612" t="s">
        <v>8155</v>
      </c>
      <c r="J612" t="s">
        <v>6816</v>
      </c>
      <c r="K612" t="s">
        <v>13</v>
      </c>
      <c r="L612" t="s">
        <v>75</v>
      </c>
      <c r="M612" t="s">
        <v>10621</v>
      </c>
    </row>
    <row r="613" spans="1:13">
      <c r="A613" t="s">
        <v>10619</v>
      </c>
      <c r="B613" t="s">
        <v>4802</v>
      </c>
      <c r="C613" t="s">
        <v>3138</v>
      </c>
      <c r="D613" t="s">
        <v>13</v>
      </c>
      <c r="E613" t="s">
        <v>75</v>
      </c>
      <c r="F613" t="s">
        <v>10625</v>
      </c>
      <c r="H613" t="s">
        <v>10619</v>
      </c>
      <c r="I613" t="s">
        <v>8156</v>
      </c>
      <c r="J613" t="s">
        <v>6818</v>
      </c>
      <c r="K613" t="s">
        <v>13</v>
      </c>
      <c r="L613" t="s">
        <v>75</v>
      </c>
      <c r="M613" t="s">
        <v>10621</v>
      </c>
    </row>
    <row r="614" spans="1:13">
      <c r="A614" t="s">
        <v>10619</v>
      </c>
      <c r="B614" t="s">
        <v>4803</v>
      </c>
      <c r="C614" t="s">
        <v>3136</v>
      </c>
      <c r="D614" t="s">
        <v>13</v>
      </c>
      <c r="E614" t="s">
        <v>75</v>
      </c>
      <c r="F614" t="s">
        <v>10625</v>
      </c>
      <c r="H614" t="s">
        <v>10619</v>
      </c>
      <c r="I614" t="s">
        <v>8157</v>
      </c>
      <c r="J614" t="s">
        <v>6820</v>
      </c>
      <c r="K614" t="s">
        <v>13</v>
      </c>
      <c r="L614" t="s">
        <v>75</v>
      </c>
      <c r="M614" t="s">
        <v>10621</v>
      </c>
    </row>
    <row r="615" spans="1:13">
      <c r="A615" t="s">
        <v>10619</v>
      </c>
      <c r="B615" t="s">
        <v>4804</v>
      </c>
      <c r="C615" t="s">
        <v>3143</v>
      </c>
      <c r="D615" t="s">
        <v>13</v>
      </c>
      <c r="E615" t="s">
        <v>75</v>
      </c>
      <c r="F615" t="s">
        <v>10625</v>
      </c>
      <c r="H615" t="s">
        <v>10619</v>
      </c>
      <c r="I615" t="s">
        <v>8158</v>
      </c>
      <c r="J615" t="s">
        <v>6820</v>
      </c>
      <c r="K615" t="s">
        <v>13</v>
      </c>
      <c r="L615" t="s">
        <v>75</v>
      </c>
      <c r="M615" t="s">
        <v>10621</v>
      </c>
    </row>
    <row r="616" spans="1:13">
      <c r="A616" t="s">
        <v>10619</v>
      </c>
      <c r="B616" t="s">
        <v>4805</v>
      </c>
      <c r="C616" t="s">
        <v>3145</v>
      </c>
      <c r="D616" t="s">
        <v>13</v>
      </c>
      <c r="E616" t="s">
        <v>75</v>
      </c>
      <c r="F616" t="s">
        <v>10632</v>
      </c>
      <c r="H616" t="s">
        <v>10619</v>
      </c>
      <c r="I616" t="s">
        <v>8159</v>
      </c>
      <c r="J616" t="s">
        <v>6823</v>
      </c>
      <c r="K616" t="s">
        <v>13</v>
      </c>
      <c r="L616" t="s">
        <v>75</v>
      </c>
      <c r="M616" t="s">
        <v>10620</v>
      </c>
    </row>
    <row r="617" spans="1:13">
      <c r="A617" t="s">
        <v>10619</v>
      </c>
      <c r="B617" t="s">
        <v>4806</v>
      </c>
      <c r="C617" t="s">
        <v>3147</v>
      </c>
      <c r="D617" t="s">
        <v>13</v>
      </c>
      <c r="E617" t="s">
        <v>75</v>
      </c>
      <c r="F617" t="s">
        <v>10632</v>
      </c>
      <c r="H617" t="s">
        <v>10619</v>
      </c>
      <c r="I617" t="s">
        <v>8160</v>
      </c>
      <c r="J617" t="s">
        <v>6825</v>
      </c>
      <c r="K617" t="s">
        <v>13</v>
      </c>
      <c r="L617" t="s">
        <v>75</v>
      </c>
      <c r="M617" t="s">
        <v>10620</v>
      </c>
    </row>
    <row r="618" spans="1:13">
      <c r="A618" t="s">
        <v>10619</v>
      </c>
      <c r="B618" t="s">
        <v>4807</v>
      </c>
      <c r="C618" t="s">
        <v>3149</v>
      </c>
      <c r="D618" t="s">
        <v>13</v>
      </c>
      <c r="E618" t="s">
        <v>75</v>
      </c>
      <c r="F618" t="s">
        <v>10632</v>
      </c>
      <c r="H618" t="s">
        <v>10619</v>
      </c>
      <c r="I618" t="s">
        <v>8161</v>
      </c>
      <c r="J618" t="s">
        <v>6827</v>
      </c>
      <c r="K618" t="s">
        <v>13</v>
      </c>
      <c r="L618" t="s">
        <v>75</v>
      </c>
      <c r="M618" t="s">
        <v>10620</v>
      </c>
    </row>
    <row r="619" spans="1:13">
      <c r="A619" t="s">
        <v>10619</v>
      </c>
      <c r="B619" t="s">
        <v>4808</v>
      </c>
      <c r="C619" t="s">
        <v>3151</v>
      </c>
      <c r="D619" t="s">
        <v>13</v>
      </c>
      <c r="E619" t="s">
        <v>75</v>
      </c>
      <c r="F619" t="s">
        <v>10632</v>
      </c>
      <c r="H619" t="s">
        <v>10619</v>
      </c>
      <c r="I619" t="s">
        <v>8162</v>
      </c>
      <c r="J619" t="s">
        <v>6829</v>
      </c>
      <c r="K619" t="s">
        <v>13</v>
      </c>
      <c r="L619" t="s">
        <v>75</v>
      </c>
      <c r="M619" t="s">
        <v>10621</v>
      </c>
    </row>
    <row r="620" spans="1:13">
      <c r="A620" t="s">
        <v>10619</v>
      </c>
      <c r="B620" t="s">
        <v>4809</v>
      </c>
      <c r="C620" t="s">
        <v>3153</v>
      </c>
      <c r="D620" t="s">
        <v>13</v>
      </c>
      <c r="E620" t="s">
        <v>75</v>
      </c>
      <c r="F620" t="s">
        <v>10630</v>
      </c>
      <c r="H620" t="s">
        <v>10619</v>
      </c>
      <c r="I620" t="s">
        <v>8163</v>
      </c>
      <c r="J620" t="s">
        <v>6831</v>
      </c>
      <c r="K620" t="s">
        <v>13</v>
      </c>
      <c r="L620" t="s">
        <v>75</v>
      </c>
      <c r="M620" t="s">
        <v>10621</v>
      </c>
    </row>
    <row r="621" spans="1:13">
      <c r="A621" t="s">
        <v>10619</v>
      </c>
      <c r="B621" t="s">
        <v>4810</v>
      </c>
      <c r="C621" t="s">
        <v>3155</v>
      </c>
      <c r="D621" t="s">
        <v>13</v>
      </c>
      <c r="E621" t="s">
        <v>75</v>
      </c>
      <c r="F621" t="s">
        <v>10630</v>
      </c>
      <c r="H621" t="s">
        <v>10619</v>
      </c>
      <c r="I621" t="s">
        <v>8164</v>
      </c>
      <c r="J621" t="s">
        <v>6833</v>
      </c>
      <c r="K621" t="s">
        <v>13</v>
      </c>
      <c r="L621" t="s">
        <v>75</v>
      </c>
      <c r="M621" t="s">
        <v>10621</v>
      </c>
    </row>
    <row r="622" spans="1:13">
      <c r="A622" t="s">
        <v>10619</v>
      </c>
      <c r="B622" t="s">
        <v>4811</v>
      </c>
      <c r="C622" t="s">
        <v>3157</v>
      </c>
      <c r="D622" t="s">
        <v>13</v>
      </c>
      <c r="E622" t="s">
        <v>75</v>
      </c>
      <c r="F622" t="s">
        <v>10630</v>
      </c>
      <c r="H622" t="s">
        <v>10619</v>
      </c>
      <c r="I622" t="s">
        <v>8165</v>
      </c>
      <c r="J622" t="s">
        <v>6835</v>
      </c>
      <c r="K622" t="s">
        <v>13</v>
      </c>
      <c r="L622" t="s">
        <v>75</v>
      </c>
      <c r="M622" t="s">
        <v>10621</v>
      </c>
    </row>
    <row r="623" spans="1:13">
      <c r="A623" t="s">
        <v>10619</v>
      </c>
      <c r="B623" t="s">
        <v>4812</v>
      </c>
      <c r="C623" t="s">
        <v>3159</v>
      </c>
      <c r="D623" t="s">
        <v>13</v>
      </c>
      <c r="E623" t="s">
        <v>75</v>
      </c>
      <c r="F623" t="s">
        <v>10630</v>
      </c>
      <c r="H623" t="s">
        <v>10619</v>
      </c>
      <c r="I623" t="s">
        <v>8166</v>
      </c>
      <c r="J623" t="s">
        <v>6837</v>
      </c>
      <c r="K623" t="s">
        <v>13</v>
      </c>
      <c r="L623" t="s">
        <v>75</v>
      </c>
      <c r="M623" t="s">
        <v>10621</v>
      </c>
    </row>
    <row r="624" spans="1:13">
      <c r="A624" t="s">
        <v>10619</v>
      </c>
      <c r="B624" t="s">
        <v>4813</v>
      </c>
      <c r="C624" t="s">
        <v>3161</v>
      </c>
      <c r="D624" t="s">
        <v>13</v>
      </c>
      <c r="E624" t="s">
        <v>75</v>
      </c>
      <c r="F624" t="s">
        <v>10630</v>
      </c>
      <c r="H624" t="s">
        <v>10619</v>
      </c>
      <c r="I624" t="s">
        <v>8167</v>
      </c>
      <c r="J624" t="s">
        <v>6833</v>
      </c>
      <c r="K624" t="s">
        <v>13</v>
      </c>
      <c r="L624" t="s">
        <v>75</v>
      </c>
      <c r="M624" t="s">
        <v>10621</v>
      </c>
    </row>
    <row r="625" spans="1:13">
      <c r="A625" t="s">
        <v>10619</v>
      </c>
      <c r="B625" t="s">
        <v>4814</v>
      </c>
      <c r="C625" t="s">
        <v>3163</v>
      </c>
      <c r="D625" t="s">
        <v>13</v>
      </c>
      <c r="E625" t="s">
        <v>75</v>
      </c>
      <c r="F625" t="s">
        <v>10630</v>
      </c>
      <c r="H625" t="s">
        <v>10619</v>
      </c>
      <c r="I625" t="s">
        <v>8168</v>
      </c>
      <c r="J625" t="s">
        <v>6840</v>
      </c>
      <c r="K625" t="s">
        <v>13</v>
      </c>
      <c r="L625" t="s">
        <v>75</v>
      </c>
      <c r="M625" t="s">
        <v>10621</v>
      </c>
    </row>
    <row r="626" spans="1:13">
      <c r="A626" t="s">
        <v>10619</v>
      </c>
      <c r="B626" t="s">
        <v>4815</v>
      </c>
      <c r="C626" t="s">
        <v>3165</v>
      </c>
      <c r="D626" t="s">
        <v>13</v>
      </c>
      <c r="E626" t="s">
        <v>75</v>
      </c>
      <c r="F626" t="s">
        <v>10630</v>
      </c>
      <c r="H626" t="s">
        <v>10619</v>
      </c>
      <c r="I626" t="s">
        <v>8169</v>
      </c>
      <c r="J626" t="s">
        <v>6842</v>
      </c>
      <c r="K626" t="s">
        <v>13</v>
      </c>
      <c r="L626" t="s">
        <v>75</v>
      </c>
      <c r="M626" t="s">
        <v>10621</v>
      </c>
    </row>
    <row r="627" spans="1:13">
      <c r="A627" t="s">
        <v>10619</v>
      </c>
      <c r="B627" t="s">
        <v>4816</v>
      </c>
      <c r="C627" t="s">
        <v>3167</v>
      </c>
      <c r="D627" t="s">
        <v>13</v>
      </c>
      <c r="E627" t="s">
        <v>75</v>
      </c>
      <c r="F627" t="s">
        <v>10630</v>
      </c>
      <c r="H627" t="s">
        <v>10619</v>
      </c>
      <c r="I627" t="s">
        <v>8170</v>
      </c>
      <c r="J627" t="s">
        <v>6844</v>
      </c>
      <c r="K627" t="s">
        <v>13</v>
      </c>
      <c r="L627" t="s">
        <v>75</v>
      </c>
      <c r="M627" t="s">
        <v>10621</v>
      </c>
    </row>
    <row r="628" spans="1:13">
      <c r="A628" t="s">
        <v>10619</v>
      </c>
      <c r="B628" t="s">
        <v>4817</v>
      </c>
      <c r="C628" t="s">
        <v>3169</v>
      </c>
      <c r="D628" t="s">
        <v>13</v>
      </c>
      <c r="E628" t="s">
        <v>75</v>
      </c>
      <c r="F628" t="s">
        <v>583</v>
      </c>
      <c r="H628" t="s">
        <v>10619</v>
      </c>
      <c r="I628" t="s">
        <v>8171</v>
      </c>
      <c r="J628" t="s">
        <v>6846</v>
      </c>
      <c r="K628" t="s">
        <v>13</v>
      </c>
      <c r="L628" t="s">
        <v>75</v>
      </c>
      <c r="M628" t="s">
        <v>10621</v>
      </c>
    </row>
    <row r="629" spans="1:13">
      <c r="A629" t="s">
        <v>10619</v>
      </c>
      <c r="B629" t="s">
        <v>4818</v>
      </c>
      <c r="C629" t="s">
        <v>3171</v>
      </c>
      <c r="D629" t="s">
        <v>13</v>
      </c>
      <c r="E629" t="s">
        <v>75</v>
      </c>
      <c r="F629" t="s">
        <v>583</v>
      </c>
      <c r="H629" t="s">
        <v>10619</v>
      </c>
      <c r="I629" t="s">
        <v>8172</v>
      </c>
      <c r="J629" t="s">
        <v>6848</v>
      </c>
      <c r="K629" t="s">
        <v>13</v>
      </c>
      <c r="L629" t="s">
        <v>75</v>
      </c>
      <c r="M629" t="s">
        <v>10620</v>
      </c>
    </row>
    <row r="630" spans="1:13">
      <c r="A630" t="s">
        <v>10619</v>
      </c>
      <c r="B630" t="s">
        <v>4819</v>
      </c>
      <c r="C630" t="s">
        <v>3173</v>
      </c>
      <c r="D630" t="s">
        <v>13</v>
      </c>
      <c r="E630" t="s">
        <v>75</v>
      </c>
      <c r="F630" t="s">
        <v>583</v>
      </c>
      <c r="H630" t="s">
        <v>10619</v>
      </c>
      <c r="I630" t="s">
        <v>8173</v>
      </c>
      <c r="J630" t="s">
        <v>6850</v>
      </c>
      <c r="K630" t="s">
        <v>13</v>
      </c>
      <c r="L630" t="s">
        <v>75</v>
      </c>
      <c r="M630" t="s">
        <v>10620</v>
      </c>
    </row>
    <row r="631" spans="1:13">
      <c r="A631" t="s">
        <v>10619</v>
      </c>
      <c r="B631" t="s">
        <v>4820</v>
      </c>
      <c r="C631" t="s">
        <v>3175</v>
      </c>
      <c r="D631" t="s">
        <v>13</v>
      </c>
      <c r="E631" t="s">
        <v>75</v>
      </c>
      <c r="F631" t="s">
        <v>10621</v>
      </c>
      <c r="H631" t="s">
        <v>10619</v>
      </c>
      <c r="I631" t="s">
        <v>8174</v>
      </c>
      <c r="J631" t="s">
        <v>6848</v>
      </c>
      <c r="K631" t="s">
        <v>13</v>
      </c>
      <c r="L631" t="s">
        <v>75</v>
      </c>
      <c r="M631" t="s">
        <v>10620</v>
      </c>
    </row>
    <row r="632" spans="1:13">
      <c r="A632" t="s">
        <v>10619</v>
      </c>
      <c r="B632" t="s">
        <v>4821</v>
      </c>
      <c r="C632" t="s">
        <v>3177</v>
      </c>
      <c r="D632" t="s">
        <v>13</v>
      </c>
      <c r="E632" t="s">
        <v>75</v>
      </c>
      <c r="F632" t="s">
        <v>10621</v>
      </c>
      <c r="H632" t="s">
        <v>10619</v>
      </c>
      <c r="I632" t="s">
        <v>8175</v>
      </c>
      <c r="J632" t="s">
        <v>6853</v>
      </c>
      <c r="K632" t="s">
        <v>13</v>
      </c>
      <c r="L632" t="s">
        <v>75</v>
      </c>
      <c r="M632" t="s">
        <v>10621</v>
      </c>
    </row>
    <row r="633" spans="1:13">
      <c r="A633" t="s">
        <v>10619</v>
      </c>
      <c r="B633" t="s">
        <v>4822</v>
      </c>
      <c r="C633" t="s">
        <v>3179</v>
      </c>
      <c r="D633" t="s">
        <v>13</v>
      </c>
      <c r="E633" t="s">
        <v>75</v>
      </c>
      <c r="F633" t="s">
        <v>10621</v>
      </c>
      <c r="H633" t="s">
        <v>10619</v>
      </c>
      <c r="I633" t="s">
        <v>8176</v>
      </c>
      <c r="J633" t="s">
        <v>6853</v>
      </c>
      <c r="K633" t="s">
        <v>13</v>
      </c>
      <c r="L633" t="s">
        <v>75</v>
      </c>
      <c r="M633" t="s">
        <v>10621</v>
      </c>
    </row>
    <row r="634" spans="1:13">
      <c r="A634" t="s">
        <v>10619</v>
      </c>
      <c r="B634" t="s">
        <v>4823</v>
      </c>
      <c r="C634" t="s">
        <v>3181</v>
      </c>
      <c r="D634" t="s">
        <v>13</v>
      </c>
      <c r="E634" t="s">
        <v>75</v>
      </c>
      <c r="F634" t="s">
        <v>10621</v>
      </c>
      <c r="H634" t="s">
        <v>10619</v>
      </c>
      <c r="I634" t="s">
        <v>8177</v>
      </c>
      <c r="J634" t="s">
        <v>6853</v>
      </c>
      <c r="K634" t="s">
        <v>13</v>
      </c>
      <c r="L634" t="s">
        <v>75</v>
      </c>
      <c r="M634" t="s">
        <v>10621</v>
      </c>
    </row>
    <row r="635" spans="1:13">
      <c r="A635" t="s">
        <v>10619</v>
      </c>
      <c r="B635" t="s">
        <v>4824</v>
      </c>
      <c r="C635" t="s">
        <v>3183</v>
      </c>
      <c r="D635" t="s">
        <v>13</v>
      </c>
      <c r="E635" t="s">
        <v>75</v>
      </c>
      <c r="F635" t="s">
        <v>10621</v>
      </c>
      <c r="H635" t="s">
        <v>10619</v>
      </c>
      <c r="I635" t="s">
        <v>8178</v>
      </c>
      <c r="J635" t="s">
        <v>6853</v>
      </c>
      <c r="K635" t="s">
        <v>13</v>
      </c>
      <c r="L635" t="s">
        <v>75</v>
      </c>
      <c r="M635" t="s">
        <v>10621</v>
      </c>
    </row>
    <row r="636" spans="1:13">
      <c r="A636" t="s">
        <v>10619</v>
      </c>
      <c r="B636" t="s">
        <v>4825</v>
      </c>
      <c r="C636" t="s">
        <v>3185</v>
      </c>
      <c r="D636" t="s">
        <v>13</v>
      </c>
      <c r="E636" t="s">
        <v>75</v>
      </c>
      <c r="F636" t="s">
        <v>10621</v>
      </c>
      <c r="H636" t="s">
        <v>10619</v>
      </c>
      <c r="I636" t="s">
        <v>8179</v>
      </c>
      <c r="J636" t="s">
        <v>6853</v>
      </c>
      <c r="K636" t="s">
        <v>13</v>
      </c>
      <c r="L636" t="s">
        <v>75</v>
      </c>
      <c r="M636" t="s">
        <v>10621</v>
      </c>
    </row>
    <row r="637" spans="1:13">
      <c r="A637" t="s">
        <v>10619</v>
      </c>
      <c r="B637" t="s">
        <v>4826</v>
      </c>
      <c r="C637" t="s">
        <v>3187</v>
      </c>
      <c r="D637" t="s">
        <v>13</v>
      </c>
      <c r="E637" t="s">
        <v>75</v>
      </c>
      <c r="F637" t="s">
        <v>10621</v>
      </c>
      <c r="H637" t="s">
        <v>10619</v>
      </c>
      <c r="I637" t="s">
        <v>8180</v>
      </c>
      <c r="J637" t="s">
        <v>6859</v>
      </c>
      <c r="K637" t="s">
        <v>13</v>
      </c>
      <c r="L637" t="s">
        <v>75</v>
      </c>
      <c r="M637" t="s">
        <v>10621</v>
      </c>
    </row>
    <row r="638" spans="1:13">
      <c r="A638" t="s">
        <v>10619</v>
      </c>
      <c r="B638" t="s">
        <v>4827</v>
      </c>
      <c r="C638" t="s">
        <v>3189</v>
      </c>
      <c r="D638" t="s">
        <v>13</v>
      </c>
      <c r="E638" t="s">
        <v>75</v>
      </c>
      <c r="F638" t="s">
        <v>10621</v>
      </c>
      <c r="H638" t="s">
        <v>10619</v>
      </c>
      <c r="I638" t="s">
        <v>8181</v>
      </c>
      <c r="J638" t="s">
        <v>6861</v>
      </c>
      <c r="K638" t="s">
        <v>13</v>
      </c>
      <c r="L638" t="s">
        <v>75</v>
      </c>
      <c r="M638" t="s">
        <v>10621</v>
      </c>
    </row>
    <row r="639" spans="1:13">
      <c r="A639" t="s">
        <v>10619</v>
      </c>
      <c r="B639" t="s">
        <v>4828</v>
      </c>
      <c r="C639" t="s">
        <v>3191</v>
      </c>
      <c r="D639" t="s">
        <v>13</v>
      </c>
      <c r="E639" t="s">
        <v>75</v>
      </c>
      <c r="F639" t="s">
        <v>10621</v>
      </c>
      <c r="H639" t="s">
        <v>10619</v>
      </c>
      <c r="I639" t="s">
        <v>8182</v>
      </c>
      <c r="J639" t="s">
        <v>6863</v>
      </c>
      <c r="K639" t="s">
        <v>13</v>
      </c>
      <c r="L639" t="s">
        <v>75</v>
      </c>
      <c r="M639" t="s">
        <v>10621</v>
      </c>
    </row>
    <row r="640" spans="1:13">
      <c r="A640" t="s">
        <v>10619</v>
      </c>
      <c r="B640" t="s">
        <v>4829</v>
      </c>
      <c r="C640" t="s">
        <v>3193</v>
      </c>
      <c r="D640" t="s">
        <v>13</v>
      </c>
      <c r="E640" t="s">
        <v>75</v>
      </c>
      <c r="F640" t="s">
        <v>10627</v>
      </c>
      <c r="H640" t="s">
        <v>10619</v>
      </c>
      <c r="I640" t="s">
        <v>8183</v>
      </c>
      <c r="J640" t="s">
        <v>6853</v>
      </c>
      <c r="K640" t="s">
        <v>13</v>
      </c>
      <c r="L640" t="s">
        <v>75</v>
      </c>
      <c r="M640" t="s">
        <v>10621</v>
      </c>
    </row>
    <row r="641" spans="1:13">
      <c r="A641" t="s">
        <v>10619</v>
      </c>
      <c r="B641" t="s">
        <v>4830</v>
      </c>
      <c r="C641" t="s">
        <v>3195</v>
      </c>
      <c r="D641" t="s">
        <v>13</v>
      </c>
      <c r="E641" t="s">
        <v>75</v>
      </c>
      <c r="F641" t="s">
        <v>10627</v>
      </c>
      <c r="H641" t="s">
        <v>10619</v>
      </c>
      <c r="I641" t="s">
        <v>8184</v>
      </c>
      <c r="J641" t="s">
        <v>6866</v>
      </c>
      <c r="K641" t="s">
        <v>13</v>
      </c>
      <c r="L641" t="s">
        <v>75</v>
      </c>
      <c r="M641" t="s">
        <v>10621</v>
      </c>
    </row>
    <row r="642" spans="1:13">
      <c r="A642" t="s">
        <v>10619</v>
      </c>
      <c r="B642" t="s">
        <v>4831</v>
      </c>
      <c r="C642" t="s">
        <v>3197</v>
      </c>
      <c r="D642" t="s">
        <v>13</v>
      </c>
      <c r="E642" t="s">
        <v>75</v>
      </c>
      <c r="F642" t="s">
        <v>10627</v>
      </c>
      <c r="H642" t="s">
        <v>10619</v>
      </c>
      <c r="I642" t="s">
        <v>8185</v>
      </c>
      <c r="J642" t="s">
        <v>6861</v>
      </c>
      <c r="K642" t="s">
        <v>13</v>
      </c>
      <c r="L642" t="s">
        <v>75</v>
      </c>
      <c r="M642" t="s">
        <v>10621</v>
      </c>
    </row>
    <row r="643" spans="1:13">
      <c r="A643" t="s">
        <v>10619</v>
      </c>
      <c r="B643" t="s">
        <v>4832</v>
      </c>
      <c r="C643" t="s">
        <v>3199</v>
      </c>
      <c r="D643" t="s">
        <v>13</v>
      </c>
      <c r="E643" t="s">
        <v>75</v>
      </c>
      <c r="F643" t="s">
        <v>10627</v>
      </c>
      <c r="H643" t="s">
        <v>10619</v>
      </c>
      <c r="I643" t="s">
        <v>8186</v>
      </c>
      <c r="J643" t="s">
        <v>6853</v>
      </c>
      <c r="K643" t="s">
        <v>13</v>
      </c>
      <c r="L643" t="s">
        <v>75</v>
      </c>
      <c r="M643" t="s">
        <v>10621</v>
      </c>
    </row>
    <row r="644" spans="1:13">
      <c r="A644" t="s">
        <v>10619</v>
      </c>
      <c r="B644" t="s">
        <v>4833</v>
      </c>
      <c r="C644" t="s">
        <v>3201</v>
      </c>
      <c r="D644" t="s">
        <v>13</v>
      </c>
      <c r="E644" t="s">
        <v>75</v>
      </c>
      <c r="F644" t="s">
        <v>10627</v>
      </c>
      <c r="H644" t="s">
        <v>10619</v>
      </c>
      <c r="I644" t="s">
        <v>8187</v>
      </c>
      <c r="J644" t="s">
        <v>6870</v>
      </c>
      <c r="K644" t="s">
        <v>13</v>
      </c>
      <c r="L644" t="s">
        <v>75</v>
      </c>
      <c r="M644" t="s">
        <v>10621</v>
      </c>
    </row>
    <row r="645" spans="1:13">
      <c r="A645" t="s">
        <v>10619</v>
      </c>
      <c r="B645" t="s">
        <v>4834</v>
      </c>
      <c r="C645" t="s">
        <v>3203</v>
      </c>
      <c r="D645" t="s">
        <v>13</v>
      </c>
      <c r="E645" t="s">
        <v>75</v>
      </c>
      <c r="F645" t="s">
        <v>10627</v>
      </c>
      <c r="H645" t="s">
        <v>10619</v>
      </c>
      <c r="I645" t="s">
        <v>8188</v>
      </c>
      <c r="J645" t="s">
        <v>6872</v>
      </c>
      <c r="K645" t="s">
        <v>13</v>
      </c>
      <c r="L645" t="s">
        <v>75</v>
      </c>
      <c r="M645" t="s">
        <v>10621</v>
      </c>
    </row>
    <row r="646" spans="1:13">
      <c r="A646" t="s">
        <v>10619</v>
      </c>
      <c r="B646" t="s">
        <v>4835</v>
      </c>
      <c r="C646" t="s">
        <v>3205</v>
      </c>
      <c r="D646" t="s">
        <v>13</v>
      </c>
      <c r="E646" t="s">
        <v>75</v>
      </c>
      <c r="F646" t="s">
        <v>10627</v>
      </c>
      <c r="H646" t="s">
        <v>10619</v>
      </c>
      <c r="I646" t="s">
        <v>8189</v>
      </c>
      <c r="J646" t="s">
        <v>6874</v>
      </c>
      <c r="K646" t="s">
        <v>13</v>
      </c>
      <c r="L646" t="s">
        <v>75</v>
      </c>
      <c r="M646" t="s">
        <v>10621</v>
      </c>
    </row>
    <row r="647" spans="1:13">
      <c r="A647" t="s">
        <v>10619</v>
      </c>
      <c r="B647" t="s">
        <v>4836</v>
      </c>
      <c r="C647" t="s">
        <v>3207</v>
      </c>
      <c r="D647" t="s">
        <v>13</v>
      </c>
      <c r="E647" t="s">
        <v>75</v>
      </c>
      <c r="F647" t="s">
        <v>10627</v>
      </c>
      <c r="H647" t="s">
        <v>10619</v>
      </c>
      <c r="I647" t="s">
        <v>8190</v>
      </c>
      <c r="J647" t="s">
        <v>6876</v>
      </c>
      <c r="K647" t="s">
        <v>13</v>
      </c>
      <c r="L647" t="s">
        <v>75</v>
      </c>
      <c r="M647" t="s">
        <v>10621</v>
      </c>
    </row>
    <row r="648" spans="1:13">
      <c r="A648" t="s">
        <v>10619</v>
      </c>
      <c r="B648" t="s">
        <v>4837</v>
      </c>
      <c r="C648" t="s">
        <v>3209</v>
      </c>
      <c r="D648" t="s">
        <v>13</v>
      </c>
      <c r="E648" t="s">
        <v>75</v>
      </c>
      <c r="F648" t="s">
        <v>10627</v>
      </c>
      <c r="H648" t="s">
        <v>10619</v>
      </c>
      <c r="I648" t="s">
        <v>8191</v>
      </c>
      <c r="J648" t="s">
        <v>6878</v>
      </c>
      <c r="K648" t="s">
        <v>13</v>
      </c>
      <c r="L648" t="s">
        <v>75</v>
      </c>
      <c r="M648" t="s">
        <v>10621</v>
      </c>
    </row>
    <row r="649" spans="1:13">
      <c r="A649" t="s">
        <v>10619</v>
      </c>
      <c r="B649" t="s">
        <v>4838</v>
      </c>
      <c r="C649" t="s">
        <v>3211</v>
      </c>
      <c r="D649" t="s">
        <v>13</v>
      </c>
      <c r="E649" t="s">
        <v>75</v>
      </c>
      <c r="F649" t="s">
        <v>10627</v>
      </c>
      <c r="H649" t="s">
        <v>10619</v>
      </c>
      <c r="I649" t="s">
        <v>8192</v>
      </c>
      <c r="J649" t="s">
        <v>6880</v>
      </c>
      <c r="K649" t="s">
        <v>13</v>
      </c>
      <c r="L649" t="s">
        <v>75</v>
      </c>
      <c r="M649" t="s">
        <v>10621</v>
      </c>
    </row>
    <row r="650" spans="1:13">
      <c r="A650" t="s">
        <v>10619</v>
      </c>
      <c r="B650" t="s">
        <v>4839</v>
      </c>
      <c r="C650" t="s">
        <v>3213</v>
      </c>
      <c r="D650" t="s">
        <v>13</v>
      </c>
      <c r="E650" t="s">
        <v>75</v>
      </c>
      <c r="F650" t="s">
        <v>10627</v>
      </c>
      <c r="H650" t="s">
        <v>10619</v>
      </c>
      <c r="I650" t="s">
        <v>8193</v>
      </c>
      <c r="J650" t="s">
        <v>6882</v>
      </c>
      <c r="K650" t="s">
        <v>13</v>
      </c>
      <c r="L650" t="s">
        <v>75</v>
      </c>
      <c r="M650" t="s">
        <v>10621</v>
      </c>
    </row>
    <row r="651" spans="1:13">
      <c r="A651" t="s">
        <v>10619</v>
      </c>
      <c r="B651" t="s">
        <v>4840</v>
      </c>
      <c r="C651" t="s">
        <v>3215</v>
      </c>
      <c r="D651" t="s">
        <v>13</v>
      </c>
      <c r="E651" t="s">
        <v>75</v>
      </c>
      <c r="F651" t="s">
        <v>10627</v>
      </c>
      <c r="H651" t="s">
        <v>10619</v>
      </c>
      <c r="I651" t="s">
        <v>8194</v>
      </c>
      <c r="J651" t="s">
        <v>6884</v>
      </c>
      <c r="K651" t="s">
        <v>13</v>
      </c>
      <c r="L651" t="s">
        <v>75</v>
      </c>
      <c r="M651" t="s">
        <v>10621</v>
      </c>
    </row>
    <row r="652" spans="1:13">
      <c r="A652" t="s">
        <v>10619</v>
      </c>
      <c r="B652" t="s">
        <v>4841</v>
      </c>
      <c r="C652" t="s">
        <v>3217</v>
      </c>
      <c r="D652" t="s">
        <v>13</v>
      </c>
      <c r="E652" t="s">
        <v>75</v>
      </c>
      <c r="F652" t="s">
        <v>10627</v>
      </c>
      <c r="H652" t="s">
        <v>10619</v>
      </c>
      <c r="I652" t="s">
        <v>8195</v>
      </c>
      <c r="J652" t="s">
        <v>6886</v>
      </c>
      <c r="K652" t="s">
        <v>13</v>
      </c>
      <c r="L652" t="s">
        <v>75</v>
      </c>
      <c r="M652" t="s">
        <v>10621</v>
      </c>
    </row>
    <row r="653" spans="1:13">
      <c r="A653" t="s">
        <v>10619</v>
      </c>
      <c r="B653" t="s">
        <v>4842</v>
      </c>
      <c r="C653" t="s">
        <v>3219</v>
      </c>
      <c r="D653" t="s">
        <v>13</v>
      </c>
      <c r="E653" t="s">
        <v>75</v>
      </c>
      <c r="F653" t="s">
        <v>10627</v>
      </c>
      <c r="H653" t="s">
        <v>10619</v>
      </c>
      <c r="I653" t="s">
        <v>8196</v>
      </c>
      <c r="J653" t="s">
        <v>6888</v>
      </c>
      <c r="K653" t="s">
        <v>13</v>
      </c>
      <c r="L653" t="s">
        <v>75</v>
      </c>
      <c r="M653" t="s">
        <v>10624</v>
      </c>
    </row>
    <row r="654" spans="1:13">
      <c r="A654" t="s">
        <v>10619</v>
      </c>
      <c r="B654" t="s">
        <v>4843</v>
      </c>
      <c r="C654" t="s">
        <v>3221</v>
      </c>
      <c r="D654" t="s">
        <v>13</v>
      </c>
      <c r="E654" t="s">
        <v>75</v>
      </c>
      <c r="F654" t="s">
        <v>10627</v>
      </c>
      <c r="H654" t="s">
        <v>10619</v>
      </c>
      <c r="I654" t="s">
        <v>8197</v>
      </c>
      <c r="J654" t="s">
        <v>6890</v>
      </c>
      <c r="K654" t="s">
        <v>13</v>
      </c>
      <c r="L654" t="s">
        <v>75</v>
      </c>
      <c r="M654" t="s">
        <v>10624</v>
      </c>
    </row>
    <row r="655" spans="1:13">
      <c r="A655" t="s">
        <v>10619</v>
      </c>
      <c r="B655" t="s">
        <v>4844</v>
      </c>
      <c r="C655" t="s">
        <v>3223</v>
      </c>
      <c r="D655" t="s">
        <v>13</v>
      </c>
      <c r="E655" t="s">
        <v>75</v>
      </c>
      <c r="F655" t="s">
        <v>10622</v>
      </c>
      <c r="H655" t="s">
        <v>10619</v>
      </c>
      <c r="I655" t="s">
        <v>8198</v>
      </c>
      <c r="J655" t="s">
        <v>6892</v>
      </c>
      <c r="K655" t="s">
        <v>13</v>
      </c>
      <c r="L655" t="s">
        <v>75</v>
      </c>
      <c r="M655" t="s">
        <v>10624</v>
      </c>
    </row>
    <row r="656" spans="1:13">
      <c r="A656" t="s">
        <v>10619</v>
      </c>
      <c r="B656" t="s">
        <v>4845</v>
      </c>
      <c r="C656" t="s">
        <v>3225</v>
      </c>
      <c r="D656" t="s">
        <v>13</v>
      </c>
      <c r="E656" t="s">
        <v>75</v>
      </c>
      <c r="F656" t="s">
        <v>10622</v>
      </c>
      <c r="H656" t="s">
        <v>10619</v>
      </c>
      <c r="I656" t="s">
        <v>8199</v>
      </c>
      <c r="J656" t="s">
        <v>6894</v>
      </c>
      <c r="K656" t="s">
        <v>13</v>
      </c>
      <c r="L656" t="s">
        <v>75</v>
      </c>
      <c r="M656" t="s">
        <v>10624</v>
      </c>
    </row>
    <row r="657" spans="1:13">
      <c r="A657" t="s">
        <v>10619</v>
      </c>
      <c r="B657" t="s">
        <v>4846</v>
      </c>
      <c r="C657" t="s">
        <v>3227</v>
      </c>
      <c r="D657" t="s">
        <v>13</v>
      </c>
      <c r="E657" t="s">
        <v>75</v>
      </c>
      <c r="F657" t="s">
        <v>10622</v>
      </c>
      <c r="H657" t="s">
        <v>10619</v>
      </c>
      <c r="I657" t="s">
        <v>8200</v>
      </c>
      <c r="J657" t="s">
        <v>6896</v>
      </c>
      <c r="K657" t="s">
        <v>13</v>
      </c>
      <c r="L657" t="s">
        <v>75</v>
      </c>
      <c r="M657" t="s">
        <v>10625</v>
      </c>
    </row>
    <row r="658" spans="1:13">
      <c r="A658" t="s">
        <v>10619</v>
      </c>
      <c r="B658" t="s">
        <v>4847</v>
      </c>
      <c r="C658" t="s">
        <v>3229</v>
      </c>
      <c r="D658" t="s">
        <v>13</v>
      </c>
      <c r="E658" t="s">
        <v>75</v>
      </c>
      <c r="F658" t="s">
        <v>10622</v>
      </c>
      <c r="H658" t="s">
        <v>10619</v>
      </c>
      <c r="I658" t="s">
        <v>8201</v>
      </c>
      <c r="J658" t="s">
        <v>6898</v>
      </c>
      <c r="K658" t="s">
        <v>13</v>
      </c>
      <c r="L658" t="s">
        <v>75</v>
      </c>
      <c r="M658" t="s">
        <v>10625</v>
      </c>
    </row>
    <row r="659" spans="1:13">
      <c r="A659" t="s">
        <v>10619</v>
      </c>
      <c r="B659" t="s">
        <v>4848</v>
      </c>
      <c r="C659" t="s">
        <v>3231</v>
      </c>
      <c r="D659" t="s">
        <v>13</v>
      </c>
      <c r="E659" t="s">
        <v>75</v>
      </c>
      <c r="F659" t="s">
        <v>10621</v>
      </c>
      <c r="H659" t="s">
        <v>10619</v>
      </c>
      <c r="I659" t="s">
        <v>8202</v>
      </c>
      <c r="J659" t="s">
        <v>6900</v>
      </c>
      <c r="K659" t="s">
        <v>13</v>
      </c>
      <c r="L659" t="s">
        <v>75</v>
      </c>
      <c r="M659" t="s">
        <v>10625</v>
      </c>
    </row>
    <row r="660" spans="1:13">
      <c r="A660" t="s">
        <v>10619</v>
      </c>
      <c r="B660" t="s">
        <v>4849</v>
      </c>
      <c r="C660" t="s">
        <v>3233</v>
      </c>
      <c r="D660" t="s">
        <v>13</v>
      </c>
      <c r="E660" t="s">
        <v>75</v>
      </c>
      <c r="F660" t="s">
        <v>10621</v>
      </c>
      <c r="H660" t="s">
        <v>10619</v>
      </c>
      <c r="I660" t="s">
        <v>8203</v>
      </c>
      <c r="J660" t="s">
        <v>6902</v>
      </c>
      <c r="K660" t="s">
        <v>13</v>
      </c>
      <c r="L660" t="s">
        <v>75</v>
      </c>
      <c r="M660" t="s">
        <v>543</v>
      </c>
    </row>
    <row r="661" spans="1:13">
      <c r="A661" t="s">
        <v>10619</v>
      </c>
      <c r="B661" t="s">
        <v>4850</v>
      </c>
      <c r="C661" t="s">
        <v>3235</v>
      </c>
      <c r="D661" t="s">
        <v>13</v>
      </c>
      <c r="E661" t="s">
        <v>75</v>
      </c>
      <c r="F661" t="s">
        <v>10621</v>
      </c>
      <c r="H661" t="s">
        <v>10619</v>
      </c>
      <c r="I661" t="s">
        <v>8204</v>
      </c>
      <c r="J661" t="s">
        <v>6904</v>
      </c>
      <c r="K661" t="s">
        <v>13</v>
      </c>
      <c r="L661" t="s">
        <v>75</v>
      </c>
      <c r="M661" t="s">
        <v>543</v>
      </c>
    </row>
    <row r="662" spans="1:13">
      <c r="A662" t="s">
        <v>10619</v>
      </c>
      <c r="B662" t="s">
        <v>4851</v>
      </c>
      <c r="C662" t="s">
        <v>3237</v>
      </c>
      <c r="D662" t="s">
        <v>13</v>
      </c>
      <c r="E662" t="s">
        <v>75</v>
      </c>
      <c r="F662" t="s">
        <v>10621</v>
      </c>
      <c r="H662" t="s">
        <v>10619</v>
      </c>
      <c r="I662" t="s">
        <v>8205</v>
      </c>
      <c r="J662" t="s">
        <v>6906</v>
      </c>
      <c r="K662" t="s">
        <v>13</v>
      </c>
      <c r="L662" t="s">
        <v>75</v>
      </c>
      <c r="M662" t="s">
        <v>543</v>
      </c>
    </row>
    <row r="663" spans="1:13">
      <c r="A663" t="s">
        <v>10619</v>
      </c>
      <c r="B663" t="s">
        <v>4852</v>
      </c>
      <c r="C663" t="s">
        <v>3239</v>
      </c>
      <c r="D663" t="s">
        <v>13</v>
      </c>
      <c r="E663" t="s">
        <v>75</v>
      </c>
      <c r="F663" t="s">
        <v>10621</v>
      </c>
      <c r="H663" t="s">
        <v>10619</v>
      </c>
      <c r="I663" t="s">
        <v>8206</v>
      </c>
      <c r="J663" t="s">
        <v>6908</v>
      </c>
      <c r="K663" t="s">
        <v>13</v>
      </c>
      <c r="L663" t="s">
        <v>75</v>
      </c>
      <c r="M663" t="s">
        <v>543</v>
      </c>
    </row>
    <row r="664" spans="1:13">
      <c r="A664" t="s">
        <v>10619</v>
      </c>
      <c r="B664" t="s">
        <v>4853</v>
      </c>
      <c r="C664" t="s">
        <v>3239</v>
      </c>
      <c r="D664" t="s">
        <v>13</v>
      </c>
      <c r="E664" t="s">
        <v>75</v>
      </c>
      <c r="F664" t="s">
        <v>10621</v>
      </c>
      <c r="H664" t="s">
        <v>10619</v>
      </c>
      <c r="I664" t="s">
        <v>8207</v>
      </c>
      <c r="J664" t="s">
        <v>6910</v>
      </c>
      <c r="K664" t="s">
        <v>13</v>
      </c>
      <c r="L664" t="s">
        <v>75</v>
      </c>
      <c r="M664" t="s">
        <v>10620</v>
      </c>
    </row>
    <row r="665" spans="1:13">
      <c r="A665" t="s">
        <v>10619</v>
      </c>
      <c r="B665" t="s">
        <v>4854</v>
      </c>
      <c r="C665" t="s">
        <v>3242</v>
      </c>
      <c r="D665" t="s">
        <v>13</v>
      </c>
      <c r="E665" t="s">
        <v>75</v>
      </c>
      <c r="F665" t="s">
        <v>10621</v>
      </c>
      <c r="H665" t="s">
        <v>10619</v>
      </c>
      <c r="I665" t="s">
        <v>8208</v>
      </c>
      <c r="J665" t="s">
        <v>6912</v>
      </c>
      <c r="K665" t="s">
        <v>13</v>
      </c>
      <c r="L665" t="s">
        <v>75</v>
      </c>
      <c r="M665" t="s">
        <v>10620</v>
      </c>
    </row>
    <row r="666" spans="1:13">
      <c r="A666" t="s">
        <v>10619</v>
      </c>
      <c r="B666" t="s">
        <v>4855</v>
      </c>
      <c r="C666" t="s">
        <v>3244</v>
      </c>
      <c r="D666" t="s">
        <v>13</v>
      </c>
      <c r="E666" t="s">
        <v>75</v>
      </c>
      <c r="F666" t="s">
        <v>10621</v>
      </c>
      <c r="H666" t="s">
        <v>10619</v>
      </c>
      <c r="I666" t="s">
        <v>8209</v>
      </c>
      <c r="J666" t="s">
        <v>6914</v>
      </c>
      <c r="K666" t="s">
        <v>13</v>
      </c>
      <c r="L666" t="s">
        <v>75</v>
      </c>
      <c r="M666" t="s">
        <v>10620</v>
      </c>
    </row>
    <row r="667" spans="1:13">
      <c r="A667" t="s">
        <v>10619</v>
      </c>
      <c r="B667" t="s">
        <v>4856</v>
      </c>
      <c r="C667" t="s">
        <v>3246</v>
      </c>
      <c r="D667" t="s">
        <v>13</v>
      </c>
      <c r="E667" t="s">
        <v>75</v>
      </c>
      <c r="F667" t="s">
        <v>10621</v>
      </c>
      <c r="H667" t="s">
        <v>10619</v>
      </c>
      <c r="I667" t="s">
        <v>8210</v>
      </c>
      <c r="J667" t="s">
        <v>6916</v>
      </c>
      <c r="K667" t="s">
        <v>13</v>
      </c>
      <c r="L667" t="s">
        <v>75</v>
      </c>
      <c r="M667" t="s">
        <v>10620</v>
      </c>
    </row>
    <row r="668" spans="1:13">
      <c r="A668" t="s">
        <v>10619</v>
      </c>
      <c r="B668" t="s">
        <v>4857</v>
      </c>
      <c r="C668" t="s">
        <v>3248</v>
      </c>
      <c r="D668" t="s">
        <v>13</v>
      </c>
      <c r="E668" t="s">
        <v>75</v>
      </c>
      <c r="F668" t="s">
        <v>10621</v>
      </c>
      <c r="H668" t="s">
        <v>10619</v>
      </c>
      <c r="I668" t="s">
        <v>8211</v>
      </c>
      <c r="J668" t="s">
        <v>6918</v>
      </c>
      <c r="K668" t="s">
        <v>13</v>
      </c>
      <c r="L668" t="s">
        <v>75</v>
      </c>
      <c r="M668" t="s">
        <v>10620</v>
      </c>
    </row>
    <row r="669" spans="1:13">
      <c r="A669" t="s">
        <v>10619</v>
      </c>
      <c r="B669" t="s">
        <v>4858</v>
      </c>
      <c r="C669" t="s">
        <v>3250</v>
      </c>
      <c r="D669" t="s">
        <v>13</v>
      </c>
      <c r="E669" t="s">
        <v>75</v>
      </c>
      <c r="F669" t="s">
        <v>10621</v>
      </c>
      <c r="H669" t="s">
        <v>10619</v>
      </c>
      <c r="I669" t="s">
        <v>8212</v>
      </c>
      <c r="J669" t="s">
        <v>6920</v>
      </c>
      <c r="K669" t="s">
        <v>13</v>
      </c>
      <c r="L669" t="s">
        <v>75</v>
      </c>
      <c r="M669" t="s">
        <v>10620</v>
      </c>
    </row>
    <row r="670" spans="1:13">
      <c r="A670" t="s">
        <v>10619</v>
      </c>
      <c r="B670" t="s">
        <v>4859</v>
      </c>
      <c r="C670" t="s">
        <v>3252</v>
      </c>
      <c r="D670" t="s">
        <v>13</v>
      </c>
      <c r="E670" t="s">
        <v>75</v>
      </c>
      <c r="F670" t="s">
        <v>10621</v>
      </c>
      <c r="H670" t="s">
        <v>10619</v>
      </c>
      <c r="I670" t="s">
        <v>8213</v>
      </c>
      <c r="J670" t="s">
        <v>6922</v>
      </c>
      <c r="K670" t="s">
        <v>13</v>
      </c>
      <c r="L670" t="s">
        <v>75</v>
      </c>
      <c r="M670" t="s">
        <v>10620</v>
      </c>
    </row>
    <row r="671" spans="1:13">
      <c r="A671" t="s">
        <v>10619</v>
      </c>
      <c r="B671" t="s">
        <v>4860</v>
      </c>
      <c r="C671" t="s">
        <v>3254</v>
      </c>
      <c r="D671" t="s">
        <v>13</v>
      </c>
      <c r="E671" t="s">
        <v>75</v>
      </c>
      <c r="F671" t="s">
        <v>10620</v>
      </c>
      <c r="H671" t="s">
        <v>10619</v>
      </c>
      <c r="I671" t="s">
        <v>8214</v>
      </c>
      <c r="J671" t="s">
        <v>6922</v>
      </c>
      <c r="K671" t="s">
        <v>13</v>
      </c>
      <c r="L671" t="s">
        <v>75</v>
      </c>
      <c r="M671" t="s">
        <v>10620</v>
      </c>
    </row>
    <row r="672" spans="1:13">
      <c r="A672" t="s">
        <v>10619</v>
      </c>
      <c r="B672" t="s">
        <v>4861</v>
      </c>
      <c r="C672" t="s">
        <v>3256</v>
      </c>
      <c r="D672" t="s">
        <v>13</v>
      </c>
      <c r="E672" t="s">
        <v>75</v>
      </c>
      <c r="F672" t="s">
        <v>10620</v>
      </c>
      <c r="H672" t="s">
        <v>10619</v>
      </c>
      <c r="I672" t="s">
        <v>8215</v>
      </c>
      <c r="J672" t="s">
        <v>6925</v>
      </c>
      <c r="K672" t="s">
        <v>13</v>
      </c>
      <c r="L672" t="s">
        <v>75</v>
      </c>
      <c r="M672" t="s">
        <v>10623</v>
      </c>
    </row>
    <row r="673" spans="1:13">
      <c r="A673" t="s">
        <v>10619</v>
      </c>
      <c r="B673" t="s">
        <v>4862</v>
      </c>
      <c r="C673" t="s">
        <v>3258</v>
      </c>
      <c r="D673" t="s">
        <v>13</v>
      </c>
      <c r="E673" t="s">
        <v>75</v>
      </c>
      <c r="F673" t="s">
        <v>10620</v>
      </c>
      <c r="H673" t="s">
        <v>10619</v>
      </c>
      <c r="I673" t="s">
        <v>8216</v>
      </c>
      <c r="J673" t="s">
        <v>6927</v>
      </c>
      <c r="K673" t="s">
        <v>13</v>
      </c>
      <c r="L673" t="s">
        <v>75</v>
      </c>
      <c r="M673" t="s">
        <v>10623</v>
      </c>
    </row>
    <row r="674" spans="1:13">
      <c r="A674" t="s">
        <v>10619</v>
      </c>
      <c r="B674" t="s">
        <v>4863</v>
      </c>
      <c r="C674" t="s">
        <v>3260</v>
      </c>
      <c r="D674" t="s">
        <v>13</v>
      </c>
      <c r="E674" t="s">
        <v>75</v>
      </c>
      <c r="F674" t="s">
        <v>10620</v>
      </c>
      <c r="H674" t="s">
        <v>10619</v>
      </c>
      <c r="I674" t="s">
        <v>8217</v>
      </c>
      <c r="J674" t="s">
        <v>6929</v>
      </c>
      <c r="K674" t="s">
        <v>13</v>
      </c>
      <c r="L674" t="s">
        <v>75</v>
      </c>
      <c r="M674" t="s">
        <v>10623</v>
      </c>
    </row>
    <row r="675" spans="1:13">
      <c r="A675" t="s">
        <v>10619</v>
      </c>
      <c r="B675" t="s">
        <v>4864</v>
      </c>
      <c r="C675" t="s">
        <v>3262</v>
      </c>
      <c r="D675" t="s">
        <v>13</v>
      </c>
      <c r="E675" t="s">
        <v>75</v>
      </c>
      <c r="F675" t="s">
        <v>10620</v>
      </c>
      <c r="H675" t="s">
        <v>10619</v>
      </c>
      <c r="I675" t="s">
        <v>8218</v>
      </c>
      <c r="J675" t="s">
        <v>6931</v>
      </c>
      <c r="K675" t="s">
        <v>13</v>
      </c>
      <c r="L675" t="s">
        <v>75</v>
      </c>
      <c r="M675" t="s">
        <v>10623</v>
      </c>
    </row>
    <row r="676" spans="1:13">
      <c r="A676" t="s">
        <v>10619</v>
      </c>
      <c r="B676" t="s">
        <v>4865</v>
      </c>
      <c r="C676" t="s">
        <v>3264</v>
      </c>
      <c r="D676" t="s">
        <v>13</v>
      </c>
      <c r="E676" t="s">
        <v>75</v>
      </c>
      <c r="F676" t="s">
        <v>10620</v>
      </c>
      <c r="H676" t="s">
        <v>10619</v>
      </c>
      <c r="I676" t="s">
        <v>8219</v>
      </c>
      <c r="J676" t="s">
        <v>6933</v>
      </c>
      <c r="K676" t="s">
        <v>13</v>
      </c>
      <c r="L676" t="s">
        <v>75</v>
      </c>
      <c r="M676" t="s">
        <v>10623</v>
      </c>
    </row>
    <row r="677" spans="1:13">
      <c r="A677" t="s">
        <v>10619</v>
      </c>
      <c r="B677" t="s">
        <v>4866</v>
      </c>
      <c r="C677" t="s">
        <v>3266</v>
      </c>
      <c r="D677" t="s">
        <v>13</v>
      </c>
      <c r="E677" t="s">
        <v>75</v>
      </c>
      <c r="F677" t="s">
        <v>10620</v>
      </c>
      <c r="H677" t="s">
        <v>10619</v>
      </c>
      <c r="I677" t="s">
        <v>8220</v>
      </c>
      <c r="J677" t="s">
        <v>6933</v>
      </c>
      <c r="K677" t="s">
        <v>13</v>
      </c>
      <c r="L677" t="s">
        <v>75</v>
      </c>
      <c r="M677" t="s">
        <v>10623</v>
      </c>
    </row>
    <row r="678" spans="1:13">
      <c r="A678" t="s">
        <v>10619</v>
      </c>
      <c r="B678" t="s">
        <v>4867</v>
      </c>
      <c r="C678" t="s">
        <v>3268</v>
      </c>
      <c r="D678" t="s">
        <v>13</v>
      </c>
      <c r="E678" t="s">
        <v>75</v>
      </c>
      <c r="F678" t="s">
        <v>10620</v>
      </c>
      <c r="H678" t="s">
        <v>10619</v>
      </c>
      <c r="I678" t="s">
        <v>8221</v>
      </c>
      <c r="J678" t="s">
        <v>6936</v>
      </c>
      <c r="K678" t="s">
        <v>13</v>
      </c>
      <c r="L678" t="s">
        <v>75</v>
      </c>
      <c r="M678" t="s">
        <v>10623</v>
      </c>
    </row>
    <row r="679" spans="1:13">
      <c r="A679" t="s">
        <v>10619</v>
      </c>
      <c r="B679" t="s">
        <v>4868</v>
      </c>
      <c r="C679" t="s">
        <v>3270</v>
      </c>
      <c r="D679" t="s">
        <v>13</v>
      </c>
      <c r="E679" t="s">
        <v>75</v>
      </c>
      <c r="F679" t="s">
        <v>10620</v>
      </c>
      <c r="H679" t="s">
        <v>10619</v>
      </c>
      <c r="I679" t="s">
        <v>8222</v>
      </c>
      <c r="J679" t="s">
        <v>6938</v>
      </c>
      <c r="K679" t="s">
        <v>13</v>
      </c>
      <c r="L679" t="s">
        <v>75</v>
      </c>
      <c r="M679" t="s">
        <v>10620</v>
      </c>
    </row>
    <row r="680" spans="1:13">
      <c r="A680" t="s">
        <v>10619</v>
      </c>
      <c r="B680" t="s">
        <v>4869</v>
      </c>
      <c r="C680" t="s">
        <v>3272</v>
      </c>
      <c r="D680" t="s">
        <v>13</v>
      </c>
      <c r="E680" t="s">
        <v>75</v>
      </c>
      <c r="F680" t="s">
        <v>10620</v>
      </c>
      <c r="H680" t="s">
        <v>10619</v>
      </c>
      <c r="I680" t="s">
        <v>8223</v>
      </c>
      <c r="J680" t="s">
        <v>6940</v>
      </c>
      <c r="K680" t="s">
        <v>13</v>
      </c>
      <c r="L680" t="s">
        <v>75</v>
      </c>
      <c r="M680" t="s">
        <v>10620</v>
      </c>
    </row>
    <row r="681" spans="1:13">
      <c r="A681" t="s">
        <v>10619</v>
      </c>
      <c r="B681" t="s">
        <v>4870</v>
      </c>
      <c r="C681" t="s">
        <v>3274</v>
      </c>
      <c r="D681" t="s">
        <v>13</v>
      </c>
      <c r="E681" t="s">
        <v>75</v>
      </c>
      <c r="F681" t="s">
        <v>10622</v>
      </c>
      <c r="H681" t="s">
        <v>10619</v>
      </c>
      <c r="I681" t="s">
        <v>8224</v>
      </c>
      <c r="J681" t="s">
        <v>6942</v>
      </c>
      <c r="K681" t="s">
        <v>13</v>
      </c>
      <c r="L681" t="s">
        <v>75</v>
      </c>
      <c r="M681" t="s">
        <v>10620</v>
      </c>
    </row>
    <row r="682" spans="1:13">
      <c r="A682" t="s">
        <v>10619</v>
      </c>
      <c r="B682" t="s">
        <v>4871</v>
      </c>
      <c r="C682" t="s">
        <v>3276</v>
      </c>
      <c r="D682" t="s">
        <v>13</v>
      </c>
      <c r="E682" t="s">
        <v>75</v>
      </c>
      <c r="F682" t="s">
        <v>10622</v>
      </c>
      <c r="H682" t="s">
        <v>10619</v>
      </c>
      <c r="I682" t="s">
        <v>8225</v>
      </c>
      <c r="J682" t="s">
        <v>6944</v>
      </c>
      <c r="K682" t="s">
        <v>13</v>
      </c>
      <c r="L682" t="s">
        <v>75</v>
      </c>
      <c r="M682" t="s">
        <v>10620</v>
      </c>
    </row>
    <row r="683" spans="1:13">
      <c r="A683" t="s">
        <v>10619</v>
      </c>
      <c r="B683" t="s">
        <v>4872</v>
      </c>
      <c r="C683" t="s">
        <v>3278</v>
      </c>
      <c r="D683" t="s">
        <v>13</v>
      </c>
      <c r="E683" t="s">
        <v>75</v>
      </c>
      <c r="F683" t="s">
        <v>10622</v>
      </c>
      <c r="H683" t="s">
        <v>10619</v>
      </c>
      <c r="I683" t="s">
        <v>8226</v>
      </c>
      <c r="J683" t="s">
        <v>6944</v>
      </c>
      <c r="K683" t="s">
        <v>13</v>
      </c>
      <c r="L683" t="s">
        <v>75</v>
      </c>
      <c r="M683" t="s">
        <v>10620</v>
      </c>
    </row>
    <row r="684" spans="1:13">
      <c r="A684" t="s">
        <v>10619</v>
      </c>
      <c r="B684" t="s">
        <v>4873</v>
      </c>
      <c r="C684" t="s">
        <v>3280</v>
      </c>
      <c r="D684" t="s">
        <v>13</v>
      </c>
      <c r="E684" t="s">
        <v>75</v>
      </c>
      <c r="F684" t="s">
        <v>10620</v>
      </c>
      <c r="H684" t="s">
        <v>10619</v>
      </c>
      <c r="I684" t="s">
        <v>8227</v>
      </c>
      <c r="J684" t="s">
        <v>6947</v>
      </c>
      <c r="K684" t="s">
        <v>13</v>
      </c>
      <c r="L684" t="s">
        <v>75</v>
      </c>
      <c r="M684" t="s">
        <v>10620</v>
      </c>
    </row>
    <row r="685" spans="1:13">
      <c r="A685" t="s">
        <v>10619</v>
      </c>
      <c r="B685" t="s">
        <v>4874</v>
      </c>
      <c r="C685" t="s">
        <v>3282</v>
      </c>
      <c r="D685" t="s">
        <v>13</v>
      </c>
      <c r="E685" t="s">
        <v>75</v>
      </c>
      <c r="F685" t="s">
        <v>10620</v>
      </c>
      <c r="H685" t="s">
        <v>10619</v>
      </c>
      <c r="I685" t="s">
        <v>8228</v>
      </c>
      <c r="J685" t="s">
        <v>6944</v>
      </c>
      <c r="K685" t="s">
        <v>13</v>
      </c>
      <c r="L685" t="s">
        <v>75</v>
      </c>
      <c r="M685" t="s">
        <v>10620</v>
      </c>
    </row>
    <row r="686" spans="1:13">
      <c r="A686" t="s">
        <v>10619</v>
      </c>
      <c r="B686" t="s">
        <v>4875</v>
      </c>
      <c r="C686" t="s">
        <v>3284</v>
      </c>
      <c r="D686" t="s">
        <v>13</v>
      </c>
      <c r="E686" t="s">
        <v>75</v>
      </c>
      <c r="F686" t="s">
        <v>10620</v>
      </c>
      <c r="H686" t="s">
        <v>10619</v>
      </c>
      <c r="I686" t="s">
        <v>8229</v>
      </c>
      <c r="J686" t="s">
        <v>6947</v>
      </c>
      <c r="K686" t="s">
        <v>13</v>
      </c>
      <c r="L686" t="s">
        <v>75</v>
      </c>
      <c r="M686" t="s">
        <v>10620</v>
      </c>
    </row>
    <row r="687" spans="1:13">
      <c r="A687" t="s">
        <v>10619</v>
      </c>
      <c r="B687" t="s">
        <v>4876</v>
      </c>
      <c r="C687" t="s">
        <v>3286</v>
      </c>
      <c r="D687" t="s">
        <v>13</v>
      </c>
      <c r="E687" t="s">
        <v>75</v>
      </c>
      <c r="F687" t="s">
        <v>10620</v>
      </c>
      <c r="H687" t="s">
        <v>10619</v>
      </c>
      <c r="I687" t="s">
        <v>8230</v>
      </c>
      <c r="J687" t="s">
        <v>6951</v>
      </c>
      <c r="K687" t="s">
        <v>13</v>
      </c>
      <c r="L687" t="s">
        <v>75</v>
      </c>
      <c r="M687" t="s">
        <v>10624</v>
      </c>
    </row>
    <row r="688" spans="1:13">
      <c r="A688" t="s">
        <v>10619</v>
      </c>
      <c r="B688" t="s">
        <v>4877</v>
      </c>
      <c r="C688" t="s">
        <v>3288</v>
      </c>
      <c r="D688" t="s">
        <v>13</v>
      </c>
      <c r="E688" t="s">
        <v>75</v>
      </c>
      <c r="F688" t="s">
        <v>10620</v>
      </c>
      <c r="H688" t="s">
        <v>10619</v>
      </c>
      <c r="I688" t="s">
        <v>8231</v>
      </c>
      <c r="J688" t="s">
        <v>6953</v>
      </c>
      <c r="K688" t="s">
        <v>13</v>
      </c>
      <c r="L688" t="s">
        <v>75</v>
      </c>
      <c r="M688" t="s">
        <v>10624</v>
      </c>
    </row>
    <row r="689" spans="1:13">
      <c r="A689" t="s">
        <v>10619</v>
      </c>
      <c r="B689" t="s">
        <v>4878</v>
      </c>
      <c r="C689" t="s">
        <v>3290</v>
      </c>
      <c r="D689" t="s">
        <v>13</v>
      </c>
      <c r="E689" t="s">
        <v>75</v>
      </c>
      <c r="F689" t="s">
        <v>10620</v>
      </c>
      <c r="H689" t="s">
        <v>10619</v>
      </c>
      <c r="I689" t="s">
        <v>8232</v>
      </c>
      <c r="J689" t="s">
        <v>6955</v>
      </c>
      <c r="K689" t="s">
        <v>13</v>
      </c>
      <c r="L689" t="s">
        <v>75</v>
      </c>
      <c r="M689" t="s">
        <v>10624</v>
      </c>
    </row>
    <row r="690" spans="1:13">
      <c r="A690" t="s">
        <v>10619</v>
      </c>
      <c r="B690" t="s">
        <v>4879</v>
      </c>
      <c r="C690" t="s">
        <v>3292</v>
      </c>
      <c r="D690" t="s">
        <v>13</v>
      </c>
      <c r="E690" t="s">
        <v>75</v>
      </c>
      <c r="F690" t="s">
        <v>10620</v>
      </c>
      <c r="H690" t="s">
        <v>10619</v>
      </c>
      <c r="I690" t="s">
        <v>8233</v>
      </c>
      <c r="J690" t="s">
        <v>6957</v>
      </c>
      <c r="K690" t="s">
        <v>13</v>
      </c>
      <c r="L690" t="s">
        <v>75</v>
      </c>
      <c r="M690" t="s">
        <v>10624</v>
      </c>
    </row>
    <row r="691" spans="1:13">
      <c r="A691" t="s">
        <v>10619</v>
      </c>
      <c r="B691" t="s">
        <v>4880</v>
      </c>
      <c r="C691" t="s">
        <v>3292</v>
      </c>
      <c r="D691" t="s">
        <v>13</v>
      </c>
      <c r="E691" t="s">
        <v>75</v>
      </c>
      <c r="F691" t="s">
        <v>10620</v>
      </c>
      <c r="H691" t="s">
        <v>10619</v>
      </c>
      <c r="I691" t="s">
        <v>8234</v>
      </c>
      <c r="J691" t="s">
        <v>6959</v>
      </c>
      <c r="K691" t="s">
        <v>13</v>
      </c>
      <c r="L691" t="s">
        <v>75</v>
      </c>
      <c r="M691" t="s">
        <v>10624</v>
      </c>
    </row>
    <row r="692" spans="1:13">
      <c r="A692" t="s">
        <v>10619</v>
      </c>
      <c r="B692" t="s">
        <v>4881</v>
      </c>
      <c r="C692" t="s">
        <v>3295</v>
      </c>
      <c r="D692" t="s">
        <v>13</v>
      </c>
      <c r="E692" t="s">
        <v>75</v>
      </c>
      <c r="F692" t="s">
        <v>10620</v>
      </c>
      <c r="H692" t="s">
        <v>10619</v>
      </c>
      <c r="I692" t="s">
        <v>8235</v>
      </c>
      <c r="J692" t="s">
        <v>6961</v>
      </c>
      <c r="K692" t="s">
        <v>13</v>
      </c>
      <c r="L692" t="s">
        <v>75</v>
      </c>
      <c r="M692" t="s">
        <v>10624</v>
      </c>
    </row>
    <row r="693" spans="1:13">
      <c r="A693" t="s">
        <v>10619</v>
      </c>
      <c r="B693" t="s">
        <v>4882</v>
      </c>
      <c r="C693" t="s">
        <v>3297</v>
      </c>
      <c r="D693" t="s">
        <v>13</v>
      </c>
      <c r="E693" t="s">
        <v>75</v>
      </c>
      <c r="F693" t="s">
        <v>10620</v>
      </c>
      <c r="H693" t="s">
        <v>10619</v>
      </c>
      <c r="I693" t="s">
        <v>8236</v>
      </c>
      <c r="J693" t="s">
        <v>6963</v>
      </c>
      <c r="K693" t="s">
        <v>13</v>
      </c>
      <c r="L693" t="s">
        <v>75</v>
      </c>
      <c r="M693" t="s">
        <v>10624</v>
      </c>
    </row>
    <row r="694" spans="1:13">
      <c r="A694" t="s">
        <v>10619</v>
      </c>
      <c r="B694" t="s">
        <v>4883</v>
      </c>
      <c r="C694" t="s">
        <v>3299</v>
      </c>
      <c r="D694" t="s">
        <v>13</v>
      </c>
      <c r="E694" t="s">
        <v>75</v>
      </c>
      <c r="F694" t="s">
        <v>10620</v>
      </c>
      <c r="H694" t="s">
        <v>10619</v>
      </c>
      <c r="I694" t="s">
        <v>8237</v>
      </c>
      <c r="J694" t="s">
        <v>6965</v>
      </c>
      <c r="K694" t="s">
        <v>13</v>
      </c>
      <c r="L694" t="s">
        <v>75</v>
      </c>
      <c r="M694" t="s">
        <v>10620</v>
      </c>
    </row>
    <row r="695" spans="1:13">
      <c r="A695" t="s">
        <v>10619</v>
      </c>
      <c r="B695" t="s">
        <v>4884</v>
      </c>
      <c r="C695" t="s">
        <v>3301</v>
      </c>
      <c r="D695" t="s">
        <v>13</v>
      </c>
      <c r="E695" t="s">
        <v>75</v>
      </c>
      <c r="F695" t="s">
        <v>10620</v>
      </c>
      <c r="H695" t="s">
        <v>10619</v>
      </c>
      <c r="I695" t="s">
        <v>8238</v>
      </c>
      <c r="J695" t="s">
        <v>6967</v>
      </c>
      <c r="K695" t="s">
        <v>13</v>
      </c>
      <c r="L695" t="s">
        <v>75</v>
      </c>
      <c r="M695" t="s">
        <v>10620</v>
      </c>
    </row>
    <row r="696" spans="1:13">
      <c r="A696" t="s">
        <v>10619</v>
      </c>
      <c r="B696" t="s">
        <v>4885</v>
      </c>
      <c r="C696" t="s">
        <v>3303</v>
      </c>
      <c r="D696" t="s">
        <v>13</v>
      </c>
      <c r="E696" t="s">
        <v>75</v>
      </c>
      <c r="F696" t="s">
        <v>10620</v>
      </c>
      <c r="H696" t="s">
        <v>10619</v>
      </c>
      <c r="I696" t="s">
        <v>8239</v>
      </c>
      <c r="J696" t="s">
        <v>6969</v>
      </c>
      <c r="K696" t="s">
        <v>13</v>
      </c>
      <c r="L696" t="s">
        <v>75</v>
      </c>
      <c r="M696" t="s">
        <v>10620</v>
      </c>
    </row>
    <row r="697" spans="1:13">
      <c r="A697" t="s">
        <v>10619</v>
      </c>
      <c r="B697" t="s">
        <v>4886</v>
      </c>
      <c r="C697" t="s">
        <v>3305</v>
      </c>
      <c r="D697" t="s">
        <v>13</v>
      </c>
      <c r="E697" t="s">
        <v>75</v>
      </c>
      <c r="F697" t="s">
        <v>10620</v>
      </c>
      <c r="H697" t="s">
        <v>10619</v>
      </c>
      <c r="I697" t="s">
        <v>8240</v>
      </c>
      <c r="J697" t="s">
        <v>6971</v>
      </c>
      <c r="K697" t="s">
        <v>13</v>
      </c>
      <c r="L697" t="s">
        <v>75</v>
      </c>
      <c r="M697" t="s">
        <v>10620</v>
      </c>
    </row>
    <row r="698" spans="1:13">
      <c r="A698" t="s">
        <v>10619</v>
      </c>
      <c r="B698" t="s">
        <v>4887</v>
      </c>
      <c r="C698" t="s">
        <v>3307</v>
      </c>
      <c r="D698" t="s">
        <v>13</v>
      </c>
      <c r="E698" t="s">
        <v>75</v>
      </c>
      <c r="F698" t="s">
        <v>10621</v>
      </c>
      <c r="H698" t="s">
        <v>10619</v>
      </c>
      <c r="I698" t="s">
        <v>8241</v>
      </c>
      <c r="J698" t="s">
        <v>6973</v>
      </c>
      <c r="K698" t="s">
        <v>13</v>
      </c>
      <c r="L698" t="s">
        <v>75</v>
      </c>
      <c r="M698" t="s">
        <v>10620</v>
      </c>
    </row>
    <row r="699" spans="1:13">
      <c r="A699" t="s">
        <v>10619</v>
      </c>
      <c r="B699" t="s">
        <v>4888</v>
      </c>
      <c r="C699" t="s">
        <v>3309</v>
      </c>
      <c r="D699" t="s">
        <v>13</v>
      </c>
      <c r="E699" t="s">
        <v>75</v>
      </c>
      <c r="F699" t="s">
        <v>10621</v>
      </c>
      <c r="H699" t="s">
        <v>10619</v>
      </c>
      <c r="I699" t="s">
        <v>8242</v>
      </c>
      <c r="J699" t="s">
        <v>6975</v>
      </c>
      <c r="K699" t="s">
        <v>13</v>
      </c>
      <c r="L699" t="s">
        <v>75</v>
      </c>
      <c r="M699" t="s">
        <v>10620</v>
      </c>
    </row>
    <row r="700" spans="1:13">
      <c r="A700" t="s">
        <v>10619</v>
      </c>
      <c r="B700" t="s">
        <v>4889</v>
      </c>
      <c r="C700" t="s">
        <v>3311</v>
      </c>
      <c r="D700" t="s">
        <v>13</v>
      </c>
      <c r="E700" t="s">
        <v>75</v>
      </c>
      <c r="F700" t="s">
        <v>10621</v>
      </c>
      <c r="H700" t="s">
        <v>10619</v>
      </c>
      <c r="I700" t="s">
        <v>8243</v>
      </c>
      <c r="J700" t="s">
        <v>6977</v>
      </c>
      <c r="K700" t="s">
        <v>13</v>
      </c>
      <c r="L700" t="s">
        <v>75</v>
      </c>
      <c r="M700" t="s">
        <v>10620</v>
      </c>
    </row>
    <row r="701" spans="1:13">
      <c r="A701" t="s">
        <v>10619</v>
      </c>
      <c r="B701" t="s">
        <v>4890</v>
      </c>
      <c r="C701" t="s">
        <v>3313</v>
      </c>
      <c r="D701" t="s">
        <v>13</v>
      </c>
      <c r="E701" t="s">
        <v>75</v>
      </c>
      <c r="F701" t="s">
        <v>10621</v>
      </c>
      <c r="H701" t="s">
        <v>10619</v>
      </c>
      <c r="I701" t="s">
        <v>8244</v>
      </c>
      <c r="J701" t="s">
        <v>6979</v>
      </c>
      <c r="K701" t="s">
        <v>13</v>
      </c>
      <c r="L701" t="s">
        <v>75</v>
      </c>
      <c r="M701" t="s">
        <v>10620</v>
      </c>
    </row>
    <row r="702" spans="1:13">
      <c r="A702" t="s">
        <v>10619</v>
      </c>
      <c r="B702" t="s">
        <v>4891</v>
      </c>
      <c r="C702" t="s">
        <v>3315</v>
      </c>
      <c r="D702" t="s">
        <v>13</v>
      </c>
      <c r="E702" t="s">
        <v>75</v>
      </c>
      <c r="F702" t="s">
        <v>10621</v>
      </c>
      <c r="H702" t="s">
        <v>10619</v>
      </c>
      <c r="I702" t="s">
        <v>8245</v>
      </c>
      <c r="J702" t="s">
        <v>6981</v>
      </c>
      <c r="K702" t="s">
        <v>13</v>
      </c>
      <c r="L702" t="s">
        <v>75</v>
      </c>
      <c r="M702" t="s">
        <v>10620</v>
      </c>
    </row>
    <row r="703" spans="1:13">
      <c r="A703" t="s">
        <v>10619</v>
      </c>
      <c r="B703" t="s">
        <v>4892</v>
      </c>
      <c r="C703" t="s">
        <v>3317</v>
      </c>
      <c r="D703" t="s">
        <v>13</v>
      </c>
      <c r="E703" t="s">
        <v>75</v>
      </c>
      <c r="F703" t="s">
        <v>10621</v>
      </c>
      <c r="H703" t="s">
        <v>10619</v>
      </c>
      <c r="I703" t="s">
        <v>8246</v>
      </c>
      <c r="J703" t="s">
        <v>6983</v>
      </c>
      <c r="K703" t="s">
        <v>13</v>
      </c>
      <c r="L703" t="s">
        <v>75</v>
      </c>
      <c r="M703" t="s">
        <v>10620</v>
      </c>
    </row>
    <row r="704" spans="1:13">
      <c r="A704" t="s">
        <v>10619</v>
      </c>
      <c r="B704" t="s">
        <v>4893</v>
      </c>
      <c r="C704" t="s">
        <v>3319</v>
      </c>
      <c r="D704" t="s">
        <v>13</v>
      </c>
      <c r="E704" t="s">
        <v>75</v>
      </c>
      <c r="F704" t="s">
        <v>10621</v>
      </c>
      <c r="H704" t="s">
        <v>10619</v>
      </c>
      <c r="I704" t="s">
        <v>8247</v>
      </c>
      <c r="J704" t="s">
        <v>6985</v>
      </c>
      <c r="K704" t="s">
        <v>13</v>
      </c>
      <c r="L704" t="s">
        <v>75</v>
      </c>
      <c r="M704" t="s">
        <v>10620</v>
      </c>
    </row>
    <row r="705" spans="1:13">
      <c r="A705" t="s">
        <v>10619</v>
      </c>
      <c r="B705" t="s">
        <v>4894</v>
      </c>
      <c r="C705" t="s">
        <v>3321</v>
      </c>
      <c r="D705" t="s">
        <v>13</v>
      </c>
      <c r="E705" t="s">
        <v>75</v>
      </c>
      <c r="F705" t="s">
        <v>10621</v>
      </c>
      <c r="H705" t="s">
        <v>10619</v>
      </c>
      <c r="I705" t="s">
        <v>8248</v>
      </c>
      <c r="J705" t="s">
        <v>6987</v>
      </c>
      <c r="K705" t="s">
        <v>13</v>
      </c>
      <c r="L705" t="s">
        <v>75</v>
      </c>
      <c r="M705" t="s">
        <v>10620</v>
      </c>
    </row>
    <row r="706" spans="1:13">
      <c r="A706" t="s">
        <v>10619</v>
      </c>
      <c r="B706" t="s">
        <v>4895</v>
      </c>
      <c r="C706" t="s">
        <v>3323</v>
      </c>
      <c r="D706" t="s">
        <v>13</v>
      </c>
      <c r="E706" t="s">
        <v>75</v>
      </c>
      <c r="F706" t="s">
        <v>10621</v>
      </c>
      <c r="H706" t="s">
        <v>10619</v>
      </c>
      <c r="I706" t="s">
        <v>8249</v>
      </c>
      <c r="J706" t="s">
        <v>6989</v>
      </c>
      <c r="K706" t="s">
        <v>13</v>
      </c>
      <c r="L706" t="s">
        <v>75</v>
      </c>
      <c r="M706" t="s">
        <v>548</v>
      </c>
    </row>
    <row r="707" spans="1:13">
      <c r="A707" t="s">
        <v>10619</v>
      </c>
      <c r="B707" t="s">
        <v>4896</v>
      </c>
      <c r="C707" t="s">
        <v>3325</v>
      </c>
      <c r="D707" t="s">
        <v>13</v>
      </c>
      <c r="E707" t="s">
        <v>75</v>
      </c>
      <c r="F707" t="s">
        <v>10621</v>
      </c>
      <c r="H707" t="s">
        <v>10619</v>
      </c>
      <c r="I707" t="s">
        <v>8250</v>
      </c>
      <c r="J707" t="s">
        <v>6991</v>
      </c>
      <c r="K707" t="s">
        <v>13</v>
      </c>
      <c r="L707" t="s">
        <v>75</v>
      </c>
      <c r="M707" t="s">
        <v>548</v>
      </c>
    </row>
    <row r="708" spans="1:13">
      <c r="A708" t="s">
        <v>10619</v>
      </c>
      <c r="B708" t="s">
        <v>4897</v>
      </c>
      <c r="C708" t="s">
        <v>3327</v>
      </c>
      <c r="D708" t="s">
        <v>13</v>
      </c>
      <c r="E708" t="s">
        <v>75</v>
      </c>
      <c r="F708" t="s">
        <v>10621</v>
      </c>
      <c r="H708" t="s">
        <v>10619</v>
      </c>
      <c r="I708" t="s">
        <v>8251</v>
      </c>
      <c r="J708" t="s">
        <v>6993</v>
      </c>
      <c r="K708" t="s">
        <v>13</v>
      </c>
      <c r="L708" t="s">
        <v>75</v>
      </c>
      <c r="M708" t="s">
        <v>548</v>
      </c>
    </row>
    <row r="709" spans="1:13">
      <c r="A709" t="s">
        <v>10619</v>
      </c>
      <c r="B709" t="s">
        <v>4898</v>
      </c>
      <c r="C709" t="s">
        <v>3329</v>
      </c>
      <c r="D709" t="s">
        <v>13</v>
      </c>
      <c r="E709" t="s">
        <v>75</v>
      </c>
      <c r="F709" t="s">
        <v>10621</v>
      </c>
      <c r="H709" t="s">
        <v>10619</v>
      </c>
      <c r="I709" t="s">
        <v>8252</v>
      </c>
      <c r="J709" t="s">
        <v>6995</v>
      </c>
      <c r="K709" t="s">
        <v>13</v>
      </c>
      <c r="L709" t="s">
        <v>75</v>
      </c>
      <c r="M709" t="s">
        <v>548</v>
      </c>
    </row>
    <row r="710" spans="1:13">
      <c r="A710" t="s">
        <v>10619</v>
      </c>
      <c r="B710" t="s">
        <v>4899</v>
      </c>
      <c r="C710" t="s">
        <v>3331</v>
      </c>
      <c r="D710" t="s">
        <v>13</v>
      </c>
      <c r="E710" t="s">
        <v>75</v>
      </c>
      <c r="F710" t="s">
        <v>10621</v>
      </c>
      <c r="H710" t="s">
        <v>10619</v>
      </c>
      <c r="I710" t="s">
        <v>8253</v>
      </c>
      <c r="J710" t="s">
        <v>6997</v>
      </c>
      <c r="K710" t="s">
        <v>13</v>
      </c>
      <c r="L710" t="s">
        <v>75</v>
      </c>
      <c r="M710" t="s">
        <v>548</v>
      </c>
    </row>
    <row r="711" spans="1:13">
      <c r="A711" t="s">
        <v>10619</v>
      </c>
      <c r="B711" t="s">
        <v>4900</v>
      </c>
      <c r="C711" t="s">
        <v>3333</v>
      </c>
      <c r="D711" t="s">
        <v>13</v>
      </c>
      <c r="E711" t="s">
        <v>75</v>
      </c>
      <c r="F711" t="s">
        <v>10621</v>
      </c>
      <c r="H711" t="s">
        <v>10619</v>
      </c>
      <c r="I711" t="s">
        <v>8254</v>
      </c>
      <c r="J711" t="s">
        <v>6999</v>
      </c>
      <c r="K711" t="s">
        <v>13</v>
      </c>
      <c r="L711" t="s">
        <v>75</v>
      </c>
      <c r="M711" t="s">
        <v>548</v>
      </c>
    </row>
    <row r="712" spans="1:13">
      <c r="A712" t="s">
        <v>10619</v>
      </c>
      <c r="B712" t="s">
        <v>4901</v>
      </c>
      <c r="C712" t="s">
        <v>3335</v>
      </c>
      <c r="D712" t="s">
        <v>13</v>
      </c>
      <c r="E712" t="s">
        <v>75</v>
      </c>
      <c r="F712" t="s">
        <v>10621</v>
      </c>
      <c r="H712" t="s">
        <v>10619</v>
      </c>
      <c r="I712" t="s">
        <v>8255</v>
      </c>
      <c r="J712" t="s">
        <v>7001</v>
      </c>
      <c r="K712" t="s">
        <v>13</v>
      </c>
      <c r="L712" t="s">
        <v>75</v>
      </c>
      <c r="M712" t="s">
        <v>548</v>
      </c>
    </row>
    <row r="713" spans="1:13">
      <c r="A713" t="s">
        <v>10619</v>
      </c>
      <c r="B713" t="s">
        <v>4902</v>
      </c>
      <c r="C713" t="s">
        <v>3337</v>
      </c>
      <c r="D713" t="s">
        <v>13</v>
      </c>
      <c r="E713" t="s">
        <v>75</v>
      </c>
      <c r="F713" t="s">
        <v>10621</v>
      </c>
      <c r="H713" t="s">
        <v>10619</v>
      </c>
      <c r="I713" t="s">
        <v>8256</v>
      </c>
      <c r="J713" t="s">
        <v>7003</v>
      </c>
      <c r="K713" t="s">
        <v>13</v>
      </c>
      <c r="L713" t="s">
        <v>75</v>
      </c>
      <c r="M713" t="s">
        <v>10624</v>
      </c>
    </row>
    <row r="714" spans="1:13">
      <c r="A714" t="s">
        <v>10619</v>
      </c>
      <c r="B714" t="s">
        <v>4903</v>
      </c>
      <c r="C714" t="s">
        <v>3337</v>
      </c>
      <c r="D714" t="s">
        <v>13</v>
      </c>
      <c r="E714" t="s">
        <v>75</v>
      </c>
      <c r="F714" t="s">
        <v>10621</v>
      </c>
      <c r="H714" t="s">
        <v>10619</v>
      </c>
      <c r="I714" t="s">
        <v>8257</v>
      </c>
      <c r="J714" t="s">
        <v>7003</v>
      </c>
      <c r="K714" t="s">
        <v>13</v>
      </c>
      <c r="L714" t="s">
        <v>75</v>
      </c>
      <c r="M714" t="s">
        <v>10624</v>
      </c>
    </row>
    <row r="715" spans="1:13">
      <c r="A715" t="s">
        <v>10619</v>
      </c>
      <c r="B715" t="s">
        <v>4904</v>
      </c>
      <c r="C715" t="s">
        <v>3340</v>
      </c>
      <c r="D715" t="s">
        <v>13</v>
      </c>
      <c r="E715" t="s">
        <v>75</v>
      </c>
      <c r="F715" t="s">
        <v>10621</v>
      </c>
      <c r="H715" t="s">
        <v>10619</v>
      </c>
      <c r="I715" t="s">
        <v>8258</v>
      </c>
      <c r="J715" t="s">
        <v>7006</v>
      </c>
      <c r="K715" t="s">
        <v>13</v>
      </c>
      <c r="L715" t="s">
        <v>75</v>
      </c>
      <c r="M715" t="s">
        <v>10624</v>
      </c>
    </row>
    <row r="716" spans="1:13">
      <c r="A716" t="s">
        <v>10619</v>
      </c>
      <c r="B716" t="s">
        <v>4905</v>
      </c>
      <c r="C716" t="s">
        <v>3340</v>
      </c>
      <c r="D716" t="s">
        <v>13</v>
      </c>
      <c r="E716" t="s">
        <v>75</v>
      </c>
      <c r="F716" t="s">
        <v>10621</v>
      </c>
      <c r="H716" t="s">
        <v>10619</v>
      </c>
      <c r="I716" t="s">
        <v>8259</v>
      </c>
      <c r="J716" t="s">
        <v>7008</v>
      </c>
      <c r="K716" t="s">
        <v>13</v>
      </c>
      <c r="L716" t="s">
        <v>75</v>
      </c>
      <c r="M716" t="s">
        <v>10620</v>
      </c>
    </row>
    <row r="717" spans="1:13">
      <c r="A717" t="s">
        <v>10619</v>
      </c>
      <c r="B717" t="s">
        <v>4906</v>
      </c>
      <c r="C717" t="s">
        <v>3331</v>
      </c>
      <c r="D717" t="s">
        <v>13</v>
      </c>
      <c r="E717" t="s">
        <v>75</v>
      </c>
      <c r="F717" t="s">
        <v>10621</v>
      </c>
      <c r="H717" t="s">
        <v>10619</v>
      </c>
      <c r="I717" t="s">
        <v>8260</v>
      </c>
      <c r="J717" t="s">
        <v>7010</v>
      </c>
      <c r="K717" t="s">
        <v>13</v>
      </c>
      <c r="L717" t="s">
        <v>75</v>
      </c>
      <c r="M717" t="s">
        <v>10620</v>
      </c>
    </row>
    <row r="718" spans="1:13">
      <c r="A718" t="s">
        <v>10619</v>
      </c>
      <c r="B718" t="s">
        <v>4907</v>
      </c>
      <c r="C718" t="s">
        <v>3340</v>
      </c>
      <c r="D718" t="s">
        <v>13</v>
      </c>
      <c r="E718" t="s">
        <v>75</v>
      </c>
      <c r="F718" t="s">
        <v>10621</v>
      </c>
      <c r="H718" t="s">
        <v>10619</v>
      </c>
      <c r="I718" t="s">
        <v>8261</v>
      </c>
      <c r="J718" t="s">
        <v>7012</v>
      </c>
      <c r="K718" t="s">
        <v>13</v>
      </c>
      <c r="L718" t="s">
        <v>75</v>
      </c>
      <c r="M718" t="s">
        <v>10620</v>
      </c>
    </row>
    <row r="719" spans="1:13">
      <c r="A719" t="s">
        <v>10619</v>
      </c>
      <c r="B719" t="s">
        <v>4908</v>
      </c>
      <c r="C719" t="s">
        <v>3345</v>
      </c>
      <c r="D719" t="s">
        <v>13</v>
      </c>
      <c r="E719" t="s">
        <v>75</v>
      </c>
      <c r="F719" t="s">
        <v>10621</v>
      </c>
      <c r="H719" t="s">
        <v>10619</v>
      </c>
      <c r="I719" t="s">
        <v>8262</v>
      </c>
      <c r="J719" t="s">
        <v>7014</v>
      </c>
      <c r="K719" t="s">
        <v>13</v>
      </c>
      <c r="L719" t="s">
        <v>75</v>
      </c>
      <c r="M719" t="s">
        <v>10620</v>
      </c>
    </row>
    <row r="720" spans="1:13">
      <c r="A720" t="s">
        <v>10619</v>
      </c>
      <c r="B720" t="s">
        <v>4909</v>
      </c>
      <c r="C720" t="s">
        <v>3347</v>
      </c>
      <c r="D720" t="s">
        <v>13</v>
      </c>
      <c r="E720" t="s">
        <v>75</v>
      </c>
      <c r="F720" t="s">
        <v>10621</v>
      </c>
      <c r="H720" t="s">
        <v>10619</v>
      </c>
      <c r="I720" t="s">
        <v>8263</v>
      </c>
      <c r="J720" t="s">
        <v>7016</v>
      </c>
      <c r="K720" t="s">
        <v>13</v>
      </c>
      <c r="L720" t="s">
        <v>75</v>
      </c>
      <c r="M720" t="s">
        <v>10620</v>
      </c>
    </row>
    <row r="721" spans="1:13">
      <c r="A721" t="s">
        <v>10619</v>
      </c>
      <c r="B721" t="s">
        <v>4910</v>
      </c>
      <c r="C721" t="s">
        <v>3349</v>
      </c>
      <c r="D721" t="s">
        <v>13</v>
      </c>
      <c r="E721" t="s">
        <v>75</v>
      </c>
      <c r="F721" t="s">
        <v>10621</v>
      </c>
      <c r="H721" t="s">
        <v>10619</v>
      </c>
      <c r="I721" t="s">
        <v>8264</v>
      </c>
      <c r="J721" t="s">
        <v>7018</v>
      </c>
      <c r="K721" t="s">
        <v>13</v>
      </c>
      <c r="L721" t="s">
        <v>75</v>
      </c>
      <c r="M721" t="s">
        <v>10631</v>
      </c>
    </row>
    <row r="722" spans="1:13">
      <c r="A722" t="s">
        <v>10619</v>
      </c>
      <c r="B722" t="s">
        <v>4911</v>
      </c>
      <c r="C722" t="s">
        <v>3351</v>
      </c>
      <c r="D722" t="s">
        <v>13</v>
      </c>
      <c r="E722" t="s">
        <v>75</v>
      </c>
      <c r="F722" t="s">
        <v>10621</v>
      </c>
      <c r="H722" t="s">
        <v>10619</v>
      </c>
      <c r="I722" t="s">
        <v>8265</v>
      </c>
      <c r="J722" t="s">
        <v>7020</v>
      </c>
      <c r="K722" t="s">
        <v>13</v>
      </c>
      <c r="L722" t="s">
        <v>75</v>
      </c>
      <c r="M722" t="s">
        <v>10631</v>
      </c>
    </row>
    <row r="723" spans="1:13">
      <c r="A723" t="s">
        <v>10619</v>
      </c>
      <c r="B723" t="s">
        <v>4912</v>
      </c>
      <c r="C723" t="s">
        <v>3353</v>
      </c>
      <c r="D723" t="s">
        <v>13</v>
      </c>
      <c r="E723" t="s">
        <v>75</v>
      </c>
      <c r="F723" t="s">
        <v>10621</v>
      </c>
      <c r="H723" t="s">
        <v>10619</v>
      </c>
      <c r="I723" t="s">
        <v>8266</v>
      </c>
      <c r="J723" t="s">
        <v>7022</v>
      </c>
      <c r="K723" t="s">
        <v>13</v>
      </c>
      <c r="L723" t="s">
        <v>75</v>
      </c>
      <c r="M723" t="s">
        <v>10631</v>
      </c>
    </row>
    <row r="724" spans="1:13">
      <c r="A724" t="s">
        <v>10619</v>
      </c>
      <c r="B724" t="s">
        <v>4913</v>
      </c>
      <c r="C724" t="s">
        <v>3355</v>
      </c>
      <c r="D724" t="s">
        <v>13</v>
      </c>
      <c r="E724" t="s">
        <v>75</v>
      </c>
      <c r="F724" t="s">
        <v>10620</v>
      </c>
      <c r="H724" t="s">
        <v>10619</v>
      </c>
      <c r="I724" t="s">
        <v>8267</v>
      </c>
      <c r="J724" t="s">
        <v>7024</v>
      </c>
      <c r="K724" t="s">
        <v>13</v>
      </c>
      <c r="L724" t="s">
        <v>75</v>
      </c>
      <c r="M724" t="s">
        <v>10631</v>
      </c>
    </row>
    <row r="725" spans="1:13">
      <c r="A725" t="s">
        <v>10619</v>
      </c>
      <c r="B725" t="s">
        <v>4914</v>
      </c>
      <c r="C725" t="s">
        <v>3357</v>
      </c>
      <c r="D725" t="s">
        <v>13</v>
      </c>
      <c r="E725" t="s">
        <v>75</v>
      </c>
      <c r="F725" t="s">
        <v>10620</v>
      </c>
      <c r="H725" t="s">
        <v>10619</v>
      </c>
      <c r="I725" t="s">
        <v>8268</v>
      </c>
      <c r="J725" t="s">
        <v>7026</v>
      </c>
      <c r="K725" t="s">
        <v>13</v>
      </c>
      <c r="L725" t="s">
        <v>75</v>
      </c>
      <c r="M725" t="s">
        <v>10631</v>
      </c>
    </row>
    <row r="726" spans="1:13">
      <c r="A726" t="s">
        <v>10619</v>
      </c>
      <c r="B726" t="s">
        <v>4915</v>
      </c>
      <c r="C726" t="s">
        <v>3359</v>
      </c>
      <c r="D726" t="s">
        <v>13</v>
      </c>
      <c r="E726" t="s">
        <v>75</v>
      </c>
      <c r="F726" t="s">
        <v>10620</v>
      </c>
      <c r="H726" t="s">
        <v>10619</v>
      </c>
      <c r="I726" t="s">
        <v>8269</v>
      </c>
      <c r="J726" t="s">
        <v>7028</v>
      </c>
      <c r="K726" t="s">
        <v>13</v>
      </c>
      <c r="L726" t="s">
        <v>75</v>
      </c>
      <c r="M726" t="s">
        <v>10624</v>
      </c>
    </row>
    <row r="727" spans="1:13">
      <c r="A727" t="s">
        <v>10619</v>
      </c>
      <c r="B727" t="s">
        <v>4916</v>
      </c>
      <c r="C727" t="s">
        <v>3357</v>
      </c>
      <c r="D727" t="s">
        <v>13</v>
      </c>
      <c r="E727" t="s">
        <v>75</v>
      </c>
      <c r="F727" t="s">
        <v>10620</v>
      </c>
      <c r="H727" t="s">
        <v>10619</v>
      </c>
      <c r="I727" t="s">
        <v>8270</v>
      </c>
      <c r="J727" t="s">
        <v>7030</v>
      </c>
      <c r="K727" t="s">
        <v>13</v>
      </c>
      <c r="L727" t="s">
        <v>75</v>
      </c>
      <c r="M727" t="s">
        <v>10624</v>
      </c>
    </row>
    <row r="728" spans="1:13">
      <c r="A728" t="s">
        <v>10619</v>
      </c>
      <c r="B728" t="s">
        <v>4917</v>
      </c>
      <c r="C728" t="s">
        <v>3359</v>
      </c>
      <c r="D728" t="s">
        <v>13</v>
      </c>
      <c r="E728" t="s">
        <v>75</v>
      </c>
      <c r="F728" t="s">
        <v>10620</v>
      </c>
      <c r="H728" t="s">
        <v>10619</v>
      </c>
      <c r="I728" t="s">
        <v>8271</v>
      </c>
      <c r="J728" t="s">
        <v>7032</v>
      </c>
      <c r="K728" t="s">
        <v>13</v>
      </c>
      <c r="L728" t="s">
        <v>75</v>
      </c>
      <c r="M728" t="s">
        <v>10624</v>
      </c>
    </row>
    <row r="729" spans="1:13">
      <c r="A729" t="s">
        <v>10619</v>
      </c>
      <c r="B729" t="s">
        <v>4918</v>
      </c>
      <c r="C729" t="s">
        <v>3363</v>
      </c>
      <c r="D729" t="s">
        <v>13</v>
      </c>
      <c r="E729" t="s">
        <v>75</v>
      </c>
      <c r="F729" t="s">
        <v>10620</v>
      </c>
      <c r="H729" t="s">
        <v>10619</v>
      </c>
      <c r="I729" t="s">
        <v>8272</v>
      </c>
      <c r="J729" t="s">
        <v>7034</v>
      </c>
      <c r="K729" t="s">
        <v>13</v>
      </c>
      <c r="L729" t="s">
        <v>75</v>
      </c>
      <c r="M729" t="s">
        <v>10624</v>
      </c>
    </row>
    <row r="730" spans="1:13">
      <c r="A730" t="s">
        <v>10619</v>
      </c>
      <c r="B730" t="s">
        <v>4919</v>
      </c>
      <c r="C730" t="s">
        <v>3365</v>
      </c>
      <c r="D730" t="s">
        <v>13</v>
      </c>
      <c r="E730" t="s">
        <v>75</v>
      </c>
      <c r="F730" t="s">
        <v>10620</v>
      </c>
      <c r="H730" t="s">
        <v>10619</v>
      </c>
      <c r="I730" t="s">
        <v>8273</v>
      </c>
      <c r="J730" t="s">
        <v>7036</v>
      </c>
      <c r="K730" t="s">
        <v>13</v>
      </c>
      <c r="L730" t="s">
        <v>75</v>
      </c>
      <c r="M730" t="s">
        <v>10624</v>
      </c>
    </row>
    <row r="731" spans="1:13">
      <c r="A731" t="s">
        <v>10619</v>
      </c>
      <c r="B731" t="s">
        <v>4920</v>
      </c>
      <c r="C731" t="s">
        <v>3367</v>
      </c>
      <c r="D731" t="s">
        <v>13</v>
      </c>
      <c r="E731" t="s">
        <v>75</v>
      </c>
      <c r="F731" t="s">
        <v>10620</v>
      </c>
      <c r="H731" t="s">
        <v>10619</v>
      </c>
      <c r="I731" t="s">
        <v>8274</v>
      </c>
      <c r="J731" t="s">
        <v>7036</v>
      </c>
      <c r="K731" t="s">
        <v>13</v>
      </c>
      <c r="L731" t="s">
        <v>75</v>
      </c>
      <c r="M731" t="s">
        <v>10624</v>
      </c>
    </row>
    <row r="732" spans="1:13">
      <c r="A732" t="s">
        <v>10619</v>
      </c>
      <c r="B732" t="s">
        <v>4921</v>
      </c>
      <c r="C732" t="s">
        <v>3369</v>
      </c>
      <c r="D732" t="s">
        <v>13</v>
      </c>
      <c r="E732" t="s">
        <v>75</v>
      </c>
      <c r="F732" t="s">
        <v>10621</v>
      </c>
      <c r="H732" t="s">
        <v>10619</v>
      </c>
      <c r="I732" t="s">
        <v>8275</v>
      </c>
      <c r="J732" t="s">
        <v>7039</v>
      </c>
      <c r="K732" t="s">
        <v>13</v>
      </c>
      <c r="L732" t="s">
        <v>75</v>
      </c>
      <c r="M732" t="s">
        <v>10624</v>
      </c>
    </row>
    <row r="733" spans="1:13">
      <c r="A733" t="s">
        <v>10619</v>
      </c>
      <c r="B733" t="s">
        <v>4922</v>
      </c>
      <c r="C733" t="s">
        <v>3371</v>
      </c>
      <c r="D733" t="s">
        <v>13</v>
      </c>
      <c r="E733" t="s">
        <v>75</v>
      </c>
      <c r="F733" t="s">
        <v>10621</v>
      </c>
      <c r="H733" t="s">
        <v>10619</v>
      </c>
      <c r="I733" t="s">
        <v>8276</v>
      </c>
      <c r="J733" t="s">
        <v>7036</v>
      </c>
      <c r="K733" t="s">
        <v>13</v>
      </c>
      <c r="L733" t="s">
        <v>75</v>
      </c>
      <c r="M733" t="s">
        <v>10624</v>
      </c>
    </row>
    <row r="734" spans="1:13">
      <c r="A734" t="s">
        <v>10619</v>
      </c>
      <c r="B734" t="s">
        <v>4923</v>
      </c>
      <c r="C734" t="s">
        <v>3373</v>
      </c>
      <c r="D734" t="s">
        <v>13</v>
      </c>
      <c r="E734" t="s">
        <v>75</v>
      </c>
      <c r="F734" t="s">
        <v>10621</v>
      </c>
      <c r="H734" t="s">
        <v>10619</v>
      </c>
      <c r="I734" t="s">
        <v>8277</v>
      </c>
      <c r="J734" t="s">
        <v>7042</v>
      </c>
      <c r="K734" t="s">
        <v>13</v>
      </c>
      <c r="L734" t="s">
        <v>75</v>
      </c>
      <c r="M734" t="s">
        <v>10623</v>
      </c>
    </row>
    <row r="735" spans="1:13">
      <c r="A735" t="s">
        <v>10619</v>
      </c>
      <c r="B735" t="s">
        <v>4924</v>
      </c>
      <c r="C735" t="s">
        <v>3375</v>
      </c>
      <c r="D735" t="s">
        <v>13</v>
      </c>
      <c r="E735" t="s">
        <v>75</v>
      </c>
      <c r="F735" t="s">
        <v>10621</v>
      </c>
      <c r="H735" t="s">
        <v>10619</v>
      </c>
      <c r="I735" t="s">
        <v>8278</v>
      </c>
      <c r="J735" t="s">
        <v>7042</v>
      </c>
      <c r="K735" t="s">
        <v>13</v>
      </c>
      <c r="L735" t="s">
        <v>75</v>
      </c>
      <c r="M735" t="s">
        <v>10623</v>
      </c>
    </row>
    <row r="736" spans="1:13">
      <c r="A736" t="s">
        <v>10619</v>
      </c>
      <c r="B736" t="s">
        <v>4925</v>
      </c>
      <c r="C736" t="s">
        <v>3377</v>
      </c>
      <c r="D736" t="s">
        <v>13</v>
      </c>
      <c r="E736" t="s">
        <v>75</v>
      </c>
      <c r="F736" t="s">
        <v>10621</v>
      </c>
      <c r="H736" t="s">
        <v>10619</v>
      </c>
      <c r="I736" t="s">
        <v>8279</v>
      </c>
      <c r="J736" t="s">
        <v>7045</v>
      </c>
      <c r="K736" t="s">
        <v>13</v>
      </c>
      <c r="L736" t="s">
        <v>75</v>
      </c>
      <c r="M736" t="s">
        <v>10626</v>
      </c>
    </row>
    <row r="737" spans="1:13">
      <c r="A737" t="s">
        <v>10619</v>
      </c>
      <c r="B737" t="s">
        <v>4926</v>
      </c>
      <c r="C737" t="s">
        <v>3379</v>
      </c>
      <c r="D737" t="s">
        <v>13</v>
      </c>
      <c r="E737" t="s">
        <v>75</v>
      </c>
      <c r="F737" t="s">
        <v>10621</v>
      </c>
      <c r="H737" t="s">
        <v>10619</v>
      </c>
      <c r="I737" t="s">
        <v>8280</v>
      </c>
      <c r="J737" t="s">
        <v>7047</v>
      </c>
      <c r="K737" t="s">
        <v>13</v>
      </c>
      <c r="L737" t="s">
        <v>75</v>
      </c>
      <c r="M737" t="s">
        <v>10626</v>
      </c>
    </row>
    <row r="738" spans="1:13">
      <c r="A738" t="s">
        <v>10619</v>
      </c>
      <c r="B738" t="s">
        <v>4927</v>
      </c>
      <c r="C738" t="s">
        <v>3375</v>
      </c>
      <c r="D738" t="s">
        <v>13</v>
      </c>
      <c r="E738" t="s">
        <v>75</v>
      </c>
      <c r="F738" t="s">
        <v>10621</v>
      </c>
      <c r="H738" t="s">
        <v>10619</v>
      </c>
      <c r="I738" t="s">
        <v>8281</v>
      </c>
      <c r="J738" t="s">
        <v>7049</v>
      </c>
      <c r="K738" t="s">
        <v>13</v>
      </c>
      <c r="L738" t="s">
        <v>75</v>
      </c>
      <c r="M738" t="s">
        <v>10626</v>
      </c>
    </row>
    <row r="739" spans="1:13">
      <c r="A739" t="s">
        <v>10619</v>
      </c>
      <c r="B739" t="s">
        <v>4928</v>
      </c>
      <c r="C739" t="s">
        <v>3382</v>
      </c>
      <c r="D739" t="s">
        <v>13</v>
      </c>
      <c r="E739" t="s">
        <v>75</v>
      </c>
      <c r="F739" t="s">
        <v>10621</v>
      </c>
      <c r="H739" t="s">
        <v>10619</v>
      </c>
      <c r="I739" t="s">
        <v>8282</v>
      </c>
      <c r="J739" t="s">
        <v>7051</v>
      </c>
      <c r="K739" t="s">
        <v>13</v>
      </c>
      <c r="L739" t="s">
        <v>75</v>
      </c>
      <c r="M739" t="s">
        <v>10626</v>
      </c>
    </row>
    <row r="740" spans="1:13">
      <c r="A740" t="s">
        <v>10619</v>
      </c>
      <c r="B740" t="s">
        <v>4929</v>
      </c>
      <c r="C740" t="s">
        <v>3384</v>
      </c>
      <c r="D740" t="s">
        <v>13</v>
      </c>
      <c r="E740" t="s">
        <v>75</v>
      </c>
      <c r="F740" t="s">
        <v>10621</v>
      </c>
      <c r="H740" t="s">
        <v>10619</v>
      </c>
      <c r="I740" t="s">
        <v>8283</v>
      </c>
      <c r="J740" t="s">
        <v>7053</v>
      </c>
      <c r="K740" t="s">
        <v>13</v>
      </c>
      <c r="L740" t="s">
        <v>75</v>
      </c>
      <c r="M740" t="s">
        <v>10626</v>
      </c>
    </row>
    <row r="741" spans="1:13">
      <c r="A741" t="s">
        <v>10619</v>
      </c>
      <c r="B741" t="s">
        <v>4930</v>
      </c>
      <c r="C741" t="s">
        <v>3386</v>
      </c>
      <c r="D741" t="s">
        <v>13</v>
      </c>
      <c r="E741" t="s">
        <v>75</v>
      </c>
      <c r="F741" t="s">
        <v>10621</v>
      </c>
      <c r="H741" t="s">
        <v>10619</v>
      </c>
      <c r="I741" t="s">
        <v>8284</v>
      </c>
      <c r="J741" t="s">
        <v>7055</v>
      </c>
      <c r="K741" t="s">
        <v>13</v>
      </c>
      <c r="L741" t="s">
        <v>75</v>
      </c>
      <c r="M741" t="s">
        <v>10626</v>
      </c>
    </row>
    <row r="742" spans="1:13">
      <c r="A742" t="s">
        <v>10619</v>
      </c>
      <c r="B742" t="s">
        <v>4931</v>
      </c>
      <c r="C742" t="s">
        <v>3388</v>
      </c>
      <c r="D742" t="s">
        <v>13</v>
      </c>
      <c r="E742" t="s">
        <v>75</v>
      </c>
      <c r="F742" t="s">
        <v>10620</v>
      </c>
      <c r="H742" t="s">
        <v>10619</v>
      </c>
      <c r="I742" t="s">
        <v>8285</v>
      </c>
      <c r="J742" t="s">
        <v>7057</v>
      </c>
      <c r="K742" t="s">
        <v>13</v>
      </c>
      <c r="L742" t="s">
        <v>75</v>
      </c>
      <c r="M742" t="s">
        <v>123</v>
      </c>
    </row>
    <row r="743" spans="1:13">
      <c r="A743" t="s">
        <v>10619</v>
      </c>
      <c r="B743" t="s">
        <v>4932</v>
      </c>
      <c r="C743" t="s">
        <v>3390</v>
      </c>
      <c r="D743" t="s">
        <v>13</v>
      </c>
      <c r="E743" t="s">
        <v>75</v>
      </c>
      <c r="F743" t="s">
        <v>10620</v>
      </c>
      <c r="H743" t="s">
        <v>10619</v>
      </c>
      <c r="I743" t="s">
        <v>8286</v>
      </c>
      <c r="J743" t="s">
        <v>7059</v>
      </c>
      <c r="K743" t="s">
        <v>13</v>
      </c>
      <c r="L743" t="s">
        <v>75</v>
      </c>
      <c r="M743" t="s">
        <v>123</v>
      </c>
    </row>
    <row r="744" spans="1:13">
      <c r="A744" t="s">
        <v>10619</v>
      </c>
      <c r="B744" t="s">
        <v>4933</v>
      </c>
      <c r="C744" t="s">
        <v>3392</v>
      </c>
      <c r="D744" t="s">
        <v>13</v>
      </c>
      <c r="E744" t="s">
        <v>75</v>
      </c>
      <c r="F744" t="s">
        <v>10620</v>
      </c>
      <c r="H744" t="s">
        <v>10619</v>
      </c>
      <c r="I744" t="s">
        <v>8287</v>
      </c>
      <c r="J744" t="s">
        <v>7059</v>
      </c>
      <c r="K744" t="s">
        <v>13</v>
      </c>
      <c r="L744" t="s">
        <v>75</v>
      </c>
      <c r="M744" t="s">
        <v>123</v>
      </c>
    </row>
    <row r="745" spans="1:13">
      <c r="A745" t="s">
        <v>10619</v>
      </c>
      <c r="B745" t="s">
        <v>4934</v>
      </c>
      <c r="C745" t="s">
        <v>3394</v>
      </c>
      <c r="D745" t="s">
        <v>13</v>
      </c>
      <c r="E745" t="s">
        <v>75</v>
      </c>
      <c r="F745" t="s">
        <v>10621</v>
      </c>
      <c r="H745" t="s">
        <v>10619</v>
      </c>
      <c r="I745" t="s">
        <v>8288</v>
      </c>
      <c r="J745" t="s">
        <v>7062</v>
      </c>
      <c r="K745" t="s">
        <v>13</v>
      </c>
      <c r="L745" t="s">
        <v>75</v>
      </c>
      <c r="M745" t="s">
        <v>123</v>
      </c>
    </row>
    <row r="746" spans="1:13">
      <c r="A746" t="s">
        <v>10619</v>
      </c>
      <c r="B746" t="s">
        <v>4935</v>
      </c>
      <c r="C746" t="s">
        <v>3394</v>
      </c>
      <c r="D746" t="s">
        <v>13</v>
      </c>
      <c r="E746" t="s">
        <v>75</v>
      </c>
      <c r="F746" t="s">
        <v>10621</v>
      </c>
      <c r="H746" t="s">
        <v>10619</v>
      </c>
      <c r="I746" t="s">
        <v>8289</v>
      </c>
      <c r="J746" t="s">
        <v>7064</v>
      </c>
      <c r="K746" t="s">
        <v>13</v>
      </c>
      <c r="L746" t="s">
        <v>75</v>
      </c>
      <c r="M746" t="s">
        <v>123</v>
      </c>
    </row>
    <row r="747" spans="1:13">
      <c r="A747" t="s">
        <v>10619</v>
      </c>
      <c r="B747" t="s">
        <v>4936</v>
      </c>
      <c r="C747" t="s">
        <v>3397</v>
      </c>
      <c r="D747" t="s">
        <v>13</v>
      </c>
      <c r="E747" t="s">
        <v>75</v>
      </c>
      <c r="F747" t="s">
        <v>10621</v>
      </c>
      <c r="H747" t="s">
        <v>10619</v>
      </c>
      <c r="I747" t="s">
        <v>8290</v>
      </c>
      <c r="J747" t="s">
        <v>7066</v>
      </c>
      <c r="K747" t="s">
        <v>13</v>
      </c>
      <c r="L747" t="s">
        <v>75</v>
      </c>
      <c r="M747" t="s">
        <v>123</v>
      </c>
    </row>
    <row r="748" spans="1:13">
      <c r="A748" t="s">
        <v>10619</v>
      </c>
      <c r="B748" t="s">
        <v>4937</v>
      </c>
      <c r="C748" t="s">
        <v>3399</v>
      </c>
      <c r="D748" t="s">
        <v>13</v>
      </c>
      <c r="E748" t="s">
        <v>75</v>
      </c>
      <c r="F748" t="s">
        <v>10621</v>
      </c>
      <c r="H748" t="s">
        <v>10619</v>
      </c>
      <c r="I748" t="s">
        <v>8291</v>
      </c>
      <c r="J748" t="s">
        <v>7068</v>
      </c>
      <c r="K748" t="s">
        <v>13</v>
      </c>
      <c r="L748" t="s">
        <v>75</v>
      </c>
      <c r="M748" t="s">
        <v>123</v>
      </c>
    </row>
    <row r="749" spans="1:13">
      <c r="A749" t="s">
        <v>10619</v>
      </c>
      <c r="B749" t="s">
        <v>4938</v>
      </c>
      <c r="C749" t="s">
        <v>3401</v>
      </c>
      <c r="D749" t="s">
        <v>13</v>
      </c>
      <c r="E749" t="s">
        <v>75</v>
      </c>
      <c r="F749" t="s">
        <v>10621</v>
      </c>
      <c r="H749" t="s">
        <v>10619</v>
      </c>
      <c r="I749" t="s">
        <v>8292</v>
      </c>
      <c r="J749" t="s">
        <v>7070</v>
      </c>
      <c r="K749" t="s">
        <v>13</v>
      </c>
      <c r="L749" t="s">
        <v>75</v>
      </c>
      <c r="M749" t="s">
        <v>123</v>
      </c>
    </row>
    <row r="750" spans="1:13">
      <c r="A750" t="s">
        <v>10619</v>
      </c>
      <c r="B750" t="s">
        <v>4939</v>
      </c>
      <c r="C750" t="s">
        <v>3403</v>
      </c>
      <c r="D750" t="s">
        <v>13</v>
      </c>
      <c r="E750" t="s">
        <v>75</v>
      </c>
      <c r="F750" t="s">
        <v>10621</v>
      </c>
      <c r="H750" t="s">
        <v>10619</v>
      </c>
      <c r="I750" t="s">
        <v>8293</v>
      </c>
      <c r="J750" t="s">
        <v>7068</v>
      </c>
      <c r="K750" t="s">
        <v>13</v>
      </c>
      <c r="L750" t="s">
        <v>75</v>
      </c>
      <c r="M750" t="s">
        <v>123</v>
      </c>
    </row>
    <row r="751" spans="1:13">
      <c r="A751" t="s">
        <v>10619</v>
      </c>
      <c r="B751" t="s">
        <v>4940</v>
      </c>
      <c r="C751" t="s">
        <v>3394</v>
      </c>
      <c r="D751" t="s">
        <v>13</v>
      </c>
      <c r="E751" t="s">
        <v>75</v>
      </c>
      <c r="F751" t="s">
        <v>10621</v>
      </c>
      <c r="H751" t="s">
        <v>10619</v>
      </c>
      <c r="I751" t="s">
        <v>8294</v>
      </c>
      <c r="J751" t="s">
        <v>7073</v>
      </c>
      <c r="K751" t="s">
        <v>13</v>
      </c>
      <c r="L751" t="s">
        <v>75</v>
      </c>
      <c r="M751" t="s">
        <v>123</v>
      </c>
    </row>
    <row r="752" spans="1:13">
      <c r="A752" t="s">
        <v>10619</v>
      </c>
      <c r="B752" t="s">
        <v>4941</v>
      </c>
      <c r="C752" t="s">
        <v>3406</v>
      </c>
      <c r="D752" t="s">
        <v>13</v>
      </c>
      <c r="E752" t="s">
        <v>75</v>
      </c>
      <c r="F752" t="s">
        <v>10621</v>
      </c>
      <c r="H752" t="s">
        <v>10619</v>
      </c>
      <c r="I752" t="s">
        <v>8295</v>
      </c>
      <c r="J752" t="s">
        <v>7075</v>
      </c>
      <c r="K752" t="s">
        <v>13</v>
      </c>
      <c r="L752" t="s">
        <v>75</v>
      </c>
      <c r="M752" t="s">
        <v>123</v>
      </c>
    </row>
    <row r="753" spans="1:13">
      <c r="A753" t="s">
        <v>10619</v>
      </c>
      <c r="B753" t="s">
        <v>4942</v>
      </c>
      <c r="C753" t="s">
        <v>3394</v>
      </c>
      <c r="D753" t="s">
        <v>13</v>
      </c>
      <c r="E753" t="s">
        <v>75</v>
      </c>
      <c r="F753" t="s">
        <v>10621</v>
      </c>
      <c r="H753" t="s">
        <v>10619</v>
      </c>
      <c r="I753" t="s">
        <v>8296</v>
      </c>
      <c r="J753" t="s">
        <v>7077</v>
      </c>
      <c r="K753" t="s">
        <v>13</v>
      </c>
      <c r="L753" t="s">
        <v>75</v>
      </c>
      <c r="M753" t="s">
        <v>123</v>
      </c>
    </row>
    <row r="754" spans="1:13">
      <c r="A754" t="s">
        <v>10619</v>
      </c>
      <c r="B754" t="s">
        <v>4943</v>
      </c>
      <c r="C754" t="s">
        <v>3409</v>
      </c>
      <c r="D754" t="s">
        <v>13</v>
      </c>
      <c r="E754" t="s">
        <v>75</v>
      </c>
      <c r="F754" t="s">
        <v>10621</v>
      </c>
      <c r="H754" t="s">
        <v>10619</v>
      </c>
      <c r="I754" t="s">
        <v>8297</v>
      </c>
      <c r="J754" t="s">
        <v>7079</v>
      </c>
      <c r="K754" t="s">
        <v>13</v>
      </c>
      <c r="L754" t="s">
        <v>75</v>
      </c>
      <c r="M754" t="s">
        <v>123</v>
      </c>
    </row>
    <row r="755" spans="1:13">
      <c r="A755" t="s">
        <v>10619</v>
      </c>
      <c r="B755" t="s">
        <v>4944</v>
      </c>
      <c r="C755" t="s">
        <v>3394</v>
      </c>
      <c r="D755" t="s">
        <v>13</v>
      </c>
      <c r="E755" t="s">
        <v>75</v>
      </c>
      <c r="F755" t="s">
        <v>10621</v>
      </c>
      <c r="H755" t="s">
        <v>10619</v>
      </c>
      <c r="I755" t="s">
        <v>8298</v>
      </c>
      <c r="J755" t="s">
        <v>7081</v>
      </c>
      <c r="K755" t="s">
        <v>13</v>
      </c>
      <c r="L755" t="s">
        <v>75</v>
      </c>
      <c r="M755" t="s">
        <v>123</v>
      </c>
    </row>
    <row r="756" spans="1:13">
      <c r="A756" t="s">
        <v>10619</v>
      </c>
      <c r="B756" t="s">
        <v>4945</v>
      </c>
      <c r="C756" t="s">
        <v>3412</v>
      </c>
      <c r="D756" t="s">
        <v>13</v>
      </c>
      <c r="E756" t="s">
        <v>75</v>
      </c>
      <c r="F756" t="s">
        <v>10621</v>
      </c>
      <c r="H756" t="s">
        <v>10619</v>
      </c>
      <c r="I756" t="s">
        <v>8299</v>
      </c>
      <c r="J756" t="s">
        <v>7083</v>
      </c>
      <c r="K756" t="s">
        <v>13</v>
      </c>
      <c r="L756" t="s">
        <v>75</v>
      </c>
      <c r="M756" t="s">
        <v>123</v>
      </c>
    </row>
    <row r="757" spans="1:13">
      <c r="A757" t="s">
        <v>10619</v>
      </c>
      <c r="B757" t="s">
        <v>4946</v>
      </c>
      <c r="C757" t="s">
        <v>3414</v>
      </c>
      <c r="D757" t="s">
        <v>13</v>
      </c>
      <c r="E757" t="s">
        <v>75</v>
      </c>
      <c r="F757" t="s">
        <v>10621</v>
      </c>
      <c r="H757" t="s">
        <v>10619</v>
      </c>
      <c r="I757" t="s">
        <v>8300</v>
      </c>
      <c r="J757" t="s">
        <v>7085</v>
      </c>
      <c r="K757" t="s">
        <v>13</v>
      </c>
      <c r="L757" t="s">
        <v>75</v>
      </c>
      <c r="M757" t="s">
        <v>123</v>
      </c>
    </row>
    <row r="758" spans="1:13">
      <c r="A758" t="s">
        <v>10619</v>
      </c>
      <c r="B758" t="s">
        <v>4947</v>
      </c>
      <c r="C758" t="s">
        <v>3416</v>
      </c>
      <c r="D758" t="s">
        <v>13</v>
      </c>
      <c r="E758" t="s">
        <v>75</v>
      </c>
      <c r="F758" t="s">
        <v>10621</v>
      </c>
      <c r="H758" t="s">
        <v>10619</v>
      </c>
      <c r="I758" t="s">
        <v>8301</v>
      </c>
      <c r="J758" t="s">
        <v>7087</v>
      </c>
      <c r="K758" t="s">
        <v>13</v>
      </c>
      <c r="L758" t="s">
        <v>75</v>
      </c>
      <c r="M758" t="s">
        <v>123</v>
      </c>
    </row>
    <row r="759" spans="1:13">
      <c r="A759" t="s">
        <v>10619</v>
      </c>
      <c r="B759" t="s">
        <v>4948</v>
      </c>
      <c r="C759" t="s">
        <v>3418</v>
      </c>
      <c r="D759" t="s">
        <v>13</v>
      </c>
      <c r="E759" t="s">
        <v>75</v>
      </c>
      <c r="F759" t="s">
        <v>10621</v>
      </c>
      <c r="H759" t="s">
        <v>10619</v>
      </c>
      <c r="I759" t="s">
        <v>8302</v>
      </c>
      <c r="J759" t="s">
        <v>7089</v>
      </c>
      <c r="K759" t="s">
        <v>13</v>
      </c>
      <c r="L759" t="s">
        <v>75</v>
      </c>
      <c r="M759" t="s">
        <v>123</v>
      </c>
    </row>
    <row r="760" spans="1:13">
      <c r="A760" t="s">
        <v>10619</v>
      </c>
      <c r="B760" t="s">
        <v>4949</v>
      </c>
      <c r="C760" t="s">
        <v>3420</v>
      </c>
      <c r="D760" t="s">
        <v>13</v>
      </c>
      <c r="E760" t="s">
        <v>75</v>
      </c>
      <c r="F760" t="s">
        <v>10621</v>
      </c>
      <c r="H760" t="s">
        <v>10619</v>
      </c>
      <c r="I760" t="s">
        <v>8303</v>
      </c>
      <c r="J760" t="s">
        <v>7091</v>
      </c>
      <c r="K760" t="s">
        <v>13</v>
      </c>
      <c r="L760" t="s">
        <v>75</v>
      </c>
      <c r="M760" t="s">
        <v>123</v>
      </c>
    </row>
    <row r="761" spans="1:13">
      <c r="A761" t="s">
        <v>10619</v>
      </c>
      <c r="B761" t="s">
        <v>4950</v>
      </c>
      <c r="C761" t="s">
        <v>3422</v>
      </c>
      <c r="D761" t="s">
        <v>13</v>
      </c>
      <c r="E761" t="s">
        <v>75</v>
      </c>
      <c r="F761" t="s">
        <v>10621</v>
      </c>
      <c r="H761" t="s">
        <v>10619</v>
      </c>
      <c r="I761" t="s">
        <v>8304</v>
      </c>
      <c r="J761" t="s">
        <v>7093</v>
      </c>
      <c r="K761" t="s">
        <v>13</v>
      </c>
      <c r="L761" t="s">
        <v>75</v>
      </c>
      <c r="M761" t="s">
        <v>123</v>
      </c>
    </row>
    <row r="762" spans="1:13">
      <c r="A762" t="s">
        <v>10619</v>
      </c>
      <c r="B762" t="s">
        <v>4951</v>
      </c>
      <c r="C762" t="s">
        <v>3424</v>
      </c>
      <c r="D762" t="s">
        <v>13</v>
      </c>
      <c r="E762" t="s">
        <v>75</v>
      </c>
      <c r="F762" t="s">
        <v>10621</v>
      </c>
      <c r="H762" t="s">
        <v>10619</v>
      </c>
      <c r="I762" t="s">
        <v>8305</v>
      </c>
      <c r="J762" t="s">
        <v>7095</v>
      </c>
      <c r="K762" t="s">
        <v>13</v>
      </c>
      <c r="L762" t="s">
        <v>75</v>
      </c>
      <c r="M762" t="s">
        <v>123</v>
      </c>
    </row>
    <row r="763" spans="1:13">
      <c r="A763" t="s">
        <v>10619</v>
      </c>
      <c r="B763" t="s">
        <v>4952</v>
      </c>
      <c r="C763" t="s">
        <v>3426</v>
      </c>
      <c r="D763" t="s">
        <v>13</v>
      </c>
      <c r="E763" t="s">
        <v>75</v>
      </c>
      <c r="F763" t="s">
        <v>10621</v>
      </c>
      <c r="H763" t="s">
        <v>10619</v>
      </c>
      <c r="I763" t="s">
        <v>8306</v>
      </c>
      <c r="J763" t="s">
        <v>7097</v>
      </c>
      <c r="K763" t="s">
        <v>13</v>
      </c>
      <c r="L763" t="s">
        <v>75</v>
      </c>
      <c r="M763" t="s">
        <v>123</v>
      </c>
    </row>
    <row r="764" spans="1:13">
      <c r="A764" t="s">
        <v>10619</v>
      </c>
      <c r="B764" t="s">
        <v>4953</v>
      </c>
      <c r="C764" t="s">
        <v>3428</v>
      </c>
      <c r="D764" t="s">
        <v>13</v>
      </c>
      <c r="E764" t="s">
        <v>75</v>
      </c>
      <c r="F764" t="s">
        <v>10621</v>
      </c>
      <c r="H764" t="s">
        <v>10619</v>
      </c>
      <c r="I764" t="s">
        <v>8307</v>
      </c>
      <c r="J764" t="s">
        <v>7099</v>
      </c>
      <c r="K764" t="s">
        <v>13</v>
      </c>
      <c r="L764" t="s">
        <v>75</v>
      </c>
      <c r="M764" t="s">
        <v>123</v>
      </c>
    </row>
    <row r="765" spans="1:13">
      <c r="A765" t="s">
        <v>10619</v>
      </c>
      <c r="B765" t="s">
        <v>4954</v>
      </c>
      <c r="C765" t="s">
        <v>3430</v>
      </c>
      <c r="D765" t="s">
        <v>13</v>
      </c>
      <c r="E765" t="s">
        <v>75</v>
      </c>
      <c r="F765" t="s">
        <v>10621</v>
      </c>
      <c r="H765" t="s">
        <v>10619</v>
      </c>
      <c r="I765" t="s">
        <v>8308</v>
      </c>
      <c r="J765" t="s">
        <v>7101</v>
      </c>
      <c r="K765" t="s">
        <v>13</v>
      </c>
      <c r="L765" t="s">
        <v>75</v>
      </c>
      <c r="M765" t="s">
        <v>10621</v>
      </c>
    </row>
    <row r="766" spans="1:13">
      <c r="A766" t="s">
        <v>10619</v>
      </c>
      <c r="B766" t="s">
        <v>4955</v>
      </c>
      <c r="C766" t="s">
        <v>3432</v>
      </c>
      <c r="D766" t="s">
        <v>13</v>
      </c>
      <c r="E766" t="s">
        <v>75</v>
      </c>
      <c r="F766" t="s">
        <v>10621</v>
      </c>
      <c r="H766" t="s">
        <v>10619</v>
      </c>
      <c r="I766" t="s">
        <v>8309</v>
      </c>
      <c r="J766" t="s">
        <v>7103</v>
      </c>
      <c r="K766" t="s">
        <v>13</v>
      </c>
      <c r="L766" t="s">
        <v>75</v>
      </c>
      <c r="M766" t="s">
        <v>10621</v>
      </c>
    </row>
    <row r="767" spans="1:13">
      <c r="A767" t="s">
        <v>10619</v>
      </c>
      <c r="B767" t="s">
        <v>4956</v>
      </c>
      <c r="C767" t="s">
        <v>3434</v>
      </c>
      <c r="D767" t="s">
        <v>13</v>
      </c>
      <c r="E767" t="s">
        <v>75</v>
      </c>
      <c r="F767" t="s">
        <v>10621</v>
      </c>
      <c r="H767" t="s">
        <v>10619</v>
      </c>
      <c r="I767" t="s">
        <v>8310</v>
      </c>
      <c r="J767" t="s">
        <v>7105</v>
      </c>
      <c r="K767" t="s">
        <v>13</v>
      </c>
      <c r="L767" t="s">
        <v>75</v>
      </c>
      <c r="M767" t="s">
        <v>10637</v>
      </c>
    </row>
    <row r="768" spans="1:13">
      <c r="A768" t="s">
        <v>10619</v>
      </c>
      <c r="B768" t="s">
        <v>4957</v>
      </c>
      <c r="C768" t="s">
        <v>3436</v>
      </c>
      <c r="D768" t="s">
        <v>13</v>
      </c>
      <c r="E768" t="s">
        <v>75</v>
      </c>
      <c r="F768" t="s">
        <v>10624</v>
      </c>
      <c r="H768" t="s">
        <v>10619</v>
      </c>
      <c r="I768" t="s">
        <v>8311</v>
      </c>
      <c r="J768" t="s">
        <v>7107</v>
      </c>
      <c r="K768" t="s">
        <v>13</v>
      </c>
      <c r="L768" t="s">
        <v>75</v>
      </c>
      <c r="M768" t="s">
        <v>10637</v>
      </c>
    </row>
    <row r="769" spans="1:13">
      <c r="A769" t="s">
        <v>10619</v>
      </c>
      <c r="B769" t="s">
        <v>4958</v>
      </c>
      <c r="C769" t="s">
        <v>3438</v>
      </c>
      <c r="D769" t="s">
        <v>13</v>
      </c>
      <c r="E769" t="s">
        <v>75</v>
      </c>
      <c r="F769" t="s">
        <v>10624</v>
      </c>
      <c r="H769" t="s">
        <v>10619</v>
      </c>
      <c r="I769" t="s">
        <v>8312</v>
      </c>
      <c r="J769" t="s">
        <v>7105</v>
      </c>
      <c r="K769" t="s">
        <v>13</v>
      </c>
      <c r="L769" t="s">
        <v>75</v>
      </c>
      <c r="M769" t="s">
        <v>10637</v>
      </c>
    </row>
    <row r="770" spans="1:13">
      <c r="A770" t="s">
        <v>10619</v>
      </c>
      <c r="B770" t="s">
        <v>4959</v>
      </c>
      <c r="C770" t="s">
        <v>3440</v>
      </c>
      <c r="D770" t="s">
        <v>13</v>
      </c>
      <c r="E770" t="s">
        <v>75</v>
      </c>
      <c r="F770" t="s">
        <v>10624</v>
      </c>
      <c r="H770" t="s">
        <v>10619</v>
      </c>
      <c r="I770" t="s">
        <v>8313</v>
      </c>
      <c r="J770" t="s">
        <v>7107</v>
      </c>
      <c r="K770" t="s">
        <v>13</v>
      </c>
      <c r="L770" t="s">
        <v>75</v>
      </c>
      <c r="M770" t="s">
        <v>10637</v>
      </c>
    </row>
    <row r="771" spans="1:13">
      <c r="A771" t="s">
        <v>10619</v>
      </c>
      <c r="B771" t="s">
        <v>4960</v>
      </c>
      <c r="C771" t="s">
        <v>3442</v>
      </c>
      <c r="D771" t="s">
        <v>13</v>
      </c>
      <c r="E771" t="s">
        <v>75</v>
      </c>
      <c r="F771" t="s">
        <v>10624</v>
      </c>
      <c r="H771" t="s">
        <v>10619</v>
      </c>
      <c r="I771" t="s">
        <v>8314</v>
      </c>
      <c r="J771" t="s">
        <v>7107</v>
      </c>
      <c r="K771" t="s">
        <v>13</v>
      </c>
      <c r="L771" t="s">
        <v>75</v>
      </c>
      <c r="M771" t="s">
        <v>10637</v>
      </c>
    </row>
    <row r="772" spans="1:13">
      <c r="A772" t="s">
        <v>10619</v>
      </c>
      <c r="B772" t="s">
        <v>4961</v>
      </c>
      <c r="C772" t="s">
        <v>3444</v>
      </c>
      <c r="D772" t="s">
        <v>13</v>
      </c>
      <c r="E772" t="s">
        <v>75</v>
      </c>
      <c r="F772" t="s">
        <v>10624</v>
      </c>
      <c r="H772" t="s">
        <v>10619</v>
      </c>
      <c r="I772" t="s">
        <v>8315</v>
      </c>
      <c r="J772" t="s">
        <v>7112</v>
      </c>
      <c r="K772" t="s">
        <v>13</v>
      </c>
      <c r="L772" t="s">
        <v>75</v>
      </c>
      <c r="M772" t="s">
        <v>10637</v>
      </c>
    </row>
    <row r="773" spans="1:13">
      <c r="A773" t="s">
        <v>10619</v>
      </c>
      <c r="B773" t="s">
        <v>4962</v>
      </c>
      <c r="C773" t="s">
        <v>3446</v>
      </c>
      <c r="D773" t="s">
        <v>13</v>
      </c>
      <c r="E773" t="s">
        <v>75</v>
      </c>
      <c r="F773" t="s">
        <v>10625</v>
      </c>
      <c r="H773" t="s">
        <v>10619</v>
      </c>
      <c r="I773" t="s">
        <v>8316</v>
      </c>
      <c r="J773" t="s">
        <v>7114</v>
      </c>
      <c r="K773" t="s">
        <v>13</v>
      </c>
      <c r="L773" t="s">
        <v>75</v>
      </c>
      <c r="M773" t="s">
        <v>10637</v>
      </c>
    </row>
    <row r="774" spans="1:13">
      <c r="A774" t="s">
        <v>10619</v>
      </c>
      <c r="B774" t="s">
        <v>4963</v>
      </c>
      <c r="C774" t="s">
        <v>3448</v>
      </c>
      <c r="D774" t="s">
        <v>13</v>
      </c>
      <c r="E774" t="s">
        <v>75</v>
      </c>
      <c r="F774" t="s">
        <v>10625</v>
      </c>
      <c r="H774" t="s">
        <v>10619</v>
      </c>
      <c r="I774" t="s">
        <v>8317</v>
      </c>
      <c r="J774" t="s">
        <v>7116</v>
      </c>
      <c r="K774" t="s">
        <v>13</v>
      </c>
      <c r="L774" t="s">
        <v>75</v>
      </c>
      <c r="M774" t="s">
        <v>10637</v>
      </c>
    </row>
    <row r="775" spans="1:13">
      <c r="A775" t="s">
        <v>10619</v>
      </c>
      <c r="B775" t="s">
        <v>4964</v>
      </c>
      <c r="C775" t="s">
        <v>3450</v>
      </c>
      <c r="D775" t="s">
        <v>13</v>
      </c>
      <c r="E775" t="s">
        <v>75</v>
      </c>
      <c r="F775" t="s">
        <v>10625</v>
      </c>
      <c r="H775" t="s">
        <v>10619</v>
      </c>
      <c r="I775" t="s">
        <v>8318</v>
      </c>
      <c r="J775" t="s">
        <v>7118</v>
      </c>
      <c r="K775" t="s">
        <v>13</v>
      </c>
      <c r="L775" t="s">
        <v>75</v>
      </c>
      <c r="M775" t="s">
        <v>10637</v>
      </c>
    </row>
    <row r="776" spans="1:13">
      <c r="A776" t="s">
        <v>10619</v>
      </c>
      <c r="B776" t="s">
        <v>4965</v>
      </c>
      <c r="C776" t="s">
        <v>3452</v>
      </c>
      <c r="D776" t="s">
        <v>13</v>
      </c>
      <c r="E776" t="s">
        <v>75</v>
      </c>
      <c r="F776" t="s">
        <v>543</v>
      </c>
      <c r="H776" t="s">
        <v>10619</v>
      </c>
      <c r="I776" t="s">
        <v>8319</v>
      </c>
      <c r="J776" t="s">
        <v>7120</v>
      </c>
      <c r="K776" t="s">
        <v>13</v>
      </c>
      <c r="L776" t="s">
        <v>75</v>
      </c>
      <c r="M776" t="s">
        <v>10637</v>
      </c>
    </row>
    <row r="777" spans="1:13">
      <c r="A777" t="s">
        <v>10619</v>
      </c>
      <c r="B777" t="s">
        <v>4966</v>
      </c>
      <c r="C777" t="s">
        <v>3454</v>
      </c>
      <c r="D777" t="s">
        <v>13</v>
      </c>
      <c r="E777" t="s">
        <v>75</v>
      </c>
      <c r="F777" t="s">
        <v>543</v>
      </c>
      <c r="H777" t="s">
        <v>10619</v>
      </c>
      <c r="I777" t="s">
        <v>8320</v>
      </c>
      <c r="J777" t="s">
        <v>7112</v>
      </c>
      <c r="K777" t="s">
        <v>13</v>
      </c>
      <c r="L777" t="s">
        <v>75</v>
      </c>
      <c r="M777" t="s">
        <v>10637</v>
      </c>
    </row>
    <row r="778" spans="1:13">
      <c r="A778" t="s">
        <v>10619</v>
      </c>
      <c r="B778" t="s">
        <v>4967</v>
      </c>
      <c r="C778" t="s">
        <v>3456</v>
      </c>
      <c r="D778" t="s">
        <v>13</v>
      </c>
      <c r="E778" t="s">
        <v>75</v>
      </c>
      <c r="F778" t="s">
        <v>543</v>
      </c>
      <c r="H778" t="s">
        <v>10619</v>
      </c>
      <c r="I778" t="s">
        <v>8321</v>
      </c>
      <c r="J778" t="s">
        <v>7123</v>
      </c>
      <c r="K778" t="s">
        <v>13</v>
      </c>
      <c r="L778" t="s">
        <v>75</v>
      </c>
      <c r="M778" t="s">
        <v>10637</v>
      </c>
    </row>
    <row r="779" spans="1:13">
      <c r="A779" t="s">
        <v>10619</v>
      </c>
      <c r="B779" t="s">
        <v>4968</v>
      </c>
      <c r="C779" t="s">
        <v>3458</v>
      </c>
      <c r="D779" t="s">
        <v>13</v>
      </c>
      <c r="E779" t="s">
        <v>75</v>
      </c>
      <c r="F779" t="s">
        <v>543</v>
      </c>
      <c r="H779" t="s">
        <v>10619</v>
      </c>
      <c r="I779" t="s">
        <v>8322</v>
      </c>
      <c r="J779" t="s">
        <v>7125</v>
      </c>
      <c r="K779" t="s">
        <v>13</v>
      </c>
      <c r="L779" t="s">
        <v>75</v>
      </c>
      <c r="M779" t="s">
        <v>10637</v>
      </c>
    </row>
    <row r="780" spans="1:13">
      <c r="A780" t="s">
        <v>10619</v>
      </c>
      <c r="B780" t="s">
        <v>4969</v>
      </c>
      <c r="C780" t="s">
        <v>3460</v>
      </c>
      <c r="D780" t="s">
        <v>13</v>
      </c>
      <c r="E780" t="s">
        <v>75</v>
      </c>
      <c r="F780" t="s">
        <v>10620</v>
      </c>
      <c r="H780" t="s">
        <v>10619</v>
      </c>
      <c r="I780" t="s">
        <v>8323</v>
      </c>
      <c r="J780" t="s">
        <v>7127</v>
      </c>
      <c r="K780" t="s">
        <v>13</v>
      </c>
      <c r="L780" t="s">
        <v>75</v>
      </c>
      <c r="M780" t="s">
        <v>10637</v>
      </c>
    </row>
    <row r="781" spans="1:13">
      <c r="A781" t="s">
        <v>10619</v>
      </c>
      <c r="B781" t="s">
        <v>4970</v>
      </c>
      <c r="C781" t="s">
        <v>3462</v>
      </c>
      <c r="D781" t="s">
        <v>13</v>
      </c>
      <c r="E781" t="s">
        <v>75</v>
      </c>
      <c r="F781" t="s">
        <v>10620</v>
      </c>
      <c r="H781" t="s">
        <v>10619</v>
      </c>
      <c r="I781" t="s">
        <v>8324</v>
      </c>
      <c r="J781" t="s">
        <v>7129</v>
      </c>
      <c r="K781" t="s">
        <v>13</v>
      </c>
      <c r="L781" t="s">
        <v>75</v>
      </c>
      <c r="M781" t="s">
        <v>10621</v>
      </c>
    </row>
    <row r="782" spans="1:13">
      <c r="A782" t="s">
        <v>10619</v>
      </c>
      <c r="B782" t="s">
        <v>4971</v>
      </c>
      <c r="C782" t="s">
        <v>3464</v>
      </c>
      <c r="D782" t="s">
        <v>13</v>
      </c>
      <c r="E782" t="s">
        <v>75</v>
      </c>
      <c r="F782" t="s">
        <v>10620</v>
      </c>
      <c r="H782" t="s">
        <v>10619</v>
      </c>
      <c r="I782" t="s">
        <v>8325</v>
      </c>
      <c r="J782" t="s">
        <v>7131</v>
      </c>
      <c r="K782" t="s">
        <v>13</v>
      </c>
      <c r="L782" t="s">
        <v>75</v>
      </c>
      <c r="M782" t="s">
        <v>10621</v>
      </c>
    </row>
    <row r="783" spans="1:13">
      <c r="A783" t="s">
        <v>10619</v>
      </c>
      <c r="B783" t="s">
        <v>4972</v>
      </c>
      <c r="C783" t="s">
        <v>3466</v>
      </c>
      <c r="D783" t="s">
        <v>13</v>
      </c>
      <c r="E783" t="s">
        <v>75</v>
      </c>
      <c r="F783" t="s">
        <v>10620</v>
      </c>
      <c r="H783" t="s">
        <v>10619</v>
      </c>
      <c r="I783" t="s">
        <v>8326</v>
      </c>
      <c r="J783" t="s">
        <v>7133</v>
      </c>
      <c r="K783" t="s">
        <v>13</v>
      </c>
      <c r="L783" t="s">
        <v>75</v>
      </c>
      <c r="M783" t="s">
        <v>10621</v>
      </c>
    </row>
    <row r="784" spans="1:13">
      <c r="A784" t="s">
        <v>10619</v>
      </c>
      <c r="B784" t="s">
        <v>4973</v>
      </c>
      <c r="C784" t="s">
        <v>3468</v>
      </c>
      <c r="D784" t="s">
        <v>13</v>
      </c>
      <c r="E784" t="s">
        <v>75</v>
      </c>
      <c r="F784" t="s">
        <v>10620</v>
      </c>
      <c r="H784" t="s">
        <v>10619</v>
      </c>
      <c r="I784" t="s">
        <v>8327</v>
      </c>
      <c r="J784" t="s">
        <v>7135</v>
      </c>
      <c r="K784" t="s">
        <v>13</v>
      </c>
      <c r="L784" t="s">
        <v>75</v>
      </c>
      <c r="M784" t="s">
        <v>10621</v>
      </c>
    </row>
    <row r="785" spans="1:13">
      <c r="A785" t="s">
        <v>10619</v>
      </c>
      <c r="B785" t="s">
        <v>4974</v>
      </c>
      <c r="C785" t="s">
        <v>3470</v>
      </c>
      <c r="D785" t="s">
        <v>13</v>
      </c>
      <c r="E785" t="s">
        <v>75</v>
      </c>
      <c r="F785" t="s">
        <v>10620</v>
      </c>
      <c r="H785" t="s">
        <v>10619</v>
      </c>
      <c r="I785" t="s">
        <v>8328</v>
      </c>
      <c r="J785" t="s">
        <v>7133</v>
      </c>
      <c r="K785" t="s">
        <v>13</v>
      </c>
      <c r="L785" t="s">
        <v>75</v>
      </c>
      <c r="M785" t="s">
        <v>10621</v>
      </c>
    </row>
    <row r="786" spans="1:13">
      <c r="A786" t="s">
        <v>10619</v>
      </c>
      <c r="B786" t="s">
        <v>4975</v>
      </c>
      <c r="C786" t="s">
        <v>3472</v>
      </c>
      <c r="D786" t="s">
        <v>13</v>
      </c>
      <c r="E786" t="s">
        <v>75</v>
      </c>
      <c r="F786" t="s">
        <v>10620</v>
      </c>
      <c r="H786" t="s">
        <v>10619</v>
      </c>
      <c r="I786" t="s">
        <v>8329</v>
      </c>
      <c r="J786" t="s">
        <v>7138</v>
      </c>
      <c r="K786" t="s">
        <v>13</v>
      </c>
      <c r="L786" t="s">
        <v>75</v>
      </c>
      <c r="M786" t="s">
        <v>10621</v>
      </c>
    </row>
    <row r="787" spans="1:13">
      <c r="A787" t="s">
        <v>10619</v>
      </c>
      <c r="B787" t="s">
        <v>4976</v>
      </c>
      <c r="C787" t="s">
        <v>3474</v>
      </c>
      <c r="D787" t="s">
        <v>13</v>
      </c>
      <c r="E787" t="s">
        <v>75</v>
      </c>
      <c r="F787" t="s">
        <v>10620</v>
      </c>
      <c r="H787" t="s">
        <v>10619</v>
      </c>
      <c r="I787" t="s">
        <v>8330</v>
      </c>
      <c r="J787" t="s">
        <v>7138</v>
      </c>
      <c r="K787" t="s">
        <v>13</v>
      </c>
      <c r="L787" t="s">
        <v>75</v>
      </c>
      <c r="M787" t="s">
        <v>10621</v>
      </c>
    </row>
    <row r="788" spans="1:13">
      <c r="A788" t="s">
        <v>10619</v>
      </c>
      <c r="B788" t="s">
        <v>4977</v>
      </c>
      <c r="C788" t="s">
        <v>3476</v>
      </c>
      <c r="D788" t="s">
        <v>13</v>
      </c>
      <c r="E788" t="s">
        <v>75</v>
      </c>
      <c r="F788" t="s">
        <v>10620</v>
      </c>
      <c r="H788" t="s">
        <v>10619</v>
      </c>
      <c r="I788" t="s">
        <v>8331</v>
      </c>
      <c r="J788" t="s">
        <v>7138</v>
      </c>
      <c r="K788" t="s">
        <v>13</v>
      </c>
      <c r="L788" t="s">
        <v>75</v>
      </c>
      <c r="M788" t="s">
        <v>10621</v>
      </c>
    </row>
    <row r="789" spans="1:13">
      <c r="A789" t="s">
        <v>10619</v>
      </c>
      <c r="B789" t="s">
        <v>4978</v>
      </c>
      <c r="C789" t="s">
        <v>3478</v>
      </c>
      <c r="D789" t="s">
        <v>13</v>
      </c>
      <c r="E789" t="s">
        <v>75</v>
      </c>
      <c r="F789" t="s">
        <v>10620</v>
      </c>
      <c r="H789" t="s">
        <v>10619</v>
      </c>
      <c r="I789" t="s">
        <v>8332</v>
      </c>
      <c r="J789" t="s">
        <v>7138</v>
      </c>
      <c r="K789" t="s">
        <v>13</v>
      </c>
      <c r="L789" t="s">
        <v>75</v>
      </c>
      <c r="M789" t="s">
        <v>10621</v>
      </c>
    </row>
    <row r="790" spans="1:13">
      <c r="A790" t="s">
        <v>10619</v>
      </c>
      <c r="B790" t="s">
        <v>4979</v>
      </c>
      <c r="C790" t="s">
        <v>3480</v>
      </c>
      <c r="D790" t="s">
        <v>13</v>
      </c>
      <c r="E790" t="s">
        <v>75</v>
      </c>
      <c r="F790" t="s">
        <v>10623</v>
      </c>
      <c r="H790" t="s">
        <v>10619</v>
      </c>
      <c r="I790" t="s">
        <v>8333</v>
      </c>
      <c r="J790" t="s">
        <v>7143</v>
      </c>
      <c r="K790" t="s">
        <v>13</v>
      </c>
      <c r="L790" t="s">
        <v>75</v>
      </c>
      <c r="M790" t="s">
        <v>10621</v>
      </c>
    </row>
    <row r="791" spans="1:13">
      <c r="A791" t="s">
        <v>10619</v>
      </c>
      <c r="B791" t="s">
        <v>4980</v>
      </c>
      <c r="C791" t="s">
        <v>3482</v>
      </c>
      <c r="D791" t="s">
        <v>13</v>
      </c>
      <c r="E791" t="s">
        <v>75</v>
      </c>
      <c r="F791" t="s">
        <v>10623</v>
      </c>
      <c r="H791" t="s">
        <v>10619</v>
      </c>
      <c r="I791" t="s">
        <v>8334</v>
      </c>
      <c r="J791" t="s">
        <v>7135</v>
      </c>
      <c r="K791" t="s">
        <v>13</v>
      </c>
      <c r="L791" t="s">
        <v>75</v>
      </c>
      <c r="M791" t="s">
        <v>10621</v>
      </c>
    </row>
    <row r="792" spans="1:13">
      <c r="A792" t="s">
        <v>10619</v>
      </c>
      <c r="B792" t="s">
        <v>4981</v>
      </c>
      <c r="C792" t="s">
        <v>3480</v>
      </c>
      <c r="D792" t="s">
        <v>13</v>
      </c>
      <c r="E792" t="s">
        <v>75</v>
      </c>
      <c r="F792" t="s">
        <v>10623</v>
      </c>
      <c r="H792" t="s">
        <v>10619</v>
      </c>
      <c r="I792" t="s">
        <v>8335</v>
      </c>
      <c r="J792" t="s">
        <v>7143</v>
      </c>
      <c r="K792" t="s">
        <v>13</v>
      </c>
      <c r="L792" t="s">
        <v>75</v>
      </c>
      <c r="M792" t="s">
        <v>10621</v>
      </c>
    </row>
    <row r="793" spans="1:13">
      <c r="A793" t="s">
        <v>10619</v>
      </c>
      <c r="B793" t="s">
        <v>4982</v>
      </c>
      <c r="C793" t="s">
        <v>3485</v>
      </c>
      <c r="D793" t="s">
        <v>13</v>
      </c>
      <c r="E793" t="s">
        <v>75</v>
      </c>
      <c r="F793" t="s">
        <v>10623</v>
      </c>
      <c r="H793" t="s">
        <v>10619</v>
      </c>
      <c r="I793" t="s">
        <v>8336</v>
      </c>
      <c r="J793" t="s">
        <v>7147</v>
      </c>
      <c r="K793" t="s">
        <v>13</v>
      </c>
      <c r="L793" t="s">
        <v>75</v>
      </c>
      <c r="M793" t="s">
        <v>10621</v>
      </c>
    </row>
    <row r="794" spans="1:13">
      <c r="A794" t="s">
        <v>10619</v>
      </c>
      <c r="B794" t="s">
        <v>4983</v>
      </c>
      <c r="C794" t="s">
        <v>3487</v>
      </c>
      <c r="D794" t="s">
        <v>13</v>
      </c>
      <c r="E794" t="s">
        <v>75</v>
      </c>
      <c r="F794" t="s">
        <v>10623</v>
      </c>
      <c r="H794" t="s">
        <v>10619</v>
      </c>
      <c r="I794" t="s">
        <v>8337</v>
      </c>
      <c r="J794" t="s">
        <v>7149</v>
      </c>
      <c r="K794" t="s">
        <v>13</v>
      </c>
      <c r="L794" t="s">
        <v>75</v>
      </c>
      <c r="M794" t="s">
        <v>10621</v>
      </c>
    </row>
    <row r="795" spans="1:13">
      <c r="A795" t="s">
        <v>10619</v>
      </c>
      <c r="B795" t="s">
        <v>4984</v>
      </c>
      <c r="C795" t="s">
        <v>3487</v>
      </c>
      <c r="D795" t="s">
        <v>13</v>
      </c>
      <c r="E795" t="s">
        <v>75</v>
      </c>
      <c r="F795" t="s">
        <v>10623</v>
      </c>
      <c r="H795" t="s">
        <v>10619</v>
      </c>
      <c r="I795" t="s">
        <v>8338</v>
      </c>
      <c r="J795" t="s">
        <v>7151</v>
      </c>
      <c r="K795" t="s">
        <v>13</v>
      </c>
      <c r="L795" t="s">
        <v>75</v>
      </c>
      <c r="M795" t="s">
        <v>10621</v>
      </c>
    </row>
    <row r="796" spans="1:13">
      <c r="A796" t="s">
        <v>10619</v>
      </c>
      <c r="B796" t="s">
        <v>4985</v>
      </c>
      <c r="C796" t="s">
        <v>3487</v>
      </c>
      <c r="D796" t="s">
        <v>13</v>
      </c>
      <c r="E796" t="s">
        <v>75</v>
      </c>
      <c r="F796" t="s">
        <v>10623</v>
      </c>
      <c r="H796" t="s">
        <v>10619</v>
      </c>
      <c r="I796" t="s">
        <v>8339</v>
      </c>
      <c r="J796" t="s">
        <v>7153</v>
      </c>
      <c r="K796" t="s">
        <v>13</v>
      </c>
      <c r="L796" t="s">
        <v>75</v>
      </c>
      <c r="M796" t="s">
        <v>10621</v>
      </c>
    </row>
    <row r="797" spans="1:13">
      <c r="A797" t="s">
        <v>10619</v>
      </c>
      <c r="B797" t="s">
        <v>4986</v>
      </c>
      <c r="C797" t="s">
        <v>3491</v>
      </c>
      <c r="D797" t="s">
        <v>13</v>
      </c>
      <c r="E797" t="s">
        <v>75</v>
      </c>
      <c r="F797" t="s">
        <v>10620</v>
      </c>
      <c r="H797" t="s">
        <v>10619</v>
      </c>
      <c r="I797" t="s">
        <v>8340</v>
      </c>
      <c r="J797" t="s">
        <v>7155</v>
      </c>
      <c r="K797" t="s">
        <v>13</v>
      </c>
      <c r="L797" t="s">
        <v>75</v>
      </c>
      <c r="M797" t="s">
        <v>10621</v>
      </c>
    </row>
    <row r="798" spans="1:13">
      <c r="A798" t="s">
        <v>10619</v>
      </c>
      <c r="B798" t="s">
        <v>4987</v>
      </c>
      <c r="C798" t="s">
        <v>3493</v>
      </c>
      <c r="D798" t="s">
        <v>13</v>
      </c>
      <c r="E798" t="s">
        <v>75</v>
      </c>
      <c r="F798" t="s">
        <v>10620</v>
      </c>
      <c r="H798" t="s">
        <v>10619</v>
      </c>
      <c r="I798" t="s">
        <v>8341</v>
      </c>
      <c r="J798" t="s">
        <v>7157</v>
      </c>
      <c r="K798" t="s">
        <v>13</v>
      </c>
      <c r="L798" t="s">
        <v>75</v>
      </c>
      <c r="M798" t="s">
        <v>10621</v>
      </c>
    </row>
    <row r="799" spans="1:13">
      <c r="A799" t="s">
        <v>10619</v>
      </c>
      <c r="B799" t="s">
        <v>4988</v>
      </c>
      <c r="C799" t="s">
        <v>3495</v>
      </c>
      <c r="D799" t="s">
        <v>13</v>
      </c>
      <c r="E799" t="s">
        <v>75</v>
      </c>
      <c r="F799" t="s">
        <v>10620</v>
      </c>
      <c r="H799" t="s">
        <v>10619</v>
      </c>
      <c r="I799" t="s">
        <v>8342</v>
      </c>
      <c r="J799" t="s">
        <v>7159</v>
      </c>
      <c r="K799" t="s">
        <v>13</v>
      </c>
      <c r="L799" t="s">
        <v>75</v>
      </c>
      <c r="M799" t="s">
        <v>10621</v>
      </c>
    </row>
    <row r="800" spans="1:13">
      <c r="A800" t="s">
        <v>10619</v>
      </c>
      <c r="B800" t="s">
        <v>4989</v>
      </c>
      <c r="C800" t="s">
        <v>3497</v>
      </c>
      <c r="D800" t="s">
        <v>13</v>
      </c>
      <c r="E800" t="s">
        <v>75</v>
      </c>
      <c r="F800" t="s">
        <v>10620</v>
      </c>
      <c r="H800" t="s">
        <v>10619</v>
      </c>
      <c r="I800" t="s">
        <v>8343</v>
      </c>
      <c r="J800" t="s">
        <v>7161</v>
      </c>
      <c r="K800" t="s">
        <v>13</v>
      </c>
      <c r="L800" t="s">
        <v>75</v>
      </c>
      <c r="M800" t="s">
        <v>10621</v>
      </c>
    </row>
    <row r="801" spans="1:13">
      <c r="A801" t="s">
        <v>10619</v>
      </c>
      <c r="B801" t="s">
        <v>4990</v>
      </c>
      <c r="C801" t="s">
        <v>3499</v>
      </c>
      <c r="D801" t="s">
        <v>13</v>
      </c>
      <c r="E801" t="s">
        <v>75</v>
      </c>
      <c r="F801" t="s">
        <v>10620</v>
      </c>
      <c r="H801" t="s">
        <v>10619</v>
      </c>
      <c r="I801" t="s">
        <v>8344</v>
      </c>
      <c r="J801" t="s">
        <v>7163</v>
      </c>
      <c r="K801" t="s">
        <v>13</v>
      </c>
      <c r="L801" t="s">
        <v>75</v>
      </c>
      <c r="M801" t="s">
        <v>10620</v>
      </c>
    </row>
    <row r="802" spans="1:13">
      <c r="A802" t="s">
        <v>10619</v>
      </c>
      <c r="B802" t="s">
        <v>4991</v>
      </c>
      <c r="C802" t="s">
        <v>3501</v>
      </c>
      <c r="D802" t="s">
        <v>13</v>
      </c>
      <c r="E802" t="s">
        <v>75</v>
      </c>
      <c r="F802" t="s">
        <v>10620</v>
      </c>
      <c r="H802" t="s">
        <v>10619</v>
      </c>
      <c r="I802" t="s">
        <v>8345</v>
      </c>
      <c r="J802" t="s">
        <v>7165</v>
      </c>
      <c r="K802" t="s">
        <v>13</v>
      </c>
      <c r="L802" t="s">
        <v>75</v>
      </c>
      <c r="M802" t="s">
        <v>10620</v>
      </c>
    </row>
    <row r="803" spans="1:13">
      <c r="A803" t="s">
        <v>10619</v>
      </c>
      <c r="B803" t="s">
        <v>4992</v>
      </c>
      <c r="C803" t="s">
        <v>3503</v>
      </c>
      <c r="D803" t="s">
        <v>13</v>
      </c>
      <c r="E803" t="s">
        <v>75</v>
      </c>
      <c r="F803" t="s">
        <v>10620</v>
      </c>
      <c r="H803" t="s">
        <v>10619</v>
      </c>
      <c r="I803" t="s">
        <v>8346</v>
      </c>
      <c r="J803" t="s">
        <v>7167</v>
      </c>
      <c r="K803" t="s">
        <v>13</v>
      </c>
      <c r="L803" t="s">
        <v>75</v>
      </c>
      <c r="M803" t="s">
        <v>10621</v>
      </c>
    </row>
    <row r="804" spans="1:13">
      <c r="A804" t="s">
        <v>10619</v>
      </c>
      <c r="B804" t="s">
        <v>4993</v>
      </c>
      <c r="C804" t="s">
        <v>3499</v>
      </c>
      <c r="D804" t="s">
        <v>13</v>
      </c>
      <c r="E804" t="s">
        <v>75</v>
      </c>
      <c r="F804" t="s">
        <v>10620</v>
      </c>
      <c r="H804" t="s">
        <v>10619</v>
      </c>
      <c r="I804" t="s">
        <v>8347</v>
      </c>
      <c r="J804" t="s">
        <v>7169</v>
      </c>
      <c r="K804" t="s">
        <v>13</v>
      </c>
      <c r="L804" t="s">
        <v>75</v>
      </c>
      <c r="M804" t="s">
        <v>10621</v>
      </c>
    </row>
    <row r="805" spans="1:13">
      <c r="A805" t="s">
        <v>10619</v>
      </c>
      <c r="B805" t="s">
        <v>4994</v>
      </c>
      <c r="C805" t="s">
        <v>3497</v>
      </c>
      <c r="D805" t="s">
        <v>13</v>
      </c>
      <c r="E805" t="s">
        <v>75</v>
      </c>
      <c r="F805" t="s">
        <v>10620</v>
      </c>
      <c r="H805" t="s">
        <v>10619</v>
      </c>
      <c r="I805" t="s">
        <v>8348</v>
      </c>
      <c r="J805" t="s">
        <v>7171</v>
      </c>
      <c r="K805" t="s">
        <v>13</v>
      </c>
      <c r="L805" t="s">
        <v>75</v>
      </c>
      <c r="M805" t="s">
        <v>10624</v>
      </c>
    </row>
    <row r="806" spans="1:13">
      <c r="A806" t="s">
        <v>10619</v>
      </c>
      <c r="B806" t="s">
        <v>4995</v>
      </c>
      <c r="C806" t="s">
        <v>3507</v>
      </c>
      <c r="D806" t="s">
        <v>13</v>
      </c>
      <c r="E806" t="s">
        <v>75</v>
      </c>
      <c r="F806" t="s">
        <v>10620</v>
      </c>
      <c r="H806" t="s">
        <v>10619</v>
      </c>
      <c r="I806" t="s">
        <v>8349</v>
      </c>
      <c r="J806" t="s">
        <v>7173</v>
      </c>
      <c r="K806" t="s">
        <v>13</v>
      </c>
      <c r="L806" t="s">
        <v>75</v>
      </c>
      <c r="M806" t="s">
        <v>10624</v>
      </c>
    </row>
    <row r="807" spans="1:13">
      <c r="A807" t="s">
        <v>10619</v>
      </c>
      <c r="B807" t="s">
        <v>4996</v>
      </c>
      <c r="C807" t="s">
        <v>3509</v>
      </c>
      <c r="D807" t="s">
        <v>13</v>
      </c>
      <c r="E807" t="s">
        <v>75</v>
      </c>
      <c r="F807" t="s">
        <v>10624</v>
      </c>
      <c r="H807" t="s">
        <v>10619</v>
      </c>
      <c r="I807" t="s">
        <v>8350</v>
      </c>
      <c r="J807" t="s">
        <v>7175</v>
      </c>
      <c r="K807" t="s">
        <v>13</v>
      </c>
      <c r="L807" t="s">
        <v>75</v>
      </c>
      <c r="M807" t="s">
        <v>10621</v>
      </c>
    </row>
    <row r="808" spans="1:13">
      <c r="A808" t="s">
        <v>10619</v>
      </c>
      <c r="B808" t="s">
        <v>4997</v>
      </c>
      <c r="C808" t="s">
        <v>3511</v>
      </c>
      <c r="D808" t="s">
        <v>13</v>
      </c>
      <c r="E808" t="s">
        <v>75</v>
      </c>
      <c r="F808" t="s">
        <v>10624</v>
      </c>
      <c r="H808" t="s">
        <v>10619</v>
      </c>
      <c r="I808" t="s">
        <v>8351</v>
      </c>
      <c r="J808" t="s">
        <v>7177</v>
      </c>
      <c r="K808" t="s">
        <v>13</v>
      </c>
      <c r="L808" t="s">
        <v>75</v>
      </c>
      <c r="M808" t="s">
        <v>10621</v>
      </c>
    </row>
    <row r="809" spans="1:13">
      <c r="A809" t="s">
        <v>10619</v>
      </c>
      <c r="B809" t="s">
        <v>4998</v>
      </c>
      <c r="C809" t="s">
        <v>3513</v>
      </c>
      <c r="D809" t="s">
        <v>13</v>
      </c>
      <c r="E809" t="s">
        <v>75</v>
      </c>
      <c r="F809" t="s">
        <v>10624</v>
      </c>
      <c r="H809" t="s">
        <v>10619</v>
      </c>
      <c r="I809" t="s">
        <v>8352</v>
      </c>
      <c r="J809" t="s">
        <v>7179</v>
      </c>
      <c r="K809" t="s">
        <v>13</v>
      </c>
      <c r="L809" t="s">
        <v>75</v>
      </c>
      <c r="M809" t="s">
        <v>10621</v>
      </c>
    </row>
    <row r="810" spans="1:13">
      <c r="A810" t="s">
        <v>10619</v>
      </c>
      <c r="B810" t="s">
        <v>4999</v>
      </c>
      <c r="C810" t="s">
        <v>3515</v>
      </c>
      <c r="D810" t="s">
        <v>13</v>
      </c>
      <c r="E810" t="s">
        <v>75</v>
      </c>
      <c r="F810" t="s">
        <v>10624</v>
      </c>
      <c r="H810" t="s">
        <v>10619</v>
      </c>
      <c r="I810" t="s">
        <v>8353</v>
      </c>
      <c r="J810" t="s">
        <v>7181</v>
      </c>
      <c r="K810" t="s">
        <v>13</v>
      </c>
      <c r="L810" t="s">
        <v>75</v>
      </c>
      <c r="M810" t="s">
        <v>10621</v>
      </c>
    </row>
    <row r="811" spans="1:13">
      <c r="A811" t="s">
        <v>10619</v>
      </c>
      <c r="B811" t="s">
        <v>5000</v>
      </c>
      <c r="C811" t="s">
        <v>3517</v>
      </c>
      <c r="D811" t="s">
        <v>13</v>
      </c>
      <c r="E811" t="s">
        <v>75</v>
      </c>
      <c r="F811" t="s">
        <v>10624</v>
      </c>
      <c r="H811" t="s">
        <v>10619</v>
      </c>
      <c r="I811" t="s">
        <v>8354</v>
      </c>
      <c r="J811" t="s">
        <v>7183</v>
      </c>
      <c r="K811" t="s">
        <v>13</v>
      </c>
      <c r="L811" t="s">
        <v>75</v>
      </c>
      <c r="M811" t="s">
        <v>10621</v>
      </c>
    </row>
    <row r="812" spans="1:13">
      <c r="A812" t="s">
        <v>10619</v>
      </c>
      <c r="B812" t="s">
        <v>5001</v>
      </c>
      <c r="C812" t="s">
        <v>3519</v>
      </c>
      <c r="D812" t="s">
        <v>13</v>
      </c>
      <c r="E812" t="s">
        <v>75</v>
      </c>
      <c r="F812" t="s">
        <v>10624</v>
      </c>
      <c r="H812" t="s">
        <v>10619</v>
      </c>
      <c r="I812" t="s">
        <v>8355</v>
      </c>
      <c r="J812" t="s">
        <v>7185</v>
      </c>
      <c r="K812" t="s">
        <v>13</v>
      </c>
      <c r="L812" t="s">
        <v>75</v>
      </c>
      <c r="M812" t="s">
        <v>10621</v>
      </c>
    </row>
    <row r="813" spans="1:13">
      <c r="A813" t="s">
        <v>10619</v>
      </c>
      <c r="B813" t="s">
        <v>5002</v>
      </c>
      <c r="C813" t="s">
        <v>3517</v>
      </c>
      <c r="D813" t="s">
        <v>13</v>
      </c>
      <c r="E813" t="s">
        <v>75</v>
      </c>
      <c r="F813" t="s">
        <v>10624</v>
      </c>
      <c r="H813" t="s">
        <v>10619</v>
      </c>
      <c r="I813" t="s">
        <v>8356</v>
      </c>
      <c r="J813" t="s">
        <v>7187</v>
      </c>
      <c r="K813" t="s">
        <v>13</v>
      </c>
      <c r="L813" t="s">
        <v>75</v>
      </c>
      <c r="M813" t="s">
        <v>10621</v>
      </c>
    </row>
    <row r="814" spans="1:13">
      <c r="A814" t="s">
        <v>10619</v>
      </c>
      <c r="B814" t="s">
        <v>5003</v>
      </c>
      <c r="C814" t="s">
        <v>3519</v>
      </c>
      <c r="D814" t="s">
        <v>13</v>
      </c>
      <c r="E814" t="s">
        <v>75</v>
      </c>
      <c r="F814" t="s">
        <v>10624</v>
      </c>
      <c r="H814" t="s">
        <v>10619</v>
      </c>
      <c r="I814" t="s">
        <v>8357</v>
      </c>
      <c r="J814" t="s">
        <v>7189</v>
      </c>
      <c r="K814" t="s">
        <v>13</v>
      </c>
      <c r="L814" t="s">
        <v>75</v>
      </c>
      <c r="M814" t="s">
        <v>10621</v>
      </c>
    </row>
    <row r="815" spans="1:13">
      <c r="A815" t="s">
        <v>10619</v>
      </c>
      <c r="B815" t="s">
        <v>5004</v>
      </c>
      <c r="C815" t="s">
        <v>3519</v>
      </c>
      <c r="D815" t="s">
        <v>13</v>
      </c>
      <c r="E815" t="s">
        <v>75</v>
      </c>
      <c r="F815" t="s">
        <v>10624</v>
      </c>
      <c r="H815" t="s">
        <v>10619</v>
      </c>
      <c r="I815" t="s">
        <v>8358</v>
      </c>
      <c r="J815" t="s">
        <v>7191</v>
      </c>
      <c r="K815" t="s">
        <v>13</v>
      </c>
      <c r="L815" t="s">
        <v>75</v>
      </c>
      <c r="M815" t="s">
        <v>10621</v>
      </c>
    </row>
    <row r="816" spans="1:13">
      <c r="A816" t="s">
        <v>10619</v>
      </c>
      <c r="B816" t="s">
        <v>5005</v>
      </c>
      <c r="C816" t="s">
        <v>3519</v>
      </c>
      <c r="D816" t="s">
        <v>13</v>
      </c>
      <c r="E816" t="s">
        <v>75</v>
      </c>
      <c r="F816" t="s">
        <v>10624</v>
      </c>
      <c r="H816" t="s">
        <v>10619</v>
      </c>
      <c r="I816" t="s">
        <v>8359</v>
      </c>
      <c r="J816" t="s">
        <v>7193</v>
      </c>
      <c r="K816" t="s">
        <v>13</v>
      </c>
      <c r="L816" t="s">
        <v>75</v>
      </c>
      <c r="M816" t="s">
        <v>10622</v>
      </c>
    </row>
    <row r="817" spans="1:13">
      <c r="A817" t="s">
        <v>10619</v>
      </c>
      <c r="B817" t="s">
        <v>5006</v>
      </c>
      <c r="C817" t="s">
        <v>3525</v>
      </c>
      <c r="D817" t="s">
        <v>13</v>
      </c>
      <c r="E817" t="s">
        <v>75</v>
      </c>
      <c r="F817" t="s">
        <v>10624</v>
      </c>
      <c r="H817" t="s">
        <v>10619</v>
      </c>
      <c r="I817" t="s">
        <v>8360</v>
      </c>
      <c r="J817" t="s">
        <v>7195</v>
      </c>
      <c r="K817" t="s">
        <v>13</v>
      </c>
      <c r="L817" t="s">
        <v>75</v>
      </c>
      <c r="M817" t="s">
        <v>10622</v>
      </c>
    </row>
    <row r="818" spans="1:13">
      <c r="A818" t="s">
        <v>10619</v>
      </c>
      <c r="B818" t="s">
        <v>5007</v>
      </c>
      <c r="C818" t="s">
        <v>3527</v>
      </c>
      <c r="D818" t="s">
        <v>13</v>
      </c>
      <c r="E818" t="s">
        <v>75</v>
      </c>
      <c r="F818" t="s">
        <v>10624</v>
      </c>
      <c r="H818" t="s">
        <v>10619</v>
      </c>
      <c r="I818" t="s">
        <v>8361</v>
      </c>
      <c r="J818" t="s">
        <v>7197</v>
      </c>
      <c r="K818" t="s">
        <v>13</v>
      </c>
      <c r="L818" t="s">
        <v>75</v>
      </c>
      <c r="M818" t="s">
        <v>10622</v>
      </c>
    </row>
    <row r="819" spans="1:13">
      <c r="A819" t="s">
        <v>10619</v>
      </c>
      <c r="B819" t="s">
        <v>5008</v>
      </c>
      <c r="C819" t="s">
        <v>3529</v>
      </c>
      <c r="D819" t="s">
        <v>13</v>
      </c>
      <c r="E819" t="s">
        <v>75</v>
      </c>
      <c r="F819" t="s">
        <v>10624</v>
      </c>
      <c r="H819" t="s">
        <v>10619</v>
      </c>
      <c r="I819" t="s">
        <v>8362</v>
      </c>
      <c r="J819" t="s">
        <v>7199</v>
      </c>
      <c r="K819" t="s">
        <v>13</v>
      </c>
      <c r="L819" t="s">
        <v>75</v>
      </c>
      <c r="M819" t="s">
        <v>10622</v>
      </c>
    </row>
    <row r="820" spans="1:13">
      <c r="A820" t="s">
        <v>10619</v>
      </c>
      <c r="B820" t="s">
        <v>5009</v>
      </c>
      <c r="C820" t="s">
        <v>3531</v>
      </c>
      <c r="D820" t="s">
        <v>13</v>
      </c>
      <c r="E820" t="s">
        <v>75</v>
      </c>
      <c r="F820" t="s">
        <v>10624</v>
      </c>
      <c r="H820" t="s">
        <v>10619</v>
      </c>
      <c r="I820" t="s">
        <v>8363</v>
      </c>
      <c r="J820" t="s">
        <v>7201</v>
      </c>
      <c r="K820" t="s">
        <v>13</v>
      </c>
      <c r="L820" t="s">
        <v>75</v>
      </c>
      <c r="M820" t="s">
        <v>10622</v>
      </c>
    </row>
    <row r="821" spans="1:13">
      <c r="A821" t="s">
        <v>10619</v>
      </c>
      <c r="B821" t="s">
        <v>5010</v>
      </c>
      <c r="C821" t="s">
        <v>3533</v>
      </c>
      <c r="D821" t="s">
        <v>13</v>
      </c>
      <c r="E821" t="s">
        <v>75</v>
      </c>
      <c r="F821" t="s">
        <v>10624</v>
      </c>
      <c r="H821" t="s">
        <v>10619</v>
      </c>
      <c r="I821" t="s">
        <v>8364</v>
      </c>
      <c r="J821" t="s">
        <v>7203</v>
      </c>
      <c r="K821" t="s">
        <v>13</v>
      </c>
      <c r="L821" t="s">
        <v>75</v>
      </c>
      <c r="M821" t="s">
        <v>10622</v>
      </c>
    </row>
    <row r="822" spans="1:13">
      <c r="A822" t="s">
        <v>10619</v>
      </c>
      <c r="B822" t="s">
        <v>5011</v>
      </c>
      <c r="C822" t="s">
        <v>3535</v>
      </c>
      <c r="D822" t="s">
        <v>13</v>
      </c>
      <c r="E822" t="s">
        <v>75</v>
      </c>
      <c r="F822" t="s">
        <v>10620</v>
      </c>
      <c r="H822" t="s">
        <v>10619</v>
      </c>
      <c r="I822" t="s">
        <v>8365</v>
      </c>
      <c r="J822" t="s">
        <v>7205</v>
      </c>
      <c r="K822" t="s">
        <v>13</v>
      </c>
      <c r="L822" t="s">
        <v>75</v>
      </c>
      <c r="M822" t="s">
        <v>10621</v>
      </c>
    </row>
    <row r="823" spans="1:13">
      <c r="A823" t="s">
        <v>10619</v>
      </c>
      <c r="B823" t="s">
        <v>5012</v>
      </c>
      <c r="C823" t="s">
        <v>3537</v>
      </c>
      <c r="D823" t="s">
        <v>13</v>
      </c>
      <c r="E823" t="s">
        <v>75</v>
      </c>
      <c r="F823" t="s">
        <v>10620</v>
      </c>
      <c r="H823" t="s">
        <v>10619</v>
      </c>
      <c r="I823" t="s">
        <v>8366</v>
      </c>
      <c r="J823" t="s">
        <v>7205</v>
      </c>
      <c r="K823" t="s">
        <v>13</v>
      </c>
      <c r="L823" t="s">
        <v>75</v>
      </c>
      <c r="M823" t="s">
        <v>10621</v>
      </c>
    </row>
    <row r="824" spans="1:13">
      <c r="A824" t="s">
        <v>10619</v>
      </c>
      <c r="B824" t="s">
        <v>5013</v>
      </c>
      <c r="C824" t="s">
        <v>3539</v>
      </c>
      <c r="D824" t="s">
        <v>13</v>
      </c>
      <c r="E824" t="s">
        <v>75</v>
      </c>
      <c r="F824" t="s">
        <v>10620</v>
      </c>
      <c r="H824" t="s">
        <v>10619</v>
      </c>
      <c r="I824" t="s">
        <v>8367</v>
      </c>
      <c r="J824" t="s">
        <v>7208</v>
      </c>
      <c r="K824" t="s">
        <v>13</v>
      </c>
      <c r="L824" t="s">
        <v>75</v>
      </c>
      <c r="M824" t="s">
        <v>10621</v>
      </c>
    </row>
    <row r="825" spans="1:13">
      <c r="A825" t="s">
        <v>10619</v>
      </c>
      <c r="B825" t="s">
        <v>5014</v>
      </c>
      <c r="C825" t="s">
        <v>3541</v>
      </c>
      <c r="D825" t="s">
        <v>13</v>
      </c>
      <c r="E825" t="s">
        <v>75</v>
      </c>
      <c r="F825" t="s">
        <v>10620</v>
      </c>
      <c r="H825" t="s">
        <v>10619</v>
      </c>
      <c r="I825" t="s">
        <v>8368</v>
      </c>
      <c r="J825" t="s">
        <v>7210</v>
      </c>
      <c r="K825" t="s">
        <v>13</v>
      </c>
      <c r="L825" t="s">
        <v>75</v>
      </c>
      <c r="M825" t="s">
        <v>10621</v>
      </c>
    </row>
    <row r="826" spans="1:13">
      <c r="A826" t="s">
        <v>10619</v>
      </c>
      <c r="B826" t="s">
        <v>5015</v>
      </c>
      <c r="C826" t="s">
        <v>3543</v>
      </c>
      <c r="D826" t="s">
        <v>13</v>
      </c>
      <c r="E826" t="s">
        <v>75</v>
      </c>
      <c r="F826" t="s">
        <v>10620</v>
      </c>
      <c r="H826" t="s">
        <v>10619</v>
      </c>
      <c r="I826" t="s">
        <v>8369</v>
      </c>
      <c r="J826" t="s">
        <v>7210</v>
      </c>
      <c r="K826" t="s">
        <v>13</v>
      </c>
      <c r="L826" t="s">
        <v>75</v>
      </c>
      <c r="M826" t="s">
        <v>10621</v>
      </c>
    </row>
    <row r="827" spans="1:13">
      <c r="A827" t="s">
        <v>10619</v>
      </c>
      <c r="B827" t="s">
        <v>5016</v>
      </c>
      <c r="C827" t="s">
        <v>3545</v>
      </c>
      <c r="D827" t="s">
        <v>13</v>
      </c>
      <c r="E827" t="s">
        <v>75</v>
      </c>
      <c r="F827" t="s">
        <v>10620</v>
      </c>
      <c r="H827" t="s">
        <v>10619</v>
      </c>
      <c r="I827" t="s">
        <v>8370</v>
      </c>
      <c r="J827" t="s">
        <v>7213</v>
      </c>
      <c r="K827" t="s">
        <v>13</v>
      </c>
      <c r="L827" t="s">
        <v>75</v>
      </c>
      <c r="M827" t="s">
        <v>10621</v>
      </c>
    </row>
    <row r="828" spans="1:13">
      <c r="A828" t="s">
        <v>10619</v>
      </c>
      <c r="B828" t="s">
        <v>5017</v>
      </c>
      <c r="C828" t="s">
        <v>3547</v>
      </c>
      <c r="D828" t="s">
        <v>13</v>
      </c>
      <c r="E828" t="s">
        <v>75</v>
      </c>
      <c r="F828" t="s">
        <v>10620</v>
      </c>
      <c r="H828" t="s">
        <v>10619</v>
      </c>
      <c r="I828" t="s">
        <v>8371</v>
      </c>
      <c r="J828" t="s">
        <v>7215</v>
      </c>
      <c r="K828" t="s">
        <v>13</v>
      </c>
      <c r="L828" t="s">
        <v>75</v>
      </c>
      <c r="M828" t="s">
        <v>10624</v>
      </c>
    </row>
    <row r="829" spans="1:13">
      <c r="A829" t="s">
        <v>10619</v>
      </c>
      <c r="B829" t="s">
        <v>5018</v>
      </c>
      <c r="C829" t="s">
        <v>3549</v>
      </c>
      <c r="D829" t="s">
        <v>13</v>
      </c>
      <c r="E829" t="s">
        <v>75</v>
      </c>
      <c r="F829" t="s">
        <v>10620</v>
      </c>
      <c r="H829" t="s">
        <v>10619</v>
      </c>
      <c r="I829" t="s">
        <v>8372</v>
      </c>
      <c r="J829" t="s">
        <v>7217</v>
      </c>
      <c r="K829" t="s">
        <v>13</v>
      </c>
      <c r="L829" t="s">
        <v>75</v>
      </c>
      <c r="M829" t="s">
        <v>10624</v>
      </c>
    </row>
    <row r="830" spans="1:13">
      <c r="A830" t="s">
        <v>10619</v>
      </c>
      <c r="B830" t="s">
        <v>5019</v>
      </c>
      <c r="C830" t="s">
        <v>3551</v>
      </c>
      <c r="D830" t="s">
        <v>13</v>
      </c>
      <c r="E830" t="s">
        <v>75</v>
      </c>
      <c r="F830" t="s">
        <v>10620</v>
      </c>
      <c r="H830" t="s">
        <v>10619</v>
      </c>
      <c r="I830" t="s">
        <v>8373</v>
      </c>
      <c r="J830" t="s">
        <v>7219</v>
      </c>
      <c r="K830" t="s">
        <v>13</v>
      </c>
      <c r="L830" t="s">
        <v>75</v>
      </c>
      <c r="M830" t="s">
        <v>10628</v>
      </c>
    </row>
    <row r="831" spans="1:13">
      <c r="A831" t="s">
        <v>10619</v>
      </c>
      <c r="B831" t="s">
        <v>5020</v>
      </c>
      <c r="C831" t="s">
        <v>3553</v>
      </c>
      <c r="D831" t="s">
        <v>13</v>
      </c>
      <c r="E831" t="s">
        <v>75</v>
      </c>
      <c r="F831" t="s">
        <v>10620</v>
      </c>
      <c r="H831" t="s">
        <v>10619</v>
      </c>
      <c r="I831" t="s">
        <v>8374</v>
      </c>
      <c r="J831" t="s">
        <v>7221</v>
      </c>
      <c r="K831" t="s">
        <v>13</v>
      </c>
      <c r="L831" t="s">
        <v>75</v>
      </c>
      <c r="M831" t="s">
        <v>10628</v>
      </c>
    </row>
    <row r="832" spans="1:13">
      <c r="A832" t="s">
        <v>10619</v>
      </c>
      <c r="B832" t="s">
        <v>5021</v>
      </c>
      <c r="C832" t="s">
        <v>3555</v>
      </c>
      <c r="D832" t="s">
        <v>13</v>
      </c>
      <c r="E832" t="s">
        <v>75</v>
      </c>
      <c r="F832" t="s">
        <v>10620</v>
      </c>
      <c r="H832" t="s">
        <v>10619</v>
      </c>
      <c r="I832" t="s">
        <v>8375</v>
      </c>
      <c r="J832" t="s">
        <v>7223</v>
      </c>
      <c r="K832" t="s">
        <v>13</v>
      </c>
      <c r="L832" t="s">
        <v>75</v>
      </c>
      <c r="M832" t="s">
        <v>10628</v>
      </c>
    </row>
    <row r="833" spans="1:13">
      <c r="A833" t="s">
        <v>10619</v>
      </c>
      <c r="B833" t="s">
        <v>5022</v>
      </c>
      <c r="C833" t="s">
        <v>3555</v>
      </c>
      <c r="D833" t="s">
        <v>13</v>
      </c>
      <c r="E833" t="s">
        <v>75</v>
      </c>
      <c r="F833" t="s">
        <v>10620</v>
      </c>
      <c r="H833" t="s">
        <v>10619</v>
      </c>
      <c r="I833" t="s">
        <v>8376</v>
      </c>
      <c r="J833" t="s">
        <v>7225</v>
      </c>
      <c r="K833" t="s">
        <v>13</v>
      </c>
      <c r="L833" t="s">
        <v>75</v>
      </c>
      <c r="M833" t="s">
        <v>10635</v>
      </c>
    </row>
    <row r="834" spans="1:13">
      <c r="A834" t="s">
        <v>10619</v>
      </c>
      <c r="B834" t="s">
        <v>5023</v>
      </c>
      <c r="C834" t="s">
        <v>3558</v>
      </c>
      <c r="D834" t="s">
        <v>13</v>
      </c>
      <c r="E834" t="s">
        <v>75</v>
      </c>
      <c r="F834" t="s">
        <v>10620</v>
      </c>
      <c r="H834" t="s">
        <v>10619</v>
      </c>
      <c r="I834" t="s">
        <v>8377</v>
      </c>
      <c r="J834" t="s">
        <v>7227</v>
      </c>
      <c r="K834" t="s">
        <v>13</v>
      </c>
      <c r="L834" t="s">
        <v>75</v>
      </c>
      <c r="M834" t="s">
        <v>10635</v>
      </c>
    </row>
    <row r="835" spans="1:13">
      <c r="A835" t="s">
        <v>10619</v>
      </c>
      <c r="B835" t="s">
        <v>5024</v>
      </c>
      <c r="C835" t="s">
        <v>3560</v>
      </c>
      <c r="D835" t="s">
        <v>13</v>
      </c>
      <c r="E835" t="s">
        <v>75</v>
      </c>
      <c r="F835" t="s">
        <v>10620</v>
      </c>
      <c r="H835" t="s">
        <v>10619</v>
      </c>
      <c r="I835" t="s">
        <v>8378</v>
      </c>
      <c r="J835" t="s">
        <v>7229</v>
      </c>
      <c r="K835" t="s">
        <v>13</v>
      </c>
      <c r="L835" t="s">
        <v>75</v>
      </c>
      <c r="M835" t="s">
        <v>10629</v>
      </c>
    </row>
    <row r="836" spans="1:13">
      <c r="A836" t="s">
        <v>10619</v>
      </c>
      <c r="B836" t="s">
        <v>5025</v>
      </c>
      <c r="C836" t="s">
        <v>3562</v>
      </c>
      <c r="D836" t="s">
        <v>13</v>
      </c>
      <c r="E836" t="s">
        <v>75</v>
      </c>
      <c r="F836" t="s">
        <v>10620</v>
      </c>
      <c r="H836" t="s">
        <v>10619</v>
      </c>
      <c r="I836" t="s">
        <v>8379</v>
      </c>
      <c r="J836" t="s">
        <v>7231</v>
      </c>
      <c r="K836" t="s">
        <v>13</v>
      </c>
      <c r="L836" t="s">
        <v>75</v>
      </c>
      <c r="M836" t="s">
        <v>10629</v>
      </c>
    </row>
    <row r="837" spans="1:13">
      <c r="A837" t="s">
        <v>10619</v>
      </c>
      <c r="B837" t="s">
        <v>5026</v>
      </c>
      <c r="C837" t="s">
        <v>3564</v>
      </c>
      <c r="D837" t="s">
        <v>13</v>
      </c>
      <c r="E837" t="s">
        <v>75</v>
      </c>
      <c r="F837" t="s">
        <v>10620</v>
      </c>
      <c r="H837" t="s">
        <v>10619</v>
      </c>
      <c r="I837" t="s">
        <v>8380</v>
      </c>
      <c r="J837" t="s">
        <v>7233</v>
      </c>
      <c r="K837" t="s">
        <v>13</v>
      </c>
      <c r="L837" t="s">
        <v>75</v>
      </c>
      <c r="M837" t="s">
        <v>10629</v>
      </c>
    </row>
    <row r="838" spans="1:13">
      <c r="A838" t="s">
        <v>10619</v>
      </c>
      <c r="B838" t="s">
        <v>5027</v>
      </c>
      <c r="C838" t="s">
        <v>3566</v>
      </c>
      <c r="D838" t="s">
        <v>13</v>
      </c>
      <c r="E838" t="s">
        <v>75</v>
      </c>
      <c r="F838" t="s">
        <v>548</v>
      </c>
      <c r="H838" t="s">
        <v>10619</v>
      </c>
      <c r="I838" t="s">
        <v>8381</v>
      </c>
      <c r="J838" t="s">
        <v>7235</v>
      </c>
      <c r="K838" t="s">
        <v>13</v>
      </c>
      <c r="L838" t="s">
        <v>75</v>
      </c>
      <c r="M838" t="s">
        <v>10629</v>
      </c>
    </row>
    <row r="839" spans="1:13">
      <c r="A839" t="s">
        <v>10619</v>
      </c>
      <c r="B839" t="s">
        <v>5028</v>
      </c>
      <c r="C839" t="s">
        <v>3568</v>
      </c>
      <c r="D839" t="s">
        <v>13</v>
      </c>
      <c r="E839" t="s">
        <v>75</v>
      </c>
      <c r="F839" t="s">
        <v>548</v>
      </c>
      <c r="H839" t="s">
        <v>10619</v>
      </c>
      <c r="I839" t="s">
        <v>8382</v>
      </c>
      <c r="J839" t="s">
        <v>7237</v>
      </c>
      <c r="K839" t="s">
        <v>13</v>
      </c>
      <c r="L839" t="s">
        <v>75</v>
      </c>
      <c r="M839" t="s">
        <v>10629</v>
      </c>
    </row>
    <row r="840" spans="1:13">
      <c r="A840" t="s">
        <v>10619</v>
      </c>
      <c r="B840" t="s">
        <v>5029</v>
      </c>
      <c r="C840" t="s">
        <v>3570</v>
      </c>
      <c r="D840" t="s">
        <v>13</v>
      </c>
      <c r="E840" t="s">
        <v>75</v>
      </c>
      <c r="F840" t="s">
        <v>548</v>
      </c>
      <c r="H840" t="s">
        <v>10619</v>
      </c>
      <c r="I840" t="s">
        <v>8383</v>
      </c>
      <c r="J840" t="s">
        <v>7239</v>
      </c>
      <c r="K840" t="s">
        <v>13</v>
      </c>
      <c r="L840" t="s">
        <v>75</v>
      </c>
      <c r="M840" t="s">
        <v>10623</v>
      </c>
    </row>
    <row r="841" spans="1:13">
      <c r="A841" t="s">
        <v>10619</v>
      </c>
      <c r="B841" t="s">
        <v>5030</v>
      </c>
      <c r="C841" t="s">
        <v>3572</v>
      </c>
      <c r="D841" t="s">
        <v>13</v>
      </c>
      <c r="E841" t="s">
        <v>75</v>
      </c>
      <c r="F841" t="s">
        <v>548</v>
      </c>
      <c r="H841" t="s">
        <v>10619</v>
      </c>
      <c r="I841" t="s">
        <v>8384</v>
      </c>
      <c r="J841" t="s">
        <v>7241</v>
      </c>
      <c r="K841" t="s">
        <v>13</v>
      </c>
      <c r="L841" t="s">
        <v>75</v>
      </c>
      <c r="M841" t="s">
        <v>10623</v>
      </c>
    </row>
    <row r="842" spans="1:13">
      <c r="A842" t="s">
        <v>10619</v>
      </c>
      <c r="B842" t="s">
        <v>5031</v>
      </c>
      <c r="C842" t="s">
        <v>3574</v>
      </c>
      <c r="D842" t="s">
        <v>13</v>
      </c>
      <c r="E842" t="s">
        <v>75</v>
      </c>
      <c r="F842" t="s">
        <v>548</v>
      </c>
      <c r="H842" t="s">
        <v>10619</v>
      </c>
      <c r="I842" t="s">
        <v>8385</v>
      </c>
      <c r="J842" t="s">
        <v>7243</v>
      </c>
      <c r="K842" t="s">
        <v>13</v>
      </c>
      <c r="L842" t="s">
        <v>75</v>
      </c>
      <c r="M842" t="s">
        <v>10623</v>
      </c>
    </row>
    <row r="843" spans="1:13">
      <c r="A843" t="s">
        <v>10619</v>
      </c>
      <c r="B843" t="s">
        <v>5032</v>
      </c>
      <c r="C843" t="s">
        <v>3576</v>
      </c>
      <c r="D843" t="s">
        <v>13</v>
      </c>
      <c r="E843" t="s">
        <v>75</v>
      </c>
      <c r="F843" t="s">
        <v>548</v>
      </c>
      <c r="H843" t="s">
        <v>10619</v>
      </c>
      <c r="I843" t="s">
        <v>8386</v>
      </c>
      <c r="J843" t="s">
        <v>7245</v>
      </c>
      <c r="K843" t="s">
        <v>13</v>
      </c>
      <c r="L843" t="s">
        <v>75</v>
      </c>
      <c r="M843" t="s">
        <v>10623</v>
      </c>
    </row>
    <row r="844" spans="1:13">
      <c r="A844" t="s">
        <v>10619</v>
      </c>
      <c r="B844" t="s">
        <v>5033</v>
      </c>
      <c r="C844" t="s">
        <v>3578</v>
      </c>
      <c r="D844" t="s">
        <v>13</v>
      </c>
      <c r="E844" t="s">
        <v>75</v>
      </c>
      <c r="F844" t="s">
        <v>548</v>
      </c>
      <c r="H844" t="s">
        <v>10619</v>
      </c>
      <c r="I844" t="s">
        <v>8387</v>
      </c>
      <c r="J844" t="s">
        <v>7247</v>
      </c>
      <c r="K844" t="s">
        <v>13</v>
      </c>
      <c r="L844" t="s">
        <v>75</v>
      </c>
      <c r="M844" t="s">
        <v>10623</v>
      </c>
    </row>
    <row r="845" spans="1:13">
      <c r="A845" t="s">
        <v>10619</v>
      </c>
      <c r="B845" t="s">
        <v>5034</v>
      </c>
      <c r="C845" t="s">
        <v>3580</v>
      </c>
      <c r="D845" t="s">
        <v>13</v>
      </c>
      <c r="E845" t="s">
        <v>75</v>
      </c>
      <c r="F845" t="s">
        <v>10624</v>
      </c>
      <c r="H845" t="s">
        <v>10619</v>
      </c>
      <c r="I845" t="s">
        <v>8388</v>
      </c>
      <c r="J845" t="s">
        <v>7249</v>
      </c>
      <c r="K845" t="s">
        <v>13</v>
      </c>
      <c r="L845" t="s">
        <v>75</v>
      </c>
      <c r="M845" t="s">
        <v>10623</v>
      </c>
    </row>
    <row r="846" spans="1:13">
      <c r="A846" t="s">
        <v>10619</v>
      </c>
      <c r="B846" t="s">
        <v>5035</v>
      </c>
      <c r="C846" t="s">
        <v>3582</v>
      </c>
      <c r="D846" t="s">
        <v>13</v>
      </c>
      <c r="E846" t="s">
        <v>75</v>
      </c>
      <c r="F846" t="s">
        <v>10624</v>
      </c>
      <c r="H846" t="s">
        <v>10619</v>
      </c>
      <c r="I846" t="s">
        <v>8389</v>
      </c>
      <c r="J846" t="s">
        <v>7251</v>
      </c>
      <c r="K846" t="s">
        <v>13</v>
      </c>
      <c r="L846" t="s">
        <v>75</v>
      </c>
      <c r="M846" t="s">
        <v>10621</v>
      </c>
    </row>
    <row r="847" spans="1:13">
      <c r="A847" t="s">
        <v>10619</v>
      </c>
      <c r="B847" t="s">
        <v>5036</v>
      </c>
      <c r="C847" t="s">
        <v>3584</v>
      </c>
      <c r="D847" t="s">
        <v>13</v>
      </c>
      <c r="E847" t="s">
        <v>75</v>
      </c>
      <c r="F847" t="s">
        <v>10624</v>
      </c>
      <c r="H847" t="s">
        <v>10619</v>
      </c>
      <c r="I847" t="s">
        <v>8390</v>
      </c>
      <c r="J847" t="s">
        <v>7251</v>
      </c>
      <c r="K847" t="s">
        <v>13</v>
      </c>
      <c r="L847" t="s">
        <v>75</v>
      </c>
      <c r="M847" t="s">
        <v>10621</v>
      </c>
    </row>
    <row r="848" spans="1:13">
      <c r="A848" t="s">
        <v>10619</v>
      </c>
      <c r="B848" t="s">
        <v>5037</v>
      </c>
      <c r="C848" t="s">
        <v>3586</v>
      </c>
      <c r="D848" t="s">
        <v>13</v>
      </c>
      <c r="E848" t="s">
        <v>75</v>
      </c>
      <c r="F848" t="s">
        <v>10620</v>
      </c>
      <c r="H848" t="s">
        <v>10619</v>
      </c>
      <c r="I848" t="s">
        <v>8391</v>
      </c>
      <c r="J848" t="s">
        <v>7251</v>
      </c>
      <c r="K848" t="s">
        <v>13</v>
      </c>
      <c r="L848" t="s">
        <v>75</v>
      </c>
      <c r="M848" t="s">
        <v>10621</v>
      </c>
    </row>
    <row r="849" spans="1:13">
      <c r="A849" t="s">
        <v>10619</v>
      </c>
      <c r="B849" t="s">
        <v>5038</v>
      </c>
      <c r="C849" t="s">
        <v>3588</v>
      </c>
      <c r="D849" t="s">
        <v>13</v>
      </c>
      <c r="E849" t="s">
        <v>75</v>
      </c>
      <c r="F849" t="s">
        <v>10620</v>
      </c>
      <c r="H849" t="s">
        <v>10619</v>
      </c>
      <c r="I849" t="s">
        <v>8392</v>
      </c>
      <c r="J849" t="s">
        <v>7255</v>
      </c>
      <c r="K849" t="s">
        <v>13</v>
      </c>
      <c r="L849" t="s">
        <v>75</v>
      </c>
      <c r="M849" t="s">
        <v>10621</v>
      </c>
    </row>
    <row r="850" spans="1:13">
      <c r="A850" t="s">
        <v>10619</v>
      </c>
      <c r="B850" t="s">
        <v>5039</v>
      </c>
      <c r="C850" t="s">
        <v>3590</v>
      </c>
      <c r="D850" t="s">
        <v>13</v>
      </c>
      <c r="E850" t="s">
        <v>75</v>
      </c>
      <c r="F850" t="s">
        <v>10620</v>
      </c>
      <c r="H850" t="s">
        <v>10619</v>
      </c>
      <c r="I850" t="s">
        <v>8393</v>
      </c>
      <c r="J850" t="s">
        <v>7257</v>
      </c>
      <c r="K850" t="s">
        <v>13</v>
      </c>
      <c r="L850" t="s">
        <v>75</v>
      </c>
      <c r="M850" t="s">
        <v>10621</v>
      </c>
    </row>
    <row r="851" spans="1:13">
      <c r="A851" t="s">
        <v>10619</v>
      </c>
      <c r="B851" t="s">
        <v>5040</v>
      </c>
      <c r="C851" t="s">
        <v>3592</v>
      </c>
      <c r="D851" t="s">
        <v>13</v>
      </c>
      <c r="E851" t="s">
        <v>75</v>
      </c>
      <c r="F851" t="s">
        <v>10620</v>
      </c>
      <c r="H851" t="s">
        <v>10619</v>
      </c>
      <c r="I851" t="s">
        <v>8394</v>
      </c>
      <c r="J851" t="s">
        <v>7259</v>
      </c>
      <c r="K851" t="s">
        <v>13</v>
      </c>
      <c r="L851" t="s">
        <v>75</v>
      </c>
      <c r="M851" t="s">
        <v>10621</v>
      </c>
    </row>
    <row r="852" spans="1:13">
      <c r="A852" t="s">
        <v>10619</v>
      </c>
      <c r="B852" t="s">
        <v>5041</v>
      </c>
      <c r="C852" t="s">
        <v>3594</v>
      </c>
      <c r="D852" t="s">
        <v>13</v>
      </c>
      <c r="E852" t="s">
        <v>75</v>
      </c>
      <c r="F852" t="s">
        <v>10620</v>
      </c>
      <c r="H852" t="s">
        <v>10619</v>
      </c>
      <c r="I852" t="s">
        <v>8395</v>
      </c>
      <c r="J852" t="s">
        <v>7261</v>
      </c>
      <c r="K852" t="s">
        <v>13</v>
      </c>
      <c r="L852" t="s">
        <v>75</v>
      </c>
      <c r="M852" t="s">
        <v>10621</v>
      </c>
    </row>
    <row r="853" spans="1:13">
      <c r="A853" t="s">
        <v>10619</v>
      </c>
      <c r="B853" t="s">
        <v>5042</v>
      </c>
      <c r="C853" t="s">
        <v>3596</v>
      </c>
      <c r="D853" t="s">
        <v>13</v>
      </c>
      <c r="E853" t="s">
        <v>75</v>
      </c>
      <c r="F853" t="s">
        <v>10631</v>
      </c>
      <c r="H853" t="s">
        <v>10619</v>
      </c>
      <c r="I853" t="s">
        <v>8396</v>
      </c>
      <c r="J853" t="s">
        <v>7263</v>
      </c>
      <c r="K853" t="s">
        <v>13</v>
      </c>
      <c r="L853" t="s">
        <v>75</v>
      </c>
      <c r="M853" t="s">
        <v>10621</v>
      </c>
    </row>
    <row r="854" spans="1:13">
      <c r="A854" t="s">
        <v>10619</v>
      </c>
      <c r="B854" t="s">
        <v>5043</v>
      </c>
      <c r="C854" t="s">
        <v>3598</v>
      </c>
      <c r="D854" t="s">
        <v>13</v>
      </c>
      <c r="E854" t="s">
        <v>75</v>
      </c>
      <c r="F854" t="s">
        <v>10631</v>
      </c>
      <c r="H854" t="s">
        <v>10619</v>
      </c>
      <c r="I854" t="s">
        <v>8397</v>
      </c>
      <c r="J854" t="s">
        <v>7265</v>
      </c>
      <c r="K854" t="s">
        <v>13</v>
      </c>
      <c r="L854" t="s">
        <v>75</v>
      </c>
      <c r="M854" t="s">
        <v>10621</v>
      </c>
    </row>
    <row r="855" spans="1:13">
      <c r="A855" t="s">
        <v>10619</v>
      </c>
      <c r="B855" t="s">
        <v>5044</v>
      </c>
      <c r="C855" t="s">
        <v>3600</v>
      </c>
      <c r="D855" t="s">
        <v>13</v>
      </c>
      <c r="E855" t="s">
        <v>75</v>
      </c>
      <c r="F855" t="s">
        <v>10631</v>
      </c>
      <c r="H855" t="s">
        <v>10619</v>
      </c>
      <c r="I855" t="s">
        <v>8398</v>
      </c>
      <c r="J855" t="s">
        <v>7267</v>
      </c>
      <c r="K855" t="s">
        <v>13</v>
      </c>
      <c r="L855" t="s">
        <v>75</v>
      </c>
      <c r="M855" t="s">
        <v>10621</v>
      </c>
    </row>
    <row r="856" spans="1:13">
      <c r="A856" t="s">
        <v>10619</v>
      </c>
      <c r="B856" t="s">
        <v>5045</v>
      </c>
      <c r="C856" t="s">
        <v>3602</v>
      </c>
      <c r="D856" t="s">
        <v>13</v>
      </c>
      <c r="E856" t="s">
        <v>75</v>
      </c>
      <c r="F856" t="s">
        <v>10631</v>
      </c>
      <c r="H856" t="s">
        <v>10619</v>
      </c>
      <c r="I856" t="s">
        <v>8399</v>
      </c>
      <c r="J856" t="s">
        <v>7269</v>
      </c>
      <c r="K856" t="s">
        <v>13</v>
      </c>
      <c r="L856" t="s">
        <v>75</v>
      </c>
      <c r="M856" t="s">
        <v>10621</v>
      </c>
    </row>
    <row r="857" spans="1:13">
      <c r="A857" t="s">
        <v>10619</v>
      </c>
      <c r="B857" t="s">
        <v>5046</v>
      </c>
      <c r="C857" t="s">
        <v>3604</v>
      </c>
      <c r="D857" t="s">
        <v>13</v>
      </c>
      <c r="E857" t="s">
        <v>75</v>
      </c>
      <c r="F857" t="s">
        <v>10631</v>
      </c>
      <c r="H857" t="s">
        <v>10619</v>
      </c>
      <c r="I857" t="s">
        <v>8400</v>
      </c>
      <c r="J857" t="s">
        <v>7269</v>
      </c>
      <c r="K857" t="s">
        <v>13</v>
      </c>
      <c r="L857" t="s">
        <v>75</v>
      </c>
      <c r="M857" t="s">
        <v>10621</v>
      </c>
    </row>
    <row r="858" spans="1:13">
      <c r="A858" t="s">
        <v>10619</v>
      </c>
      <c r="B858" t="s">
        <v>5047</v>
      </c>
      <c r="C858" t="s">
        <v>3606</v>
      </c>
      <c r="D858" t="s">
        <v>13</v>
      </c>
      <c r="E858" t="s">
        <v>75</v>
      </c>
      <c r="F858" t="s">
        <v>10624</v>
      </c>
      <c r="H858" t="s">
        <v>10619</v>
      </c>
      <c r="I858" t="s">
        <v>8401</v>
      </c>
      <c r="J858" t="s">
        <v>7272</v>
      </c>
      <c r="K858" t="s">
        <v>13</v>
      </c>
      <c r="L858" t="s">
        <v>75</v>
      </c>
      <c r="M858" t="s">
        <v>10621</v>
      </c>
    </row>
    <row r="859" spans="1:13">
      <c r="A859" t="s">
        <v>10619</v>
      </c>
      <c r="B859" t="s">
        <v>5048</v>
      </c>
      <c r="C859" t="s">
        <v>3606</v>
      </c>
      <c r="D859" t="s">
        <v>13</v>
      </c>
      <c r="E859" t="s">
        <v>75</v>
      </c>
      <c r="F859" t="s">
        <v>10624</v>
      </c>
      <c r="H859" t="s">
        <v>10619</v>
      </c>
      <c r="I859" t="s">
        <v>8402</v>
      </c>
      <c r="J859" t="s">
        <v>7274</v>
      </c>
      <c r="K859" t="s">
        <v>13</v>
      </c>
      <c r="L859" t="s">
        <v>75</v>
      </c>
      <c r="M859" t="s">
        <v>10621</v>
      </c>
    </row>
    <row r="860" spans="1:13">
      <c r="A860" t="s">
        <v>10619</v>
      </c>
      <c r="B860" t="s">
        <v>5049</v>
      </c>
      <c r="C860" t="s">
        <v>3609</v>
      </c>
      <c r="D860" t="s">
        <v>13</v>
      </c>
      <c r="E860" t="s">
        <v>75</v>
      </c>
      <c r="F860" t="s">
        <v>10624</v>
      </c>
      <c r="H860" t="s">
        <v>10619</v>
      </c>
      <c r="I860" t="s">
        <v>8403</v>
      </c>
      <c r="J860" t="s">
        <v>7276</v>
      </c>
      <c r="K860" t="s">
        <v>13</v>
      </c>
      <c r="L860" t="s">
        <v>75</v>
      </c>
      <c r="M860" t="s">
        <v>10620</v>
      </c>
    </row>
    <row r="861" spans="1:13">
      <c r="A861" t="s">
        <v>10619</v>
      </c>
      <c r="B861" t="s">
        <v>5050</v>
      </c>
      <c r="C861" t="s">
        <v>3611</v>
      </c>
      <c r="D861" t="s">
        <v>13</v>
      </c>
      <c r="E861" t="s">
        <v>75</v>
      </c>
      <c r="F861" t="s">
        <v>10624</v>
      </c>
      <c r="H861" t="s">
        <v>10619</v>
      </c>
      <c r="I861" t="s">
        <v>8404</v>
      </c>
      <c r="J861" t="s">
        <v>7278</v>
      </c>
      <c r="K861" t="s">
        <v>13</v>
      </c>
      <c r="L861" t="s">
        <v>75</v>
      </c>
      <c r="M861" t="s">
        <v>10620</v>
      </c>
    </row>
    <row r="862" spans="1:13">
      <c r="A862" t="s">
        <v>10619</v>
      </c>
      <c r="B862" t="s">
        <v>5051</v>
      </c>
      <c r="C862" t="s">
        <v>3613</v>
      </c>
      <c r="D862" t="s">
        <v>13</v>
      </c>
      <c r="E862" t="s">
        <v>75</v>
      </c>
      <c r="F862" t="s">
        <v>10624</v>
      </c>
      <c r="H862" t="s">
        <v>10619</v>
      </c>
      <c r="I862" t="s">
        <v>8405</v>
      </c>
      <c r="J862" t="s">
        <v>7280</v>
      </c>
      <c r="K862" t="s">
        <v>13</v>
      </c>
      <c r="L862" t="s">
        <v>75</v>
      </c>
      <c r="M862" t="s">
        <v>10620</v>
      </c>
    </row>
    <row r="863" spans="1:13">
      <c r="A863" t="s">
        <v>10619</v>
      </c>
      <c r="B863" t="s">
        <v>5052</v>
      </c>
      <c r="C863" t="s">
        <v>3613</v>
      </c>
      <c r="D863" t="s">
        <v>13</v>
      </c>
      <c r="E863" t="s">
        <v>75</v>
      </c>
      <c r="F863" t="s">
        <v>10624</v>
      </c>
      <c r="H863" t="s">
        <v>10619</v>
      </c>
      <c r="I863" t="s">
        <v>8406</v>
      </c>
      <c r="J863" t="s">
        <v>7282</v>
      </c>
      <c r="K863" t="s">
        <v>13</v>
      </c>
      <c r="L863" t="s">
        <v>75</v>
      </c>
      <c r="M863" t="s">
        <v>10620</v>
      </c>
    </row>
    <row r="864" spans="1:13">
      <c r="A864" t="s">
        <v>10619</v>
      </c>
      <c r="B864" t="s">
        <v>5053</v>
      </c>
      <c r="C864" t="s">
        <v>3616</v>
      </c>
      <c r="D864" t="s">
        <v>13</v>
      </c>
      <c r="E864" t="s">
        <v>75</v>
      </c>
      <c r="F864" t="s">
        <v>10624</v>
      </c>
      <c r="H864" t="s">
        <v>10619</v>
      </c>
      <c r="I864" t="s">
        <v>8407</v>
      </c>
      <c r="J864" t="s">
        <v>7284</v>
      </c>
      <c r="K864" t="s">
        <v>13</v>
      </c>
      <c r="L864" t="s">
        <v>75</v>
      </c>
      <c r="M864" t="s">
        <v>10620</v>
      </c>
    </row>
    <row r="865" spans="1:13">
      <c r="A865" t="s">
        <v>10619</v>
      </c>
      <c r="B865" t="s">
        <v>5054</v>
      </c>
      <c r="C865" t="s">
        <v>3618</v>
      </c>
      <c r="D865" t="s">
        <v>13</v>
      </c>
      <c r="E865" t="s">
        <v>75</v>
      </c>
      <c r="F865" t="s">
        <v>10624</v>
      </c>
      <c r="H865" t="s">
        <v>10619</v>
      </c>
      <c r="I865" t="s">
        <v>8408</v>
      </c>
      <c r="J865" t="s">
        <v>7286</v>
      </c>
      <c r="K865" t="s">
        <v>13</v>
      </c>
      <c r="L865" t="s">
        <v>75</v>
      </c>
      <c r="M865" t="s">
        <v>10620</v>
      </c>
    </row>
    <row r="866" spans="1:13">
      <c r="A866" t="s">
        <v>10619</v>
      </c>
      <c r="B866" t="s">
        <v>5055</v>
      </c>
      <c r="C866" t="s">
        <v>3620</v>
      </c>
      <c r="D866" t="s">
        <v>13</v>
      </c>
      <c r="E866" t="s">
        <v>75</v>
      </c>
      <c r="F866" t="s">
        <v>10623</v>
      </c>
      <c r="H866" t="s">
        <v>10619</v>
      </c>
      <c r="I866" t="s">
        <v>8409</v>
      </c>
      <c r="J866" t="s">
        <v>7288</v>
      </c>
      <c r="K866" t="s">
        <v>13</v>
      </c>
      <c r="L866" t="s">
        <v>75</v>
      </c>
      <c r="M866" t="s">
        <v>10620</v>
      </c>
    </row>
    <row r="867" spans="1:13">
      <c r="A867" t="s">
        <v>10619</v>
      </c>
      <c r="B867" t="s">
        <v>5056</v>
      </c>
      <c r="C867" t="s">
        <v>3620</v>
      </c>
      <c r="D867" t="s">
        <v>13</v>
      </c>
      <c r="E867" t="s">
        <v>75</v>
      </c>
      <c r="F867" t="s">
        <v>10623</v>
      </c>
      <c r="H867" t="s">
        <v>10619</v>
      </c>
      <c r="I867" t="s">
        <v>8410</v>
      </c>
      <c r="J867" t="s">
        <v>7290</v>
      </c>
      <c r="K867" t="s">
        <v>13</v>
      </c>
      <c r="L867" t="s">
        <v>75</v>
      </c>
      <c r="M867" t="s">
        <v>10620</v>
      </c>
    </row>
    <row r="868" spans="1:13">
      <c r="A868" t="s">
        <v>10619</v>
      </c>
      <c r="B868" t="s">
        <v>5057</v>
      </c>
      <c r="C868" t="s">
        <v>3623</v>
      </c>
      <c r="D868" t="s">
        <v>13</v>
      </c>
      <c r="E868" t="s">
        <v>75</v>
      </c>
      <c r="F868" t="s">
        <v>10623</v>
      </c>
      <c r="H868" t="s">
        <v>10619</v>
      </c>
      <c r="I868" t="s">
        <v>8411</v>
      </c>
      <c r="J868" t="s">
        <v>7292</v>
      </c>
      <c r="K868" t="s">
        <v>13</v>
      </c>
      <c r="L868" t="s">
        <v>75</v>
      </c>
      <c r="M868" t="s">
        <v>10620</v>
      </c>
    </row>
    <row r="869" spans="1:13">
      <c r="A869" t="s">
        <v>10619</v>
      </c>
      <c r="B869" t="s">
        <v>5058</v>
      </c>
      <c r="C869" t="s">
        <v>3625</v>
      </c>
      <c r="D869" t="s">
        <v>13</v>
      </c>
      <c r="E869" t="s">
        <v>75</v>
      </c>
      <c r="F869" t="s">
        <v>10626</v>
      </c>
      <c r="H869" t="s">
        <v>10619</v>
      </c>
      <c r="I869" t="s">
        <v>8412</v>
      </c>
      <c r="J869" t="s">
        <v>7294</v>
      </c>
      <c r="K869" t="s">
        <v>13</v>
      </c>
      <c r="L869" t="s">
        <v>75</v>
      </c>
      <c r="M869" t="s">
        <v>10620</v>
      </c>
    </row>
    <row r="870" spans="1:13">
      <c r="A870" t="s">
        <v>10619</v>
      </c>
      <c r="B870" t="s">
        <v>5059</v>
      </c>
      <c r="C870" t="s">
        <v>3627</v>
      </c>
      <c r="D870" t="s">
        <v>13</v>
      </c>
      <c r="E870" t="s">
        <v>75</v>
      </c>
      <c r="F870" t="s">
        <v>10626</v>
      </c>
      <c r="H870" t="s">
        <v>10619</v>
      </c>
      <c r="I870" t="s">
        <v>8413</v>
      </c>
      <c r="J870" t="s">
        <v>7296</v>
      </c>
      <c r="K870" t="s">
        <v>13</v>
      </c>
      <c r="L870" t="s">
        <v>75</v>
      </c>
      <c r="M870" t="s">
        <v>10620</v>
      </c>
    </row>
    <row r="871" spans="1:13">
      <c r="A871" t="s">
        <v>10619</v>
      </c>
      <c r="B871" t="s">
        <v>5060</v>
      </c>
      <c r="C871" t="s">
        <v>3629</v>
      </c>
      <c r="D871" t="s">
        <v>13</v>
      </c>
      <c r="E871" t="s">
        <v>75</v>
      </c>
      <c r="F871" t="s">
        <v>10626</v>
      </c>
      <c r="H871" t="s">
        <v>10619</v>
      </c>
      <c r="I871" t="s">
        <v>8414</v>
      </c>
      <c r="J871" t="s">
        <v>7298</v>
      </c>
      <c r="K871" t="s">
        <v>13</v>
      </c>
      <c r="L871" t="s">
        <v>75</v>
      </c>
      <c r="M871" t="s">
        <v>10620</v>
      </c>
    </row>
    <row r="872" spans="1:13">
      <c r="A872" t="s">
        <v>10619</v>
      </c>
      <c r="B872" t="s">
        <v>5061</v>
      </c>
      <c r="C872" t="s">
        <v>3631</v>
      </c>
      <c r="D872" t="s">
        <v>13</v>
      </c>
      <c r="E872" t="s">
        <v>75</v>
      </c>
      <c r="F872" t="s">
        <v>10626</v>
      </c>
      <c r="H872" t="s">
        <v>10619</v>
      </c>
      <c r="I872" t="s">
        <v>8415</v>
      </c>
      <c r="J872" t="s">
        <v>7300</v>
      </c>
      <c r="K872" t="s">
        <v>13</v>
      </c>
      <c r="L872" t="s">
        <v>75</v>
      </c>
      <c r="M872" t="s">
        <v>10620</v>
      </c>
    </row>
    <row r="873" spans="1:13">
      <c r="A873" t="s">
        <v>10619</v>
      </c>
      <c r="B873" t="s">
        <v>5062</v>
      </c>
      <c r="C873" t="s">
        <v>3633</v>
      </c>
      <c r="D873" t="s">
        <v>13</v>
      </c>
      <c r="E873" t="s">
        <v>75</v>
      </c>
      <c r="F873" t="s">
        <v>10626</v>
      </c>
      <c r="H873" t="s">
        <v>10619</v>
      </c>
      <c r="I873" t="s">
        <v>8416</v>
      </c>
      <c r="J873" t="s">
        <v>7300</v>
      </c>
      <c r="K873" t="s">
        <v>13</v>
      </c>
      <c r="L873" t="s">
        <v>75</v>
      </c>
      <c r="M873" t="s">
        <v>10620</v>
      </c>
    </row>
    <row r="874" spans="1:13">
      <c r="A874" t="s">
        <v>10619</v>
      </c>
      <c r="B874" t="s">
        <v>5063</v>
      </c>
      <c r="C874" t="s">
        <v>3635</v>
      </c>
      <c r="D874" t="s">
        <v>13</v>
      </c>
      <c r="E874" t="s">
        <v>75</v>
      </c>
      <c r="F874" t="s">
        <v>10626</v>
      </c>
      <c r="H874" t="s">
        <v>10619</v>
      </c>
      <c r="I874" t="s">
        <v>8417</v>
      </c>
      <c r="J874" t="s">
        <v>7300</v>
      </c>
      <c r="K874" t="s">
        <v>13</v>
      </c>
      <c r="L874" t="s">
        <v>75</v>
      </c>
      <c r="M874" t="s">
        <v>10620</v>
      </c>
    </row>
    <row r="875" spans="1:13">
      <c r="A875" t="s">
        <v>10619</v>
      </c>
      <c r="B875" t="s">
        <v>5064</v>
      </c>
      <c r="C875" t="s">
        <v>3637</v>
      </c>
      <c r="D875" t="s">
        <v>13</v>
      </c>
      <c r="E875" t="s">
        <v>75</v>
      </c>
      <c r="F875" t="s">
        <v>123</v>
      </c>
      <c r="H875" t="s">
        <v>10619</v>
      </c>
      <c r="I875" t="s">
        <v>8418</v>
      </c>
      <c r="J875" t="s">
        <v>7304</v>
      </c>
      <c r="K875" t="s">
        <v>13</v>
      </c>
      <c r="L875" t="s">
        <v>75</v>
      </c>
      <c r="M875" t="s">
        <v>10620</v>
      </c>
    </row>
    <row r="876" spans="1:13">
      <c r="A876" t="s">
        <v>10619</v>
      </c>
      <c r="B876" t="s">
        <v>5065</v>
      </c>
      <c r="C876" t="s">
        <v>3639</v>
      </c>
      <c r="D876" t="s">
        <v>13</v>
      </c>
      <c r="E876" t="s">
        <v>75</v>
      </c>
      <c r="F876" t="s">
        <v>123</v>
      </c>
      <c r="H876" t="s">
        <v>10619</v>
      </c>
      <c r="I876" t="s">
        <v>8419</v>
      </c>
      <c r="J876" t="s">
        <v>7306</v>
      </c>
      <c r="K876" t="s">
        <v>13</v>
      </c>
      <c r="L876" t="s">
        <v>75</v>
      </c>
      <c r="M876" t="s">
        <v>10620</v>
      </c>
    </row>
    <row r="877" spans="1:13">
      <c r="A877" t="s">
        <v>10619</v>
      </c>
      <c r="B877" t="s">
        <v>5066</v>
      </c>
      <c r="C877" t="s">
        <v>3641</v>
      </c>
      <c r="D877" t="s">
        <v>13</v>
      </c>
      <c r="E877" t="s">
        <v>75</v>
      </c>
      <c r="F877" t="s">
        <v>123</v>
      </c>
      <c r="H877" t="s">
        <v>10619</v>
      </c>
      <c r="I877" t="s">
        <v>8420</v>
      </c>
      <c r="J877" t="s">
        <v>7308</v>
      </c>
      <c r="K877" t="s">
        <v>13</v>
      </c>
      <c r="L877" t="s">
        <v>75</v>
      </c>
      <c r="M877" t="s">
        <v>10620</v>
      </c>
    </row>
    <row r="878" spans="1:13">
      <c r="A878" t="s">
        <v>10619</v>
      </c>
      <c r="B878" t="s">
        <v>5067</v>
      </c>
      <c r="C878" t="s">
        <v>3641</v>
      </c>
      <c r="D878" t="s">
        <v>13</v>
      </c>
      <c r="E878" t="s">
        <v>75</v>
      </c>
      <c r="F878" t="s">
        <v>123</v>
      </c>
      <c r="H878" t="s">
        <v>10619</v>
      </c>
      <c r="I878" t="s">
        <v>8421</v>
      </c>
      <c r="J878" t="s">
        <v>7310</v>
      </c>
      <c r="K878" t="s">
        <v>13</v>
      </c>
      <c r="L878" t="s">
        <v>75</v>
      </c>
      <c r="M878" t="s">
        <v>10624</v>
      </c>
    </row>
    <row r="879" spans="1:13">
      <c r="A879" t="s">
        <v>10619</v>
      </c>
      <c r="B879" t="s">
        <v>5068</v>
      </c>
      <c r="C879" t="s">
        <v>3644</v>
      </c>
      <c r="D879" t="s">
        <v>13</v>
      </c>
      <c r="E879" t="s">
        <v>75</v>
      </c>
      <c r="F879" t="s">
        <v>123</v>
      </c>
      <c r="H879" t="s">
        <v>10619</v>
      </c>
      <c r="I879" t="s">
        <v>8422</v>
      </c>
      <c r="J879" t="s">
        <v>7312</v>
      </c>
      <c r="K879" t="s">
        <v>13</v>
      </c>
      <c r="L879" t="s">
        <v>75</v>
      </c>
      <c r="M879" t="s">
        <v>10624</v>
      </c>
    </row>
    <row r="880" spans="1:13">
      <c r="A880" t="s">
        <v>10619</v>
      </c>
      <c r="B880" t="s">
        <v>5069</v>
      </c>
      <c r="C880" t="s">
        <v>3646</v>
      </c>
      <c r="D880" t="s">
        <v>13</v>
      </c>
      <c r="E880" t="s">
        <v>75</v>
      </c>
      <c r="F880" t="s">
        <v>123</v>
      </c>
      <c r="H880" t="s">
        <v>10619</v>
      </c>
      <c r="I880" t="s">
        <v>8423</v>
      </c>
      <c r="J880" t="s">
        <v>7314</v>
      </c>
      <c r="K880" t="s">
        <v>13</v>
      </c>
      <c r="L880" t="s">
        <v>75</v>
      </c>
      <c r="M880" t="s">
        <v>10630</v>
      </c>
    </row>
    <row r="881" spans="1:13">
      <c r="A881" t="s">
        <v>10619</v>
      </c>
      <c r="B881" t="s">
        <v>5070</v>
      </c>
      <c r="C881" t="s">
        <v>3648</v>
      </c>
      <c r="D881" t="s">
        <v>13</v>
      </c>
      <c r="E881" t="s">
        <v>75</v>
      </c>
      <c r="F881" t="s">
        <v>123</v>
      </c>
      <c r="H881" t="s">
        <v>10619</v>
      </c>
      <c r="I881" t="s">
        <v>8424</v>
      </c>
      <c r="J881" t="s">
        <v>7316</v>
      </c>
      <c r="K881" t="s">
        <v>13</v>
      </c>
      <c r="L881" t="s">
        <v>75</v>
      </c>
      <c r="M881" t="s">
        <v>10630</v>
      </c>
    </row>
    <row r="882" spans="1:13">
      <c r="A882" t="s">
        <v>10619</v>
      </c>
      <c r="B882" t="s">
        <v>5071</v>
      </c>
      <c r="C882" t="s">
        <v>3650</v>
      </c>
      <c r="D882" t="s">
        <v>13</v>
      </c>
      <c r="E882" t="s">
        <v>75</v>
      </c>
      <c r="F882" t="s">
        <v>123</v>
      </c>
      <c r="H882" t="s">
        <v>10619</v>
      </c>
      <c r="I882" t="s">
        <v>8425</v>
      </c>
      <c r="J882" t="s">
        <v>7318</v>
      </c>
      <c r="K882" t="s">
        <v>13</v>
      </c>
      <c r="L882" t="s">
        <v>75</v>
      </c>
      <c r="M882" t="s">
        <v>10630</v>
      </c>
    </row>
    <row r="883" spans="1:13">
      <c r="A883" t="s">
        <v>10619</v>
      </c>
      <c r="B883" t="s">
        <v>5072</v>
      </c>
      <c r="C883" t="s">
        <v>3652</v>
      </c>
      <c r="D883" t="s">
        <v>13</v>
      </c>
      <c r="E883" t="s">
        <v>75</v>
      </c>
      <c r="F883" t="s">
        <v>123</v>
      </c>
      <c r="H883" t="s">
        <v>10619</v>
      </c>
      <c r="I883" t="s">
        <v>8426</v>
      </c>
      <c r="J883" t="s">
        <v>7318</v>
      </c>
      <c r="K883" t="s">
        <v>13</v>
      </c>
      <c r="L883" t="s">
        <v>75</v>
      </c>
      <c r="M883" t="s">
        <v>10630</v>
      </c>
    </row>
    <row r="884" spans="1:13">
      <c r="A884" t="s">
        <v>10619</v>
      </c>
      <c r="B884" t="s">
        <v>5073</v>
      </c>
      <c r="C884" t="s">
        <v>3654</v>
      </c>
      <c r="D884" t="s">
        <v>13</v>
      </c>
      <c r="E884" t="s">
        <v>75</v>
      </c>
      <c r="F884" t="s">
        <v>123</v>
      </c>
      <c r="H884" t="s">
        <v>10619</v>
      </c>
      <c r="I884" t="s">
        <v>8427</v>
      </c>
      <c r="J884" t="s">
        <v>7321</v>
      </c>
      <c r="K884" t="s">
        <v>13</v>
      </c>
      <c r="L884" t="s">
        <v>75</v>
      </c>
      <c r="M884" t="s">
        <v>10630</v>
      </c>
    </row>
    <row r="885" spans="1:13">
      <c r="A885" t="s">
        <v>10619</v>
      </c>
      <c r="B885" t="s">
        <v>5074</v>
      </c>
      <c r="C885" t="s">
        <v>3656</v>
      </c>
      <c r="D885" t="s">
        <v>13</v>
      </c>
      <c r="E885" t="s">
        <v>75</v>
      </c>
      <c r="F885" t="s">
        <v>123</v>
      </c>
      <c r="H885" t="s">
        <v>10619</v>
      </c>
      <c r="I885" t="s">
        <v>8428</v>
      </c>
      <c r="J885" t="s">
        <v>7323</v>
      </c>
      <c r="K885" t="s">
        <v>13</v>
      </c>
      <c r="L885" t="s">
        <v>75</v>
      </c>
      <c r="M885" t="s">
        <v>10638</v>
      </c>
    </row>
    <row r="886" spans="1:13">
      <c r="A886" t="s">
        <v>10619</v>
      </c>
      <c r="B886" t="s">
        <v>5075</v>
      </c>
      <c r="C886" t="s">
        <v>3658</v>
      </c>
      <c r="D886" t="s">
        <v>13</v>
      </c>
      <c r="E886" t="s">
        <v>75</v>
      </c>
      <c r="F886" t="s">
        <v>123</v>
      </c>
      <c r="H886" t="s">
        <v>10619</v>
      </c>
      <c r="I886" t="s">
        <v>8429</v>
      </c>
      <c r="J886" t="s">
        <v>7325</v>
      </c>
      <c r="K886" t="s">
        <v>13</v>
      </c>
      <c r="L886" t="s">
        <v>75</v>
      </c>
      <c r="M886" t="s">
        <v>10638</v>
      </c>
    </row>
    <row r="887" spans="1:13">
      <c r="A887" t="s">
        <v>10619</v>
      </c>
      <c r="B887" t="s">
        <v>5076</v>
      </c>
      <c r="C887" t="s">
        <v>3660</v>
      </c>
      <c r="D887" t="s">
        <v>13</v>
      </c>
      <c r="E887" t="s">
        <v>75</v>
      </c>
      <c r="F887" t="s">
        <v>123</v>
      </c>
      <c r="H887" t="s">
        <v>10619</v>
      </c>
      <c r="I887" t="s">
        <v>8430</v>
      </c>
      <c r="J887" t="s">
        <v>7327</v>
      </c>
      <c r="K887" t="s">
        <v>13</v>
      </c>
      <c r="L887" t="s">
        <v>75</v>
      </c>
      <c r="M887" t="s">
        <v>10638</v>
      </c>
    </row>
    <row r="888" spans="1:13">
      <c r="A888" t="s">
        <v>10619</v>
      </c>
      <c r="B888" t="s">
        <v>5077</v>
      </c>
      <c r="C888" t="s">
        <v>3662</v>
      </c>
      <c r="D888" t="s">
        <v>13</v>
      </c>
      <c r="E888" t="s">
        <v>75</v>
      </c>
      <c r="F888" t="s">
        <v>123</v>
      </c>
      <c r="H888" t="s">
        <v>10619</v>
      </c>
      <c r="I888" t="s">
        <v>8431</v>
      </c>
      <c r="J888" t="s">
        <v>7329</v>
      </c>
      <c r="K888" t="s">
        <v>13</v>
      </c>
      <c r="L888" t="s">
        <v>75</v>
      </c>
      <c r="M888" t="s">
        <v>10638</v>
      </c>
    </row>
    <row r="889" spans="1:13">
      <c r="A889" t="s">
        <v>10619</v>
      </c>
      <c r="B889" t="s">
        <v>5078</v>
      </c>
      <c r="C889" t="s">
        <v>3664</v>
      </c>
      <c r="D889" t="s">
        <v>13</v>
      </c>
      <c r="E889" t="s">
        <v>75</v>
      </c>
      <c r="F889" t="s">
        <v>123</v>
      </c>
      <c r="H889" t="s">
        <v>10619</v>
      </c>
      <c r="I889" t="s">
        <v>8432</v>
      </c>
      <c r="J889" t="s">
        <v>7331</v>
      </c>
      <c r="K889" t="s">
        <v>13</v>
      </c>
      <c r="L889" t="s">
        <v>75</v>
      </c>
      <c r="M889" t="s">
        <v>10638</v>
      </c>
    </row>
    <row r="890" spans="1:13">
      <c r="A890" t="s">
        <v>10619</v>
      </c>
      <c r="B890" t="s">
        <v>5079</v>
      </c>
      <c r="C890" t="s">
        <v>3666</v>
      </c>
      <c r="D890" t="s">
        <v>13</v>
      </c>
      <c r="E890" t="s">
        <v>75</v>
      </c>
      <c r="F890" t="s">
        <v>123</v>
      </c>
      <c r="H890" t="s">
        <v>10619</v>
      </c>
      <c r="I890" t="s">
        <v>8433</v>
      </c>
      <c r="J890" t="s">
        <v>7333</v>
      </c>
      <c r="K890" t="s">
        <v>13</v>
      </c>
      <c r="L890" t="s">
        <v>75</v>
      </c>
      <c r="M890" t="s">
        <v>10638</v>
      </c>
    </row>
    <row r="891" spans="1:13">
      <c r="A891" t="s">
        <v>10619</v>
      </c>
      <c r="B891" t="s">
        <v>5080</v>
      </c>
      <c r="C891" t="s">
        <v>3666</v>
      </c>
      <c r="D891" t="s">
        <v>13</v>
      </c>
      <c r="E891" t="s">
        <v>75</v>
      </c>
      <c r="F891" t="s">
        <v>123</v>
      </c>
      <c r="H891" t="s">
        <v>10619</v>
      </c>
      <c r="I891" t="s">
        <v>8434</v>
      </c>
      <c r="J891" t="s">
        <v>7335</v>
      </c>
      <c r="K891" t="s">
        <v>13</v>
      </c>
      <c r="L891" t="s">
        <v>75</v>
      </c>
      <c r="M891" t="s">
        <v>10638</v>
      </c>
    </row>
    <row r="892" spans="1:13">
      <c r="A892" t="s">
        <v>10619</v>
      </c>
      <c r="B892" t="s">
        <v>5081</v>
      </c>
      <c r="C892" t="s">
        <v>3669</v>
      </c>
      <c r="D892" t="s">
        <v>13</v>
      </c>
      <c r="E892" t="s">
        <v>75</v>
      </c>
      <c r="F892" t="s">
        <v>123</v>
      </c>
      <c r="H892" t="s">
        <v>10619</v>
      </c>
      <c r="I892" t="s">
        <v>8435</v>
      </c>
      <c r="J892" t="s">
        <v>7337</v>
      </c>
      <c r="K892" t="s">
        <v>13</v>
      </c>
      <c r="L892" t="s">
        <v>75</v>
      </c>
      <c r="M892" t="s">
        <v>10620</v>
      </c>
    </row>
    <row r="893" spans="1:13">
      <c r="A893" t="s">
        <v>10619</v>
      </c>
      <c r="B893" t="s">
        <v>5082</v>
      </c>
      <c r="C893" t="s">
        <v>3671</v>
      </c>
      <c r="D893" t="s">
        <v>13</v>
      </c>
      <c r="E893" t="s">
        <v>75</v>
      </c>
      <c r="F893" t="s">
        <v>123</v>
      </c>
      <c r="H893" t="s">
        <v>10619</v>
      </c>
      <c r="I893" t="s">
        <v>8436</v>
      </c>
      <c r="J893" t="s">
        <v>7339</v>
      </c>
      <c r="K893" t="s">
        <v>13</v>
      </c>
      <c r="L893" t="s">
        <v>75</v>
      </c>
      <c r="M893" t="s">
        <v>10620</v>
      </c>
    </row>
    <row r="894" spans="1:13">
      <c r="A894" t="s">
        <v>10619</v>
      </c>
      <c r="B894" t="s">
        <v>5083</v>
      </c>
      <c r="C894" t="s">
        <v>3673</v>
      </c>
      <c r="D894" t="s">
        <v>13</v>
      </c>
      <c r="E894" t="s">
        <v>75</v>
      </c>
      <c r="F894" t="s">
        <v>123</v>
      </c>
      <c r="H894" t="s">
        <v>10619</v>
      </c>
      <c r="I894" t="s">
        <v>8437</v>
      </c>
      <c r="J894" t="s">
        <v>7341</v>
      </c>
      <c r="K894" t="s">
        <v>13</v>
      </c>
      <c r="L894" t="s">
        <v>75</v>
      </c>
      <c r="M894" t="s">
        <v>10620</v>
      </c>
    </row>
    <row r="895" spans="1:13">
      <c r="A895" t="s">
        <v>10619</v>
      </c>
      <c r="B895" t="s">
        <v>5084</v>
      </c>
      <c r="C895" t="s">
        <v>3675</v>
      </c>
      <c r="D895" t="s">
        <v>13</v>
      </c>
      <c r="E895" t="s">
        <v>75</v>
      </c>
      <c r="F895" t="s">
        <v>123</v>
      </c>
      <c r="H895" t="s">
        <v>10619</v>
      </c>
      <c r="I895" t="s">
        <v>8438</v>
      </c>
      <c r="J895" t="s">
        <v>7343</v>
      </c>
      <c r="K895" t="s">
        <v>13</v>
      </c>
      <c r="L895" t="s">
        <v>75</v>
      </c>
      <c r="M895" t="s">
        <v>10621</v>
      </c>
    </row>
    <row r="896" spans="1:13">
      <c r="A896" t="s">
        <v>10619</v>
      </c>
      <c r="B896" t="s">
        <v>5085</v>
      </c>
      <c r="C896" t="s">
        <v>3677</v>
      </c>
      <c r="D896" t="s">
        <v>13</v>
      </c>
      <c r="E896" t="s">
        <v>75</v>
      </c>
      <c r="F896" t="s">
        <v>123</v>
      </c>
      <c r="H896" t="s">
        <v>10619</v>
      </c>
      <c r="I896" t="s">
        <v>8439</v>
      </c>
      <c r="J896" t="s">
        <v>7345</v>
      </c>
      <c r="K896" t="s">
        <v>13</v>
      </c>
      <c r="L896" t="s">
        <v>75</v>
      </c>
      <c r="M896" t="s">
        <v>10621</v>
      </c>
    </row>
    <row r="897" spans="1:13">
      <c r="A897" t="s">
        <v>10619</v>
      </c>
      <c r="B897" t="s">
        <v>5086</v>
      </c>
      <c r="C897" t="s">
        <v>3679</v>
      </c>
      <c r="D897" t="s">
        <v>13</v>
      </c>
      <c r="E897" t="s">
        <v>75</v>
      </c>
      <c r="F897" t="s">
        <v>123</v>
      </c>
      <c r="H897" t="s">
        <v>10619</v>
      </c>
      <c r="I897" t="s">
        <v>8440</v>
      </c>
      <c r="J897" t="s">
        <v>7347</v>
      </c>
      <c r="K897" t="s">
        <v>13</v>
      </c>
      <c r="L897" t="s">
        <v>75</v>
      </c>
      <c r="M897" t="s">
        <v>10621</v>
      </c>
    </row>
    <row r="898" spans="1:13">
      <c r="A898" t="s">
        <v>10619</v>
      </c>
      <c r="B898" t="s">
        <v>5087</v>
      </c>
      <c r="C898" t="s">
        <v>3681</v>
      </c>
      <c r="D898" t="s">
        <v>13</v>
      </c>
      <c r="E898" t="s">
        <v>75</v>
      </c>
      <c r="F898" t="s">
        <v>123</v>
      </c>
      <c r="H898" t="s">
        <v>10619</v>
      </c>
      <c r="I898" t="s">
        <v>8441</v>
      </c>
      <c r="J898" t="s">
        <v>7349</v>
      </c>
      <c r="K898" t="s">
        <v>13</v>
      </c>
      <c r="L898" t="s">
        <v>75</v>
      </c>
      <c r="M898" t="s">
        <v>10621</v>
      </c>
    </row>
    <row r="899" spans="1:13">
      <c r="A899" t="s">
        <v>10619</v>
      </c>
      <c r="B899" t="s">
        <v>5088</v>
      </c>
      <c r="C899" t="s">
        <v>3683</v>
      </c>
      <c r="D899" t="s">
        <v>13</v>
      </c>
      <c r="E899" t="s">
        <v>75</v>
      </c>
      <c r="F899" t="s">
        <v>10621</v>
      </c>
      <c r="H899" t="s">
        <v>10619</v>
      </c>
      <c r="I899" t="s">
        <v>8442</v>
      </c>
      <c r="J899" t="s">
        <v>7351</v>
      </c>
      <c r="K899" t="s">
        <v>13</v>
      </c>
      <c r="L899" t="s">
        <v>75</v>
      </c>
      <c r="M899" t="s">
        <v>10621</v>
      </c>
    </row>
    <row r="900" spans="1:13">
      <c r="A900" t="s">
        <v>10619</v>
      </c>
      <c r="B900" t="s">
        <v>5089</v>
      </c>
      <c r="C900" t="s">
        <v>3685</v>
      </c>
      <c r="D900" t="s">
        <v>13</v>
      </c>
      <c r="E900" t="s">
        <v>75</v>
      </c>
      <c r="F900" t="s">
        <v>10621</v>
      </c>
      <c r="H900" t="s">
        <v>10619</v>
      </c>
      <c r="I900" t="s">
        <v>8443</v>
      </c>
      <c r="J900" t="s">
        <v>7353</v>
      </c>
      <c r="K900" t="s">
        <v>13</v>
      </c>
      <c r="L900" t="s">
        <v>75</v>
      </c>
      <c r="M900" t="s">
        <v>10621</v>
      </c>
    </row>
    <row r="901" spans="1:13">
      <c r="A901" t="s">
        <v>10619</v>
      </c>
      <c r="B901" t="s">
        <v>5090</v>
      </c>
      <c r="C901" t="s">
        <v>3687</v>
      </c>
      <c r="D901" t="s">
        <v>13</v>
      </c>
      <c r="E901" t="s">
        <v>75</v>
      </c>
      <c r="F901" t="s">
        <v>10637</v>
      </c>
      <c r="H901" t="s">
        <v>10619</v>
      </c>
      <c r="I901" t="s">
        <v>8444</v>
      </c>
      <c r="J901" t="s">
        <v>7355</v>
      </c>
      <c r="K901" t="s">
        <v>13</v>
      </c>
      <c r="L901" t="s">
        <v>75</v>
      </c>
      <c r="M901" t="s">
        <v>10621</v>
      </c>
    </row>
    <row r="902" spans="1:13">
      <c r="A902" t="s">
        <v>10619</v>
      </c>
      <c r="B902" t="s">
        <v>5091</v>
      </c>
      <c r="C902" t="s">
        <v>3689</v>
      </c>
      <c r="D902" t="s">
        <v>13</v>
      </c>
      <c r="E902" t="s">
        <v>75</v>
      </c>
      <c r="F902" t="s">
        <v>10637</v>
      </c>
      <c r="H902" t="s">
        <v>10619</v>
      </c>
      <c r="I902" t="s">
        <v>8445</v>
      </c>
      <c r="J902" t="s">
        <v>7357</v>
      </c>
      <c r="K902" t="s">
        <v>13</v>
      </c>
      <c r="L902" t="s">
        <v>75</v>
      </c>
      <c r="M902" t="s">
        <v>10621</v>
      </c>
    </row>
    <row r="903" spans="1:13">
      <c r="A903" t="s">
        <v>10619</v>
      </c>
      <c r="B903" t="s">
        <v>5092</v>
      </c>
      <c r="C903" t="s">
        <v>3691</v>
      </c>
      <c r="D903" t="s">
        <v>13</v>
      </c>
      <c r="E903" t="s">
        <v>75</v>
      </c>
      <c r="F903" t="s">
        <v>10637</v>
      </c>
      <c r="H903" t="s">
        <v>10619</v>
      </c>
      <c r="I903" t="s">
        <v>8446</v>
      </c>
      <c r="J903" t="s">
        <v>7359</v>
      </c>
      <c r="K903" t="s">
        <v>13</v>
      </c>
      <c r="L903" t="s">
        <v>75</v>
      </c>
      <c r="M903" t="s">
        <v>10621</v>
      </c>
    </row>
    <row r="904" spans="1:13">
      <c r="A904" t="s">
        <v>10619</v>
      </c>
      <c r="B904" t="s">
        <v>5093</v>
      </c>
      <c r="C904" t="s">
        <v>3693</v>
      </c>
      <c r="D904" t="s">
        <v>13</v>
      </c>
      <c r="E904" t="s">
        <v>75</v>
      </c>
      <c r="F904" t="s">
        <v>10637</v>
      </c>
      <c r="H904" t="s">
        <v>10619</v>
      </c>
      <c r="I904" t="s">
        <v>8447</v>
      </c>
      <c r="J904" t="s">
        <v>7361</v>
      </c>
      <c r="K904" t="s">
        <v>13</v>
      </c>
      <c r="L904" t="s">
        <v>75</v>
      </c>
      <c r="M904" t="s">
        <v>583</v>
      </c>
    </row>
    <row r="905" spans="1:13">
      <c r="A905" t="s">
        <v>10619</v>
      </c>
      <c r="B905" t="s">
        <v>5094</v>
      </c>
      <c r="C905" t="s">
        <v>3695</v>
      </c>
      <c r="D905" t="s">
        <v>13</v>
      </c>
      <c r="E905" t="s">
        <v>75</v>
      </c>
      <c r="F905" t="s">
        <v>10637</v>
      </c>
      <c r="H905" t="s">
        <v>10619</v>
      </c>
      <c r="I905" t="s">
        <v>8448</v>
      </c>
      <c r="J905" t="s">
        <v>7363</v>
      </c>
      <c r="K905" t="s">
        <v>13</v>
      </c>
      <c r="L905" t="s">
        <v>75</v>
      </c>
      <c r="M905" t="s">
        <v>583</v>
      </c>
    </row>
    <row r="906" spans="1:13">
      <c r="A906" t="s">
        <v>10619</v>
      </c>
      <c r="B906" t="s">
        <v>5095</v>
      </c>
      <c r="C906" t="s">
        <v>3695</v>
      </c>
      <c r="D906" t="s">
        <v>13</v>
      </c>
      <c r="E906" t="s">
        <v>75</v>
      </c>
      <c r="F906" t="s">
        <v>10637</v>
      </c>
      <c r="H906" t="s">
        <v>10619</v>
      </c>
      <c r="I906" t="s">
        <v>8449</v>
      </c>
      <c r="J906" t="s">
        <v>7365</v>
      </c>
      <c r="K906" t="s">
        <v>13</v>
      </c>
      <c r="L906" t="s">
        <v>75</v>
      </c>
      <c r="M906" t="s">
        <v>583</v>
      </c>
    </row>
    <row r="907" spans="1:13">
      <c r="A907" t="s">
        <v>10619</v>
      </c>
      <c r="B907" t="s">
        <v>5096</v>
      </c>
      <c r="C907" t="s">
        <v>3698</v>
      </c>
      <c r="D907" t="s">
        <v>13</v>
      </c>
      <c r="E907" t="s">
        <v>75</v>
      </c>
      <c r="F907" t="s">
        <v>10637</v>
      </c>
      <c r="H907" t="s">
        <v>10619</v>
      </c>
      <c r="I907" t="s">
        <v>8450</v>
      </c>
      <c r="J907" t="s">
        <v>7367</v>
      </c>
      <c r="K907" t="s">
        <v>13</v>
      </c>
      <c r="L907" t="s">
        <v>75</v>
      </c>
      <c r="M907" t="s">
        <v>583</v>
      </c>
    </row>
    <row r="908" spans="1:13">
      <c r="A908" t="s">
        <v>10619</v>
      </c>
      <c r="B908" t="s">
        <v>5097</v>
      </c>
      <c r="C908" t="s">
        <v>3700</v>
      </c>
      <c r="D908" t="s">
        <v>13</v>
      </c>
      <c r="E908" t="s">
        <v>75</v>
      </c>
      <c r="F908" t="s">
        <v>10637</v>
      </c>
      <c r="H908" t="s">
        <v>10619</v>
      </c>
      <c r="I908" t="s">
        <v>8451</v>
      </c>
      <c r="J908" t="s">
        <v>7369</v>
      </c>
      <c r="K908" t="s">
        <v>13</v>
      </c>
      <c r="L908" t="s">
        <v>75</v>
      </c>
      <c r="M908" t="s">
        <v>583</v>
      </c>
    </row>
    <row r="909" spans="1:13">
      <c r="A909" t="s">
        <v>10619</v>
      </c>
      <c r="B909" t="s">
        <v>5098</v>
      </c>
      <c r="C909" t="s">
        <v>3702</v>
      </c>
      <c r="D909" t="s">
        <v>13</v>
      </c>
      <c r="E909" t="s">
        <v>75</v>
      </c>
      <c r="F909" t="s">
        <v>10637</v>
      </c>
      <c r="H909" t="s">
        <v>10619</v>
      </c>
      <c r="I909" t="s">
        <v>8452</v>
      </c>
      <c r="J909" t="s">
        <v>7371</v>
      </c>
      <c r="K909" t="s">
        <v>13</v>
      </c>
      <c r="L909" t="s">
        <v>75</v>
      </c>
      <c r="M909" t="s">
        <v>583</v>
      </c>
    </row>
    <row r="910" spans="1:13">
      <c r="A910" t="s">
        <v>10619</v>
      </c>
      <c r="B910" t="s">
        <v>5099</v>
      </c>
      <c r="C910" t="s">
        <v>3704</v>
      </c>
      <c r="D910" t="s">
        <v>13</v>
      </c>
      <c r="E910" t="s">
        <v>75</v>
      </c>
      <c r="F910" t="s">
        <v>10637</v>
      </c>
      <c r="H910" t="s">
        <v>10619</v>
      </c>
      <c r="I910" t="s">
        <v>8453</v>
      </c>
      <c r="J910" t="s">
        <v>7373</v>
      </c>
      <c r="K910" t="s">
        <v>13</v>
      </c>
      <c r="L910" t="s">
        <v>75</v>
      </c>
      <c r="M910" t="s">
        <v>583</v>
      </c>
    </row>
    <row r="911" spans="1:13">
      <c r="A911" t="s">
        <v>10619</v>
      </c>
      <c r="B911" t="s">
        <v>5100</v>
      </c>
      <c r="C911" t="s">
        <v>3706</v>
      </c>
      <c r="D911" t="s">
        <v>13</v>
      </c>
      <c r="E911" t="s">
        <v>75</v>
      </c>
      <c r="F911" t="s">
        <v>10637</v>
      </c>
      <c r="H911" t="s">
        <v>10619</v>
      </c>
      <c r="I911" t="s">
        <v>8454</v>
      </c>
      <c r="J911" t="s">
        <v>7375</v>
      </c>
      <c r="K911" t="s">
        <v>13</v>
      </c>
      <c r="L911" t="s">
        <v>75</v>
      </c>
      <c r="M911" t="s">
        <v>583</v>
      </c>
    </row>
    <row r="912" spans="1:13">
      <c r="A912" t="s">
        <v>10619</v>
      </c>
      <c r="B912" t="s">
        <v>5101</v>
      </c>
      <c r="C912" t="s">
        <v>3704</v>
      </c>
      <c r="D912" t="s">
        <v>13</v>
      </c>
      <c r="E912" t="s">
        <v>75</v>
      </c>
      <c r="F912" t="s">
        <v>10637</v>
      </c>
      <c r="H912" t="s">
        <v>10619</v>
      </c>
      <c r="I912" t="s">
        <v>8455</v>
      </c>
      <c r="J912" t="s">
        <v>7377</v>
      </c>
      <c r="K912" t="s">
        <v>13</v>
      </c>
      <c r="L912" t="s">
        <v>75</v>
      </c>
      <c r="M912" t="s">
        <v>583</v>
      </c>
    </row>
    <row r="913" spans="1:13">
      <c r="A913" t="s">
        <v>10619</v>
      </c>
      <c r="B913" t="s">
        <v>5102</v>
      </c>
      <c r="C913" t="s">
        <v>3709</v>
      </c>
      <c r="D913" t="s">
        <v>13</v>
      </c>
      <c r="E913" t="s">
        <v>75</v>
      </c>
      <c r="F913" t="s">
        <v>10637</v>
      </c>
      <c r="H913" t="s">
        <v>10619</v>
      </c>
      <c r="I913" t="s">
        <v>8456</v>
      </c>
      <c r="J913" t="s">
        <v>7379</v>
      </c>
      <c r="K913" t="s">
        <v>13</v>
      </c>
      <c r="L913" t="s">
        <v>75</v>
      </c>
      <c r="M913" t="s">
        <v>10624</v>
      </c>
    </row>
    <row r="914" spans="1:13">
      <c r="A914" t="s">
        <v>10619</v>
      </c>
      <c r="B914" t="s">
        <v>5103</v>
      </c>
      <c r="C914" t="s">
        <v>3709</v>
      </c>
      <c r="D914" t="s">
        <v>13</v>
      </c>
      <c r="E914" t="s">
        <v>75</v>
      </c>
      <c r="F914" t="s">
        <v>10637</v>
      </c>
      <c r="H914" t="s">
        <v>10619</v>
      </c>
      <c r="I914" t="s">
        <v>8457</v>
      </c>
      <c r="J914" t="s">
        <v>7381</v>
      </c>
      <c r="K914" t="s">
        <v>13</v>
      </c>
      <c r="L914" t="s">
        <v>75</v>
      </c>
      <c r="M914" t="s">
        <v>10624</v>
      </c>
    </row>
    <row r="915" spans="1:13">
      <c r="A915" t="s">
        <v>10619</v>
      </c>
      <c r="B915" t="s">
        <v>5104</v>
      </c>
      <c r="C915" t="s">
        <v>3700</v>
      </c>
      <c r="D915" t="s">
        <v>13</v>
      </c>
      <c r="E915" t="s">
        <v>75</v>
      </c>
      <c r="F915" t="s">
        <v>10637</v>
      </c>
      <c r="H915" t="s">
        <v>10619</v>
      </c>
      <c r="I915" t="s">
        <v>8458</v>
      </c>
      <c r="J915" t="s">
        <v>7383</v>
      </c>
      <c r="K915" t="s">
        <v>13</v>
      </c>
      <c r="L915" t="s">
        <v>75</v>
      </c>
      <c r="M915" t="s">
        <v>10624</v>
      </c>
    </row>
    <row r="916" spans="1:13">
      <c r="A916" t="s">
        <v>10619</v>
      </c>
      <c r="B916" t="s">
        <v>5105</v>
      </c>
      <c r="C916" t="s">
        <v>3713</v>
      </c>
      <c r="D916" t="s">
        <v>13</v>
      </c>
      <c r="E916" t="s">
        <v>75</v>
      </c>
      <c r="F916" t="s">
        <v>10621</v>
      </c>
      <c r="H916" t="s">
        <v>10619</v>
      </c>
      <c r="I916" t="s">
        <v>8459</v>
      </c>
      <c r="J916" t="s">
        <v>7385</v>
      </c>
      <c r="K916" t="s">
        <v>13</v>
      </c>
      <c r="L916" t="s">
        <v>75</v>
      </c>
      <c r="M916" t="s">
        <v>10624</v>
      </c>
    </row>
    <row r="917" spans="1:13">
      <c r="A917" t="s">
        <v>10619</v>
      </c>
      <c r="B917" t="s">
        <v>5106</v>
      </c>
      <c r="C917" t="s">
        <v>3715</v>
      </c>
      <c r="D917" t="s">
        <v>13</v>
      </c>
      <c r="E917" t="s">
        <v>75</v>
      </c>
      <c r="F917" t="s">
        <v>10621</v>
      </c>
      <c r="H917" t="s">
        <v>10619</v>
      </c>
      <c r="I917" t="s">
        <v>8460</v>
      </c>
      <c r="J917" t="s">
        <v>7387</v>
      </c>
      <c r="K917" t="s">
        <v>13</v>
      </c>
      <c r="L917" t="s">
        <v>75</v>
      </c>
      <c r="M917" t="s">
        <v>10624</v>
      </c>
    </row>
    <row r="918" spans="1:13">
      <c r="A918" t="s">
        <v>10619</v>
      </c>
      <c r="B918" t="s">
        <v>5107</v>
      </c>
      <c r="C918" t="s">
        <v>3717</v>
      </c>
      <c r="D918" t="s">
        <v>13</v>
      </c>
      <c r="E918" t="s">
        <v>75</v>
      </c>
      <c r="F918" t="s">
        <v>10621</v>
      </c>
      <c r="H918" t="s">
        <v>10619</v>
      </c>
      <c r="I918" t="s">
        <v>8461</v>
      </c>
      <c r="J918" t="s">
        <v>7389</v>
      </c>
      <c r="K918" t="s">
        <v>13</v>
      </c>
      <c r="L918" t="s">
        <v>75</v>
      </c>
      <c r="M918" t="s">
        <v>10627</v>
      </c>
    </row>
    <row r="919" spans="1:13">
      <c r="A919" t="s">
        <v>10619</v>
      </c>
      <c r="B919" t="s">
        <v>5108</v>
      </c>
      <c r="C919" t="s">
        <v>3717</v>
      </c>
      <c r="D919" t="s">
        <v>13</v>
      </c>
      <c r="E919" t="s">
        <v>75</v>
      </c>
      <c r="F919" t="s">
        <v>10621</v>
      </c>
      <c r="H919" t="s">
        <v>10619</v>
      </c>
      <c r="I919" t="s">
        <v>8462</v>
      </c>
      <c r="J919" t="s">
        <v>7391</v>
      </c>
      <c r="K919" t="s">
        <v>13</v>
      </c>
      <c r="L919" t="s">
        <v>75</v>
      </c>
      <c r="M919" t="s">
        <v>10627</v>
      </c>
    </row>
    <row r="920" spans="1:13">
      <c r="A920" t="s">
        <v>10619</v>
      </c>
      <c r="B920" t="s">
        <v>5109</v>
      </c>
      <c r="C920" t="s">
        <v>3720</v>
      </c>
      <c r="D920" t="s">
        <v>13</v>
      </c>
      <c r="E920" t="s">
        <v>75</v>
      </c>
      <c r="F920" t="s">
        <v>10621</v>
      </c>
      <c r="H920" t="s">
        <v>10619</v>
      </c>
      <c r="I920" t="s">
        <v>8463</v>
      </c>
      <c r="J920" t="s">
        <v>7393</v>
      </c>
      <c r="K920" t="s">
        <v>13</v>
      </c>
      <c r="L920" t="s">
        <v>75</v>
      </c>
      <c r="M920" t="s">
        <v>10627</v>
      </c>
    </row>
    <row r="921" spans="1:13">
      <c r="A921" t="s">
        <v>10619</v>
      </c>
      <c r="B921" t="s">
        <v>5110</v>
      </c>
      <c r="C921" t="s">
        <v>3722</v>
      </c>
      <c r="D921" t="s">
        <v>13</v>
      </c>
      <c r="E921" t="s">
        <v>75</v>
      </c>
      <c r="F921" t="s">
        <v>10621</v>
      </c>
      <c r="H921" t="s">
        <v>10619</v>
      </c>
      <c r="I921" t="s">
        <v>8464</v>
      </c>
      <c r="J921" t="s">
        <v>7395</v>
      </c>
      <c r="K921" t="s">
        <v>13</v>
      </c>
      <c r="L921" t="s">
        <v>75</v>
      </c>
      <c r="M921" t="s">
        <v>10627</v>
      </c>
    </row>
    <row r="922" spans="1:13">
      <c r="A922" t="s">
        <v>10619</v>
      </c>
      <c r="B922" t="s">
        <v>5111</v>
      </c>
      <c r="C922" t="s">
        <v>3724</v>
      </c>
      <c r="D922" t="s">
        <v>13</v>
      </c>
      <c r="E922" t="s">
        <v>75</v>
      </c>
      <c r="F922" t="s">
        <v>10621</v>
      </c>
      <c r="H922" t="s">
        <v>10619</v>
      </c>
      <c r="I922" t="s">
        <v>8465</v>
      </c>
      <c r="J922" t="s">
        <v>7397</v>
      </c>
      <c r="K922" t="s">
        <v>13</v>
      </c>
      <c r="L922" t="s">
        <v>75</v>
      </c>
      <c r="M922" t="s">
        <v>10627</v>
      </c>
    </row>
    <row r="923" spans="1:13">
      <c r="A923" t="s">
        <v>10619</v>
      </c>
      <c r="B923" t="s">
        <v>5112</v>
      </c>
      <c r="C923" t="s">
        <v>3726</v>
      </c>
      <c r="D923" t="s">
        <v>13</v>
      </c>
      <c r="E923" t="s">
        <v>75</v>
      </c>
      <c r="F923" t="s">
        <v>10621</v>
      </c>
      <c r="H923" t="s">
        <v>10619</v>
      </c>
      <c r="I923" t="s">
        <v>8466</v>
      </c>
      <c r="J923" t="s">
        <v>7399</v>
      </c>
      <c r="K923" t="s">
        <v>13</v>
      </c>
      <c r="L923" t="s">
        <v>75</v>
      </c>
      <c r="M923" t="s">
        <v>10627</v>
      </c>
    </row>
    <row r="924" spans="1:13">
      <c r="A924" t="s">
        <v>10619</v>
      </c>
      <c r="B924" t="s">
        <v>5113</v>
      </c>
      <c r="C924" t="s">
        <v>3726</v>
      </c>
      <c r="D924" t="s">
        <v>13</v>
      </c>
      <c r="E924" t="s">
        <v>75</v>
      </c>
      <c r="F924" t="s">
        <v>10621</v>
      </c>
      <c r="H924" t="s">
        <v>10619</v>
      </c>
      <c r="I924" t="s">
        <v>8467</v>
      </c>
      <c r="J924" t="s">
        <v>7401</v>
      </c>
      <c r="K924" t="s">
        <v>13</v>
      </c>
      <c r="L924" t="s">
        <v>75</v>
      </c>
      <c r="M924" t="s">
        <v>10627</v>
      </c>
    </row>
    <row r="925" spans="1:13">
      <c r="A925" t="s">
        <v>10619</v>
      </c>
      <c r="B925" t="s">
        <v>5114</v>
      </c>
      <c r="C925" t="s">
        <v>3729</v>
      </c>
      <c r="D925" t="s">
        <v>13</v>
      </c>
      <c r="E925" t="s">
        <v>75</v>
      </c>
      <c r="F925" t="s">
        <v>10621</v>
      </c>
      <c r="H925" t="s">
        <v>10619</v>
      </c>
      <c r="I925" t="s">
        <v>8468</v>
      </c>
      <c r="J925" t="s">
        <v>7403</v>
      </c>
      <c r="K925" t="s">
        <v>13</v>
      </c>
      <c r="L925" t="s">
        <v>75</v>
      </c>
      <c r="M925" t="s">
        <v>10627</v>
      </c>
    </row>
    <row r="926" spans="1:13">
      <c r="A926" t="s">
        <v>10619</v>
      </c>
      <c r="B926" t="s">
        <v>5115</v>
      </c>
      <c r="C926" t="s">
        <v>3729</v>
      </c>
      <c r="D926" t="s">
        <v>13</v>
      </c>
      <c r="E926" t="s">
        <v>75</v>
      </c>
      <c r="F926" t="s">
        <v>10621</v>
      </c>
      <c r="H926" t="s">
        <v>10619</v>
      </c>
      <c r="I926" t="s">
        <v>8469</v>
      </c>
      <c r="J926" t="s">
        <v>7405</v>
      </c>
      <c r="K926" t="s">
        <v>13</v>
      </c>
      <c r="L926" t="s">
        <v>75</v>
      </c>
      <c r="M926" t="s">
        <v>10627</v>
      </c>
    </row>
    <row r="927" spans="1:13">
      <c r="A927" t="s">
        <v>10619</v>
      </c>
      <c r="B927" t="s">
        <v>5116</v>
      </c>
      <c r="C927" t="s">
        <v>3732</v>
      </c>
      <c r="D927" t="s">
        <v>13</v>
      </c>
      <c r="E927" t="s">
        <v>75</v>
      </c>
      <c r="F927" t="s">
        <v>10621</v>
      </c>
      <c r="H927" t="s">
        <v>10619</v>
      </c>
      <c r="I927" t="s">
        <v>8470</v>
      </c>
      <c r="J927" t="s">
        <v>7407</v>
      </c>
      <c r="K927" t="s">
        <v>13</v>
      </c>
      <c r="L927" t="s">
        <v>75</v>
      </c>
      <c r="M927" t="s">
        <v>10627</v>
      </c>
    </row>
    <row r="928" spans="1:13">
      <c r="A928" t="s">
        <v>10619</v>
      </c>
      <c r="B928" t="s">
        <v>5117</v>
      </c>
      <c r="C928" t="s">
        <v>3734</v>
      </c>
      <c r="D928" t="s">
        <v>13</v>
      </c>
      <c r="E928" t="s">
        <v>75</v>
      </c>
      <c r="F928" t="s">
        <v>10621</v>
      </c>
      <c r="H928" t="s">
        <v>10619</v>
      </c>
      <c r="I928" t="s">
        <v>8471</v>
      </c>
      <c r="J928" t="s">
        <v>7409</v>
      </c>
      <c r="K928" t="s">
        <v>13</v>
      </c>
      <c r="L928" t="s">
        <v>75</v>
      </c>
      <c r="M928" t="s">
        <v>10627</v>
      </c>
    </row>
    <row r="929" spans="1:13">
      <c r="A929" t="s">
        <v>10619</v>
      </c>
      <c r="B929" t="s">
        <v>5118</v>
      </c>
      <c r="C929" t="s">
        <v>3734</v>
      </c>
      <c r="D929" t="s">
        <v>13</v>
      </c>
      <c r="E929" t="s">
        <v>75</v>
      </c>
      <c r="F929" t="s">
        <v>10621</v>
      </c>
      <c r="H929" t="s">
        <v>10619</v>
      </c>
      <c r="I929" t="s">
        <v>8472</v>
      </c>
      <c r="J929" t="s">
        <v>7411</v>
      </c>
      <c r="K929" t="s">
        <v>13</v>
      </c>
      <c r="L929" t="s">
        <v>75</v>
      </c>
      <c r="M929" t="s">
        <v>10627</v>
      </c>
    </row>
    <row r="930" spans="1:13">
      <c r="A930" t="s">
        <v>10619</v>
      </c>
      <c r="B930" t="s">
        <v>5119</v>
      </c>
      <c r="C930" t="s">
        <v>3737</v>
      </c>
      <c r="D930" t="s">
        <v>13</v>
      </c>
      <c r="E930" t="s">
        <v>75</v>
      </c>
      <c r="F930" t="s">
        <v>10621</v>
      </c>
      <c r="H930" t="s">
        <v>10619</v>
      </c>
      <c r="I930" t="s">
        <v>8473</v>
      </c>
      <c r="J930" t="s">
        <v>7413</v>
      </c>
      <c r="K930" t="s">
        <v>13</v>
      </c>
      <c r="L930" t="s">
        <v>75</v>
      </c>
      <c r="M930" t="s">
        <v>10627</v>
      </c>
    </row>
    <row r="931" spans="1:13">
      <c r="A931" t="s">
        <v>10619</v>
      </c>
      <c r="B931" t="s">
        <v>5120</v>
      </c>
      <c r="C931" t="s">
        <v>3739</v>
      </c>
      <c r="D931" t="s">
        <v>13</v>
      </c>
      <c r="E931" t="s">
        <v>75</v>
      </c>
      <c r="F931" t="s">
        <v>10621</v>
      </c>
      <c r="H931" t="s">
        <v>10619</v>
      </c>
      <c r="I931" t="s">
        <v>8474</v>
      </c>
      <c r="J931" t="s">
        <v>7415</v>
      </c>
      <c r="K931" t="s">
        <v>13</v>
      </c>
      <c r="L931" t="s">
        <v>75</v>
      </c>
      <c r="M931" t="s">
        <v>10627</v>
      </c>
    </row>
    <row r="932" spans="1:13">
      <c r="A932" t="s">
        <v>10619</v>
      </c>
      <c r="B932" t="s">
        <v>5121</v>
      </c>
      <c r="C932" t="s">
        <v>3739</v>
      </c>
      <c r="D932" t="s">
        <v>13</v>
      </c>
      <c r="E932" t="s">
        <v>75</v>
      </c>
      <c r="F932" t="s">
        <v>10621</v>
      </c>
      <c r="H932" t="s">
        <v>10619</v>
      </c>
      <c r="I932" t="s">
        <v>8475</v>
      </c>
      <c r="J932" t="s">
        <v>7417</v>
      </c>
      <c r="K932" t="s">
        <v>13</v>
      </c>
      <c r="L932" t="s">
        <v>75</v>
      </c>
      <c r="M932" t="s">
        <v>10627</v>
      </c>
    </row>
    <row r="933" spans="1:13">
      <c r="A933" t="s">
        <v>10619</v>
      </c>
      <c r="B933" t="s">
        <v>5122</v>
      </c>
      <c r="C933" t="s">
        <v>3742</v>
      </c>
      <c r="D933" t="s">
        <v>13</v>
      </c>
      <c r="E933" t="s">
        <v>75</v>
      </c>
      <c r="F933" t="s">
        <v>10621</v>
      </c>
      <c r="H933" t="s">
        <v>10619</v>
      </c>
      <c r="I933" t="s">
        <v>8476</v>
      </c>
      <c r="J933" t="s">
        <v>7419</v>
      </c>
      <c r="K933" t="s">
        <v>13</v>
      </c>
      <c r="L933" t="s">
        <v>75</v>
      </c>
      <c r="M933" t="s">
        <v>10627</v>
      </c>
    </row>
    <row r="934" spans="1:13">
      <c r="A934" t="s">
        <v>10619</v>
      </c>
      <c r="B934" t="s">
        <v>5123</v>
      </c>
      <c r="C934" t="s">
        <v>3744</v>
      </c>
      <c r="D934" t="s">
        <v>13</v>
      </c>
      <c r="E934" t="s">
        <v>75</v>
      </c>
      <c r="F934" t="s">
        <v>10621</v>
      </c>
      <c r="H934" t="s">
        <v>10619</v>
      </c>
      <c r="I934" t="s">
        <v>8477</v>
      </c>
      <c r="J934" t="s">
        <v>7421</v>
      </c>
      <c r="K934" t="s">
        <v>13</v>
      </c>
      <c r="L934" t="s">
        <v>75</v>
      </c>
      <c r="M934" t="s">
        <v>10627</v>
      </c>
    </row>
    <row r="935" spans="1:13">
      <c r="A935" t="s">
        <v>10619</v>
      </c>
      <c r="B935" t="s">
        <v>5124</v>
      </c>
      <c r="C935" t="s">
        <v>3746</v>
      </c>
      <c r="D935" t="s">
        <v>13</v>
      </c>
      <c r="E935" t="s">
        <v>75</v>
      </c>
      <c r="F935" t="s">
        <v>10621</v>
      </c>
      <c r="H935" t="s">
        <v>10619</v>
      </c>
      <c r="I935" t="s">
        <v>8478</v>
      </c>
      <c r="J935" t="s">
        <v>7423</v>
      </c>
      <c r="K935" t="s">
        <v>13</v>
      </c>
      <c r="L935" t="s">
        <v>75</v>
      </c>
      <c r="M935" t="s">
        <v>10627</v>
      </c>
    </row>
    <row r="936" spans="1:13">
      <c r="A936" t="s">
        <v>10619</v>
      </c>
      <c r="B936" t="s">
        <v>5125</v>
      </c>
      <c r="C936" t="s">
        <v>3748</v>
      </c>
      <c r="D936" t="s">
        <v>13</v>
      </c>
      <c r="E936" t="s">
        <v>75</v>
      </c>
      <c r="F936" t="s">
        <v>10620</v>
      </c>
      <c r="H936" t="s">
        <v>10619</v>
      </c>
      <c r="I936" t="s">
        <v>8479</v>
      </c>
      <c r="J936" t="s">
        <v>7425</v>
      </c>
      <c r="K936" t="s">
        <v>13</v>
      </c>
      <c r="L936" t="s">
        <v>75</v>
      </c>
      <c r="M936" t="s">
        <v>10627</v>
      </c>
    </row>
    <row r="937" spans="1:13">
      <c r="A937" t="s">
        <v>10619</v>
      </c>
      <c r="B937" t="s">
        <v>5126</v>
      </c>
      <c r="C937" t="s">
        <v>3748</v>
      </c>
      <c r="D937" t="s">
        <v>13</v>
      </c>
      <c r="E937" t="s">
        <v>75</v>
      </c>
      <c r="F937" t="s">
        <v>10620</v>
      </c>
      <c r="H937" t="s">
        <v>10619</v>
      </c>
      <c r="I937" t="s">
        <v>8480</v>
      </c>
      <c r="J937" t="s">
        <v>7427</v>
      </c>
      <c r="K937" t="s">
        <v>13</v>
      </c>
      <c r="L937" t="s">
        <v>75</v>
      </c>
      <c r="M937" t="s">
        <v>10627</v>
      </c>
    </row>
    <row r="938" spans="1:13">
      <c r="A938" t="s">
        <v>10619</v>
      </c>
      <c r="B938" t="s">
        <v>5127</v>
      </c>
      <c r="C938" t="s">
        <v>3751</v>
      </c>
      <c r="D938" t="s">
        <v>13</v>
      </c>
      <c r="E938" t="s">
        <v>75</v>
      </c>
      <c r="F938" t="s">
        <v>10620</v>
      </c>
      <c r="H938" t="s">
        <v>10619</v>
      </c>
      <c r="I938" t="s">
        <v>8481</v>
      </c>
      <c r="J938" t="s">
        <v>7429</v>
      </c>
      <c r="K938" t="s">
        <v>13</v>
      </c>
      <c r="L938" t="s">
        <v>75</v>
      </c>
      <c r="M938" t="s">
        <v>10627</v>
      </c>
    </row>
    <row r="939" spans="1:13">
      <c r="A939" t="s">
        <v>10619</v>
      </c>
      <c r="B939" t="s">
        <v>5128</v>
      </c>
      <c r="C939" t="s">
        <v>3753</v>
      </c>
      <c r="D939" t="s">
        <v>13</v>
      </c>
      <c r="E939" t="s">
        <v>75</v>
      </c>
      <c r="F939" t="s">
        <v>10620</v>
      </c>
      <c r="H939" t="s">
        <v>10619</v>
      </c>
      <c r="I939" t="s">
        <v>8482</v>
      </c>
      <c r="J939" t="s">
        <v>7431</v>
      </c>
      <c r="K939" t="s">
        <v>13</v>
      </c>
      <c r="L939" t="s">
        <v>75</v>
      </c>
      <c r="M939" t="s">
        <v>10627</v>
      </c>
    </row>
    <row r="940" spans="1:13">
      <c r="A940" t="s">
        <v>10619</v>
      </c>
      <c r="B940" t="s">
        <v>5129</v>
      </c>
      <c r="C940" t="s">
        <v>3755</v>
      </c>
      <c r="D940" t="s">
        <v>13</v>
      </c>
      <c r="E940" t="s">
        <v>75</v>
      </c>
      <c r="F940" t="s">
        <v>10621</v>
      </c>
      <c r="H940" t="s">
        <v>10619</v>
      </c>
      <c r="I940" t="s">
        <v>8483</v>
      </c>
      <c r="J940" t="s">
        <v>7433</v>
      </c>
      <c r="K940" t="s">
        <v>13</v>
      </c>
      <c r="L940" t="s">
        <v>75</v>
      </c>
      <c r="M940" t="s">
        <v>10627</v>
      </c>
    </row>
    <row r="941" spans="1:13">
      <c r="A941" t="s">
        <v>10619</v>
      </c>
      <c r="B941" t="s">
        <v>5130</v>
      </c>
      <c r="C941" t="s">
        <v>3757</v>
      </c>
      <c r="D941" t="s">
        <v>13</v>
      </c>
      <c r="E941" t="s">
        <v>75</v>
      </c>
      <c r="F941" t="s">
        <v>10621</v>
      </c>
      <c r="H941" t="s">
        <v>10619</v>
      </c>
      <c r="I941" t="s">
        <v>8484</v>
      </c>
      <c r="J941" t="s">
        <v>7435</v>
      </c>
      <c r="K941" t="s">
        <v>13</v>
      </c>
      <c r="L941" t="s">
        <v>75</v>
      </c>
      <c r="M941" t="s">
        <v>10627</v>
      </c>
    </row>
    <row r="942" spans="1:13">
      <c r="A942" t="s">
        <v>10619</v>
      </c>
      <c r="B942" t="s">
        <v>5131</v>
      </c>
      <c r="C942" t="s">
        <v>3759</v>
      </c>
      <c r="D942" t="s">
        <v>13</v>
      </c>
      <c r="E942" t="s">
        <v>75</v>
      </c>
      <c r="F942" t="s">
        <v>10621</v>
      </c>
      <c r="H942" t="s">
        <v>10619</v>
      </c>
      <c r="I942" t="s">
        <v>8485</v>
      </c>
      <c r="J942" t="s">
        <v>7437</v>
      </c>
      <c r="K942" t="s">
        <v>13</v>
      </c>
      <c r="L942" t="s">
        <v>75</v>
      </c>
      <c r="M942" t="s">
        <v>10627</v>
      </c>
    </row>
    <row r="943" spans="1:13">
      <c r="A943" t="s">
        <v>10619</v>
      </c>
      <c r="B943" t="s">
        <v>5132</v>
      </c>
      <c r="C943" t="s">
        <v>3761</v>
      </c>
      <c r="D943" t="s">
        <v>13</v>
      </c>
      <c r="E943" t="s">
        <v>75</v>
      </c>
      <c r="F943" t="s">
        <v>10621</v>
      </c>
      <c r="H943" t="s">
        <v>10619</v>
      </c>
      <c r="I943" t="s">
        <v>8486</v>
      </c>
      <c r="J943" t="s">
        <v>7439</v>
      </c>
      <c r="K943" t="s">
        <v>13</v>
      </c>
      <c r="L943" t="s">
        <v>75</v>
      </c>
      <c r="M943" t="s">
        <v>10627</v>
      </c>
    </row>
    <row r="944" spans="1:13">
      <c r="A944" t="s">
        <v>10619</v>
      </c>
      <c r="B944" t="s">
        <v>5133</v>
      </c>
      <c r="C944" t="s">
        <v>3763</v>
      </c>
      <c r="D944" t="s">
        <v>13</v>
      </c>
      <c r="E944" t="s">
        <v>75</v>
      </c>
      <c r="F944" t="s">
        <v>10624</v>
      </c>
      <c r="H944" t="s">
        <v>10619</v>
      </c>
      <c r="I944" t="s">
        <v>8487</v>
      </c>
      <c r="J944" t="s">
        <v>7441</v>
      </c>
      <c r="K944" t="s">
        <v>13</v>
      </c>
      <c r="L944" t="s">
        <v>75</v>
      </c>
      <c r="M944" t="s">
        <v>10620</v>
      </c>
    </row>
    <row r="945" spans="1:13">
      <c r="A945" t="s">
        <v>10619</v>
      </c>
      <c r="B945" t="s">
        <v>5134</v>
      </c>
      <c r="C945" t="s">
        <v>3765</v>
      </c>
      <c r="D945" t="s">
        <v>13</v>
      </c>
      <c r="E945" t="s">
        <v>75</v>
      </c>
      <c r="F945" t="s">
        <v>10624</v>
      </c>
      <c r="H945" t="s">
        <v>10619</v>
      </c>
      <c r="I945" t="s">
        <v>8488</v>
      </c>
      <c r="J945" t="s">
        <v>7443</v>
      </c>
      <c r="K945" t="s">
        <v>13</v>
      </c>
      <c r="L945" t="s">
        <v>75</v>
      </c>
      <c r="M945" t="s">
        <v>10620</v>
      </c>
    </row>
    <row r="946" spans="1:13">
      <c r="A946" t="s">
        <v>10619</v>
      </c>
      <c r="B946" t="s">
        <v>5135</v>
      </c>
      <c r="C946" t="s">
        <v>3767</v>
      </c>
      <c r="D946" t="s">
        <v>13</v>
      </c>
      <c r="E946" t="s">
        <v>75</v>
      </c>
      <c r="F946" t="s">
        <v>10621</v>
      </c>
      <c r="H946" t="s">
        <v>10619</v>
      </c>
      <c r="I946" t="s">
        <v>8489</v>
      </c>
      <c r="J946" t="s">
        <v>7445</v>
      </c>
      <c r="K946" t="s">
        <v>13</v>
      </c>
      <c r="L946" t="s">
        <v>75</v>
      </c>
      <c r="M946" t="s">
        <v>10620</v>
      </c>
    </row>
    <row r="947" spans="1:13">
      <c r="A947" t="s">
        <v>10619</v>
      </c>
      <c r="B947" t="s">
        <v>5136</v>
      </c>
      <c r="C947" t="s">
        <v>3769</v>
      </c>
      <c r="D947" t="s">
        <v>13</v>
      </c>
      <c r="E947" t="s">
        <v>75</v>
      </c>
      <c r="F947" t="s">
        <v>10621</v>
      </c>
      <c r="H947" t="s">
        <v>10619</v>
      </c>
      <c r="I947" t="s">
        <v>8490</v>
      </c>
      <c r="J947" t="s">
        <v>7447</v>
      </c>
      <c r="K947" t="s">
        <v>13</v>
      </c>
      <c r="L947" t="s">
        <v>75</v>
      </c>
      <c r="M947" t="s">
        <v>10620</v>
      </c>
    </row>
    <row r="948" spans="1:13">
      <c r="A948" t="s">
        <v>10619</v>
      </c>
      <c r="B948" t="s">
        <v>5137</v>
      </c>
      <c r="C948" t="s">
        <v>3771</v>
      </c>
      <c r="D948" t="s">
        <v>13</v>
      </c>
      <c r="E948" t="s">
        <v>75</v>
      </c>
      <c r="F948" t="s">
        <v>10621</v>
      </c>
      <c r="H948" t="s">
        <v>10619</v>
      </c>
      <c r="I948" t="s">
        <v>8491</v>
      </c>
      <c r="J948" t="s">
        <v>7449</v>
      </c>
      <c r="K948" t="s">
        <v>13</v>
      </c>
      <c r="L948" t="s">
        <v>75</v>
      </c>
      <c r="M948" t="s">
        <v>10620</v>
      </c>
    </row>
    <row r="949" spans="1:13">
      <c r="A949" t="s">
        <v>10619</v>
      </c>
      <c r="B949" t="s">
        <v>5138</v>
      </c>
      <c r="C949" t="s">
        <v>3773</v>
      </c>
      <c r="D949" t="s">
        <v>13</v>
      </c>
      <c r="E949" t="s">
        <v>75</v>
      </c>
      <c r="F949" t="s">
        <v>10621</v>
      </c>
      <c r="H949" t="s">
        <v>10619</v>
      </c>
      <c r="I949" t="s">
        <v>8492</v>
      </c>
      <c r="J949" t="s">
        <v>7443</v>
      </c>
      <c r="K949" t="s">
        <v>13</v>
      </c>
      <c r="L949" t="s">
        <v>75</v>
      </c>
      <c r="M949" t="s">
        <v>10620</v>
      </c>
    </row>
    <row r="950" spans="1:13">
      <c r="A950" t="s">
        <v>10619</v>
      </c>
      <c r="B950" t="s">
        <v>5139</v>
      </c>
      <c r="C950" t="s">
        <v>3775</v>
      </c>
      <c r="D950" t="s">
        <v>13</v>
      </c>
      <c r="E950" t="s">
        <v>75</v>
      </c>
      <c r="F950" t="s">
        <v>10621</v>
      </c>
      <c r="H950" t="s">
        <v>10619</v>
      </c>
      <c r="I950" t="s">
        <v>8493</v>
      </c>
      <c r="J950" t="s">
        <v>7452</v>
      </c>
      <c r="K950" t="s">
        <v>13</v>
      </c>
      <c r="L950" t="s">
        <v>75</v>
      </c>
      <c r="M950" t="s">
        <v>10620</v>
      </c>
    </row>
    <row r="951" spans="1:13">
      <c r="A951" t="s">
        <v>10619</v>
      </c>
      <c r="B951" t="s">
        <v>5140</v>
      </c>
      <c r="C951" t="s">
        <v>3777</v>
      </c>
      <c r="D951" t="s">
        <v>13</v>
      </c>
      <c r="E951" t="s">
        <v>75</v>
      </c>
      <c r="F951" t="s">
        <v>10621</v>
      </c>
      <c r="H951" t="s">
        <v>10619</v>
      </c>
      <c r="I951" t="s">
        <v>8494</v>
      </c>
      <c r="J951" t="s">
        <v>7454</v>
      </c>
      <c r="K951" t="s">
        <v>13</v>
      </c>
      <c r="L951" t="s">
        <v>75</v>
      </c>
      <c r="M951" t="s">
        <v>10620</v>
      </c>
    </row>
    <row r="952" spans="1:13">
      <c r="A952" t="s">
        <v>10619</v>
      </c>
      <c r="B952" t="s">
        <v>5141</v>
      </c>
      <c r="C952" t="s">
        <v>3779</v>
      </c>
      <c r="D952" t="s">
        <v>13</v>
      </c>
      <c r="E952" t="s">
        <v>75</v>
      </c>
      <c r="F952" t="s">
        <v>10621</v>
      </c>
      <c r="H952" t="s">
        <v>10619</v>
      </c>
      <c r="I952" t="s">
        <v>8495</v>
      </c>
      <c r="J952" t="s">
        <v>7456</v>
      </c>
      <c r="K952" t="s">
        <v>13</v>
      </c>
      <c r="L952" t="s">
        <v>75</v>
      </c>
      <c r="M952" t="s">
        <v>10624</v>
      </c>
    </row>
    <row r="953" spans="1:13">
      <c r="A953" t="s">
        <v>10619</v>
      </c>
      <c r="B953" t="s">
        <v>5142</v>
      </c>
      <c r="C953" t="s">
        <v>3779</v>
      </c>
      <c r="D953" t="s">
        <v>13</v>
      </c>
      <c r="E953" t="s">
        <v>75</v>
      </c>
      <c r="F953" t="s">
        <v>10621</v>
      </c>
      <c r="H953" t="s">
        <v>10619</v>
      </c>
      <c r="I953" t="s">
        <v>8496</v>
      </c>
      <c r="J953" t="s">
        <v>7458</v>
      </c>
      <c r="K953" t="s">
        <v>13</v>
      </c>
      <c r="L953" t="s">
        <v>75</v>
      </c>
      <c r="M953" t="s">
        <v>10624</v>
      </c>
    </row>
    <row r="954" spans="1:13">
      <c r="A954" t="s">
        <v>10619</v>
      </c>
      <c r="B954" t="s">
        <v>5143</v>
      </c>
      <c r="C954" t="s">
        <v>3782</v>
      </c>
      <c r="D954" t="s">
        <v>13</v>
      </c>
      <c r="E954" t="s">
        <v>75</v>
      </c>
      <c r="F954" t="s">
        <v>10621</v>
      </c>
      <c r="H954" t="s">
        <v>10619</v>
      </c>
      <c r="I954" t="s">
        <v>8497</v>
      </c>
      <c r="J954" t="s">
        <v>7460</v>
      </c>
      <c r="K954" t="s">
        <v>13</v>
      </c>
      <c r="L954" t="s">
        <v>75</v>
      </c>
      <c r="M954" t="s">
        <v>10624</v>
      </c>
    </row>
    <row r="955" spans="1:13">
      <c r="A955" t="s">
        <v>10619</v>
      </c>
      <c r="B955" t="s">
        <v>5144</v>
      </c>
      <c r="C955" t="s">
        <v>3784</v>
      </c>
      <c r="D955" t="s">
        <v>13</v>
      </c>
      <c r="E955" t="s">
        <v>75</v>
      </c>
      <c r="F955" t="s">
        <v>10622</v>
      </c>
      <c r="H955" t="s">
        <v>10619</v>
      </c>
      <c r="I955" t="s">
        <v>8498</v>
      </c>
      <c r="J955" t="s">
        <v>7462</v>
      </c>
      <c r="K955" t="s">
        <v>13</v>
      </c>
      <c r="L955" t="s">
        <v>75</v>
      </c>
      <c r="M955" t="s">
        <v>10624</v>
      </c>
    </row>
    <row r="956" spans="1:13">
      <c r="A956" t="s">
        <v>10619</v>
      </c>
      <c r="B956" t="s">
        <v>5145</v>
      </c>
      <c r="C956" t="s">
        <v>3786</v>
      </c>
      <c r="D956" t="s">
        <v>13</v>
      </c>
      <c r="E956" t="s">
        <v>75</v>
      </c>
      <c r="F956" t="s">
        <v>10622</v>
      </c>
      <c r="H956" t="s">
        <v>10619</v>
      </c>
      <c r="I956" t="s">
        <v>8499</v>
      </c>
      <c r="J956" t="s">
        <v>7464</v>
      </c>
      <c r="K956" t="s">
        <v>13</v>
      </c>
      <c r="L956" t="s">
        <v>75</v>
      </c>
      <c r="M956" t="s">
        <v>10624</v>
      </c>
    </row>
    <row r="957" spans="1:13">
      <c r="A957" t="s">
        <v>10619</v>
      </c>
      <c r="B957" t="s">
        <v>5146</v>
      </c>
      <c r="C957" t="s">
        <v>3788</v>
      </c>
      <c r="D957" t="s">
        <v>13</v>
      </c>
      <c r="E957" t="s">
        <v>75</v>
      </c>
      <c r="F957" t="s">
        <v>10622</v>
      </c>
      <c r="H957" t="s">
        <v>10619</v>
      </c>
      <c r="I957" t="s">
        <v>8500</v>
      </c>
      <c r="J957" t="s">
        <v>7460</v>
      </c>
      <c r="K957" t="s">
        <v>13</v>
      </c>
      <c r="L957" t="s">
        <v>75</v>
      </c>
      <c r="M957" t="s">
        <v>10624</v>
      </c>
    </row>
    <row r="958" spans="1:13">
      <c r="A958" t="s">
        <v>10619</v>
      </c>
      <c r="B958" t="s">
        <v>5147</v>
      </c>
      <c r="C958" t="s">
        <v>3790</v>
      </c>
      <c r="D958" t="s">
        <v>13</v>
      </c>
      <c r="E958" t="s">
        <v>75</v>
      </c>
      <c r="F958" t="s">
        <v>10622</v>
      </c>
      <c r="H958" t="s">
        <v>10619</v>
      </c>
      <c r="I958" t="s">
        <v>8501</v>
      </c>
      <c r="J958" t="s">
        <v>7467</v>
      </c>
      <c r="K958" t="s">
        <v>13</v>
      </c>
      <c r="L958" t="s">
        <v>75</v>
      </c>
      <c r="M958" t="s">
        <v>10624</v>
      </c>
    </row>
    <row r="959" spans="1:13">
      <c r="A959" t="s">
        <v>10619</v>
      </c>
      <c r="B959" t="s">
        <v>5148</v>
      </c>
      <c r="C959" t="s">
        <v>3792</v>
      </c>
      <c r="D959" t="s">
        <v>13</v>
      </c>
      <c r="E959" t="s">
        <v>75</v>
      </c>
      <c r="F959" t="s">
        <v>10622</v>
      </c>
      <c r="H959" t="s">
        <v>10619</v>
      </c>
      <c r="I959" t="s">
        <v>8502</v>
      </c>
      <c r="J959" t="s">
        <v>7469</v>
      </c>
      <c r="K959" t="s">
        <v>13</v>
      </c>
      <c r="L959" t="s">
        <v>75</v>
      </c>
      <c r="M959" t="s">
        <v>10620</v>
      </c>
    </row>
    <row r="960" spans="1:13">
      <c r="A960" t="s">
        <v>10619</v>
      </c>
      <c r="B960" t="s">
        <v>5149</v>
      </c>
      <c r="C960" t="s">
        <v>3794</v>
      </c>
      <c r="D960" t="s">
        <v>13</v>
      </c>
      <c r="E960" t="s">
        <v>75</v>
      </c>
      <c r="F960" t="s">
        <v>10622</v>
      </c>
      <c r="H960" t="s">
        <v>10619</v>
      </c>
      <c r="I960" t="s">
        <v>8503</v>
      </c>
      <c r="J960" t="s">
        <v>7471</v>
      </c>
      <c r="K960" t="s">
        <v>13</v>
      </c>
      <c r="L960" t="s">
        <v>75</v>
      </c>
      <c r="M960" t="s">
        <v>10620</v>
      </c>
    </row>
    <row r="961" spans="1:13">
      <c r="A961" t="s">
        <v>10619</v>
      </c>
      <c r="B961" t="s">
        <v>5150</v>
      </c>
      <c r="C961" t="s">
        <v>3796</v>
      </c>
      <c r="D961" t="s">
        <v>13</v>
      </c>
      <c r="E961" t="s">
        <v>75</v>
      </c>
      <c r="F961" t="s">
        <v>10621</v>
      </c>
      <c r="H961" t="s">
        <v>10619</v>
      </c>
      <c r="I961" t="s">
        <v>8504</v>
      </c>
      <c r="J961" t="s">
        <v>7473</v>
      </c>
      <c r="K961" t="s">
        <v>13</v>
      </c>
      <c r="L961" t="s">
        <v>75</v>
      </c>
      <c r="M961" t="s">
        <v>10620</v>
      </c>
    </row>
    <row r="962" spans="1:13">
      <c r="A962" t="s">
        <v>10619</v>
      </c>
      <c r="B962" t="s">
        <v>5151</v>
      </c>
      <c r="C962" t="s">
        <v>3798</v>
      </c>
      <c r="D962" t="s">
        <v>13</v>
      </c>
      <c r="E962" t="s">
        <v>75</v>
      </c>
      <c r="F962" t="s">
        <v>10621</v>
      </c>
      <c r="H962" t="s">
        <v>10619</v>
      </c>
      <c r="I962" t="s">
        <v>8505</v>
      </c>
      <c r="J962" t="s">
        <v>7475</v>
      </c>
      <c r="K962" t="s">
        <v>13</v>
      </c>
      <c r="L962" t="s">
        <v>75</v>
      </c>
      <c r="M962" t="s">
        <v>10620</v>
      </c>
    </row>
    <row r="963" spans="1:13">
      <c r="A963" t="s">
        <v>10619</v>
      </c>
      <c r="B963" t="s">
        <v>5152</v>
      </c>
      <c r="C963" t="s">
        <v>3800</v>
      </c>
      <c r="D963" t="s">
        <v>13</v>
      </c>
      <c r="E963" t="s">
        <v>75</v>
      </c>
      <c r="F963" t="s">
        <v>10621</v>
      </c>
      <c r="H963" t="s">
        <v>10619</v>
      </c>
      <c r="I963" t="s">
        <v>8506</v>
      </c>
      <c r="J963" t="s">
        <v>7477</v>
      </c>
      <c r="K963" t="s">
        <v>13</v>
      </c>
      <c r="L963" t="s">
        <v>75</v>
      </c>
      <c r="M963" t="s">
        <v>10620</v>
      </c>
    </row>
    <row r="964" spans="1:13">
      <c r="A964" t="s">
        <v>10619</v>
      </c>
      <c r="B964" t="s">
        <v>5153</v>
      </c>
      <c r="C964" t="s">
        <v>3802</v>
      </c>
      <c r="D964" t="s">
        <v>13</v>
      </c>
      <c r="E964" t="s">
        <v>75</v>
      </c>
      <c r="F964" t="s">
        <v>10621</v>
      </c>
      <c r="H964" t="s">
        <v>10619</v>
      </c>
      <c r="I964" t="s">
        <v>8507</v>
      </c>
      <c r="J964" t="s">
        <v>7479</v>
      </c>
      <c r="K964" t="s">
        <v>13</v>
      </c>
      <c r="L964" t="s">
        <v>75</v>
      </c>
      <c r="M964" t="s">
        <v>10620</v>
      </c>
    </row>
    <row r="965" spans="1:13">
      <c r="A965" t="s">
        <v>10619</v>
      </c>
      <c r="B965" t="s">
        <v>5154</v>
      </c>
      <c r="C965" t="s">
        <v>3804</v>
      </c>
      <c r="D965" t="s">
        <v>13</v>
      </c>
      <c r="E965" t="s">
        <v>75</v>
      </c>
      <c r="F965" t="s">
        <v>10621</v>
      </c>
      <c r="H965" t="s">
        <v>10619</v>
      </c>
      <c r="I965" t="s">
        <v>8508</v>
      </c>
      <c r="J965" t="s">
        <v>7481</v>
      </c>
      <c r="K965" t="s">
        <v>13</v>
      </c>
      <c r="L965" t="s">
        <v>75</v>
      </c>
      <c r="M965" t="s">
        <v>10623</v>
      </c>
    </row>
    <row r="966" spans="1:13">
      <c r="A966" t="s">
        <v>10619</v>
      </c>
      <c r="B966" t="s">
        <v>5155</v>
      </c>
      <c r="C966" t="s">
        <v>3806</v>
      </c>
      <c r="D966" t="s">
        <v>13</v>
      </c>
      <c r="E966" t="s">
        <v>75</v>
      </c>
      <c r="F966" t="s">
        <v>10621</v>
      </c>
      <c r="H966" t="s">
        <v>10619</v>
      </c>
      <c r="I966" t="s">
        <v>8509</v>
      </c>
      <c r="J966" t="s">
        <v>7483</v>
      </c>
      <c r="K966" t="s">
        <v>13</v>
      </c>
      <c r="L966" t="s">
        <v>75</v>
      </c>
      <c r="M966" t="s">
        <v>10623</v>
      </c>
    </row>
    <row r="967" spans="1:13">
      <c r="A967" t="s">
        <v>10619</v>
      </c>
      <c r="B967" t="s">
        <v>5156</v>
      </c>
      <c r="C967" t="s">
        <v>3808</v>
      </c>
      <c r="D967" t="s">
        <v>13</v>
      </c>
      <c r="E967" t="s">
        <v>75</v>
      </c>
      <c r="F967" t="s">
        <v>10621</v>
      </c>
      <c r="H967" t="s">
        <v>10619</v>
      </c>
      <c r="I967" t="s">
        <v>8510</v>
      </c>
      <c r="J967" t="s">
        <v>7483</v>
      </c>
      <c r="K967" t="s">
        <v>13</v>
      </c>
      <c r="L967" t="s">
        <v>75</v>
      </c>
      <c r="M967" t="s">
        <v>10623</v>
      </c>
    </row>
    <row r="968" spans="1:13">
      <c r="A968" t="s">
        <v>10619</v>
      </c>
      <c r="B968" t="s">
        <v>5157</v>
      </c>
      <c r="C968" t="s">
        <v>3810</v>
      </c>
      <c r="D968" t="s">
        <v>13</v>
      </c>
      <c r="E968" t="s">
        <v>75</v>
      </c>
      <c r="F968" t="s">
        <v>10621</v>
      </c>
      <c r="H968" t="s">
        <v>10619</v>
      </c>
      <c r="I968" t="s">
        <v>8511</v>
      </c>
      <c r="J968" t="s">
        <v>7483</v>
      </c>
      <c r="K968" t="s">
        <v>13</v>
      </c>
      <c r="L968" t="s">
        <v>75</v>
      </c>
      <c r="M968" t="s">
        <v>10623</v>
      </c>
    </row>
    <row r="969" spans="1:13">
      <c r="A969" t="s">
        <v>10619</v>
      </c>
      <c r="B969" t="s">
        <v>5158</v>
      </c>
      <c r="C969" t="s">
        <v>3812</v>
      </c>
      <c r="D969" t="s">
        <v>13</v>
      </c>
      <c r="E969" t="s">
        <v>75</v>
      </c>
      <c r="F969" t="s">
        <v>10621</v>
      </c>
      <c r="H969" t="s">
        <v>10619</v>
      </c>
      <c r="I969" t="s">
        <v>8512</v>
      </c>
      <c r="J969" t="s">
        <v>7487</v>
      </c>
      <c r="K969" t="s">
        <v>13</v>
      </c>
      <c r="L969" t="s">
        <v>75</v>
      </c>
      <c r="M969" t="s">
        <v>10623</v>
      </c>
    </row>
    <row r="970" spans="1:13">
      <c r="A970" t="s">
        <v>10619</v>
      </c>
      <c r="B970" t="s">
        <v>5159</v>
      </c>
      <c r="C970" t="s">
        <v>3814</v>
      </c>
      <c r="D970" t="s">
        <v>13</v>
      </c>
      <c r="E970" t="s">
        <v>75</v>
      </c>
      <c r="F970" t="s">
        <v>10624</v>
      </c>
      <c r="H970" t="s">
        <v>10619</v>
      </c>
      <c r="I970" t="s">
        <v>8513</v>
      </c>
      <c r="J970" t="s">
        <v>7489</v>
      </c>
      <c r="K970" t="s">
        <v>13</v>
      </c>
      <c r="L970" t="s">
        <v>75</v>
      </c>
      <c r="M970" t="s">
        <v>10623</v>
      </c>
    </row>
    <row r="971" spans="1:13">
      <c r="A971" t="s">
        <v>10619</v>
      </c>
      <c r="B971" t="s">
        <v>5160</v>
      </c>
      <c r="C971" t="s">
        <v>3816</v>
      </c>
      <c r="D971" t="s">
        <v>13</v>
      </c>
      <c r="E971" t="s">
        <v>75</v>
      </c>
      <c r="F971" t="s">
        <v>10624</v>
      </c>
      <c r="H971" t="s">
        <v>10619</v>
      </c>
      <c r="I971" t="s">
        <v>8514</v>
      </c>
      <c r="J971" t="s">
        <v>7491</v>
      </c>
      <c r="K971" t="s">
        <v>13</v>
      </c>
      <c r="L971" t="s">
        <v>75</v>
      </c>
      <c r="M971" t="s">
        <v>10623</v>
      </c>
    </row>
    <row r="972" spans="1:13">
      <c r="A972" t="s">
        <v>10619</v>
      </c>
      <c r="B972" t="s">
        <v>5161</v>
      </c>
      <c r="C972" t="s">
        <v>3818</v>
      </c>
      <c r="D972" t="s">
        <v>13</v>
      </c>
      <c r="E972" t="s">
        <v>75</v>
      </c>
      <c r="F972" t="s">
        <v>10624</v>
      </c>
      <c r="H972" t="s">
        <v>10619</v>
      </c>
      <c r="I972" t="s">
        <v>8515</v>
      </c>
      <c r="J972" t="s">
        <v>7491</v>
      </c>
      <c r="K972" t="s">
        <v>13</v>
      </c>
      <c r="L972" t="s">
        <v>75</v>
      </c>
      <c r="M972" t="s">
        <v>10623</v>
      </c>
    </row>
    <row r="973" spans="1:13">
      <c r="A973" t="s">
        <v>10619</v>
      </c>
      <c r="B973" t="s">
        <v>5162</v>
      </c>
      <c r="C973" t="s">
        <v>3820</v>
      </c>
      <c r="D973" t="s">
        <v>13</v>
      </c>
      <c r="E973" t="s">
        <v>75</v>
      </c>
      <c r="F973" t="s">
        <v>10628</v>
      </c>
      <c r="H973" t="s">
        <v>10619</v>
      </c>
      <c r="I973" t="s">
        <v>8516</v>
      </c>
      <c r="J973" t="s">
        <v>7494</v>
      </c>
      <c r="K973" t="s">
        <v>13</v>
      </c>
      <c r="L973" t="s">
        <v>75</v>
      </c>
      <c r="M973" t="s">
        <v>10639</v>
      </c>
    </row>
    <row r="974" spans="1:13">
      <c r="A974" t="s">
        <v>10619</v>
      </c>
      <c r="B974" t="s">
        <v>5163</v>
      </c>
      <c r="C974" t="s">
        <v>3822</v>
      </c>
      <c r="D974" t="s">
        <v>13</v>
      </c>
      <c r="E974" t="s">
        <v>75</v>
      </c>
      <c r="F974" t="s">
        <v>10628</v>
      </c>
      <c r="H974" t="s">
        <v>10619</v>
      </c>
      <c r="I974" t="s">
        <v>8517</v>
      </c>
      <c r="J974" t="s">
        <v>7496</v>
      </c>
      <c r="K974" t="s">
        <v>13</v>
      </c>
      <c r="L974" t="s">
        <v>75</v>
      </c>
      <c r="M974" t="s">
        <v>10639</v>
      </c>
    </row>
    <row r="975" spans="1:13">
      <c r="A975" t="s">
        <v>10619</v>
      </c>
      <c r="B975" t="s">
        <v>5164</v>
      </c>
      <c r="C975" t="s">
        <v>3824</v>
      </c>
      <c r="D975" t="s">
        <v>13</v>
      </c>
      <c r="E975" t="s">
        <v>75</v>
      </c>
      <c r="F975" t="s">
        <v>10628</v>
      </c>
      <c r="H975" t="s">
        <v>10619</v>
      </c>
      <c r="I975" t="s">
        <v>8518</v>
      </c>
      <c r="J975" t="s">
        <v>7498</v>
      </c>
      <c r="K975" t="s">
        <v>13</v>
      </c>
      <c r="L975" t="s">
        <v>75</v>
      </c>
      <c r="M975" t="s">
        <v>10639</v>
      </c>
    </row>
    <row r="976" spans="1:13">
      <c r="A976" t="s">
        <v>10619</v>
      </c>
      <c r="B976" t="s">
        <v>5165</v>
      </c>
      <c r="C976" t="s">
        <v>3826</v>
      </c>
      <c r="D976" t="s">
        <v>13</v>
      </c>
      <c r="E976" t="s">
        <v>75</v>
      </c>
      <c r="F976" t="s">
        <v>10635</v>
      </c>
      <c r="H976" t="s">
        <v>10619</v>
      </c>
      <c r="I976" t="s">
        <v>8519</v>
      </c>
      <c r="J976" t="s">
        <v>7500</v>
      </c>
      <c r="K976" t="s">
        <v>13</v>
      </c>
      <c r="L976" t="s">
        <v>75</v>
      </c>
      <c r="M976" t="s">
        <v>10639</v>
      </c>
    </row>
    <row r="977" spans="1:13">
      <c r="A977" t="s">
        <v>10619</v>
      </c>
      <c r="B977" t="s">
        <v>5166</v>
      </c>
      <c r="C977" t="s">
        <v>3828</v>
      </c>
      <c r="D977" t="s">
        <v>13</v>
      </c>
      <c r="E977" t="s">
        <v>75</v>
      </c>
      <c r="F977" t="s">
        <v>10635</v>
      </c>
      <c r="H977" t="s">
        <v>10619</v>
      </c>
      <c r="I977" t="s">
        <v>8520</v>
      </c>
      <c r="J977" t="s">
        <v>7502</v>
      </c>
      <c r="K977" t="s">
        <v>13</v>
      </c>
      <c r="L977" t="s">
        <v>75</v>
      </c>
      <c r="M977" t="s">
        <v>10639</v>
      </c>
    </row>
    <row r="978" spans="1:13">
      <c r="A978" t="s">
        <v>10619</v>
      </c>
      <c r="B978" t="s">
        <v>5167</v>
      </c>
      <c r="C978" t="s">
        <v>3830</v>
      </c>
      <c r="D978" t="s">
        <v>13</v>
      </c>
      <c r="E978" t="s">
        <v>75</v>
      </c>
      <c r="F978" t="s">
        <v>10629</v>
      </c>
      <c r="H978" t="s">
        <v>10619</v>
      </c>
      <c r="I978" t="s">
        <v>8521</v>
      </c>
      <c r="J978" t="s">
        <v>7504</v>
      </c>
      <c r="K978" t="s">
        <v>13</v>
      </c>
      <c r="L978" t="s">
        <v>75</v>
      </c>
      <c r="M978" t="s">
        <v>10639</v>
      </c>
    </row>
    <row r="979" spans="1:13">
      <c r="A979" t="s">
        <v>10619</v>
      </c>
      <c r="B979" t="s">
        <v>5168</v>
      </c>
      <c r="C979" t="s">
        <v>3832</v>
      </c>
      <c r="D979" t="s">
        <v>13</v>
      </c>
      <c r="E979" t="s">
        <v>75</v>
      </c>
      <c r="F979" t="s">
        <v>10629</v>
      </c>
      <c r="H979" t="s">
        <v>10619</v>
      </c>
      <c r="I979" t="s">
        <v>8522</v>
      </c>
      <c r="J979" t="s">
        <v>7506</v>
      </c>
      <c r="K979" t="s">
        <v>13</v>
      </c>
      <c r="L979" t="s">
        <v>75</v>
      </c>
      <c r="M979" t="s">
        <v>10639</v>
      </c>
    </row>
    <row r="980" spans="1:13">
      <c r="A980" t="s">
        <v>10619</v>
      </c>
      <c r="B980" t="s">
        <v>5169</v>
      </c>
      <c r="C980" t="s">
        <v>3834</v>
      </c>
      <c r="D980" t="s">
        <v>13</v>
      </c>
      <c r="E980" t="s">
        <v>75</v>
      </c>
      <c r="F980" t="s">
        <v>10629</v>
      </c>
      <c r="H980" t="s">
        <v>10619</v>
      </c>
      <c r="I980" t="s">
        <v>8523</v>
      </c>
      <c r="J980" t="s">
        <v>7508</v>
      </c>
      <c r="K980" t="s">
        <v>13</v>
      </c>
      <c r="L980" t="s">
        <v>75</v>
      </c>
      <c r="M980" t="s">
        <v>10639</v>
      </c>
    </row>
    <row r="981" spans="1:13">
      <c r="A981" t="s">
        <v>10619</v>
      </c>
      <c r="B981" t="s">
        <v>5170</v>
      </c>
      <c r="C981" t="s">
        <v>3836</v>
      </c>
      <c r="D981" t="s">
        <v>13</v>
      </c>
      <c r="E981" t="s">
        <v>75</v>
      </c>
      <c r="F981" t="s">
        <v>10629</v>
      </c>
      <c r="H981" t="s">
        <v>10619</v>
      </c>
      <c r="I981" t="s">
        <v>8524</v>
      </c>
      <c r="J981" t="s">
        <v>7510</v>
      </c>
      <c r="K981" t="s">
        <v>13</v>
      </c>
      <c r="L981" t="s">
        <v>75</v>
      </c>
      <c r="M981" t="s">
        <v>10639</v>
      </c>
    </row>
    <row r="982" spans="1:13">
      <c r="A982" t="s">
        <v>10619</v>
      </c>
      <c r="B982" t="s">
        <v>5171</v>
      </c>
      <c r="C982" t="s">
        <v>3838</v>
      </c>
      <c r="D982" t="s">
        <v>13</v>
      </c>
      <c r="E982" t="s">
        <v>75</v>
      </c>
      <c r="F982" t="s">
        <v>10629</v>
      </c>
      <c r="H982" t="s">
        <v>10619</v>
      </c>
      <c r="I982" t="s">
        <v>8525</v>
      </c>
      <c r="J982" t="s">
        <v>7512</v>
      </c>
      <c r="K982" t="s">
        <v>13</v>
      </c>
      <c r="L982" t="s">
        <v>75</v>
      </c>
      <c r="M982" t="s">
        <v>10639</v>
      </c>
    </row>
    <row r="983" spans="1:13">
      <c r="A983" t="s">
        <v>10619</v>
      </c>
      <c r="B983" t="s">
        <v>5172</v>
      </c>
      <c r="C983" t="s">
        <v>3840</v>
      </c>
      <c r="D983" t="s">
        <v>13</v>
      </c>
      <c r="E983" t="s">
        <v>75</v>
      </c>
      <c r="F983" t="s">
        <v>10623</v>
      </c>
      <c r="H983" t="s">
        <v>10619</v>
      </c>
      <c r="I983" t="s">
        <v>8526</v>
      </c>
      <c r="J983" t="s">
        <v>7514</v>
      </c>
      <c r="K983" t="s">
        <v>13</v>
      </c>
      <c r="L983" t="s">
        <v>75</v>
      </c>
      <c r="M983" t="s">
        <v>10639</v>
      </c>
    </row>
    <row r="984" spans="1:13">
      <c r="A984" t="s">
        <v>10619</v>
      </c>
      <c r="B984" t="s">
        <v>5173</v>
      </c>
      <c r="C984" t="s">
        <v>3842</v>
      </c>
      <c r="D984" t="s">
        <v>13</v>
      </c>
      <c r="E984" t="s">
        <v>75</v>
      </c>
      <c r="F984" t="s">
        <v>10623</v>
      </c>
      <c r="H984" t="s">
        <v>10619</v>
      </c>
      <c r="I984" t="s">
        <v>8527</v>
      </c>
      <c r="J984" t="s">
        <v>7510</v>
      </c>
      <c r="K984" t="s">
        <v>13</v>
      </c>
      <c r="L984" t="s">
        <v>75</v>
      </c>
      <c r="M984" t="s">
        <v>10639</v>
      </c>
    </row>
    <row r="985" spans="1:13">
      <c r="A985" t="s">
        <v>10619</v>
      </c>
      <c r="B985" t="s">
        <v>5174</v>
      </c>
      <c r="C985" t="s">
        <v>3844</v>
      </c>
      <c r="D985" t="s">
        <v>13</v>
      </c>
      <c r="E985" t="s">
        <v>75</v>
      </c>
      <c r="F985" t="s">
        <v>10623</v>
      </c>
      <c r="H985" t="s">
        <v>10619</v>
      </c>
      <c r="I985" t="s">
        <v>8528</v>
      </c>
      <c r="J985" t="s">
        <v>7517</v>
      </c>
      <c r="K985" t="s">
        <v>13</v>
      </c>
      <c r="L985" t="s">
        <v>75</v>
      </c>
      <c r="M985" t="s">
        <v>10621</v>
      </c>
    </row>
    <row r="986" spans="1:13">
      <c r="A986" t="s">
        <v>10619</v>
      </c>
      <c r="B986" t="s">
        <v>5175</v>
      </c>
      <c r="C986" t="s">
        <v>3846</v>
      </c>
      <c r="D986" t="s">
        <v>13</v>
      </c>
      <c r="E986" t="s">
        <v>75</v>
      </c>
      <c r="F986" t="s">
        <v>10623</v>
      </c>
      <c r="H986" t="s">
        <v>10619</v>
      </c>
      <c r="I986" t="s">
        <v>8529</v>
      </c>
      <c r="J986" t="s">
        <v>7519</v>
      </c>
      <c r="K986" t="s">
        <v>13</v>
      </c>
      <c r="L986" t="s">
        <v>75</v>
      </c>
      <c r="M986" t="s">
        <v>10621</v>
      </c>
    </row>
    <row r="987" spans="1:13">
      <c r="A987" t="s">
        <v>10619</v>
      </c>
      <c r="B987" t="s">
        <v>5176</v>
      </c>
      <c r="C987" t="s">
        <v>3848</v>
      </c>
      <c r="D987" t="s">
        <v>13</v>
      </c>
      <c r="E987" t="s">
        <v>75</v>
      </c>
      <c r="F987" t="s">
        <v>10623</v>
      </c>
      <c r="H987" t="s">
        <v>10619</v>
      </c>
      <c r="I987" t="s">
        <v>8530</v>
      </c>
      <c r="J987" t="s">
        <v>7521</v>
      </c>
      <c r="K987" t="s">
        <v>13</v>
      </c>
      <c r="L987" t="s">
        <v>75</v>
      </c>
      <c r="M987" t="s">
        <v>10621</v>
      </c>
    </row>
    <row r="988" spans="1:13">
      <c r="A988" t="s">
        <v>10619</v>
      </c>
      <c r="B988" t="s">
        <v>5177</v>
      </c>
      <c r="C988" t="s">
        <v>3850</v>
      </c>
      <c r="D988" t="s">
        <v>13</v>
      </c>
      <c r="E988" t="s">
        <v>75</v>
      </c>
      <c r="F988" t="s">
        <v>10623</v>
      </c>
      <c r="H988" t="s">
        <v>10619</v>
      </c>
      <c r="I988" t="s">
        <v>8531</v>
      </c>
      <c r="J988" t="s">
        <v>7523</v>
      </c>
      <c r="K988" t="s">
        <v>13</v>
      </c>
      <c r="L988" t="s">
        <v>75</v>
      </c>
      <c r="M988" t="s">
        <v>10621</v>
      </c>
    </row>
    <row r="989" spans="1:13">
      <c r="A989" t="s">
        <v>10619</v>
      </c>
      <c r="B989" t="s">
        <v>5178</v>
      </c>
      <c r="C989" t="s">
        <v>3852</v>
      </c>
      <c r="D989" t="s">
        <v>13</v>
      </c>
      <c r="E989" t="s">
        <v>75</v>
      </c>
      <c r="F989" t="s">
        <v>10621</v>
      </c>
      <c r="H989" t="s">
        <v>10619</v>
      </c>
      <c r="I989" t="s">
        <v>8532</v>
      </c>
      <c r="J989" t="s">
        <v>7525</v>
      </c>
      <c r="K989" t="s">
        <v>13</v>
      </c>
      <c r="L989" t="s">
        <v>75</v>
      </c>
      <c r="M989" t="s">
        <v>10621</v>
      </c>
    </row>
    <row r="990" spans="1:13">
      <c r="A990" t="s">
        <v>10619</v>
      </c>
      <c r="B990" t="s">
        <v>5179</v>
      </c>
      <c r="C990" t="s">
        <v>3854</v>
      </c>
      <c r="D990" t="s">
        <v>13</v>
      </c>
      <c r="E990" t="s">
        <v>75</v>
      </c>
      <c r="F990" t="s">
        <v>10621</v>
      </c>
      <c r="H990" t="s">
        <v>10619</v>
      </c>
      <c r="I990" t="s">
        <v>8533</v>
      </c>
      <c r="J990" t="s">
        <v>7527</v>
      </c>
      <c r="K990" t="s">
        <v>13</v>
      </c>
      <c r="L990" t="s">
        <v>75</v>
      </c>
      <c r="M990" t="s">
        <v>10621</v>
      </c>
    </row>
    <row r="991" spans="1:13">
      <c r="A991" t="s">
        <v>10619</v>
      </c>
      <c r="B991" t="s">
        <v>5180</v>
      </c>
      <c r="C991" t="s">
        <v>3856</v>
      </c>
      <c r="D991" t="s">
        <v>13</v>
      </c>
      <c r="E991" t="s">
        <v>75</v>
      </c>
      <c r="F991" t="s">
        <v>10621</v>
      </c>
      <c r="H991" t="s">
        <v>10619</v>
      </c>
      <c r="I991" t="s">
        <v>8534</v>
      </c>
      <c r="J991" t="s">
        <v>7529</v>
      </c>
      <c r="K991" t="s">
        <v>13</v>
      </c>
      <c r="L991" t="s">
        <v>75</v>
      </c>
      <c r="M991" t="s">
        <v>10621</v>
      </c>
    </row>
    <row r="992" spans="1:13">
      <c r="A992" t="s">
        <v>10619</v>
      </c>
      <c r="B992" t="s">
        <v>5181</v>
      </c>
      <c r="C992" t="s">
        <v>3858</v>
      </c>
      <c r="D992" t="s">
        <v>13</v>
      </c>
      <c r="E992" t="s">
        <v>75</v>
      </c>
      <c r="F992" t="s">
        <v>10621</v>
      </c>
      <c r="H992" t="s">
        <v>10619</v>
      </c>
      <c r="I992" t="s">
        <v>8535</v>
      </c>
      <c r="J992" t="s">
        <v>7517</v>
      </c>
      <c r="K992" t="s">
        <v>13</v>
      </c>
      <c r="L992" t="s">
        <v>75</v>
      </c>
      <c r="M992" t="s">
        <v>10621</v>
      </c>
    </row>
    <row r="993" spans="1:13">
      <c r="A993" t="s">
        <v>10619</v>
      </c>
      <c r="B993" t="s">
        <v>5182</v>
      </c>
      <c r="C993" t="s">
        <v>3852</v>
      </c>
      <c r="D993" t="s">
        <v>13</v>
      </c>
      <c r="E993" t="s">
        <v>75</v>
      </c>
      <c r="F993" t="s">
        <v>10621</v>
      </c>
      <c r="H993" t="s">
        <v>10619</v>
      </c>
      <c r="I993" t="s">
        <v>8536</v>
      </c>
      <c r="J993" t="s">
        <v>7532</v>
      </c>
      <c r="K993" t="s">
        <v>13</v>
      </c>
      <c r="L993" t="s">
        <v>75</v>
      </c>
      <c r="M993" t="s">
        <v>10621</v>
      </c>
    </row>
    <row r="994" spans="1:13">
      <c r="A994" t="s">
        <v>10619</v>
      </c>
      <c r="B994" t="s">
        <v>5183</v>
      </c>
      <c r="C994" t="s">
        <v>3861</v>
      </c>
      <c r="D994" t="s">
        <v>13</v>
      </c>
      <c r="E994" t="s">
        <v>75</v>
      </c>
      <c r="F994" t="s">
        <v>10621</v>
      </c>
      <c r="H994" t="s">
        <v>10619</v>
      </c>
      <c r="I994" t="s">
        <v>8537</v>
      </c>
      <c r="J994" t="s">
        <v>7534</v>
      </c>
      <c r="K994" t="s">
        <v>13</v>
      </c>
      <c r="L994" t="s">
        <v>75</v>
      </c>
      <c r="M994" t="s">
        <v>10621</v>
      </c>
    </row>
    <row r="995" spans="1:13">
      <c r="A995" t="s">
        <v>10619</v>
      </c>
      <c r="B995" t="s">
        <v>5184</v>
      </c>
      <c r="C995" t="s">
        <v>3863</v>
      </c>
      <c r="D995" t="s">
        <v>13</v>
      </c>
      <c r="E995" t="s">
        <v>75</v>
      </c>
      <c r="F995" t="s">
        <v>10621</v>
      </c>
      <c r="H995" t="s">
        <v>10619</v>
      </c>
      <c r="I995" t="s">
        <v>8538</v>
      </c>
      <c r="J995" t="s">
        <v>7536</v>
      </c>
      <c r="K995" t="s">
        <v>13</v>
      </c>
      <c r="L995" t="s">
        <v>75</v>
      </c>
      <c r="M995" t="s">
        <v>10621</v>
      </c>
    </row>
    <row r="996" spans="1:13">
      <c r="A996" t="s">
        <v>10619</v>
      </c>
      <c r="B996" t="s">
        <v>5185</v>
      </c>
      <c r="C996" t="s">
        <v>3865</v>
      </c>
      <c r="D996" t="s">
        <v>13</v>
      </c>
      <c r="E996" t="s">
        <v>75</v>
      </c>
      <c r="F996" t="s">
        <v>10621</v>
      </c>
      <c r="H996" t="s">
        <v>10619</v>
      </c>
      <c r="I996" t="s">
        <v>8539</v>
      </c>
      <c r="J996" t="s">
        <v>7534</v>
      </c>
      <c r="K996" t="s">
        <v>13</v>
      </c>
      <c r="L996" t="s">
        <v>75</v>
      </c>
      <c r="M996" t="s">
        <v>10621</v>
      </c>
    </row>
    <row r="997" spans="1:13">
      <c r="A997" t="s">
        <v>10619</v>
      </c>
      <c r="B997" t="s">
        <v>5186</v>
      </c>
      <c r="C997" t="s">
        <v>3867</v>
      </c>
      <c r="D997" t="s">
        <v>13</v>
      </c>
      <c r="E997" t="s">
        <v>75</v>
      </c>
      <c r="F997" t="s">
        <v>10621</v>
      </c>
      <c r="H997" t="s">
        <v>10619</v>
      </c>
      <c r="I997" t="s">
        <v>8540</v>
      </c>
      <c r="J997" t="s">
        <v>7539</v>
      </c>
      <c r="K997" t="s">
        <v>13</v>
      </c>
      <c r="L997" t="s">
        <v>75</v>
      </c>
      <c r="M997" t="s">
        <v>10621</v>
      </c>
    </row>
    <row r="998" spans="1:13">
      <c r="A998" t="s">
        <v>10619</v>
      </c>
      <c r="B998" t="s">
        <v>5187</v>
      </c>
      <c r="C998" t="s">
        <v>3869</v>
      </c>
      <c r="D998" t="s">
        <v>13</v>
      </c>
      <c r="E998" t="s">
        <v>75</v>
      </c>
      <c r="F998" t="s">
        <v>10621</v>
      </c>
      <c r="H998" t="s">
        <v>10619</v>
      </c>
      <c r="I998" t="s">
        <v>8541</v>
      </c>
      <c r="J998" t="s">
        <v>7541</v>
      </c>
      <c r="K998" t="s">
        <v>13</v>
      </c>
      <c r="L998" t="s">
        <v>75</v>
      </c>
      <c r="M998" t="s">
        <v>10621</v>
      </c>
    </row>
    <row r="999" spans="1:13">
      <c r="A999" t="s">
        <v>10619</v>
      </c>
      <c r="B999" t="s">
        <v>5188</v>
      </c>
      <c r="C999" t="s">
        <v>3871</v>
      </c>
      <c r="D999" t="s">
        <v>13</v>
      </c>
      <c r="E999" t="s">
        <v>75</v>
      </c>
      <c r="F999" t="s">
        <v>10621</v>
      </c>
      <c r="H999" t="s">
        <v>10619</v>
      </c>
      <c r="I999" t="s">
        <v>8542</v>
      </c>
      <c r="J999" t="s">
        <v>7543</v>
      </c>
      <c r="K999" t="s">
        <v>13</v>
      </c>
      <c r="L999" t="s">
        <v>75</v>
      </c>
      <c r="M999" t="s">
        <v>10621</v>
      </c>
    </row>
    <row r="1000" spans="1:13">
      <c r="A1000" t="s">
        <v>10619</v>
      </c>
      <c r="B1000" t="s">
        <v>5189</v>
      </c>
      <c r="C1000" t="s">
        <v>3873</v>
      </c>
      <c r="D1000" t="s">
        <v>13</v>
      </c>
      <c r="E1000" t="s">
        <v>75</v>
      </c>
      <c r="F1000" t="s">
        <v>10621</v>
      </c>
      <c r="H1000" t="s">
        <v>10619</v>
      </c>
      <c r="I1000" t="s">
        <v>8543</v>
      </c>
      <c r="J1000" t="s">
        <v>7545</v>
      </c>
      <c r="K1000" t="s">
        <v>13</v>
      </c>
      <c r="L1000" t="s">
        <v>75</v>
      </c>
      <c r="M1000" t="s">
        <v>10621</v>
      </c>
    </row>
    <row r="1001" spans="1:13">
      <c r="A1001" t="s">
        <v>10619</v>
      </c>
      <c r="B1001" t="s">
        <v>5190</v>
      </c>
      <c r="C1001" t="s">
        <v>3875</v>
      </c>
      <c r="D1001" t="s">
        <v>13</v>
      </c>
      <c r="E1001" t="s">
        <v>75</v>
      </c>
      <c r="F1001" t="s">
        <v>10621</v>
      </c>
    </row>
    <row r="1002" spans="1:13">
      <c r="A1002" t="s">
        <v>10619</v>
      </c>
      <c r="B1002" t="s">
        <v>5191</v>
      </c>
      <c r="C1002" t="s">
        <v>3877</v>
      </c>
      <c r="D1002" t="s">
        <v>13</v>
      </c>
      <c r="E1002" t="s">
        <v>75</v>
      </c>
      <c r="F1002" t="s">
        <v>10621</v>
      </c>
    </row>
    <row r="1003" spans="1:13">
      <c r="A1003" t="s">
        <v>10619</v>
      </c>
      <c r="B1003" t="s">
        <v>5192</v>
      </c>
      <c r="C1003" t="s">
        <v>3879</v>
      </c>
      <c r="D1003" t="s">
        <v>13</v>
      </c>
      <c r="E1003" t="s">
        <v>75</v>
      </c>
      <c r="F1003" t="s">
        <v>10621</v>
      </c>
    </row>
    <row r="1004" spans="1:13">
      <c r="A1004" t="s">
        <v>10619</v>
      </c>
      <c r="B1004" t="s">
        <v>5193</v>
      </c>
      <c r="C1004" t="s">
        <v>3881</v>
      </c>
      <c r="D1004" t="s">
        <v>13</v>
      </c>
      <c r="E1004" t="s">
        <v>75</v>
      </c>
      <c r="F1004" t="s">
        <v>10621</v>
      </c>
    </row>
    <row r="1005" spans="1:13">
      <c r="A1005" t="s">
        <v>10619</v>
      </c>
      <c r="B1005" t="s">
        <v>5194</v>
      </c>
      <c r="C1005" t="s">
        <v>3883</v>
      </c>
      <c r="D1005" t="s">
        <v>13</v>
      </c>
      <c r="E1005" t="s">
        <v>75</v>
      </c>
      <c r="F1005" t="s">
        <v>10620</v>
      </c>
    </row>
    <row r="1006" spans="1:13">
      <c r="A1006" t="s">
        <v>10619</v>
      </c>
      <c r="B1006" t="s">
        <v>5195</v>
      </c>
      <c r="C1006" t="s">
        <v>3885</v>
      </c>
      <c r="D1006" t="s">
        <v>13</v>
      </c>
      <c r="E1006" t="s">
        <v>75</v>
      </c>
      <c r="F1006" t="s">
        <v>10620</v>
      </c>
    </row>
    <row r="1007" spans="1:13">
      <c r="A1007" t="s">
        <v>10619</v>
      </c>
      <c r="B1007" t="s">
        <v>5196</v>
      </c>
      <c r="C1007" t="s">
        <v>3887</v>
      </c>
      <c r="D1007" t="s">
        <v>13</v>
      </c>
      <c r="E1007" t="s">
        <v>75</v>
      </c>
      <c r="F1007" t="s">
        <v>10620</v>
      </c>
    </row>
    <row r="1008" spans="1:13">
      <c r="A1008" t="s">
        <v>10619</v>
      </c>
      <c r="B1008" t="s">
        <v>5197</v>
      </c>
      <c r="C1008" t="s">
        <v>3889</v>
      </c>
      <c r="D1008" t="s">
        <v>13</v>
      </c>
      <c r="E1008" t="s">
        <v>75</v>
      </c>
      <c r="F1008" t="s">
        <v>10620</v>
      </c>
    </row>
    <row r="1009" spans="1:6">
      <c r="A1009" t="s">
        <v>10619</v>
      </c>
      <c r="B1009" t="s">
        <v>5198</v>
      </c>
      <c r="C1009" t="s">
        <v>3891</v>
      </c>
      <c r="D1009" t="s">
        <v>13</v>
      </c>
      <c r="E1009" t="s">
        <v>75</v>
      </c>
      <c r="F1009" t="s">
        <v>10620</v>
      </c>
    </row>
    <row r="1010" spans="1:6">
      <c r="A1010" t="s">
        <v>10619</v>
      </c>
      <c r="B1010" t="s">
        <v>5199</v>
      </c>
      <c r="C1010" t="s">
        <v>3893</v>
      </c>
      <c r="D1010" t="s">
        <v>13</v>
      </c>
      <c r="E1010" t="s">
        <v>75</v>
      </c>
      <c r="F1010" t="s">
        <v>10620</v>
      </c>
    </row>
    <row r="1011" spans="1:6">
      <c r="A1011" t="s">
        <v>10619</v>
      </c>
      <c r="B1011" t="s">
        <v>5200</v>
      </c>
      <c r="C1011" t="s">
        <v>3895</v>
      </c>
      <c r="D1011" t="s">
        <v>13</v>
      </c>
      <c r="E1011" t="s">
        <v>75</v>
      </c>
      <c r="F1011" t="s">
        <v>10620</v>
      </c>
    </row>
    <row r="1012" spans="1:6">
      <c r="A1012" t="s">
        <v>10619</v>
      </c>
      <c r="B1012" t="s">
        <v>5201</v>
      </c>
      <c r="C1012" t="s">
        <v>3897</v>
      </c>
      <c r="D1012" t="s">
        <v>13</v>
      </c>
      <c r="E1012" t="s">
        <v>75</v>
      </c>
      <c r="F1012" t="s">
        <v>10620</v>
      </c>
    </row>
    <row r="1013" spans="1:6">
      <c r="A1013" t="s">
        <v>10619</v>
      </c>
      <c r="B1013" t="s">
        <v>5202</v>
      </c>
      <c r="C1013" t="s">
        <v>3899</v>
      </c>
      <c r="D1013" t="s">
        <v>13</v>
      </c>
      <c r="E1013" t="s">
        <v>75</v>
      </c>
      <c r="F1013" t="s">
        <v>10620</v>
      </c>
    </row>
    <row r="1014" spans="1:6">
      <c r="A1014" t="s">
        <v>10619</v>
      </c>
      <c r="B1014" t="s">
        <v>5203</v>
      </c>
      <c r="C1014" t="s">
        <v>3901</v>
      </c>
      <c r="D1014" t="s">
        <v>13</v>
      </c>
      <c r="E1014" t="s">
        <v>75</v>
      </c>
      <c r="F1014" t="s">
        <v>10620</v>
      </c>
    </row>
    <row r="1015" spans="1:6">
      <c r="A1015" t="s">
        <v>10619</v>
      </c>
      <c r="B1015" t="s">
        <v>5204</v>
      </c>
      <c r="C1015" t="s">
        <v>3903</v>
      </c>
      <c r="D1015" t="s">
        <v>13</v>
      </c>
      <c r="E1015" t="s">
        <v>75</v>
      </c>
      <c r="F1015" t="s">
        <v>10620</v>
      </c>
    </row>
    <row r="1016" spans="1:6">
      <c r="A1016" t="s">
        <v>10619</v>
      </c>
      <c r="B1016" t="s">
        <v>5205</v>
      </c>
      <c r="C1016" t="s">
        <v>3901</v>
      </c>
      <c r="D1016" t="s">
        <v>13</v>
      </c>
      <c r="E1016" t="s">
        <v>75</v>
      </c>
      <c r="F1016" t="s">
        <v>10620</v>
      </c>
    </row>
    <row r="1017" spans="1:6">
      <c r="A1017" t="s">
        <v>10619</v>
      </c>
      <c r="B1017" t="s">
        <v>5206</v>
      </c>
      <c r="C1017" t="s">
        <v>3906</v>
      </c>
      <c r="D1017" t="s">
        <v>13</v>
      </c>
      <c r="E1017" t="s">
        <v>75</v>
      </c>
      <c r="F1017" t="s">
        <v>10620</v>
      </c>
    </row>
    <row r="1018" spans="1:6">
      <c r="A1018" t="s">
        <v>10619</v>
      </c>
      <c r="B1018" t="s">
        <v>5207</v>
      </c>
      <c r="C1018" t="s">
        <v>3908</v>
      </c>
      <c r="D1018" t="s">
        <v>13</v>
      </c>
      <c r="E1018" t="s">
        <v>75</v>
      </c>
      <c r="F1018" t="s">
        <v>10620</v>
      </c>
    </row>
    <row r="1019" spans="1:6">
      <c r="A1019" t="s">
        <v>10619</v>
      </c>
      <c r="B1019" t="s">
        <v>5208</v>
      </c>
      <c r="C1019" t="s">
        <v>3910</v>
      </c>
      <c r="D1019" t="s">
        <v>13</v>
      </c>
      <c r="E1019" t="s">
        <v>75</v>
      </c>
      <c r="F1019" t="s">
        <v>10620</v>
      </c>
    </row>
    <row r="1020" spans="1:6">
      <c r="A1020" t="s">
        <v>10619</v>
      </c>
      <c r="B1020" t="s">
        <v>5209</v>
      </c>
      <c r="C1020" t="s">
        <v>3912</v>
      </c>
      <c r="D1020" t="s">
        <v>13</v>
      </c>
      <c r="E1020" t="s">
        <v>75</v>
      </c>
      <c r="F1020" t="s">
        <v>10620</v>
      </c>
    </row>
    <row r="1021" spans="1:6">
      <c r="A1021" t="s">
        <v>10619</v>
      </c>
      <c r="B1021" t="s">
        <v>5210</v>
      </c>
      <c r="C1021" t="s">
        <v>3914</v>
      </c>
      <c r="D1021" t="s">
        <v>13</v>
      </c>
      <c r="E1021" t="s">
        <v>75</v>
      </c>
      <c r="F1021" t="s">
        <v>10620</v>
      </c>
    </row>
    <row r="1022" spans="1:6">
      <c r="A1022" t="s">
        <v>10619</v>
      </c>
      <c r="B1022" t="s">
        <v>5211</v>
      </c>
      <c r="C1022" t="s">
        <v>3916</v>
      </c>
      <c r="D1022" t="s">
        <v>13</v>
      </c>
      <c r="E1022" t="s">
        <v>75</v>
      </c>
      <c r="F1022" t="s">
        <v>10620</v>
      </c>
    </row>
    <row r="1023" spans="1:6">
      <c r="A1023" t="s">
        <v>10619</v>
      </c>
      <c r="B1023" t="s">
        <v>5212</v>
      </c>
      <c r="C1023" t="s">
        <v>3918</v>
      </c>
      <c r="D1023" t="s">
        <v>13</v>
      </c>
      <c r="E1023" t="s">
        <v>75</v>
      </c>
      <c r="F1023" t="s">
        <v>10620</v>
      </c>
    </row>
    <row r="1024" spans="1:6">
      <c r="A1024" t="s">
        <v>10619</v>
      </c>
      <c r="B1024" t="s">
        <v>5213</v>
      </c>
      <c r="C1024" t="s">
        <v>3920</v>
      </c>
      <c r="D1024" t="s">
        <v>13</v>
      </c>
      <c r="E1024" t="s">
        <v>75</v>
      </c>
      <c r="F1024" t="s">
        <v>10620</v>
      </c>
    </row>
    <row r="1025" spans="1:6">
      <c r="A1025" t="s">
        <v>10619</v>
      </c>
      <c r="B1025" t="s">
        <v>5214</v>
      </c>
      <c r="C1025" t="s">
        <v>3920</v>
      </c>
      <c r="D1025" t="s">
        <v>13</v>
      </c>
      <c r="E1025" t="s">
        <v>75</v>
      </c>
      <c r="F1025" t="s">
        <v>10620</v>
      </c>
    </row>
    <row r="1026" spans="1:6">
      <c r="A1026" t="s">
        <v>10619</v>
      </c>
      <c r="B1026" t="s">
        <v>5215</v>
      </c>
      <c r="C1026" t="s">
        <v>3923</v>
      </c>
      <c r="D1026" t="s">
        <v>13</v>
      </c>
      <c r="E1026" t="s">
        <v>75</v>
      </c>
      <c r="F1026" t="s">
        <v>10620</v>
      </c>
    </row>
    <row r="1027" spans="1:6">
      <c r="A1027" t="s">
        <v>10619</v>
      </c>
      <c r="B1027" t="s">
        <v>5216</v>
      </c>
      <c r="C1027" t="s">
        <v>3925</v>
      </c>
      <c r="D1027" t="s">
        <v>13</v>
      </c>
      <c r="E1027" t="s">
        <v>75</v>
      </c>
      <c r="F1027" t="s">
        <v>10630</v>
      </c>
    </row>
    <row r="1028" spans="1:6">
      <c r="A1028" t="s">
        <v>10619</v>
      </c>
      <c r="B1028" t="s">
        <v>5217</v>
      </c>
      <c r="C1028" t="s">
        <v>3927</v>
      </c>
      <c r="D1028" t="s">
        <v>13</v>
      </c>
      <c r="E1028" t="s">
        <v>75</v>
      </c>
      <c r="F1028" t="s">
        <v>10630</v>
      </c>
    </row>
    <row r="1029" spans="1:6">
      <c r="A1029" t="s">
        <v>10619</v>
      </c>
      <c r="B1029" t="s">
        <v>5218</v>
      </c>
      <c r="C1029" t="s">
        <v>3929</v>
      </c>
      <c r="D1029" t="s">
        <v>13</v>
      </c>
      <c r="E1029" t="s">
        <v>75</v>
      </c>
      <c r="F1029" t="s">
        <v>10630</v>
      </c>
    </row>
    <row r="1030" spans="1:6">
      <c r="A1030" t="s">
        <v>10619</v>
      </c>
      <c r="B1030" t="s">
        <v>5219</v>
      </c>
      <c r="C1030" t="s">
        <v>3931</v>
      </c>
      <c r="D1030" t="s">
        <v>13</v>
      </c>
      <c r="E1030" t="s">
        <v>75</v>
      </c>
      <c r="F1030" t="s">
        <v>10630</v>
      </c>
    </row>
    <row r="1031" spans="1:6">
      <c r="A1031" t="s">
        <v>10619</v>
      </c>
      <c r="B1031" t="s">
        <v>5220</v>
      </c>
      <c r="C1031" t="s">
        <v>3933</v>
      </c>
      <c r="D1031" t="s">
        <v>13</v>
      </c>
      <c r="E1031" t="s">
        <v>75</v>
      </c>
      <c r="F1031" t="s">
        <v>10630</v>
      </c>
    </row>
    <row r="1032" spans="1:6">
      <c r="A1032" t="s">
        <v>10619</v>
      </c>
      <c r="B1032" t="s">
        <v>5221</v>
      </c>
      <c r="C1032" t="s">
        <v>3935</v>
      </c>
      <c r="D1032" t="s">
        <v>13</v>
      </c>
      <c r="E1032" t="s">
        <v>75</v>
      </c>
      <c r="F1032" t="s">
        <v>10638</v>
      </c>
    </row>
    <row r="1033" spans="1:6">
      <c r="A1033" t="s">
        <v>10619</v>
      </c>
      <c r="B1033" t="s">
        <v>5222</v>
      </c>
      <c r="C1033" t="s">
        <v>3937</v>
      </c>
      <c r="D1033" t="s">
        <v>13</v>
      </c>
      <c r="E1033" t="s">
        <v>75</v>
      </c>
      <c r="F1033" t="s">
        <v>10638</v>
      </c>
    </row>
    <row r="1034" spans="1:6">
      <c r="A1034" t="s">
        <v>10619</v>
      </c>
      <c r="B1034" t="s">
        <v>5223</v>
      </c>
      <c r="C1034" t="s">
        <v>3939</v>
      </c>
      <c r="D1034" t="s">
        <v>13</v>
      </c>
      <c r="E1034" t="s">
        <v>75</v>
      </c>
      <c r="F1034" t="s">
        <v>10638</v>
      </c>
    </row>
    <row r="1035" spans="1:6">
      <c r="A1035" t="s">
        <v>10619</v>
      </c>
      <c r="B1035" t="s">
        <v>5224</v>
      </c>
      <c r="C1035" t="s">
        <v>3941</v>
      </c>
      <c r="D1035" t="s">
        <v>13</v>
      </c>
      <c r="E1035" t="s">
        <v>75</v>
      </c>
      <c r="F1035" t="s">
        <v>10638</v>
      </c>
    </row>
    <row r="1036" spans="1:6">
      <c r="A1036" t="s">
        <v>10619</v>
      </c>
      <c r="B1036" t="s">
        <v>5225</v>
      </c>
      <c r="C1036" t="s">
        <v>3943</v>
      </c>
      <c r="D1036" t="s">
        <v>13</v>
      </c>
      <c r="E1036" t="s">
        <v>75</v>
      </c>
      <c r="F1036" t="s">
        <v>10638</v>
      </c>
    </row>
    <row r="1037" spans="1:6">
      <c r="A1037" t="s">
        <v>10619</v>
      </c>
      <c r="B1037" t="s">
        <v>5226</v>
      </c>
      <c r="C1037" t="s">
        <v>3945</v>
      </c>
      <c r="D1037" t="s">
        <v>13</v>
      </c>
      <c r="E1037" t="s">
        <v>75</v>
      </c>
      <c r="F1037" t="s">
        <v>10638</v>
      </c>
    </row>
    <row r="1038" spans="1:6">
      <c r="A1038" t="s">
        <v>10619</v>
      </c>
      <c r="B1038" t="s">
        <v>5227</v>
      </c>
      <c r="C1038" t="s">
        <v>3947</v>
      </c>
      <c r="D1038" t="s">
        <v>13</v>
      </c>
      <c r="E1038" t="s">
        <v>75</v>
      </c>
      <c r="F1038" t="s">
        <v>10638</v>
      </c>
    </row>
    <row r="1039" spans="1:6">
      <c r="A1039" t="s">
        <v>10619</v>
      </c>
      <c r="B1039" t="s">
        <v>5228</v>
      </c>
      <c r="C1039" t="s">
        <v>3949</v>
      </c>
      <c r="D1039" t="s">
        <v>13</v>
      </c>
      <c r="E1039" t="s">
        <v>75</v>
      </c>
      <c r="F1039" t="s">
        <v>10638</v>
      </c>
    </row>
    <row r="1040" spans="1:6">
      <c r="A1040" t="s">
        <v>10619</v>
      </c>
      <c r="B1040" t="s">
        <v>5229</v>
      </c>
      <c r="C1040" t="s">
        <v>3951</v>
      </c>
      <c r="D1040" t="s">
        <v>13</v>
      </c>
      <c r="E1040" t="s">
        <v>75</v>
      </c>
      <c r="F1040" t="s">
        <v>10638</v>
      </c>
    </row>
    <row r="1041" spans="1:6">
      <c r="A1041" t="s">
        <v>10619</v>
      </c>
      <c r="B1041" t="s">
        <v>5230</v>
      </c>
      <c r="C1041" t="s">
        <v>3953</v>
      </c>
      <c r="D1041" t="s">
        <v>13</v>
      </c>
      <c r="E1041" t="s">
        <v>75</v>
      </c>
      <c r="F1041" t="s">
        <v>10638</v>
      </c>
    </row>
    <row r="1042" spans="1:6">
      <c r="A1042" t="s">
        <v>10619</v>
      </c>
      <c r="B1042" t="s">
        <v>5231</v>
      </c>
      <c r="C1042" t="s">
        <v>3955</v>
      </c>
      <c r="D1042" t="s">
        <v>13</v>
      </c>
      <c r="E1042" t="s">
        <v>75</v>
      </c>
      <c r="F1042" t="s">
        <v>10620</v>
      </c>
    </row>
    <row r="1043" spans="1:6">
      <c r="A1043" t="s">
        <v>10619</v>
      </c>
      <c r="B1043" t="s">
        <v>5232</v>
      </c>
      <c r="C1043" t="s">
        <v>3957</v>
      </c>
      <c r="D1043" t="s">
        <v>13</v>
      </c>
      <c r="E1043" t="s">
        <v>75</v>
      </c>
      <c r="F1043" t="s">
        <v>10620</v>
      </c>
    </row>
    <row r="1044" spans="1:6">
      <c r="A1044" t="s">
        <v>10619</v>
      </c>
      <c r="B1044" t="s">
        <v>5233</v>
      </c>
      <c r="C1044" t="s">
        <v>3959</v>
      </c>
      <c r="D1044" t="s">
        <v>13</v>
      </c>
      <c r="E1044" t="s">
        <v>75</v>
      </c>
      <c r="F1044" t="s">
        <v>10620</v>
      </c>
    </row>
    <row r="1045" spans="1:6">
      <c r="A1045" t="s">
        <v>10619</v>
      </c>
      <c r="B1045" t="s">
        <v>5234</v>
      </c>
      <c r="C1045" t="s">
        <v>3961</v>
      </c>
      <c r="D1045" t="s">
        <v>13</v>
      </c>
      <c r="E1045" t="s">
        <v>75</v>
      </c>
      <c r="F1045" t="s">
        <v>10621</v>
      </c>
    </row>
    <row r="1046" spans="1:6">
      <c r="A1046" t="s">
        <v>10619</v>
      </c>
      <c r="B1046" t="s">
        <v>5235</v>
      </c>
      <c r="C1046" t="s">
        <v>3963</v>
      </c>
      <c r="D1046" t="s">
        <v>13</v>
      </c>
      <c r="E1046" t="s">
        <v>75</v>
      </c>
      <c r="F1046" t="s">
        <v>10621</v>
      </c>
    </row>
    <row r="1047" spans="1:6">
      <c r="A1047" t="s">
        <v>10619</v>
      </c>
      <c r="B1047" t="s">
        <v>5236</v>
      </c>
      <c r="C1047" t="s">
        <v>3965</v>
      </c>
      <c r="D1047" t="s">
        <v>13</v>
      </c>
      <c r="E1047" t="s">
        <v>75</v>
      </c>
      <c r="F1047" t="s">
        <v>10621</v>
      </c>
    </row>
    <row r="1048" spans="1:6">
      <c r="A1048" t="s">
        <v>10619</v>
      </c>
      <c r="B1048" t="s">
        <v>5237</v>
      </c>
      <c r="C1048" t="s">
        <v>3967</v>
      </c>
      <c r="D1048" t="s">
        <v>13</v>
      </c>
      <c r="E1048" t="s">
        <v>75</v>
      </c>
      <c r="F1048" t="s">
        <v>10621</v>
      </c>
    </row>
    <row r="1049" spans="1:6">
      <c r="A1049" t="s">
        <v>10619</v>
      </c>
      <c r="B1049" t="s">
        <v>5238</v>
      </c>
      <c r="C1049" t="s">
        <v>3969</v>
      </c>
      <c r="D1049" t="s">
        <v>13</v>
      </c>
      <c r="E1049" t="s">
        <v>75</v>
      </c>
      <c r="F1049" t="s">
        <v>10621</v>
      </c>
    </row>
    <row r="1050" spans="1:6">
      <c r="A1050" t="s">
        <v>10619</v>
      </c>
      <c r="B1050" t="s">
        <v>5239</v>
      </c>
      <c r="C1050" t="s">
        <v>3971</v>
      </c>
      <c r="D1050" t="s">
        <v>13</v>
      </c>
      <c r="E1050" t="s">
        <v>75</v>
      </c>
      <c r="F1050" t="s">
        <v>10621</v>
      </c>
    </row>
    <row r="1051" spans="1:6">
      <c r="A1051" t="s">
        <v>10619</v>
      </c>
      <c r="B1051" t="s">
        <v>5240</v>
      </c>
      <c r="C1051" t="s">
        <v>3973</v>
      </c>
      <c r="D1051" t="s">
        <v>13</v>
      </c>
      <c r="E1051" t="s">
        <v>75</v>
      </c>
      <c r="F1051" t="s">
        <v>10621</v>
      </c>
    </row>
    <row r="1052" spans="1:6">
      <c r="A1052" t="s">
        <v>10619</v>
      </c>
      <c r="B1052" t="s">
        <v>5241</v>
      </c>
      <c r="C1052" t="s">
        <v>3975</v>
      </c>
      <c r="D1052" t="s">
        <v>13</v>
      </c>
      <c r="E1052" t="s">
        <v>75</v>
      </c>
      <c r="F1052" t="s">
        <v>10621</v>
      </c>
    </row>
    <row r="1053" spans="1:6">
      <c r="A1053" t="s">
        <v>10619</v>
      </c>
      <c r="B1053" t="s">
        <v>5242</v>
      </c>
      <c r="C1053" t="s">
        <v>3977</v>
      </c>
      <c r="D1053" t="s">
        <v>13</v>
      </c>
      <c r="E1053" t="s">
        <v>75</v>
      </c>
      <c r="F1053" t="s">
        <v>10621</v>
      </c>
    </row>
    <row r="1054" spans="1:6">
      <c r="A1054" t="s">
        <v>10619</v>
      </c>
      <c r="B1054" t="s">
        <v>5243</v>
      </c>
      <c r="C1054" t="s">
        <v>3979</v>
      </c>
      <c r="D1054" t="s">
        <v>13</v>
      </c>
      <c r="E1054" t="s">
        <v>75</v>
      </c>
      <c r="F1054" t="s">
        <v>10621</v>
      </c>
    </row>
    <row r="1055" spans="1:6">
      <c r="A1055" t="s">
        <v>10619</v>
      </c>
      <c r="B1055" t="s">
        <v>5244</v>
      </c>
      <c r="C1055" t="s">
        <v>3981</v>
      </c>
      <c r="D1055" t="s">
        <v>13</v>
      </c>
      <c r="E1055" t="s">
        <v>75</v>
      </c>
      <c r="F1055" t="s">
        <v>10621</v>
      </c>
    </row>
    <row r="1056" spans="1:6">
      <c r="A1056" t="s">
        <v>10619</v>
      </c>
      <c r="B1056" t="s">
        <v>5245</v>
      </c>
      <c r="C1056" t="s">
        <v>3983</v>
      </c>
      <c r="D1056" t="s">
        <v>13</v>
      </c>
      <c r="E1056" t="s">
        <v>75</v>
      </c>
      <c r="F1056" t="s">
        <v>10621</v>
      </c>
    </row>
    <row r="1057" spans="1:6">
      <c r="A1057" t="s">
        <v>10619</v>
      </c>
      <c r="B1057" t="s">
        <v>5246</v>
      </c>
      <c r="C1057" t="s">
        <v>3985</v>
      </c>
      <c r="D1057" t="s">
        <v>13</v>
      </c>
      <c r="E1057" t="s">
        <v>75</v>
      </c>
      <c r="F1057" t="s">
        <v>10621</v>
      </c>
    </row>
    <row r="1058" spans="1:6">
      <c r="A1058" t="s">
        <v>10619</v>
      </c>
      <c r="B1058" t="s">
        <v>5247</v>
      </c>
      <c r="C1058" t="s">
        <v>3987</v>
      </c>
      <c r="D1058" t="s">
        <v>13</v>
      </c>
      <c r="E1058" t="s">
        <v>75</v>
      </c>
      <c r="F1058" t="s">
        <v>10621</v>
      </c>
    </row>
    <row r="1059" spans="1:6">
      <c r="A1059" t="s">
        <v>10619</v>
      </c>
      <c r="B1059" t="s">
        <v>5248</v>
      </c>
      <c r="C1059" t="s">
        <v>3989</v>
      </c>
      <c r="D1059" t="s">
        <v>13</v>
      </c>
      <c r="E1059" t="s">
        <v>75</v>
      </c>
      <c r="F1059" t="s">
        <v>10621</v>
      </c>
    </row>
    <row r="1060" spans="1:6">
      <c r="A1060" t="s">
        <v>10619</v>
      </c>
      <c r="B1060" t="s">
        <v>5249</v>
      </c>
      <c r="C1060" t="s">
        <v>3991</v>
      </c>
      <c r="D1060" t="s">
        <v>13</v>
      </c>
      <c r="E1060" t="s">
        <v>75</v>
      </c>
      <c r="F1060" t="s">
        <v>10621</v>
      </c>
    </row>
    <row r="1061" spans="1:6">
      <c r="A1061" t="s">
        <v>10619</v>
      </c>
      <c r="B1061" t="s">
        <v>5250</v>
      </c>
      <c r="C1061" t="s">
        <v>3993</v>
      </c>
      <c r="D1061" t="s">
        <v>13</v>
      </c>
      <c r="E1061" t="s">
        <v>75</v>
      </c>
      <c r="F1061" t="s">
        <v>10621</v>
      </c>
    </row>
    <row r="1062" spans="1:6">
      <c r="A1062" t="s">
        <v>10619</v>
      </c>
      <c r="B1062" t="s">
        <v>5251</v>
      </c>
      <c r="C1062" t="s">
        <v>3995</v>
      </c>
      <c r="D1062" t="s">
        <v>13</v>
      </c>
      <c r="E1062" t="s">
        <v>75</v>
      </c>
      <c r="F1062" t="s">
        <v>583</v>
      </c>
    </row>
    <row r="1063" spans="1:6">
      <c r="A1063" t="s">
        <v>10619</v>
      </c>
      <c r="B1063" t="s">
        <v>5252</v>
      </c>
      <c r="C1063" t="s">
        <v>3997</v>
      </c>
      <c r="D1063" t="s">
        <v>13</v>
      </c>
      <c r="E1063" t="s">
        <v>75</v>
      </c>
      <c r="F1063" t="s">
        <v>583</v>
      </c>
    </row>
    <row r="1064" spans="1:6">
      <c r="A1064" t="s">
        <v>10619</v>
      </c>
      <c r="B1064" t="s">
        <v>5253</v>
      </c>
      <c r="C1064" t="s">
        <v>3999</v>
      </c>
      <c r="D1064" t="s">
        <v>13</v>
      </c>
      <c r="E1064" t="s">
        <v>75</v>
      </c>
      <c r="F1064" t="s">
        <v>583</v>
      </c>
    </row>
    <row r="1065" spans="1:6">
      <c r="A1065" t="s">
        <v>10619</v>
      </c>
      <c r="B1065" t="s">
        <v>5254</v>
      </c>
      <c r="C1065" t="s">
        <v>4001</v>
      </c>
      <c r="D1065" t="s">
        <v>13</v>
      </c>
      <c r="E1065" t="s">
        <v>75</v>
      </c>
      <c r="F1065" t="s">
        <v>583</v>
      </c>
    </row>
    <row r="1066" spans="1:6">
      <c r="A1066" t="s">
        <v>10619</v>
      </c>
      <c r="B1066" t="s">
        <v>5255</v>
      </c>
      <c r="C1066" t="s">
        <v>4003</v>
      </c>
      <c r="D1066" t="s">
        <v>13</v>
      </c>
      <c r="E1066" t="s">
        <v>75</v>
      </c>
      <c r="F1066" t="s">
        <v>583</v>
      </c>
    </row>
    <row r="1067" spans="1:6">
      <c r="A1067" t="s">
        <v>10619</v>
      </c>
      <c r="B1067" t="s">
        <v>5256</v>
      </c>
      <c r="C1067" t="s">
        <v>4005</v>
      </c>
      <c r="D1067" t="s">
        <v>13</v>
      </c>
      <c r="E1067" t="s">
        <v>75</v>
      </c>
      <c r="F1067" t="s">
        <v>583</v>
      </c>
    </row>
    <row r="1068" spans="1:6">
      <c r="A1068" t="s">
        <v>10619</v>
      </c>
      <c r="B1068" t="s">
        <v>5257</v>
      </c>
      <c r="C1068" t="s">
        <v>4007</v>
      </c>
      <c r="D1068" t="s">
        <v>13</v>
      </c>
      <c r="E1068" t="s">
        <v>75</v>
      </c>
      <c r="F1068" t="s">
        <v>583</v>
      </c>
    </row>
    <row r="1069" spans="1:6">
      <c r="A1069" t="s">
        <v>10619</v>
      </c>
      <c r="B1069" t="s">
        <v>5258</v>
      </c>
      <c r="C1069" t="s">
        <v>4009</v>
      </c>
      <c r="D1069" t="s">
        <v>13</v>
      </c>
      <c r="E1069" t="s">
        <v>75</v>
      </c>
      <c r="F1069" t="s">
        <v>583</v>
      </c>
    </row>
    <row r="1070" spans="1:6">
      <c r="A1070" t="s">
        <v>10619</v>
      </c>
      <c r="B1070" t="s">
        <v>5259</v>
      </c>
      <c r="C1070" t="s">
        <v>4011</v>
      </c>
      <c r="D1070" t="s">
        <v>13</v>
      </c>
      <c r="E1070" t="s">
        <v>75</v>
      </c>
      <c r="F1070" t="s">
        <v>583</v>
      </c>
    </row>
    <row r="1071" spans="1:6">
      <c r="A1071" t="s">
        <v>10619</v>
      </c>
      <c r="B1071" t="s">
        <v>5260</v>
      </c>
      <c r="C1071" t="s">
        <v>4013</v>
      </c>
      <c r="D1071" t="s">
        <v>13</v>
      </c>
      <c r="E1071" t="s">
        <v>75</v>
      </c>
      <c r="F1071" t="s">
        <v>10624</v>
      </c>
    </row>
    <row r="1072" spans="1:6">
      <c r="A1072" t="s">
        <v>10619</v>
      </c>
      <c r="B1072" t="s">
        <v>5261</v>
      </c>
      <c r="C1072" t="s">
        <v>4015</v>
      </c>
      <c r="D1072" t="s">
        <v>13</v>
      </c>
      <c r="E1072" t="s">
        <v>75</v>
      </c>
      <c r="F1072" t="s">
        <v>10624</v>
      </c>
    </row>
    <row r="1073" spans="1:6">
      <c r="A1073" t="s">
        <v>10619</v>
      </c>
      <c r="B1073" t="s">
        <v>5262</v>
      </c>
      <c r="C1073" t="s">
        <v>4017</v>
      </c>
      <c r="D1073" t="s">
        <v>13</v>
      </c>
      <c r="E1073" t="s">
        <v>75</v>
      </c>
      <c r="F1073" t="s">
        <v>10624</v>
      </c>
    </row>
    <row r="1074" spans="1:6">
      <c r="A1074" t="s">
        <v>10619</v>
      </c>
      <c r="B1074" t="s">
        <v>5263</v>
      </c>
      <c r="C1074" t="s">
        <v>4019</v>
      </c>
      <c r="D1074" t="s">
        <v>13</v>
      </c>
      <c r="E1074" t="s">
        <v>75</v>
      </c>
      <c r="F1074" t="s">
        <v>10624</v>
      </c>
    </row>
    <row r="1075" spans="1:6">
      <c r="A1075" t="s">
        <v>10619</v>
      </c>
      <c r="B1075" t="s">
        <v>5264</v>
      </c>
      <c r="C1075" t="s">
        <v>4021</v>
      </c>
      <c r="D1075" t="s">
        <v>13</v>
      </c>
      <c r="E1075" t="s">
        <v>75</v>
      </c>
      <c r="F1075" t="s">
        <v>10624</v>
      </c>
    </row>
    <row r="1076" spans="1:6">
      <c r="A1076" t="s">
        <v>10619</v>
      </c>
      <c r="B1076" t="s">
        <v>5265</v>
      </c>
      <c r="C1076" t="s">
        <v>4023</v>
      </c>
      <c r="D1076" t="s">
        <v>13</v>
      </c>
      <c r="E1076" t="s">
        <v>75</v>
      </c>
      <c r="F1076" t="s">
        <v>10627</v>
      </c>
    </row>
    <row r="1077" spans="1:6">
      <c r="A1077" t="s">
        <v>10619</v>
      </c>
      <c r="B1077" t="s">
        <v>5266</v>
      </c>
      <c r="C1077" t="s">
        <v>4025</v>
      </c>
      <c r="D1077" t="s">
        <v>13</v>
      </c>
      <c r="E1077" t="s">
        <v>75</v>
      </c>
      <c r="F1077" t="s">
        <v>10627</v>
      </c>
    </row>
    <row r="1078" spans="1:6">
      <c r="A1078" t="s">
        <v>10619</v>
      </c>
      <c r="B1078" t="s">
        <v>5267</v>
      </c>
      <c r="C1078" t="s">
        <v>4025</v>
      </c>
      <c r="D1078" t="s">
        <v>13</v>
      </c>
      <c r="E1078" t="s">
        <v>75</v>
      </c>
      <c r="F1078" t="s">
        <v>10627</v>
      </c>
    </row>
    <row r="1079" spans="1:6">
      <c r="A1079" t="s">
        <v>10619</v>
      </c>
      <c r="B1079" t="s">
        <v>5268</v>
      </c>
      <c r="C1079" t="s">
        <v>4028</v>
      </c>
      <c r="D1079" t="s">
        <v>13</v>
      </c>
      <c r="E1079" t="s">
        <v>75</v>
      </c>
      <c r="F1079" t="s">
        <v>10627</v>
      </c>
    </row>
    <row r="1080" spans="1:6">
      <c r="A1080" t="s">
        <v>10619</v>
      </c>
      <c r="B1080" t="s">
        <v>5269</v>
      </c>
      <c r="C1080" t="s">
        <v>4030</v>
      </c>
      <c r="D1080" t="s">
        <v>13</v>
      </c>
      <c r="E1080" t="s">
        <v>75</v>
      </c>
      <c r="F1080" t="s">
        <v>10627</v>
      </c>
    </row>
    <row r="1081" spans="1:6">
      <c r="A1081" t="s">
        <v>10619</v>
      </c>
      <c r="B1081" t="s">
        <v>5270</v>
      </c>
      <c r="C1081" t="s">
        <v>4032</v>
      </c>
      <c r="D1081" t="s">
        <v>13</v>
      </c>
      <c r="E1081" t="s">
        <v>75</v>
      </c>
      <c r="F1081" t="s">
        <v>10627</v>
      </c>
    </row>
    <row r="1082" spans="1:6">
      <c r="A1082" t="s">
        <v>10619</v>
      </c>
      <c r="B1082" t="s">
        <v>5271</v>
      </c>
      <c r="C1082" t="s">
        <v>4034</v>
      </c>
      <c r="D1082" t="s">
        <v>13</v>
      </c>
      <c r="E1082" t="s">
        <v>75</v>
      </c>
      <c r="F1082" t="s">
        <v>10627</v>
      </c>
    </row>
    <row r="1083" spans="1:6">
      <c r="A1083" t="s">
        <v>10619</v>
      </c>
      <c r="B1083" t="s">
        <v>5272</v>
      </c>
      <c r="C1083" t="s">
        <v>4036</v>
      </c>
      <c r="D1083" t="s">
        <v>13</v>
      </c>
      <c r="E1083" t="s">
        <v>75</v>
      </c>
      <c r="F1083" t="s">
        <v>10627</v>
      </c>
    </row>
    <row r="1084" spans="1:6">
      <c r="A1084" t="s">
        <v>10619</v>
      </c>
      <c r="B1084" t="s">
        <v>5273</v>
      </c>
      <c r="C1084" t="s">
        <v>4038</v>
      </c>
      <c r="D1084" t="s">
        <v>13</v>
      </c>
      <c r="E1084" t="s">
        <v>75</v>
      </c>
      <c r="F1084" t="s">
        <v>10627</v>
      </c>
    </row>
    <row r="1085" spans="1:6">
      <c r="A1085" t="s">
        <v>10619</v>
      </c>
      <c r="B1085" t="s">
        <v>5274</v>
      </c>
      <c r="C1085" t="s">
        <v>4040</v>
      </c>
      <c r="D1085" t="s">
        <v>13</v>
      </c>
      <c r="E1085" t="s">
        <v>75</v>
      </c>
      <c r="F1085" t="s">
        <v>10627</v>
      </c>
    </row>
    <row r="1086" spans="1:6">
      <c r="A1086" t="s">
        <v>10619</v>
      </c>
      <c r="B1086" t="s">
        <v>5275</v>
      </c>
      <c r="C1086" t="s">
        <v>4042</v>
      </c>
      <c r="D1086" t="s">
        <v>13</v>
      </c>
      <c r="E1086" t="s">
        <v>75</v>
      </c>
      <c r="F1086" t="s">
        <v>10627</v>
      </c>
    </row>
    <row r="1087" spans="1:6">
      <c r="A1087" t="s">
        <v>10619</v>
      </c>
      <c r="B1087" t="s">
        <v>5276</v>
      </c>
      <c r="C1087" t="s">
        <v>4044</v>
      </c>
      <c r="D1087" t="s">
        <v>13</v>
      </c>
      <c r="E1087" t="s">
        <v>75</v>
      </c>
      <c r="F1087" t="s">
        <v>10627</v>
      </c>
    </row>
    <row r="1088" spans="1:6">
      <c r="A1088" t="s">
        <v>10619</v>
      </c>
      <c r="B1088" t="s">
        <v>5277</v>
      </c>
      <c r="C1088" t="s">
        <v>4046</v>
      </c>
      <c r="D1088" t="s">
        <v>13</v>
      </c>
      <c r="E1088" t="s">
        <v>75</v>
      </c>
      <c r="F1088" t="s">
        <v>10627</v>
      </c>
    </row>
    <row r="1089" spans="1:6">
      <c r="A1089" t="s">
        <v>10619</v>
      </c>
      <c r="B1089" t="s">
        <v>5278</v>
      </c>
      <c r="C1089" t="s">
        <v>4048</v>
      </c>
      <c r="D1089" t="s">
        <v>13</v>
      </c>
      <c r="E1089" t="s">
        <v>75</v>
      </c>
      <c r="F1089" t="s">
        <v>10627</v>
      </c>
    </row>
    <row r="1090" spans="1:6">
      <c r="A1090" t="s">
        <v>10619</v>
      </c>
      <c r="B1090" t="s">
        <v>5279</v>
      </c>
      <c r="C1090" t="s">
        <v>4050</v>
      </c>
      <c r="D1090" t="s">
        <v>13</v>
      </c>
      <c r="E1090" t="s">
        <v>75</v>
      </c>
      <c r="F1090" t="s">
        <v>10627</v>
      </c>
    </row>
    <row r="1091" spans="1:6">
      <c r="A1091" t="s">
        <v>10619</v>
      </c>
      <c r="B1091" t="s">
        <v>5280</v>
      </c>
      <c r="C1091" t="s">
        <v>4052</v>
      </c>
      <c r="D1091" t="s">
        <v>13</v>
      </c>
      <c r="E1091" t="s">
        <v>75</v>
      </c>
      <c r="F1091" t="s">
        <v>10627</v>
      </c>
    </row>
    <row r="1092" spans="1:6">
      <c r="A1092" t="s">
        <v>10619</v>
      </c>
      <c r="B1092" t="s">
        <v>5281</v>
      </c>
      <c r="C1092" t="s">
        <v>4054</v>
      </c>
      <c r="D1092" t="s">
        <v>13</v>
      </c>
      <c r="E1092" t="s">
        <v>75</v>
      </c>
      <c r="F1092" t="s">
        <v>10627</v>
      </c>
    </row>
    <row r="1093" spans="1:6">
      <c r="A1093" t="s">
        <v>10619</v>
      </c>
      <c r="B1093" t="s">
        <v>5282</v>
      </c>
      <c r="C1093" t="s">
        <v>4056</v>
      </c>
      <c r="D1093" t="s">
        <v>13</v>
      </c>
      <c r="E1093" t="s">
        <v>75</v>
      </c>
      <c r="F1093" t="s">
        <v>10627</v>
      </c>
    </row>
    <row r="1094" spans="1:6">
      <c r="A1094" t="s">
        <v>10619</v>
      </c>
      <c r="B1094" t="s">
        <v>5283</v>
      </c>
      <c r="C1094" t="s">
        <v>4058</v>
      </c>
      <c r="D1094" t="s">
        <v>13</v>
      </c>
      <c r="E1094" t="s">
        <v>75</v>
      </c>
      <c r="F1094" t="s">
        <v>10627</v>
      </c>
    </row>
    <row r="1095" spans="1:6">
      <c r="A1095" t="s">
        <v>10619</v>
      </c>
      <c r="B1095" t="s">
        <v>5284</v>
      </c>
      <c r="C1095" t="s">
        <v>4060</v>
      </c>
      <c r="D1095" t="s">
        <v>13</v>
      </c>
      <c r="E1095" t="s">
        <v>75</v>
      </c>
      <c r="F1095" t="s">
        <v>10627</v>
      </c>
    </row>
    <row r="1096" spans="1:6">
      <c r="A1096" t="s">
        <v>10619</v>
      </c>
      <c r="B1096" t="s">
        <v>5285</v>
      </c>
      <c r="C1096" t="s">
        <v>4062</v>
      </c>
      <c r="D1096" t="s">
        <v>13</v>
      </c>
      <c r="E1096" t="s">
        <v>75</v>
      </c>
      <c r="F1096" t="s">
        <v>10627</v>
      </c>
    </row>
    <row r="1097" spans="1:6">
      <c r="A1097" t="s">
        <v>10619</v>
      </c>
      <c r="B1097" t="s">
        <v>5286</v>
      </c>
      <c r="C1097" t="s">
        <v>4064</v>
      </c>
      <c r="D1097" t="s">
        <v>13</v>
      </c>
      <c r="E1097" t="s">
        <v>75</v>
      </c>
      <c r="F1097" t="s">
        <v>10627</v>
      </c>
    </row>
    <row r="1098" spans="1:6">
      <c r="A1098" t="s">
        <v>10619</v>
      </c>
      <c r="B1098" t="s">
        <v>5287</v>
      </c>
      <c r="C1098" t="s">
        <v>4066</v>
      </c>
      <c r="D1098" t="s">
        <v>13</v>
      </c>
      <c r="E1098" t="s">
        <v>75</v>
      </c>
      <c r="F1098" t="s">
        <v>10627</v>
      </c>
    </row>
    <row r="1099" spans="1:6">
      <c r="A1099" t="s">
        <v>10619</v>
      </c>
      <c r="B1099" t="s">
        <v>5288</v>
      </c>
      <c r="C1099" t="s">
        <v>4068</v>
      </c>
      <c r="D1099" t="s">
        <v>13</v>
      </c>
      <c r="E1099" t="s">
        <v>75</v>
      </c>
      <c r="F1099" t="s">
        <v>10627</v>
      </c>
    </row>
    <row r="1100" spans="1:6">
      <c r="A1100" t="s">
        <v>10619</v>
      </c>
      <c r="B1100" t="s">
        <v>5289</v>
      </c>
      <c r="C1100" t="s">
        <v>4070</v>
      </c>
      <c r="D1100" t="s">
        <v>13</v>
      </c>
      <c r="E1100" t="s">
        <v>75</v>
      </c>
      <c r="F1100" t="s">
        <v>10627</v>
      </c>
    </row>
    <row r="1101" spans="1:6">
      <c r="A1101" t="s">
        <v>10619</v>
      </c>
      <c r="B1101" t="s">
        <v>5290</v>
      </c>
      <c r="C1101" t="s">
        <v>4072</v>
      </c>
      <c r="D1101" t="s">
        <v>13</v>
      </c>
      <c r="E1101" t="s">
        <v>75</v>
      </c>
      <c r="F1101" t="s">
        <v>10627</v>
      </c>
    </row>
    <row r="1102" spans="1:6">
      <c r="A1102" t="s">
        <v>10619</v>
      </c>
      <c r="B1102" t="s">
        <v>5291</v>
      </c>
      <c r="C1102" t="s">
        <v>4074</v>
      </c>
      <c r="D1102" t="s">
        <v>13</v>
      </c>
      <c r="E1102" t="s">
        <v>75</v>
      </c>
      <c r="F1102" t="s">
        <v>10627</v>
      </c>
    </row>
    <row r="1103" spans="1:6">
      <c r="A1103" t="s">
        <v>10619</v>
      </c>
      <c r="B1103" t="s">
        <v>5292</v>
      </c>
      <c r="C1103" t="s">
        <v>4076</v>
      </c>
      <c r="D1103" t="s">
        <v>13</v>
      </c>
      <c r="E1103" t="s">
        <v>75</v>
      </c>
      <c r="F1103" t="s">
        <v>10620</v>
      </c>
    </row>
    <row r="1104" spans="1:6">
      <c r="A1104" t="s">
        <v>10619</v>
      </c>
      <c r="B1104" t="s">
        <v>5293</v>
      </c>
      <c r="C1104" t="s">
        <v>4078</v>
      </c>
      <c r="D1104" t="s">
        <v>13</v>
      </c>
      <c r="E1104" t="s">
        <v>75</v>
      </c>
      <c r="F1104" t="s">
        <v>10620</v>
      </c>
    </row>
    <row r="1105" spans="1:6">
      <c r="A1105" t="s">
        <v>10619</v>
      </c>
      <c r="B1105" t="s">
        <v>5294</v>
      </c>
      <c r="C1105" t="s">
        <v>4080</v>
      </c>
      <c r="D1105" t="s">
        <v>13</v>
      </c>
      <c r="E1105" t="s">
        <v>75</v>
      </c>
      <c r="F1105" t="s">
        <v>10620</v>
      </c>
    </row>
    <row r="1106" spans="1:6">
      <c r="A1106" t="s">
        <v>10619</v>
      </c>
      <c r="B1106" t="s">
        <v>5295</v>
      </c>
      <c r="C1106" t="s">
        <v>4082</v>
      </c>
      <c r="D1106" t="s">
        <v>13</v>
      </c>
      <c r="E1106" t="s">
        <v>75</v>
      </c>
      <c r="F1106" t="s">
        <v>10620</v>
      </c>
    </row>
    <row r="1107" spans="1:6">
      <c r="A1107" t="s">
        <v>10619</v>
      </c>
      <c r="B1107" t="s">
        <v>5296</v>
      </c>
      <c r="C1107" t="s">
        <v>4084</v>
      </c>
      <c r="D1107" t="s">
        <v>13</v>
      </c>
      <c r="E1107" t="s">
        <v>75</v>
      </c>
      <c r="F1107" t="s">
        <v>10620</v>
      </c>
    </row>
    <row r="1108" spans="1:6">
      <c r="A1108" t="s">
        <v>10619</v>
      </c>
      <c r="B1108" t="s">
        <v>5297</v>
      </c>
      <c r="C1108" t="s">
        <v>4084</v>
      </c>
      <c r="D1108" t="s">
        <v>13</v>
      </c>
      <c r="E1108" t="s">
        <v>75</v>
      </c>
      <c r="F1108" t="s">
        <v>10620</v>
      </c>
    </row>
    <row r="1109" spans="1:6">
      <c r="A1109" t="s">
        <v>10619</v>
      </c>
      <c r="B1109" t="s">
        <v>5298</v>
      </c>
      <c r="C1109" t="s">
        <v>4087</v>
      </c>
      <c r="D1109" t="s">
        <v>13</v>
      </c>
      <c r="E1109" t="s">
        <v>75</v>
      </c>
      <c r="F1109" t="s">
        <v>10620</v>
      </c>
    </row>
    <row r="1110" spans="1:6">
      <c r="A1110" t="s">
        <v>10619</v>
      </c>
      <c r="B1110" t="s">
        <v>5299</v>
      </c>
      <c r="C1110" t="s">
        <v>4087</v>
      </c>
      <c r="D1110" t="s">
        <v>13</v>
      </c>
      <c r="E1110" t="s">
        <v>75</v>
      </c>
      <c r="F1110" t="s">
        <v>10620</v>
      </c>
    </row>
    <row r="1111" spans="1:6">
      <c r="A1111" t="s">
        <v>10619</v>
      </c>
      <c r="B1111" t="s">
        <v>5300</v>
      </c>
      <c r="C1111" t="s">
        <v>4090</v>
      </c>
      <c r="D1111" t="s">
        <v>13</v>
      </c>
      <c r="E1111" t="s">
        <v>75</v>
      </c>
      <c r="F1111" t="s">
        <v>10624</v>
      </c>
    </row>
    <row r="1112" spans="1:6">
      <c r="A1112" t="s">
        <v>10619</v>
      </c>
      <c r="B1112" t="s">
        <v>5301</v>
      </c>
      <c r="C1112" t="s">
        <v>4090</v>
      </c>
      <c r="D1112" t="s">
        <v>13</v>
      </c>
      <c r="E1112" t="s">
        <v>75</v>
      </c>
      <c r="F1112" t="s">
        <v>10624</v>
      </c>
    </row>
    <row r="1113" spans="1:6">
      <c r="A1113" t="s">
        <v>10619</v>
      </c>
      <c r="B1113" t="s">
        <v>5302</v>
      </c>
      <c r="C1113" t="s">
        <v>4093</v>
      </c>
      <c r="D1113" t="s">
        <v>13</v>
      </c>
      <c r="E1113" t="s">
        <v>75</v>
      </c>
      <c r="F1113" t="s">
        <v>10624</v>
      </c>
    </row>
    <row r="1114" spans="1:6">
      <c r="A1114" t="s">
        <v>10619</v>
      </c>
      <c r="B1114" t="s">
        <v>5303</v>
      </c>
      <c r="C1114" t="s">
        <v>4095</v>
      </c>
      <c r="D1114" t="s">
        <v>13</v>
      </c>
      <c r="E1114" t="s">
        <v>75</v>
      </c>
      <c r="F1114" t="s">
        <v>10624</v>
      </c>
    </row>
    <row r="1115" spans="1:6">
      <c r="A1115" t="s">
        <v>10619</v>
      </c>
      <c r="B1115" t="s">
        <v>5304</v>
      </c>
      <c r="C1115" t="s">
        <v>4097</v>
      </c>
      <c r="D1115" t="s">
        <v>13</v>
      </c>
      <c r="E1115" t="s">
        <v>75</v>
      </c>
      <c r="F1115" t="s">
        <v>10624</v>
      </c>
    </row>
    <row r="1116" spans="1:6">
      <c r="A1116" t="s">
        <v>10619</v>
      </c>
      <c r="B1116" t="s">
        <v>5305</v>
      </c>
      <c r="C1116" t="s">
        <v>4099</v>
      </c>
      <c r="D1116" t="s">
        <v>13</v>
      </c>
      <c r="E1116" t="s">
        <v>75</v>
      </c>
      <c r="F1116" t="s">
        <v>10624</v>
      </c>
    </row>
    <row r="1117" spans="1:6">
      <c r="A1117" t="s">
        <v>10619</v>
      </c>
      <c r="B1117" t="s">
        <v>5306</v>
      </c>
      <c r="C1117" t="s">
        <v>4101</v>
      </c>
      <c r="D1117" t="s">
        <v>13</v>
      </c>
      <c r="E1117" t="s">
        <v>75</v>
      </c>
      <c r="F1117" t="s">
        <v>10624</v>
      </c>
    </row>
    <row r="1118" spans="1:6">
      <c r="A1118" t="s">
        <v>10619</v>
      </c>
      <c r="B1118" t="s">
        <v>5307</v>
      </c>
      <c r="C1118" t="s">
        <v>4103</v>
      </c>
      <c r="D1118" t="s">
        <v>13</v>
      </c>
      <c r="E1118" t="s">
        <v>75</v>
      </c>
      <c r="F1118" t="s">
        <v>10624</v>
      </c>
    </row>
    <row r="1119" spans="1:6">
      <c r="A1119" t="s">
        <v>10619</v>
      </c>
      <c r="B1119" t="s">
        <v>5308</v>
      </c>
      <c r="C1119" t="s">
        <v>4105</v>
      </c>
      <c r="D1119" t="s">
        <v>13</v>
      </c>
      <c r="E1119" t="s">
        <v>75</v>
      </c>
      <c r="F1119" t="s">
        <v>10624</v>
      </c>
    </row>
    <row r="1120" spans="1:6">
      <c r="A1120" t="s">
        <v>10619</v>
      </c>
      <c r="B1120" t="s">
        <v>5309</v>
      </c>
      <c r="C1120" t="s">
        <v>4107</v>
      </c>
      <c r="D1120" t="s">
        <v>13</v>
      </c>
      <c r="E1120" t="s">
        <v>75</v>
      </c>
      <c r="F1120" t="s">
        <v>10624</v>
      </c>
    </row>
    <row r="1121" spans="1:6">
      <c r="A1121" t="s">
        <v>10619</v>
      </c>
      <c r="B1121" t="s">
        <v>5310</v>
      </c>
      <c r="C1121" t="s">
        <v>4109</v>
      </c>
      <c r="D1121" t="s">
        <v>13</v>
      </c>
      <c r="E1121" t="s">
        <v>75</v>
      </c>
      <c r="F1121" t="s">
        <v>10620</v>
      </c>
    </row>
    <row r="1122" spans="1:6">
      <c r="A1122" t="s">
        <v>10619</v>
      </c>
      <c r="B1122" t="s">
        <v>5311</v>
      </c>
      <c r="C1122" t="s">
        <v>4111</v>
      </c>
      <c r="D1122" t="s">
        <v>13</v>
      </c>
      <c r="E1122" t="s">
        <v>75</v>
      </c>
      <c r="F1122" t="s">
        <v>10620</v>
      </c>
    </row>
    <row r="1123" spans="1:6">
      <c r="A1123" t="s">
        <v>10619</v>
      </c>
      <c r="B1123" t="s">
        <v>5312</v>
      </c>
      <c r="C1123" t="s">
        <v>4113</v>
      </c>
      <c r="D1123" t="s">
        <v>13</v>
      </c>
      <c r="E1123" t="s">
        <v>75</v>
      </c>
      <c r="F1123" t="s">
        <v>10620</v>
      </c>
    </row>
    <row r="1124" spans="1:6">
      <c r="A1124" t="s">
        <v>10619</v>
      </c>
      <c r="B1124" t="s">
        <v>5313</v>
      </c>
      <c r="C1124" t="s">
        <v>4115</v>
      </c>
      <c r="D1124" t="s">
        <v>13</v>
      </c>
      <c r="E1124" t="s">
        <v>75</v>
      </c>
      <c r="F1124" t="s">
        <v>10620</v>
      </c>
    </row>
    <row r="1125" spans="1:6">
      <c r="A1125" t="s">
        <v>10619</v>
      </c>
      <c r="B1125" t="s">
        <v>5314</v>
      </c>
      <c r="C1125" t="s">
        <v>4117</v>
      </c>
      <c r="D1125" t="s">
        <v>13</v>
      </c>
      <c r="E1125" t="s">
        <v>75</v>
      </c>
      <c r="F1125" t="s">
        <v>10620</v>
      </c>
    </row>
    <row r="1126" spans="1:6">
      <c r="A1126" t="s">
        <v>10619</v>
      </c>
      <c r="B1126" t="s">
        <v>5315</v>
      </c>
      <c r="C1126" t="s">
        <v>4119</v>
      </c>
      <c r="D1126" t="s">
        <v>13</v>
      </c>
      <c r="E1126" t="s">
        <v>75</v>
      </c>
      <c r="F1126" t="s">
        <v>10620</v>
      </c>
    </row>
    <row r="1127" spans="1:6">
      <c r="A1127" t="s">
        <v>10619</v>
      </c>
      <c r="B1127" t="s">
        <v>5316</v>
      </c>
      <c r="C1127" t="s">
        <v>4121</v>
      </c>
      <c r="D1127" t="s">
        <v>13</v>
      </c>
      <c r="E1127" t="s">
        <v>75</v>
      </c>
      <c r="F1127" t="s">
        <v>10620</v>
      </c>
    </row>
    <row r="1128" spans="1:6">
      <c r="A1128" t="s">
        <v>10619</v>
      </c>
      <c r="B1128" t="s">
        <v>5317</v>
      </c>
      <c r="C1128" t="s">
        <v>4123</v>
      </c>
      <c r="D1128" t="s">
        <v>13</v>
      </c>
      <c r="E1128" t="s">
        <v>75</v>
      </c>
      <c r="F1128" t="s">
        <v>10620</v>
      </c>
    </row>
    <row r="1129" spans="1:6">
      <c r="A1129" t="s">
        <v>10619</v>
      </c>
      <c r="B1129" t="s">
        <v>5318</v>
      </c>
      <c r="C1129" t="s">
        <v>4125</v>
      </c>
      <c r="D1129" t="s">
        <v>13</v>
      </c>
      <c r="E1129" t="s">
        <v>75</v>
      </c>
      <c r="F1129" t="s">
        <v>10623</v>
      </c>
    </row>
    <row r="1130" spans="1:6">
      <c r="A1130" t="s">
        <v>10619</v>
      </c>
      <c r="B1130" t="s">
        <v>5319</v>
      </c>
      <c r="C1130" t="s">
        <v>4125</v>
      </c>
      <c r="D1130" t="s">
        <v>13</v>
      </c>
      <c r="E1130" t="s">
        <v>75</v>
      </c>
      <c r="F1130" t="s">
        <v>10623</v>
      </c>
    </row>
    <row r="1131" spans="1:6">
      <c r="A1131" t="s">
        <v>10619</v>
      </c>
      <c r="B1131" t="s">
        <v>5320</v>
      </c>
      <c r="C1131" t="s">
        <v>4128</v>
      </c>
      <c r="D1131" t="s">
        <v>13</v>
      </c>
      <c r="E1131" t="s">
        <v>75</v>
      </c>
      <c r="F1131" t="s">
        <v>10623</v>
      </c>
    </row>
    <row r="1132" spans="1:6">
      <c r="A1132" t="s">
        <v>10619</v>
      </c>
      <c r="B1132" t="s">
        <v>5321</v>
      </c>
      <c r="C1132" t="s">
        <v>4125</v>
      </c>
      <c r="D1132" t="s">
        <v>13</v>
      </c>
      <c r="E1132" t="s">
        <v>75</v>
      </c>
      <c r="F1132" t="s">
        <v>10623</v>
      </c>
    </row>
    <row r="1133" spans="1:6">
      <c r="A1133" t="s">
        <v>10619</v>
      </c>
      <c r="B1133" t="s">
        <v>5322</v>
      </c>
      <c r="C1133" t="s">
        <v>4131</v>
      </c>
      <c r="D1133" t="s">
        <v>13</v>
      </c>
      <c r="E1133" t="s">
        <v>75</v>
      </c>
      <c r="F1133" t="s">
        <v>10623</v>
      </c>
    </row>
    <row r="1134" spans="1:6">
      <c r="A1134" t="s">
        <v>10619</v>
      </c>
      <c r="B1134" t="s">
        <v>5323</v>
      </c>
      <c r="C1134" t="s">
        <v>4133</v>
      </c>
      <c r="D1134" t="s">
        <v>13</v>
      </c>
      <c r="E1134" t="s">
        <v>75</v>
      </c>
      <c r="F1134" t="s">
        <v>10623</v>
      </c>
    </row>
    <row r="1135" spans="1:6">
      <c r="A1135" t="s">
        <v>10619</v>
      </c>
      <c r="B1135" t="s">
        <v>5324</v>
      </c>
      <c r="C1135" t="s">
        <v>4135</v>
      </c>
      <c r="D1135" t="s">
        <v>13</v>
      </c>
      <c r="E1135" t="s">
        <v>75</v>
      </c>
      <c r="F1135" t="s">
        <v>10623</v>
      </c>
    </row>
    <row r="1136" spans="1:6">
      <c r="A1136" t="s">
        <v>10619</v>
      </c>
      <c r="B1136" t="s">
        <v>5325</v>
      </c>
      <c r="C1136" t="s">
        <v>4135</v>
      </c>
      <c r="D1136" t="s">
        <v>13</v>
      </c>
      <c r="E1136" t="s">
        <v>75</v>
      </c>
      <c r="F1136" t="s">
        <v>10623</v>
      </c>
    </row>
    <row r="1137" spans="1:6">
      <c r="A1137" t="s">
        <v>10619</v>
      </c>
      <c r="B1137" t="s">
        <v>5326</v>
      </c>
      <c r="C1137" t="s">
        <v>4138</v>
      </c>
      <c r="D1137" t="s">
        <v>13</v>
      </c>
      <c r="E1137" t="s">
        <v>75</v>
      </c>
      <c r="F1137" t="s">
        <v>10639</v>
      </c>
    </row>
    <row r="1138" spans="1:6">
      <c r="A1138" t="s">
        <v>10619</v>
      </c>
      <c r="B1138" t="s">
        <v>5327</v>
      </c>
      <c r="C1138" t="s">
        <v>4138</v>
      </c>
      <c r="D1138" t="s">
        <v>13</v>
      </c>
      <c r="E1138" t="s">
        <v>75</v>
      </c>
      <c r="F1138" t="s">
        <v>10639</v>
      </c>
    </row>
    <row r="1139" spans="1:6">
      <c r="A1139" t="s">
        <v>10619</v>
      </c>
      <c r="B1139" t="s">
        <v>5328</v>
      </c>
      <c r="C1139" t="s">
        <v>4141</v>
      </c>
      <c r="D1139" t="s">
        <v>13</v>
      </c>
      <c r="E1139" t="s">
        <v>75</v>
      </c>
      <c r="F1139" t="s">
        <v>10639</v>
      </c>
    </row>
    <row r="1140" spans="1:6">
      <c r="A1140" t="s">
        <v>10619</v>
      </c>
      <c r="B1140" t="s">
        <v>5329</v>
      </c>
      <c r="C1140" t="s">
        <v>4143</v>
      </c>
      <c r="D1140" t="s">
        <v>13</v>
      </c>
      <c r="E1140" t="s">
        <v>75</v>
      </c>
      <c r="F1140" t="s">
        <v>10639</v>
      </c>
    </row>
    <row r="1141" spans="1:6">
      <c r="A1141" t="s">
        <v>10619</v>
      </c>
      <c r="B1141" t="s">
        <v>5330</v>
      </c>
      <c r="C1141" t="s">
        <v>4141</v>
      </c>
      <c r="D1141" t="s">
        <v>13</v>
      </c>
      <c r="E1141" t="s">
        <v>75</v>
      </c>
      <c r="F1141" t="s">
        <v>10639</v>
      </c>
    </row>
    <row r="1142" spans="1:6">
      <c r="A1142" t="s">
        <v>10619</v>
      </c>
      <c r="B1142" t="s">
        <v>5331</v>
      </c>
      <c r="C1142" t="s">
        <v>4146</v>
      </c>
      <c r="D1142" t="s">
        <v>13</v>
      </c>
      <c r="E1142" t="s">
        <v>75</v>
      </c>
      <c r="F1142" t="s">
        <v>10639</v>
      </c>
    </row>
    <row r="1143" spans="1:6">
      <c r="A1143" t="s">
        <v>10619</v>
      </c>
      <c r="B1143" t="s">
        <v>5332</v>
      </c>
      <c r="C1143" t="s">
        <v>4148</v>
      </c>
      <c r="D1143" t="s">
        <v>13</v>
      </c>
      <c r="E1143" t="s">
        <v>75</v>
      </c>
      <c r="F1143" t="s">
        <v>10639</v>
      </c>
    </row>
    <row r="1144" spans="1:6">
      <c r="A1144" t="s">
        <v>10619</v>
      </c>
      <c r="B1144" t="s">
        <v>5333</v>
      </c>
      <c r="C1144" t="s">
        <v>4150</v>
      </c>
      <c r="D1144" t="s">
        <v>13</v>
      </c>
      <c r="E1144" t="s">
        <v>75</v>
      </c>
      <c r="F1144" t="s">
        <v>10639</v>
      </c>
    </row>
    <row r="1145" spans="1:6">
      <c r="A1145" t="s">
        <v>10619</v>
      </c>
      <c r="B1145" t="s">
        <v>5334</v>
      </c>
      <c r="C1145" t="s">
        <v>4152</v>
      </c>
      <c r="D1145" t="s">
        <v>13</v>
      </c>
      <c r="E1145" t="s">
        <v>75</v>
      </c>
      <c r="F1145" t="s">
        <v>10639</v>
      </c>
    </row>
    <row r="1146" spans="1:6">
      <c r="A1146" t="s">
        <v>10619</v>
      </c>
      <c r="B1146" t="s">
        <v>5335</v>
      </c>
      <c r="C1146" t="s">
        <v>4154</v>
      </c>
      <c r="D1146" t="s">
        <v>13</v>
      </c>
      <c r="E1146" t="s">
        <v>75</v>
      </c>
      <c r="F1146" t="s">
        <v>10639</v>
      </c>
    </row>
    <row r="1147" spans="1:6">
      <c r="A1147" t="s">
        <v>10619</v>
      </c>
      <c r="B1147" t="s">
        <v>5336</v>
      </c>
      <c r="C1147" t="s">
        <v>4146</v>
      </c>
      <c r="D1147" t="s">
        <v>13</v>
      </c>
      <c r="E1147" t="s">
        <v>75</v>
      </c>
      <c r="F1147" t="s">
        <v>10639</v>
      </c>
    </row>
    <row r="1148" spans="1:6">
      <c r="A1148" t="s">
        <v>10619</v>
      </c>
      <c r="B1148" t="s">
        <v>5337</v>
      </c>
      <c r="C1148" t="s">
        <v>4157</v>
      </c>
      <c r="D1148" t="s">
        <v>13</v>
      </c>
      <c r="E1148" t="s">
        <v>75</v>
      </c>
      <c r="F1148" t="s">
        <v>10639</v>
      </c>
    </row>
    <row r="1149" spans="1:6">
      <c r="A1149" t="s">
        <v>10619</v>
      </c>
      <c r="B1149" t="s">
        <v>5338</v>
      </c>
      <c r="C1149" t="s">
        <v>4159</v>
      </c>
      <c r="D1149" t="s">
        <v>13</v>
      </c>
      <c r="E1149" t="s">
        <v>75</v>
      </c>
      <c r="F1149" t="s">
        <v>10621</v>
      </c>
    </row>
    <row r="1150" spans="1:6">
      <c r="A1150" t="s">
        <v>10619</v>
      </c>
      <c r="B1150" t="s">
        <v>5339</v>
      </c>
      <c r="C1150" t="s">
        <v>4159</v>
      </c>
      <c r="D1150" t="s">
        <v>13</v>
      </c>
      <c r="E1150" t="s">
        <v>75</v>
      </c>
      <c r="F1150" t="s">
        <v>10621</v>
      </c>
    </row>
    <row r="1151" spans="1:6">
      <c r="A1151" t="s">
        <v>10619</v>
      </c>
      <c r="B1151" t="s">
        <v>5340</v>
      </c>
      <c r="C1151" t="s">
        <v>4162</v>
      </c>
      <c r="D1151" t="s">
        <v>13</v>
      </c>
      <c r="E1151" t="s">
        <v>75</v>
      </c>
      <c r="F1151" t="s">
        <v>10621</v>
      </c>
    </row>
    <row r="1152" spans="1:6">
      <c r="A1152" t="s">
        <v>10619</v>
      </c>
      <c r="B1152" t="s">
        <v>5341</v>
      </c>
      <c r="C1152" t="s">
        <v>4164</v>
      </c>
      <c r="D1152" t="s">
        <v>13</v>
      </c>
      <c r="E1152" t="s">
        <v>75</v>
      </c>
      <c r="F1152" t="s">
        <v>10621</v>
      </c>
    </row>
    <row r="1153" spans="1:6">
      <c r="A1153" t="s">
        <v>10619</v>
      </c>
      <c r="B1153" t="s">
        <v>5342</v>
      </c>
      <c r="C1153" t="s">
        <v>4166</v>
      </c>
      <c r="D1153" t="s">
        <v>13</v>
      </c>
      <c r="E1153" t="s">
        <v>75</v>
      </c>
      <c r="F1153" t="s">
        <v>10621</v>
      </c>
    </row>
    <row r="1154" spans="1:6">
      <c r="A1154" t="s">
        <v>10619</v>
      </c>
      <c r="B1154" t="s">
        <v>5343</v>
      </c>
      <c r="C1154" t="s">
        <v>4168</v>
      </c>
      <c r="D1154" t="s">
        <v>13</v>
      </c>
      <c r="E1154" t="s">
        <v>75</v>
      </c>
      <c r="F1154" t="s">
        <v>10621</v>
      </c>
    </row>
    <row r="1155" spans="1:6">
      <c r="A1155" t="s">
        <v>10619</v>
      </c>
      <c r="B1155" t="s">
        <v>5344</v>
      </c>
      <c r="C1155" t="s">
        <v>4170</v>
      </c>
      <c r="D1155" t="s">
        <v>13</v>
      </c>
      <c r="E1155" t="s">
        <v>75</v>
      </c>
      <c r="F1155" t="s">
        <v>10621</v>
      </c>
    </row>
    <row r="1156" spans="1:6">
      <c r="A1156" t="s">
        <v>10619</v>
      </c>
      <c r="B1156" t="s">
        <v>5345</v>
      </c>
      <c r="C1156" t="s">
        <v>4172</v>
      </c>
      <c r="D1156" t="s">
        <v>13</v>
      </c>
      <c r="E1156" t="s">
        <v>75</v>
      </c>
      <c r="F1156" t="s">
        <v>10621</v>
      </c>
    </row>
    <row r="1157" spans="1:6">
      <c r="A1157" t="s">
        <v>10619</v>
      </c>
      <c r="B1157" t="s">
        <v>5346</v>
      </c>
      <c r="C1157" t="s">
        <v>4174</v>
      </c>
      <c r="D1157" t="s">
        <v>13</v>
      </c>
      <c r="E1157" t="s">
        <v>75</v>
      </c>
      <c r="F1157" t="s">
        <v>10621</v>
      </c>
    </row>
    <row r="1158" spans="1:6">
      <c r="A1158" t="s">
        <v>10619</v>
      </c>
      <c r="B1158" t="s">
        <v>5347</v>
      </c>
      <c r="C1158" t="s">
        <v>4176</v>
      </c>
      <c r="D1158" t="s">
        <v>13</v>
      </c>
      <c r="E1158" t="s">
        <v>75</v>
      </c>
      <c r="F1158" t="s">
        <v>10621</v>
      </c>
    </row>
    <row r="1159" spans="1:6">
      <c r="A1159" t="s">
        <v>10619</v>
      </c>
      <c r="B1159" t="s">
        <v>5348</v>
      </c>
      <c r="C1159" t="s">
        <v>4178</v>
      </c>
      <c r="D1159" t="s">
        <v>13</v>
      </c>
      <c r="E1159" t="s">
        <v>75</v>
      </c>
      <c r="F1159" t="s">
        <v>10621</v>
      </c>
    </row>
    <row r="1160" spans="1:6">
      <c r="A1160" t="s">
        <v>10619</v>
      </c>
      <c r="B1160" t="s">
        <v>5349</v>
      </c>
      <c r="C1160" t="s">
        <v>4180</v>
      </c>
      <c r="D1160" t="s">
        <v>13</v>
      </c>
      <c r="E1160" t="s">
        <v>75</v>
      </c>
      <c r="F1160" t="s">
        <v>10621</v>
      </c>
    </row>
    <row r="1161" spans="1:6">
      <c r="A1161" t="s">
        <v>10619</v>
      </c>
      <c r="B1161" t="s">
        <v>5350</v>
      </c>
      <c r="C1161" t="s">
        <v>4182</v>
      </c>
      <c r="D1161" t="s">
        <v>13</v>
      </c>
      <c r="E1161" t="s">
        <v>75</v>
      </c>
      <c r="F1161" t="s">
        <v>10621</v>
      </c>
    </row>
    <row r="1162" spans="1:6">
      <c r="A1162" t="s">
        <v>10619</v>
      </c>
      <c r="B1162" t="s">
        <v>5351</v>
      </c>
      <c r="C1162" t="s">
        <v>4184</v>
      </c>
      <c r="D1162" t="s">
        <v>13</v>
      </c>
      <c r="E1162" t="s">
        <v>75</v>
      </c>
      <c r="F1162" t="s">
        <v>10621</v>
      </c>
    </row>
    <row r="1163" spans="1:6">
      <c r="A1163" t="s">
        <v>10619</v>
      </c>
      <c r="B1163" t="s">
        <v>5352</v>
      </c>
      <c r="C1163" t="s">
        <v>4186</v>
      </c>
      <c r="D1163" t="s">
        <v>13</v>
      </c>
      <c r="E1163" t="s">
        <v>75</v>
      </c>
      <c r="F1163" t="s">
        <v>10621</v>
      </c>
    </row>
    <row r="1164" spans="1:6">
      <c r="A1164" t="s">
        <v>10619</v>
      </c>
      <c r="B1164" t="s">
        <v>5353</v>
      </c>
      <c r="C1164" t="s">
        <v>4188</v>
      </c>
      <c r="D1164" t="s">
        <v>13</v>
      </c>
      <c r="E1164" t="s">
        <v>75</v>
      </c>
      <c r="F1164" t="s">
        <v>10621</v>
      </c>
    </row>
    <row r="1165" spans="1:6">
      <c r="A1165" t="s">
        <v>10619</v>
      </c>
      <c r="B1165" t="s">
        <v>5354</v>
      </c>
      <c r="C1165" t="s">
        <v>4186</v>
      </c>
      <c r="D1165" t="s">
        <v>13</v>
      </c>
      <c r="E1165" t="s">
        <v>75</v>
      </c>
      <c r="F1165" t="s">
        <v>10621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Hydro Methodology</vt:lpstr>
      <vt:lpstr>Hydro</vt:lpstr>
      <vt:lpstr>SupplyCurves_Low</vt:lpstr>
      <vt:lpstr>SupplyCurves_High</vt:lpstr>
      <vt:lpstr>LNG Terminals</vt:lpstr>
      <vt:lpstr>storage doc</vt:lpstr>
      <vt:lpstr>storage_ISO_steps</vt:lpstr>
      <vt:lpstr>spv</vt:lpstr>
      <vt:lpstr>won</vt:lpstr>
      <vt:lpstr>wof</vt:lpstr>
      <vt:lpstr>vre_commodities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Kanudia</cp:lastModifiedBy>
  <dcterms:created xsi:type="dcterms:W3CDTF">2026-01-10T18:55:58Z</dcterms:created>
  <dcterms:modified xsi:type="dcterms:W3CDTF">2026-09-07T11:50:46Z</dcterms:modified>
</cp:coreProperties>
</file>