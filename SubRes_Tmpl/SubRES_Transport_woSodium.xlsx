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710" tabRatio="864" firstSheet="7" activeTab="12"/>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R_strategies_n_GridBattery" sheetId="19" r:id="rId10"/>
    <sheet name="Critical_materials" sheetId="27" r:id="rId11"/>
    <sheet name="R_strategies_RecycledEV_batt" sheetId="23" r:id="rId12"/>
    <sheet name="EnergyUseFromEverBatt_Min_" sheetId="22" r:id="rId13"/>
    <sheet name="Recyc_energy_use_Anna__SAME" sheetId="24" r:id="rId14"/>
    <sheet name="Recyc_energy_use_Anna_15per_mor" sheetId="25" r:id="rId15"/>
    <sheet name="Recyc_energy_use_Anna_15less" sheetId="26" r:id="rId16"/>
    <sheet name="LIB mass distribution" sheetId="20" r:id="rId17"/>
    <sheet name="HGVs&lt;16t" sheetId="2" r:id="rId18"/>
    <sheet name="HGVs&gt;16t" sheetId="8" r:id="rId19"/>
    <sheet name="Aviation" sheetId="6" r:id="rId20"/>
    <sheet name="Rail" sheetId="12" r:id="rId21"/>
    <sheet name="Inland_navigation" sheetId="7" r:id="rId22"/>
    <sheet name="Maritime" sheetId="17" r:id="rId23"/>
    <sheet name="Infrastructure" sheetId="9" r:id="rId24"/>
  </sheets>
  <externalReferences>
    <externalReference r:id="rId28"/>
    <externalReference r:id="rId29"/>
    <externalReference r:id="rId30"/>
  </externalReferences>
  <definedNames>
    <definedName name="_xlnm._FilterDatabase" localSheetId="9" hidden="1">R_strategies_n_GridBattery!$AS$1:$AS$394</definedName>
    <definedName name="_xlnm._FilterDatabase" localSheetId="11" hidden="1">R_strategies_RecycledEV_batt!$AS$1:$AS$394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K76" authorId="0">
      <text>
        <r>
          <rPr>
            <b/>
            <sz val="9"/>
            <rFont val="Tahoma"/>
            <charset val="134"/>
          </rPr>
          <t>Author:</t>
        </r>
        <r>
          <rPr>
            <sz val="9"/>
            <rFont val="Tahoma"/>
            <charset val="134"/>
          </rPr>
          <t xml:space="preserve">
18-01-2023
different condition
</t>
        </r>
      </text>
    </comment>
  </commentList>
</comments>
</file>

<file path=xl/comments2.xml><?xml version="1.0" encoding="utf-8"?>
<comments xmlns="http://schemas.openxmlformats.org/spreadsheetml/2006/main">
  <authors>
    <author>xli9</author>
    <author>Xiao Li</author>
  </authors>
  <commentList>
    <comment ref="BT4" authorId="0">
      <text>
        <r>
          <rPr>
            <b/>
            <sz val="9"/>
            <rFont val="Times New Roman"/>
            <charset val="0"/>
          </rPr>
          <t>xli9:</t>
        </r>
        <r>
          <rPr>
            <sz val="9"/>
            <rFont val="Times New Roman"/>
            <charset val="0"/>
          </rPr>
          <t xml:space="preserve">
Xiao removed it from the parameters, because we revised from GWh to GW</t>
        </r>
      </text>
    </comment>
    <comment ref="Y5" authorId="0">
      <text>
        <r>
          <rPr>
            <b/>
            <sz val="9"/>
            <rFont val="Times New Roman"/>
            <charset val="0"/>
          </rPr>
          <t>xli9:</t>
        </r>
        <r>
          <rPr>
            <sz val="9"/>
            <rFont val="Times New Roman"/>
            <charset val="0"/>
          </rPr>
          <t xml:space="preserve">
Xiao revised it from GWh to GW, following standard use of literature</t>
        </r>
      </text>
    </comment>
    <comment ref="AW5" authorId="0">
      <text>
        <r>
          <rPr>
            <b/>
            <sz val="9"/>
            <rFont val="Times New Roman"/>
            <charset val="0"/>
          </rPr>
          <t>xli9:</t>
        </r>
        <r>
          <rPr>
            <sz val="9"/>
            <rFont val="Times New Roman"/>
            <charset val="0"/>
          </rPr>
          <t xml:space="preserve">
Original version: Amit note TRDELC, but that does not make sense for V2G, I believe it should be ELC</t>
        </r>
      </text>
    </comment>
    <comment ref="AZ9" authorId="0">
      <text>
        <r>
          <rPr>
            <b/>
            <sz val="9"/>
            <rFont val="Times New Roman"/>
            <charset val="0"/>
          </rPr>
          <t>xli9:</t>
        </r>
        <r>
          <rPr>
            <sz val="9"/>
            <rFont val="Times New Roman"/>
            <charset val="0"/>
          </rPr>
          <t xml:space="preserve">
The initial version</t>
        </r>
      </text>
    </commen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 ref="D263" authorId="0">
      <text>
        <r>
          <rPr>
            <b/>
            <sz val="9"/>
            <rFont val="Times New Roman"/>
            <charset val="0"/>
          </rPr>
          <t>xli9:</t>
        </r>
        <r>
          <rPr>
            <sz val="9"/>
            <rFont val="Times New Roman"/>
            <charset val="0"/>
          </rPr>
          <t xml:space="preserve">
All other values in this table were calculated by using same formula</t>
        </r>
      </text>
    </comment>
  </commentList>
</comments>
</file>

<file path=xl/comments3.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4.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5.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6.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7.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8.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<sst xmlns="http://schemas.openxmlformats.org/spreadsheetml/2006/main" count="6733" uniqueCount="730">
  <si>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</si>
  <si>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</si>
  <si>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</si>
  <si>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</si>
  <si>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</si>
  <si>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</si>
  <si>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</si>
  <si>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</si>
  <si>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</si>
  <si>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</si>
  <si>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</si>
  <si>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</si>
  <si>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</si>
  <si>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</si>
  <si>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</si>
  <si>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</si>
  <si>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</si>
  <si>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</si>
  <si>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</si>
  <si>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</si>
  <si>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</si>
  <si>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</si>
  <si>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</si>
  <si>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</si>
  <si>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</si>
  <si>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</si>
  <si>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</si>
  <si>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</si>
  <si>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</si>
  <si>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</si>
  <si>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</si>
  <si>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</si>
  <si>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</si>
  <si>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</si>
  <si>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</si>
  <si>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</si>
  <si>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</si>
  <si>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</si>
  <si>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</si>
  <si>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</si>
  <si>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</si>
  <si>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</si>
  <si>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</si>
  <si>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</si>
  <si>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</si>
  <si>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</si>
  <si>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</si>
  <si>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</si>
  <si>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</si>
  <si>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</si>
  <si>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</si>
  <si>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</si>
  <si>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</si>
  <si>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</si>
  <si>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</si>
  <si>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</si>
  <si>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</si>
  <si>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</si>
  <si>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</si>
  <si>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</si>
  <si>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</si>
  <si>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</si>
  <si>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</si>
  <si>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</si>
  <si>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</si>
  <si>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</si>
  <si>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</si>
  <si>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</si>
  <si>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</si>
  <si>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</si>
  <si>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</si>
  <si>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</si>
  <si>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</si>
  <si>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</si>
  <si>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</si>
  <si>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</si>
  <si>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</si>
  <si>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</si>
  <si>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</si>
  <si>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</si>
  <si>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</si>
  <si>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</si>
  <si>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</si>
  <si>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</si>
  <si>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</si>
  <si>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</si>
  <si>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</si>
  <si>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</si>
  <si>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</si>
  <si>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</si>
  <si>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</si>
  <si>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</si>
  <si>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</si>
  <si>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</si>
  <si>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</si>
  <si>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</si>
  <si>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</si>
  <si>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</si>
  <si>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</si>
  <si>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</si>
  <si>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</si>
  <si>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</si>
  <si>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</si>
  <si>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</si>
  <si>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</si>
  <si>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</si>
  <si>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</si>
  <si>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</si>
  <si>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</si>
  <si>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</si>
  <si>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</si>
  <si>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</si>
  <si>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</si>
  <si>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</si>
  <si>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</si>
  <si>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</si>
  <si>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</si>
  <si>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</si>
  <si>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</si>
  <si>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</si>
  <si>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</si>
  <si>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</si>
  <si>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</si>
  <si>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</si>
  <si>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</si>
  <si>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</si>
  <si>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</si>
  <si>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</si>
  <si>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</si>
  <si>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</si>
  <si>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</si>
  <si>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</si>
  <si>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</si>
  <si>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</si>
  <si>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</si>
  <si>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</si>
  <si>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</si>
  <si>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</si>
  <si>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</si>
  <si>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</si>
  <si>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</si>
  <si>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</si>
  <si>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</si>
  <si>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</si>
  <si>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</si>
  <si>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</si>
  <si>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</si>
  <si>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</si>
  <si>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</si>
  <si>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</si>
  <si>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</si>
  <si>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</si>
  <si>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</si>
  <si>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</si>
  <si>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</si>
  <si>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</si>
  <si>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</si>
  <si>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</si>
  <si>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</si>
  <si>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</si>
  <si>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</si>
  <si>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</si>
  <si>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</si>
  <si>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</si>
  <si>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</si>
  <si>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</si>
  <si>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</si>
  <si>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</si>
  <si>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</si>
  <si>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</si>
  <si>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</si>
  <si>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*Here, we removed all mr_.. Materials for repurposed grid storage, we use consistent m_... Same with EV batteries for them</t>
  </si>
  <si>
    <t>**Maybe you set CAP2ACT is 31.54 while the system only needs little v2g+you set the accuracy rate=0.1, so system neglite the capacity expansions;  so you can try to increase the accuracy rate ??</t>
  </si>
  <si>
    <t>~FI_COMM</t>
  </si>
  <si>
    <t>~FI_T: USD20</t>
  </si>
  <si>
    <t>Tslvl</t>
  </si>
  <si>
    <t>PrimaryCG</t>
  </si>
  <si>
    <t>Vintage</t>
  </si>
  <si>
    <t>csets</t>
  </si>
  <si>
    <t>commname</t>
  </si>
  <si>
    <t>commdesc</t>
  </si>
  <si>
    <t>ctslvl</t>
  </si>
  <si>
    <t>ctype</t>
  </si>
  <si>
    <t>limtype</t>
  </si>
  <si>
    <t>peakts</t>
  </si>
  <si>
    <t>region</t>
  </si>
  <si>
    <t>unit</t>
  </si>
  <si>
    <t>Battery Type</t>
  </si>
  <si>
    <t>Full Name</t>
  </si>
  <si>
    <t>Key Features</t>
  </si>
  <si>
    <t>Applications</t>
  </si>
  <si>
    <t>Comm-IN</t>
  </si>
  <si>
    <t>Comm-OUT-A</t>
  </si>
  <si>
    <t>INVCOST~2025</t>
  </si>
  <si>
    <t>START</t>
  </si>
  <si>
    <t>S_EFF</t>
  </si>
  <si>
    <t>LIFE</t>
  </si>
  <si>
    <t>CAP2ACT</t>
  </si>
  <si>
    <t>Peak</t>
  </si>
  <si>
    <t>INVCOST~2050</t>
  </si>
  <si>
    <t>VAROM~2030</t>
  </si>
  <si>
    <t>VAROM~2050</t>
  </si>
  <si>
    <t>INVCOST~0</t>
  </si>
  <si>
    <t>VAROM~0</t>
  </si>
  <si>
    <t>AFC</t>
  </si>
  <si>
    <t>AFC~DAYNITE~UP</t>
  </si>
  <si>
    <t>CommGrp</t>
  </si>
  <si>
    <t>ELE,STG</t>
  </si>
  <si>
    <t>Car battery - 6kw/60Kwh - with V2G (optional): revised by Xiao, this process is an additional bi-directional charger facility, with capacity unit as GW instead of GWh (standard use in the literature)</t>
  </si>
  <si>
    <t>PJ</t>
  </si>
  <si>
    <t>GW</t>
  </si>
  <si>
    <t>DAYNITE</t>
  </si>
  <si>
    <t>MAT</t>
  </si>
  <si>
    <t>m_lithium</t>
  </si>
  <si>
    <t>LO</t>
  </si>
  <si>
    <t>kt</t>
  </si>
  <si>
    <t>Tra_BEV_Batt_VtoG</t>
  </si>
  <si>
    <t>TRDELC</t>
  </si>
  <si>
    <t>ELC</t>
  </si>
  <si>
    <t>NRG</t>
  </si>
  <si>
    <t>process</t>
  </si>
  <si>
    <t>m_nickel</t>
  </si>
  <si>
    <t>m_cobalt</t>
  </si>
  <si>
    <t>m_manganese</t>
  </si>
  <si>
    <t>m_aluminum</t>
  </si>
  <si>
    <t>m_copper</t>
  </si>
  <si>
    <t>m_graphite</t>
  </si>
  <si>
    <t>GWh</t>
  </si>
  <si>
    <t>LFP</t>
  </si>
  <si>
    <t>Lithium Iron Phosphate</t>
  </si>
  <si>
    <t>High safety, long cycle life, lower energy density</t>
  </si>
  <si>
    <t>EVs, energy storage systems</t>
  </si>
  <si>
    <t>ACT</t>
  </si>
  <si>
    <t>Tra_EV_Batt-LFP_virgin_package</t>
  </si>
  <si>
    <t>Tra_EV_Batt-LFP_virgin</t>
  </si>
  <si>
    <t>LMO</t>
  </si>
  <si>
    <t>Lithium Manganese Oxide</t>
  </si>
  <si>
    <t>Good thermal stability, fast charging, moderate energy density</t>
  </si>
  <si>
    <t>Power tools, medical devices, hybrid EVs</t>
  </si>
  <si>
    <t>Tra_EV_Batt-LMO_virgin_package</t>
  </si>
  <si>
    <t>Tra_EV_Batt-LMO_virgin</t>
  </si>
  <si>
    <t>NCA</t>
  </si>
  <si>
    <t>Nickel Cobalt Aluminum Oxide</t>
  </si>
  <si>
    <t>High energy density, long cycle life, higher cost</t>
  </si>
  <si>
    <t>Premium EVs, energy storage</t>
  </si>
  <si>
    <t>Tra_EV_Batt-NCA_virgin_package</t>
  </si>
  <si>
    <t>Tra_EV_Batt-NCA_virgin</t>
  </si>
  <si>
    <t>NMC 111</t>
  </si>
  <si>
    <t>Nickel Manganese Cobalt (1:1:1)</t>
  </si>
  <si>
    <t>Balanced energy density, safety, and cost</t>
  </si>
  <si>
    <t>Consumer electronics, EVs</t>
  </si>
  <si>
    <t>deact FI_T: FX</t>
  </si>
  <si>
    <t>Tra_EV_Batt-NMC 111_virgin_package</t>
  </si>
  <si>
    <t>Tra_EV_Batt-NMC 111_virgin</t>
  </si>
  <si>
    <t>NMC 532</t>
  </si>
  <si>
    <t>Nickel Manganese Cobalt (5:3:2)</t>
  </si>
  <si>
    <t>Higher energy density, better thermal stability</t>
  </si>
  <si>
    <t>Modern EV batteries</t>
  </si>
  <si>
    <t>Attribute</t>
  </si>
  <si>
    <t>Tra_EV_Batt-NMC532_virgin_package</t>
  </si>
  <si>
    <t>Tra_EV_Batt-NMC532_virgin</t>
  </si>
  <si>
    <t>NMC 622</t>
  </si>
  <si>
    <t>Nickel Manganese Cobalt (6:2:2)</t>
  </si>
  <si>
    <t>Improved energy density, cost efficiency</t>
  </si>
  <si>
    <t>Long-range EVs</t>
  </si>
  <si>
    <t>TRAELC</t>
  </si>
  <si>
    <t>Tra_EV_Batt-NMC 622_virgin_package</t>
  </si>
  <si>
    <t>Tra_EV_Batt-NMC 622_virgin</t>
  </si>
  <si>
    <t>m_fromrecy_lithium</t>
  </si>
  <si>
    <t>NMC 811</t>
  </si>
  <si>
    <t>Nickel Manganese Cobalt (8:1:1)</t>
  </si>
  <si>
    <t>Highest energy density, reduced cobalt content, lower cost</t>
  </si>
  <si>
    <t>Tra_EV_Batt-NMC 811_virgin_package</t>
  </si>
  <si>
    <t>Tra_EV_Batt-NMC 811_virgin</t>
  </si>
  <si>
    <t>MIN</t>
  </si>
  <si>
    <t>MINBatMaterials_LI</t>
  </si>
  <si>
    <t>ktpa</t>
  </si>
  <si>
    <t>m_fromrecy_nickel</t>
  </si>
  <si>
    <t>MINBatMaterials_NI</t>
  </si>
  <si>
    <t>m_fromrecy_cobalt</t>
  </si>
  <si>
    <t>MINBatMaterials_COB</t>
  </si>
  <si>
    <t>m_fromrecy_manganese</t>
  </si>
  <si>
    <t>ktonne/GWh</t>
  </si>
  <si>
    <t>MINBatMaterials_MN</t>
  </si>
  <si>
    <t>m_fromrecy_aluminum</t>
  </si>
  <si>
    <t>MINBatMaterials_AL</t>
  </si>
  <si>
    <t>m_fromrecy_copper</t>
  </si>
  <si>
    <t>MINBatMaterials_COP</t>
  </si>
  <si>
    <t>m_fromrecy_graphite</t>
  </si>
  <si>
    <t>MINBatMaterials_GR</t>
  </si>
  <si>
    <t>rep_Batt-LFP</t>
  </si>
  <si>
    <t>Gwh</t>
  </si>
  <si>
    <t>~FI_T: NCAP_ICOM</t>
  </si>
  <si>
    <t>rep_Batt-LMO</t>
  </si>
  <si>
    <t>Cap2Act</t>
  </si>
  <si>
    <t>AFC~DAYNITE~UP~NRG</t>
  </si>
  <si>
    <t>AFC~DAYNITE~UP~ACT</t>
  </si>
  <si>
    <t>STG_MAXCYC</t>
  </si>
  <si>
    <t>rep_Batt-NCA</t>
  </si>
  <si>
    <t>Tra_EV_Batt-LFP_virgin_pack</t>
  </si>
  <si>
    <t>comm-out</t>
  </si>
  <si>
    <t>FLO_COST</t>
  </si>
  <si>
    <t>rep_Batt-NMC 111</t>
  </si>
  <si>
    <t>Tra_EV_Batt-LMO_virgin_pack</t>
  </si>
  <si>
    <t>UP</t>
  </si>
  <si>
    <t>rep_Batt-NMC532</t>
  </si>
  <si>
    <t>Tra_EV_Batt-NCA_virgin_pack</t>
  </si>
  <si>
    <t>rep_Batt-NMC 622</t>
  </si>
  <si>
    <t>Tra_EV_Batt-NMC 111_virgin_pack</t>
  </si>
  <si>
    <t>rep_Batt-NMC 811</t>
  </si>
  <si>
    <t>Tra_EV_Batt-NMC532_virgin_pack</t>
  </si>
  <si>
    <t>Tra_EV_Batt-NMC 622_virgin_pack</t>
  </si>
  <si>
    <t>Tra_EV_Batt-NMC 811_virgin_pack</t>
  </si>
  <si>
    <t>lithium</t>
  </si>
  <si>
    <t>mr_lithium</t>
  </si>
  <si>
    <t>nickel</t>
  </si>
  <si>
    <t>mr_nickel</t>
  </si>
  <si>
    <t>cobalt</t>
  </si>
  <si>
    <t>mr_cobalt</t>
  </si>
  <si>
    <t>Lithium</t>
  </si>
  <si>
    <t>Nickel</t>
  </si>
  <si>
    <t>Cobalt</t>
  </si>
  <si>
    <t>Manganes</t>
  </si>
  <si>
    <t>Alumium</t>
  </si>
  <si>
    <t>Copper</t>
  </si>
  <si>
    <t>Graphite</t>
  </si>
  <si>
    <t>manganese</t>
  </si>
  <si>
    <t>mr_manganese</t>
  </si>
  <si>
    <t>aluminum</t>
  </si>
  <si>
    <t>mr_aluminum</t>
  </si>
  <si>
    <t>PRE</t>
  </si>
  <si>
    <t>copper</t>
  </si>
  <si>
    <t>mr_copper</t>
  </si>
  <si>
    <t>NMC111</t>
  </si>
  <si>
    <t>NMC532</t>
  </si>
  <si>
    <t>NMC622</t>
  </si>
  <si>
    <t>NMC811</t>
  </si>
  <si>
    <t>TRA,PRE</t>
  </si>
  <si>
    <t>repp-LFP</t>
  </si>
  <si>
    <t>repp-LMO</t>
  </si>
  <si>
    <t>repp-NCA</t>
  </si>
  <si>
    <t>repp-NMC111</t>
  </si>
  <si>
    <t>repp-NMC532</t>
  </si>
  <si>
    <t>repp-NMC622</t>
  </si>
  <si>
    <t>repp-NMC811</t>
  </si>
  <si>
    <t>*PRC_REFIT</t>
  </si>
  <si>
    <t>*other_indexes</t>
  </si>
  <si>
    <t>Util_Rep_Batt-LFP</t>
  </si>
  <si>
    <t>Util_Rep_Batt-LMO</t>
  </si>
  <si>
    <t>Util_Rep_Batt-NCA</t>
  </si>
  <si>
    <t>Util_Rep_Batt-NMC 111</t>
  </si>
  <si>
    <t>Util_Rep_Batt-NMC532</t>
  </si>
  <si>
    <t>Util_Rep_Batt-NMC 622</t>
  </si>
  <si>
    <t>Util_Rep_Batt-NMC 811</t>
  </si>
  <si>
    <t>~FI_T: NCAP_OCOM</t>
  </si>
  <si>
    <t>recy-LFP</t>
  </si>
  <si>
    <t>recy-LMO</t>
  </si>
  <si>
    <t>recy-NCA</t>
  </si>
  <si>
    <t>recy-NMC111</t>
  </si>
  <si>
    <t>recy-NMC532</t>
  </si>
  <si>
    <t>recy-NMC622</t>
  </si>
  <si>
    <t>recy-NMC811</t>
  </si>
  <si>
    <t>~FI_T</t>
  </si>
  <si>
    <t>PyroRecy-LFP</t>
  </si>
  <si>
    <t>PyroRecy-LMO</t>
  </si>
  <si>
    <t>PyroRecy-NCA</t>
  </si>
  <si>
    <t>PyroRecy-NMC111</t>
  </si>
  <si>
    <t>PyroRecy-NMC532</t>
  </si>
  <si>
    <t>PyroRecy-NMC622</t>
  </si>
  <si>
    <t>PyroRecy-NMC811</t>
  </si>
  <si>
    <t>HydRecy-LFP</t>
  </si>
  <si>
    <t>HydRecy-LMO</t>
  </si>
  <si>
    <t>HydRecy-NCA</t>
  </si>
  <si>
    <t>HydRecy-NMC111</t>
  </si>
  <si>
    <t>HydRecy-NMC532</t>
  </si>
  <si>
    <t>HydRecy-NMC622</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</si>
  <si>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</si>
  <si>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</si>
  <si>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</si>
  <si>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</si>
  <si>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</si>
  <si>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</si>
  <si>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</si>
  <si>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</si>
  <si>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</si>
  <si>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</si>
  <si>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</si>
  <si>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</si>
  <si>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</si>
  <si>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</si>
  <si>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</si>
  <si>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</si>
  <si>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</si>
  <si>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</si>
  <si>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</si>
  <si>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</si>
  <si>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</si>
  <si>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</si>
  <si>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</si>
  <si>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LimType</t>
  </si>
  <si>
    <t>AllRegions</t>
  </si>
  <si>
    <t>China</t>
  </si>
  <si>
    <t>NorthAm</t>
  </si>
  <si>
    <t>Cathode type</t>
  </si>
  <si>
    <t>Capital investment ($/kg cell)</t>
  </si>
  <si>
    <t>Year</t>
  </si>
  <si>
    <t>Tra_EV_Batt-LFP</t>
  </si>
  <si>
    <t>*</t>
  </si>
  <si>
    <t>LCO</t>
  </si>
  <si>
    <t>Tra_EV_Batt-LMO</t>
  </si>
  <si>
    <t>FX</t>
  </si>
  <si>
    <t xml:space="preserve">LFP </t>
  </si>
  <si>
    <t>Tra_EV_Batt-NCA</t>
  </si>
  <si>
    <t xml:space="preserve">LMO </t>
  </si>
  <si>
    <t>Tra_EV_Batt-NMC 111</t>
  </si>
  <si>
    <t>Tra_EV_Batt-NMC532</t>
  </si>
  <si>
    <t>Tra_EV_Batt-NMC 622</t>
  </si>
  <si>
    <t>Tra_EV_Batt-NMC 811</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</si>
  <si>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</si>
  <si>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</si>
  <si>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</si>
  <si>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</si>
  <si>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</si>
  <si>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</si>
  <si>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</si>
  <si>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</si>
  <si>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</si>
  <si>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</si>
  <si>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</si>
  <si>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</si>
  <si>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</si>
  <si>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</si>
  <si>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</si>
  <si>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</si>
  <si>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</si>
  <si>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</si>
  <si>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Direct recycling</t>
  </si>
  <si>
    <t>NCAP_CLAG</t>
  </si>
  <si>
    <t>Tra_EV_Batt-LFP-toRecy</t>
  </si>
  <si>
    <t>Tra_EV_Batt-LMO-toRecy</t>
  </si>
  <si>
    <t>Tra_EV_Batt-NCA-toRecy</t>
  </si>
  <si>
    <t>Tra_EV_Batt-NMC 111-toRecy</t>
  </si>
  <si>
    <t>Tra_EV_Batt-NMC532-toRecy</t>
  </si>
  <si>
    <t>Tra_EV_Batt-NMC 622-toRecy</t>
  </si>
  <si>
    <t>Tra_EV_Batt-NMC 811-toRecy</t>
  </si>
  <si>
    <t>Tra_EV_Batt-LFP-toRepurpose</t>
  </si>
  <si>
    <t>Tra_EV_Batt-LMO-toRepurpose</t>
  </si>
  <si>
    <t>Tra_EV_Batt-NCA-toRepurpose</t>
  </si>
  <si>
    <t>Tra_EV_Batt-NMC 111-toRepurpose</t>
  </si>
  <si>
    <t>Tra_EV_Batt-NMC532-toRepurpose</t>
  </si>
  <si>
    <t>Tra_EV_Batt-NMC 622-toRepurpose</t>
  </si>
  <si>
    <t>Tra_EV_Batt-NMC 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</si>
  <si>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</si>
  <si>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</si>
  <si>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</si>
  <si>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</si>
  <si>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</si>
  <si>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</si>
  <si>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</si>
  <si>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</si>
  <si>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</si>
  <si>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</si>
  <si>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</si>
  <si>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</si>
  <si>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</si>
  <si>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</si>
  <si>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</si>
  <si>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</si>
  <si>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m_fromrecy_lithium, m_fromrecy_nickel, m_fromrecy_cobalt, m_fromrecy_manganese, m_fromrecy_aluminum, m_fromrecy_copper, m_fromrecy_graphite</t>
  </si>
  <si>
    <t>LFP </t>
  </si>
  <si>
    <t>LMO </t>
  </si>
  <si>
    <t>Recovery rate for Hydro recycling process</t>
  </si>
  <si>
    <t>mr_graphite</t>
  </si>
  <si>
    <t>NOT APPLIED</t>
  </si>
  <si>
    <t>NCAP_ICOM (ktonne/GWh) for new batteries: Tra_EV_Batt*</t>
  </si>
  <si>
    <t>NCAP_ICOM</t>
  </si>
  <si>
    <t>Recovery rate for Direct recycling process</t>
  </si>
  <si>
    <t>~FI_T:  NCAP_OCOM</t>
  </si>
  <si>
    <t>Dir_repp-LFP</t>
  </si>
  <si>
    <t>PyroRecy_Tra_EV_Batt-LFP</t>
  </si>
  <si>
    <t>Dir_repp-LMO</t>
  </si>
  <si>
    <t>PyroRecy_Tra_EV_Batt-LMO</t>
  </si>
  <si>
    <t>Dir_repp-NCA</t>
  </si>
  <si>
    <t>PyroRecy_Tra_EV_Batt-NCA</t>
  </si>
  <si>
    <t>Dir_repp-NMC111</t>
  </si>
  <si>
    <t>PyroRecy_Tra_EV_Batt-NMC 111</t>
  </si>
  <si>
    <t>Dir_repp-NMC532</t>
  </si>
  <si>
    <t>PyroRecy_Tra_EV_Batt-NMC532</t>
  </si>
  <si>
    <t>Dir_repp-NMC622</t>
  </si>
  <si>
    <t>PyroRecy_Tra_EV_Batt-NMC 622</t>
  </si>
  <si>
    <t>Dir_repp-NMC811</t>
  </si>
  <si>
    <t>PyroRecy_Tra_EV_Batt-NMC 811</t>
  </si>
  <si>
    <t>HydRecy_Tra_EV_Batt-LFP</t>
  </si>
  <si>
    <t>HydRecy_Tra_EV_Batt-LMO</t>
  </si>
  <si>
    <t>HydRecy_Tra_EV_Batt-NCA</t>
  </si>
  <si>
    <t>HydRecy_Tra_EV_Batt-NMC 111</t>
  </si>
  <si>
    <t>HydRecy_Tra_EV_Batt-NMC532</t>
  </si>
  <si>
    <t>HydRecy_Tra_EV_Batt-NMC 622</t>
  </si>
  <si>
    <t>HydRecy_Tra_EV_Batt-NMC 811</t>
  </si>
  <si>
    <t>DirRecy_Tra_EV_Batt-LFP</t>
  </si>
  <si>
    <t>DirRecy_Tra_EV_Batt-LMO</t>
  </si>
  <si>
    <t>DirRecy_Tra_EV_Batt-NCA</t>
  </si>
  <si>
    <t>DirRecy_Tra_EV_Batt-NMC 111</t>
  </si>
  <si>
    <t>DirRecy_Tra_EV_Batt-NMC532</t>
  </si>
  <si>
    <t>DirRecy_Tra_EV_Batt-NMC 622</t>
  </si>
  <si>
    <t>DirRecy_Tra_EV_Batt-NMC 811</t>
  </si>
  <si>
    <t>~FI_T: INPUT</t>
  </si>
  <si>
    <t>Tra_EV_Batt-LFP_fromrecy</t>
  </si>
  <si>
    <t>Tra_EV_Batt-LMO_fromrecy</t>
  </si>
  <si>
    <t>Tra_EV_Batt-NCA_fromrecy</t>
  </si>
  <si>
    <t>Tra_EV_Batt-NMC 111_fromrecy</t>
  </si>
  <si>
    <t>Tra_EV_Batt-NMC532_fromrecy</t>
  </si>
  <si>
    <t>Tra_EV_Batt-NMC 622_fromrecy</t>
  </si>
  <si>
    <t>Tra_EV_Batt-NMC 811_fromrecy</t>
  </si>
  <si>
    <t>**Repurposing energy use mainly from electricity, which is negligible compared to mining or recycling</t>
  </si>
  <si>
    <t>Type</t>
  </si>
  <si>
    <t>TRACOA</t>
  </si>
  <si>
    <t>TRANGA</t>
  </si>
  <si>
    <t>TRADST</t>
  </si>
  <si>
    <t>Original data_provided by Anna</t>
  </si>
  <si>
    <t>Li</t>
  </si>
  <si>
    <t>[We use that for pure lithium from hydroxide]</t>
  </si>
  <si>
    <t>NI</t>
  </si>
  <si>
    <t>Location</t>
  </si>
  <si>
    <t xml:space="preserve">Energy use (PJ/GWh battery produced) </t>
  </si>
  <si>
    <r>
      <rPr>
        <sz val="12"/>
        <color rgb="FF000000"/>
        <rFont val="Aptos Narrow"/>
        <charset val="0"/>
      </rPr>
      <t>Chemistry</t>
    </r>
    <r>
      <rPr>
        <sz val="12"/>
        <color rgb="FF000000"/>
        <rFont val="Aptos Narrow"/>
        <charset val="0"/>
      </rPr>
      <t xml:space="preserve"> </t>
    </r>
  </si>
  <si>
    <t xml:space="preserve">Energy use (MJ/kWh battery produced) </t>
  </si>
  <si>
    <r>
      <rPr>
        <sz val="12"/>
        <color rgb="FF000000"/>
        <rFont val="Aptos Narrow"/>
        <charset val="0"/>
      </rPr>
      <t>LCO</t>
    </r>
    <r>
      <rPr>
        <sz val="12"/>
        <color rgb="FF000000"/>
        <rFont val="Aptos Narrow"/>
        <charset val="0"/>
      </rPr>
      <t xml:space="preserve"> </t>
    </r>
  </si>
  <si>
    <r>
      <rPr>
        <sz val="12"/>
        <color rgb="FF000000"/>
        <rFont val="Aptos Narrow"/>
        <charset val="0"/>
      </rPr>
      <t>LMO</t>
    </r>
    <r>
      <rPr>
        <sz val="12"/>
        <color rgb="FF000000"/>
        <rFont val="Aptos Narrow"/>
        <charset val="0"/>
      </rPr>
      <t xml:space="preserve"> </t>
    </r>
  </si>
  <si>
    <r>
      <rPr>
        <sz val="12"/>
        <color rgb="FF000000"/>
        <rFont val="Aptos Narrow"/>
        <charset val="0"/>
      </rPr>
      <t>LFP</t>
    </r>
    <r>
      <rPr>
        <sz val="12"/>
        <color rgb="FF000000"/>
        <rFont val="Aptos Narrow"/>
        <charset val="0"/>
      </rPr>
      <t xml:space="preserve"> </t>
    </r>
  </si>
  <si>
    <t>US</t>
  </si>
  <si>
    <r>
      <rPr>
        <sz val="12"/>
        <color rgb="FF000000"/>
        <rFont val="Aptos Narrow"/>
        <charset val="0"/>
      </rPr>
      <t xml:space="preserve">     </t>
    </r>
    <r>
      <rPr>
        <sz val="12"/>
        <color rgb="FF000000"/>
        <rFont val="Aptos Narrow"/>
        <charset val="0"/>
      </rPr>
      <t>Total Energy</t>
    </r>
  </si>
  <si>
    <t>COAHCO</t>
  </si>
  <si>
    <r>
      <rPr>
        <sz val="12"/>
        <color rgb="FF000000"/>
        <rFont val="Aptos Narrow"/>
        <charset val="0"/>
      </rPr>
      <t xml:space="preserve">     </t>
    </r>
    <r>
      <rPr>
        <sz val="12"/>
        <color rgb="FF000000"/>
        <rFont val="Aptos Narrow"/>
        <charset val="0"/>
      </rPr>
      <t>Fossil fuels</t>
    </r>
  </si>
  <si>
    <t>GASNGA</t>
  </si>
  <si>
    <r>
      <rPr>
        <sz val="12"/>
        <color rgb="FF000000"/>
        <rFont val="Aptos Narrow"/>
        <charset val="0"/>
      </rPr>
      <t xml:space="preserve">     </t>
    </r>
    <r>
      <rPr>
        <sz val="12"/>
        <color rgb="FF000000"/>
        <rFont val="Aptos Narrow"/>
        <charset val="0"/>
      </rPr>
      <t>Coal</t>
    </r>
  </si>
  <si>
    <t>OILDST</t>
  </si>
  <si>
    <r>
      <rPr>
        <sz val="12"/>
        <color rgb="FF000000"/>
        <rFont val="Aptos Narrow"/>
        <charset val="0"/>
      </rPr>
      <t xml:space="preserve">     </t>
    </r>
    <r>
      <rPr>
        <sz val="12"/>
        <color rgb="FF000000"/>
        <rFont val="Aptos Narrow"/>
        <charset val="0"/>
      </rPr>
      <t>Natural gas</t>
    </r>
  </si>
  <si>
    <r>
      <rPr>
        <sz val="12"/>
        <color rgb="FF000000"/>
        <rFont val="Aptos Narrow"/>
        <charset val="0"/>
      </rPr>
      <t xml:space="preserve">     </t>
    </r>
    <r>
      <rPr>
        <sz val="12"/>
        <color rgb="FF000000"/>
        <rFont val="Aptos Narrow"/>
        <charset val="0"/>
      </rPr>
      <t>Petroleum</t>
    </r>
  </si>
  <si>
    <t>COB</t>
  </si>
  <si>
    <t>MN</t>
  </si>
  <si>
    <r>
      <rPr>
        <sz val="12"/>
        <color rgb="FF000000"/>
        <rFont val="Aptos Narrow"/>
        <charset val="0"/>
      </rPr>
      <t>** Assumed to be cell manufacturing</t>
    </r>
    <r>
      <rPr>
        <sz val="12"/>
        <color rgb="FF000000"/>
        <rFont val="Aptos Narrow"/>
        <charset val="0"/>
      </rPr>
      <t xml:space="preserve"> </t>
    </r>
  </si>
  <si>
    <t>AL</t>
  </si>
  <si>
    <t>COP</t>
  </si>
  <si>
    <t>Region</t>
  </si>
  <si>
    <t xml:space="preserve">Chemistry </t>
  </si>
  <si>
    <t xml:space="preserve">LCO </t>
  </si>
  <si>
    <t xml:space="preserve">     Electricity</t>
  </si>
  <si>
    <t xml:space="preserve">     Coal</t>
  </si>
  <si>
    <t xml:space="preserve">     Natural gas</t>
  </si>
  <si>
    <t xml:space="preserve">     Petroleum</t>
  </si>
  <si>
    <t>GR</t>
  </si>
  <si>
    <t>Other regions</t>
  </si>
  <si>
    <t>Other countries</t>
  </si>
  <si>
    <t>Original input, seems wrong</t>
  </si>
  <si>
    <r>
      <rPr>
        <sz val="12"/>
        <color rgb="FF000000"/>
        <rFont val="Aptos Narrow"/>
        <charset val="0"/>
      </rPr>
      <t>Pyrometallurgical</t>
    </r>
    <r>
      <rPr>
        <sz val="12"/>
        <color rgb="FF000000"/>
        <rFont val="Aptos Narrow"/>
        <charset val="0"/>
      </rPr>
      <t xml:space="preserve"> </t>
    </r>
  </si>
  <si>
    <t>if energy use for LFP and LMO=1.0*that for NMC611</t>
  </si>
  <si>
    <r>
      <rPr>
        <sz val="12"/>
        <color rgb="FF000000"/>
        <rFont val="Aptos Narrow"/>
        <charset val="0"/>
      </rPr>
      <t xml:space="preserve">Fill the data gap of EverBatt, </t>
    </r>
    <r>
      <rPr>
        <sz val="12"/>
        <color rgb="FF000000"/>
        <rFont val="Aptos Narrow"/>
        <charset val="0"/>
      </rPr>
      <t xml:space="preserve">
</t>
    </r>
    <r>
      <rPr>
        <sz val="12"/>
        <color rgb="FF000000"/>
        <rFont val="Aptos Narrow"/>
        <charset val="0"/>
      </rPr>
      <t>by using a sensitivity analysis</t>
    </r>
  </si>
  <si>
    <t>if energy use for LFP and LMO=1.15*that for NMC611</t>
  </si>
  <si>
    <t>if energy use for LFP and LMO=0.85*that for NMC611</t>
  </si>
  <si>
    <t>INPUT</t>
  </si>
  <si>
    <r>
      <rPr>
        <sz val="12"/>
        <color rgb="FF000000"/>
        <rFont val="Aptos Narrow"/>
        <charset val="0"/>
      </rPr>
      <t>Energy use (PJ/GWh battery produced)</t>
    </r>
    <r>
      <rPr>
        <sz val="12"/>
        <color rgb="FF000000"/>
        <rFont val="Aptos Narrow"/>
        <charset val="0"/>
      </rPr>
      <t xml:space="preserve"> </t>
    </r>
  </si>
  <si>
    <t>PJ/ktonne</t>
  </si>
  <si>
    <r>
      <rPr>
        <sz val="12"/>
        <color rgb="FF000000"/>
        <rFont val="Aptos Narrow"/>
        <charset val="0"/>
      </rPr>
      <t>Hydrometallurgical</t>
    </r>
    <r>
      <rPr>
        <sz val="12"/>
        <color rgb="FF000000"/>
        <rFont val="Aptos Narrow"/>
        <charset val="0"/>
      </rPr>
      <t xml:space="preserve"> </t>
    </r>
  </si>
  <si>
    <r>
      <rPr>
        <sz val="12"/>
        <color rgb="FF000000"/>
        <rFont val="Aptos Narrow"/>
        <charset val="0"/>
      </rPr>
      <t>Energy use (MJ/kWh battery produced)</t>
    </r>
    <r>
      <rPr>
        <sz val="12"/>
        <color rgb="FF000000"/>
        <rFont val="Aptos Narrow"/>
        <charset val="0"/>
      </rPr>
      <t xml:space="preserve"> </t>
    </r>
  </si>
  <si>
    <r>
      <rPr>
        <sz val="12"/>
        <color rgb="FF000000"/>
        <rFont val="Aptos Narrow"/>
        <charset val="0"/>
      </rPr>
      <t>Direct</t>
    </r>
    <r>
      <rPr>
        <sz val="12"/>
        <color rgb="FF000000"/>
        <rFont val="Aptos Narrow"/>
        <charset val="0"/>
      </rPr>
      <t xml:space="preserve"> </t>
    </r>
  </si>
  <si>
    <r>
      <rPr>
        <sz val="12"/>
        <color rgb="FF000000"/>
        <rFont val="Aptos Narrow"/>
        <charset val="0"/>
      </rPr>
      <t>*** LMO and LFP cathode production from recycled materials is not included in EverBatt</t>
    </r>
    <r>
      <rPr>
        <sz val="12"/>
        <color rgb="FF000000"/>
        <rFont val="Aptos Narrow"/>
        <charset val="0"/>
      </rPr>
      <t xml:space="preserve"> </t>
    </r>
  </si>
  <si>
    <r>
      <rPr>
        <sz val="12"/>
        <color rgb="FF000000"/>
        <rFont val="Aptos Narrow"/>
        <charset val="0"/>
      </rPr>
      <t>**** All recycled chemistries are assumed to be priducing the same cathode chemistry for manufacture with recyclked materials</t>
    </r>
    <r>
      <rPr>
        <sz val="12"/>
        <color rgb="FF000000"/>
        <rFont val="Aptos Narrow"/>
        <charset val="0"/>
      </rPr>
      <t xml:space="preserve"> </t>
    </r>
  </si>
  <si>
    <t>CN</t>
  </si>
  <si>
    <t>Avg</t>
  </si>
  <si>
    <t>Table 1. Lithium-Ion Battery Pack Composition by Weight (kg/kWh)</t>
  </si>
  <si>
    <t xml:space="preserve">Data source: </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</si>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</sst>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000"/>
    <numFmt numFmtId="188" formatCode="mmmm\ yyyy"/>
  </numFmts>
  <fonts count="89">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i/>
      <sz val="12"/>
      <color theme="1"/>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sz val="12"/>
      <color rgb="FF000000"/>
      <name val="Aptos Narrow"/>
      <charset val="0"/>
    </font>
    <font>
      <i/>
      <u/>
      <sz val="10"/>
      <name val="Arial"/>
      <charset val="134"/>
    </font>
    <font>
      <b/>
      <i/>
      <u/>
      <sz val="24"/>
      <color rgb="FF000000"/>
      <name val="Aptos Narrow"/>
      <charset val="0"/>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sz val="10.2"/>
      <color rgb="FF212529"/>
      <name val="Segoe UI"/>
      <charset val="134"/>
    </font>
    <font>
      <i/>
      <sz val="11"/>
      <color theme="1"/>
      <name val="Calibri"/>
      <charset val="134"/>
      <scheme val="minor"/>
    </font>
    <font>
      <sz val="11"/>
      <color indexed="8"/>
      <name val="Calibri"/>
      <charset val="134"/>
    </font>
    <font>
      <sz val="10"/>
      <name val="Arial"/>
      <charset val="134"/>
    </font>
    <font>
      <sz val="12"/>
      <color rgb="FF000000"/>
      <name val="Aptos Narrow"/>
      <charset val="134"/>
    </font>
    <font>
      <sz val="12"/>
      <color rgb="FF000000"/>
      <name val="Times New Roman"/>
      <charset val="0"/>
    </font>
    <font>
      <sz val="11"/>
      <color rgb="FF3F3F76"/>
      <name val="Calibri"/>
      <charset val="134"/>
      <scheme val="minor"/>
    </font>
    <font>
      <b/>
      <i/>
      <sz val="11"/>
      <color theme="1"/>
      <name val="游ゴシック"/>
      <charset val="134"/>
    </font>
    <font>
      <sz val="10"/>
      <color rgb="FFFF0000"/>
      <name val="Arial"/>
      <charset val="134"/>
    </font>
    <font>
      <sz val="10"/>
      <color theme="1"/>
      <name val="Arial"/>
      <charset val="134"/>
    </font>
    <font>
      <b/>
      <sz val="10"/>
      <name val="Arial"/>
      <charset val="134"/>
    </font>
    <font>
      <sz val="16"/>
      <color theme="1"/>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sz val="22"/>
      <color theme="5"/>
      <name val="Arial"/>
      <charset val="134"/>
    </font>
    <font>
      <b/>
      <i/>
      <u/>
      <sz val="16"/>
      <name val="Calibri"/>
      <charset val="134"/>
      <scheme val="minor"/>
    </font>
    <font>
      <b/>
      <sz val="18"/>
      <color theme="5"/>
      <name val="Arial"/>
      <charset val="134"/>
    </font>
    <font>
      <sz val="16"/>
      <color theme="5"/>
      <name val="Arial"/>
      <charset val="134"/>
    </font>
    <font>
      <b/>
      <sz val="18"/>
      <name val="Arial"/>
      <charset val="134"/>
    </font>
    <font>
      <b/>
      <i/>
      <sz val="10"/>
      <color theme="1"/>
      <name val="Arial"/>
      <charset val="134"/>
    </font>
    <font>
      <b/>
      <i/>
      <sz val="10"/>
      <name val="Calibri"/>
      <charset val="134"/>
      <scheme val="minor"/>
    </font>
    <font>
      <b/>
      <i/>
      <sz val="10"/>
      <color rgb="FF000000"/>
      <name val="Calibri"/>
      <charset val="134"/>
      <scheme val="minor"/>
    </font>
    <font>
      <b/>
      <sz val="16"/>
      <name val="Arial"/>
      <charset val="134"/>
    </font>
    <font>
      <sz val="10"/>
      <color theme="1"/>
      <name val="Calibri"/>
      <charset val="134"/>
      <scheme val="minor"/>
    </font>
    <font>
      <b/>
      <sz val="10"/>
      <color theme="1"/>
      <name val="Calibri"/>
      <charset val="134"/>
      <scheme val="minor"/>
    </font>
    <font>
      <sz val="8"/>
      <color rgb="FF000000"/>
      <name val="Segoe UI"/>
      <charset val="134"/>
    </font>
    <font>
      <sz val="8"/>
      <color rgb="FF3974D2"/>
      <name val="Segoe UI"/>
      <charset val="134"/>
    </font>
    <font>
      <sz val="11"/>
      <color rgb="FF006100"/>
      <name val="Calibri"/>
      <charset val="134"/>
      <scheme val="minor"/>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sz val="9"/>
      <name val="Tahoma"/>
      <charset val="134"/>
    </font>
    <font>
      <b/>
      <sz val="9"/>
      <name val="Tahoma"/>
      <charset val="134"/>
    </font>
    <font>
      <b/>
      <sz val="9"/>
      <name val="Times New Roman"/>
      <charset val="134"/>
    </font>
    <font>
      <sz val="9"/>
      <name val="Times New Roman"/>
      <charset val="0"/>
    </font>
    <font>
      <b/>
      <sz val="9"/>
      <name val="Times New Roman"/>
      <charset val="0"/>
    </font>
    <font>
      <sz val="9"/>
      <name val="Times New Roman"/>
      <charset val="134"/>
    </font>
    <font>
      <b/>
      <sz val="9"/>
      <name val="Tahoma"/>
      <charset val="1"/>
    </font>
    <font>
      <sz val="9"/>
      <name val="Tahoma"/>
      <charset val="1"/>
    </font>
  </fonts>
  <fills count="71">
    <fill>
      <patternFill patternType="none"/>
    </fill>
    <fill>
      <patternFill patternType="gray125"/>
    </fill>
    <fill>
      <patternFill patternType="solid">
        <fgColor theme="0" tint="-0.14981536301767"/>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98577837458"/>
        <bgColor indexed="64"/>
      </patternFill>
    </fill>
    <fill>
      <patternFill patternType="solid">
        <fgColor theme="0" tint="-0.249977111117893"/>
        <bgColor indexed="64"/>
      </patternFill>
    </fill>
    <fill>
      <patternFill patternType="solid">
        <fgColor theme="9" tint="0.799798577837458"/>
        <bgColor indexed="64"/>
      </patternFill>
    </fill>
    <fill>
      <patternFill patternType="solid">
        <fgColor rgb="FFFFCC99"/>
        <bgColor indexed="64"/>
      </patternFill>
    </fill>
    <fill>
      <patternFill patternType="solid">
        <fgColor rgb="FFFFFFFF"/>
        <bgColor indexed="64"/>
      </patternFill>
    </fill>
    <fill>
      <patternFill patternType="solid">
        <fgColor rgb="FFD9D9D9"/>
        <bgColor rgb="FF000000"/>
      </patternFill>
    </fill>
    <fill>
      <patternFill patternType="solid">
        <fgColor rgb="FFDAE9F8"/>
        <bgColor rgb="FF000000"/>
      </patternFill>
    </fill>
    <fill>
      <patternFill patternType="solid">
        <fgColor rgb="FFA6A6A6"/>
        <bgColor rgb="FF000000"/>
      </patternFill>
    </fill>
    <fill>
      <patternFill patternType="solid">
        <fgColor rgb="FFFFFFFF"/>
        <bgColor rgb="FF000000"/>
      </patternFill>
    </fill>
    <fill>
      <patternFill patternType="solid">
        <fgColor rgb="FFFBE2D5"/>
        <bgColor rgb="FF000000"/>
      </patternFill>
    </fill>
    <fill>
      <patternFill patternType="solid">
        <fgColor theme="9" tint="0.8"/>
        <bgColor indexed="64"/>
      </patternFill>
    </fill>
    <fill>
      <patternFill patternType="solid">
        <fgColor theme="8" tint="0.8"/>
        <bgColor indexed="64"/>
      </patternFill>
    </fill>
    <fill>
      <patternFill patternType="solid">
        <fgColor theme="4" tint="0.8"/>
        <bgColor rgb="FF000000"/>
      </patternFill>
    </fill>
    <fill>
      <patternFill patternType="solid">
        <fgColor theme="0" tint="-0.25"/>
        <bgColor indexed="64"/>
      </patternFill>
    </fill>
    <fill>
      <patternFill patternType="solid">
        <fgColor theme="0"/>
        <bgColor indexed="64"/>
      </patternFill>
    </fill>
    <fill>
      <patternFill patternType="solid">
        <fgColor theme="0" tint="-0.15"/>
        <bgColor indexed="64"/>
      </patternFill>
    </fill>
    <fill>
      <patternFill patternType="solid">
        <fgColor theme="4"/>
        <bgColor indexed="64"/>
      </patternFill>
    </fill>
    <fill>
      <patternFill patternType="solid">
        <fgColor theme="4" tint="0.8"/>
        <bgColor indexed="64"/>
      </patternFill>
    </fill>
    <fill>
      <patternFill patternType="solid">
        <fgColor theme="3" tint="0.8"/>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theme="0" tint="-0.149876400036622"/>
        <bgColor indexed="64"/>
      </patternFill>
    </fill>
    <fill>
      <patternFill patternType="solid">
        <fgColor rgb="FFFF0000"/>
        <bgColor indexed="64"/>
      </patternFill>
    </fill>
    <fill>
      <patternFill patternType="solid">
        <fgColor theme="3" tint="0.79985961485641"/>
        <bgColor indexed="64"/>
      </patternFill>
    </fill>
    <fill>
      <patternFill patternType="solid">
        <fgColor theme="1" tint="0.499984740745262"/>
        <bgColor indexed="64"/>
      </patternFill>
    </fill>
    <fill>
      <patternFill patternType="solid">
        <fgColor rgb="FFFFFF00"/>
        <bgColor indexed="64"/>
      </patternFill>
    </fill>
    <fill>
      <patternFill patternType="solid">
        <fgColor theme="3" tint="0.599993896298105"/>
        <bgColor indexed="64"/>
      </patternFill>
    </fill>
    <fill>
      <patternFill patternType="solid">
        <fgColor theme="1" tint="0.5"/>
        <bgColor indexed="64"/>
      </patternFill>
    </fill>
    <fill>
      <patternFill patternType="solid">
        <fgColor rgb="FF92D050"/>
        <bgColor indexed="64"/>
      </patternFill>
    </fill>
    <fill>
      <patternFill patternType="solid">
        <fgColor rgb="FFC6EFCE"/>
        <bgColor indexed="64"/>
      </patternFill>
    </fill>
    <fill>
      <patternFill patternType="solid">
        <fgColor rgb="FFC5D9F1"/>
        <bgColor indexed="64"/>
      </patternFill>
    </fill>
    <fill>
      <patternFill patternType="solid">
        <fgColor rgb="FFFFC00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medium">
        <color theme="4" tint="0.3997924741355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0">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45" borderId="24"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25" applyNumberFormat="0" applyFill="0" applyAlignment="0" applyProtection="0">
      <alignment vertical="center"/>
    </xf>
    <xf numFmtId="0" fontId="67" fillId="0" borderId="25" applyNumberFormat="0" applyFill="0" applyAlignment="0" applyProtection="0">
      <alignment vertical="center"/>
    </xf>
    <xf numFmtId="0" fontId="57" fillId="0" borderId="23" applyNumberFormat="0" applyFill="0" applyAlignment="0" applyProtection="0"/>
    <xf numFmtId="0" fontId="57" fillId="0" borderId="0" applyNumberFormat="0" applyFill="0" applyBorder="0" applyAlignment="0" applyProtection="0"/>
    <xf numFmtId="0" fontId="29" fillId="16" borderId="9" applyNumberFormat="0" applyAlignment="0" applyProtection="0"/>
    <xf numFmtId="0" fontId="68" fillId="46" borderId="26" applyNumberFormat="0" applyAlignment="0" applyProtection="0">
      <alignment vertical="center"/>
    </xf>
    <xf numFmtId="0" fontId="69" fillId="46" borderId="9" applyNumberFormat="0" applyAlignment="0" applyProtection="0">
      <alignment vertical="center"/>
    </xf>
    <xf numFmtId="0" fontId="70" fillId="47" borderId="27" applyNumberFormat="0" applyAlignment="0" applyProtection="0">
      <alignment vertical="center"/>
    </xf>
    <xf numFmtId="0" fontId="71" fillId="0" borderId="28" applyNumberFormat="0" applyFill="0" applyAlignment="0" applyProtection="0">
      <alignment vertical="center"/>
    </xf>
    <xf numFmtId="0" fontId="72" fillId="0" borderId="29" applyNumberFormat="0" applyFill="0" applyAlignment="0" applyProtection="0">
      <alignment vertical="center"/>
    </xf>
    <xf numFmtId="0" fontId="56" fillId="42" borderId="0" applyNumberFormat="0" applyBorder="0" applyAlignment="0" applyProtection="0"/>
    <xf numFmtId="0" fontId="73" fillId="48" borderId="0" applyNumberFormat="0" applyBorder="0" applyAlignment="0" applyProtection="0">
      <alignment vertical="center"/>
    </xf>
    <xf numFmtId="0" fontId="74" fillId="49" borderId="0" applyNumberFormat="0" applyBorder="0" applyAlignment="0" applyProtection="0">
      <alignment vertical="center"/>
    </xf>
    <xf numFmtId="0" fontId="75" fillId="29" borderId="0" applyNumberFormat="0" applyBorder="0" applyAlignment="0" applyProtection="0">
      <alignment vertical="center"/>
    </xf>
    <xf numFmtId="0" fontId="76" fillId="50" borderId="0" applyNumberFormat="0" applyBorder="0" applyAlignment="0" applyProtection="0">
      <alignment vertical="center"/>
    </xf>
    <xf numFmtId="0" fontId="76" fillId="51" borderId="0" applyNumberFormat="0" applyBorder="0" applyAlignment="0" applyProtection="0">
      <alignment vertical="center"/>
    </xf>
    <xf numFmtId="0" fontId="75" fillId="52" borderId="0" applyNumberFormat="0" applyBorder="0" applyAlignment="0" applyProtection="0">
      <alignment vertical="center"/>
    </xf>
    <xf numFmtId="0" fontId="75" fillId="53" borderId="0" applyNumberFormat="0" applyBorder="0" applyAlignment="0" applyProtection="0">
      <alignment vertical="center"/>
    </xf>
    <xf numFmtId="0" fontId="76" fillId="54" borderId="0" applyNumberFormat="0" applyBorder="0" applyAlignment="0" applyProtection="0">
      <alignment vertical="center"/>
    </xf>
    <xf numFmtId="0" fontId="76" fillId="55" borderId="0" applyNumberFormat="0" applyBorder="0" applyAlignment="0" applyProtection="0">
      <alignment vertical="center"/>
    </xf>
    <xf numFmtId="0" fontId="75" fillId="56" borderId="0" applyNumberFormat="0" applyBorder="0" applyAlignment="0" applyProtection="0">
      <alignment vertical="center"/>
    </xf>
    <xf numFmtId="0" fontId="75" fillId="57" borderId="0" applyNumberFormat="0" applyBorder="0" applyAlignment="0" applyProtection="0">
      <alignment vertical="center"/>
    </xf>
    <xf numFmtId="0" fontId="76" fillId="58" borderId="0" applyNumberFormat="0" applyBorder="0" applyAlignment="0" applyProtection="0">
      <alignment vertical="center"/>
    </xf>
    <xf numFmtId="0" fontId="76" fillId="59" borderId="0" applyNumberFormat="0" applyBorder="0" applyAlignment="0" applyProtection="0">
      <alignment vertical="center"/>
    </xf>
    <xf numFmtId="0" fontId="75" fillId="60" borderId="0" applyNumberFormat="0" applyBorder="0" applyAlignment="0" applyProtection="0">
      <alignment vertical="center"/>
    </xf>
    <xf numFmtId="0" fontId="75" fillId="61" borderId="0" applyNumberFormat="0" applyBorder="0" applyAlignment="0" applyProtection="0">
      <alignment vertical="center"/>
    </xf>
    <xf numFmtId="0" fontId="0" fillId="13" borderId="0" applyNumberFormat="0" applyBorder="0" applyAlignment="0" applyProtection="0"/>
    <xf numFmtId="0" fontId="76" fillId="62" borderId="0" applyNumberFormat="0" applyBorder="0" applyAlignment="0" applyProtection="0">
      <alignment vertical="center"/>
    </xf>
    <xf numFmtId="0" fontId="75" fillId="63" borderId="0" applyNumberFormat="0" applyBorder="0" applyAlignment="0" applyProtection="0">
      <alignment vertical="center"/>
    </xf>
    <xf numFmtId="0" fontId="75" fillId="64" borderId="0" applyNumberFormat="0" applyBorder="0" applyAlignment="0" applyProtection="0">
      <alignment vertical="center"/>
    </xf>
    <xf numFmtId="0" fontId="76" fillId="65" borderId="0" applyNumberFormat="0" applyBorder="0" applyAlignment="0" applyProtection="0">
      <alignment vertical="center"/>
    </xf>
    <xf numFmtId="0" fontId="0" fillId="12" borderId="0" applyNumberFormat="0" applyBorder="0" applyAlignment="0" applyProtection="0"/>
    <xf numFmtId="0" fontId="75" fillId="66" borderId="0" applyNumberFormat="0" applyBorder="0" applyAlignment="0" applyProtection="0">
      <alignment vertical="center"/>
    </xf>
    <xf numFmtId="0" fontId="75" fillId="67" borderId="0" applyNumberFormat="0" applyBorder="0" applyAlignment="0" applyProtection="0">
      <alignment vertical="center"/>
    </xf>
    <xf numFmtId="0" fontId="76" fillId="68" borderId="0" applyNumberFormat="0" applyBorder="0" applyAlignment="0" applyProtection="0">
      <alignment vertical="center"/>
    </xf>
    <xf numFmtId="0" fontId="76" fillId="69" borderId="0" applyNumberFormat="0" applyBorder="0" applyAlignment="0" applyProtection="0">
      <alignment vertical="center"/>
    </xf>
    <xf numFmtId="0" fontId="75" fillId="70" borderId="0" applyNumberFormat="0" applyBorder="0" applyAlignment="0" applyProtection="0">
      <alignment vertical="center"/>
    </xf>
    <xf numFmtId="1" fontId="77" fillId="0" borderId="0" applyNumberFormat="0" applyAlignment="0" applyProtection="0">
      <alignment horizontal="center"/>
    </xf>
    <xf numFmtId="0" fontId="78" fillId="0" borderId="9" applyNumberFormat="0" applyFill="0" applyAlignment="0" applyProtection="0"/>
    <xf numFmtId="43" fontId="26" fillId="0" borderId="0" applyFont="0" applyFill="0" applyBorder="0" applyAlignment="0" applyProtection="0"/>
    <xf numFmtId="179" fontId="25" fillId="0" borderId="0" applyFont="0" applyFill="0" applyBorder="0" applyAlignment="0" applyProtection="0"/>
    <xf numFmtId="43" fontId="0"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0" fontId="79" fillId="0" borderId="0" applyNumberFormat="0" applyFill="0" applyBorder="0" applyAlignment="0" applyProtection="0">
      <alignment vertical="top"/>
      <protection locked="0"/>
    </xf>
    <xf numFmtId="0" fontId="2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6" fillId="0" borderId="0"/>
    <xf numFmtId="0" fontId="26" fillId="0" borderId="0"/>
    <xf numFmtId="0" fontId="26" fillId="0" borderId="0"/>
    <xf numFmtId="0" fontId="26" fillId="0" borderId="0"/>
    <xf numFmtId="0" fontId="26" fillId="0" borderId="0"/>
    <xf numFmtId="0" fontId="0" fillId="0" borderId="0"/>
    <xf numFmtId="0" fontId="0" fillId="0" borderId="0"/>
    <xf numFmtId="0" fontId="26" fillId="0" borderId="0"/>
    <xf numFmtId="0" fontId="26" fillId="0" borderId="0"/>
    <xf numFmtId="0" fontId="0" fillId="0" borderId="0"/>
    <xf numFmtId="0" fontId="26" fillId="0" borderId="0"/>
    <xf numFmtId="0" fontId="26" fillId="0" borderId="0"/>
    <xf numFmtId="0" fontId="0" fillId="0" borderId="0"/>
    <xf numFmtId="0" fontId="0" fillId="0" borderId="0"/>
    <xf numFmtId="0" fontId="26" fillId="0" borderId="0"/>
    <xf numFmtId="0" fontId="26" fillId="0" borderId="0"/>
    <xf numFmtId="0" fontId="80" fillId="0" borderId="0"/>
    <xf numFmtId="0" fontId="26" fillId="45" borderId="24" applyNumberFormat="0" applyFont="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0" fontId="26" fillId="0" borderId="0"/>
  </cellStyleXfs>
  <cellXfs count="43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1" fillId="0" borderId="0" xfId="0" applyFont="1"/>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xf numFmtId="0" fontId="8" fillId="14" borderId="7" xfId="0" applyFont="1" applyFill="1" applyBorder="1" applyAlignment="1">
      <alignment horizontal="center"/>
    </xf>
    <xf numFmtId="0" fontId="9" fillId="15" borderId="8" xfId="0" applyFont="1" applyFill="1" applyBorder="1"/>
    <xf numFmtId="0" fontId="8" fillId="15" borderId="8" xfId="0" applyFont="1" applyFill="1" applyBorder="1"/>
    <xf numFmtId="180" fontId="0" fillId="15" borderId="8" xfId="0" applyNumberFormat="1" applyFill="1" applyBorder="1"/>
    <xf numFmtId="0" fontId="10" fillId="16" borderId="9" xfId="16" applyFont="1" applyAlignment="1">
      <alignment horizontal="center" vertical="center" wrapText="1"/>
    </xf>
    <xf numFmtId="0" fontId="0" fillId="0" borderId="8" xfId="0" applyBorder="1"/>
    <xf numFmtId="0" fontId="8"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0" fillId="16" borderId="10" xfId="16" applyFont="1" applyBorder="1" applyAlignment="1">
      <alignment horizontal="center" vertical="center" wrapText="1"/>
    </xf>
    <xf numFmtId="0" fontId="10" fillId="16" borderId="11" xfId="16" applyFont="1" applyBorder="1" applyAlignment="1">
      <alignment horizontal="center" vertical="center" wrapText="1"/>
    </xf>
    <xf numFmtId="0" fontId="10" fillId="16" borderId="12" xfId="16" applyFont="1" applyBorder="1" applyAlignment="1">
      <alignment horizontal="center" vertical="center" wrapText="1"/>
    </xf>
    <xf numFmtId="0" fontId="10" fillId="16" borderId="13" xfId="16" applyFont="1" applyBorder="1" applyAlignment="1">
      <alignment horizontal="center" vertical="center" wrapText="1"/>
    </xf>
    <xf numFmtId="0" fontId="10" fillId="16" borderId="0" xfId="16" applyFont="1" applyBorder="1" applyAlignment="1">
      <alignment horizontal="center" vertical="center" wrapText="1"/>
    </xf>
    <xf numFmtId="0" fontId="10" fillId="16" borderId="14" xfId="16" applyFont="1" applyBorder="1" applyAlignment="1">
      <alignment horizontal="center" vertical="center" wrapText="1"/>
    </xf>
    <xf numFmtId="0" fontId="10" fillId="16" borderId="15" xfId="16" applyFont="1" applyBorder="1" applyAlignment="1">
      <alignment horizontal="center" vertical="center" wrapText="1"/>
    </xf>
    <xf numFmtId="0" fontId="10" fillId="16" borderId="6" xfId="16" applyFont="1" applyBorder="1" applyAlignment="1">
      <alignment horizontal="center" vertical="center" wrapText="1"/>
    </xf>
    <xf numFmtId="0" fontId="10" fillId="16" borderId="16" xfId="16" applyFont="1" applyBorder="1" applyAlignment="1">
      <alignment horizontal="center" vertical="center" wrapText="1"/>
    </xf>
    <xf numFmtId="180" fontId="0" fillId="0" borderId="0" xfId="0" applyNumberFormat="1"/>
    <xf numFmtId="0" fontId="11" fillId="0" borderId="0" xfId="0" applyFont="1" applyAlignment="1">
      <alignment horizontal="center" vertical="center" wrapText="1"/>
    </xf>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0" fillId="16" borderId="17" xfId="16" applyFont="1" applyBorder="1" applyAlignment="1">
      <alignment horizontal="center" vertical="center" wrapText="1"/>
    </xf>
    <xf numFmtId="0" fontId="10" fillId="16" borderId="18" xfId="16" applyFont="1" applyBorder="1" applyAlignment="1">
      <alignment horizontal="center" vertical="center" wrapText="1"/>
    </xf>
    <xf numFmtId="0" fontId="10" fillId="16" borderId="19" xfId="16" applyFont="1" applyBorder="1" applyAlignment="1">
      <alignment horizontal="center" vertical="center" wrapText="1"/>
    </xf>
    <xf numFmtId="2" fontId="0" fillId="15" borderId="8" xfId="0" applyNumberFormat="1" applyFill="1" applyBorder="1"/>
    <xf numFmtId="180" fontId="0" fillId="0" borderId="8" xfId="1" applyNumberFormat="1" applyFont="1" applyBorder="1" applyAlignment="1">
      <alignment horizontal="center"/>
    </xf>
    <xf numFmtId="9" fontId="0" fillId="0" borderId="0" xfId="0" applyNumberFormat="1"/>
    <xf numFmtId="2" fontId="0" fillId="0" borderId="0" xfId="0" applyNumberFormat="1"/>
    <xf numFmtId="0" fontId="8"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8" fillId="14" borderId="4" xfId="0" applyFont="1" applyFill="1" applyBorder="1" applyAlignment="1">
      <alignment horizontal="center"/>
    </xf>
    <xf numFmtId="0" fontId="8" fillId="14" borderId="5" xfId="0" applyFont="1" applyFill="1" applyBorder="1" applyAlignment="1">
      <alignment horizontal="center"/>
    </xf>
    <xf numFmtId="0" fontId="8"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8" fillId="0" borderId="0" xfId="0" applyNumberFormat="1" applyFont="1"/>
    <xf numFmtId="0" fontId="8" fillId="14" borderId="1" xfId="0" applyFont="1" applyFill="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3"/>
    <xf numFmtId="0" fontId="12" fillId="0" borderId="0" xfId="83" applyFont="1"/>
    <xf numFmtId="0" fontId="13" fillId="0" borderId="8" xfId="83" applyFont="1" applyBorder="1" applyAlignment="1">
      <alignment horizontal="center"/>
    </xf>
    <xf numFmtId="0" fontId="14" fillId="17" borderId="8" xfId="83" applyFont="1" applyFill="1" applyBorder="1" applyAlignment="1">
      <alignment horizontal="center" vertical="top"/>
    </xf>
    <xf numFmtId="0" fontId="15" fillId="17" borderId="8" xfId="83" applyFont="1" applyFill="1" applyBorder="1" applyAlignment="1">
      <alignment horizontal="center" vertical="top"/>
    </xf>
    <xf numFmtId="0" fontId="13" fillId="0" borderId="8" xfId="83" applyFont="1" applyBorder="1"/>
    <xf numFmtId="182" fontId="13" fillId="0" borderId="1" xfId="83" applyNumberFormat="1" applyFont="1" applyBorder="1" applyAlignment="1">
      <alignment horizontal="center"/>
    </xf>
    <xf numFmtId="182" fontId="13" fillId="0" borderId="2" xfId="83" applyNumberFormat="1" applyFont="1" applyBorder="1" applyAlignment="1">
      <alignment horizontal="center"/>
    </xf>
    <xf numFmtId="9" fontId="15" fillId="17" borderId="8" xfId="83" applyNumberFormat="1" applyFont="1" applyFill="1" applyBorder="1" applyAlignment="1">
      <alignment horizontal="center" vertical="top"/>
    </xf>
    <xf numFmtId="0" fontId="15" fillId="17" borderId="0" xfId="83" applyFont="1" applyFill="1" applyAlignment="1">
      <alignment horizontal="center" vertical="top"/>
    </xf>
    <xf numFmtId="0" fontId="15" fillId="17" borderId="0" xfId="83" applyFont="1" applyFill="1" applyAlignment="1">
      <alignment vertical="top" wrapText="1"/>
    </xf>
    <xf numFmtId="0" fontId="15" fillId="17" borderId="0" xfId="83" applyFont="1" applyFill="1" applyAlignment="1">
      <alignment vertical="top"/>
    </xf>
    <xf numFmtId="0" fontId="13" fillId="0" borderId="0" xfId="83" applyFont="1"/>
    <xf numFmtId="0" fontId="13" fillId="0" borderId="0" xfId="83" applyFont="1" applyAlignment="1">
      <alignment horizontal="left" wrapText="1"/>
    </xf>
    <xf numFmtId="0" fontId="13" fillId="0" borderId="0" xfId="83" applyFont="1" applyAlignment="1">
      <alignment horizontal="center"/>
    </xf>
    <xf numFmtId="0" fontId="14" fillId="17" borderId="0" xfId="83" applyFont="1" applyFill="1" applyAlignment="1">
      <alignment horizontal="center" vertical="top"/>
    </xf>
    <xf numFmtId="0" fontId="15" fillId="17" borderId="8" xfId="83" applyFont="1" applyFill="1" applyBorder="1" applyAlignment="1">
      <alignment horizontal="center" vertical="center"/>
    </xf>
    <xf numFmtId="9" fontId="15" fillId="17" borderId="8" xfId="83" applyNumberFormat="1" applyFont="1" applyFill="1" applyBorder="1" applyAlignment="1">
      <alignment horizontal="center" vertical="center"/>
    </xf>
    <xf numFmtId="9" fontId="15" fillId="17" borderId="0" xfId="83" applyNumberFormat="1" applyFont="1" applyFill="1" applyAlignment="1">
      <alignment horizontal="center" vertical="top"/>
    </xf>
    <xf numFmtId="9" fontId="13" fillId="0" borderId="8" xfId="83" applyNumberFormat="1" applyFont="1" applyBorder="1" applyAlignment="1">
      <alignment horizontal="center" vertical="center"/>
    </xf>
    <xf numFmtId="0" fontId="13" fillId="0" borderId="0" xfId="83" applyFont="1" applyAlignment="1">
      <alignment wrapText="1"/>
    </xf>
    <xf numFmtId="182" fontId="13" fillId="0" borderId="3" xfId="83" applyNumberFormat="1" applyFont="1" applyBorder="1" applyAlignment="1">
      <alignment horizontal="center"/>
    </xf>
    <xf numFmtId="0" fontId="0" fillId="0" borderId="0" xfId="83" applyAlignment="1">
      <alignment horizontal="left"/>
    </xf>
    <xf numFmtId="0" fontId="16" fillId="0" borderId="0" xfId="0" applyFont="1" applyAlignment="1">
      <alignment horizontal="center"/>
    </xf>
    <xf numFmtId="0" fontId="16" fillId="18" borderId="0" xfId="0" applyFont="1" applyFill="1"/>
    <xf numFmtId="0" fontId="16" fillId="0" borderId="0" xfId="0" applyFont="1"/>
    <xf numFmtId="0" fontId="16" fillId="19" borderId="0" xfId="0" applyFont="1" applyFill="1"/>
    <xf numFmtId="0" fontId="16" fillId="0" borderId="0" xfId="0" applyFont="1" applyProtection="1">
      <protection locked="0"/>
    </xf>
    <xf numFmtId="180" fontId="16" fillId="18" borderId="0" xfId="0" applyNumberFormat="1" applyFont="1" applyFill="1"/>
    <xf numFmtId="180" fontId="16" fillId="0" borderId="0" xfId="0" applyNumberFormat="1" applyFont="1" applyFill="1"/>
    <xf numFmtId="0" fontId="16" fillId="0" borderId="0" xfId="0" applyFont="1" applyFill="1"/>
    <xf numFmtId="0" fontId="16" fillId="20" borderId="0" xfId="0" applyFont="1" applyFill="1"/>
    <xf numFmtId="0" fontId="17" fillId="21" borderId="0" xfId="0" applyFont="1" applyFill="1" applyAlignment="1">
      <alignment horizontal="center"/>
    </xf>
    <xf numFmtId="0" fontId="17" fillId="0" borderId="0" xfId="0" applyFont="1" applyAlignment="1">
      <alignment horizontal="center"/>
    </xf>
    <xf numFmtId="0" fontId="18" fillId="0" borderId="0" xfId="0" applyFont="1"/>
    <xf numFmtId="180" fontId="16" fillId="0" borderId="0" xfId="0" applyNumberFormat="1" applyFont="1"/>
    <xf numFmtId="0" fontId="16" fillId="22" borderId="0" xfId="0" applyFont="1" applyFill="1" applyAlignment="1">
      <alignment horizontal="center" wrapText="1"/>
    </xf>
    <xf numFmtId="0" fontId="16" fillId="22" borderId="0" xfId="0" applyFont="1" applyFill="1"/>
    <xf numFmtId="180" fontId="16" fillId="23" borderId="0" xfId="0" applyNumberFormat="1" applyFont="1" applyFill="1"/>
    <xf numFmtId="180" fontId="16" fillId="22" borderId="0" xfId="0" applyNumberFormat="1" applyFont="1" applyFill="1"/>
    <xf numFmtId="0" fontId="19" fillId="0" borderId="0" xfId="0" applyFont="1" applyFill="1"/>
    <xf numFmtId="2" fontId="20" fillId="0" borderId="8" xfId="0" applyNumberFormat="1" applyFont="1" applyFill="1" applyBorder="1" applyAlignment="1" applyProtection="1"/>
    <xf numFmtId="0" fontId="21" fillId="24" borderId="0" xfId="0" applyFont="1" applyFill="1"/>
    <xf numFmtId="0" fontId="22" fillId="24" borderId="0" xfId="0" applyFont="1" applyFill="1"/>
    <xf numFmtId="0" fontId="19" fillId="24" borderId="0" xfId="0" applyFont="1" applyFill="1"/>
    <xf numFmtId="0" fontId="23" fillId="0" borderId="0" xfId="0" applyFont="1"/>
    <xf numFmtId="0" fontId="16" fillId="24" borderId="0" xfId="0" applyFont="1" applyFill="1"/>
    <xf numFmtId="0" fontId="21" fillId="23" borderId="0" xfId="0" applyFont="1" applyFill="1"/>
    <xf numFmtId="0" fontId="22" fillId="23" borderId="0" xfId="0" applyFont="1" applyFill="1"/>
    <xf numFmtId="0" fontId="19" fillId="23" borderId="0" xfId="0" applyFont="1" applyFill="1"/>
    <xf numFmtId="0" fontId="16" fillId="23" borderId="0" xfId="0" applyFont="1" applyFill="1"/>
    <xf numFmtId="0" fontId="0" fillId="23" borderId="0" xfId="0" applyFill="1"/>
    <xf numFmtId="180" fontId="16" fillId="25" borderId="0" xfId="0" applyNumberFormat="1" applyFont="1" applyFill="1"/>
    <xf numFmtId="0" fontId="0" fillId="26" borderId="0" xfId="0" applyFill="1"/>
    <xf numFmtId="0" fontId="24" fillId="0" borderId="0" xfId="0" applyFont="1" applyAlignment="1">
      <alignment horizontal="center"/>
    </xf>
    <xf numFmtId="0" fontId="17" fillId="27" borderId="0" xfId="61" applyFont="1" applyFill="1" applyAlignment="1">
      <alignment horizontal="center"/>
    </xf>
    <xf numFmtId="0" fontId="17" fillId="27" borderId="0" xfId="61" applyNumberFormat="1" applyFont="1" applyFill="1" applyAlignment="1">
      <alignment horizontal="center"/>
    </xf>
    <xf numFmtId="0" fontId="20" fillId="0" borderId="8" xfId="0" applyNumberFormat="1" applyFont="1" applyFill="1" applyBorder="1" applyAlignment="1" applyProtection="1"/>
    <xf numFmtId="2" fontId="20" fillId="28" borderId="8" xfId="0" applyNumberFormat="1" applyFont="1" applyFill="1" applyBorder="1" applyAlignment="1" applyProtection="1"/>
    <xf numFmtId="0" fontId="20" fillId="28" borderId="8" xfId="0" applyNumberFormat="1" applyFont="1" applyFill="1" applyBorder="1" applyAlignment="1" applyProtection="1"/>
    <xf numFmtId="183" fontId="20" fillId="28" borderId="8" xfId="0" applyNumberFormat="1" applyFont="1" applyFill="1" applyBorder="1" applyAlignment="1" applyProtection="1"/>
    <xf numFmtId="0" fontId="0" fillId="28" borderId="0" xfId="0" applyFill="1"/>
    <xf numFmtId="0" fontId="20" fillId="0" borderId="0" xfId="0" applyNumberFormat="1" applyFont="1" applyFill="1" applyBorder="1" applyAlignment="1" applyProtection="1"/>
    <xf numFmtId="183" fontId="20" fillId="0" borderId="0" xfId="0" applyNumberFormat="1" applyFont="1" applyFill="1" applyBorder="1" applyAlignment="1" applyProtection="1"/>
    <xf numFmtId="0" fontId="0" fillId="0" borderId="0" xfId="0" applyBorder="1"/>
    <xf numFmtId="2" fontId="20" fillId="0" borderId="0" xfId="0" applyNumberFormat="1" applyFont="1" applyFill="1" applyBorder="1" applyAlignment="1" applyProtection="1"/>
    <xf numFmtId="0" fontId="25" fillId="0" borderId="0" xfId="0" applyNumberFormat="1" applyFont="1" applyFill="1" applyBorder="1" applyAlignment="1" applyProtection="1"/>
    <xf numFmtId="0" fontId="26" fillId="0" borderId="0" xfId="0" applyNumberFormat="1" applyFont="1" applyFill="1" applyBorder="1" applyAlignment="1" applyProtection="1"/>
    <xf numFmtId="0" fontId="27" fillId="0" borderId="0" xfId="0" applyFont="1"/>
    <xf numFmtId="184" fontId="27" fillId="0" borderId="0" xfId="0" applyNumberFormat="1" applyFont="1"/>
    <xf numFmtId="0" fontId="20" fillId="29" borderId="8" xfId="0" applyNumberFormat="1" applyFont="1" applyFill="1" applyBorder="1" applyAlignment="1" applyProtection="1"/>
    <xf numFmtId="0" fontId="0" fillId="29" borderId="8" xfId="0" applyFill="1" applyBorder="1"/>
    <xf numFmtId="0" fontId="26" fillId="29" borderId="0" xfId="0" applyFont="1" applyFill="1" applyAlignment="1"/>
    <xf numFmtId="2" fontId="20" fillId="29" borderId="8" xfId="0" applyNumberFormat="1" applyFont="1" applyFill="1" applyBorder="1" applyAlignment="1" applyProtection="1"/>
    <xf numFmtId="0" fontId="23" fillId="29" borderId="0" xfId="0" applyFont="1" applyFill="1"/>
    <xf numFmtId="183" fontId="20" fillId="29" borderId="8" xfId="0" applyNumberFormat="1" applyFont="1" applyFill="1" applyBorder="1" applyAlignment="1" applyProtection="1"/>
    <xf numFmtId="183" fontId="20" fillId="0" borderId="8" xfId="0" applyNumberFormat="1" applyFont="1" applyFill="1" applyBorder="1" applyAlignment="1" applyProtection="1"/>
    <xf numFmtId="0" fontId="26" fillId="0" borderId="0" xfId="61"/>
    <xf numFmtId="184" fontId="0" fillId="29" borderId="8" xfId="0" applyNumberFormat="1" applyFill="1" applyBorder="1"/>
    <xf numFmtId="0" fontId="16" fillId="30" borderId="0" xfId="0" applyFont="1" applyFill="1" applyAlignment="1">
      <alignment horizontal="center"/>
    </xf>
    <xf numFmtId="0" fontId="16" fillId="30" borderId="0" xfId="0" applyFont="1" applyFill="1"/>
    <xf numFmtId="0" fontId="16" fillId="30" borderId="0" xfId="0" applyFont="1" applyFill="1" applyProtection="1">
      <protection locked="0"/>
    </xf>
    <xf numFmtId="180" fontId="16" fillId="30" borderId="0" xfId="0" applyNumberFormat="1" applyFont="1" applyFill="1"/>
    <xf numFmtId="0" fontId="0" fillId="0" borderId="0" xfId="0" applyFill="1" applyAlignment="1">
      <alignment horizontal="center"/>
    </xf>
    <xf numFmtId="180" fontId="0" fillId="28" borderId="0" xfId="0" applyNumberFormat="1" applyFill="1" applyAlignment="1">
      <alignment horizontal="center"/>
    </xf>
    <xf numFmtId="180" fontId="0" fillId="0" borderId="0" xfId="0" applyNumberFormat="1" applyFill="1" applyAlignment="1">
      <alignment horizontal="center"/>
    </xf>
    <xf numFmtId="0" fontId="16" fillId="0" borderId="0" xfId="0" applyFont="1" applyFill="1" applyAlignment="1" applyProtection="1">
      <alignment horizontal="center"/>
      <protection locked="0"/>
    </xf>
    <xf numFmtId="0" fontId="28" fillId="0" borderId="0" xfId="0" applyFont="1" applyFill="1" applyAlignment="1">
      <alignment horizontal="center" vertical="center"/>
    </xf>
    <xf numFmtId="0" fontId="28" fillId="0" borderId="0" xfId="0" applyFont="1" applyFill="1" applyAlignment="1">
      <alignment vertical="center"/>
    </xf>
    <xf numFmtId="0" fontId="28" fillId="0" borderId="0" xfId="0" applyFont="1" applyFill="1" applyAlignment="1" applyProtection="1">
      <alignment vertical="center"/>
      <protection locked="0"/>
    </xf>
    <xf numFmtId="180" fontId="13" fillId="0" borderId="0" xfId="0" applyNumberFormat="1" applyFont="1" applyFill="1" applyAlignment="1">
      <alignment vertical="center"/>
    </xf>
    <xf numFmtId="0" fontId="13" fillId="0" borderId="0" xfId="0" applyFont="1" applyFill="1" applyAlignment="1">
      <alignment horizontal="center" vertical="center"/>
    </xf>
    <xf numFmtId="0" fontId="0" fillId="29" borderId="0" xfId="0" applyFill="1"/>
    <xf numFmtId="0" fontId="21" fillId="0" borderId="0" xfId="0" applyFont="1"/>
    <xf numFmtId="0" fontId="22" fillId="0" borderId="0" xfId="0" applyFont="1"/>
    <xf numFmtId="0" fontId="21" fillId="26" borderId="0" xfId="0" applyFont="1" applyFill="1"/>
    <xf numFmtId="0" fontId="22" fillId="26" borderId="0" xfId="0" applyFont="1" applyFill="1"/>
    <xf numFmtId="0" fontId="19" fillId="26" borderId="0" xfId="0" applyFont="1" applyFill="1"/>
    <xf numFmtId="0" fontId="19" fillId="0" borderId="0" xfId="0" applyFont="1"/>
    <xf numFmtId="0" fontId="26" fillId="0" borderId="0" xfId="61" applyFill="1"/>
    <xf numFmtId="0" fontId="26" fillId="0" borderId="0" xfId="61" applyFill="1" applyBorder="1"/>
    <xf numFmtId="0" fontId="0" fillId="0" borderId="0" xfId="0" applyFill="1"/>
    <xf numFmtId="0" fontId="26" fillId="31" borderId="0" xfId="61" applyFill="1"/>
    <xf numFmtId="0" fontId="26" fillId="31" borderId="0" xfId="61" applyFill="1" applyAlignment="1">
      <alignment horizontal="center"/>
    </xf>
    <xf numFmtId="0" fontId="0" fillId="31" borderId="0" xfId="61" applyFont="1" applyFill="1" applyAlignment="1">
      <alignment horizontal="center"/>
    </xf>
    <xf numFmtId="0" fontId="0" fillId="31" borderId="0" xfId="61" applyFont="1" applyFill="1" applyAlignment="1">
      <alignment horizontal="center" vertical="center"/>
    </xf>
    <xf numFmtId="9" fontId="29" fillId="16" borderId="9" xfId="3" applyFont="1" applyFill="1" applyBorder="1"/>
    <xf numFmtId="0" fontId="0" fillId="0" borderId="0" xfId="61" applyFont="1" applyFill="1" applyAlignment="1">
      <alignment horizontal="left"/>
    </xf>
    <xf numFmtId="0" fontId="0" fillId="0" borderId="0" xfId="61" applyFont="1" applyFill="1" applyAlignment="1">
      <alignment vertical="center"/>
    </xf>
    <xf numFmtId="0" fontId="0" fillId="0" borderId="0" xfId="61" applyFont="1" applyAlignment="1">
      <alignment horizontal="left"/>
    </xf>
    <xf numFmtId="0" fontId="0" fillId="0" borderId="0" xfId="61" applyFont="1" applyAlignment="1">
      <alignment vertical="center"/>
    </xf>
    <xf numFmtId="0" fontId="26" fillId="0" borderId="0" xfId="61" applyAlignment="1">
      <alignment vertical="center"/>
    </xf>
    <xf numFmtId="0" fontId="26" fillId="32" borderId="0" xfId="61" applyFill="1"/>
    <xf numFmtId="0" fontId="0" fillId="31" borderId="0" xfId="61" applyFont="1" applyFill="1" applyAlignment="1">
      <alignment horizontal="left"/>
    </xf>
    <xf numFmtId="0" fontId="26" fillId="31" borderId="0" xfId="61" applyFill="1" applyAlignment="1">
      <alignment vertical="center"/>
    </xf>
    <xf numFmtId="0" fontId="0" fillId="33" borderId="0" xfId="61" applyFont="1" applyFill="1" applyAlignment="1">
      <alignment horizontal="left"/>
    </xf>
    <xf numFmtId="0" fontId="26" fillId="33" borderId="0" xfId="61" applyFill="1"/>
    <xf numFmtId="0" fontId="26" fillId="0" borderId="0" xfId="61" applyFont="1" applyFill="1"/>
    <xf numFmtId="0" fontId="26" fillId="34" borderId="0" xfId="61" applyFill="1"/>
    <xf numFmtId="0" fontId="26" fillId="0" borderId="0" xfId="61" applyFill="1" applyAlignment="1">
      <alignment vertical="center"/>
    </xf>
    <xf numFmtId="0" fontId="30" fillId="31" borderId="0" xfId="61" applyFont="1" applyFill="1" applyAlignment="1">
      <alignment vertical="center"/>
    </xf>
    <xf numFmtId="0" fontId="30" fillId="0" borderId="0" xfId="61" applyFont="1" applyAlignment="1">
      <alignment vertical="center"/>
    </xf>
    <xf numFmtId="0" fontId="26" fillId="0" borderId="0" xfId="0" applyFont="1" applyFill="1" applyAlignment="1"/>
    <xf numFmtId="0" fontId="31" fillId="0" borderId="0" xfId="0" applyFont="1" applyFill="1" applyAlignment="1"/>
    <xf numFmtId="0" fontId="8" fillId="0" borderId="0" xfId="0" applyFont="1" applyAlignment="1">
      <alignment horizontal="center" vertical="center"/>
    </xf>
    <xf numFmtId="0" fontId="0" fillId="0" borderId="0" xfId="0" applyAlignment="1">
      <alignment vertical="center"/>
    </xf>
    <xf numFmtId="0" fontId="0" fillId="0" borderId="0" xfId="61" applyFont="1" applyFill="1" applyBorder="1" applyAlignment="1">
      <alignment vertical="center"/>
    </xf>
    <xf numFmtId="0" fontId="32" fillId="0" borderId="0" xfId="61" applyFont="1" applyFill="1" applyBorder="1"/>
    <xf numFmtId="0" fontId="0" fillId="0" borderId="0" xfId="61" applyFont="1" applyFill="1" applyBorder="1" applyAlignment="1">
      <alignment horizontal="left"/>
    </xf>
    <xf numFmtId="0" fontId="0" fillId="35" borderId="0" xfId="0" applyFill="1"/>
    <xf numFmtId="0" fontId="33" fillId="35" borderId="0" xfId="61" applyFont="1" applyFill="1"/>
    <xf numFmtId="0" fontId="26" fillId="35" borderId="0" xfId="61" applyFill="1"/>
    <xf numFmtId="0" fontId="26" fillId="35" borderId="8" xfId="61" applyFill="1" applyBorder="1"/>
    <xf numFmtId="0" fontId="8" fillId="34" borderId="0" xfId="0" applyFont="1" applyFill="1"/>
    <xf numFmtId="0" fontId="34" fillId="0" borderId="0" xfId="61" applyFont="1" applyAlignment="1">
      <alignment wrapText="1"/>
    </xf>
    <xf numFmtId="0" fontId="35" fillId="34" borderId="0" xfId="0" applyFont="1" applyFill="1" applyAlignment="1"/>
    <xf numFmtId="0" fontId="36" fillId="34" borderId="0" xfId="0" applyFont="1" applyFill="1" applyAlignment="1">
      <alignment horizontal="center"/>
    </xf>
    <xf numFmtId="0" fontId="32" fillId="34" borderId="8" xfId="0" applyFont="1" applyFill="1" applyBorder="1" applyAlignment="1"/>
    <xf numFmtId="0" fontId="37" fillId="34" borderId="8" xfId="0" applyFont="1" applyFill="1" applyBorder="1" applyAlignment="1"/>
    <xf numFmtId="185" fontId="32" fillId="34" borderId="8" xfId="0" applyNumberFormat="1" applyFont="1" applyFill="1" applyBorder="1" applyAlignment="1"/>
    <xf numFmtId="0" fontId="35" fillId="34" borderId="8" xfId="0" applyFont="1" applyFill="1" applyBorder="1" applyAlignment="1"/>
    <xf numFmtId="0" fontId="38" fillId="34" borderId="8" xfId="0" applyFont="1" applyFill="1" applyBorder="1" applyAlignment="1"/>
    <xf numFmtId="185" fontId="37" fillId="34" borderId="8" xfId="0" applyNumberFormat="1" applyFont="1" applyFill="1" applyBorder="1" applyAlignment="1"/>
    <xf numFmtId="0" fontId="39" fillId="34" borderId="8" xfId="0" applyFont="1" applyFill="1" applyBorder="1" applyAlignment="1"/>
    <xf numFmtId="0" fontId="40" fillId="34" borderId="8" xfId="0" applyFont="1" applyFill="1" applyBorder="1" applyAlignment="1"/>
    <xf numFmtId="0" fontId="37" fillId="34" borderId="0" xfId="0" applyFont="1" applyFill="1" applyBorder="1"/>
    <xf numFmtId="0" fontId="26" fillId="0" borderId="0" xfId="61" applyFont="1" applyAlignment="1">
      <alignment horizontal="center" wrapText="1"/>
    </xf>
    <xf numFmtId="0" fontId="26" fillId="36" borderId="8" xfId="61" applyFill="1" applyBorder="1"/>
    <xf numFmtId="0" fontId="26" fillId="36" borderId="0" xfId="61" applyFill="1"/>
    <xf numFmtId="0" fontId="33" fillId="0" borderId="0" xfId="61" applyFont="1"/>
    <xf numFmtId="0" fontId="41" fillId="0" borderId="0" xfId="61" applyFont="1"/>
    <xf numFmtId="0" fontId="42" fillId="0" borderId="0" xfId="61" applyFont="1"/>
    <xf numFmtId="186" fontId="26" fillId="35" borderId="8" xfId="61" applyNumberFormat="1" applyFill="1" applyBorder="1"/>
    <xf numFmtId="2" fontId="26" fillId="35" borderId="8" xfId="61" applyNumberFormat="1" applyFill="1" applyBorder="1"/>
    <xf numFmtId="0" fontId="0" fillId="0" borderId="0" xfId="0" applyFill="1" applyBorder="1"/>
    <xf numFmtId="0" fontId="23" fillId="0" borderId="0" xfId="0" applyFont="1" applyFill="1" applyBorder="1"/>
    <xf numFmtId="0" fontId="43" fillId="0" borderId="0" xfId="61" applyFont="1" applyFill="1"/>
    <xf numFmtId="2" fontId="35" fillId="34" borderId="8" xfId="0" applyNumberFormat="1" applyFont="1" applyFill="1" applyBorder="1" applyAlignment="1"/>
    <xf numFmtId="2" fontId="39" fillId="34" borderId="8" xfId="0" applyNumberFormat="1" applyFont="1" applyFill="1" applyBorder="1" applyAlignment="1"/>
    <xf numFmtId="0" fontId="44" fillId="34" borderId="0" xfId="61" applyFont="1" applyFill="1" applyBorder="1" applyAlignment="1">
      <alignment horizontal="center"/>
    </xf>
    <xf numFmtId="0" fontId="33" fillId="34" borderId="0" xfId="61" applyFont="1" applyFill="1"/>
    <xf numFmtId="0" fontId="33" fillId="34" borderId="8" xfId="61" applyFont="1" applyFill="1" applyBorder="1"/>
    <xf numFmtId="0" fontId="23" fillId="0" borderId="0" xfId="0" applyFont="1" applyFill="1"/>
    <xf numFmtId="0" fontId="26" fillId="0" borderId="8" xfId="61" applyFill="1" applyBorder="1"/>
    <xf numFmtId="0" fontId="26" fillId="0" borderId="7" xfId="61" applyFill="1" applyBorder="1"/>
    <xf numFmtId="0" fontId="26" fillId="0" borderId="0" xfId="61" applyNumberFormat="1" applyFill="1" applyAlignment="1">
      <alignment vertical="center"/>
    </xf>
    <xf numFmtId="0" fontId="45" fillId="0" borderId="0" xfId="61" applyFont="1" applyFill="1"/>
    <xf numFmtId="0" fontId="26" fillId="37" borderId="0" xfId="61" applyFill="1"/>
    <xf numFmtId="0" fontId="33" fillId="37" borderId="0" xfId="61" applyFont="1" applyFill="1"/>
    <xf numFmtId="0" fontId="26" fillId="37" borderId="8" xfId="61" applyFont="1" applyFill="1" applyBorder="1"/>
    <xf numFmtId="0" fontId="46" fillId="0" borderId="0" xfId="61" applyFont="1"/>
    <xf numFmtId="186" fontId="26" fillId="37" borderId="8" xfId="61" applyNumberFormat="1" applyFont="1" applyFill="1" applyBorder="1"/>
    <xf numFmtId="0" fontId="46" fillId="0" borderId="0" xfId="61" applyFont="1" applyAlignment="1">
      <alignment wrapText="1"/>
    </xf>
    <xf numFmtId="0" fontId="47" fillId="0" borderId="0" xfId="61" applyFont="1"/>
    <xf numFmtId="0" fontId="26" fillId="37" borderId="7" xfId="61" applyFont="1" applyFill="1" applyBorder="1"/>
    <xf numFmtId="0" fontId="31" fillId="0" borderId="0" xfId="61" applyFont="1" applyFill="1" applyBorder="1"/>
    <xf numFmtId="0" fontId="26" fillId="0" borderId="0" xfId="61" applyBorder="1"/>
    <xf numFmtId="0" fontId="26" fillId="34" borderId="0" xfId="61" applyFill="1" applyBorder="1"/>
    <xf numFmtId="0" fontId="33" fillId="34" borderId="0" xfId="61" applyFont="1" applyFill="1" applyBorder="1"/>
    <xf numFmtId="0" fontId="48" fillId="34" borderId="0" xfId="0" applyFont="1" applyFill="1" applyBorder="1" applyAlignment="1"/>
    <xf numFmtId="0" fontId="49" fillId="34" borderId="0" xfId="0" applyFont="1" applyFill="1" applyBorder="1" applyAlignment="1"/>
    <xf numFmtId="185" fontId="48" fillId="34" borderId="0" xfId="0" applyNumberFormat="1" applyFont="1" applyFill="1" applyBorder="1" applyAlignment="1"/>
    <xf numFmtId="0" fontId="50" fillId="34" borderId="0" xfId="0" applyFont="1" applyFill="1" applyBorder="1" applyAlignment="1"/>
    <xf numFmtId="1" fontId="48" fillId="34" borderId="0" xfId="0" applyNumberFormat="1" applyFont="1" applyFill="1" applyBorder="1" applyAlignment="1">
      <alignment horizontal="right"/>
    </xf>
    <xf numFmtId="186" fontId="1" fillId="34" borderId="0" xfId="0" applyNumberFormat="1" applyFont="1" applyFill="1" applyBorder="1"/>
    <xf numFmtId="0" fontId="51" fillId="34" borderId="0" xfId="61" applyFont="1" applyFill="1" applyBorder="1"/>
    <xf numFmtId="0" fontId="26" fillId="0" borderId="0" xfId="61" applyNumberFormat="1" applyFill="1"/>
    <xf numFmtId="0" fontId="26" fillId="0" borderId="0" xfId="61" applyAlignment="1"/>
    <xf numFmtId="0" fontId="35" fillId="0" borderId="0" xfId="0" applyFont="1" applyFill="1" applyBorder="1" applyAlignment="1"/>
    <xf numFmtId="0" fontId="36" fillId="0" borderId="0" xfId="0" applyFont="1" applyFill="1" applyBorder="1" applyAlignment="1"/>
    <xf numFmtId="0" fontId="50" fillId="0" borderId="0" xfId="0" applyFont="1" applyFill="1" applyBorder="1" applyAlignment="1"/>
    <xf numFmtId="0" fontId="48" fillId="0" borderId="0" xfId="0" applyFont="1" applyFill="1" applyBorder="1" applyAlignment="1"/>
    <xf numFmtId="185" fontId="48" fillId="0" borderId="0" xfId="0" applyNumberFormat="1" applyFont="1" applyFill="1" applyBorder="1" applyAlignment="1"/>
    <xf numFmtId="186" fontId="50" fillId="0" borderId="0" xfId="0" applyNumberFormat="1" applyFont="1" applyFill="1" applyBorder="1" applyAlignment="1"/>
    <xf numFmtId="0" fontId="26" fillId="0" borderId="0" xfId="61" applyFill="1" applyBorder="1" applyAlignment="1"/>
    <xf numFmtId="0" fontId="26" fillId="0" borderId="0" xfId="61" applyFill="1" applyAlignment="1"/>
    <xf numFmtId="0" fontId="44" fillId="0" borderId="0" xfId="61" applyFont="1" applyFill="1" applyBorder="1" applyAlignment="1"/>
    <xf numFmtId="0" fontId="26" fillId="0" borderId="0" xfId="61" applyFont="1" applyFill="1" applyBorder="1"/>
    <xf numFmtId="0" fontId="32" fillId="0" borderId="0" xfId="61" applyFont="1" applyFill="1" applyBorder="1" applyAlignment="1"/>
    <xf numFmtId="0" fontId="26" fillId="0" borderId="0" xfId="61" applyNumberFormat="1" applyFill="1" applyBorder="1"/>
    <xf numFmtId="0" fontId="33" fillId="0" borderId="0" xfId="61" applyFont="1" applyFill="1" applyBorder="1" applyAlignment="1"/>
    <xf numFmtId="186" fontId="26" fillId="0" borderId="0" xfId="61" applyNumberFormat="1" applyFill="1" applyBorder="1" applyAlignment="1"/>
    <xf numFmtId="0" fontId="52" fillId="34" borderId="21" xfId="0" applyFont="1" applyFill="1" applyBorder="1" applyAlignment="1"/>
    <xf numFmtId="0" fontId="53" fillId="34" borderId="22" xfId="0" applyFont="1" applyFill="1" applyBorder="1" applyAlignment="1"/>
    <xf numFmtId="0" fontId="33" fillId="0" borderId="0" xfId="61" applyFont="1" applyFill="1"/>
    <xf numFmtId="0" fontId="35" fillId="0" borderId="0" xfId="0" applyFont="1" applyFill="1" applyAlignment="1"/>
    <xf numFmtId="0" fontId="26" fillId="14" borderId="0" xfId="61" applyFill="1"/>
    <xf numFmtId="0" fontId="26" fillId="38" borderId="0" xfId="61" applyFill="1"/>
    <xf numFmtId="0" fontId="36" fillId="34" borderId="0" xfId="0" applyFont="1" applyFill="1" applyAlignment="1"/>
    <xf numFmtId="0" fontId="0" fillId="0" borderId="8" xfId="61" applyFont="1" applyFill="1" applyBorder="1" applyAlignment="1">
      <alignment horizontal="left"/>
    </xf>
    <xf numFmtId="0" fontId="26" fillId="0" borderId="8" xfId="61" applyFill="1" applyBorder="1" applyAlignment="1"/>
    <xf numFmtId="0" fontId="26" fillId="0" borderId="8" xfId="61" applyFont="1" applyFill="1" applyBorder="1"/>
    <xf numFmtId="0" fontId="32" fillId="0" borderId="8" xfId="61" applyFont="1" applyFill="1" applyBorder="1" applyAlignment="1"/>
    <xf numFmtId="0" fontId="32" fillId="0" borderId="8" xfId="61" applyFont="1" applyFill="1" applyBorder="1"/>
    <xf numFmtId="0" fontId="32" fillId="0" borderId="0" xfId="61" applyFont="1" applyFill="1"/>
    <xf numFmtId="0" fontId="26" fillId="34" borderId="8" xfId="61" applyFill="1" applyBorder="1"/>
    <xf numFmtId="0" fontId="26" fillId="34" borderId="8" xfId="61" applyFont="1" applyFill="1" applyBorder="1"/>
    <xf numFmtId="0" fontId="26" fillId="34" borderId="8" xfId="61" applyFont="1" applyFill="1" applyBorder="1" applyAlignment="1"/>
    <xf numFmtId="0" fontId="31" fillId="34" borderId="8" xfId="61" applyFont="1" applyFill="1" applyBorder="1"/>
    <xf numFmtId="0" fontId="26" fillId="34" borderId="0" xfId="61" applyNumberFormat="1" applyFill="1"/>
    <xf numFmtId="0" fontId="26" fillId="0" borderId="0" xfId="61" applyFont="1" applyFill="1" applyBorder="1" applyAlignment="1"/>
    <xf numFmtId="0" fontId="54" fillId="0" borderId="0" xfId="0" applyFont="1" applyFill="1" applyBorder="1" applyAlignment="1">
      <alignment horizontal="right" vertical="top" wrapText="1"/>
    </xf>
    <xf numFmtId="0" fontId="55" fillId="0" borderId="0" xfId="0" applyFont="1" applyFill="1" applyBorder="1" applyAlignment="1">
      <alignment horizontal="center" wrapText="1"/>
    </xf>
    <xf numFmtId="0" fontId="54" fillId="0" borderId="0" xfId="0" applyFont="1" applyFill="1" applyBorder="1" applyAlignment="1">
      <alignment horizontal="center" wrapText="1"/>
    </xf>
    <xf numFmtId="0" fontId="26" fillId="0" borderId="0" xfId="61" applyAlignment="1">
      <alignment horizontal="center"/>
    </xf>
    <xf numFmtId="0" fontId="0" fillId="0" borderId="0" xfId="61" applyFont="1" applyAlignment="1">
      <alignment horizontal="center"/>
    </xf>
    <xf numFmtId="0" fontId="0" fillId="0" borderId="0" xfId="61" applyFont="1" applyAlignment="1">
      <alignment horizontal="center" vertical="center"/>
    </xf>
    <xf numFmtId="0" fontId="26" fillId="0" borderId="8" xfId="61" applyBorder="1"/>
    <xf numFmtId="0" fontId="0" fillId="0" borderId="8" xfId="61" applyFont="1" applyBorder="1" applyAlignment="1">
      <alignment horizontal="center" vertical="center"/>
    </xf>
    <xf numFmtId="0" fontId="26" fillId="0" borderId="8" xfId="61" applyBorder="1" applyAlignment="1">
      <alignment horizontal="center"/>
    </xf>
    <xf numFmtId="0" fontId="0" fillId="0" borderId="8" xfId="61" applyFont="1" applyBorder="1" applyAlignment="1">
      <alignment horizontal="left"/>
    </xf>
    <xf numFmtId="0" fontId="0" fillId="0" borderId="8" xfId="61" applyFont="1" applyBorder="1" applyAlignment="1">
      <alignment vertical="center"/>
    </xf>
    <xf numFmtId="0" fontId="0" fillId="28" borderId="0" xfId="61" applyFont="1" applyFill="1" applyAlignment="1">
      <alignment horizontal="center"/>
    </xf>
    <xf numFmtId="0" fontId="26" fillId="28" borderId="0" xfId="61" applyFill="1" applyAlignment="1">
      <alignment horizontal="center"/>
    </xf>
    <xf numFmtId="0" fontId="0" fillId="28" borderId="0" xfId="61" applyFont="1" applyFill="1" applyAlignment="1">
      <alignment horizontal="center" vertical="center"/>
    </xf>
    <xf numFmtId="0" fontId="26" fillId="39" borderId="0" xfId="61" applyFill="1" applyAlignment="1">
      <alignment horizontal="center"/>
    </xf>
    <xf numFmtId="0" fontId="26" fillId="40" borderId="0" xfId="61" applyNumberFormat="1" applyFill="1"/>
    <xf numFmtId="0" fontId="26" fillId="39" borderId="0" xfId="61" applyFill="1"/>
    <xf numFmtId="0" fontId="26" fillId="0" borderId="0" xfId="61" applyFill="1" applyAlignment="1">
      <alignment horizontal="center"/>
    </xf>
    <xf numFmtId="0" fontId="26" fillId="35" borderId="0" xfId="61" applyFill="1" applyAlignment="1">
      <alignment horizontal="center"/>
    </xf>
    <xf numFmtId="0" fontId="26" fillId="38" borderId="0" xfId="61" applyFill="1" applyAlignment="1">
      <alignment horizontal="center"/>
    </xf>
    <xf numFmtId="0" fontId="26" fillId="0" borderId="0" xfId="61" applyFont="1" applyFill="1" applyAlignment="1">
      <alignment vertical="center"/>
    </xf>
    <xf numFmtId="0" fontId="0" fillId="41" borderId="0" xfId="61" applyFont="1" applyFill="1" applyAlignment="1">
      <alignment horizontal="left"/>
    </xf>
    <xf numFmtId="0" fontId="56" fillId="42" borderId="0" xfId="22" applyAlignment="1">
      <alignment horizontal="right"/>
    </xf>
    <xf numFmtId="0" fontId="26" fillId="0" borderId="0" xfId="61" applyFont="1" applyFill="1" applyAlignment="1"/>
    <xf numFmtId="0" fontId="56" fillId="42" borderId="0" xfId="22" applyFont="1" applyFill="1" applyAlignment="1">
      <alignment horizontal="right"/>
    </xf>
    <xf numFmtId="0" fontId="56" fillId="42" borderId="0" xfId="22" applyFont="1" applyFill="1" applyAlignment="1">
      <alignment vertical="center"/>
    </xf>
    <xf numFmtId="0" fontId="32" fillId="36" borderId="8" xfId="61" applyFont="1" applyFill="1" applyBorder="1"/>
    <xf numFmtId="0" fontId="26" fillId="43" borderId="8" xfId="0" applyNumberFormat="1" applyFont="1" applyFill="1" applyBorder="1" applyAlignment="1" applyProtection="1"/>
    <xf numFmtId="0" fontId="26" fillId="43" borderId="7" xfId="0" applyNumberFormat="1" applyFont="1" applyFill="1" applyBorder="1" applyAlignment="1" applyProtection="1"/>
    <xf numFmtId="0" fontId="0" fillId="36" borderId="0" xfId="61" applyFont="1" applyFill="1" applyAlignment="1">
      <alignment horizontal="left"/>
    </xf>
    <xf numFmtId="0" fontId="23" fillId="36" borderId="0" xfId="0" applyFont="1" applyFill="1"/>
    <xf numFmtId="0" fontId="26" fillId="36" borderId="7" xfId="61" applyFill="1" applyBorder="1"/>
    <xf numFmtId="0" fontId="26" fillId="36" borderId="8" xfId="61" applyFont="1" applyFill="1" applyBorder="1"/>
    <xf numFmtId="185" fontId="48" fillId="36" borderId="1" xfId="0" applyNumberFormat="1" applyFont="1" applyFill="1" applyBorder="1" applyAlignment="1"/>
    <xf numFmtId="0" fontId="48" fillId="36" borderId="8" xfId="0" applyFont="1" applyFill="1" applyBorder="1" applyAlignment="1"/>
    <xf numFmtId="0" fontId="0" fillId="36" borderId="8" xfId="61" applyFont="1" applyFill="1" applyBorder="1" applyAlignment="1">
      <alignment horizontal="left"/>
    </xf>
    <xf numFmtId="0" fontId="48" fillId="36" borderId="1" xfId="0" applyFont="1" applyFill="1" applyBorder="1" applyAlignment="1"/>
    <xf numFmtId="0" fontId="32" fillId="36" borderId="8" xfId="61" applyFont="1" applyFill="1" applyBorder="1" applyAlignment="1"/>
    <xf numFmtId="0" fontId="26" fillId="36" borderId="1" xfId="61" applyNumberFormat="1" applyFill="1" applyBorder="1"/>
    <xf numFmtId="0" fontId="32" fillId="36" borderId="7" xfId="61" applyFont="1" applyFill="1" applyBorder="1" applyAlignment="1"/>
    <xf numFmtId="0" fontId="32" fillId="36" borderId="7" xfId="61" applyFont="1" applyFill="1" applyBorder="1"/>
    <xf numFmtId="0" fontId="26" fillId="36" borderId="4" xfId="61" applyNumberFormat="1" applyFill="1" applyBorder="1"/>
    <xf numFmtId="0" fontId="26" fillId="36" borderId="8" xfId="61" applyFill="1" applyBorder="1" applyAlignment="1"/>
    <xf numFmtId="0" fontId="32" fillId="36" borderId="0" xfId="61" applyFont="1" applyFill="1"/>
    <xf numFmtId="0" fontId="26" fillId="28" borderId="8" xfId="61" applyFill="1" applyBorder="1"/>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8" fillId="14" borderId="7" xfId="0" applyFont="1" applyFill="1" applyBorder="1"/>
    <xf numFmtId="2" fontId="8" fillId="0" borderId="0" xfId="0" applyNumberFormat="1" applyFont="1"/>
    <xf numFmtId="0" fontId="10" fillId="16" borderId="9" xfId="16" applyFont="1" applyAlignment="1">
      <alignment vertical="center"/>
    </xf>
    <xf numFmtId="0" fontId="56" fillId="42" borderId="0" xfId="22"/>
    <xf numFmtId="186" fontId="56" fillId="42" borderId="0" xfId="22" applyNumberFormat="1"/>
    <xf numFmtId="187" fontId="8" fillId="0" borderId="0" xfId="0" applyNumberFormat="1" applyFont="1"/>
    <xf numFmtId="0" fontId="57" fillId="0" borderId="23" xfId="14"/>
    <xf numFmtId="183" fontId="0" fillId="0" borderId="0" xfId="0" applyNumberFormat="1"/>
    <xf numFmtId="1" fontId="0" fillId="0" borderId="0" xfId="0" applyNumberFormat="1"/>
    <xf numFmtId="183" fontId="8" fillId="0" borderId="0" xfId="0" applyNumberFormat="1" applyFont="1"/>
    <xf numFmtId="0" fontId="57" fillId="0" borderId="0" xfId="15"/>
    <xf numFmtId="0" fontId="0" fillId="0" borderId="0" xfId="80"/>
    <xf numFmtId="183" fontId="8" fillId="44" borderId="0" xfId="0" applyNumberFormat="1" applyFont="1" applyFill="1"/>
    <xf numFmtId="0" fontId="8" fillId="0" borderId="0" xfId="0" applyFont="1" applyAlignment="1">
      <alignment horizontal="right"/>
    </xf>
    <xf numFmtId="2" fontId="0" fillId="44" borderId="0" xfId="0" applyNumberFormat="1" applyFill="1"/>
    <xf numFmtId="0" fontId="2" fillId="3" borderId="4" xfId="0" applyFont="1" applyFill="1" applyBorder="1" applyAlignment="1">
      <alignment vertical="center"/>
    </xf>
    <xf numFmtId="0" fontId="2" fillId="3" borderId="5" xfId="0" applyFont="1" applyFill="1" applyBorder="1" applyAlignment="1">
      <alignment vertical="center"/>
    </xf>
    <xf numFmtId="0" fontId="10" fillId="16" borderId="9" xfId="16" applyFont="1" applyAlignment="1">
      <alignment vertical="center" wrapText="1"/>
    </xf>
    <xf numFmtId="184" fontId="56" fillId="42" borderId="0" xfId="22" applyNumberFormat="1"/>
    <xf numFmtId="1" fontId="0" fillId="38" borderId="8" xfId="1" applyNumberFormat="1" applyFont="1" applyFill="1" applyBorder="1" applyAlignment="1">
      <alignment horizontal="center"/>
    </xf>
    <xf numFmtId="0" fontId="0" fillId="38" borderId="0" xfId="0" applyFill="1"/>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9" fillId="27" borderId="0" xfId="0" applyFont="1" applyFill="1"/>
    <xf numFmtId="0" fontId="8" fillId="27" borderId="0" xfId="0" applyFont="1" applyFill="1"/>
    <xf numFmtId="1" fontId="0" fillId="27" borderId="0" xfId="0" applyNumberFormat="1" applyFill="1"/>
    <xf numFmtId="0" fontId="10" fillId="16" borderId="17" xfId="16" applyFont="1" applyBorder="1" applyAlignment="1">
      <alignment vertical="center" wrapText="1"/>
    </xf>
    <xf numFmtId="0" fontId="10" fillId="16" borderId="10" xfId="16" applyFont="1" applyBorder="1" applyAlignment="1">
      <alignment vertical="center"/>
    </xf>
    <xf numFmtId="0" fontId="10" fillId="16" borderId="11" xfId="16" applyFont="1" applyBorder="1" applyAlignment="1">
      <alignment vertical="center" wrapText="1"/>
    </xf>
    <xf numFmtId="0" fontId="10" fillId="16" borderId="12" xfId="16" applyFont="1" applyBorder="1" applyAlignment="1">
      <alignment vertical="center" wrapText="1"/>
    </xf>
    <xf numFmtId="0" fontId="10" fillId="16" borderId="18" xfId="16" applyFont="1" applyBorder="1" applyAlignment="1">
      <alignment vertical="center" wrapText="1"/>
    </xf>
    <xf numFmtId="0" fontId="10" fillId="16" borderId="13" xfId="16" applyFont="1" applyBorder="1" applyAlignment="1">
      <alignment vertical="center" wrapText="1"/>
    </xf>
    <xf numFmtId="0" fontId="10" fillId="16" borderId="0" xfId="16" applyFont="1" applyBorder="1" applyAlignment="1">
      <alignment vertical="center" wrapText="1"/>
    </xf>
    <xf numFmtId="0" fontId="10" fillId="16" borderId="14" xfId="16" applyFont="1" applyBorder="1" applyAlignment="1">
      <alignment vertical="center" wrapText="1"/>
    </xf>
    <xf numFmtId="0" fontId="10" fillId="16" borderId="19" xfId="16" applyFont="1" applyBorder="1" applyAlignment="1">
      <alignment vertical="center" wrapText="1"/>
    </xf>
    <xf numFmtId="0" fontId="10" fillId="16" borderId="15" xfId="16" applyFont="1" applyBorder="1" applyAlignment="1">
      <alignment vertical="center" wrapText="1"/>
    </xf>
    <xf numFmtId="0" fontId="10" fillId="16" borderId="6" xfId="16" applyFont="1" applyBorder="1" applyAlignment="1">
      <alignment vertical="center" wrapText="1"/>
    </xf>
    <xf numFmtId="0" fontId="10" fillId="16" borderId="16" xfId="16" applyFont="1" applyBorder="1" applyAlignment="1">
      <alignment vertical="center" wrapText="1"/>
    </xf>
    <xf numFmtId="2" fontId="8" fillId="44" borderId="0" xfId="0" applyNumberFormat="1" applyFont="1" applyFill="1"/>
    <xf numFmtId="0" fontId="2" fillId="3" borderId="0" xfId="0" applyFont="1" applyFill="1" applyAlignment="1">
      <alignment horizontal="left" vertical="center"/>
    </xf>
    <xf numFmtId="0" fontId="2" fillId="3" borderId="0" xfId="0" applyFont="1" applyFill="1" applyAlignment="1">
      <alignment vertical="center"/>
    </xf>
    <xf numFmtId="0" fontId="8" fillId="0" borderId="8" xfId="0" applyFont="1" applyBorder="1"/>
    <xf numFmtId="1" fontId="0" fillId="0" borderId="8" xfId="1" applyNumberFormat="1" applyFont="1" applyBorder="1" applyAlignment="1"/>
    <xf numFmtId="181" fontId="0" fillId="0" borderId="8" xfId="0" applyNumberFormat="1" applyBorder="1" applyAlignment="1">
      <alignment horizontal="center"/>
    </xf>
    <xf numFmtId="1" fontId="8" fillId="0" borderId="0" xfId="0" applyNumberFormat="1" applyFont="1"/>
    <xf numFmtId="1" fontId="0" fillId="0" borderId="0" xfId="0" applyNumberFormat="1" applyAlignment="1">
      <alignment horizontal="right"/>
    </xf>
    <xf numFmtId="2" fontId="0" fillId="0" borderId="8" xfId="0" applyNumberFormat="1" applyBorder="1" applyAlignment="1">
      <alignment horizontal="center"/>
    </xf>
    <xf numFmtId="181" fontId="8" fillId="0" borderId="8" xfId="0" applyNumberFormat="1" applyFont="1" applyBorder="1" applyAlignment="1">
      <alignment horizontal="center"/>
    </xf>
    <xf numFmtId="186" fontId="8" fillId="0" borderId="0" xfId="0" applyNumberFormat="1" applyFont="1"/>
    <xf numFmtId="0" fontId="58" fillId="0" borderId="0" xfId="0" applyFont="1"/>
    <xf numFmtId="0" fontId="10" fillId="16" borderId="11" xfId="16" applyFont="1" applyBorder="1" applyAlignment="1">
      <alignment vertical="center"/>
    </xf>
    <xf numFmtId="0" fontId="10" fillId="16" borderId="12" xfId="16" applyFont="1" applyBorder="1" applyAlignment="1">
      <alignment vertical="center"/>
    </xf>
    <xf numFmtId="0" fontId="10" fillId="16" borderId="13" xfId="16" applyFont="1" applyBorder="1" applyAlignment="1">
      <alignment vertical="center"/>
    </xf>
    <xf numFmtId="0" fontId="10" fillId="16" borderId="0" xfId="16" applyFont="1" applyBorder="1" applyAlignment="1">
      <alignment vertical="center"/>
    </xf>
    <xf numFmtId="0" fontId="10" fillId="16" borderId="14" xfId="16" applyFont="1" applyBorder="1" applyAlignment="1">
      <alignment vertical="center"/>
    </xf>
    <xf numFmtId="0" fontId="10" fillId="16" borderId="15" xfId="16" applyFont="1" applyBorder="1" applyAlignment="1">
      <alignment vertical="center"/>
    </xf>
    <xf numFmtId="0" fontId="10" fillId="16" borderId="6" xfId="16" applyFont="1" applyBorder="1" applyAlignment="1">
      <alignment vertical="center"/>
    </xf>
    <xf numFmtId="0" fontId="10" fillId="16" borderId="16" xfId="16" applyFont="1" applyBorder="1" applyAlignment="1">
      <alignment vertical="center"/>
    </xf>
    <xf numFmtId="0" fontId="59" fillId="0" borderId="0" xfId="0" applyFont="1"/>
    <xf numFmtId="0" fontId="60" fillId="0" borderId="0" xfId="0" applyFont="1" applyAlignment="1">
      <alignment horizontal="left" vertical="center" wrapText="1"/>
    </xf>
    <xf numFmtId="0" fontId="60" fillId="0" borderId="0" xfId="0" applyFont="1" applyAlignment="1">
      <alignment vertical="center" wrapText="1"/>
    </xf>
    <xf numFmtId="188" fontId="8" fillId="0" borderId="0" xfId="0" applyNumberFormat="1" applyFont="1" applyAlignment="1">
      <alignment horizontal="left"/>
    </xf>
    <xf numFmtId="0" fontId="1" fillId="0" borderId="0" xfId="0" applyFont="1" applyAlignment="1">
      <alignment wrapText="1"/>
    </xf>
    <xf numFmtId="0" fontId="24" fillId="0" borderId="0" xfId="0" applyFont="1"/>
    <xf numFmtId="0" fontId="33" fillId="38" borderId="0" xfId="61" applyFont="1" applyFill="1"/>
  </cellXfs>
  <cellStyles count="11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3" xfId="64"/>
    <cellStyle name="Normal 11 4" xfId="65"/>
    <cellStyle name="Normal 12" xfId="66"/>
    <cellStyle name="Normal 12 2" xfId="67"/>
    <cellStyle name="Normal 12 3" xfId="68"/>
    <cellStyle name="Normal 12 4" xfId="69"/>
    <cellStyle name="Normal 2" xfId="70"/>
    <cellStyle name="Normal 2 2" xfId="71"/>
    <cellStyle name="Normal 2 3" xfId="72"/>
    <cellStyle name="Normal 2 4" xfId="73"/>
    <cellStyle name="Normal 2 5" xfId="74"/>
    <cellStyle name="Normal 3" xfId="75"/>
    <cellStyle name="Normal 39" xfId="76"/>
    <cellStyle name="Normal 4" xfId="77"/>
    <cellStyle name="Normal 4 2" xfId="78"/>
    <cellStyle name="Normal 4 3" xfId="79"/>
    <cellStyle name="Normal 5" xfId="80"/>
    <cellStyle name="Normal 5 2" xfId="81"/>
    <cellStyle name="Normal 6" xfId="82"/>
    <cellStyle name="Normal 7" xfId="83"/>
    <cellStyle name="Normal 8" xfId="84"/>
    <cellStyle name="Normal 9" xfId="85"/>
    <cellStyle name="Normal 9 2" xfId="86"/>
    <cellStyle name="Normale_B2020" xfId="87"/>
    <cellStyle name="Note 2" xfId="88"/>
    <cellStyle name="Percent 2" xfId="89"/>
    <cellStyle name="Percent 2 2" xfId="90"/>
    <cellStyle name="Percent 2 2 2" xfId="91"/>
    <cellStyle name="Percent 2 3" xfId="92"/>
    <cellStyle name="Percent 3" xfId="93"/>
    <cellStyle name="Percent 3 2" xfId="94"/>
    <cellStyle name="Percent 3 2 2" xfId="95"/>
    <cellStyle name="Percent 3 3" xfId="96"/>
    <cellStyle name="Percent 3 4" xfId="97"/>
    <cellStyle name="Percent 4" xfId="98"/>
    <cellStyle name="Percent 4 2" xfId="99"/>
    <cellStyle name="Percent 4 3" xfId="100"/>
    <cellStyle name="Percent 4 4" xfId="101"/>
    <cellStyle name="Percent 5" xfId="102"/>
    <cellStyle name="Percent 5 2" xfId="103"/>
    <cellStyle name="Percent 6" xfId="104"/>
    <cellStyle name="Percent 6 2" xfId="105"/>
    <cellStyle name="Percent 7" xfId="106"/>
    <cellStyle name="Percent 8" xfId="107"/>
    <cellStyle name="Percent 9" xfId="108"/>
    <cellStyle name="Standard_Sce_D_Extraction" xfId="10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eetMetadata" Target="metadata.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3.xml"/><Relationship Id="rId3" Type="http://schemas.openxmlformats.org/officeDocument/2006/relationships/worksheet" Target="worksheets/sheet3.xml"/><Relationship Id="rId29" Type="http://schemas.openxmlformats.org/officeDocument/2006/relationships/externalLink" Target="externalLinks/externalLink2.xml"/><Relationship Id="rId28" Type="http://schemas.openxmlformats.org/officeDocument/2006/relationships/externalLink" Target="externalLinks/externalLink1.xml"/><Relationship Id="rId27" Type="http://schemas.openxmlformats.org/officeDocument/2006/relationships/customXml" Target="../customXml/item3.xml"/><Relationship Id="rId26" Type="http://schemas.openxmlformats.org/officeDocument/2006/relationships/customXml" Target="../customXml/item2.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rPr>
                  <a:t>Material mass (ktonne/GWh)</a:t>
                </a:r>
                <a:endPar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2.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41014015" y="246786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77301725" y="404736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22816820" y="34201735"/>
          <a:ext cx="23387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26990675" y="268839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13</xdr:col>
      <xdr:colOff>619125</xdr:colOff>
      <xdr:row>33</xdr:row>
      <xdr:rowOff>45085</xdr:rowOff>
    </xdr:from>
    <xdr:to>
      <xdr:col>17</xdr:col>
      <xdr:colOff>485775</xdr:colOff>
      <xdr:row>50</xdr:row>
      <xdr:rowOff>64135</xdr:rowOff>
    </xdr:to>
    <xdr:graphicFrame>
      <xdr:nvGraphicFramePr>
        <xdr:cNvPr id="6" name="Chart 5"/>
        <xdr:cNvGraphicFramePr/>
      </xdr:nvGraphicFramePr>
      <xdr:xfrm>
        <a:off x="34080450" y="5958840"/>
        <a:ext cx="4826000" cy="3060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2" name="Multiply 1"/>
        <xdr:cNvSpPr/>
      </xdr:nvSpPr>
      <xdr:spPr>
        <a:xfrm>
          <a:off x="38728015" y="243865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3" name="Down Arrow 2"/>
        <xdr:cNvSpPr/>
      </xdr:nvSpPr>
      <xdr:spPr>
        <a:xfrm>
          <a:off x="74863325" y="401815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4" name="Down Arrow 3"/>
        <xdr:cNvSpPr/>
      </xdr:nvSpPr>
      <xdr:spPr>
        <a:xfrm>
          <a:off x="21826220" y="33909635"/>
          <a:ext cx="10433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5" name="Rectangles 4"/>
        <xdr:cNvSpPr/>
      </xdr:nvSpPr>
      <xdr:spPr>
        <a:xfrm>
          <a:off x="24704675" y="265918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19" sqref="C19"/>
    </sheetView>
  </sheetViews>
  <sheetFormatPr defaultColWidth="8.72727272727273" defaultRowHeight="14.5" outlineLevelCol="3"/>
  <sheetData>
    <row r="2" spans="2:4">
      <c r="B2" s="175" t="s">
        <v>0</v>
      </c>
      <c r="C2" s="247" t="s">
        <v>1</v>
      </c>
      <c r="D2" s="175"/>
    </row>
    <row r="3" spans="2:4">
      <c r="B3" s="175"/>
      <c r="C3" s="247" t="s">
        <v>2</v>
      </c>
      <c r="D3" s="175"/>
    </row>
    <row r="4" spans="2:4">
      <c r="B4" s="175"/>
      <c r="C4" s="247" t="s">
        <v>3</v>
      </c>
      <c r="D4" s="175"/>
    </row>
    <row r="5" spans="2:4">
      <c r="B5" s="175"/>
      <c r="C5" s="247" t="s">
        <v>4</v>
      </c>
      <c r="D5" s="175"/>
    </row>
    <row r="6" spans="2:4">
      <c r="B6" s="175"/>
      <c r="C6" s="247" t="s">
        <v>5</v>
      </c>
      <c r="D6" s="175"/>
    </row>
    <row r="7" spans="2:4">
      <c r="B7" s="175"/>
      <c r="C7" s="175"/>
      <c r="D7" s="175"/>
    </row>
    <row r="8" spans="2:4">
      <c r="B8" s="175"/>
      <c r="C8" s="305" t="s">
        <v>6</v>
      </c>
      <c r="D8" s="438" t="s">
        <v>7</v>
      </c>
    </row>
    <row r="9" spans="2:4">
      <c r="B9" s="175"/>
      <c r="C9" s="175"/>
      <c r="D9" s="175"/>
    </row>
    <row r="10" spans="2:4">
      <c r="B10" s="175"/>
      <c r="C10" s="175"/>
      <c r="D10" s="175"/>
    </row>
    <row r="11" spans="2:4">
      <c r="B11" s="175"/>
      <c r="C11" s="175"/>
      <c r="D11" s="175"/>
    </row>
    <row r="12" spans="2:4">
      <c r="B12" s="175"/>
      <c r="C12" s="175"/>
      <c r="D12" s="175"/>
    </row>
    <row r="13" spans="2:4">
      <c r="B13" s="175"/>
      <c r="C13" s="175"/>
      <c r="D13" s="175"/>
    </row>
    <row r="14" spans="2:4">
      <c r="B14" s="175"/>
      <c r="C14" s="175"/>
      <c r="D14" s="17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workbookViewId="0">
      <selection activeCell="B11" sqref="B11"/>
    </sheetView>
  </sheetViews>
  <sheetFormatPr defaultColWidth="9" defaultRowHeight="14.5" outlineLevelCol="5"/>
  <cols>
    <col min="2" max="2" width="60.0909090909091" customWidth="1"/>
    <col min="3" max="6" width="11.0909090909091" customWidth="1"/>
  </cols>
  <sheetData>
    <row r="7" s="432" customFormat="1" ht="156" customHeight="1" spans="2:6">
      <c r="B7" s="433" t="s">
        <v>8</v>
      </c>
      <c r="C7" s="434"/>
      <c r="D7" s="434"/>
      <c r="E7" s="434"/>
      <c r="F7" s="434"/>
    </row>
    <row r="9" spans="2:2">
      <c r="B9" s="435"/>
    </row>
    <row r="10" ht="15.5" spans="2:2">
      <c r="B10" s="436" t="s">
        <v>9</v>
      </c>
    </row>
    <row r="11" spans="2:2">
      <c r="B11" s="437"/>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A3" sqref="A3"/>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spans="2:2">
      <c r="B4"/>
    </row>
    <row r="5" spans="2:2">
      <c r="B5" s="43" t="s">
        <v>11</v>
      </c>
    </row>
    <row r="6" ht="15" customHeight="1" spans="2:4">
      <c r="B6" s="44">
        <v>2015</v>
      </c>
      <c r="C6" s="44"/>
      <c r="D6" s="44"/>
    </row>
    <row r="7" spans="2:4">
      <c r="B7" s="45" t="s">
        <v>12</v>
      </c>
      <c r="C7" s="46" t="s">
        <v>13</v>
      </c>
      <c r="D7" s="47">
        <v>5.46927188343767</v>
      </c>
    </row>
    <row r="8" ht="15" customHeight="1" spans="2:4">
      <c r="B8" s="45" t="s">
        <v>14</v>
      </c>
      <c r="C8" s="46" t="s">
        <v>15</v>
      </c>
      <c r="D8" s="68">
        <v>14228.2705540072</v>
      </c>
    </row>
    <row r="9" ht="15.75" customHeight="1"/>
    <row r="10" spans="2:6">
      <c r="B10" s="71" t="s">
        <v>16</v>
      </c>
      <c r="C10" s="55" t="s">
        <v>17</v>
      </c>
      <c r="D10" s="56"/>
      <c r="E10" s="56"/>
      <c r="F10" s="57"/>
    </row>
    <row r="11" spans="2:6">
      <c r="B11" s="72"/>
      <c r="C11" s="58"/>
      <c r="D11" s="59"/>
      <c r="E11" s="59"/>
      <c r="F11" s="60"/>
    </row>
    <row r="12" spans="2:6">
      <c r="B12" s="73"/>
      <c r="C12" s="61"/>
      <c r="D12" s="62"/>
      <c r="E12" s="62"/>
      <c r="F12" s="63"/>
    </row>
    <row r="13" spans="2:6">
      <c r="B13" s="88"/>
      <c r="C13" s="50">
        <v>2020</v>
      </c>
      <c r="D13" s="50">
        <v>2030</v>
      </c>
      <c r="E13" s="50">
        <v>2040</v>
      </c>
      <c r="F13" s="50">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3:6">
      <c r="C20" s="97"/>
      <c r="D20" s="97"/>
      <c r="E20" s="97"/>
      <c r="F20" s="97"/>
    </row>
    <row r="24" ht="15" customHeight="1" spans="2:6">
      <c r="B24" s="48" t="s">
        <v>16</v>
      </c>
      <c r="C24" s="48" t="s">
        <v>18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3:6">
      <c r="C35" s="97"/>
      <c r="D35" s="97"/>
      <c r="E35" s="97"/>
      <c r="F35" s="97"/>
    </row>
    <row r="39" ht="15" customHeight="1" spans="2:6">
      <c r="B39" s="48" t="s">
        <v>16</v>
      </c>
      <c r="C39" s="48" t="s">
        <v>19</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17">
        <v>0.721601948104536</v>
      </c>
      <c r="C43" s="86">
        <v>20812.7133591781</v>
      </c>
      <c r="D43" s="86">
        <v>17365.3568320155</v>
      </c>
      <c r="E43" s="86">
        <v>16391.8817697786</v>
      </c>
      <c r="F43" s="86">
        <v>16107.9621769284</v>
      </c>
    </row>
    <row r="44" spans="2:6">
      <c r="B44" s="417">
        <v>0.731601948104536</v>
      </c>
      <c r="C44" s="86">
        <v>20851.3897050157</v>
      </c>
      <c r="D44" s="86">
        <v>17382.3083966418</v>
      </c>
      <c r="E44" s="86">
        <v>16398.0451175294</v>
      </c>
      <c r="F44" s="86">
        <v>16110.4092865014</v>
      </c>
    </row>
    <row r="45" spans="2:6">
      <c r="B45" s="417">
        <v>0.744101948104536</v>
      </c>
      <c r="C45" s="86">
        <v>20931.9431774786</v>
      </c>
      <c r="D45" s="86">
        <v>17404.5453307715</v>
      </c>
      <c r="E45" s="86">
        <v>16408.4434288326</v>
      </c>
      <c r="F45" s="86">
        <v>16116.8340630847</v>
      </c>
    </row>
    <row r="46" spans="2:6">
      <c r="B46" s="417">
        <v>0.754101948104536</v>
      </c>
      <c r="C46" s="86">
        <v>21037.7835001907</v>
      </c>
      <c r="D46" s="86">
        <v>17418.0069824979</v>
      </c>
      <c r="E46" s="86">
        <v>16417.1598686968</v>
      </c>
      <c r="F46" s="86">
        <v>16124.0886285498</v>
      </c>
    </row>
    <row r="47" spans="2:6">
      <c r="B47" s="417">
        <v>0.764101948104536</v>
      </c>
      <c r="C47" s="86">
        <v>21236.3171139848</v>
      </c>
      <c r="D47" s="86">
        <v>17424.2997644047</v>
      </c>
      <c r="E47" s="86">
        <v>16427.4256488727</v>
      </c>
      <c r="F47" s="86">
        <v>16136.0835188483</v>
      </c>
    </row>
    <row r="48" spans="2:6">
      <c r="B48" s="417">
        <v>0.811601948104536</v>
      </c>
      <c r="C48" s="86">
        <v>59492.3733506709</v>
      </c>
      <c r="D48" s="86">
        <v>18038.1548667216</v>
      </c>
      <c r="E48" s="86">
        <v>16838.025219281</v>
      </c>
      <c r="F48" s="86">
        <v>16485.1364888066</v>
      </c>
    </row>
    <row r="49" spans="2:6">
      <c r="B49" s="417">
        <v>0.819101948104536</v>
      </c>
      <c r="C49" s="86">
        <v>103206.415841584</v>
      </c>
      <c r="D49" s="86">
        <v>18410.7431620057</v>
      </c>
      <c r="E49" s="86">
        <v>17196.0487970128</v>
      </c>
      <c r="F49" s="86">
        <v>16848.2003984707</v>
      </c>
    </row>
    <row r="50" spans="2:6">
      <c r="B50" s="417">
        <v>0.826601948104536</v>
      </c>
      <c r="C50" s="86"/>
      <c r="D50" s="86">
        <v>35985.7423347741</v>
      </c>
      <c r="E50" s="86">
        <v>34084.0298799103</v>
      </c>
      <c r="F50" s="86">
        <v>33973.9340642113</v>
      </c>
    </row>
    <row r="54" ht="15" customHeight="1"/>
    <row r="55" spans="2:2">
      <c r="B55" s="43" t="s">
        <v>20</v>
      </c>
    </row>
    <row r="56" spans="2:4">
      <c r="B56" s="44">
        <v>2015</v>
      </c>
      <c r="C56" s="44"/>
      <c r="D56" s="44"/>
    </row>
    <row r="57" spans="2:4">
      <c r="B57" s="45" t="s">
        <v>12</v>
      </c>
      <c r="C57" s="46" t="s">
        <v>13</v>
      </c>
      <c r="D57" s="47">
        <v>4.00034183436325</v>
      </c>
    </row>
    <row r="58" spans="2:4">
      <c r="B58" s="45" t="s">
        <v>14</v>
      </c>
      <c r="C58" s="46" t="s">
        <v>15</v>
      </c>
      <c r="D58" s="68">
        <v>16512.1601186242</v>
      </c>
    </row>
    <row r="60" spans="2:6">
      <c r="B60" s="48" t="s">
        <v>21</v>
      </c>
      <c r="C60" s="48" t="s">
        <v>22</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3:6">
      <c r="C69" s="97"/>
      <c r="D69" s="97"/>
      <c r="E69" s="97"/>
      <c r="F69" s="97"/>
    </row>
    <row r="73" ht="15" customHeight="1" spans="2:6">
      <c r="B73" s="48" t="s">
        <v>21</v>
      </c>
      <c r="C73" s="48" t="s">
        <v>23</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3:6">
      <c r="C84" s="97"/>
      <c r="D84" s="97"/>
      <c r="E84" s="97"/>
      <c r="F84" s="97"/>
    </row>
    <row r="88" ht="15" customHeight="1" spans="2:6">
      <c r="B88" s="48" t="s">
        <v>21</v>
      </c>
      <c r="C88" s="48" t="s">
        <v>24</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17">
        <v>0.738964852080722</v>
      </c>
      <c r="C92" s="86">
        <v>23212.7756758373</v>
      </c>
      <c r="D92" s="86">
        <v>19821.2097898767</v>
      </c>
      <c r="E92" s="86">
        <v>18883.5786556431</v>
      </c>
      <c r="F92" s="86">
        <v>18610.1131502571</v>
      </c>
    </row>
    <row r="93" spans="2:6">
      <c r="B93" s="417">
        <v>0.748964852080722</v>
      </c>
      <c r="C93" s="86">
        <v>23245.1719509279</v>
      </c>
      <c r="D93" s="86">
        <v>19835.3294001618</v>
      </c>
      <c r="E93" s="86">
        <v>18887.3935814335</v>
      </c>
      <c r="F93" s="86">
        <v>18610.3188052591</v>
      </c>
    </row>
    <row r="94" spans="2:6">
      <c r="B94" s="417">
        <v>0.758964852080722</v>
      </c>
      <c r="C94" s="86">
        <v>23332.8004095118</v>
      </c>
      <c r="D94" s="86">
        <v>19856.7086648975</v>
      </c>
      <c r="E94" s="86">
        <v>18901.4352903486</v>
      </c>
      <c r="F94" s="86">
        <v>18622.1162109176</v>
      </c>
    </row>
    <row r="95" spans="2:6">
      <c r="B95" s="417">
        <v>0.768964852080722</v>
      </c>
      <c r="C95" s="86">
        <v>23598.5211216196</v>
      </c>
      <c r="D95" s="86">
        <v>19920.8585524424</v>
      </c>
      <c r="E95" s="86">
        <v>18954.9502341197</v>
      </c>
      <c r="F95" s="86">
        <v>18673.3320676582</v>
      </c>
    </row>
    <row r="96" spans="2:6">
      <c r="B96" s="417">
        <v>0.778964852080722</v>
      </c>
      <c r="C96" s="86">
        <v>24105.6371789567</v>
      </c>
      <c r="D96" s="86">
        <v>19990.4900793941</v>
      </c>
      <c r="E96" s="86">
        <v>19029.9871027869</v>
      </c>
      <c r="F96" s="86">
        <v>18752.4778030617</v>
      </c>
    </row>
    <row r="97" spans="2:6">
      <c r="B97" s="417">
        <v>0.821464852080722</v>
      </c>
      <c r="C97" s="86">
        <v>62041.5748450451</v>
      </c>
      <c r="D97" s="86">
        <v>20649.567937699</v>
      </c>
      <c r="E97" s="86">
        <v>19513.0905822758</v>
      </c>
      <c r="F97" s="86">
        <v>19185.9657397574</v>
      </c>
    </row>
    <row r="98" spans="2:6">
      <c r="B98" s="417">
        <v>0.826464852080722</v>
      </c>
      <c r="C98" s="86">
        <v>105784.415841584</v>
      </c>
      <c r="D98" s="86">
        <v>36812.1868746111</v>
      </c>
      <c r="E98" s="86">
        <v>35043.9022866418</v>
      </c>
      <c r="F98" s="86">
        <v>34935.4235083413</v>
      </c>
    </row>
    <row r="99" spans="3:6">
      <c r="C99" s="97"/>
      <c r="D99" s="97"/>
      <c r="E99" s="97"/>
      <c r="F99" s="97"/>
    </row>
    <row r="103" spans="2:4">
      <c r="B103" s="44">
        <v>2020</v>
      </c>
      <c r="C103" s="44"/>
      <c r="D103" s="44"/>
    </row>
    <row r="104" spans="2:4">
      <c r="B104" s="45" t="s">
        <v>25</v>
      </c>
      <c r="C104" s="46" t="s">
        <v>26</v>
      </c>
      <c r="D104" s="74">
        <v>0.135</v>
      </c>
    </row>
    <row r="106" ht="15" customHeight="1" spans="2:6">
      <c r="B106" s="48" t="s">
        <v>27</v>
      </c>
      <c r="C106" s="48" t="s">
        <v>28</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2">
      <c r="B118"/>
    </row>
    <row r="121" ht="15" customHeight="1" spans="2:6">
      <c r="B121" s="48" t="s">
        <v>29</v>
      </c>
      <c r="C121" s="48" t="s">
        <v>30</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20">
        <v>0.825473325119398</v>
      </c>
      <c r="C125" s="86">
        <v>38790.2507063985</v>
      </c>
      <c r="D125" s="86">
        <v>26275.8323091074</v>
      </c>
      <c r="E125" s="86">
        <v>21981.4594899507</v>
      </c>
      <c r="F125" s="86">
        <v>20924.2567986138</v>
      </c>
    </row>
    <row r="126" spans="2:6">
      <c r="B126" s="420">
        <v>0.790095896899995</v>
      </c>
      <c r="C126" s="86">
        <v>38995.3914357923</v>
      </c>
      <c r="D126" s="86">
        <v>26441.685967644</v>
      </c>
      <c r="E126" s="86">
        <v>22123.2713366406</v>
      </c>
      <c r="F126" s="86">
        <v>21062.2358926905</v>
      </c>
    </row>
    <row r="127" spans="2:6">
      <c r="B127" s="420">
        <v>0.754718468680593</v>
      </c>
      <c r="C127" s="86">
        <v>39349.3407829814</v>
      </c>
      <c r="D127" s="86">
        <v>26607.5396261806</v>
      </c>
      <c r="E127" s="86">
        <v>22265.0831833305</v>
      </c>
      <c r="F127" s="86">
        <v>21200.2149867671</v>
      </c>
    </row>
    <row r="128" spans="2:6">
      <c r="B128" s="420">
        <v>0.71934104046119</v>
      </c>
      <c r="C128" s="86">
        <v>41112.1865178866</v>
      </c>
      <c r="D128" s="86">
        <v>26773.3932847172</v>
      </c>
      <c r="E128" s="86">
        <v>22406.8950300204</v>
      </c>
      <c r="F128" s="86">
        <v>21338.1940808438</v>
      </c>
    </row>
    <row r="129" spans="2:6">
      <c r="B129" s="420">
        <v>0.688208903628116</v>
      </c>
      <c r="C129" s="86">
        <v>41503.3848501339</v>
      </c>
      <c r="D129" s="86">
        <v>27942.636601134</v>
      </c>
      <c r="E129" s="86">
        <v>22548.7068767103</v>
      </c>
      <c r="F129" s="86">
        <v>21476.1731749205</v>
      </c>
    </row>
    <row r="130" spans="2:6">
      <c r="B130" s="420">
        <v>0.666274898132086</v>
      </c>
      <c r="C130" s="86">
        <v>41725.4719857748</v>
      </c>
      <c r="D130" s="86">
        <v>28117.4747821718</v>
      </c>
      <c r="E130" s="86">
        <v>22690.5187234002</v>
      </c>
      <c r="F130" s="86">
        <v>21614.1522689971</v>
      </c>
    </row>
    <row r="131" spans="2:6">
      <c r="B131" s="420">
        <v>0.646227688807758</v>
      </c>
      <c r="C131" s="86">
        <v>41947.5591214156</v>
      </c>
      <c r="D131" s="86">
        <v>28292.3129632096</v>
      </c>
      <c r="E131" s="86">
        <v>22832.3305700901</v>
      </c>
      <c r="F131" s="86">
        <v>21752.1313630738</v>
      </c>
    </row>
    <row r="132" spans="2:6">
      <c r="B132" s="420">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workbookViewId="0">
      <pane ySplit="2" topLeftCell="A3" activePane="bottomLeft" state="frozen"/>
      <selection/>
      <selection pane="bottomLeft" activeCell="A3" sqref="A3"/>
    </sheetView>
  </sheetViews>
  <sheetFormatPr defaultColWidth="9" defaultRowHeight="14.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2">
      <c r="B5" s="43" t="s">
        <v>31</v>
      </c>
    </row>
    <row r="6" ht="15" customHeight="1" spans="2:4">
      <c r="B6" s="44">
        <v>2015</v>
      </c>
      <c r="C6" s="44"/>
      <c r="D6" s="44"/>
    </row>
    <row r="7" ht="15.75" customHeight="1" spans="2:4">
      <c r="B7" s="45" t="s">
        <v>12</v>
      </c>
      <c r="C7" s="46" t="s">
        <v>13</v>
      </c>
      <c r="D7" s="47">
        <v>7.89518718166771</v>
      </c>
    </row>
    <row r="8" spans="2:4">
      <c r="B8" s="45" t="s">
        <v>14</v>
      </c>
      <c r="C8" s="46" t="s">
        <v>15</v>
      </c>
      <c r="D8" s="68">
        <v>37057.8096636581</v>
      </c>
    </row>
    <row r="10" spans="2:6">
      <c r="B10" s="48" t="s">
        <v>16</v>
      </c>
      <c r="C10" s="48" t="s">
        <v>32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6">
      <c r="B18" s="85">
        <v>0.39894485824384</v>
      </c>
      <c r="C18" s="86">
        <v>48739.8183928225</v>
      </c>
      <c r="D18" s="86">
        <v>39463.2510831131</v>
      </c>
      <c r="E18" s="86">
        <v>39463.2510831131</v>
      </c>
      <c r="F18" s="86">
        <v>39463.2510831131</v>
      </c>
    </row>
    <row r="19" spans="2:6">
      <c r="B19" s="85">
        <v>0.44894485824384</v>
      </c>
      <c r="C19" s="86">
        <v>103044.926074979</v>
      </c>
      <c r="D19" s="86">
        <v>42665.9187696869</v>
      </c>
      <c r="E19" s="86">
        <v>42665.9187696869</v>
      </c>
      <c r="F19" s="86">
        <v>42665.9187696869</v>
      </c>
    </row>
    <row r="20" spans="3:6">
      <c r="C20" s="97"/>
      <c r="D20" s="97"/>
      <c r="E20" s="97"/>
      <c r="F20" s="97"/>
    </row>
    <row r="24" ht="15" customHeight="1" spans="2:6">
      <c r="B24" s="48" t="s">
        <v>16</v>
      </c>
      <c r="C24" s="48" t="s">
        <v>33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0.24644485824384</v>
      </c>
      <c r="C28" s="86">
        <v>40649.7289722834</v>
      </c>
      <c r="D28" s="86">
        <v>39285.9289722834</v>
      </c>
      <c r="E28" s="86">
        <v>39285.9289722834</v>
      </c>
      <c r="F28" s="86">
        <v>39285.9289722834</v>
      </c>
    </row>
    <row r="29" spans="2:6">
      <c r="B29" s="85">
        <v>0.34644485824384</v>
      </c>
      <c r="C29" s="86">
        <v>40906.8889722834</v>
      </c>
      <c r="D29" s="86">
        <v>39430.9189722834</v>
      </c>
      <c r="E29" s="86">
        <v>39430.9189722834</v>
      </c>
      <c r="F29" s="86">
        <v>39430.9189722834</v>
      </c>
    </row>
    <row r="30" spans="2:6">
      <c r="B30" s="85">
        <v>0.39644485824384</v>
      </c>
      <c r="C30" s="86">
        <v>41410.2489722834</v>
      </c>
      <c r="D30" s="86">
        <v>39592.0289722834</v>
      </c>
      <c r="E30" s="86">
        <v>39592.0289722834</v>
      </c>
      <c r="F30" s="86">
        <v>39592.0289722834</v>
      </c>
    </row>
    <row r="31" spans="2:6">
      <c r="B31" s="85">
        <v>0.44644485824384</v>
      </c>
      <c r="C31" s="86">
        <v>42124.7289722834</v>
      </c>
      <c r="D31" s="86">
        <v>39729.2889722834</v>
      </c>
      <c r="E31" s="86">
        <v>39729.2889722834</v>
      </c>
      <c r="F31" s="86">
        <v>39729.2889722834</v>
      </c>
    </row>
    <row r="32" spans="2:6">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3:6">
      <c r="C35" s="97"/>
      <c r="D35" s="97"/>
      <c r="E35" s="97"/>
      <c r="F35" s="97"/>
    </row>
    <row r="39" ht="15" customHeight="1" spans="2:6">
      <c r="B39" s="48" t="s">
        <v>16</v>
      </c>
      <c r="C39" s="48" t="s">
        <v>34</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17">
        <v>0.67394485824384</v>
      </c>
      <c r="C43" s="86">
        <v>46420.5894379047</v>
      </c>
      <c r="D43" s="86">
        <v>41366.3503226909</v>
      </c>
      <c r="E43" s="86">
        <v>40062.051264038</v>
      </c>
      <c r="F43" s="86">
        <v>39681.6449526152</v>
      </c>
    </row>
    <row r="44" spans="2:6">
      <c r="B44" s="417">
        <v>0.68394485824384</v>
      </c>
      <c r="C44" s="86">
        <v>46586.7153388341</v>
      </c>
      <c r="D44" s="86">
        <v>41403.0640612314</v>
      </c>
      <c r="E44" s="86">
        <v>40074.718798282</v>
      </c>
      <c r="F44" s="86">
        <v>39685.9984662329</v>
      </c>
    </row>
    <row r="45" spans="2:6">
      <c r="B45" s="417">
        <v>0.69644485824384</v>
      </c>
      <c r="C45" s="86">
        <v>46895.5549242849</v>
      </c>
      <c r="D45" s="86">
        <v>41450.0904967378</v>
      </c>
      <c r="E45" s="86">
        <v>40091.6431393694</v>
      </c>
      <c r="F45" s="86">
        <v>39692.5456257088</v>
      </c>
    </row>
    <row r="46" spans="2:6">
      <c r="B46" s="417">
        <v>0.70644485824384</v>
      </c>
      <c r="C46" s="86">
        <v>47296.9339030488</v>
      </c>
      <c r="D46" s="86">
        <v>41477.6046442004</v>
      </c>
      <c r="E46" s="86">
        <v>40099.9929086037</v>
      </c>
      <c r="F46" s="86">
        <v>39694.2190592769</v>
      </c>
    </row>
    <row r="47" spans="2:6">
      <c r="B47" s="417">
        <v>0.71644485824384</v>
      </c>
      <c r="C47" s="86">
        <v>48114.0274154616</v>
      </c>
      <c r="D47" s="86">
        <v>41493.4285240087</v>
      </c>
      <c r="E47" s="86">
        <v>40105.0232544859</v>
      </c>
      <c r="F47" s="86">
        <v>39695.4986628482</v>
      </c>
    </row>
    <row r="48" spans="2:6">
      <c r="B48" s="417">
        <v>0.76394485824384</v>
      </c>
      <c r="C48" s="86">
        <v>108321.206334626</v>
      </c>
      <c r="D48" s="86">
        <v>42684.1712265634</v>
      </c>
      <c r="E48" s="86">
        <v>40858.0547139347</v>
      </c>
      <c r="F48" s="86">
        <v>40312.2161868235</v>
      </c>
    </row>
    <row r="49" spans="2:6">
      <c r="B49" s="417">
        <v>0.77144485824384</v>
      </c>
      <c r="C49" s="86"/>
      <c r="D49" s="86">
        <v>42729.6383182063</v>
      </c>
      <c r="E49" s="86">
        <v>40901.744467545</v>
      </c>
      <c r="F49" s="86">
        <v>40356.5210140601</v>
      </c>
    </row>
    <row r="50" spans="3:6">
      <c r="C50" s="97"/>
      <c r="D50" s="97"/>
      <c r="E50" s="97"/>
      <c r="F50" s="97"/>
    </row>
    <row r="55" spans="2:2">
      <c r="B55" s="43" t="s">
        <v>35</v>
      </c>
    </row>
    <row r="56" spans="2:4">
      <c r="B56" s="44">
        <v>2015</v>
      </c>
      <c r="C56" s="44"/>
      <c r="D56" s="44"/>
    </row>
    <row r="57" spans="2:4">
      <c r="B57" s="45" t="s">
        <v>12</v>
      </c>
      <c r="C57" s="46" t="s">
        <v>13</v>
      </c>
      <c r="D57" s="47">
        <v>6.73251091854392</v>
      </c>
    </row>
    <row r="58" spans="2:4">
      <c r="B58" s="45" t="s">
        <v>14</v>
      </c>
      <c r="C58" s="46" t="s">
        <v>15</v>
      </c>
      <c r="D58" s="68">
        <v>42530.904474211</v>
      </c>
    </row>
    <row r="60" ht="15" customHeight="1" spans="2:6">
      <c r="B60" s="48" t="s">
        <v>21</v>
      </c>
      <c r="C60" s="48" t="s">
        <v>36</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3:6">
      <c r="C69" s="97"/>
      <c r="D69" s="97"/>
      <c r="E69" s="97"/>
      <c r="F69" s="97"/>
    </row>
    <row r="73" ht="15" customHeight="1" spans="2:6">
      <c r="B73" s="48" t="s">
        <v>21</v>
      </c>
      <c r="C73" s="48" t="s">
        <v>37</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3:6">
      <c r="C84" s="97"/>
      <c r="D84" s="97"/>
      <c r="E84" s="97"/>
      <c r="F84" s="97"/>
    </row>
    <row r="88" ht="15" customHeight="1" spans="2:6">
      <c r="B88" s="48" t="s">
        <v>21</v>
      </c>
      <c r="C88" s="48" t="s">
        <v>38</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17">
        <v>0.681174187474557</v>
      </c>
      <c r="C92" s="86">
        <v>51440.7459313854</v>
      </c>
      <c r="D92" s="86">
        <v>46706.7080184522</v>
      </c>
      <c r="E92" s="86">
        <v>45580.1340914831</v>
      </c>
      <c r="F92" s="86">
        <v>45251.5623354427</v>
      </c>
    </row>
    <row r="93" spans="2:6">
      <c r="B93" s="417">
        <v>0.691174187474557</v>
      </c>
      <c r="C93" s="86">
        <v>51577.4854864152</v>
      </c>
      <c r="D93" s="86">
        <v>46741.3895358659</v>
      </c>
      <c r="E93" s="86">
        <v>45593.9298490815</v>
      </c>
      <c r="F93" s="86">
        <v>45258.2171330664</v>
      </c>
    </row>
    <row r="94" spans="2:6">
      <c r="B94" s="417">
        <v>0.701174187474558</v>
      </c>
      <c r="C94" s="86">
        <v>51744.7385893361</v>
      </c>
      <c r="D94" s="86">
        <v>46767.8651887659</v>
      </c>
      <c r="E94" s="86">
        <v>45609.6055331491</v>
      </c>
      <c r="F94" s="86">
        <v>45270.4459129525</v>
      </c>
    </row>
    <row r="95" spans="2:6">
      <c r="B95" s="417">
        <v>0.711174187474558</v>
      </c>
      <c r="C95" s="86">
        <v>52142.2598779451</v>
      </c>
      <c r="D95" s="86">
        <v>46815.2390501714</v>
      </c>
      <c r="E95" s="86">
        <v>45655.1275196581</v>
      </c>
      <c r="F95" s="86">
        <v>45316.6087676516</v>
      </c>
    </row>
    <row r="96" spans="2:6">
      <c r="B96" s="417">
        <v>0.721174187474558</v>
      </c>
      <c r="C96" s="86">
        <v>89000.5769890931</v>
      </c>
      <c r="D96" s="86">
        <v>46947.3311112412</v>
      </c>
      <c r="E96" s="86">
        <v>45791.8210350174</v>
      </c>
      <c r="F96" s="86">
        <v>45458.8942731283</v>
      </c>
    </row>
    <row r="97" spans="2:6">
      <c r="B97" s="417">
        <v>0.763674187474558</v>
      </c>
      <c r="C97" s="86">
        <v>132026.044813868</v>
      </c>
      <c r="D97" s="86">
        <v>49050.9346681268</v>
      </c>
      <c r="E97" s="86">
        <v>47340.1327279361</v>
      </c>
      <c r="F97" s="86">
        <v>46851.3291719859</v>
      </c>
    </row>
    <row r="98" spans="2:6">
      <c r="B98" s="417">
        <v>0.768674187474558</v>
      </c>
      <c r="C98" s="86"/>
      <c r="D98" s="86">
        <v>73908.5897596238</v>
      </c>
      <c r="E98" s="86">
        <v>71226.0859973308</v>
      </c>
      <c r="F98" s="86">
        <v>71073.5539622681</v>
      </c>
    </row>
    <row r="99" spans="3:6">
      <c r="C99" s="97"/>
      <c r="D99" s="97"/>
      <c r="E99" s="97"/>
      <c r="F99" s="97"/>
    </row>
    <row r="103" ht="15" customHeight="1" spans="2:4">
      <c r="B103" s="44">
        <v>2020</v>
      </c>
      <c r="C103" s="44"/>
      <c r="D103" s="44"/>
    </row>
    <row r="104" spans="2:4">
      <c r="B104" s="45" t="s">
        <v>39</v>
      </c>
      <c r="C104" s="46" t="s">
        <v>26</v>
      </c>
      <c r="D104" s="74">
        <v>0.18</v>
      </c>
    </row>
    <row r="106" spans="2:6">
      <c r="B106" s="48" t="s">
        <v>27</v>
      </c>
      <c r="C106" s="48" t="s">
        <v>40</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2">
      <c r="B119"/>
    </row>
    <row r="121" ht="15" customHeight="1" spans="2:6">
      <c r="B121" s="48" t="s">
        <v>29</v>
      </c>
      <c r="C121" s="48" t="s">
        <v>41</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20">
        <v>1.21127654163236</v>
      </c>
      <c r="C125" s="86">
        <v>79718.0909809694</v>
      </c>
      <c r="D125" s="86">
        <v>61463.5157484667</v>
      </c>
      <c r="E125" s="86">
        <v>52764.0624504946</v>
      </c>
      <c r="F125" s="86">
        <v>50622.4026954895</v>
      </c>
    </row>
    <row r="126" spans="2:6">
      <c r="B126" s="420">
        <v>1.15936468984812</v>
      </c>
      <c r="C126" s="86">
        <v>80087.3442938782</v>
      </c>
      <c r="D126" s="86">
        <v>61762.0523338325</v>
      </c>
      <c r="E126" s="86">
        <v>53019.3237745364</v>
      </c>
      <c r="F126" s="86">
        <v>50870.7650648275</v>
      </c>
    </row>
    <row r="127" spans="2:6">
      <c r="B127" s="420">
        <v>1.10745283806388</v>
      </c>
      <c r="C127" s="86">
        <v>80720.8345572165</v>
      </c>
      <c r="D127" s="86">
        <v>62060.5889191984</v>
      </c>
      <c r="E127" s="86">
        <v>53274.5850985782</v>
      </c>
      <c r="F127" s="86">
        <v>51119.1274341655</v>
      </c>
    </row>
    <row r="128" spans="2:6">
      <c r="B128" s="420">
        <v>1.05554098627963</v>
      </c>
      <c r="C128" s="86">
        <v>83856.4532804314</v>
      </c>
      <c r="D128" s="86">
        <v>62359.1255045642</v>
      </c>
      <c r="E128" s="86">
        <v>53529.84642262</v>
      </c>
      <c r="F128" s="86">
        <v>51367.4898035034</v>
      </c>
    </row>
    <row r="129" spans="2:6">
      <c r="B129" s="420">
        <v>1.00362913449539</v>
      </c>
      <c r="C129" s="86">
        <v>84556.5351760012</v>
      </c>
      <c r="D129" s="86">
        <v>64439.8011173345</v>
      </c>
      <c r="E129" s="86">
        <v>53785.1077466618</v>
      </c>
      <c r="F129" s="86">
        <v>51615.8521728414</v>
      </c>
    </row>
    <row r="130" spans="2:6">
      <c r="B130" s="420">
        <v>0.951717282711143</v>
      </c>
      <c r="C130" s="86">
        <v>84956.2920201548</v>
      </c>
      <c r="D130" s="86">
        <v>64754.5098432026</v>
      </c>
      <c r="E130" s="86">
        <v>54040.3690707036</v>
      </c>
      <c r="F130" s="86">
        <v>51864.2145421794</v>
      </c>
    </row>
    <row r="131" spans="2:6">
      <c r="B131" s="420">
        <v>0.899805430926899</v>
      </c>
      <c r="C131" s="86">
        <v>85356.0488643084</v>
      </c>
      <c r="D131" s="86">
        <v>65069.2185690706</v>
      </c>
      <c r="E131" s="86">
        <v>54295.6303947454</v>
      </c>
      <c r="F131" s="86">
        <v>52112.5769115174</v>
      </c>
    </row>
    <row r="132" spans="2:6">
      <c r="B132" s="420">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99"/>
  <sheetViews>
    <sheetView showGridLines="0" workbookViewId="0">
      <selection activeCell="H16" sqref="H16"/>
    </sheetView>
  </sheetViews>
  <sheetFormatPr defaultColWidth="9" defaultRowHeight="14.5"/>
  <cols>
    <col min="1" max="1" width="7.63636363636364" customWidth="1"/>
    <col min="2" max="2" width="38.2727272727273" style="97" customWidth="1"/>
    <col min="3" max="3" width="9.72727272727273" customWidth="1"/>
    <col min="4" max="6" width="6.27272727272727" customWidth="1"/>
    <col min="10" max="10" width="15.0909090909091" customWidth="1"/>
    <col min="11" max="11" width="18.2727272727273" customWidth="1"/>
    <col min="12" max="12" width="11.0909090909091" customWidth="1"/>
    <col min="13" max="13" width="7" customWidth="1"/>
    <col min="14" max="16" width="6" customWidth="1"/>
    <col min="18" max="18" width="62.9090909090909" customWidth="1"/>
    <col min="20" max="20" width="18.2727272727273" customWidth="1"/>
    <col min="21" max="21" width="21.9090909090909" customWidth="1"/>
  </cols>
  <sheetData>
    <row r="1" ht="15.5" spans="2:19">
      <c r="B1" s="364" t="s">
        <v>10</v>
      </c>
      <c r="C1" s="365"/>
      <c r="D1" s="365"/>
      <c r="E1" s="365"/>
      <c r="F1" s="366"/>
      <c r="Q1" t="s">
        <v>42</v>
      </c>
      <c r="R1" t="s">
        <v>43</v>
      </c>
      <c r="S1" t="str">
        <f>"Trd_car_"&amp;Q1</f>
        <v>Trd_car_gsl</v>
      </c>
    </row>
    <row r="2" spans="2:19">
      <c r="B2" s="387" t="s">
        <v>9</v>
      </c>
      <c r="C2" s="388"/>
      <c r="D2" s="388"/>
      <c r="E2" s="388"/>
      <c r="F2" s="388"/>
      <c r="I2" s="376">
        <v>0.0520099378899987</v>
      </c>
      <c r="J2" s="375" t="s">
        <v>44</v>
      </c>
      <c r="Q2" t="s">
        <v>45</v>
      </c>
      <c r="R2" t="s">
        <v>46</v>
      </c>
      <c r="S2" t="str">
        <f t="shared" ref="S2:S11" si="0">"Trd_car_"&amp;Q2</f>
        <v>Trd_car_gsl-hyb</v>
      </c>
    </row>
    <row r="3" spans="9:19">
      <c r="I3" s="390">
        <f>31536000/10^9</f>
        <v>0.031536</v>
      </c>
      <c r="J3" s="375" t="s">
        <v>47</v>
      </c>
      <c r="Q3" t="s">
        <v>48</v>
      </c>
      <c r="R3" t="s">
        <v>49</v>
      </c>
      <c r="S3" t="str">
        <f t="shared" si="0"/>
        <v>Trd_car_gsl-pih</v>
      </c>
    </row>
    <row r="4" spans="9:19">
      <c r="I4" s="375">
        <v>0.038</v>
      </c>
      <c r="J4" s="375" t="s">
        <v>50</v>
      </c>
      <c r="Q4" t="s">
        <v>51</v>
      </c>
      <c r="R4" t="s">
        <v>52</v>
      </c>
      <c r="S4" t="str">
        <f t="shared" si="0"/>
        <v>Trd_car_dsl</v>
      </c>
    </row>
    <row r="5" spans="9:19">
      <c r="I5" s="376">
        <f>1.406/26.137</f>
        <v>0.053793472854574</v>
      </c>
      <c r="J5" s="375" t="s">
        <v>53</v>
      </c>
      <c r="Q5" t="s">
        <v>54</v>
      </c>
      <c r="R5" t="s">
        <v>55</v>
      </c>
      <c r="S5" t="str">
        <f t="shared" si="0"/>
        <v>Trd_car_dsl-hyb</v>
      </c>
    </row>
    <row r="6" spans="9:19">
      <c r="I6" s="376">
        <v>0.02559</v>
      </c>
      <c r="J6" s="375" t="s">
        <v>56</v>
      </c>
      <c r="Q6" t="s">
        <v>57</v>
      </c>
      <c r="R6" t="s">
        <v>58</v>
      </c>
      <c r="S6" t="str">
        <f t="shared" si="0"/>
        <v>Trd_car_dsl-pih</v>
      </c>
    </row>
    <row r="7" spans="17:19">
      <c r="Q7" t="s">
        <v>59</v>
      </c>
      <c r="R7" t="s">
        <v>60</v>
      </c>
      <c r="S7" t="str">
        <f t="shared" si="0"/>
        <v>Trd_car_cng</v>
      </c>
    </row>
    <row r="8" spans="17:19">
      <c r="Q8" t="s">
        <v>61</v>
      </c>
      <c r="R8" t="s">
        <v>62</v>
      </c>
      <c r="S8" t="str">
        <f>"\I:Trd_car_"&amp;Q8</f>
        <v>\I:Trd_car_lpg</v>
      </c>
    </row>
    <row r="9" ht="15" customHeight="1" spans="17:19">
      <c r="Q9" t="s">
        <v>63</v>
      </c>
      <c r="R9" t="s">
        <v>64</v>
      </c>
      <c r="S9" t="str">
        <f>"\I:Trd_car_"&amp;Q9</f>
        <v>\I:Trd_car_E85</v>
      </c>
    </row>
    <row r="10" spans="2:19">
      <c r="B10" s="43" t="s">
        <v>65</v>
      </c>
      <c r="Q10" t="s">
        <v>66</v>
      </c>
      <c r="R10" t="s">
        <v>67</v>
      </c>
      <c r="S10" t="str">
        <f t="shared" si="0"/>
        <v>Trd_car_elc</v>
      </c>
    </row>
    <row r="11" ht="15" customHeight="1" spans="2:19">
      <c r="B11" s="372">
        <v>2015</v>
      </c>
      <c r="C11" s="372"/>
      <c r="D11" s="372"/>
      <c r="Q11" t="s">
        <v>68</v>
      </c>
      <c r="R11" t="s">
        <v>69</v>
      </c>
      <c r="S11" t="str">
        <f t="shared" si="0"/>
        <v>Trd_car_hh2</v>
      </c>
    </row>
    <row r="12" ht="15.75" customHeight="1" spans="2:9">
      <c r="B12" s="45" t="s">
        <v>12</v>
      </c>
      <c r="C12" s="46" t="s">
        <v>13</v>
      </c>
      <c r="D12" s="47">
        <v>6.80390448385318</v>
      </c>
      <c r="G12" s="77">
        <f>D12*$I$3/100*10^9/10^6</f>
        <v>2.14567931802794</v>
      </c>
      <c r="H12" s="77"/>
      <c r="I12" s="422">
        <f>1/G12</f>
        <v>0.466052868011556</v>
      </c>
    </row>
    <row r="13" ht="15.5" spans="2:19">
      <c r="B13" s="45" t="s">
        <v>14</v>
      </c>
      <c r="C13" s="46" t="s">
        <v>15</v>
      </c>
      <c r="D13" s="68">
        <v>19114.1080717123</v>
      </c>
      <c r="I13" s="385" t="s">
        <v>70</v>
      </c>
      <c r="S13" s="423">
        <v>0.9015</v>
      </c>
    </row>
    <row r="14" spans="2:9">
      <c r="B14" s="397"/>
      <c r="C14" s="398"/>
      <c r="D14" s="399"/>
      <c r="I14" s="385"/>
    </row>
    <row r="15" ht="15.25" spans="2:23">
      <c r="B15" s="397"/>
      <c r="C15" s="398"/>
      <c r="D15" s="399"/>
      <c r="I15" s="385"/>
      <c r="K15" s="378" t="s">
        <v>71</v>
      </c>
      <c r="S15" s="378" t="s">
        <v>72</v>
      </c>
      <c r="T15" s="382"/>
      <c r="U15" s="382"/>
      <c r="V15" s="382"/>
      <c r="W15" s="382"/>
    </row>
    <row r="16" spans="9:23">
      <c r="I16" t="s">
        <v>73</v>
      </c>
      <c r="J16" t="s">
        <v>74</v>
      </c>
      <c r="K16" t="s">
        <v>75</v>
      </c>
      <c r="L16" t="s">
        <v>76</v>
      </c>
      <c r="M16">
        <f>C20</f>
        <v>2020</v>
      </c>
      <c r="N16">
        <f>D20</f>
        <v>2030</v>
      </c>
      <c r="O16">
        <f>E20</f>
        <v>2040</v>
      </c>
      <c r="P16">
        <f>F20</f>
        <v>2050</v>
      </c>
      <c r="Q16" t="s">
        <v>77</v>
      </c>
      <c r="S16" s="382" t="s">
        <v>78</v>
      </c>
      <c r="T16" s="382" t="s">
        <v>79</v>
      </c>
      <c r="U16" s="382" t="s">
        <v>80</v>
      </c>
      <c r="V16" s="382" t="s">
        <v>81</v>
      </c>
      <c r="W16" s="382" t="s">
        <v>82</v>
      </c>
    </row>
    <row r="17" ht="15" customHeight="1" spans="2:23">
      <c r="B17" s="374" t="s">
        <v>16</v>
      </c>
      <c r="C17" s="374" t="s">
        <v>43</v>
      </c>
      <c r="D17" s="374"/>
      <c r="E17" s="374"/>
      <c r="F17" s="374"/>
      <c r="J17" t="str">
        <f>IFERROR(VLOOKUP(C17,$R$1:$S$11,2,FALSE),J16)</f>
        <v>Trd_car_gsl</v>
      </c>
      <c r="K17" t="str">
        <f>IFERROR(IF(VALUE(C17)&gt;2020,J17&amp;"_"&amp;TEXT(B17*100,"00"),"\I:"),"\I:")</f>
        <v>\I:</v>
      </c>
      <c r="L17" t="str">
        <f>LEFT(K17,7)</f>
        <v>\I:</v>
      </c>
      <c r="M17" s="380" t="str">
        <f>IF($K17="\I:","",C17)</f>
        <v/>
      </c>
      <c r="N17" s="380" t="str">
        <f>IF($K17="\I:","",D17)</f>
        <v/>
      </c>
      <c r="O17" s="380" t="str">
        <f>IF($K17="\I:","",E17)</f>
        <v/>
      </c>
      <c r="P17" s="380" t="str">
        <f>IF($K17="\I:","",F17)</f>
        <v/>
      </c>
      <c r="S17" t="s">
        <v>83</v>
      </c>
      <c r="T17" t="str">
        <f t="shared" ref="T17:T48" si="1">K17</f>
        <v>\I:</v>
      </c>
      <c r="U17" t="str">
        <f ca="1" t="shared" ref="U17:U48" si="2">OFFSET($S$1,MATCH(J17,$S$1:$S$11,0)-1,-1)&amp;" -- "&amp;TEXT(B17,"00%")</f>
        <v>ICE medium size gasoline car -- Reduction of specific energy consumption relative to 2015 gasoline vehicle (%)</v>
      </c>
      <c r="V17" s="383" t="s">
        <v>84</v>
      </c>
      <c r="W17" s="383" t="s">
        <v>85</v>
      </c>
    </row>
    <row r="18" spans="2:23">
      <c r="B18" s="374"/>
      <c r="C18" s="374"/>
      <c r="D18" s="374"/>
      <c r="E18" s="374"/>
      <c r="F18" s="374"/>
      <c r="J18" t="str">
        <f t="shared" ref="J18:J81" si="3">IFERROR(VLOOKUP(C18,$R$1:$S$11,2,FALSE),J17)</f>
        <v>Trd_car_gsl</v>
      </c>
      <c r="K18" t="str">
        <f t="shared" ref="K18:K81" si="4">IFERROR(IF(VALUE(C18)&gt;2020,J18&amp;"_"&amp;TEXT(B18*100,"00"),"\I:"),"\I:")</f>
        <v>\I:</v>
      </c>
      <c r="L18" t="str">
        <f t="shared" ref="L18:L81" si="5">LEFT(K18,7)</f>
        <v>\I:</v>
      </c>
      <c r="M18" s="380" t="str">
        <f t="shared" ref="M18:M81" si="6">IF($K18="\I:","",C18)</f>
        <v/>
      </c>
      <c r="N18" s="380" t="str">
        <f t="shared" ref="N18:N81" si="7">IF($K18="\I:","",D18)</f>
        <v/>
      </c>
      <c r="O18" s="380" t="str">
        <f t="shared" ref="O18:O81" si="8">IF($K18="\I:","",E18)</f>
        <v/>
      </c>
      <c r="P18" s="380" t="str">
        <f t="shared" ref="P18:P81" si="9">IF($K18="\I:","",F18)</f>
        <v/>
      </c>
      <c r="S18" t="s">
        <v>83</v>
      </c>
      <c r="T18" t="str">
        <f t="shared" si="1"/>
        <v>\I:</v>
      </c>
      <c r="U18" t="str">
        <f ca="1" t="shared" si="2"/>
        <v>ICE medium size gasoline car -- 00%</v>
      </c>
      <c r="V18" s="383" t="s">
        <v>84</v>
      </c>
      <c r="W18" s="383" t="s">
        <v>85</v>
      </c>
    </row>
    <row r="19" spans="2:23">
      <c r="B19" s="374"/>
      <c r="C19" s="374"/>
      <c r="D19" s="374"/>
      <c r="E19" s="374"/>
      <c r="F19" s="374"/>
      <c r="J19" t="str">
        <f t="shared" si="3"/>
        <v>Trd_car_gsl</v>
      </c>
      <c r="K19" t="str">
        <f t="shared" si="4"/>
        <v>\I:</v>
      </c>
      <c r="L19" t="str">
        <f t="shared" si="5"/>
        <v>\I:</v>
      </c>
      <c r="M19" s="380" t="str">
        <f t="shared" si="6"/>
        <v/>
      </c>
      <c r="N19" s="380" t="str">
        <f t="shared" si="7"/>
        <v/>
      </c>
      <c r="O19" s="380" t="str">
        <f t="shared" si="8"/>
        <v/>
      </c>
      <c r="P19" s="380" t="str">
        <f t="shared" si="9"/>
        <v/>
      </c>
      <c r="S19" t="s">
        <v>83</v>
      </c>
      <c r="T19" t="str">
        <f t="shared" si="1"/>
        <v>\I:</v>
      </c>
      <c r="U19" t="str">
        <f ca="1" t="shared" si="2"/>
        <v>ICE medium size gasoline car -- 00%</v>
      </c>
      <c r="V19" s="383" t="s">
        <v>84</v>
      </c>
      <c r="W19" s="383" t="s">
        <v>85</v>
      </c>
    </row>
    <row r="20" spans="2:23">
      <c r="B20" s="88">
        <v>0</v>
      </c>
      <c r="C20" s="50">
        <v>2020</v>
      </c>
      <c r="D20" s="50">
        <v>2030</v>
      </c>
      <c r="E20" s="50">
        <v>2040</v>
      </c>
      <c r="F20" s="50">
        <v>2050</v>
      </c>
      <c r="I20" s="373">
        <v>1</v>
      </c>
      <c r="J20" s="43" t="str">
        <f t="shared" si="3"/>
        <v>Trd_car_gsl</v>
      </c>
      <c r="K20" s="43" t="str">
        <f>IFERROR(IF(VALUE(C20)&gt;200,J20&amp;"_"&amp;TEXT(B20*100,"00"),"\I:"),"\I:")</f>
        <v>Trd_car_gsl_00</v>
      </c>
      <c r="L20" t="str">
        <f t="shared" si="5"/>
        <v>Trd_car</v>
      </c>
      <c r="M20" s="418">
        <f>D13</f>
        <v>19114.1080717123</v>
      </c>
      <c r="N20" s="380"/>
      <c r="O20" s="380"/>
      <c r="P20" s="380"/>
      <c r="S20" t="s">
        <v>83</v>
      </c>
      <c r="T20" t="str">
        <f t="shared" si="1"/>
        <v>Trd_car_gsl_00</v>
      </c>
      <c r="U20" t="str">
        <f ca="1" t="shared" si="2"/>
        <v>ICE medium size gasoline car -- 00%</v>
      </c>
      <c r="V20" s="383" t="s">
        <v>84</v>
      </c>
      <c r="W20" s="383" t="s">
        <v>85</v>
      </c>
    </row>
    <row r="21" spans="2:23">
      <c r="B21" s="85">
        <v>0.133623958941972</v>
      </c>
      <c r="C21" s="86">
        <v>19378.3288901274</v>
      </c>
      <c r="D21" s="86">
        <v>19184.953531911</v>
      </c>
      <c r="E21" s="86">
        <v>19184.953531911</v>
      </c>
      <c r="F21" s="86">
        <v>19184.953531911</v>
      </c>
      <c r="I21" s="77">
        <f>(1+B21)</f>
        <v>1.13362395894197</v>
      </c>
      <c r="J21" t="str">
        <f t="shared" si="3"/>
        <v>Trd_car_gsl</v>
      </c>
      <c r="K21" t="str">
        <f t="shared" si="4"/>
        <v>Trd_car_gsl_13</v>
      </c>
      <c r="L21" t="str">
        <f t="shared" si="5"/>
        <v>Trd_car</v>
      </c>
      <c r="M21" s="380">
        <f t="shared" si="6"/>
        <v>19378.3288901274</v>
      </c>
      <c r="N21" s="380">
        <f t="shared" si="7"/>
        <v>19184.953531911</v>
      </c>
      <c r="O21" s="380">
        <f t="shared" si="8"/>
        <v>19184.953531911</v>
      </c>
      <c r="P21" s="380">
        <f t="shared" si="9"/>
        <v>19184.953531911</v>
      </c>
      <c r="S21" t="s">
        <v>83</v>
      </c>
      <c r="T21" t="str">
        <f t="shared" si="1"/>
        <v>Trd_car_gsl_13</v>
      </c>
      <c r="U21" t="str">
        <f ca="1" t="shared" si="2"/>
        <v>ICE medium size gasoline car -- 13%</v>
      </c>
      <c r="V21" s="383" t="s">
        <v>84</v>
      </c>
      <c r="W21" s="383" t="s">
        <v>85</v>
      </c>
    </row>
    <row r="22" spans="2:23">
      <c r="B22" s="85">
        <v>0.233623958941972</v>
      </c>
      <c r="C22" s="86">
        <v>20194.1761225306</v>
      </c>
      <c r="D22" s="86">
        <v>19445.9060345472</v>
      </c>
      <c r="E22" s="86">
        <v>19445.9060345472</v>
      </c>
      <c r="F22" s="86">
        <v>19445.9060345472</v>
      </c>
      <c r="I22" s="77">
        <f t="shared" ref="I22:I26" si="10">(1+B22)</f>
        <v>1.23362395894197</v>
      </c>
      <c r="J22" t="str">
        <f t="shared" si="3"/>
        <v>Trd_car_gsl</v>
      </c>
      <c r="K22" t="str">
        <f t="shared" si="4"/>
        <v>Trd_car_gsl_23</v>
      </c>
      <c r="L22" t="str">
        <f t="shared" si="5"/>
        <v>Trd_car</v>
      </c>
      <c r="M22" s="380">
        <f t="shared" si="6"/>
        <v>20194.1761225306</v>
      </c>
      <c r="N22" s="380">
        <f t="shared" si="7"/>
        <v>19445.9060345472</v>
      </c>
      <c r="O22" s="380">
        <f t="shared" si="8"/>
        <v>19445.9060345472</v>
      </c>
      <c r="P22" s="380">
        <f t="shared" si="9"/>
        <v>19445.9060345472</v>
      </c>
      <c r="S22" t="s">
        <v>83</v>
      </c>
      <c r="T22" t="str">
        <f t="shared" si="1"/>
        <v>Trd_car_gsl_23</v>
      </c>
      <c r="U22" t="str">
        <f ca="1" t="shared" si="2"/>
        <v>ICE medium size gasoline car -- 23%</v>
      </c>
      <c r="V22" s="383" t="s">
        <v>84</v>
      </c>
      <c r="W22" s="383" t="s">
        <v>85</v>
      </c>
    </row>
    <row r="23" spans="2:23">
      <c r="B23" s="85">
        <v>0.333623958941972</v>
      </c>
      <c r="C23" s="86">
        <v>21957.3236536115</v>
      </c>
      <c r="D23" s="86">
        <v>20077.20524873</v>
      </c>
      <c r="E23" s="86">
        <v>20077.20524873</v>
      </c>
      <c r="F23" s="86">
        <v>20077.20524873</v>
      </c>
      <c r="I23" s="77">
        <f t="shared" si="10"/>
        <v>1.33362395894197</v>
      </c>
      <c r="J23" t="str">
        <f t="shared" si="3"/>
        <v>Trd_car_gsl</v>
      </c>
      <c r="K23" t="str">
        <f t="shared" si="4"/>
        <v>Trd_car_gsl_33</v>
      </c>
      <c r="L23" t="str">
        <f t="shared" si="5"/>
        <v>Trd_car</v>
      </c>
      <c r="M23" s="380">
        <f t="shared" si="6"/>
        <v>21957.3236536115</v>
      </c>
      <c r="N23" s="380">
        <f t="shared" si="7"/>
        <v>20077.20524873</v>
      </c>
      <c r="O23" s="380">
        <f t="shared" si="8"/>
        <v>20077.20524873</v>
      </c>
      <c r="P23" s="380">
        <f t="shared" si="9"/>
        <v>20077.20524873</v>
      </c>
      <c r="S23" t="s">
        <v>83</v>
      </c>
      <c r="T23" t="str">
        <f t="shared" si="1"/>
        <v>Trd_car_gsl_33</v>
      </c>
      <c r="U23" t="str">
        <f ca="1" t="shared" si="2"/>
        <v>ICE medium size gasoline car -- 33%</v>
      </c>
      <c r="V23" s="383" t="s">
        <v>84</v>
      </c>
      <c r="W23" s="383" t="s">
        <v>85</v>
      </c>
    </row>
    <row r="24" spans="2:23">
      <c r="B24" s="85">
        <v>0.383623958941972</v>
      </c>
      <c r="C24" s="86">
        <v>24470.6482852451</v>
      </c>
      <c r="D24" s="86">
        <v>20810.3469623741</v>
      </c>
      <c r="E24" s="86">
        <v>20810.3469623741</v>
      </c>
      <c r="F24" s="86">
        <v>20810.3469623741</v>
      </c>
      <c r="I24" s="77">
        <f t="shared" si="10"/>
        <v>1.38362395894197</v>
      </c>
      <c r="J24" t="str">
        <f t="shared" si="3"/>
        <v>Trd_car_gsl</v>
      </c>
      <c r="K24" t="str">
        <f t="shared" si="4"/>
        <v>Trd_car_gsl_38</v>
      </c>
      <c r="L24" t="str">
        <f t="shared" si="5"/>
        <v>Trd_car</v>
      </c>
      <c r="M24" s="380">
        <f t="shared" si="6"/>
        <v>24470.6482852451</v>
      </c>
      <c r="N24" s="380">
        <f t="shared" si="7"/>
        <v>20810.3469623741</v>
      </c>
      <c r="O24" s="380">
        <f t="shared" si="8"/>
        <v>20810.3469623741</v>
      </c>
      <c r="P24" s="380">
        <f t="shared" si="9"/>
        <v>20810.3469623741</v>
      </c>
      <c r="S24" t="s">
        <v>83</v>
      </c>
      <c r="T24" t="str">
        <f t="shared" si="1"/>
        <v>Trd_car_gsl_38</v>
      </c>
      <c r="U24" t="str">
        <f ca="1" t="shared" si="2"/>
        <v>ICE medium size gasoline car -- 38%</v>
      </c>
      <c r="V24" s="383" t="s">
        <v>84</v>
      </c>
      <c r="W24" s="383" t="s">
        <v>85</v>
      </c>
    </row>
    <row r="25" spans="2:23">
      <c r="B25" s="85">
        <v>0.433623958941972</v>
      </c>
      <c r="C25" s="86">
        <v>53739.8034564757</v>
      </c>
      <c r="D25" s="86">
        <v>22623.2610961166</v>
      </c>
      <c r="E25" s="86">
        <v>22623.2610961166</v>
      </c>
      <c r="F25" s="86">
        <v>22623.2610961166</v>
      </c>
      <c r="I25" s="77">
        <f t="shared" si="10"/>
        <v>1.43362395894197</v>
      </c>
      <c r="J25" t="str">
        <f t="shared" si="3"/>
        <v>Trd_car_gsl</v>
      </c>
      <c r="K25" t="str">
        <f t="shared" si="4"/>
        <v>Trd_car_gsl_43</v>
      </c>
      <c r="L25" t="str">
        <f t="shared" si="5"/>
        <v>Trd_car</v>
      </c>
      <c r="M25" s="380">
        <f t="shared" si="6"/>
        <v>53739.8034564757</v>
      </c>
      <c r="N25" s="380">
        <f t="shared" si="7"/>
        <v>22623.2610961166</v>
      </c>
      <c r="O25" s="380">
        <f t="shared" si="8"/>
        <v>22623.2610961166</v>
      </c>
      <c r="P25" s="380">
        <f t="shared" si="9"/>
        <v>22623.2610961166</v>
      </c>
      <c r="S25" t="s">
        <v>83</v>
      </c>
      <c r="T25" t="str">
        <f t="shared" si="1"/>
        <v>Trd_car_gsl_43</v>
      </c>
      <c r="U25" t="str">
        <f ca="1" t="shared" si="2"/>
        <v>ICE medium size gasoline car -- 43%</v>
      </c>
      <c r="V25" s="383" t="s">
        <v>84</v>
      </c>
      <c r="W25" s="383" t="s">
        <v>85</v>
      </c>
    </row>
    <row r="26" spans="2:23">
      <c r="B26" s="85">
        <v>0.483623958941972</v>
      </c>
      <c r="C26" s="86">
        <v>118918.12</v>
      </c>
      <c r="D26" s="86">
        <v>41097.3054936037</v>
      </c>
      <c r="E26" s="86">
        <v>41097.3054936037</v>
      </c>
      <c r="F26" s="86">
        <v>41097.3054936037</v>
      </c>
      <c r="I26" s="77">
        <f t="shared" si="10"/>
        <v>1.48362395894197</v>
      </c>
      <c r="J26" t="str">
        <f t="shared" si="3"/>
        <v>Trd_car_gsl</v>
      </c>
      <c r="K26" t="str">
        <f t="shared" si="4"/>
        <v>Trd_car_gsl_48</v>
      </c>
      <c r="L26" t="str">
        <f t="shared" si="5"/>
        <v>Trd_car</v>
      </c>
      <c r="M26" s="380">
        <f t="shared" si="6"/>
        <v>118918.12</v>
      </c>
      <c r="N26" s="380">
        <f t="shared" si="7"/>
        <v>41097.3054936037</v>
      </c>
      <c r="O26" s="380">
        <f t="shared" si="8"/>
        <v>41097.3054936037</v>
      </c>
      <c r="P26" s="380">
        <f t="shared" si="9"/>
        <v>41097.3054936037</v>
      </c>
      <c r="S26" t="s">
        <v>83</v>
      </c>
      <c r="T26" t="str">
        <f t="shared" si="1"/>
        <v>Trd_car_gsl_48</v>
      </c>
      <c r="U26" t="str">
        <f ca="1" t="shared" si="2"/>
        <v>ICE medium size gasoline car -- 48%</v>
      </c>
      <c r="V26" s="383" t="s">
        <v>84</v>
      </c>
      <c r="W26" s="383" t="s">
        <v>85</v>
      </c>
    </row>
    <row r="27" spans="3:23">
      <c r="C27" s="97"/>
      <c r="D27" s="97"/>
      <c r="E27" s="97"/>
      <c r="F27" s="97"/>
      <c r="J27" t="str">
        <f t="shared" si="3"/>
        <v>Trd_car_gsl</v>
      </c>
      <c r="K27" t="str">
        <f t="shared" si="4"/>
        <v>\I:</v>
      </c>
      <c r="L27" t="str">
        <f t="shared" si="5"/>
        <v>\I:</v>
      </c>
      <c r="M27" s="380" t="str">
        <f t="shared" si="6"/>
        <v/>
      </c>
      <c r="N27" s="380" t="str">
        <f t="shared" si="7"/>
        <v/>
      </c>
      <c r="O27" s="380" t="str">
        <f t="shared" si="8"/>
        <v/>
      </c>
      <c r="P27" s="380" t="str">
        <f t="shared" si="9"/>
        <v/>
      </c>
      <c r="T27" t="str">
        <f t="shared" si="1"/>
        <v>\I:</v>
      </c>
      <c r="U27" t="str">
        <f ca="1" t="shared" si="2"/>
        <v>ICE medium size gasoline car -- 00%</v>
      </c>
      <c r="V27" s="383" t="s">
        <v>84</v>
      </c>
      <c r="W27" s="383" t="s">
        <v>85</v>
      </c>
    </row>
    <row r="28" spans="10:23">
      <c r="J28" t="str">
        <f t="shared" si="3"/>
        <v>Trd_car_gsl</v>
      </c>
      <c r="K28" t="str">
        <f t="shared" si="4"/>
        <v>\I:</v>
      </c>
      <c r="L28" t="str">
        <f t="shared" si="5"/>
        <v>\I:</v>
      </c>
      <c r="M28" s="380" t="str">
        <f t="shared" si="6"/>
        <v/>
      </c>
      <c r="N28" s="380" t="str">
        <f t="shared" si="7"/>
        <v/>
      </c>
      <c r="O28" s="380" t="str">
        <f t="shared" si="8"/>
        <v/>
      </c>
      <c r="P28" s="380" t="str">
        <f t="shared" si="9"/>
        <v/>
      </c>
      <c r="T28" t="str">
        <f t="shared" si="1"/>
        <v>\I:</v>
      </c>
      <c r="U28" t="str">
        <f ca="1" t="shared" si="2"/>
        <v>ICE medium size gasoline car -- 00%</v>
      </c>
      <c r="V28" s="383" t="s">
        <v>84</v>
      </c>
      <c r="W28" s="383" t="s">
        <v>85</v>
      </c>
    </row>
    <row r="29" spans="10:23">
      <c r="J29" t="str">
        <f t="shared" si="3"/>
        <v>Trd_car_gsl</v>
      </c>
      <c r="K29" t="str">
        <f t="shared" si="4"/>
        <v>\I:</v>
      </c>
      <c r="L29" t="str">
        <f t="shared" si="5"/>
        <v>\I:</v>
      </c>
      <c r="M29" s="380" t="str">
        <f t="shared" si="6"/>
        <v/>
      </c>
      <c r="N29" s="380" t="str">
        <f t="shared" si="7"/>
        <v/>
      </c>
      <c r="O29" s="380" t="str">
        <f t="shared" si="8"/>
        <v/>
      </c>
      <c r="P29" s="380" t="str">
        <f t="shared" si="9"/>
        <v/>
      </c>
      <c r="T29" t="str">
        <f t="shared" si="1"/>
        <v>\I:</v>
      </c>
      <c r="U29" t="str">
        <f ca="1" t="shared" si="2"/>
        <v>ICE medium size gasoline car -- 00%</v>
      </c>
      <c r="V29" s="383" t="s">
        <v>84</v>
      </c>
      <c r="W29" s="383" t="s">
        <v>85</v>
      </c>
    </row>
    <row r="30" spans="10:23">
      <c r="J30" t="str">
        <f t="shared" si="3"/>
        <v>Trd_car_gsl</v>
      </c>
      <c r="K30" t="str">
        <f t="shared" si="4"/>
        <v>\I:</v>
      </c>
      <c r="L30" t="str">
        <f t="shared" si="5"/>
        <v>\I:</v>
      </c>
      <c r="M30" s="380" t="str">
        <f t="shared" si="6"/>
        <v/>
      </c>
      <c r="N30" s="380" t="str">
        <f t="shared" si="7"/>
        <v/>
      </c>
      <c r="O30" s="380" t="str">
        <f t="shared" si="8"/>
        <v/>
      </c>
      <c r="P30" s="380" t="str">
        <f t="shared" si="9"/>
        <v/>
      </c>
      <c r="T30" t="str">
        <f t="shared" si="1"/>
        <v>\I:</v>
      </c>
      <c r="U30" t="str">
        <f ca="1" t="shared" si="2"/>
        <v>ICE medium size gasoline car -- 00%</v>
      </c>
      <c r="V30" s="383" t="s">
        <v>84</v>
      </c>
      <c r="W30" s="383" t="s">
        <v>85</v>
      </c>
    </row>
    <row r="31" ht="15" customHeight="1" spans="2:23">
      <c r="B31" s="374" t="s">
        <v>16</v>
      </c>
      <c r="C31" s="374" t="s">
        <v>46</v>
      </c>
      <c r="D31" s="374"/>
      <c r="E31" s="374"/>
      <c r="F31" s="374"/>
      <c r="J31" t="str">
        <f t="shared" si="3"/>
        <v>Trd_car_gsl-hyb</v>
      </c>
      <c r="K31" t="str">
        <f t="shared" si="4"/>
        <v>\I:</v>
      </c>
      <c r="L31" t="str">
        <f t="shared" si="5"/>
        <v>\I:</v>
      </c>
      <c r="M31" s="380" t="str">
        <f t="shared" si="6"/>
        <v/>
      </c>
      <c r="N31" s="380" t="str">
        <f t="shared" si="7"/>
        <v/>
      </c>
      <c r="O31" s="380" t="str">
        <f t="shared" si="8"/>
        <v/>
      </c>
      <c r="P31" s="380" t="str">
        <f t="shared" si="9"/>
        <v/>
      </c>
      <c r="T31" t="str">
        <f t="shared" si="1"/>
        <v>\I:</v>
      </c>
      <c r="U31" t="str">
        <f ca="1" t="shared" si="2"/>
        <v>ICE medium size hybrid gasoline car -- Reduction of specific energy consumption relative to 2015 gasoline vehicle (%)</v>
      </c>
      <c r="V31" s="383" t="s">
        <v>84</v>
      </c>
      <c r="W31" s="383" t="s">
        <v>85</v>
      </c>
    </row>
    <row r="32" spans="2:23">
      <c r="B32" s="374"/>
      <c r="C32" s="374"/>
      <c r="D32" s="374"/>
      <c r="E32" s="374"/>
      <c r="F32" s="374"/>
      <c r="J32" t="str">
        <f t="shared" si="3"/>
        <v>Trd_car_gsl-hyb</v>
      </c>
      <c r="K32" t="str">
        <f t="shared" si="4"/>
        <v>\I:</v>
      </c>
      <c r="L32" t="str">
        <f t="shared" si="5"/>
        <v>\I:</v>
      </c>
      <c r="M32" s="380" t="str">
        <f t="shared" si="6"/>
        <v/>
      </c>
      <c r="N32" s="380" t="str">
        <f t="shared" si="7"/>
        <v/>
      </c>
      <c r="O32" s="380" t="str">
        <f t="shared" si="8"/>
        <v/>
      </c>
      <c r="P32" s="380" t="str">
        <f t="shared" si="9"/>
        <v/>
      </c>
      <c r="T32" t="str">
        <f t="shared" si="1"/>
        <v>\I:</v>
      </c>
      <c r="U32" t="str">
        <f ca="1" t="shared" si="2"/>
        <v>ICE medium size hybrid gasoline car -- 00%</v>
      </c>
      <c r="V32" s="383" t="s">
        <v>84</v>
      </c>
      <c r="W32" s="383" t="s">
        <v>85</v>
      </c>
    </row>
    <row r="33" spans="2:23">
      <c r="B33" s="374"/>
      <c r="C33" s="374"/>
      <c r="D33" s="374"/>
      <c r="E33" s="374"/>
      <c r="F33" s="374"/>
      <c r="J33" t="str">
        <f t="shared" si="3"/>
        <v>Trd_car_gsl-hyb</v>
      </c>
      <c r="K33" t="str">
        <f t="shared" si="4"/>
        <v>\I:</v>
      </c>
      <c r="L33" t="str">
        <f t="shared" si="5"/>
        <v>\I:</v>
      </c>
      <c r="M33" s="380" t="str">
        <f t="shared" si="6"/>
        <v/>
      </c>
      <c r="N33" s="380" t="str">
        <f t="shared" si="7"/>
        <v/>
      </c>
      <c r="O33" s="380" t="str">
        <f t="shared" si="8"/>
        <v/>
      </c>
      <c r="P33" s="380" t="str">
        <f t="shared" si="9"/>
        <v/>
      </c>
      <c r="T33" t="str">
        <f t="shared" si="1"/>
        <v>\I:</v>
      </c>
      <c r="U33" t="str">
        <f ca="1" t="shared" si="2"/>
        <v>ICE medium size hybrid gasoline car -- 00%</v>
      </c>
      <c r="V33" s="383" t="s">
        <v>84</v>
      </c>
      <c r="W33" s="383" t="s">
        <v>85</v>
      </c>
    </row>
    <row r="34" spans="2:23">
      <c r="B34" s="88"/>
      <c r="C34" s="50">
        <v>2020</v>
      </c>
      <c r="D34" s="50">
        <v>2030</v>
      </c>
      <c r="E34" s="50">
        <v>2040</v>
      </c>
      <c r="F34" s="50">
        <v>2050</v>
      </c>
      <c r="J34" t="str">
        <f t="shared" si="3"/>
        <v>Trd_car_gsl-hyb</v>
      </c>
      <c r="K34" t="str">
        <f t="shared" si="4"/>
        <v>\I:</v>
      </c>
      <c r="L34" t="str">
        <f t="shared" si="5"/>
        <v>\I:</v>
      </c>
      <c r="M34" s="380" t="str">
        <f t="shared" si="6"/>
        <v/>
      </c>
      <c r="N34" s="380" t="str">
        <f t="shared" si="7"/>
        <v/>
      </c>
      <c r="O34" s="380" t="str">
        <f t="shared" si="8"/>
        <v/>
      </c>
      <c r="P34" s="380" t="str">
        <f t="shared" si="9"/>
        <v/>
      </c>
      <c r="T34" t="str">
        <f t="shared" si="1"/>
        <v>\I:</v>
      </c>
      <c r="U34" t="str">
        <f ca="1" t="shared" si="2"/>
        <v>ICE medium size hybrid gasoline car -- 00%</v>
      </c>
      <c r="V34" s="383" t="s">
        <v>84</v>
      </c>
      <c r="W34" s="383" t="s">
        <v>85</v>
      </c>
    </row>
    <row r="35" spans="2:23">
      <c r="B35" s="85">
        <v>0.236114935304519</v>
      </c>
      <c r="C35" s="86">
        <v>21857.3437291488</v>
      </c>
      <c r="D35" s="86">
        <v>20782.1308961293</v>
      </c>
      <c r="E35" s="86">
        <v>20782.1308961293</v>
      </c>
      <c r="F35" s="86">
        <v>20782.1308961293</v>
      </c>
      <c r="I35" s="77">
        <f>(1+B35)</f>
        <v>1.23611493530452</v>
      </c>
      <c r="J35" t="str">
        <f t="shared" si="3"/>
        <v>Trd_car_gsl-hyb</v>
      </c>
      <c r="K35" t="str">
        <f t="shared" si="4"/>
        <v>Trd_car_gsl-hyb_24</v>
      </c>
      <c r="L35" t="str">
        <f t="shared" si="5"/>
        <v>Trd_car</v>
      </c>
      <c r="M35" s="380">
        <f t="shared" si="6"/>
        <v>21857.3437291488</v>
      </c>
      <c r="N35" s="380">
        <f t="shared" si="7"/>
        <v>20782.1308961293</v>
      </c>
      <c r="O35" s="380">
        <f t="shared" si="8"/>
        <v>20782.1308961293</v>
      </c>
      <c r="P35" s="380">
        <f t="shared" si="9"/>
        <v>20782.1308961293</v>
      </c>
      <c r="T35" t="str">
        <f t="shared" si="1"/>
        <v>Trd_car_gsl-hyb_24</v>
      </c>
      <c r="U35" t="str">
        <f ca="1" t="shared" si="2"/>
        <v>ICE medium size hybrid gasoline car -- 24%</v>
      </c>
      <c r="V35" s="383" t="s">
        <v>84</v>
      </c>
      <c r="W35" s="383" t="s">
        <v>85</v>
      </c>
    </row>
    <row r="36" spans="2:23">
      <c r="B36" s="85">
        <v>0.336114935304519</v>
      </c>
      <c r="C36" s="86">
        <v>22033.1168992347</v>
      </c>
      <c r="D36" s="86">
        <v>20950.8914334757</v>
      </c>
      <c r="E36" s="86">
        <v>20950.8914334757</v>
      </c>
      <c r="F36" s="86">
        <v>20950.8914334757</v>
      </c>
      <c r="I36" s="77">
        <f t="shared" ref="I36:I41" si="11">(1+B36)</f>
        <v>1.33611493530452</v>
      </c>
      <c r="J36" t="str">
        <f t="shared" si="3"/>
        <v>Trd_car_gsl-hyb</v>
      </c>
      <c r="K36" t="str">
        <f t="shared" si="4"/>
        <v>Trd_car_gsl-hyb_34</v>
      </c>
      <c r="L36" t="str">
        <f t="shared" si="5"/>
        <v>Trd_car</v>
      </c>
      <c r="M36" s="380">
        <f t="shared" si="6"/>
        <v>22033.1168992347</v>
      </c>
      <c r="N36" s="380">
        <f t="shared" si="7"/>
        <v>20950.8914334757</v>
      </c>
      <c r="O36" s="380">
        <f t="shared" si="8"/>
        <v>20950.8914334757</v>
      </c>
      <c r="P36" s="380">
        <f t="shared" si="9"/>
        <v>20950.8914334757</v>
      </c>
      <c r="T36" t="str">
        <f t="shared" si="1"/>
        <v>Trd_car_gsl-hyb_34</v>
      </c>
      <c r="U36" t="str">
        <f ca="1" t="shared" si="2"/>
        <v>ICE medium size hybrid gasoline car -- 34%</v>
      </c>
      <c r="V36" s="383" t="s">
        <v>84</v>
      </c>
      <c r="W36" s="383" t="s">
        <v>85</v>
      </c>
    </row>
    <row r="37" spans="2:23">
      <c r="B37" s="85">
        <v>0.386114935304519</v>
      </c>
      <c r="C37" s="86">
        <v>22246.2283331628</v>
      </c>
      <c r="D37" s="86">
        <v>21100.8204868737</v>
      </c>
      <c r="E37" s="86">
        <v>21100.8204868737</v>
      </c>
      <c r="F37" s="86">
        <v>21100.8204868737</v>
      </c>
      <c r="I37" s="77">
        <f t="shared" si="11"/>
        <v>1.38611493530452</v>
      </c>
      <c r="J37" t="str">
        <f t="shared" si="3"/>
        <v>Trd_car_gsl-hyb</v>
      </c>
      <c r="K37" t="str">
        <f t="shared" si="4"/>
        <v>Trd_car_gsl-hyb_39</v>
      </c>
      <c r="L37" t="str">
        <f t="shared" si="5"/>
        <v>Trd_car</v>
      </c>
      <c r="M37" s="380">
        <f t="shared" si="6"/>
        <v>22246.2283331628</v>
      </c>
      <c r="N37" s="380">
        <f t="shared" si="7"/>
        <v>21100.8204868737</v>
      </c>
      <c r="O37" s="380">
        <f t="shared" si="8"/>
        <v>21100.8204868737</v>
      </c>
      <c r="P37" s="380">
        <f t="shared" si="9"/>
        <v>21100.8204868737</v>
      </c>
      <c r="T37" t="str">
        <f t="shared" si="1"/>
        <v>Trd_car_gsl-hyb_39</v>
      </c>
      <c r="U37" t="str">
        <f ca="1" t="shared" si="2"/>
        <v>ICE medium size hybrid gasoline car -- 39%</v>
      </c>
      <c r="V37" s="383" t="s">
        <v>84</v>
      </c>
      <c r="W37" s="383" t="s">
        <v>85</v>
      </c>
    </row>
    <row r="38" spans="2:23">
      <c r="B38" s="85">
        <v>0.436114935304519</v>
      </c>
      <c r="C38" s="86">
        <v>22681.2653604884</v>
      </c>
      <c r="D38" s="86">
        <v>21227.4251408085</v>
      </c>
      <c r="E38" s="86">
        <v>21227.4251408085</v>
      </c>
      <c r="F38" s="86">
        <v>21227.4251408085</v>
      </c>
      <c r="I38" s="77">
        <f t="shared" si="11"/>
        <v>1.43611493530452</v>
      </c>
      <c r="J38" t="str">
        <f t="shared" si="3"/>
        <v>Trd_car_gsl-hyb</v>
      </c>
      <c r="K38" t="str">
        <f t="shared" si="4"/>
        <v>Trd_car_gsl-hyb_44</v>
      </c>
      <c r="L38" t="str">
        <f t="shared" si="5"/>
        <v>Trd_car</v>
      </c>
      <c r="M38" s="380">
        <f t="shared" si="6"/>
        <v>22681.2653604884</v>
      </c>
      <c r="N38" s="380">
        <f t="shared" si="7"/>
        <v>21227.4251408085</v>
      </c>
      <c r="O38" s="380">
        <f t="shared" si="8"/>
        <v>21227.4251408085</v>
      </c>
      <c r="P38" s="380">
        <f t="shared" si="9"/>
        <v>21227.4251408085</v>
      </c>
      <c r="T38" t="str">
        <f t="shared" si="1"/>
        <v>Trd_car_gsl-hyb_44</v>
      </c>
      <c r="U38" t="str">
        <f ca="1" t="shared" si="2"/>
        <v>ICE medium size hybrid gasoline car -- 44%</v>
      </c>
      <c r="V38" s="383" t="s">
        <v>84</v>
      </c>
      <c r="W38" s="383" t="s">
        <v>85</v>
      </c>
    </row>
    <row r="39" spans="2:23">
      <c r="B39" s="85">
        <v>0.486114935304519</v>
      </c>
      <c r="C39" s="86">
        <v>23657.6075827596</v>
      </c>
      <c r="D39" s="86">
        <v>21496.8410810268</v>
      </c>
      <c r="E39" s="86">
        <v>21496.8410810268</v>
      </c>
      <c r="F39" s="86">
        <v>21496.8410810268</v>
      </c>
      <c r="I39" s="77">
        <f t="shared" si="11"/>
        <v>1.48611493530452</v>
      </c>
      <c r="J39" t="str">
        <f t="shared" si="3"/>
        <v>Trd_car_gsl-hyb</v>
      </c>
      <c r="K39" t="str">
        <f t="shared" si="4"/>
        <v>Trd_car_gsl-hyb_49</v>
      </c>
      <c r="L39" t="str">
        <f t="shared" si="5"/>
        <v>Trd_car</v>
      </c>
      <c r="M39" s="380">
        <f t="shared" si="6"/>
        <v>23657.6075827596</v>
      </c>
      <c r="N39" s="380">
        <f t="shared" si="7"/>
        <v>21496.8410810268</v>
      </c>
      <c r="O39" s="380">
        <f t="shared" si="8"/>
        <v>21496.8410810268</v>
      </c>
      <c r="P39" s="380">
        <f t="shared" si="9"/>
        <v>21496.8410810268</v>
      </c>
      <c r="T39" t="str">
        <f t="shared" si="1"/>
        <v>Trd_car_gsl-hyb_49</v>
      </c>
      <c r="U39" t="str">
        <f ca="1" t="shared" si="2"/>
        <v>ICE medium size hybrid gasoline car -- 49%</v>
      </c>
      <c r="V39" s="383" t="s">
        <v>84</v>
      </c>
      <c r="W39" s="383" t="s">
        <v>85</v>
      </c>
    </row>
    <row r="40" spans="2:23">
      <c r="B40" s="85">
        <v>0.536114935304519</v>
      </c>
      <c r="C40" s="86">
        <v>45787.5851645581</v>
      </c>
      <c r="D40" s="86">
        <v>22147.3500545445</v>
      </c>
      <c r="E40" s="86">
        <v>22147.3500545445</v>
      </c>
      <c r="F40" s="86">
        <v>22147.3500545445</v>
      </c>
      <c r="I40" s="77">
        <f t="shared" si="11"/>
        <v>1.53611493530452</v>
      </c>
      <c r="J40" t="str">
        <f t="shared" si="3"/>
        <v>Trd_car_gsl-hyb</v>
      </c>
      <c r="K40" t="str">
        <f t="shared" si="4"/>
        <v>Trd_car_gsl-hyb_54</v>
      </c>
      <c r="L40" t="str">
        <f t="shared" si="5"/>
        <v>Trd_car</v>
      </c>
      <c r="M40" s="380">
        <f t="shared" si="6"/>
        <v>45787.5851645581</v>
      </c>
      <c r="N40" s="380">
        <f t="shared" si="7"/>
        <v>22147.3500545445</v>
      </c>
      <c r="O40" s="380">
        <f t="shared" si="8"/>
        <v>22147.3500545445</v>
      </c>
      <c r="P40" s="380">
        <f t="shared" si="9"/>
        <v>22147.3500545445</v>
      </c>
      <c r="T40" t="str">
        <f t="shared" si="1"/>
        <v>Trd_car_gsl-hyb_54</v>
      </c>
      <c r="U40" t="str">
        <f ca="1" t="shared" si="2"/>
        <v>ICE medium size hybrid gasoline car -- 54%</v>
      </c>
      <c r="V40" s="383" t="s">
        <v>84</v>
      </c>
      <c r="W40" s="383" t="s">
        <v>85</v>
      </c>
    </row>
    <row r="41" spans="2:23">
      <c r="B41" s="85">
        <v>0.586114935304519</v>
      </c>
      <c r="C41" s="86">
        <v>118918.12</v>
      </c>
      <c r="D41" s="86">
        <v>34938.6606193537</v>
      </c>
      <c r="E41" s="86">
        <v>34938.6606193537</v>
      </c>
      <c r="F41" s="86">
        <v>34938.6606193537</v>
      </c>
      <c r="I41" s="77">
        <f t="shared" si="11"/>
        <v>1.58611493530452</v>
      </c>
      <c r="J41" t="str">
        <f t="shared" si="3"/>
        <v>Trd_car_gsl-hyb</v>
      </c>
      <c r="K41" t="str">
        <f t="shared" si="4"/>
        <v>Trd_car_gsl-hyb_59</v>
      </c>
      <c r="L41" t="str">
        <f t="shared" si="5"/>
        <v>Trd_car</v>
      </c>
      <c r="M41" s="380">
        <f t="shared" si="6"/>
        <v>118918.12</v>
      </c>
      <c r="N41" s="380">
        <f t="shared" si="7"/>
        <v>34938.6606193537</v>
      </c>
      <c r="O41" s="380">
        <f t="shared" si="8"/>
        <v>34938.6606193537</v>
      </c>
      <c r="P41" s="380">
        <f t="shared" si="9"/>
        <v>34938.6606193537</v>
      </c>
      <c r="T41" t="str">
        <f t="shared" si="1"/>
        <v>Trd_car_gsl-hyb_59</v>
      </c>
      <c r="U41" t="str">
        <f ca="1" t="shared" si="2"/>
        <v>ICE medium size hybrid gasoline car -- 59%</v>
      </c>
      <c r="V41" s="383" t="s">
        <v>84</v>
      </c>
      <c r="W41" s="383" t="s">
        <v>85</v>
      </c>
    </row>
    <row r="42" spans="3:23">
      <c r="C42" s="97"/>
      <c r="D42" s="97"/>
      <c r="E42" s="97"/>
      <c r="F42" s="97"/>
      <c r="J42" t="str">
        <f t="shared" si="3"/>
        <v>Trd_car_gsl-hyb</v>
      </c>
      <c r="K42" t="str">
        <f t="shared" si="4"/>
        <v>\I:</v>
      </c>
      <c r="L42" t="str">
        <f t="shared" si="5"/>
        <v>\I:</v>
      </c>
      <c r="M42" s="380" t="str">
        <f t="shared" si="6"/>
        <v/>
      </c>
      <c r="N42" s="380" t="str">
        <f t="shared" si="7"/>
        <v/>
      </c>
      <c r="O42" s="380" t="str">
        <f t="shared" si="8"/>
        <v/>
      </c>
      <c r="P42" s="380" t="str">
        <f t="shared" si="9"/>
        <v/>
      </c>
      <c r="T42" t="str">
        <f t="shared" si="1"/>
        <v>\I:</v>
      </c>
      <c r="U42" t="str">
        <f ca="1" t="shared" si="2"/>
        <v>ICE medium size hybrid gasoline car -- 00%</v>
      </c>
      <c r="V42" s="383" t="s">
        <v>84</v>
      </c>
      <c r="W42" s="383" t="s">
        <v>85</v>
      </c>
    </row>
    <row r="43" spans="10:23">
      <c r="J43" t="str">
        <f t="shared" si="3"/>
        <v>Trd_car_gsl-hyb</v>
      </c>
      <c r="K43" t="str">
        <f t="shared" si="4"/>
        <v>\I:</v>
      </c>
      <c r="L43" t="str">
        <f t="shared" si="5"/>
        <v>\I:</v>
      </c>
      <c r="M43" s="380" t="str">
        <f t="shared" si="6"/>
        <v/>
      </c>
      <c r="N43" s="380" t="str">
        <f t="shared" si="7"/>
        <v/>
      </c>
      <c r="O43" s="380" t="str">
        <f t="shared" si="8"/>
        <v/>
      </c>
      <c r="P43" s="380" t="str">
        <f t="shared" si="9"/>
        <v/>
      </c>
      <c r="T43" t="str">
        <f t="shared" si="1"/>
        <v>\I:</v>
      </c>
      <c r="U43" t="str">
        <f ca="1" t="shared" si="2"/>
        <v>ICE medium size hybrid gasoline car -- 00%</v>
      </c>
      <c r="V43" s="383" t="s">
        <v>84</v>
      </c>
      <c r="W43" s="383" t="s">
        <v>85</v>
      </c>
    </row>
    <row r="44" spans="10:23">
      <c r="J44" t="str">
        <f t="shared" si="3"/>
        <v>Trd_car_gsl-hyb</v>
      </c>
      <c r="K44" t="str">
        <f t="shared" si="4"/>
        <v>\I:</v>
      </c>
      <c r="L44" t="str">
        <f t="shared" si="5"/>
        <v>\I:</v>
      </c>
      <c r="M44" s="380" t="str">
        <f t="shared" si="6"/>
        <v/>
      </c>
      <c r="N44" s="380" t="str">
        <f t="shared" si="7"/>
        <v/>
      </c>
      <c r="O44" s="380" t="str">
        <f t="shared" si="8"/>
        <v/>
      </c>
      <c r="P44" s="380" t="str">
        <f t="shared" si="9"/>
        <v/>
      </c>
      <c r="T44" t="str">
        <f t="shared" si="1"/>
        <v>\I:</v>
      </c>
      <c r="U44" t="str">
        <f ca="1" t="shared" si="2"/>
        <v>ICE medium size hybrid gasoline car -- 00%</v>
      </c>
      <c r="V44" s="383" t="s">
        <v>84</v>
      </c>
      <c r="W44" s="383" t="s">
        <v>85</v>
      </c>
    </row>
    <row r="45" spans="10:23">
      <c r="J45" t="str">
        <f t="shared" si="3"/>
        <v>Trd_car_gsl-hyb</v>
      </c>
      <c r="K45" t="str">
        <f t="shared" si="4"/>
        <v>\I:</v>
      </c>
      <c r="L45" t="str">
        <f t="shared" si="5"/>
        <v>\I:</v>
      </c>
      <c r="M45" s="380" t="str">
        <f t="shared" si="6"/>
        <v/>
      </c>
      <c r="N45" s="380" t="str">
        <f t="shared" si="7"/>
        <v/>
      </c>
      <c r="O45" s="380" t="str">
        <f t="shared" si="8"/>
        <v/>
      </c>
      <c r="P45" s="380" t="str">
        <f t="shared" si="9"/>
        <v/>
      </c>
      <c r="T45" t="str">
        <f t="shared" si="1"/>
        <v>\I:</v>
      </c>
      <c r="U45" t="str">
        <f ca="1" t="shared" si="2"/>
        <v>ICE medium size hybrid gasoline car -- 00%</v>
      </c>
      <c r="V45" s="383" t="s">
        <v>84</v>
      </c>
      <c r="W45" s="383" t="s">
        <v>85</v>
      </c>
    </row>
    <row r="46" ht="15" customHeight="1" spans="2:23">
      <c r="B46" s="374" t="s">
        <v>16</v>
      </c>
      <c r="C46" s="374" t="s">
        <v>49</v>
      </c>
      <c r="D46" s="374"/>
      <c r="E46" s="374"/>
      <c r="F46" s="374"/>
      <c r="J46" t="str">
        <f t="shared" si="3"/>
        <v>Trd_car_gsl-pih</v>
      </c>
      <c r="K46" t="str">
        <f t="shared" si="4"/>
        <v>\I:</v>
      </c>
      <c r="L46" t="str">
        <f t="shared" si="5"/>
        <v>\I:</v>
      </c>
      <c r="M46" s="380" t="str">
        <f t="shared" si="6"/>
        <v/>
      </c>
      <c r="N46" s="380" t="str">
        <f t="shared" si="7"/>
        <v/>
      </c>
      <c r="O46" s="380" t="str">
        <f t="shared" si="8"/>
        <v/>
      </c>
      <c r="P46" s="380" t="str">
        <f t="shared" si="9"/>
        <v/>
      </c>
      <c r="T46" t="str">
        <f t="shared" si="1"/>
        <v>\I:</v>
      </c>
      <c r="U46" t="str">
        <f ca="1" t="shared" si="2"/>
        <v>ICE medium size plug-in hybrid gasoline car -- Reduction of specific energy consumption relative to 2015 gasoline vehicle (%)</v>
      </c>
      <c r="V46" s="383" t="s">
        <v>84</v>
      </c>
      <c r="W46" s="383" t="s">
        <v>85</v>
      </c>
    </row>
    <row r="47" spans="2:23">
      <c r="B47" s="374"/>
      <c r="C47" s="374"/>
      <c r="D47" s="374"/>
      <c r="E47" s="374"/>
      <c r="F47" s="374"/>
      <c r="J47" t="str">
        <f t="shared" si="3"/>
        <v>Trd_car_gsl-pih</v>
      </c>
      <c r="K47" t="str">
        <f t="shared" si="4"/>
        <v>\I:</v>
      </c>
      <c r="L47" t="str">
        <f t="shared" si="5"/>
        <v>\I:</v>
      </c>
      <c r="M47" s="380" t="str">
        <f t="shared" si="6"/>
        <v/>
      </c>
      <c r="N47" s="380" t="str">
        <f t="shared" si="7"/>
        <v/>
      </c>
      <c r="O47" s="380" t="str">
        <f t="shared" si="8"/>
        <v/>
      </c>
      <c r="P47" s="380" t="str">
        <f t="shared" si="9"/>
        <v/>
      </c>
      <c r="T47" t="str">
        <f t="shared" si="1"/>
        <v>\I:</v>
      </c>
      <c r="U47" t="str">
        <f ca="1" t="shared" si="2"/>
        <v>ICE medium size plug-in hybrid gasoline car -- 00%</v>
      </c>
      <c r="V47" s="383" t="s">
        <v>84</v>
      </c>
      <c r="W47" s="383" t="s">
        <v>85</v>
      </c>
    </row>
    <row r="48" spans="2:23">
      <c r="B48" s="374"/>
      <c r="C48" s="374"/>
      <c r="D48" s="374"/>
      <c r="E48" s="374"/>
      <c r="F48" s="374"/>
      <c r="J48" t="str">
        <f t="shared" si="3"/>
        <v>Trd_car_gsl-pih</v>
      </c>
      <c r="K48" t="str">
        <f t="shared" si="4"/>
        <v>\I:</v>
      </c>
      <c r="L48" t="str">
        <f t="shared" si="5"/>
        <v>\I:</v>
      </c>
      <c r="M48" s="380" t="str">
        <f t="shared" si="6"/>
        <v/>
      </c>
      <c r="N48" s="380" t="str">
        <f t="shared" si="7"/>
        <v/>
      </c>
      <c r="O48" s="380" t="str">
        <f t="shared" si="8"/>
        <v/>
      </c>
      <c r="P48" s="380" t="str">
        <f t="shared" si="9"/>
        <v/>
      </c>
      <c r="T48" t="str">
        <f t="shared" si="1"/>
        <v>\I:</v>
      </c>
      <c r="U48" t="str">
        <f ca="1" t="shared" si="2"/>
        <v>ICE medium size plug-in hybrid gasoline car -- 00%</v>
      </c>
      <c r="V48" s="383" t="s">
        <v>84</v>
      </c>
      <c r="W48" s="383" t="s">
        <v>85</v>
      </c>
    </row>
    <row r="49" spans="2:23">
      <c r="B49" s="88"/>
      <c r="C49" s="50">
        <v>2020</v>
      </c>
      <c r="D49" s="50">
        <v>2030</v>
      </c>
      <c r="E49" s="50">
        <v>2040</v>
      </c>
      <c r="F49" s="50">
        <v>2050</v>
      </c>
      <c r="J49" t="str">
        <f t="shared" si="3"/>
        <v>Trd_car_gsl-pih</v>
      </c>
      <c r="K49" t="str">
        <f t="shared" si="4"/>
        <v>\I:</v>
      </c>
      <c r="L49" t="str">
        <f t="shared" si="5"/>
        <v>\I:</v>
      </c>
      <c r="M49" s="380" t="str">
        <f t="shared" si="6"/>
        <v/>
      </c>
      <c r="N49" s="380" t="str">
        <f t="shared" si="7"/>
        <v/>
      </c>
      <c r="O49" s="380" t="str">
        <f t="shared" si="8"/>
        <v/>
      </c>
      <c r="P49" s="380" t="str">
        <f t="shared" si="9"/>
        <v/>
      </c>
      <c r="T49" t="str">
        <f t="shared" ref="T49:T80" si="12">K49</f>
        <v>\I:</v>
      </c>
      <c r="U49" t="str">
        <f ca="1" t="shared" ref="U49:U80" si="13">OFFSET($S$1,MATCH(J49,$S$1:$S$11,0)-1,-1)&amp;" -- "&amp;TEXT(B49,"00%")</f>
        <v>ICE medium size plug-in hybrid gasoline car -- 00%</v>
      </c>
      <c r="V49" s="383" t="s">
        <v>84</v>
      </c>
      <c r="W49" s="383" t="s">
        <v>85</v>
      </c>
    </row>
    <row r="50" spans="2:23">
      <c r="B50" s="417">
        <v>0.708623958941972</v>
      </c>
      <c r="C50" s="86">
        <v>26539.4776993029</v>
      </c>
      <c r="D50" s="86">
        <v>22587.5779404125</v>
      </c>
      <c r="E50" s="86">
        <v>21510.7791581879</v>
      </c>
      <c r="F50" s="86">
        <v>21196.7246089853</v>
      </c>
      <c r="I50" s="77">
        <f t="shared" ref="I50:I57" si="14">(1+B50)</f>
        <v>1.70862395894197</v>
      </c>
      <c r="J50" t="str">
        <f t="shared" si="3"/>
        <v>Trd_car_gsl-pih</v>
      </c>
      <c r="K50" t="str">
        <f t="shared" si="4"/>
        <v>Trd_car_gsl-pih_71</v>
      </c>
      <c r="L50" t="str">
        <f t="shared" si="5"/>
        <v>Trd_car</v>
      </c>
      <c r="M50" s="380">
        <f t="shared" si="6"/>
        <v>26539.4776993029</v>
      </c>
      <c r="N50" s="380">
        <f t="shared" si="7"/>
        <v>22587.5779404125</v>
      </c>
      <c r="O50" s="380">
        <f t="shared" si="8"/>
        <v>21510.7791581879</v>
      </c>
      <c r="P50" s="380">
        <f t="shared" si="9"/>
        <v>21196.7246089853</v>
      </c>
      <c r="T50" t="str">
        <f t="shared" si="12"/>
        <v>Trd_car_gsl-pih_71</v>
      </c>
      <c r="U50" t="str">
        <f ca="1" t="shared" si="13"/>
        <v>ICE medium size plug-in hybrid gasoline car -- 71%</v>
      </c>
      <c r="V50" s="383" t="s">
        <v>84</v>
      </c>
      <c r="W50" s="383" t="s">
        <v>85</v>
      </c>
    </row>
    <row r="51" spans="2:23">
      <c r="B51" s="417">
        <v>0.718623958941972</v>
      </c>
      <c r="C51" s="86">
        <v>26628.2779926644</v>
      </c>
      <c r="D51" s="86">
        <v>22611.9323485899</v>
      </c>
      <c r="E51" s="86">
        <v>21520.1811773365</v>
      </c>
      <c r="F51" s="86">
        <v>21201.000673427</v>
      </c>
      <c r="I51" s="77">
        <f t="shared" si="14"/>
        <v>1.71862395894197</v>
      </c>
      <c r="J51" t="str">
        <f t="shared" si="3"/>
        <v>Trd_car_gsl-pih</v>
      </c>
      <c r="K51" t="str">
        <f t="shared" si="4"/>
        <v>Trd_car_gsl-pih_72</v>
      </c>
      <c r="L51" t="str">
        <f t="shared" si="5"/>
        <v>Trd_car</v>
      </c>
      <c r="M51" s="380">
        <f t="shared" si="6"/>
        <v>26628.2779926644</v>
      </c>
      <c r="N51" s="380">
        <f t="shared" si="7"/>
        <v>22611.9323485899</v>
      </c>
      <c r="O51" s="380">
        <f t="shared" si="8"/>
        <v>21520.1811773365</v>
      </c>
      <c r="P51" s="380">
        <f t="shared" si="9"/>
        <v>21201.000673427</v>
      </c>
      <c r="T51" t="str">
        <f t="shared" si="12"/>
        <v>Trd_car_gsl-pih_72</v>
      </c>
      <c r="U51" t="str">
        <f ca="1" t="shared" si="13"/>
        <v>ICE medium size plug-in hybrid gasoline car -- 72%</v>
      </c>
      <c r="V51" s="383" t="s">
        <v>84</v>
      </c>
      <c r="W51" s="383" t="s">
        <v>85</v>
      </c>
    </row>
    <row r="52" spans="2:23">
      <c r="B52" s="417">
        <v>0.731123958941972</v>
      </c>
      <c r="C52" s="86">
        <v>26773.522519625</v>
      </c>
      <c r="D52" s="86">
        <v>22633.6537180433</v>
      </c>
      <c r="E52" s="86">
        <v>21527.0530849486</v>
      </c>
      <c r="F52" s="86">
        <v>21202.7110068848</v>
      </c>
      <c r="I52" s="77">
        <f t="shared" si="14"/>
        <v>1.73112395894197</v>
      </c>
      <c r="J52" t="str">
        <f t="shared" si="3"/>
        <v>Trd_car_gsl-pih</v>
      </c>
      <c r="K52" t="str">
        <f t="shared" si="4"/>
        <v>Trd_car_gsl-pih_73</v>
      </c>
      <c r="L52" t="str">
        <f t="shared" si="5"/>
        <v>Trd_car</v>
      </c>
      <c r="M52" s="380">
        <f t="shared" si="6"/>
        <v>26773.522519625</v>
      </c>
      <c r="N52" s="380">
        <f t="shared" si="7"/>
        <v>22633.6537180433</v>
      </c>
      <c r="O52" s="380">
        <f t="shared" si="8"/>
        <v>21527.0530849486</v>
      </c>
      <c r="P52" s="380">
        <f t="shared" si="9"/>
        <v>21202.7110068848</v>
      </c>
      <c r="T52" t="str">
        <f t="shared" si="12"/>
        <v>Trd_car_gsl-pih_73</v>
      </c>
      <c r="U52" t="str">
        <f ca="1" t="shared" si="13"/>
        <v>ICE medium size plug-in hybrid gasoline car -- 73%</v>
      </c>
      <c r="V52" s="383" t="s">
        <v>84</v>
      </c>
      <c r="W52" s="383" t="s">
        <v>85</v>
      </c>
    </row>
    <row r="53" spans="2:23">
      <c r="B53" s="417">
        <v>0.741123958941972</v>
      </c>
      <c r="C53" s="86">
        <v>26989.6744690472</v>
      </c>
      <c r="D53" s="86">
        <v>22654.2157331532</v>
      </c>
      <c r="E53" s="86">
        <v>21537.4777446133</v>
      </c>
      <c r="F53" s="86">
        <v>21209.7768815691</v>
      </c>
      <c r="I53" s="77">
        <f t="shared" si="14"/>
        <v>1.74112395894197</v>
      </c>
      <c r="J53" t="str">
        <f t="shared" si="3"/>
        <v>Trd_car_gsl-pih</v>
      </c>
      <c r="K53" t="str">
        <f t="shared" si="4"/>
        <v>Trd_car_gsl-pih_74</v>
      </c>
      <c r="L53" t="str">
        <f t="shared" si="5"/>
        <v>Trd_car</v>
      </c>
      <c r="M53" s="380">
        <f t="shared" si="6"/>
        <v>26989.6744690472</v>
      </c>
      <c r="N53" s="380">
        <f t="shared" si="7"/>
        <v>22654.2157331532</v>
      </c>
      <c r="O53" s="380">
        <f t="shared" si="8"/>
        <v>21537.4777446133</v>
      </c>
      <c r="P53" s="380">
        <f t="shared" si="9"/>
        <v>21209.7768815691</v>
      </c>
      <c r="T53" t="str">
        <f t="shared" si="12"/>
        <v>Trd_car_gsl-pih_74</v>
      </c>
      <c r="U53" t="str">
        <f ca="1" t="shared" si="13"/>
        <v>ICE medium size plug-in hybrid gasoline car -- 74%</v>
      </c>
      <c r="V53" s="383" t="s">
        <v>84</v>
      </c>
      <c r="W53" s="383" t="s">
        <v>85</v>
      </c>
    </row>
    <row r="54" spans="2:23">
      <c r="B54" s="417">
        <v>0.751123958941972</v>
      </c>
      <c r="C54" s="86">
        <v>27401.4001530307</v>
      </c>
      <c r="D54" s="86">
        <v>22660.3968650687</v>
      </c>
      <c r="E54" s="86">
        <v>21543.4172520826</v>
      </c>
      <c r="F54" s="86">
        <v>21215.8000066854</v>
      </c>
      <c r="I54" s="77">
        <f t="shared" si="14"/>
        <v>1.75112395894197</v>
      </c>
      <c r="J54" t="str">
        <f t="shared" si="3"/>
        <v>Trd_car_gsl-pih</v>
      </c>
      <c r="K54" t="str">
        <f t="shared" si="4"/>
        <v>Trd_car_gsl-pih_75</v>
      </c>
      <c r="L54" t="str">
        <f t="shared" si="5"/>
        <v>Trd_car</v>
      </c>
      <c r="M54" s="380">
        <f t="shared" si="6"/>
        <v>27401.4001530307</v>
      </c>
      <c r="N54" s="380">
        <f t="shared" si="7"/>
        <v>22660.3968650687</v>
      </c>
      <c r="O54" s="380">
        <f t="shared" si="8"/>
        <v>21543.4172520826</v>
      </c>
      <c r="P54" s="380">
        <f t="shared" si="9"/>
        <v>21215.8000066854</v>
      </c>
      <c r="T54" t="str">
        <f t="shared" si="12"/>
        <v>Trd_car_gsl-pih_75</v>
      </c>
      <c r="U54" t="str">
        <f ca="1" t="shared" si="13"/>
        <v>ICE medium size plug-in hybrid gasoline car -- 75%</v>
      </c>
      <c r="V54" s="383" t="s">
        <v>84</v>
      </c>
      <c r="W54" s="383" t="s">
        <v>85</v>
      </c>
    </row>
    <row r="55" spans="2:23">
      <c r="B55" s="417">
        <v>0.798623958941972</v>
      </c>
      <c r="C55" s="86">
        <v>73086.7752868817</v>
      </c>
      <c r="D55" s="86">
        <v>23523.7845036998</v>
      </c>
      <c r="E55" s="86">
        <v>22095.4342540872</v>
      </c>
      <c r="F55" s="86">
        <v>21671.3185501023</v>
      </c>
      <c r="I55" s="77">
        <f t="shared" si="14"/>
        <v>1.79862395894197</v>
      </c>
      <c r="J55" t="str">
        <f t="shared" si="3"/>
        <v>Trd_car_gsl-pih</v>
      </c>
      <c r="K55" t="str">
        <f t="shared" si="4"/>
        <v>Trd_car_gsl-pih_80</v>
      </c>
      <c r="L55" t="str">
        <f t="shared" si="5"/>
        <v>Trd_car</v>
      </c>
      <c r="M55" s="380">
        <f t="shared" si="6"/>
        <v>73086.7752868817</v>
      </c>
      <c r="N55" s="380">
        <f t="shared" si="7"/>
        <v>23523.7845036998</v>
      </c>
      <c r="O55" s="380">
        <f t="shared" si="8"/>
        <v>22095.4342540872</v>
      </c>
      <c r="P55" s="380">
        <f t="shared" si="9"/>
        <v>21671.3185501023</v>
      </c>
      <c r="T55" t="str">
        <f t="shared" si="12"/>
        <v>Trd_car_gsl-pih_80</v>
      </c>
      <c r="U55" t="str">
        <f ca="1" t="shared" si="13"/>
        <v>ICE medium size plug-in hybrid gasoline car -- 80%</v>
      </c>
      <c r="V55" s="383" t="s">
        <v>84</v>
      </c>
      <c r="W55" s="383" t="s">
        <v>85</v>
      </c>
    </row>
    <row r="56" spans="2:23">
      <c r="B56" s="417">
        <v>0.806123958941972</v>
      </c>
      <c r="C56" s="86">
        <v>108076.535841584</v>
      </c>
      <c r="D56" s="86">
        <v>23678.9935851968</v>
      </c>
      <c r="E56" s="86">
        <v>22244.5761121578</v>
      </c>
      <c r="F56" s="86">
        <v>21822.5600589121</v>
      </c>
      <c r="I56" s="77">
        <f t="shared" si="14"/>
        <v>1.80612395894197</v>
      </c>
      <c r="J56" t="str">
        <f t="shared" si="3"/>
        <v>Trd_car_gsl-pih</v>
      </c>
      <c r="K56" t="str">
        <f t="shared" si="4"/>
        <v>Trd_car_gsl-pih_81</v>
      </c>
      <c r="L56" t="str">
        <f t="shared" si="5"/>
        <v>Trd_car</v>
      </c>
      <c r="M56" s="380">
        <f t="shared" si="6"/>
        <v>108076.535841584</v>
      </c>
      <c r="N56" s="380">
        <f t="shared" si="7"/>
        <v>23678.9935851968</v>
      </c>
      <c r="O56" s="380">
        <f t="shared" si="8"/>
        <v>22244.5761121578</v>
      </c>
      <c r="P56" s="380">
        <f t="shared" si="9"/>
        <v>21822.5600589121</v>
      </c>
      <c r="T56" t="str">
        <f t="shared" si="12"/>
        <v>Trd_car_gsl-pih_81</v>
      </c>
      <c r="U56" t="str">
        <f ca="1" t="shared" si="13"/>
        <v>ICE medium size plug-in hybrid gasoline car -- 81%</v>
      </c>
      <c r="V56" s="383" t="s">
        <v>84</v>
      </c>
      <c r="W56" s="383" t="s">
        <v>85</v>
      </c>
    </row>
    <row r="57" spans="2:23">
      <c r="B57" s="421">
        <v>0.815623958941972</v>
      </c>
      <c r="C57" s="86">
        <f>C56</f>
        <v>108076.535841584</v>
      </c>
      <c r="D57" s="86">
        <v>42903.2293099449</v>
      </c>
      <c r="E57" s="86">
        <v>40717.324023051</v>
      </c>
      <c r="F57" s="86">
        <v>40555.3712364839</v>
      </c>
      <c r="I57" s="77">
        <f t="shared" si="14"/>
        <v>1.81562395894197</v>
      </c>
      <c r="J57" t="str">
        <f t="shared" si="3"/>
        <v>Trd_car_gsl-pih</v>
      </c>
      <c r="K57" t="str">
        <f t="shared" si="4"/>
        <v>Trd_car_gsl-pih_82</v>
      </c>
      <c r="L57" t="str">
        <f t="shared" si="5"/>
        <v>Trd_car</v>
      </c>
      <c r="M57" s="380">
        <f t="shared" si="6"/>
        <v>108076.535841584</v>
      </c>
      <c r="N57" s="380">
        <f t="shared" si="7"/>
        <v>42903.2293099449</v>
      </c>
      <c r="O57" s="380">
        <f t="shared" si="8"/>
        <v>40717.324023051</v>
      </c>
      <c r="P57" s="380">
        <f t="shared" si="9"/>
        <v>40555.3712364839</v>
      </c>
      <c r="T57" t="str">
        <f t="shared" si="12"/>
        <v>Trd_car_gsl-pih_82</v>
      </c>
      <c r="U57" t="str">
        <f ca="1" t="shared" si="13"/>
        <v>ICE medium size plug-in hybrid gasoline car -- 82%</v>
      </c>
      <c r="V57" s="383" t="s">
        <v>84</v>
      </c>
      <c r="W57" s="383" t="s">
        <v>85</v>
      </c>
    </row>
    <row r="58" spans="10:23">
      <c r="J58" t="str">
        <f t="shared" si="3"/>
        <v>Trd_car_gsl-pih</v>
      </c>
      <c r="K58" t="str">
        <f t="shared" si="4"/>
        <v>\I:</v>
      </c>
      <c r="L58" t="str">
        <f t="shared" si="5"/>
        <v>\I:</v>
      </c>
      <c r="M58" s="380" t="str">
        <f t="shared" si="6"/>
        <v/>
      </c>
      <c r="N58" s="380" t="str">
        <f t="shared" si="7"/>
        <v/>
      </c>
      <c r="O58" s="380" t="str">
        <f t="shared" si="8"/>
        <v/>
      </c>
      <c r="P58" s="380" t="str">
        <f t="shared" si="9"/>
        <v/>
      </c>
      <c r="T58" t="str">
        <f t="shared" si="12"/>
        <v>\I:</v>
      </c>
      <c r="U58" t="str">
        <f ca="1" t="shared" si="13"/>
        <v>ICE medium size plug-in hybrid gasoline car -- 00%</v>
      </c>
      <c r="V58" s="383" t="s">
        <v>84</v>
      </c>
      <c r="W58" s="383" t="s">
        <v>85</v>
      </c>
    </row>
    <row r="59" spans="10:23">
      <c r="J59" t="str">
        <f t="shared" si="3"/>
        <v>Trd_car_gsl-pih</v>
      </c>
      <c r="K59" t="str">
        <f t="shared" si="4"/>
        <v>\I:</v>
      </c>
      <c r="L59" t="str">
        <f t="shared" si="5"/>
        <v>\I:</v>
      </c>
      <c r="M59" s="380" t="str">
        <f t="shared" si="6"/>
        <v/>
      </c>
      <c r="N59" s="380" t="str">
        <f t="shared" si="7"/>
        <v/>
      </c>
      <c r="O59" s="380" t="str">
        <f t="shared" si="8"/>
        <v/>
      </c>
      <c r="P59" s="380" t="str">
        <f t="shared" si="9"/>
        <v/>
      </c>
      <c r="T59" t="str">
        <f t="shared" si="12"/>
        <v>\I:</v>
      </c>
      <c r="U59" t="str">
        <f ca="1" t="shared" si="13"/>
        <v>ICE medium size plug-in hybrid gasoline car -- 00%</v>
      </c>
      <c r="V59" s="383" t="s">
        <v>84</v>
      </c>
      <c r="W59" s="383" t="s">
        <v>85</v>
      </c>
    </row>
    <row r="60" spans="10:23">
      <c r="J60" t="str">
        <f t="shared" si="3"/>
        <v>Trd_car_gsl-pih</v>
      </c>
      <c r="K60" t="str">
        <f t="shared" si="4"/>
        <v>\I:</v>
      </c>
      <c r="L60" t="str">
        <f t="shared" si="5"/>
        <v>\I:</v>
      </c>
      <c r="M60" s="380" t="str">
        <f t="shared" si="6"/>
        <v/>
      </c>
      <c r="N60" s="380" t="str">
        <f t="shared" si="7"/>
        <v/>
      </c>
      <c r="O60" s="380" t="str">
        <f t="shared" si="8"/>
        <v/>
      </c>
      <c r="P60" s="380" t="str">
        <f t="shared" si="9"/>
        <v/>
      </c>
      <c r="T60" t="str">
        <f t="shared" si="12"/>
        <v>\I:</v>
      </c>
      <c r="U60" t="str">
        <f ca="1" t="shared" si="13"/>
        <v>ICE medium size plug-in hybrid gasoline car -- 00%</v>
      </c>
      <c r="V60" s="383" t="s">
        <v>84</v>
      </c>
      <c r="W60" s="383" t="s">
        <v>85</v>
      </c>
    </row>
    <row r="61" spans="10:23">
      <c r="J61" t="str">
        <f t="shared" si="3"/>
        <v>Trd_car_gsl-pih</v>
      </c>
      <c r="K61" t="str">
        <f t="shared" si="4"/>
        <v>\I:</v>
      </c>
      <c r="L61" t="str">
        <f t="shared" si="5"/>
        <v>\I:</v>
      </c>
      <c r="M61" s="380" t="str">
        <f t="shared" si="6"/>
        <v/>
      </c>
      <c r="N61" s="380" t="str">
        <f t="shared" si="7"/>
        <v/>
      </c>
      <c r="O61" s="380" t="str">
        <f t="shared" si="8"/>
        <v/>
      </c>
      <c r="P61" s="380" t="str">
        <f t="shared" si="9"/>
        <v/>
      </c>
      <c r="T61" t="str">
        <f t="shared" si="12"/>
        <v>\I:</v>
      </c>
      <c r="U61" t="str">
        <f ca="1" t="shared" si="13"/>
        <v>ICE medium size plug-in hybrid gasoline car -- 00%</v>
      </c>
      <c r="V61" s="383" t="s">
        <v>84</v>
      </c>
      <c r="W61" s="383" t="s">
        <v>85</v>
      </c>
    </row>
    <row r="62" spans="2:23">
      <c r="B62" s="43" t="s">
        <v>86</v>
      </c>
      <c r="J62" t="str">
        <f t="shared" si="3"/>
        <v>Trd_car_gsl-pih</v>
      </c>
      <c r="K62" t="str">
        <f t="shared" si="4"/>
        <v>\I:</v>
      </c>
      <c r="L62" t="str">
        <f t="shared" si="5"/>
        <v>\I:</v>
      </c>
      <c r="M62" s="380" t="str">
        <f t="shared" si="6"/>
        <v/>
      </c>
      <c r="N62" s="380" t="str">
        <f t="shared" si="7"/>
        <v/>
      </c>
      <c r="O62" s="380" t="str">
        <f t="shared" si="8"/>
        <v/>
      </c>
      <c r="P62" s="380" t="str">
        <f t="shared" si="9"/>
        <v/>
      </c>
      <c r="T62" t="str">
        <f t="shared" si="12"/>
        <v>\I:</v>
      </c>
      <c r="U62" t="str">
        <f ca="1" t="shared" si="13"/>
        <v>ICE medium size plug-in hybrid gasoline car -- Reference values for medium size ICE diesel </v>
      </c>
      <c r="V62" s="383" t="s">
        <v>84</v>
      </c>
      <c r="W62" s="383" t="s">
        <v>85</v>
      </c>
    </row>
    <row r="63" spans="2:23">
      <c r="B63" s="372">
        <v>2015</v>
      </c>
      <c r="C63" s="372"/>
      <c r="D63" s="372"/>
      <c r="J63" t="str">
        <f t="shared" si="3"/>
        <v>Trd_car_gsl-pih</v>
      </c>
      <c r="K63" t="str">
        <f t="shared" si="4"/>
        <v>\I:</v>
      </c>
      <c r="L63" t="str">
        <f t="shared" si="5"/>
        <v>\I:</v>
      </c>
      <c r="M63" s="380" t="str">
        <f t="shared" si="6"/>
        <v/>
      </c>
      <c r="N63" s="380" t="str">
        <f t="shared" si="7"/>
        <v/>
      </c>
      <c r="O63" s="380" t="str">
        <f t="shared" si="8"/>
        <v/>
      </c>
      <c r="P63" s="380" t="str">
        <f t="shared" si="9"/>
        <v/>
      </c>
      <c r="T63" t="str">
        <f t="shared" si="12"/>
        <v>\I:</v>
      </c>
      <c r="U63" t="str">
        <f ca="1" t="shared" si="13"/>
        <v>ICE medium size plug-in hybrid gasoline car -- 201500%</v>
      </c>
      <c r="V63" s="383" t="s">
        <v>84</v>
      </c>
      <c r="W63" s="383" t="s">
        <v>85</v>
      </c>
    </row>
    <row r="64" spans="2:23">
      <c r="B64" s="45" t="s">
        <v>12</v>
      </c>
      <c r="C64" s="46" t="s">
        <v>13</v>
      </c>
      <c r="D64" s="47">
        <v>4.98666897284823</v>
      </c>
      <c r="G64" s="77">
        <f>D64*$I$4/100*10^9/10^6</f>
        <v>1.89493420968233</v>
      </c>
      <c r="H64" s="77"/>
      <c r="I64" s="422">
        <f>1/G64</f>
        <v>0.527722806887128</v>
      </c>
      <c r="J64" t="str">
        <f t="shared" si="3"/>
        <v>Trd_car_gsl-pih</v>
      </c>
      <c r="K64" t="str">
        <f t="shared" si="4"/>
        <v>\I:</v>
      </c>
      <c r="L64" t="str">
        <f t="shared" si="5"/>
        <v>\I:</v>
      </c>
      <c r="M64" s="380" t="str">
        <f t="shared" si="6"/>
        <v/>
      </c>
      <c r="N64" s="380" t="str">
        <f t="shared" si="7"/>
        <v/>
      </c>
      <c r="O64" s="380" t="str">
        <f t="shared" si="8"/>
        <v/>
      </c>
      <c r="P64" s="380" t="str">
        <f t="shared" si="9"/>
        <v/>
      </c>
      <c r="T64" t="str">
        <f t="shared" si="12"/>
        <v>\I:</v>
      </c>
      <c r="U64" t="str">
        <f ca="1" t="shared" si="13"/>
        <v>ICE medium size plug-in hybrid gasoline car -- Energy consumption</v>
      </c>
      <c r="V64" s="383" t="s">
        <v>84</v>
      </c>
      <c r="W64" s="383" t="s">
        <v>85</v>
      </c>
    </row>
    <row r="65" spans="2:23">
      <c r="B65" s="45" t="s">
        <v>14</v>
      </c>
      <c r="C65" s="46" t="s">
        <v>15</v>
      </c>
      <c r="D65" s="68">
        <v>21914.2647910521</v>
      </c>
      <c r="I65" s="385" t="s">
        <v>70</v>
      </c>
      <c r="J65" t="str">
        <f t="shared" si="3"/>
        <v>Trd_car_gsl-pih</v>
      </c>
      <c r="K65" t="str">
        <f t="shared" si="4"/>
        <v>\I:</v>
      </c>
      <c r="L65" t="str">
        <f t="shared" si="5"/>
        <v>\I:</v>
      </c>
      <c r="M65" s="380" t="str">
        <f t="shared" si="6"/>
        <v/>
      </c>
      <c r="N65" s="380" t="str">
        <f t="shared" si="7"/>
        <v/>
      </c>
      <c r="O65" s="380" t="str">
        <f t="shared" si="8"/>
        <v/>
      </c>
      <c r="P65" s="380" t="str">
        <f t="shared" si="9"/>
        <v/>
      </c>
      <c r="T65" t="str">
        <f t="shared" si="12"/>
        <v>\I:</v>
      </c>
      <c r="U65" t="str">
        <f ca="1" t="shared" si="13"/>
        <v>ICE medium size plug-in hybrid gasoline car -- Capital cost</v>
      </c>
      <c r="V65" s="383" t="s">
        <v>84</v>
      </c>
      <c r="W65" s="383" t="s">
        <v>85</v>
      </c>
    </row>
    <row r="66" spans="10:23">
      <c r="J66" t="str">
        <f t="shared" si="3"/>
        <v>Trd_car_gsl-pih</v>
      </c>
      <c r="K66" t="str">
        <f t="shared" si="4"/>
        <v>\I:</v>
      </c>
      <c r="L66" t="str">
        <f t="shared" si="5"/>
        <v>\I:</v>
      </c>
      <c r="M66" s="380" t="str">
        <f t="shared" si="6"/>
        <v/>
      </c>
      <c r="N66" s="380" t="str">
        <f t="shared" si="7"/>
        <v/>
      </c>
      <c r="O66" s="380" t="str">
        <f t="shared" si="8"/>
        <v/>
      </c>
      <c r="P66" s="380" t="str">
        <f t="shared" si="9"/>
        <v/>
      </c>
      <c r="T66" t="str">
        <f t="shared" si="12"/>
        <v>\I:</v>
      </c>
      <c r="U66" t="str">
        <f ca="1" t="shared" si="13"/>
        <v>ICE medium size plug-in hybrid gasoline car -- 00%</v>
      </c>
      <c r="V66" s="383" t="s">
        <v>84</v>
      </c>
      <c r="W66" s="383" t="s">
        <v>85</v>
      </c>
    </row>
    <row r="67" ht="15" customHeight="1" spans="2:23">
      <c r="B67" s="374" t="s">
        <v>21</v>
      </c>
      <c r="C67" s="374" t="s">
        <v>52</v>
      </c>
      <c r="D67" s="374"/>
      <c r="E67" s="374"/>
      <c r="F67" s="374"/>
      <c r="J67" t="str">
        <f t="shared" si="3"/>
        <v>Trd_car_dsl</v>
      </c>
      <c r="K67" t="str">
        <f t="shared" si="4"/>
        <v>\I:</v>
      </c>
      <c r="L67" t="str">
        <f t="shared" si="5"/>
        <v>\I:</v>
      </c>
      <c r="M67" s="380" t="str">
        <f t="shared" si="6"/>
        <v/>
      </c>
      <c r="N67" s="380" t="str">
        <f t="shared" si="7"/>
        <v/>
      </c>
      <c r="O67" s="380" t="str">
        <f t="shared" si="8"/>
        <v/>
      </c>
      <c r="P67" s="380" t="str">
        <f t="shared" si="9"/>
        <v/>
      </c>
      <c r="T67" t="str">
        <f t="shared" si="12"/>
        <v>\I:</v>
      </c>
      <c r="U67" t="str">
        <f ca="1" t="shared" si="13"/>
        <v>ICE medium size diesel car -- Reduction of specific energy consumption relative to 2015 diesel vehicle (%)</v>
      </c>
      <c r="V67" s="383" t="s">
        <v>84</v>
      </c>
      <c r="W67" s="383" t="s">
        <v>85</v>
      </c>
    </row>
    <row r="68" spans="2:23">
      <c r="B68" s="374"/>
      <c r="C68" s="374"/>
      <c r="D68" s="374"/>
      <c r="E68" s="374"/>
      <c r="F68" s="374"/>
      <c r="J68" t="str">
        <f t="shared" si="3"/>
        <v>Trd_car_dsl</v>
      </c>
      <c r="K68" t="str">
        <f t="shared" si="4"/>
        <v>\I:</v>
      </c>
      <c r="L68" t="str">
        <f t="shared" si="5"/>
        <v>\I:</v>
      </c>
      <c r="M68" s="380" t="str">
        <f t="shared" si="6"/>
        <v/>
      </c>
      <c r="N68" s="380" t="str">
        <f t="shared" si="7"/>
        <v/>
      </c>
      <c r="O68" s="380" t="str">
        <f t="shared" si="8"/>
        <v/>
      </c>
      <c r="P68" s="380" t="str">
        <f t="shared" si="9"/>
        <v/>
      </c>
      <c r="T68" t="str">
        <f t="shared" si="12"/>
        <v>\I:</v>
      </c>
      <c r="U68" t="str">
        <f ca="1" t="shared" si="13"/>
        <v>ICE medium size diesel car -- 00%</v>
      </c>
      <c r="V68" s="383" t="s">
        <v>84</v>
      </c>
      <c r="W68" s="383" t="s">
        <v>85</v>
      </c>
    </row>
    <row r="69" spans="2:23">
      <c r="B69" s="374"/>
      <c r="C69" s="374"/>
      <c r="D69" s="374"/>
      <c r="E69" s="374"/>
      <c r="F69" s="374"/>
      <c r="J69" t="str">
        <f t="shared" si="3"/>
        <v>Trd_car_dsl</v>
      </c>
      <c r="K69" t="str">
        <f t="shared" si="4"/>
        <v>\I:</v>
      </c>
      <c r="L69" t="str">
        <f t="shared" si="5"/>
        <v>\I:</v>
      </c>
      <c r="M69" s="380" t="str">
        <f t="shared" si="6"/>
        <v/>
      </c>
      <c r="N69" s="380" t="str">
        <f t="shared" si="7"/>
        <v/>
      </c>
      <c r="O69" s="380" t="str">
        <f t="shared" si="8"/>
        <v/>
      </c>
      <c r="P69" s="380" t="str">
        <f t="shared" si="9"/>
        <v/>
      </c>
      <c r="T69" t="str">
        <f t="shared" si="12"/>
        <v>\I:</v>
      </c>
      <c r="U69" t="str">
        <f ca="1" t="shared" si="13"/>
        <v>ICE medium size diesel car -- 00%</v>
      </c>
      <c r="V69" s="383" t="s">
        <v>84</v>
      </c>
      <c r="W69" s="383" t="s">
        <v>85</v>
      </c>
    </row>
    <row r="70" spans="2:23">
      <c r="B70" s="88"/>
      <c r="C70" s="50">
        <v>2020</v>
      </c>
      <c r="D70" s="50">
        <v>2030</v>
      </c>
      <c r="E70" s="50">
        <v>2040</v>
      </c>
      <c r="F70" s="50">
        <v>2050</v>
      </c>
      <c r="I70" s="373">
        <v>1</v>
      </c>
      <c r="J70" s="43" t="str">
        <f t="shared" ref="J70" si="15">IFERROR(VLOOKUP(C70,$R$1:$S$11,2,FALSE),J69)</f>
        <v>Trd_car_dsl</v>
      </c>
      <c r="K70" s="43" t="str">
        <f>IFERROR(IF(VALUE(C70)&gt;200,J70&amp;"_"&amp;TEXT(B70*100,"00"),"\I:"),"\I:")</f>
        <v>Trd_car_dsl_00</v>
      </c>
      <c r="L70" t="str">
        <f t="shared" si="5"/>
        <v>Trd_car</v>
      </c>
      <c r="M70" s="418">
        <f>D65</f>
        <v>21914.2647910521</v>
      </c>
      <c r="N70" s="380"/>
      <c r="O70" s="380"/>
      <c r="P70" s="380"/>
      <c r="T70" t="str">
        <f t="shared" si="12"/>
        <v>Trd_car_dsl_00</v>
      </c>
      <c r="U70" t="str">
        <f ca="1" t="shared" si="13"/>
        <v>ICE medium size diesel car -- 00%</v>
      </c>
      <c r="V70" s="383" t="s">
        <v>84</v>
      </c>
      <c r="W70" s="383" t="s">
        <v>85</v>
      </c>
    </row>
    <row r="71" spans="2:23">
      <c r="B71" s="85">
        <v>0.195198130991225</v>
      </c>
      <c r="C71" s="86">
        <v>22692.9991331875</v>
      </c>
      <c r="D71" s="86">
        <v>22131.4789656656</v>
      </c>
      <c r="E71" s="86">
        <v>22131.4789656656</v>
      </c>
      <c r="F71" s="86">
        <v>22131.4789656656</v>
      </c>
      <c r="I71" s="77">
        <f>$I$64*(1+B71)/$I$12</f>
        <v>1.35335142376444</v>
      </c>
      <c r="J71" t="str">
        <f t="shared" si="3"/>
        <v>Trd_car_dsl</v>
      </c>
      <c r="K71" t="str">
        <f t="shared" si="4"/>
        <v>Trd_car_dsl_20</v>
      </c>
      <c r="L71" t="str">
        <f t="shared" si="5"/>
        <v>Trd_car</v>
      </c>
      <c r="M71" s="380">
        <f t="shared" si="6"/>
        <v>22692.9991331875</v>
      </c>
      <c r="N71" s="380">
        <f t="shared" si="7"/>
        <v>22131.4789656656</v>
      </c>
      <c r="O71" s="380">
        <f t="shared" si="8"/>
        <v>22131.4789656656</v>
      </c>
      <c r="P71" s="380">
        <f t="shared" si="9"/>
        <v>22131.4789656656</v>
      </c>
      <c r="T71" t="str">
        <f t="shared" si="12"/>
        <v>Trd_car_dsl_20</v>
      </c>
      <c r="U71" t="str">
        <f ca="1" t="shared" si="13"/>
        <v>ICE medium size diesel car -- 20%</v>
      </c>
      <c r="V71" s="383" t="s">
        <v>84</v>
      </c>
      <c r="W71" s="383" t="s">
        <v>85</v>
      </c>
    </row>
    <row r="72" spans="2:23">
      <c r="B72" s="85">
        <v>0.295198130991225</v>
      </c>
      <c r="C72" s="86">
        <v>24299.0380820457</v>
      </c>
      <c r="D72" s="86">
        <v>22868.8307949444</v>
      </c>
      <c r="E72" s="86">
        <v>22868.8307949444</v>
      </c>
      <c r="F72" s="86">
        <v>22868.8307949444</v>
      </c>
      <c r="I72" s="77">
        <f>$I$64*(1+B72)/$I$12</f>
        <v>1.46658381500337</v>
      </c>
      <c r="J72" t="str">
        <f t="shared" si="3"/>
        <v>Trd_car_dsl</v>
      </c>
      <c r="K72" t="str">
        <f t="shared" si="4"/>
        <v>Trd_car_dsl_30</v>
      </c>
      <c r="L72" t="str">
        <f t="shared" si="5"/>
        <v>Trd_car</v>
      </c>
      <c r="M72" s="380">
        <f t="shared" si="6"/>
        <v>24299.0380820457</v>
      </c>
      <c r="N72" s="380">
        <f t="shared" si="7"/>
        <v>22868.8307949444</v>
      </c>
      <c r="O72" s="380">
        <f t="shared" si="8"/>
        <v>22868.8307949444</v>
      </c>
      <c r="P72" s="380">
        <f t="shared" si="9"/>
        <v>22868.8307949444</v>
      </c>
      <c r="T72" t="str">
        <f t="shared" si="12"/>
        <v>Trd_car_dsl_30</v>
      </c>
      <c r="U72" t="str">
        <f ca="1" t="shared" si="13"/>
        <v>ICE medium size diesel car -- 30%</v>
      </c>
      <c r="V72" s="383" t="s">
        <v>84</v>
      </c>
      <c r="W72" s="383" t="s">
        <v>85</v>
      </c>
    </row>
    <row r="73" spans="2:23">
      <c r="B73" s="85">
        <v>0.345198130991225</v>
      </c>
      <c r="C73" s="86">
        <v>26423.1165385091</v>
      </c>
      <c r="D73" s="86">
        <v>23526.51219185</v>
      </c>
      <c r="E73" s="86">
        <v>23526.51219185</v>
      </c>
      <c r="F73" s="86">
        <v>23526.51219185</v>
      </c>
      <c r="I73" s="77">
        <f>$I$64*(1+B73)/$I$12</f>
        <v>1.52320001062284</v>
      </c>
      <c r="J73" t="str">
        <f t="shared" si="3"/>
        <v>Trd_car_dsl</v>
      </c>
      <c r="K73" t="str">
        <f t="shared" si="4"/>
        <v>Trd_car_dsl_35</v>
      </c>
      <c r="L73" t="str">
        <f t="shared" si="5"/>
        <v>Trd_car</v>
      </c>
      <c r="M73" s="380">
        <f t="shared" si="6"/>
        <v>26423.1165385091</v>
      </c>
      <c r="N73" s="380">
        <f t="shared" si="7"/>
        <v>23526.51219185</v>
      </c>
      <c r="O73" s="380">
        <f t="shared" si="8"/>
        <v>23526.51219185</v>
      </c>
      <c r="P73" s="380">
        <f t="shared" si="9"/>
        <v>23526.51219185</v>
      </c>
      <c r="T73" t="str">
        <f t="shared" si="12"/>
        <v>Trd_car_dsl_35</v>
      </c>
      <c r="U73" t="str">
        <f ca="1" t="shared" si="13"/>
        <v>ICE medium size diesel car -- 35%</v>
      </c>
      <c r="V73" s="383" t="s">
        <v>84</v>
      </c>
      <c r="W73" s="383" t="s">
        <v>85</v>
      </c>
    </row>
    <row r="74" spans="2:23">
      <c r="B74" s="85">
        <v>0.395198130991225</v>
      </c>
      <c r="C74" s="86">
        <v>39644.745949074</v>
      </c>
      <c r="D74" s="86">
        <v>24942.2235642788</v>
      </c>
      <c r="E74" s="86">
        <v>24942.2235642788</v>
      </c>
      <c r="F74" s="86">
        <v>24942.2235642788</v>
      </c>
      <c r="I74" s="77">
        <f>$I$64*(1+B74)/$I$12</f>
        <v>1.57981620624231</v>
      </c>
      <c r="J74" t="str">
        <f t="shared" si="3"/>
        <v>Trd_car_dsl</v>
      </c>
      <c r="K74" t="str">
        <f t="shared" si="4"/>
        <v>Trd_car_dsl_40</v>
      </c>
      <c r="L74" t="str">
        <f t="shared" si="5"/>
        <v>Trd_car</v>
      </c>
      <c r="M74" s="380">
        <f t="shared" si="6"/>
        <v>39644.745949074</v>
      </c>
      <c r="N74" s="380">
        <f t="shared" si="7"/>
        <v>24942.2235642788</v>
      </c>
      <c r="O74" s="380">
        <f t="shared" si="8"/>
        <v>24942.2235642788</v>
      </c>
      <c r="P74" s="380">
        <f t="shared" si="9"/>
        <v>24942.2235642788</v>
      </c>
      <c r="T74" t="str">
        <f t="shared" si="12"/>
        <v>Trd_car_dsl_40</v>
      </c>
      <c r="U74" t="str">
        <f ca="1" t="shared" si="13"/>
        <v>ICE medium size diesel car -- 40%</v>
      </c>
      <c r="V74" s="383" t="s">
        <v>84</v>
      </c>
      <c r="W74" s="383" t="s">
        <v>85</v>
      </c>
    </row>
    <row r="75" spans="2:23">
      <c r="B75" s="85">
        <v>0.445198130991225</v>
      </c>
      <c r="C75" s="86">
        <v>122116.432</v>
      </c>
      <c r="D75" s="86">
        <v>33656.2953808642</v>
      </c>
      <c r="E75" s="86">
        <v>33656.2953808642</v>
      </c>
      <c r="F75" s="86">
        <v>33656.2953808642</v>
      </c>
      <c r="I75" s="77">
        <f>$I$64*(1+B75)/$I$12</f>
        <v>1.63643240186178</v>
      </c>
      <c r="J75" t="str">
        <f t="shared" si="3"/>
        <v>Trd_car_dsl</v>
      </c>
      <c r="K75" t="str">
        <f t="shared" si="4"/>
        <v>Trd_car_dsl_45</v>
      </c>
      <c r="L75" t="str">
        <f t="shared" si="5"/>
        <v>Trd_car</v>
      </c>
      <c r="M75" s="380">
        <f t="shared" si="6"/>
        <v>122116.432</v>
      </c>
      <c r="N75" s="380">
        <f t="shared" si="7"/>
        <v>33656.2953808642</v>
      </c>
      <c r="O75" s="380">
        <f t="shared" si="8"/>
        <v>33656.2953808642</v>
      </c>
      <c r="P75" s="380">
        <f t="shared" si="9"/>
        <v>33656.2953808642</v>
      </c>
      <c r="T75" t="str">
        <f t="shared" si="12"/>
        <v>Trd_car_dsl_45</v>
      </c>
      <c r="U75" t="str">
        <f ca="1" t="shared" si="13"/>
        <v>ICE medium size diesel car -- 45%</v>
      </c>
      <c r="V75" s="383" t="s">
        <v>84</v>
      </c>
      <c r="W75" s="383" t="s">
        <v>85</v>
      </c>
    </row>
    <row r="76" spans="3:23">
      <c r="C76" s="97"/>
      <c r="D76" s="97"/>
      <c r="E76" s="97"/>
      <c r="F76" s="97"/>
      <c r="J76" t="str">
        <f t="shared" si="3"/>
        <v>Trd_car_dsl</v>
      </c>
      <c r="K76" t="str">
        <f t="shared" si="4"/>
        <v>\I:</v>
      </c>
      <c r="L76" t="str">
        <f t="shared" si="5"/>
        <v>\I:</v>
      </c>
      <c r="M76" s="380" t="str">
        <f t="shared" si="6"/>
        <v/>
      </c>
      <c r="N76" s="380" t="str">
        <f t="shared" si="7"/>
        <v/>
      </c>
      <c r="O76" s="380" t="str">
        <f t="shared" si="8"/>
        <v/>
      </c>
      <c r="P76" s="380" t="str">
        <f t="shared" si="9"/>
        <v/>
      </c>
      <c r="T76" t="str">
        <f t="shared" si="12"/>
        <v>\I:</v>
      </c>
      <c r="U76" t="str">
        <f ca="1" t="shared" si="13"/>
        <v>ICE medium size diesel car -- 00%</v>
      </c>
      <c r="V76" s="383" t="s">
        <v>84</v>
      </c>
      <c r="W76" s="383" t="s">
        <v>85</v>
      </c>
    </row>
    <row r="77" spans="10:23">
      <c r="J77" t="str">
        <f t="shared" si="3"/>
        <v>Trd_car_dsl</v>
      </c>
      <c r="K77" t="str">
        <f t="shared" si="4"/>
        <v>\I:</v>
      </c>
      <c r="L77" t="str">
        <f t="shared" si="5"/>
        <v>\I:</v>
      </c>
      <c r="M77" s="380" t="str">
        <f t="shared" si="6"/>
        <v/>
      </c>
      <c r="N77" s="380" t="str">
        <f t="shared" si="7"/>
        <v/>
      </c>
      <c r="O77" s="380" t="str">
        <f t="shared" si="8"/>
        <v/>
      </c>
      <c r="P77" s="380" t="str">
        <f t="shared" si="9"/>
        <v/>
      </c>
      <c r="T77" t="str">
        <f t="shared" si="12"/>
        <v>\I:</v>
      </c>
      <c r="U77" t="str">
        <f ca="1" t="shared" si="13"/>
        <v>ICE medium size diesel car -- 00%</v>
      </c>
      <c r="V77" s="383" t="s">
        <v>84</v>
      </c>
      <c r="W77" s="383" t="s">
        <v>85</v>
      </c>
    </row>
    <row r="78" spans="10:23">
      <c r="J78" t="str">
        <f t="shared" si="3"/>
        <v>Trd_car_dsl</v>
      </c>
      <c r="K78" t="str">
        <f t="shared" si="4"/>
        <v>\I:</v>
      </c>
      <c r="L78" t="str">
        <f t="shared" si="5"/>
        <v>\I:</v>
      </c>
      <c r="M78" s="380" t="str">
        <f t="shared" si="6"/>
        <v/>
      </c>
      <c r="N78" s="380" t="str">
        <f t="shared" si="7"/>
        <v/>
      </c>
      <c r="O78" s="380" t="str">
        <f t="shared" si="8"/>
        <v/>
      </c>
      <c r="P78" s="380" t="str">
        <f t="shared" si="9"/>
        <v/>
      </c>
      <c r="T78" t="str">
        <f t="shared" si="12"/>
        <v>\I:</v>
      </c>
      <c r="U78" t="str">
        <f ca="1" t="shared" si="13"/>
        <v>ICE medium size diesel car -- 00%</v>
      </c>
      <c r="V78" s="383" t="s">
        <v>84</v>
      </c>
      <c r="W78" s="383" t="s">
        <v>85</v>
      </c>
    </row>
    <row r="79" spans="10:23">
      <c r="J79" t="str">
        <f t="shared" si="3"/>
        <v>Trd_car_dsl</v>
      </c>
      <c r="K79" t="str">
        <f t="shared" si="4"/>
        <v>\I:</v>
      </c>
      <c r="L79" t="str">
        <f t="shared" si="5"/>
        <v>\I:</v>
      </c>
      <c r="M79" s="380" t="str">
        <f t="shared" si="6"/>
        <v/>
      </c>
      <c r="N79" s="380" t="str">
        <f t="shared" si="7"/>
        <v/>
      </c>
      <c r="O79" s="380" t="str">
        <f t="shared" si="8"/>
        <v/>
      </c>
      <c r="P79" s="380" t="str">
        <f t="shared" si="9"/>
        <v/>
      </c>
      <c r="T79" t="str">
        <f t="shared" si="12"/>
        <v>\I:</v>
      </c>
      <c r="U79" t="str">
        <f ca="1" t="shared" si="13"/>
        <v>ICE medium size diesel car -- 00%</v>
      </c>
      <c r="V79" s="383" t="s">
        <v>84</v>
      </c>
      <c r="W79" s="383" t="s">
        <v>85</v>
      </c>
    </row>
    <row r="80" ht="15" customHeight="1" spans="2:23">
      <c r="B80" s="374" t="s">
        <v>21</v>
      </c>
      <c r="C80" s="374" t="s">
        <v>55</v>
      </c>
      <c r="D80" s="374"/>
      <c r="E80" s="374"/>
      <c r="F80" s="374"/>
      <c r="J80" t="str">
        <f t="shared" si="3"/>
        <v>Trd_car_dsl-hyb</v>
      </c>
      <c r="K80" t="str">
        <f t="shared" si="4"/>
        <v>\I:</v>
      </c>
      <c r="L80" t="str">
        <f t="shared" si="5"/>
        <v>\I:</v>
      </c>
      <c r="M80" s="380" t="str">
        <f t="shared" si="6"/>
        <v/>
      </c>
      <c r="N80" s="380" t="str">
        <f t="shared" si="7"/>
        <v/>
      </c>
      <c r="O80" s="380" t="str">
        <f t="shared" si="8"/>
        <v/>
      </c>
      <c r="P80" s="380" t="str">
        <f t="shared" si="9"/>
        <v/>
      </c>
      <c r="T80" t="str">
        <f t="shared" si="12"/>
        <v>\I:</v>
      </c>
      <c r="U80" t="str">
        <f ca="1" t="shared" si="13"/>
        <v>ICE medium size hybrid diesel car -- Reduction of specific energy consumption relative to 2015 diesel vehicle (%)</v>
      </c>
      <c r="V80" s="383" t="s">
        <v>84</v>
      </c>
      <c r="W80" s="383" t="s">
        <v>85</v>
      </c>
    </row>
    <row r="81" spans="2:23">
      <c r="B81" s="374"/>
      <c r="C81" s="374"/>
      <c r="D81" s="374"/>
      <c r="E81" s="374"/>
      <c r="F81" s="374"/>
      <c r="J81" t="str">
        <f t="shared" si="3"/>
        <v>Trd_car_dsl-hyb</v>
      </c>
      <c r="K81" t="str">
        <f t="shared" si="4"/>
        <v>\I:</v>
      </c>
      <c r="L81" t="str">
        <f t="shared" si="5"/>
        <v>\I:</v>
      </c>
      <c r="M81" s="380" t="str">
        <f t="shared" si="6"/>
        <v/>
      </c>
      <c r="N81" s="380" t="str">
        <f t="shared" si="7"/>
        <v/>
      </c>
      <c r="O81" s="380" t="str">
        <f t="shared" si="8"/>
        <v/>
      </c>
      <c r="P81" s="380" t="str">
        <f t="shared" si="9"/>
        <v/>
      </c>
      <c r="T81" t="str">
        <f t="shared" ref="T81:T112" si="16">K81</f>
        <v>\I:</v>
      </c>
      <c r="U81" t="str">
        <f ca="1" t="shared" ref="U81:U112" si="17">OFFSET($S$1,MATCH(J81,$S$1:$S$11,0)-1,-1)&amp;" -- "&amp;TEXT(B81,"00%")</f>
        <v>ICE medium size hybrid diesel car -- 00%</v>
      </c>
      <c r="V81" s="383" t="s">
        <v>84</v>
      </c>
      <c r="W81" s="383" t="s">
        <v>85</v>
      </c>
    </row>
    <row r="82" spans="2:23">
      <c r="B82" s="374"/>
      <c r="C82" s="374"/>
      <c r="D82" s="374"/>
      <c r="E82" s="374"/>
      <c r="F82" s="374"/>
      <c r="J82" t="str">
        <f t="shared" ref="J82:J145" si="18">IFERROR(VLOOKUP(C82,$R$1:$S$11,2,FALSE),J81)</f>
        <v>Trd_car_dsl-hyb</v>
      </c>
      <c r="K82" t="str">
        <f t="shared" ref="K82:K145" si="19">IFERROR(IF(VALUE(C82)&gt;2020,J82&amp;"_"&amp;TEXT(B82*100,"00"),"\I:"),"\I:")</f>
        <v>\I:</v>
      </c>
      <c r="L82" t="str">
        <f t="shared" ref="L82:L145" si="20">LEFT(K82,7)</f>
        <v>\I:</v>
      </c>
      <c r="M82" s="380" t="str">
        <f t="shared" ref="M82:M145" si="21">IF($K82="\I:","",C82)</f>
        <v/>
      </c>
      <c r="N82" s="380" t="str">
        <f t="shared" ref="N82:N145" si="22">IF($K82="\I:","",D82)</f>
        <v/>
      </c>
      <c r="O82" s="380" t="str">
        <f t="shared" ref="O82:O145" si="23">IF($K82="\I:","",E82)</f>
        <v/>
      </c>
      <c r="P82" s="380" t="str">
        <f t="shared" ref="P82:P145" si="24">IF($K82="\I:","",F82)</f>
        <v/>
      </c>
      <c r="T82" t="str">
        <f t="shared" si="16"/>
        <v>\I:</v>
      </c>
      <c r="U82" t="str">
        <f ca="1" t="shared" si="17"/>
        <v>ICE medium size hybrid diesel car -- 00%</v>
      </c>
      <c r="V82" s="383" t="s">
        <v>84</v>
      </c>
      <c r="W82" s="383" t="s">
        <v>85</v>
      </c>
    </row>
    <row r="83" spans="2:23">
      <c r="B83" s="88"/>
      <c r="C83" s="50">
        <v>2020</v>
      </c>
      <c r="D83" s="50">
        <v>2030</v>
      </c>
      <c r="E83" s="50">
        <v>2040</v>
      </c>
      <c r="F83" s="50">
        <v>2050</v>
      </c>
      <c r="J83" t="str">
        <f t="shared" si="18"/>
        <v>Trd_car_dsl-hyb</v>
      </c>
      <c r="K83" t="str">
        <f t="shared" si="19"/>
        <v>\I:</v>
      </c>
      <c r="L83" t="str">
        <f t="shared" si="20"/>
        <v>\I:</v>
      </c>
      <c r="M83" s="380" t="str">
        <f t="shared" si="21"/>
        <v/>
      </c>
      <c r="N83" s="380" t="str">
        <f t="shared" si="22"/>
        <v/>
      </c>
      <c r="O83" s="380" t="str">
        <f t="shared" si="23"/>
        <v/>
      </c>
      <c r="P83" s="380" t="str">
        <f t="shared" si="24"/>
        <v/>
      </c>
      <c r="T83" t="str">
        <f t="shared" si="16"/>
        <v>\I:</v>
      </c>
      <c r="U83" t="str">
        <f ca="1" t="shared" si="17"/>
        <v>ICE medium size hybrid diesel car -- 00%</v>
      </c>
      <c r="V83" s="383" t="s">
        <v>84</v>
      </c>
      <c r="W83" s="383" t="s">
        <v>85</v>
      </c>
    </row>
    <row r="84" spans="2:23">
      <c r="B84" s="85">
        <v>0.177066363263136</v>
      </c>
      <c r="C84" s="86">
        <v>25058.7494468874</v>
      </c>
      <c r="D84" s="86">
        <v>23982.6880941969</v>
      </c>
      <c r="E84" s="86">
        <v>23982.6880941969</v>
      </c>
      <c r="F84" s="86">
        <v>23982.6880941969</v>
      </c>
      <c r="I84" s="77">
        <f t="shared" ref="I84:I90" si="25">$I$64*(1+B84)/$I$12</f>
        <v>1.33282038959203</v>
      </c>
      <c r="J84" t="str">
        <f t="shared" si="18"/>
        <v>Trd_car_dsl-hyb</v>
      </c>
      <c r="K84" t="str">
        <f t="shared" si="19"/>
        <v>Trd_car_dsl-hyb_18</v>
      </c>
      <c r="L84" t="str">
        <f t="shared" si="20"/>
        <v>Trd_car</v>
      </c>
      <c r="M84" s="380">
        <f t="shared" si="21"/>
        <v>25058.7494468874</v>
      </c>
      <c r="N84" s="380">
        <f t="shared" si="22"/>
        <v>23982.6880941969</v>
      </c>
      <c r="O84" s="380">
        <f t="shared" si="23"/>
        <v>23982.6880941969</v>
      </c>
      <c r="P84" s="380">
        <f t="shared" si="24"/>
        <v>23982.6880941969</v>
      </c>
      <c r="T84" t="str">
        <f t="shared" si="16"/>
        <v>Trd_car_dsl-hyb_18</v>
      </c>
      <c r="U84" t="str">
        <f ca="1" t="shared" si="17"/>
        <v>ICE medium size hybrid diesel car -- 18%</v>
      </c>
      <c r="V84" s="383" t="s">
        <v>84</v>
      </c>
      <c r="W84" s="383" t="s">
        <v>85</v>
      </c>
    </row>
    <row r="85" spans="2:23">
      <c r="B85" s="85">
        <v>0.277066363263136</v>
      </c>
      <c r="C85" s="86">
        <v>25136.2280373902</v>
      </c>
      <c r="D85" s="86">
        <v>24097.0510525927</v>
      </c>
      <c r="E85" s="86">
        <v>24097.0510525927</v>
      </c>
      <c r="F85" s="86">
        <v>24097.0510525927</v>
      </c>
      <c r="I85" s="77">
        <f t="shared" si="25"/>
        <v>1.44605278083097</v>
      </c>
      <c r="J85" t="str">
        <f t="shared" si="18"/>
        <v>Trd_car_dsl-hyb</v>
      </c>
      <c r="K85" t="str">
        <f t="shared" si="19"/>
        <v>Trd_car_dsl-hyb_28</v>
      </c>
      <c r="L85" t="str">
        <f t="shared" si="20"/>
        <v>Trd_car</v>
      </c>
      <c r="M85" s="380">
        <f t="shared" si="21"/>
        <v>25136.2280373902</v>
      </c>
      <c r="N85" s="380">
        <f t="shared" si="22"/>
        <v>24097.0510525927</v>
      </c>
      <c r="O85" s="380">
        <f t="shared" si="23"/>
        <v>24097.0510525927</v>
      </c>
      <c r="P85" s="380">
        <f t="shared" si="24"/>
        <v>24097.0510525927</v>
      </c>
      <c r="T85" t="str">
        <f t="shared" si="16"/>
        <v>Trd_car_dsl-hyb_28</v>
      </c>
      <c r="U85" t="str">
        <f ca="1" t="shared" si="17"/>
        <v>ICE medium size hybrid diesel car -- 28%</v>
      </c>
      <c r="V85" s="383" t="s">
        <v>84</v>
      </c>
      <c r="W85" s="383" t="s">
        <v>85</v>
      </c>
    </row>
    <row r="86" spans="2:23">
      <c r="B86" s="85">
        <v>0.327066363263136</v>
      </c>
      <c r="C86" s="86">
        <v>25231.5365940607</v>
      </c>
      <c r="D86" s="86">
        <v>24214.5141580812</v>
      </c>
      <c r="E86" s="86">
        <v>24214.5141580812</v>
      </c>
      <c r="F86" s="86">
        <v>24214.5141580812</v>
      </c>
      <c r="I86" s="77">
        <f t="shared" si="25"/>
        <v>1.50266897645044</v>
      </c>
      <c r="J86" t="str">
        <f t="shared" si="18"/>
        <v>Trd_car_dsl-hyb</v>
      </c>
      <c r="K86" t="str">
        <f t="shared" si="19"/>
        <v>Trd_car_dsl-hyb_33</v>
      </c>
      <c r="L86" t="str">
        <f t="shared" si="20"/>
        <v>Trd_car</v>
      </c>
      <c r="M86" s="380">
        <f t="shared" si="21"/>
        <v>25231.5365940607</v>
      </c>
      <c r="N86" s="380">
        <f t="shared" si="22"/>
        <v>24214.5141580812</v>
      </c>
      <c r="O86" s="380">
        <f t="shared" si="23"/>
        <v>24214.5141580812</v>
      </c>
      <c r="P86" s="380">
        <f t="shared" si="24"/>
        <v>24214.5141580812</v>
      </c>
      <c r="T86" t="str">
        <f t="shared" si="16"/>
        <v>Trd_car_dsl-hyb_33</v>
      </c>
      <c r="U86" t="str">
        <f ca="1" t="shared" si="17"/>
        <v>ICE medium size hybrid diesel car -- 33%</v>
      </c>
      <c r="V86" s="383" t="s">
        <v>84</v>
      </c>
      <c r="W86" s="383" t="s">
        <v>85</v>
      </c>
    </row>
    <row r="87" spans="2:23">
      <c r="B87" s="85">
        <v>0.377066363263136</v>
      </c>
      <c r="C87" s="86">
        <v>25440.7877522533</v>
      </c>
      <c r="D87" s="86">
        <v>24383.7215565591</v>
      </c>
      <c r="E87" s="86">
        <v>24383.7215565591</v>
      </c>
      <c r="F87" s="86">
        <v>24383.7215565591</v>
      </c>
      <c r="I87" s="77">
        <f t="shared" si="25"/>
        <v>1.55928517206991</v>
      </c>
      <c r="J87" t="str">
        <f t="shared" si="18"/>
        <v>Trd_car_dsl-hyb</v>
      </c>
      <c r="K87" t="str">
        <f t="shared" si="19"/>
        <v>Trd_car_dsl-hyb_38</v>
      </c>
      <c r="L87" t="str">
        <f t="shared" si="20"/>
        <v>Trd_car</v>
      </c>
      <c r="M87" s="380">
        <f t="shared" si="21"/>
        <v>25440.7877522533</v>
      </c>
      <c r="N87" s="380">
        <f t="shared" si="22"/>
        <v>24383.7215565591</v>
      </c>
      <c r="O87" s="380">
        <f t="shared" si="23"/>
        <v>24383.7215565591</v>
      </c>
      <c r="P87" s="380">
        <f t="shared" si="24"/>
        <v>24383.7215565591</v>
      </c>
      <c r="T87" t="str">
        <f t="shared" si="16"/>
        <v>Trd_car_dsl-hyb_38</v>
      </c>
      <c r="U87" t="str">
        <f ca="1" t="shared" si="17"/>
        <v>ICE medium size hybrid diesel car -- 38%</v>
      </c>
      <c r="V87" s="383" t="s">
        <v>84</v>
      </c>
      <c r="W87" s="383" t="s">
        <v>85</v>
      </c>
    </row>
    <row r="88" spans="2:23">
      <c r="B88" s="85">
        <v>0.427066363263136</v>
      </c>
      <c r="C88" s="86">
        <v>25786.5870673617</v>
      </c>
      <c r="D88" s="86">
        <v>24612.8789983703</v>
      </c>
      <c r="E88" s="86">
        <v>24612.8789983703</v>
      </c>
      <c r="F88" s="86">
        <v>24612.8789983703</v>
      </c>
      <c r="I88" s="77">
        <f t="shared" si="25"/>
        <v>1.61590136768937</v>
      </c>
      <c r="J88" t="str">
        <f t="shared" si="18"/>
        <v>Trd_car_dsl-hyb</v>
      </c>
      <c r="K88" t="str">
        <f t="shared" si="19"/>
        <v>Trd_car_dsl-hyb_43</v>
      </c>
      <c r="L88" t="str">
        <f t="shared" si="20"/>
        <v>Trd_car</v>
      </c>
      <c r="M88" s="380">
        <f t="shared" si="21"/>
        <v>25786.5870673617</v>
      </c>
      <c r="N88" s="380">
        <f t="shared" si="22"/>
        <v>24612.8789983703</v>
      </c>
      <c r="O88" s="380">
        <f t="shared" si="23"/>
        <v>24612.8789983703</v>
      </c>
      <c r="P88" s="380">
        <f t="shared" si="24"/>
        <v>24612.8789983703</v>
      </c>
      <c r="T88" t="str">
        <f t="shared" si="16"/>
        <v>Trd_car_dsl-hyb_43</v>
      </c>
      <c r="U88" t="str">
        <f ca="1" t="shared" si="17"/>
        <v>ICE medium size hybrid diesel car -- 43%</v>
      </c>
      <c r="V88" s="383" t="s">
        <v>84</v>
      </c>
      <c r="W88" s="383" t="s">
        <v>85</v>
      </c>
    </row>
    <row r="89" spans="2:23">
      <c r="B89" s="85">
        <v>0.477066363263136</v>
      </c>
      <c r="C89" s="86">
        <v>35085.4217040498</v>
      </c>
      <c r="D89" s="86">
        <v>25042.6899697562</v>
      </c>
      <c r="E89" s="86">
        <v>25042.6899697562</v>
      </c>
      <c r="F89" s="86">
        <v>25042.6899697562</v>
      </c>
      <c r="I89" s="77">
        <f t="shared" si="25"/>
        <v>1.67251756330884</v>
      </c>
      <c r="J89" t="str">
        <f t="shared" si="18"/>
        <v>Trd_car_dsl-hyb</v>
      </c>
      <c r="K89" t="str">
        <f t="shared" si="19"/>
        <v>Trd_car_dsl-hyb_48</v>
      </c>
      <c r="L89" t="str">
        <f t="shared" si="20"/>
        <v>Trd_car</v>
      </c>
      <c r="M89" s="380">
        <f t="shared" si="21"/>
        <v>35085.4217040498</v>
      </c>
      <c r="N89" s="380">
        <f t="shared" si="22"/>
        <v>25042.6899697562</v>
      </c>
      <c r="O89" s="380">
        <f t="shared" si="23"/>
        <v>25042.6899697562</v>
      </c>
      <c r="P89" s="380">
        <f t="shared" si="24"/>
        <v>25042.6899697562</v>
      </c>
      <c r="T89" t="str">
        <f t="shared" si="16"/>
        <v>Trd_car_dsl-hyb_48</v>
      </c>
      <c r="U89" t="str">
        <f ca="1" t="shared" si="17"/>
        <v>ICE medium size hybrid diesel car -- 48%</v>
      </c>
      <c r="V89" s="383" t="s">
        <v>84</v>
      </c>
      <c r="W89" s="383" t="s">
        <v>85</v>
      </c>
    </row>
    <row r="90" spans="2:23">
      <c r="B90" s="85">
        <v>0.527066363263136</v>
      </c>
      <c r="C90" s="86">
        <v>117946.536011697</v>
      </c>
      <c r="D90" s="86">
        <v>32577.2698197311</v>
      </c>
      <c r="E90" s="86">
        <v>32577.2698197311</v>
      </c>
      <c r="F90" s="86">
        <v>32577.2698197311</v>
      </c>
      <c r="I90" s="77">
        <f t="shared" si="25"/>
        <v>1.72913375892831</v>
      </c>
      <c r="J90" t="str">
        <f t="shared" si="18"/>
        <v>Trd_car_dsl-hyb</v>
      </c>
      <c r="K90" t="str">
        <f t="shared" si="19"/>
        <v>Trd_car_dsl-hyb_53</v>
      </c>
      <c r="L90" t="str">
        <f t="shared" si="20"/>
        <v>Trd_car</v>
      </c>
      <c r="M90" s="380">
        <f t="shared" si="21"/>
        <v>117946.536011697</v>
      </c>
      <c r="N90" s="380">
        <f t="shared" si="22"/>
        <v>32577.2698197311</v>
      </c>
      <c r="O90" s="380">
        <f t="shared" si="23"/>
        <v>32577.2698197311</v>
      </c>
      <c r="P90" s="380">
        <f t="shared" si="24"/>
        <v>32577.2698197311</v>
      </c>
      <c r="T90" t="str">
        <f t="shared" si="16"/>
        <v>Trd_car_dsl-hyb_53</v>
      </c>
      <c r="U90" t="str">
        <f ca="1" t="shared" si="17"/>
        <v>ICE medium size hybrid diesel car -- 53%</v>
      </c>
      <c r="V90" s="383" t="s">
        <v>84</v>
      </c>
      <c r="W90" s="383" t="s">
        <v>85</v>
      </c>
    </row>
    <row r="91" spans="3:23">
      <c r="C91" s="97"/>
      <c r="D91" s="97"/>
      <c r="E91" s="97"/>
      <c r="F91" s="97"/>
      <c r="J91" t="str">
        <f t="shared" si="18"/>
        <v>Trd_car_dsl-hyb</v>
      </c>
      <c r="K91" t="str">
        <f t="shared" si="19"/>
        <v>\I:</v>
      </c>
      <c r="L91" t="str">
        <f t="shared" si="20"/>
        <v>\I:</v>
      </c>
      <c r="M91" s="380" t="str">
        <f t="shared" si="21"/>
        <v/>
      </c>
      <c r="N91" s="380" t="str">
        <f t="shared" si="22"/>
        <v/>
      </c>
      <c r="O91" s="380" t="str">
        <f t="shared" si="23"/>
        <v/>
      </c>
      <c r="P91" s="380" t="str">
        <f t="shared" si="24"/>
        <v/>
      </c>
      <c r="T91" t="str">
        <f t="shared" si="16"/>
        <v>\I:</v>
      </c>
      <c r="U91" t="str">
        <f ca="1" t="shared" si="17"/>
        <v>ICE medium size hybrid diesel car -- 00%</v>
      </c>
      <c r="V91" s="383" t="s">
        <v>84</v>
      </c>
      <c r="W91" s="383" t="s">
        <v>85</v>
      </c>
    </row>
    <row r="92" spans="10:23">
      <c r="J92" t="str">
        <f t="shared" si="18"/>
        <v>Trd_car_dsl-hyb</v>
      </c>
      <c r="K92" t="str">
        <f t="shared" si="19"/>
        <v>\I:</v>
      </c>
      <c r="L92" t="str">
        <f t="shared" si="20"/>
        <v>\I:</v>
      </c>
      <c r="M92" s="380" t="str">
        <f t="shared" si="21"/>
        <v/>
      </c>
      <c r="N92" s="380" t="str">
        <f t="shared" si="22"/>
        <v/>
      </c>
      <c r="O92" s="380" t="str">
        <f t="shared" si="23"/>
        <v/>
      </c>
      <c r="P92" s="380" t="str">
        <f t="shared" si="24"/>
        <v/>
      </c>
      <c r="T92" t="str">
        <f t="shared" si="16"/>
        <v>\I:</v>
      </c>
      <c r="U92" t="str">
        <f ca="1" t="shared" si="17"/>
        <v>ICE medium size hybrid diesel car -- 00%</v>
      </c>
      <c r="V92" s="383" t="s">
        <v>84</v>
      </c>
      <c r="W92" s="383" t="s">
        <v>85</v>
      </c>
    </row>
    <row r="93" spans="10:23">
      <c r="J93" t="str">
        <f t="shared" si="18"/>
        <v>Trd_car_dsl-hyb</v>
      </c>
      <c r="K93" t="str">
        <f t="shared" si="19"/>
        <v>\I:</v>
      </c>
      <c r="L93" t="str">
        <f t="shared" si="20"/>
        <v>\I:</v>
      </c>
      <c r="M93" s="380" t="str">
        <f t="shared" si="21"/>
        <v/>
      </c>
      <c r="N93" s="380" t="str">
        <f t="shared" si="22"/>
        <v/>
      </c>
      <c r="O93" s="380" t="str">
        <f t="shared" si="23"/>
        <v/>
      </c>
      <c r="P93" s="380" t="str">
        <f t="shared" si="24"/>
        <v/>
      </c>
      <c r="T93" t="str">
        <f t="shared" si="16"/>
        <v>\I:</v>
      </c>
      <c r="U93" t="str">
        <f ca="1" t="shared" si="17"/>
        <v>ICE medium size hybrid diesel car -- 00%</v>
      </c>
      <c r="V93" s="383" t="s">
        <v>84</v>
      </c>
      <c r="W93" s="383" t="s">
        <v>85</v>
      </c>
    </row>
    <row r="94" spans="10:23">
      <c r="J94" t="str">
        <f t="shared" si="18"/>
        <v>Trd_car_dsl-hyb</v>
      </c>
      <c r="K94" t="str">
        <f t="shared" si="19"/>
        <v>\I:</v>
      </c>
      <c r="L94" t="str">
        <f t="shared" si="20"/>
        <v>\I:</v>
      </c>
      <c r="M94" s="380" t="str">
        <f t="shared" si="21"/>
        <v/>
      </c>
      <c r="N94" s="380" t="str">
        <f t="shared" si="22"/>
        <v/>
      </c>
      <c r="O94" s="380" t="str">
        <f t="shared" si="23"/>
        <v/>
      </c>
      <c r="P94" s="380" t="str">
        <f t="shared" si="24"/>
        <v/>
      </c>
      <c r="T94" t="str">
        <f t="shared" si="16"/>
        <v>\I:</v>
      </c>
      <c r="U94" t="str">
        <f ca="1" t="shared" si="17"/>
        <v>ICE medium size hybrid diesel car -- 00%</v>
      </c>
      <c r="V94" s="383" t="s">
        <v>84</v>
      </c>
      <c r="W94" s="383" t="s">
        <v>85</v>
      </c>
    </row>
    <row r="95" ht="15" customHeight="1" spans="2:23">
      <c r="B95" s="374" t="s">
        <v>21</v>
      </c>
      <c r="C95" s="374" t="s">
        <v>58</v>
      </c>
      <c r="D95" s="374"/>
      <c r="E95" s="374"/>
      <c r="F95" s="374"/>
      <c r="J95" t="str">
        <f t="shared" si="18"/>
        <v>Trd_car_dsl-pih</v>
      </c>
      <c r="K95" t="str">
        <f t="shared" si="19"/>
        <v>\I:</v>
      </c>
      <c r="L95" t="str">
        <f t="shared" si="20"/>
        <v>\I:</v>
      </c>
      <c r="M95" s="380" t="str">
        <f t="shared" si="21"/>
        <v/>
      </c>
      <c r="N95" s="380" t="str">
        <f t="shared" si="22"/>
        <v/>
      </c>
      <c r="O95" s="380" t="str">
        <f t="shared" si="23"/>
        <v/>
      </c>
      <c r="P95" s="380" t="str">
        <f t="shared" si="24"/>
        <v/>
      </c>
      <c r="T95" t="str">
        <f t="shared" si="16"/>
        <v>\I:</v>
      </c>
      <c r="U95" t="str">
        <f ca="1" t="shared" si="17"/>
        <v>ICE medium size plug-in hybrid diesel car -- Reduction of specific energy consumption relative to 2015 diesel vehicle (%)</v>
      </c>
      <c r="V95" s="383" t="s">
        <v>84</v>
      </c>
      <c r="W95" s="383" t="s">
        <v>85</v>
      </c>
    </row>
    <row r="96" spans="2:23">
      <c r="B96" s="374"/>
      <c r="C96" s="374"/>
      <c r="D96" s="374"/>
      <c r="E96" s="374"/>
      <c r="F96" s="374"/>
      <c r="J96" t="str">
        <f t="shared" si="18"/>
        <v>Trd_car_dsl-pih</v>
      </c>
      <c r="K96" t="str">
        <f t="shared" si="19"/>
        <v>\I:</v>
      </c>
      <c r="L96" t="str">
        <f t="shared" si="20"/>
        <v>\I:</v>
      </c>
      <c r="M96" s="380" t="str">
        <f t="shared" si="21"/>
        <v/>
      </c>
      <c r="N96" s="380" t="str">
        <f t="shared" si="22"/>
        <v/>
      </c>
      <c r="O96" s="380" t="str">
        <f t="shared" si="23"/>
        <v/>
      </c>
      <c r="P96" s="380" t="str">
        <f t="shared" si="24"/>
        <v/>
      </c>
      <c r="T96" t="str">
        <f t="shared" si="16"/>
        <v>\I:</v>
      </c>
      <c r="U96" t="str">
        <f ca="1" t="shared" si="17"/>
        <v>ICE medium size plug-in hybrid diesel car -- 00%</v>
      </c>
      <c r="V96" s="383" t="s">
        <v>84</v>
      </c>
      <c r="W96" s="383" t="s">
        <v>85</v>
      </c>
    </row>
    <row r="97" spans="2:23">
      <c r="B97" s="374"/>
      <c r="C97" s="374"/>
      <c r="D97" s="374"/>
      <c r="E97" s="374"/>
      <c r="F97" s="374"/>
      <c r="J97" t="str">
        <f t="shared" si="18"/>
        <v>Trd_car_dsl-pih</v>
      </c>
      <c r="K97" t="str">
        <f t="shared" si="19"/>
        <v>\I:</v>
      </c>
      <c r="L97" t="str">
        <f t="shared" si="20"/>
        <v>\I:</v>
      </c>
      <c r="M97" s="380" t="str">
        <f t="shared" si="21"/>
        <v/>
      </c>
      <c r="N97" s="380" t="str">
        <f t="shared" si="22"/>
        <v/>
      </c>
      <c r="O97" s="380" t="str">
        <f t="shared" si="23"/>
        <v/>
      </c>
      <c r="P97" s="380" t="str">
        <f t="shared" si="24"/>
        <v/>
      </c>
      <c r="T97" t="str">
        <f t="shared" si="16"/>
        <v>\I:</v>
      </c>
      <c r="U97" t="str">
        <f ca="1" t="shared" si="17"/>
        <v>ICE medium size plug-in hybrid diesel car -- 00%</v>
      </c>
      <c r="V97" s="383" t="s">
        <v>84</v>
      </c>
      <c r="W97" s="383" t="s">
        <v>85</v>
      </c>
    </row>
    <row r="98" spans="2:23">
      <c r="B98" s="88"/>
      <c r="C98" s="50">
        <v>2020</v>
      </c>
      <c r="D98" s="50">
        <v>2030</v>
      </c>
      <c r="E98" s="50">
        <v>2040</v>
      </c>
      <c r="F98" s="50">
        <v>2050</v>
      </c>
      <c r="J98" t="str">
        <f t="shared" si="18"/>
        <v>Trd_car_dsl-pih</v>
      </c>
      <c r="K98" t="str">
        <f t="shared" si="19"/>
        <v>\I:</v>
      </c>
      <c r="L98" t="str">
        <f t="shared" si="20"/>
        <v>\I:</v>
      </c>
      <c r="M98" s="380" t="str">
        <f t="shared" si="21"/>
        <v/>
      </c>
      <c r="N98" s="380" t="str">
        <f t="shared" si="22"/>
        <v/>
      </c>
      <c r="O98" s="380" t="str">
        <f t="shared" si="23"/>
        <v/>
      </c>
      <c r="P98" s="380" t="str">
        <f t="shared" si="24"/>
        <v/>
      </c>
      <c r="T98" t="str">
        <f t="shared" si="16"/>
        <v>\I:</v>
      </c>
      <c r="U98" t="str">
        <f ca="1" t="shared" si="17"/>
        <v>ICE medium size plug-in hybrid diesel car -- 00%</v>
      </c>
      <c r="V98" s="383" t="s">
        <v>84</v>
      </c>
      <c r="W98" s="383" t="s">
        <v>85</v>
      </c>
    </row>
    <row r="99" spans="2:23">
      <c r="B99" s="417">
        <v>0.695198130991225</v>
      </c>
      <c r="C99" s="86">
        <v>29170.6892983358</v>
      </c>
      <c r="D99" s="86">
        <v>25403.4529654573</v>
      </c>
      <c r="E99" s="86">
        <v>24438.8799330837</v>
      </c>
      <c r="F99" s="86">
        <v>24157.55666837</v>
      </c>
      <c r="I99" s="77">
        <f t="shared" ref="I99:I105" si="26">$I$64*(1+B99)/$I$12</f>
        <v>1.91951337995912</v>
      </c>
      <c r="J99" t="str">
        <f t="shared" si="18"/>
        <v>Trd_car_dsl-pih</v>
      </c>
      <c r="K99" t="str">
        <f t="shared" si="19"/>
        <v>Trd_car_dsl-pih_70</v>
      </c>
      <c r="L99" t="str">
        <f t="shared" si="20"/>
        <v>Trd_car</v>
      </c>
      <c r="M99" s="380">
        <f t="shared" si="21"/>
        <v>29170.6892983358</v>
      </c>
      <c r="N99" s="380">
        <f t="shared" si="22"/>
        <v>25403.4529654573</v>
      </c>
      <c r="O99" s="380">
        <f t="shared" si="23"/>
        <v>24438.8799330837</v>
      </c>
      <c r="P99" s="380">
        <f t="shared" si="24"/>
        <v>24157.55666837</v>
      </c>
      <c r="T99" t="str">
        <f t="shared" si="16"/>
        <v>Trd_car_dsl-pih_70</v>
      </c>
      <c r="U99" t="str">
        <f ca="1" t="shared" si="17"/>
        <v>ICE medium size plug-in hybrid diesel car -- 70%</v>
      </c>
      <c r="V99" s="383" t="s">
        <v>84</v>
      </c>
      <c r="W99" s="383" t="s">
        <v>85</v>
      </c>
    </row>
    <row r="100" spans="2:23">
      <c r="B100" s="417">
        <v>0.705198130991225</v>
      </c>
      <c r="C100" s="86">
        <v>29227.3194893523</v>
      </c>
      <c r="D100" s="86">
        <v>25418.5790027565</v>
      </c>
      <c r="E100" s="86">
        <v>24443.3817087263</v>
      </c>
      <c r="F100" s="86">
        <v>24158.3535908089</v>
      </c>
      <c r="I100" s="77">
        <f t="shared" si="26"/>
        <v>1.93083661908301</v>
      </c>
      <c r="J100" t="str">
        <f t="shared" si="18"/>
        <v>Trd_car_dsl-pih</v>
      </c>
      <c r="K100" t="str">
        <f t="shared" si="19"/>
        <v>Trd_car_dsl-pih_71</v>
      </c>
      <c r="L100" t="str">
        <f t="shared" si="20"/>
        <v>Trd_car</v>
      </c>
      <c r="M100" s="380">
        <f t="shared" si="21"/>
        <v>29227.3194893523</v>
      </c>
      <c r="N100" s="380">
        <f t="shared" si="22"/>
        <v>25418.5790027565</v>
      </c>
      <c r="O100" s="380">
        <f t="shared" si="23"/>
        <v>24443.3817087263</v>
      </c>
      <c r="P100" s="380">
        <f t="shared" si="24"/>
        <v>24158.3535908089</v>
      </c>
      <c r="T100" t="str">
        <f t="shared" si="16"/>
        <v>Trd_car_dsl-pih_71</v>
      </c>
      <c r="U100" t="str">
        <f ca="1" t="shared" si="17"/>
        <v>ICE medium size plug-in hybrid diesel car -- 71%</v>
      </c>
      <c r="V100" s="383" t="s">
        <v>84</v>
      </c>
      <c r="W100" s="383" t="s">
        <v>85</v>
      </c>
    </row>
    <row r="101" spans="2:23">
      <c r="B101" s="417">
        <v>0.715198130991225</v>
      </c>
      <c r="C101" s="86">
        <v>29350.9249451451</v>
      </c>
      <c r="D101" s="86">
        <v>25446.4476084895</v>
      </c>
      <c r="E101" s="86">
        <v>24463.4722625811</v>
      </c>
      <c r="F101" s="86">
        <v>24176.2148303079</v>
      </c>
      <c r="I101" s="77">
        <f t="shared" si="26"/>
        <v>1.94215985820691</v>
      </c>
      <c r="J101" t="str">
        <f t="shared" si="18"/>
        <v>Trd_car_dsl-pih</v>
      </c>
      <c r="K101" t="str">
        <f t="shared" si="19"/>
        <v>Trd_car_dsl-pih_72</v>
      </c>
      <c r="L101" t="str">
        <f t="shared" si="20"/>
        <v>Trd_car</v>
      </c>
      <c r="M101" s="380">
        <f t="shared" si="21"/>
        <v>29350.9249451451</v>
      </c>
      <c r="N101" s="380">
        <f t="shared" si="22"/>
        <v>25446.4476084895</v>
      </c>
      <c r="O101" s="380">
        <f t="shared" si="23"/>
        <v>24463.4722625811</v>
      </c>
      <c r="P101" s="380">
        <f t="shared" si="24"/>
        <v>24176.2148303079</v>
      </c>
      <c r="T101" t="str">
        <f t="shared" si="16"/>
        <v>Trd_car_dsl-pih_72</v>
      </c>
      <c r="U101" t="str">
        <f ca="1" t="shared" si="17"/>
        <v>ICE medium size plug-in hybrid diesel car -- 72%</v>
      </c>
      <c r="V101" s="383" t="s">
        <v>84</v>
      </c>
      <c r="W101" s="383" t="s">
        <v>85</v>
      </c>
    </row>
    <row r="102" spans="2:23">
      <c r="B102" s="417">
        <v>0.725198130991225</v>
      </c>
      <c r="C102" s="86">
        <v>29732.6055916618</v>
      </c>
      <c r="D102" s="86">
        <v>25529.0970397392</v>
      </c>
      <c r="E102" s="86">
        <v>24534.5300615244</v>
      </c>
      <c r="F102" s="86">
        <v>24245.1328042321</v>
      </c>
      <c r="I102" s="77">
        <f t="shared" si="26"/>
        <v>1.9534830973308</v>
      </c>
      <c r="J102" t="str">
        <f t="shared" si="18"/>
        <v>Trd_car_dsl-pih</v>
      </c>
      <c r="K102" t="str">
        <f t="shared" si="19"/>
        <v>Trd_car_dsl-pih_73</v>
      </c>
      <c r="L102" t="str">
        <f t="shared" si="20"/>
        <v>Trd_car</v>
      </c>
      <c r="M102" s="380">
        <f t="shared" si="21"/>
        <v>29732.6055916618</v>
      </c>
      <c r="N102" s="380">
        <f t="shared" si="22"/>
        <v>25529.0970397392</v>
      </c>
      <c r="O102" s="380">
        <f t="shared" si="23"/>
        <v>24534.5300615244</v>
      </c>
      <c r="P102" s="380">
        <f t="shared" si="24"/>
        <v>24245.1328042321</v>
      </c>
      <c r="T102" t="str">
        <f t="shared" si="16"/>
        <v>Trd_car_dsl-pih_73</v>
      </c>
      <c r="U102" t="str">
        <f ca="1" t="shared" si="17"/>
        <v>ICE medium size plug-in hybrid diesel car -- 73%</v>
      </c>
      <c r="V102" s="383" t="s">
        <v>84</v>
      </c>
      <c r="W102" s="383" t="s">
        <v>85</v>
      </c>
    </row>
    <row r="103" spans="2:23">
      <c r="B103" s="417">
        <v>0.735198130991225</v>
      </c>
      <c r="C103" s="86">
        <v>30854.8981288947</v>
      </c>
      <c r="D103" s="86">
        <v>25641.1808245847</v>
      </c>
      <c r="E103" s="86">
        <v>24650.5932312536</v>
      </c>
      <c r="F103" s="86">
        <v>24365.9701277014</v>
      </c>
      <c r="I103" s="77">
        <f t="shared" si="26"/>
        <v>1.96480633645469</v>
      </c>
      <c r="J103" t="str">
        <f t="shared" si="18"/>
        <v>Trd_car_dsl-pih</v>
      </c>
      <c r="K103" t="str">
        <f t="shared" si="19"/>
        <v>Trd_car_dsl-pih_74</v>
      </c>
      <c r="L103" t="str">
        <f t="shared" si="20"/>
        <v>Trd_car</v>
      </c>
      <c r="M103" s="380">
        <f t="shared" si="21"/>
        <v>30854.8981288947</v>
      </c>
      <c r="N103" s="380">
        <f t="shared" si="22"/>
        <v>25641.1808245847</v>
      </c>
      <c r="O103" s="380">
        <f t="shared" si="23"/>
        <v>24650.5932312536</v>
      </c>
      <c r="P103" s="380">
        <f t="shared" si="24"/>
        <v>24365.9701277014</v>
      </c>
      <c r="T103" t="str">
        <f t="shared" si="16"/>
        <v>Trd_car_dsl-pih_74</v>
      </c>
      <c r="U103" t="str">
        <f ca="1" t="shared" si="17"/>
        <v>ICE medium size plug-in hybrid diesel car -- 74%</v>
      </c>
      <c r="V103" s="383" t="s">
        <v>84</v>
      </c>
      <c r="W103" s="383" t="s">
        <v>85</v>
      </c>
    </row>
    <row r="104" spans="2:23">
      <c r="B104" s="417">
        <v>0.777698130991225</v>
      </c>
      <c r="C104" s="86">
        <v>103823.332049919</v>
      </c>
      <c r="D104" s="86">
        <v>26945.9567365033</v>
      </c>
      <c r="E104" s="86">
        <v>25607.4793042998</v>
      </c>
      <c r="F104" s="86">
        <v>25224.8219206379</v>
      </c>
      <c r="I104" s="77">
        <f t="shared" si="26"/>
        <v>2.01293010273124</v>
      </c>
      <c r="J104" t="str">
        <f t="shared" si="18"/>
        <v>Trd_car_dsl-pih</v>
      </c>
      <c r="K104" t="str">
        <f t="shared" si="19"/>
        <v>Trd_car_dsl-pih_78</v>
      </c>
      <c r="L104" t="str">
        <f t="shared" si="20"/>
        <v>Trd_car</v>
      </c>
      <c r="M104" s="380">
        <f t="shared" si="21"/>
        <v>103823.332049919</v>
      </c>
      <c r="N104" s="380">
        <f t="shared" si="22"/>
        <v>26945.9567365033</v>
      </c>
      <c r="O104" s="380">
        <f t="shared" si="23"/>
        <v>25607.4793042998</v>
      </c>
      <c r="P104" s="380">
        <f t="shared" si="24"/>
        <v>25224.8219206379</v>
      </c>
      <c r="T104" t="str">
        <f t="shared" si="16"/>
        <v>Trd_car_dsl-pih_78</v>
      </c>
      <c r="U104" t="str">
        <f ca="1" t="shared" si="17"/>
        <v>ICE medium size plug-in hybrid diesel car -- 78%</v>
      </c>
      <c r="V104" s="383" t="s">
        <v>84</v>
      </c>
      <c r="W104" s="383" t="s">
        <v>85</v>
      </c>
    </row>
    <row r="105" spans="2:23">
      <c r="B105" s="417">
        <v>0.782698130991225</v>
      </c>
      <c r="C105" s="86">
        <v>111274.847841584</v>
      </c>
      <c r="D105" s="86">
        <v>46386.2300830788</v>
      </c>
      <c r="E105" s="86">
        <v>44287.8197865924</v>
      </c>
      <c r="F105" s="86">
        <v>44168.1482018991</v>
      </c>
      <c r="I105" s="77">
        <f t="shared" si="26"/>
        <v>2.01859172229319</v>
      </c>
      <c r="J105" t="str">
        <f t="shared" si="18"/>
        <v>Trd_car_dsl-pih</v>
      </c>
      <c r="K105" t="str">
        <f t="shared" si="19"/>
        <v>Trd_car_dsl-pih_78</v>
      </c>
      <c r="L105" t="str">
        <f t="shared" si="20"/>
        <v>Trd_car</v>
      </c>
      <c r="M105" s="380">
        <f t="shared" si="21"/>
        <v>111274.847841584</v>
      </c>
      <c r="N105" s="380">
        <f t="shared" si="22"/>
        <v>46386.2300830788</v>
      </c>
      <c r="O105" s="380">
        <f t="shared" si="23"/>
        <v>44287.8197865924</v>
      </c>
      <c r="P105" s="380">
        <f t="shared" si="24"/>
        <v>44168.1482018991</v>
      </c>
      <c r="T105" t="str">
        <f t="shared" si="16"/>
        <v>Trd_car_dsl-pih_78</v>
      </c>
      <c r="U105" t="str">
        <f ca="1" t="shared" si="17"/>
        <v>ICE medium size plug-in hybrid diesel car -- 78%</v>
      </c>
      <c r="V105" s="383" t="s">
        <v>84</v>
      </c>
      <c r="W105" s="383" t="s">
        <v>85</v>
      </c>
    </row>
    <row r="106" spans="3:23">
      <c r="C106" s="97"/>
      <c r="D106" s="97"/>
      <c r="E106" s="97"/>
      <c r="F106" s="97"/>
      <c r="J106" t="str">
        <f t="shared" si="18"/>
        <v>Trd_car_dsl-pih</v>
      </c>
      <c r="K106" t="str">
        <f t="shared" si="19"/>
        <v>\I:</v>
      </c>
      <c r="L106" t="str">
        <f t="shared" si="20"/>
        <v>\I:</v>
      </c>
      <c r="M106" s="380" t="str">
        <f t="shared" si="21"/>
        <v/>
      </c>
      <c r="N106" s="380" t="str">
        <f t="shared" si="22"/>
        <v/>
      </c>
      <c r="O106" s="380" t="str">
        <f t="shared" si="23"/>
        <v/>
      </c>
      <c r="P106" s="380" t="str">
        <f t="shared" si="24"/>
        <v/>
      </c>
      <c r="T106" t="str">
        <f t="shared" si="16"/>
        <v>\I:</v>
      </c>
      <c r="U106" t="str">
        <f ca="1" t="shared" si="17"/>
        <v>ICE medium size plug-in hybrid diesel car -- 00%</v>
      </c>
      <c r="V106" s="383" t="s">
        <v>84</v>
      </c>
      <c r="W106" s="383" t="s">
        <v>85</v>
      </c>
    </row>
    <row r="107" spans="10:23">
      <c r="J107" t="str">
        <f t="shared" si="18"/>
        <v>Trd_car_dsl-pih</v>
      </c>
      <c r="K107" t="str">
        <f t="shared" si="19"/>
        <v>\I:</v>
      </c>
      <c r="L107" t="str">
        <f t="shared" si="20"/>
        <v>\I:</v>
      </c>
      <c r="M107" s="380" t="str">
        <f t="shared" si="21"/>
        <v/>
      </c>
      <c r="N107" s="380" t="str">
        <f t="shared" si="22"/>
        <v/>
      </c>
      <c r="O107" s="380" t="str">
        <f t="shared" si="23"/>
        <v/>
      </c>
      <c r="P107" s="380" t="str">
        <f t="shared" si="24"/>
        <v/>
      </c>
      <c r="T107" t="str">
        <f t="shared" si="16"/>
        <v>\I:</v>
      </c>
      <c r="U107" t="str">
        <f ca="1" t="shared" si="17"/>
        <v>ICE medium size plug-in hybrid diesel car -- 00%</v>
      </c>
      <c r="V107" s="383" t="s">
        <v>84</v>
      </c>
      <c r="W107" s="383" t="s">
        <v>85</v>
      </c>
    </row>
    <row r="108" spans="10:23">
      <c r="J108" t="str">
        <f t="shared" si="18"/>
        <v>Trd_car_dsl-pih</v>
      </c>
      <c r="K108" t="str">
        <f t="shared" si="19"/>
        <v>\I:</v>
      </c>
      <c r="L108" t="str">
        <f t="shared" si="20"/>
        <v>\I:</v>
      </c>
      <c r="M108" s="380" t="str">
        <f t="shared" si="21"/>
        <v/>
      </c>
      <c r="N108" s="380" t="str">
        <f t="shared" si="22"/>
        <v/>
      </c>
      <c r="O108" s="380" t="str">
        <f t="shared" si="23"/>
        <v/>
      </c>
      <c r="P108" s="380" t="str">
        <f t="shared" si="24"/>
        <v/>
      </c>
      <c r="T108" t="str">
        <f t="shared" si="16"/>
        <v>\I:</v>
      </c>
      <c r="U108" t="str">
        <f ca="1" t="shared" si="17"/>
        <v>ICE medium size plug-in hybrid diesel car -- 00%</v>
      </c>
      <c r="V108" s="383" t="s">
        <v>84</v>
      </c>
      <c r="W108" s="383" t="s">
        <v>85</v>
      </c>
    </row>
    <row r="109" spans="10:23">
      <c r="J109" t="str">
        <f t="shared" si="18"/>
        <v>Trd_car_dsl-pih</v>
      </c>
      <c r="K109" t="str">
        <f t="shared" si="19"/>
        <v>\I:</v>
      </c>
      <c r="L109" t="str">
        <f t="shared" si="20"/>
        <v>\I:</v>
      </c>
      <c r="M109" s="380" t="str">
        <f t="shared" si="21"/>
        <v/>
      </c>
      <c r="N109" s="380" t="str">
        <f t="shared" si="22"/>
        <v/>
      </c>
      <c r="O109" s="380" t="str">
        <f t="shared" si="23"/>
        <v/>
      </c>
      <c r="P109" s="380" t="str">
        <f t="shared" si="24"/>
        <v/>
      </c>
      <c r="T109" t="str">
        <f t="shared" si="16"/>
        <v>\I:</v>
      </c>
      <c r="U109" t="str">
        <f ca="1" t="shared" si="17"/>
        <v>ICE medium size plug-in hybrid diesel car -- 00%</v>
      </c>
      <c r="V109" s="383" t="s">
        <v>84</v>
      </c>
      <c r="W109" s="383" t="s">
        <v>85</v>
      </c>
    </row>
    <row r="110" spans="10:23">
      <c r="J110" t="str">
        <f t="shared" si="18"/>
        <v>Trd_car_dsl-pih</v>
      </c>
      <c r="K110" t="str">
        <f t="shared" si="19"/>
        <v>\I:</v>
      </c>
      <c r="L110" t="str">
        <f t="shared" si="20"/>
        <v>\I:</v>
      </c>
      <c r="M110" s="380" t="str">
        <f t="shared" si="21"/>
        <v/>
      </c>
      <c r="N110" s="380" t="str">
        <f t="shared" si="22"/>
        <v/>
      </c>
      <c r="O110" s="380" t="str">
        <f t="shared" si="23"/>
        <v/>
      </c>
      <c r="P110" s="380" t="str">
        <f t="shared" si="24"/>
        <v/>
      </c>
      <c r="T110" t="str">
        <f t="shared" si="16"/>
        <v>\I:</v>
      </c>
      <c r="U110" t="str">
        <f ca="1" t="shared" si="17"/>
        <v>ICE medium size plug-in hybrid diesel car -- 00%</v>
      </c>
      <c r="V110" s="383" t="s">
        <v>84</v>
      </c>
      <c r="W110" s="383" t="s">
        <v>85</v>
      </c>
    </row>
    <row r="111" spans="2:23">
      <c r="B111" s="43" t="s">
        <v>87</v>
      </c>
      <c r="J111" t="str">
        <f t="shared" si="18"/>
        <v>Trd_car_dsl-pih</v>
      </c>
      <c r="K111" t="str">
        <f t="shared" si="19"/>
        <v>\I:</v>
      </c>
      <c r="L111" t="str">
        <f t="shared" si="20"/>
        <v>\I:</v>
      </c>
      <c r="M111" s="380" t="str">
        <f t="shared" si="21"/>
        <v/>
      </c>
      <c r="N111" s="380" t="str">
        <f t="shared" si="22"/>
        <v/>
      </c>
      <c r="O111" s="380" t="str">
        <f t="shared" si="23"/>
        <v/>
      </c>
      <c r="P111" s="380" t="str">
        <f t="shared" si="24"/>
        <v/>
      </c>
      <c r="T111" t="str">
        <f t="shared" si="16"/>
        <v>\I:</v>
      </c>
      <c r="U111" t="str">
        <f ca="1" t="shared" si="17"/>
        <v>ICE medium size plug-in hybrid diesel car -- Reference values for medium size CNG</v>
      </c>
      <c r="V111" s="383" t="s">
        <v>84</v>
      </c>
      <c r="W111" s="383" t="s">
        <v>85</v>
      </c>
    </row>
    <row r="112" spans="2:23">
      <c r="B112" s="372">
        <v>2015</v>
      </c>
      <c r="C112" s="372"/>
      <c r="D112" s="372"/>
      <c r="J112" t="str">
        <f t="shared" si="18"/>
        <v>Trd_car_dsl-pih</v>
      </c>
      <c r="K112" t="str">
        <f t="shared" si="19"/>
        <v>\I:</v>
      </c>
      <c r="L112" t="str">
        <f t="shared" si="20"/>
        <v>\I:</v>
      </c>
      <c r="M112" s="380" t="str">
        <f t="shared" si="21"/>
        <v/>
      </c>
      <c r="N112" s="380" t="str">
        <f t="shared" si="22"/>
        <v/>
      </c>
      <c r="O112" s="380" t="str">
        <f t="shared" si="23"/>
        <v/>
      </c>
      <c r="P112" s="380" t="str">
        <f t="shared" si="24"/>
        <v/>
      </c>
      <c r="T112" t="str">
        <f t="shared" si="16"/>
        <v>\I:</v>
      </c>
      <c r="U112" t="str">
        <f ca="1" t="shared" si="17"/>
        <v>ICE medium size plug-in hybrid diesel car -- 201500%</v>
      </c>
      <c r="V112" s="383" t="s">
        <v>84</v>
      </c>
      <c r="W112" s="383" t="s">
        <v>85</v>
      </c>
    </row>
    <row r="113" spans="2:23">
      <c r="B113" s="45" t="s">
        <v>12</v>
      </c>
      <c r="C113" s="46" t="s">
        <v>88</v>
      </c>
      <c r="D113" s="47">
        <v>4.32975739881566</v>
      </c>
      <c r="G113" s="77">
        <f>D113*$I$5/100*10^9/10^6</f>
        <v>2.32912687100081</v>
      </c>
      <c r="H113" s="77"/>
      <c r="I113" s="422">
        <f>1/G113</f>
        <v>0.429345439465179</v>
      </c>
      <c r="J113" t="str">
        <f t="shared" si="18"/>
        <v>Trd_car_dsl-pih</v>
      </c>
      <c r="K113" t="str">
        <f t="shared" si="19"/>
        <v>\I:</v>
      </c>
      <c r="L113" t="str">
        <f t="shared" si="20"/>
        <v>\I:</v>
      </c>
      <c r="M113" s="380" t="str">
        <f t="shared" si="21"/>
        <v/>
      </c>
      <c r="N113" s="380" t="str">
        <f t="shared" si="22"/>
        <v/>
      </c>
      <c r="O113" s="380" t="str">
        <f t="shared" si="23"/>
        <v/>
      </c>
      <c r="P113" s="380" t="str">
        <f t="shared" si="24"/>
        <v/>
      </c>
      <c r="T113" t="str">
        <f t="shared" ref="T113:T144" si="27">K113</f>
        <v>\I:</v>
      </c>
      <c r="U113" t="str">
        <f ca="1" t="shared" ref="U113:U144" si="28">OFFSET($S$1,MATCH(J113,$S$1:$S$11,0)-1,-1)&amp;" -- "&amp;TEXT(B113,"00%")</f>
        <v>ICE medium size plug-in hybrid diesel car -- Energy consumption</v>
      </c>
      <c r="V113" s="383" t="s">
        <v>84</v>
      </c>
      <c r="W113" s="383" t="s">
        <v>85</v>
      </c>
    </row>
    <row r="114" spans="2:23">
      <c r="B114" s="45" t="s">
        <v>14</v>
      </c>
      <c r="C114" s="46" t="s">
        <v>15</v>
      </c>
      <c r="D114" s="68">
        <v>21195.1012717123</v>
      </c>
      <c r="I114" s="385" t="s">
        <v>70</v>
      </c>
      <c r="J114" t="str">
        <f t="shared" si="18"/>
        <v>Trd_car_dsl-pih</v>
      </c>
      <c r="K114" t="str">
        <f t="shared" si="19"/>
        <v>\I:</v>
      </c>
      <c r="L114" t="str">
        <f t="shared" si="20"/>
        <v>\I:</v>
      </c>
      <c r="M114" s="380" t="str">
        <f t="shared" si="21"/>
        <v/>
      </c>
      <c r="N114" s="380" t="str">
        <f t="shared" si="22"/>
        <v/>
      </c>
      <c r="O114" s="380" t="str">
        <f t="shared" si="23"/>
        <v/>
      </c>
      <c r="P114" s="380" t="str">
        <f t="shared" si="24"/>
        <v/>
      </c>
      <c r="T114" t="str">
        <f t="shared" si="27"/>
        <v>\I:</v>
      </c>
      <c r="U114" t="str">
        <f ca="1" t="shared" si="28"/>
        <v>ICE medium size plug-in hybrid diesel car -- Capital cost</v>
      </c>
      <c r="V114" s="383" t="s">
        <v>84</v>
      </c>
      <c r="W114" s="383" t="s">
        <v>85</v>
      </c>
    </row>
    <row r="115" spans="10:23">
      <c r="J115" t="str">
        <f t="shared" si="18"/>
        <v>Trd_car_dsl-pih</v>
      </c>
      <c r="K115" t="str">
        <f t="shared" si="19"/>
        <v>\I:</v>
      </c>
      <c r="L115" t="str">
        <f t="shared" si="20"/>
        <v>\I:</v>
      </c>
      <c r="M115" s="380" t="str">
        <f t="shared" si="21"/>
        <v/>
      </c>
      <c r="N115" s="380" t="str">
        <f t="shared" si="22"/>
        <v/>
      </c>
      <c r="O115" s="380" t="str">
        <f t="shared" si="23"/>
        <v/>
      </c>
      <c r="P115" s="380" t="str">
        <f t="shared" si="24"/>
        <v/>
      </c>
      <c r="T115" t="str">
        <f t="shared" si="27"/>
        <v>\I:</v>
      </c>
      <c r="U115" t="str">
        <f ca="1" t="shared" si="28"/>
        <v>ICE medium size plug-in hybrid diesel car -- 00%</v>
      </c>
      <c r="V115" s="383" t="s">
        <v>84</v>
      </c>
      <c r="W115" s="383" t="s">
        <v>85</v>
      </c>
    </row>
    <row r="116" ht="15" customHeight="1" spans="2:23">
      <c r="B116" s="374" t="s">
        <v>89</v>
      </c>
      <c r="C116" s="374" t="s">
        <v>60</v>
      </c>
      <c r="D116" s="374"/>
      <c r="E116" s="374"/>
      <c r="F116" s="374"/>
      <c r="J116" t="str">
        <f t="shared" si="18"/>
        <v>Trd_car_cng</v>
      </c>
      <c r="K116" t="str">
        <f t="shared" si="19"/>
        <v>\I:</v>
      </c>
      <c r="L116" t="str">
        <f t="shared" si="20"/>
        <v>\I:</v>
      </c>
      <c r="M116" s="380" t="str">
        <f t="shared" si="21"/>
        <v/>
      </c>
      <c r="N116" s="380" t="str">
        <f t="shared" si="22"/>
        <v/>
      </c>
      <c r="O116" s="380" t="str">
        <f t="shared" si="23"/>
        <v/>
      </c>
      <c r="P116" s="380" t="str">
        <f t="shared" si="24"/>
        <v/>
      </c>
      <c r="T116" t="str">
        <f t="shared" si="27"/>
        <v>\I:</v>
      </c>
      <c r="U116" t="str">
        <f ca="1" t="shared" si="28"/>
        <v>ICE medium size CNG car -- Reduction of specific energy consumption relative to 2015 CNG vehicle (%)</v>
      </c>
      <c r="V116" s="383" t="s">
        <v>84</v>
      </c>
      <c r="W116" s="383" t="s">
        <v>85</v>
      </c>
    </row>
    <row r="117" spans="2:23">
      <c r="B117" s="374"/>
      <c r="C117" s="374"/>
      <c r="D117" s="374"/>
      <c r="E117" s="374"/>
      <c r="F117" s="374"/>
      <c r="J117" t="str">
        <f t="shared" si="18"/>
        <v>Trd_car_cng</v>
      </c>
      <c r="K117" t="str">
        <f t="shared" si="19"/>
        <v>\I:</v>
      </c>
      <c r="L117" t="str">
        <f t="shared" si="20"/>
        <v>\I:</v>
      </c>
      <c r="M117" s="380" t="str">
        <f t="shared" si="21"/>
        <v/>
      </c>
      <c r="N117" s="380" t="str">
        <f t="shared" si="22"/>
        <v/>
      </c>
      <c r="O117" s="380" t="str">
        <f t="shared" si="23"/>
        <v/>
      </c>
      <c r="P117" s="380" t="str">
        <f t="shared" si="24"/>
        <v/>
      </c>
      <c r="T117" t="str">
        <f t="shared" si="27"/>
        <v>\I:</v>
      </c>
      <c r="U117" t="str">
        <f ca="1" t="shared" si="28"/>
        <v>ICE medium size CNG car -- 00%</v>
      </c>
      <c r="V117" s="383" t="s">
        <v>84</v>
      </c>
      <c r="W117" s="383" t="s">
        <v>85</v>
      </c>
    </row>
    <row r="118" spans="2:23">
      <c r="B118" s="374"/>
      <c r="C118" s="374"/>
      <c r="D118" s="374"/>
      <c r="E118" s="374"/>
      <c r="F118" s="374"/>
      <c r="J118" t="str">
        <f t="shared" si="18"/>
        <v>Trd_car_cng</v>
      </c>
      <c r="K118" t="str">
        <f t="shared" si="19"/>
        <v>\I:</v>
      </c>
      <c r="L118" t="str">
        <f t="shared" si="20"/>
        <v>\I:</v>
      </c>
      <c r="M118" s="380" t="str">
        <f t="shared" si="21"/>
        <v/>
      </c>
      <c r="N118" s="380" t="str">
        <f t="shared" si="22"/>
        <v/>
      </c>
      <c r="O118" s="380" t="str">
        <f t="shared" si="23"/>
        <v/>
      </c>
      <c r="P118" s="380" t="str">
        <f t="shared" si="24"/>
        <v/>
      </c>
      <c r="T118" t="str">
        <f t="shared" si="27"/>
        <v>\I:</v>
      </c>
      <c r="U118" t="str">
        <f ca="1" t="shared" si="28"/>
        <v>ICE medium size CNG car -- 00%</v>
      </c>
      <c r="V118" s="383" t="s">
        <v>84</v>
      </c>
      <c r="W118" s="383" t="s">
        <v>85</v>
      </c>
    </row>
    <row r="119" spans="2:23">
      <c r="B119" s="88"/>
      <c r="C119" s="50">
        <v>2020</v>
      </c>
      <c r="D119" s="50">
        <v>2030</v>
      </c>
      <c r="E119" s="50">
        <v>2040</v>
      </c>
      <c r="F119" s="50">
        <v>2050</v>
      </c>
      <c r="I119" s="373">
        <v>1</v>
      </c>
      <c r="J119" s="43" t="str">
        <f t="shared" si="18"/>
        <v>Trd_car_cng</v>
      </c>
      <c r="K119" s="43" t="str">
        <f>IFERROR(IF(VALUE(C119)&gt;200,J119&amp;"_"&amp;TEXT(B119*100,"00"),"\I:"),"\I:")</f>
        <v>Trd_car_cng_00</v>
      </c>
      <c r="L119" t="str">
        <f t="shared" si="20"/>
        <v>Trd_car</v>
      </c>
      <c r="M119" s="418">
        <f>D114</f>
        <v>21195.1012717123</v>
      </c>
      <c r="N119" s="380"/>
      <c r="O119" s="380"/>
      <c r="P119" s="380"/>
      <c r="T119" t="str">
        <f t="shared" si="27"/>
        <v>Trd_car_cng_00</v>
      </c>
      <c r="U119" t="str">
        <f ca="1" t="shared" si="28"/>
        <v>ICE medium size CNG car -- 00%</v>
      </c>
      <c r="V119" s="383" t="s">
        <v>84</v>
      </c>
      <c r="W119" s="383" t="s">
        <v>85</v>
      </c>
    </row>
    <row r="120" spans="2:23">
      <c r="B120" s="85">
        <v>0.133623958941972</v>
      </c>
      <c r="C120" s="86">
        <v>21459.3220901274</v>
      </c>
      <c r="D120" s="86">
        <v>21265.946731911</v>
      </c>
      <c r="E120" s="86">
        <v>21265.946731911</v>
      </c>
      <c r="F120" s="86">
        <v>21265.946731911</v>
      </c>
      <c r="I120" s="77">
        <f t="shared" ref="I120:I125" si="29">$I$113*(1+B120)/$I$12</f>
        <v>1.04433704896357</v>
      </c>
      <c r="J120" t="str">
        <f t="shared" si="18"/>
        <v>Trd_car_cng</v>
      </c>
      <c r="K120" t="str">
        <f t="shared" si="19"/>
        <v>Trd_car_cng_13</v>
      </c>
      <c r="L120" t="str">
        <f t="shared" si="20"/>
        <v>Trd_car</v>
      </c>
      <c r="M120" s="380">
        <f t="shared" si="21"/>
        <v>21459.3220901274</v>
      </c>
      <c r="N120" s="380">
        <f t="shared" si="22"/>
        <v>21265.946731911</v>
      </c>
      <c r="O120" s="380">
        <f t="shared" si="23"/>
        <v>21265.946731911</v>
      </c>
      <c r="P120" s="380">
        <f t="shared" si="24"/>
        <v>21265.946731911</v>
      </c>
      <c r="T120" t="str">
        <f t="shared" si="27"/>
        <v>Trd_car_cng_13</v>
      </c>
      <c r="U120" t="str">
        <f ca="1" t="shared" si="28"/>
        <v>ICE medium size CNG car -- 13%</v>
      </c>
      <c r="V120" s="383" t="s">
        <v>84</v>
      </c>
      <c r="W120" s="383" t="s">
        <v>85</v>
      </c>
    </row>
    <row r="121" spans="2:23">
      <c r="B121" s="85">
        <v>0.233623958941972</v>
      </c>
      <c r="C121" s="86">
        <v>22275.1693225306</v>
      </c>
      <c r="D121" s="86">
        <v>21526.8992345472</v>
      </c>
      <c r="E121" s="86">
        <v>21526.8992345472</v>
      </c>
      <c r="F121" s="86">
        <v>21526.8992345472</v>
      </c>
      <c r="I121" s="77">
        <f t="shared" si="29"/>
        <v>1.13646081193858</v>
      </c>
      <c r="J121" t="str">
        <f t="shared" si="18"/>
        <v>Trd_car_cng</v>
      </c>
      <c r="K121" t="str">
        <f t="shared" si="19"/>
        <v>Trd_car_cng_23</v>
      </c>
      <c r="L121" t="str">
        <f t="shared" si="20"/>
        <v>Trd_car</v>
      </c>
      <c r="M121" s="380">
        <f t="shared" si="21"/>
        <v>22275.1693225306</v>
      </c>
      <c r="N121" s="380">
        <f t="shared" si="22"/>
        <v>21526.8992345472</v>
      </c>
      <c r="O121" s="380">
        <f t="shared" si="23"/>
        <v>21526.8992345472</v>
      </c>
      <c r="P121" s="380">
        <f t="shared" si="24"/>
        <v>21526.8992345472</v>
      </c>
      <c r="T121" t="str">
        <f t="shared" si="27"/>
        <v>Trd_car_cng_23</v>
      </c>
      <c r="U121" t="str">
        <f ca="1" t="shared" si="28"/>
        <v>ICE medium size CNG car -- 23%</v>
      </c>
      <c r="V121" s="383" t="s">
        <v>84</v>
      </c>
      <c r="W121" s="383" t="s">
        <v>85</v>
      </c>
    </row>
    <row r="122" spans="2:23">
      <c r="B122" s="85">
        <v>0.333623958941972</v>
      </c>
      <c r="C122" s="86">
        <v>24038.3168536115</v>
      </c>
      <c r="D122" s="86">
        <v>22158.19844873</v>
      </c>
      <c r="E122" s="86">
        <v>22158.19844873</v>
      </c>
      <c r="F122" s="86">
        <v>22158.19844873</v>
      </c>
      <c r="I122" s="77">
        <f t="shared" si="29"/>
        <v>1.22858457491358</v>
      </c>
      <c r="J122" t="str">
        <f t="shared" si="18"/>
        <v>Trd_car_cng</v>
      </c>
      <c r="K122" t="str">
        <f t="shared" si="19"/>
        <v>Trd_car_cng_33</v>
      </c>
      <c r="L122" t="str">
        <f t="shared" si="20"/>
        <v>Trd_car</v>
      </c>
      <c r="M122" s="380">
        <f t="shared" si="21"/>
        <v>24038.3168536115</v>
      </c>
      <c r="N122" s="380">
        <f t="shared" si="22"/>
        <v>22158.19844873</v>
      </c>
      <c r="O122" s="380">
        <f t="shared" si="23"/>
        <v>22158.19844873</v>
      </c>
      <c r="P122" s="380">
        <f t="shared" si="24"/>
        <v>22158.19844873</v>
      </c>
      <c r="T122" t="str">
        <f t="shared" si="27"/>
        <v>Trd_car_cng_33</v>
      </c>
      <c r="U122" t="str">
        <f ca="1" t="shared" si="28"/>
        <v>ICE medium size CNG car -- 33%</v>
      </c>
      <c r="V122" s="383" t="s">
        <v>84</v>
      </c>
      <c r="W122" s="383" t="s">
        <v>85</v>
      </c>
    </row>
    <row r="123" spans="2:23">
      <c r="B123" s="85">
        <v>0.383623958941972</v>
      </c>
      <c r="C123" s="86">
        <v>26551.6414852451</v>
      </c>
      <c r="D123" s="86">
        <v>22891.3401623741</v>
      </c>
      <c r="E123" s="86">
        <v>22891.3401623741</v>
      </c>
      <c r="F123" s="86">
        <v>22891.3401623741</v>
      </c>
      <c r="I123" s="77">
        <f t="shared" si="29"/>
        <v>1.27464645640108</v>
      </c>
      <c r="J123" t="str">
        <f t="shared" si="18"/>
        <v>Trd_car_cng</v>
      </c>
      <c r="K123" t="str">
        <f t="shared" si="19"/>
        <v>Trd_car_cng_38</v>
      </c>
      <c r="L123" t="str">
        <f t="shared" si="20"/>
        <v>Trd_car</v>
      </c>
      <c r="M123" s="380">
        <f t="shared" si="21"/>
        <v>26551.6414852451</v>
      </c>
      <c r="N123" s="380">
        <f t="shared" si="22"/>
        <v>22891.3401623741</v>
      </c>
      <c r="O123" s="380">
        <f t="shared" si="23"/>
        <v>22891.3401623741</v>
      </c>
      <c r="P123" s="380">
        <f t="shared" si="24"/>
        <v>22891.3401623741</v>
      </c>
      <c r="T123" t="str">
        <f t="shared" si="27"/>
        <v>Trd_car_cng_38</v>
      </c>
      <c r="U123" t="str">
        <f ca="1" t="shared" si="28"/>
        <v>ICE medium size CNG car -- 38%</v>
      </c>
      <c r="V123" s="383" t="s">
        <v>84</v>
      </c>
      <c r="W123" s="383" t="s">
        <v>85</v>
      </c>
    </row>
    <row r="124" spans="2:23">
      <c r="B124" s="85">
        <v>0.433623958941972</v>
      </c>
      <c r="C124" s="86">
        <v>55820.7966564757</v>
      </c>
      <c r="D124" s="86">
        <v>24704.2542961166</v>
      </c>
      <c r="E124" s="86">
        <v>24704.2542961166</v>
      </c>
      <c r="F124" s="86">
        <v>24704.2542961166</v>
      </c>
      <c r="I124" s="77">
        <f t="shared" si="29"/>
        <v>1.32070833788859</v>
      </c>
      <c r="J124" t="str">
        <f t="shared" si="18"/>
        <v>Trd_car_cng</v>
      </c>
      <c r="K124" t="str">
        <f t="shared" si="19"/>
        <v>Trd_car_cng_43</v>
      </c>
      <c r="L124" t="str">
        <f t="shared" si="20"/>
        <v>Trd_car</v>
      </c>
      <c r="M124" s="380">
        <f t="shared" si="21"/>
        <v>55820.7966564757</v>
      </c>
      <c r="N124" s="380">
        <f t="shared" si="22"/>
        <v>24704.2542961166</v>
      </c>
      <c r="O124" s="380">
        <f t="shared" si="23"/>
        <v>24704.2542961166</v>
      </c>
      <c r="P124" s="380">
        <f t="shared" si="24"/>
        <v>24704.2542961166</v>
      </c>
      <c r="T124" t="str">
        <f t="shared" si="27"/>
        <v>Trd_car_cng_43</v>
      </c>
      <c r="U124" t="str">
        <f ca="1" t="shared" si="28"/>
        <v>ICE medium size CNG car -- 43%</v>
      </c>
      <c r="V124" s="383" t="s">
        <v>84</v>
      </c>
      <c r="W124" s="383" t="s">
        <v>85</v>
      </c>
    </row>
    <row r="125" spans="2:23">
      <c r="B125" s="85">
        <v>0.483623958941972</v>
      </c>
      <c r="C125" s="86">
        <v>120999.1132</v>
      </c>
      <c r="D125" s="86">
        <v>43178.2986936037</v>
      </c>
      <c r="E125" s="86">
        <v>43178.2986936037</v>
      </c>
      <c r="F125" s="86">
        <v>43178.2986936037</v>
      </c>
      <c r="I125" s="77">
        <f t="shared" si="29"/>
        <v>1.36677021937609</v>
      </c>
      <c r="J125" t="str">
        <f t="shared" si="18"/>
        <v>Trd_car_cng</v>
      </c>
      <c r="K125" t="str">
        <f t="shared" si="19"/>
        <v>Trd_car_cng_48</v>
      </c>
      <c r="L125" t="str">
        <f t="shared" si="20"/>
        <v>Trd_car</v>
      </c>
      <c r="M125" s="380">
        <f t="shared" si="21"/>
        <v>120999.1132</v>
      </c>
      <c r="N125" s="380">
        <f t="shared" si="22"/>
        <v>43178.2986936037</v>
      </c>
      <c r="O125" s="380">
        <f t="shared" si="23"/>
        <v>43178.2986936037</v>
      </c>
      <c r="P125" s="380">
        <f t="shared" si="24"/>
        <v>43178.2986936037</v>
      </c>
      <c r="T125" t="str">
        <f t="shared" si="27"/>
        <v>Trd_car_cng_48</v>
      </c>
      <c r="U125" t="str">
        <f ca="1" t="shared" si="28"/>
        <v>ICE medium size CNG car -- 48%</v>
      </c>
      <c r="V125" s="383" t="s">
        <v>84</v>
      </c>
      <c r="W125" s="383" t="s">
        <v>85</v>
      </c>
    </row>
    <row r="126" spans="3:23">
      <c r="C126" s="97"/>
      <c r="D126" s="97"/>
      <c r="E126" s="97"/>
      <c r="F126" s="97"/>
      <c r="J126" t="str">
        <f t="shared" si="18"/>
        <v>Trd_car_cng</v>
      </c>
      <c r="K126" t="str">
        <f t="shared" si="19"/>
        <v>\I:</v>
      </c>
      <c r="L126" t="str">
        <f t="shared" si="20"/>
        <v>\I:</v>
      </c>
      <c r="M126" s="380" t="str">
        <f t="shared" si="21"/>
        <v/>
      </c>
      <c r="N126" s="380" t="str">
        <f t="shared" si="22"/>
        <v/>
      </c>
      <c r="O126" s="380" t="str">
        <f t="shared" si="23"/>
        <v/>
      </c>
      <c r="P126" s="380" t="str">
        <f t="shared" si="24"/>
        <v/>
      </c>
      <c r="T126" t="str">
        <f t="shared" si="27"/>
        <v>\I:</v>
      </c>
      <c r="U126" t="str">
        <f ca="1" t="shared" si="28"/>
        <v>ICE medium size CNG car -- 00%</v>
      </c>
      <c r="V126" s="383" t="s">
        <v>84</v>
      </c>
      <c r="W126" s="383" t="s">
        <v>85</v>
      </c>
    </row>
    <row r="127" spans="10:23">
      <c r="J127" t="str">
        <f t="shared" si="18"/>
        <v>Trd_car_cng</v>
      </c>
      <c r="K127" t="str">
        <f t="shared" si="19"/>
        <v>\I:</v>
      </c>
      <c r="L127" t="str">
        <f t="shared" si="20"/>
        <v>\I:</v>
      </c>
      <c r="M127" s="380" t="str">
        <f t="shared" si="21"/>
        <v/>
      </c>
      <c r="N127" s="380" t="str">
        <f t="shared" si="22"/>
        <v/>
      </c>
      <c r="O127" s="380" t="str">
        <f t="shared" si="23"/>
        <v/>
      </c>
      <c r="P127" s="380" t="str">
        <f t="shared" si="24"/>
        <v/>
      </c>
      <c r="T127" t="str">
        <f t="shared" si="27"/>
        <v>\I:</v>
      </c>
      <c r="U127" t="str">
        <f ca="1" t="shared" si="28"/>
        <v>ICE medium size CNG car -- 00%</v>
      </c>
      <c r="V127" s="383" t="s">
        <v>84</v>
      </c>
      <c r="W127" s="383" t="s">
        <v>85</v>
      </c>
    </row>
    <row r="128" spans="10:23">
      <c r="J128" t="str">
        <f t="shared" si="18"/>
        <v>Trd_car_cng</v>
      </c>
      <c r="K128" t="str">
        <f t="shared" si="19"/>
        <v>\I:</v>
      </c>
      <c r="L128" t="str">
        <f t="shared" si="20"/>
        <v>\I:</v>
      </c>
      <c r="M128" s="380" t="str">
        <f t="shared" si="21"/>
        <v/>
      </c>
      <c r="N128" s="380" t="str">
        <f t="shared" si="22"/>
        <v/>
      </c>
      <c r="O128" s="380" t="str">
        <f t="shared" si="23"/>
        <v/>
      </c>
      <c r="P128" s="380" t="str">
        <f t="shared" si="24"/>
        <v/>
      </c>
      <c r="T128" t="str">
        <f t="shared" si="27"/>
        <v>\I:</v>
      </c>
      <c r="U128" t="str">
        <f ca="1" t="shared" si="28"/>
        <v>ICE medium size CNG car -- 00%</v>
      </c>
      <c r="V128" s="383" t="s">
        <v>84</v>
      </c>
      <c r="W128" s="383" t="s">
        <v>85</v>
      </c>
    </row>
    <row r="129" spans="10:23">
      <c r="J129" t="str">
        <f t="shared" si="18"/>
        <v>Trd_car_cng</v>
      </c>
      <c r="K129" t="str">
        <f t="shared" si="19"/>
        <v>\I:</v>
      </c>
      <c r="L129" t="str">
        <f t="shared" si="20"/>
        <v>\I:</v>
      </c>
      <c r="M129" s="380" t="str">
        <f t="shared" si="21"/>
        <v/>
      </c>
      <c r="N129" s="380" t="str">
        <f t="shared" si="22"/>
        <v/>
      </c>
      <c r="O129" s="380" t="str">
        <f t="shared" si="23"/>
        <v/>
      </c>
      <c r="P129" s="380" t="str">
        <f t="shared" si="24"/>
        <v/>
      </c>
      <c r="T129" t="str">
        <f t="shared" si="27"/>
        <v>\I:</v>
      </c>
      <c r="U129" t="str">
        <f ca="1" t="shared" si="28"/>
        <v>ICE medium size CNG car -- 00%</v>
      </c>
      <c r="V129" s="383" t="s">
        <v>84</v>
      </c>
      <c r="W129" s="383" t="s">
        <v>85</v>
      </c>
    </row>
    <row r="130" spans="10:23">
      <c r="J130" t="str">
        <f t="shared" si="18"/>
        <v>Trd_car_cng</v>
      </c>
      <c r="K130" t="str">
        <f t="shared" si="19"/>
        <v>\I:</v>
      </c>
      <c r="L130" t="str">
        <f t="shared" si="20"/>
        <v>\I:</v>
      </c>
      <c r="M130" s="380" t="str">
        <f t="shared" si="21"/>
        <v/>
      </c>
      <c r="N130" s="380" t="str">
        <f t="shared" si="22"/>
        <v/>
      </c>
      <c r="O130" s="380" t="str">
        <f t="shared" si="23"/>
        <v/>
      </c>
      <c r="P130" s="380" t="str">
        <f t="shared" si="24"/>
        <v/>
      </c>
      <c r="T130" t="str">
        <f t="shared" si="27"/>
        <v>\I:</v>
      </c>
      <c r="U130" t="str">
        <f ca="1" t="shared" si="28"/>
        <v>ICE medium size CNG car -- 00%</v>
      </c>
      <c r="V130" s="383" t="s">
        <v>84</v>
      </c>
      <c r="W130" s="383" t="s">
        <v>85</v>
      </c>
    </row>
    <row r="131" spans="2:23">
      <c r="B131" s="43" t="s">
        <v>90</v>
      </c>
      <c r="J131" t="str">
        <f t="shared" si="18"/>
        <v>Trd_car_cng</v>
      </c>
      <c r="K131" t="str">
        <f t="shared" si="19"/>
        <v>\I:</v>
      </c>
      <c r="L131" t="str">
        <f t="shared" si="20"/>
        <v>\I:</v>
      </c>
      <c r="M131" s="380" t="str">
        <f t="shared" si="21"/>
        <v/>
      </c>
      <c r="N131" s="380" t="str">
        <f t="shared" si="22"/>
        <v/>
      </c>
      <c r="O131" s="380" t="str">
        <f t="shared" si="23"/>
        <v/>
      </c>
      <c r="P131" s="380" t="str">
        <f t="shared" si="24"/>
        <v/>
      </c>
      <c r="T131" t="str">
        <f t="shared" si="27"/>
        <v>\I:</v>
      </c>
      <c r="U131" t="str">
        <f ca="1" t="shared" si="28"/>
        <v>ICE medium size CNG car -- Reference values for medium size LPG</v>
      </c>
      <c r="V131" s="383" t="s">
        <v>84</v>
      </c>
      <c r="W131" s="383" t="s">
        <v>85</v>
      </c>
    </row>
    <row r="132" spans="2:23">
      <c r="B132" s="372">
        <v>2015</v>
      </c>
      <c r="C132" s="372"/>
      <c r="D132" s="372"/>
      <c r="J132" t="str">
        <f t="shared" si="18"/>
        <v>Trd_car_cng</v>
      </c>
      <c r="K132" t="str">
        <f t="shared" si="19"/>
        <v>\I:</v>
      </c>
      <c r="L132" t="str">
        <f t="shared" si="20"/>
        <v>\I:</v>
      </c>
      <c r="M132" s="380" t="str">
        <f t="shared" si="21"/>
        <v/>
      </c>
      <c r="N132" s="380" t="str">
        <f t="shared" si="22"/>
        <v/>
      </c>
      <c r="O132" s="380" t="str">
        <f t="shared" si="23"/>
        <v/>
      </c>
      <c r="P132" s="380" t="str">
        <f t="shared" si="24"/>
        <v/>
      </c>
      <c r="T132" t="str">
        <f t="shared" si="27"/>
        <v>\I:</v>
      </c>
      <c r="U132" t="str">
        <f ca="1" t="shared" si="28"/>
        <v>ICE medium size CNG car -- 201500%</v>
      </c>
      <c r="V132" s="383" t="s">
        <v>84</v>
      </c>
      <c r="W132" s="383" t="s">
        <v>85</v>
      </c>
    </row>
    <row r="133" spans="2:23">
      <c r="B133" s="45" t="s">
        <v>12</v>
      </c>
      <c r="C133" s="46" t="s">
        <v>13</v>
      </c>
      <c r="D133" s="47">
        <v>8.21770281816034</v>
      </c>
      <c r="G133" s="77">
        <f>D133*$I$6/100*10^9/10^6</f>
        <v>2.10291015116723</v>
      </c>
      <c r="H133" s="77"/>
      <c r="I133" s="422">
        <f>1/G133</f>
        <v>0.475531491178995</v>
      </c>
      <c r="J133" t="str">
        <f t="shared" si="18"/>
        <v>Trd_car_cng</v>
      </c>
      <c r="K133" t="str">
        <f t="shared" si="19"/>
        <v>\I:</v>
      </c>
      <c r="L133" t="str">
        <f t="shared" si="20"/>
        <v>\I:</v>
      </c>
      <c r="M133" s="380" t="str">
        <f t="shared" si="21"/>
        <v/>
      </c>
      <c r="N133" s="380" t="str">
        <f t="shared" si="22"/>
        <v/>
      </c>
      <c r="O133" s="380" t="str">
        <f t="shared" si="23"/>
        <v/>
      </c>
      <c r="P133" s="380" t="str">
        <f t="shared" si="24"/>
        <v/>
      </c>
      <c r="T133" t="str">
        <f t="shared" si="27"/>
        <v>\I:</v>
      </c>
      <c r="U133" t="str">
        <f ca="1" t="shared" si="28"/>
        <v>ICE medium size CNG car -- Energy consumption</v>
      </c>
      <c r="V133" s="383" t="s">
        <v>84</v>
      </c>
      <c r="W133" s="383" t="s">
        <v>85</v>
      </c>
    </row>
    <row r="134" spans="2:23">
      <c r="B134" s="45" t="s">
        <v>14</v>
      </c>
      <c r="C134" s="46" t="s">
        <v>15</v>
      </c>
      <c r="D134" s="68">
        <v>20627.5576717123</v>
      </c>
      <c r="I134" s="385" t="s">
        <v>70</v>
      </c>
      <c r="J134" t="str">
        <f t="shared" si="18"/>
        <v>Trd_car_cng</v>
      </c>
      <c r="K134" t="str">
        <f t="shared" si="19"/>
        <v>\I:</v>
      </c>
      <c r="L134" t="str">
        <f t="shared" si="20"/>
        <v>\I:</v>
      </c>
      <c r="M134" s="380" t="str">
        <f t="shared" si="21"/>
        <v/>
      </c>
      <c r="N134" s="380" t="str">
        <f t="shared" si="22"/>
        <v/>
      </c>
      <c r="O134" s="380" t="str">
        <f t="shared" si="23"/>
        <v/>
      </c>
      <c r="P134" s="380" t="str">
        <f t="shared" si="24"/>
        <v/>
      </c>
      <c r="T134" t="str">
        <f t="shared" si="27"/>
        <v>\I:</v>
      </c>
      <c r="U134" t="str">
        <f ca="1" t="shared" si="28"/>
        <v>ICE medium size CNG car -- Capital cost</v>
      </c>
      <c r="V134" s="383" t="s">
        <v>84</v>
      </c>
      <c r="W134" s="383" t="s">
        <v>85</v>
      </c>
    </row>
    <row r="135" spans="10:23">
      <c r="J135" t="str">
        <f t="shared" si="18"/>
        <v>Trd_car_cng</v>
      </c>
      <c r="K135" t="str">
        <f t="shared" si="19"/>
        <v>\I:</v>
      </c>
      <c r="L135" t="str">
        <f t="shared" si="20"/>
        <v>\I:</v>
      </c>
      <c r="M135" s="380" t="str">
        <f t="shared" si="21"/>
        <v/>
      </c>
      <c r="N135" s="380" t="str">
        <f t="shared" si="22"/>
        <v/>
      </c>
      <c r="O135" s="380" t="str">
        <f t="shared" si="23"/>
        <v/>
      </c>
      <c r="P135" s="380" t="str">
        <f t="shared" si="24"/>
        <v/>
      </c>
      <c r="T135" t="str">
        <f t="shared" si="27"/>
        <v>\I:</v>
      </c>
      <c r="U135" t="str">
        <f ca="1" t="shared" si="28"/>
        <v>ICE medium size CNG car -- 00%</v>
      </c>
      <c r="V135" s="383" t="s">
        <v>84</v>
      </c>
      <c r="W135" s="383" t="s">
        <v>85</v>
      </c>
    </row>
    <row r="136" ht="15" customHeight="1" spans="2:23">
      <c r="B136" s="374" t="s">
        <v>91</v>
      </c>
      <c r="C136" s="374" t="s">
        <v>62</v>
      </c>
      <c r="D136" s="374"/>
      <c r="E136" s="374"/>
      <c r="F136" s="374"/>
      <c r="J136" t="str">
        <f t="shared" si="18"/>
        <v>\I:Trd_car_lpg</v>
      </c>
      <c r="K136" t="str">
        <f t="shared" si="19"/>
        <v>\I:</v>
      </c>
      <c r="L136" t="str">
        <f t="shared" si="20"/>
        <v>\I:</v>
      </c>
      <c r="M136" s="380" t="str">
        <f t="shared" si="21"/>
        <v/>
      </c>
      <c r="N136" s="380" t="str">
        <f t="shared" si="22"/>
        <v/>
      </c>
      <c r="O136" s="380" t="str">
        <f t="shared" si="23"/>
        <v/>
      </c>
      <c r="P136" s="380" t="str">
        <f t="shared" si="24"/>
        <v/>
      </c>
      <c r="T136" t="str">
        <f t="shared" si="27"/>
        <v>\I:</v>
      </c>
      <c r="U136" t="str">
        <f ca="1" t="shared" si="28"/>
        <v>ICE medium size LPG car -- Reduction of specific energy consumption relative to 2015 LPG vehicle (%)</v>
      </c>
      <c r="V136" s="383" t="s">
        <v>84</v>
      </c>
      <c r="W136" s="383" t="s">
        <v>85</v>
      </c>
    </row>
    <row r="137" spans="2:23">
      <c r="B137" s="374"/>
      <c r="C137" s="374"/>
      <c r="D137" s="374"/>
      <c r="E137" s="374"/>
      <c r="F137" s="374"/>
      <c r="J137" t="str">
        <f t="shared" si="18"/>
        <v>\I:Trd_car_lpg</v>
      </c>
      <c r="K137" t="str">
        <f t="shared" si="19"/>
        <v>\I:</v>
      </c>
      <c r="L137" t="str">
        <f t="shared" si="20"/>
        <v>\I:</v>
      </c>
      <c r="M137" s="380" t="str">
        <f t="shared" si="21"/>
        <v/>
      </c>
      <c r="N137" s="380" t="str">
        <f t="shared" si="22"/>
        <v/>
      </c>
      <c r="O137" s="380" t="str">
        <f t="shared" si="23"/>
        <v/>
      </c>
      <c r="P137" s="380" t="str">
        <f t="shared" si="24"/>
        <v/>
      </c>
      <c r="T137" t="str">
        <f t="shared" si="27"/>
        <v>\I:</v>
      </c>
      <c r="U137" t="str">
        <f ca="1" t="shared" si="28"/>
        <v>ICE medium size LPG car -- 00%</v>
      </c>
      <c r="V137" s="383" t="s">
        <v>84</v>
      </c>
      <c r="W137" s="383" t="s">
        <v>85</v>
      </c>
    </row>
    <row r="138" spans="2:23">
      <c r="B138" s="374"/>
      <c r="C138" s="374"/>
      <c r="D138" s="374"/>
      <c r="E138" s="374"/>
      <c r="F138" s="374"/>
      <c r="J138" t="str">
        <f t="shared" si="18"/>
        <v>\I:Trd_car_lpg</v>
      </c>
      <c r="K138" t="str">
        <f t="shared" si="19"/>
        <v>\I:</v>
      </c>
      <c r="L138" t="str">
        <f t="shared" si="20"/>
        <v>\I:</v>
      </c>
      <c r="M138" s="380" t="str">
        <f t="shared" si="21"/>
        <v/>
      </c>
      <c r="N138" s="380" t="str">
        <f t="shared" si="22"/>
        <v/>
      </c>
      <c r="O138" s="380" t="str">
        <f t="shared" si="23"/>
        <v/>
      </c>
      <c r="P138" s="380" t="str">
        <f t="shared" si="24"/>
        <v/>
      </c>
      <c r="T138" t="str">
        <f t="shared" si="27"/>
        <v>\I:</v>
      </c>
      <c r="U138" t="str">
        <f ca="1" t="shared" si="28"/>
        <v>ICE medium size LPG car -- 00%</v>
      </c>
      <c r="V138" s="383" t="s">
        <v>84</v>
      </c>
      <c r="W138" s="383" t="s">
        <v>85</v>
      </c>
    </row>
    <row r="139" spans="2:23">
      <c r="B139" s="88"/>
      <c r="C139" s="50">
        <v>2020</v>
      </c>
      <c r="D139" s="50">
        <v>2030</v>
      </c>
      <c r="E139" s="50">
        <v>2040</v>
      </c>
      <c r="F139" s="50">
        <v>2050</v>
      </c>
      <c r="J139" t="str">
        <f t="shared" si="18"/>
        <v>\I:Trd_car_lpg</v>
      </c>
      <c r="K139" t="str">
        <f t="shared" si="19"/>
        <v>\I:</v>
      </c>
      <c r="L139" t="str">
        <f t="shared" si="20"/>
        <v>\I:</v>
      </c>
      <c r="M139" s="380" t="str">
        <f t="shared" si="21"/>
        <v/>
      </c>
      <c r="N139" s="380" t="str">
        <f t="shared" si="22"/>
        <v/>
      </c>
      <c r="O139" s="380" t="str">
        <f t="shared" si="23"/>
        <v/>
      </c>
      <c r="P139" s="380" t="str">
        <f t="shared" si="24"/>
        <v/>
      </c>
      <c r="T139" t="str">
        <f t="shared" si="27"/>
        <v>\I:</v>
      </c>
      <c r="U139" t="str">
        <f ca="1" t="shared" si="28"/>
        <v>ICE medium size LPG car -- 00%</v>
      </c>
      <c r="V139" s="383" t="s">
        <v>84</v>
      </c>
      <c r="W139" s="383" t="s">
        <v>85</v>
      </c>
    </row>
    <row r="140" spans="2:23">
      <c r="B140" s="85">
        <v>0.133623958941972</v>
      </c>
      <c r="C140" s="86">
        <v>20891.7784901274</v>
      </c>
      <c r="D140" s="86">
        <v>20698.403131911</v>
      </c>
      <c r="E140" s="86">
        <v>20698.403131911</v>
      </c>
      <c r="F140" s="86">
        <v>20698.403131911</v>
      </c>
      <c r="I140" s="77">
        <f t="shared" ref="I140:I145" si="30">$I$133*(1+B140)/$I$12</f>
        <v>1.15667970016343</v>
      </c>
      <c r="J140" t="str">
        <f t="shared" si="18"/>
        <v>\I:Trd_car_lpg</v>
      </c>
      <c r="K140" t="str">
        <f t="shared" si="19"/>
        <v>\I:Trd_car_lpg_13</v>
      </c>
      <c r="L140" t="str">
        <f t="shared" si="20"/>
        <v>\I:Trd_</v>
      </c>
      <c r="M140" s="380">
        <f t="shared" si="21"/>
        <v>20891.7784901274</v>
      </c>
      <c r="N140" s="380">
        <f t="shared" si="22"/>
        <v>20698.403131911</v>
      </c>
      <c r="O140" s="380">
        <f t="shared" si="23"/>
        <v>20698.403131911</v>
      </c>
      <c r="P140" s="380">
        <f t="shared" si="24"/>
        <v>20698.403131911</v>
      </c>
      <c r="T140" t="str">
        <f t="shared" si="27"/>
        <v>\I:Trd_car_lpg_13</v>
      </c>
      <c r="U140" t="str">
        <f ca="1" t="shared" si="28"/>
        <v>ICE medium size LPG car -- 13%</v>
      </c>
      <c r="V140" s="383" t="s">
        <v>84</v>
      </c>
      <c r="W140" s="383" t="s">
        <v>85</v>
      </c>
    </row>
    <row r="141" spans="2:23">
      <c r="B141" s="85">
        <v>0.233623958941972</v>
      </c>
      <c r="C141" s="86">
        <v>21707.6257225306</v>
      </c>
      <c r="D141" s="86">
        <v>20959.3556345472</v>
      </c>
      <c r="E141" s="86">
        <v>20959.3556345472</v>
      </c>
      <c r="F141" s="86">
        <v>20959.3556345472</v>
      </c>
      <c r="I141" s="77">
        <f t="shared" si="30"/>
        <v>1.2587135087328</v>
      </c>
      <c r="J141" t="str">
        <f t="shared" si="18"/>
        <v>\I:Trd_car_lpg</v>
      </c>
      <c r="K141" t="str">
        <f t="shared" si="19"/>
        <v>\I:Trd_car_lpg_23</v>
      </c>
      <c r="L141" t="str">
        <f t="shared" si="20"/>
        <v>\I:Trd_</v>
      </c>
      <c r="M141" s="380">
        <f t="shared" si="21"/>
        <v>21707.6257225306</v>
      </c>
      <c r="N141" s="380">
        <f t="shared" si="22"/>
        <v>20959.3556345472</v>
      </c>
      <c r="O141" s="380">
        <f t="shared" si="23"/>
        <v>20959.3556345472</v>
      </c>
      <c r="P141" s="380">
        <f t="shared" si="24"/>
        <v>20959.3556345472</v>
      </c>
      <c r="T141" t="str">
        <f t="shared" si="27"/>
        <v>\I:Trd_car_lpg_23</v>
      </c>
      <c r="U141" t="str">
        <f ca="1" t="shared" si="28"/>
        <v>ICE medium size LPG car -- 23%</v>
      </c>
      <c r="V141" s="383" t="s">
        <v>84</v>
      </c>
      <c r="W141" s="383" t="s">
        <v>85</v>
      </c>
    </row>
    <row r="142" spans="2:23">
      <c r="B142" s="85">
        <v>0.333623958941972</v>
      </c>
      <c r="C142" s="86">
        <v>23470.7732536115</v>
      </c>
      <c r="D142" s="86">
        <v>21590.65484873</v>
      </c>
      <c r="E142" s="86">
        <v>21590.65484873</v>
      </c>
      <c r="F142" s="86">
        <v>21590.65484873</v>
      </c>
      <c r="I142" s="77">
        <f t="shared" si="30"/>
        <v>1.36074731730218</v>
      </c>
      <c r="J142" t="str">
        <f t="shared" si="18"/>
        <v>\I:Trd_car_lpg</v>
      </c>
      <c r="K142" t="str">
        <f t="shared" si="19"/>
        <v>\I:Trd_car_lpg_33</v>
      </c>
      <c r="L142" t="str">
        <f t="shared" si="20"/>
        <v>\I:Trd_</v>
      </c>
      <c r="M142" s="380">
        <f t="shared" si="21"/>
        <v>23470.7732536115</v>
      </c>
      <c r="N142" s="380">
        <f t="shared" si="22"/>
        <v>21590.65484873</v>
      </c>
      <c r="O142" s="380">
        <f t="shared" si="23"/>
        <v>21590.65484873</v>
      </c>
      <c r="P142" s="380">
        <f t="shared" si="24"/>
        <v>21590.65484873</v>
      </c>
      <c r="T142" t="str">
        <f t="shared" si="27"/>
        <v>\I:Trd_car_lpg_33</v>
      </c>
      <c r="U142" t="str">
        <f ca="1" t="shared" si="28"/>
        <v>ICE medium size LPG car -- 33%</v>
      </c>
      <c r="V142" s="383" t="s">
        <v>84</v>
      </c>
      <c r="W142" s="383" t="s">
        <v>85</v>
      </c>
    </row>
    <row r="143" spans="2:23">
      <c r="B143" s="85">
        <v>0.383623958941972</v>
      </c>
      <c r="C143" s="86">
        <v>25984.0978852451</v>
      </c>
      <c r="D143" s="86">
        <v>22323.7965623741</v>
      </c>
      <c r="E143" s="86">
        <v>22323.7965623741</v>
      </c>
      <c r="F143" s="86">
        <v>22323.7965623741</v>
      </c>
      <c r="I143" s="77">
        <f t="shared" si="30"/>
        <v>1.41176422158687</v>
      </c>
      <c r="J143" t="str">
        <f t="shared" si="18"/>
        <v>\I:Trd_car_lpg</v>
      </c>
      <c r="K143" t="str">
        <f t="shared" si="19"/>
        <v>\I:Trd_car_lpg_38</v>
      </c>
      <c r="L143" t="str">
        <f t="shared" si="20"/>
        <v>\I:Trd_</v>
      </c>
      <c r="M143" s="380">
        <f t="shared" si="21"/>
        <v>25984.0978852451</v>
      </c>
      <c r="N143" s="380">
        <f t="shared" si="22"/>
        <v>22323.7965623741</v>
      </c>
      <c r="O143" s="380">
        <f t="shared" si="23"/>
        <v>22323.7965623741</v>
      </c>
      <c r="P143" s="380">
        <f t="shared" si="24"/>
        <v>22323.7965623741</v>
      </c>
      <c r="T143" t="str">
        <f t="shared" si="27"/>
        <v>\I:Trd_car_lpg_38</v>
      </c>
      <c r="U143" t="str">
        <f ca="1" t="shared" si="28"/>
        <v>ICE medium size LPG car -- 38%</v>
      </c>
      <c r="V143" s="383" t="s">
        <v>84</v>
      </c>
      <c r="W143" s="383" t="s">
        <v>85</v>
      </c>
    </row>
    <row r="144" spans="2:23">
      <c r="B144" s="85">
        <v>0.433623958941972</v>
      </c>
      <c r="C144" s="86">
        <v>55253.2530564757</v>
      </c>
      <c r="D144" s="86">
        <v>24136.7106961166</v>
      </c>
      <c r="E144" s="86">
        <v>24136.7106961166</v>
      </c>
      <c r="F144" s="86">
        <v>24136.7106961166</v>
      </c>
      <c r="I144" s="77">
        <f t="shared" si="30"/>
        <v>1.46278112587155</v>
      </c>
      <c r="J144" t="str">
        <f t="shared" si="18"/>
        <v>\I:Trd_car_lpg</v>
      </c>
      <c r="K144" t="str">
        <f t="shared" si="19"/>
        <v>\I:Trd_car_lpg_43</v>
      </c>
      <c r="L144" t="str">
        <f t="shared" si="20"/>
        <v>\I:Trd_</v>
      </c>
      <c r="M144" s="380">
        <f t="shared" si="21"/>
        <v>55253.2530564757</v>
      </c>
      <c r="N144" s="380">
        <f t="shared" si="22"/>
        <v>24136.7106961166</v>
      </c>
      <c r="O144" s="380">
        <f t="shared" si="23"/>
        <v>24136.7106961166</v>
      </c>
      <c r="P144" s="380">
        <f t="shared" si="24"/>
        <v>24136.7106961166</v>
      </c>
      <c r="T144" t="str">
        <f t="shared" si="27"/>
        <v>\I:Trd_car_lpg_43</v>
      </c>
      <c r="U144" t="str">
        <f ca="1" t="shared" si="28"/>
        <v>ICE medium size LPG car -- 43%</v>
      </c>
      <c r="V144" s="383" t="s">
        <v>84</v>
      </c>
      <c r="W144" s="383" t="s">
        <v>85</v>
      </c>
    </row>
    <row r="145" spans="2:23">
      <c r="B145" s="85">
        <v>0.483623958941972</v>
      </c>
      <c r="C145" s="86">
        <v>120431.5696</v>
      </c>
      <c r="D145" s="86">
        <v>42610.7550936037</v>
      </c>
      <c r="E145" s="86">
        <v>42610.7550936037</v>
      </c>
      <c r="F145" s="86">
        <v>42610.7550936037</v>
      </c>
      <c r="I145" s="77">
        <f t="shared" si="30"/>
        <v>1.51379803015624</v>
      </c>
      <c r="J145" t="str">
        <f t="shared" si="18"/>
        <v>\I:Trd_car_lpg</v>
      </c>
      <c r="K145" t="str">
        <f t="shared" si="19"/>
        <v>\I:Trd_car_lpg_48</v>
      </c>
      <c r="L145" t="str">
        <f t="shared" si="20"/>
        <v>\I:Trd_</v>
      </c>
      <c r="M145" s="380">
        <f t="shared" si="21"/>
        <v>120431.5696</v>
      </c>
      <c r="N145" s="380">
        <f t="shared" si="22"/>
        <v>42610.7550936037</v>
      </c>
      <c r="O145" s="380">
        <f t="shared" si="23"/>
        <v>42610.7550936037</v>
      </c>
      <c r="P145" s="380">
        <f t="shared" si="24"/>
        <v>42610.7550936037</v>
      </c>
      <c r="T145" t="str">
        <f t="shared" ref="T145:T176" si="31">K145</f>
        <v>\I:Trd_car_lpg_48</v>
      </c>
      <c r="U145" t="str">
        <f ca="1" t="shared" ref="U145:U176" si="32">OFFSET($S$1,MATCH(J145,$S$1:$S$11,0)-1,-1)&amp;" -- "&amp;TEXT(B145,"00%")</f>
        <v>ICE medium size LPG car -- 48%</v>
      </c>
      <c r="V145" s="383" t="s">
        <v>84</v>
      </c>
      <c r="W145" s="383" t="s">
        <v>85</v>
      </c>
    </row>
    <row r="146" spans="3:23">
      <c r="C146" s="97"/>
      <c r="D146" s="97"/>
      <c r="E146" s="97"/>
      <c r="F146" s="97"/>
      <c r="J146" t="str">
        <f t="shared" ref="J146:J199" si="33">IFERROR(VLOOKUP(C146,$R$1:$S$11,2,FALSE),J145)</f>
        <v>\I:Trd_car_lpg</v>
      </c>
      <c r="K146" t="str">
        <f t="shared" ref="K146:K199" si="34">IFERROR(IF(VALUE(C146)&gt;2020,J146&amp;"_"&amp;TEXT(B146*100,"00"),"\I:"),"\I:")</f>
        <v>\I:</v>
      </c>
      <c r="L146" t="str">
        <f t="shared" ref="L146:L199" si="35">LEFT(K146,7)</f>
        <v>\I:</v>
      </c>
      <c r="M146" s="380" t="str">
        <f t="shared" ref="M146:M199" si="36">IF($K146="\I:","",C146)</f>
        <v/>
      </c>
      <c r="N146" s="380" t="str">
        <f t="shared" ref="N146:N199" si="37">IF($K146="\I:","",D146)</f>
        <v/>
      </c>
      <c r="O146" s="380" t="str">
        <f t="shared" ref="O146:O199" si="38">IF($K146="\I:","",E146)</f>
        <v/>
      </c>
      <c r="P146" s="380" t="str">
        <f t="shared" ref="P146:P199" si="39">IF($K146="\I:","",F146)</f>
        <v/>
      </c>
      <c r="T146" t="str">
        <f t="shared" si="31"/>
        <v>\I:</v>
      </c>
      <c r="U146" t="str">
        <f ca="1" t="shared" si="32"/>
        <v>ICE medium size LPG car -- 00%</v>
      </c>
      <c r="V146" s="383" t="s">
        <v>84</v>
      </c>
      <c r="W146" s="383" t="s">
        <v>85</v>
      </c>
    </row>
    <row r="147" spans="10:23">
      <c r="J147" t="str">
        <f t="shared" si="33"/>
        <v>\I:Trd_car_lpg</v>
      </c>
      <c r="K147" t="str">
        <f t="shared" si="34"/>
        <v>\I:</v>
      </c>
      <c r="L147" t="str">
        <f t="shared" si="35"/>
        <v>\I:</v>
      </c>
      <c r="M147" s="380" t="str">
        <f t="shared" si="36"/>
        <v/>
      </c>
      <c r="N147" s="380" t="str">
        <f t="shared" si="37"/>
        <v/>
      </c>
      <c r="O147" s="380" t="str">
        <f t="shared" si="38"/>
        <v/>
      </c>
      <c r="P147" s="380" t="str">
        <f t="shared" si="39"/>
        <v/>
      </c>
      <c r="T147" t="str">
        <f t="shared" si="31"/>
        <v>\I:</v>
      </c>
      <c r="U147" t="str">
        <f ca="1" t="shared" si="32"/>
        <v>ICE medium size LPG car -- 00%</v>
      </c>
      <c r="V147" s="383" t="s">
        <v>84</v>
      </c>
      <c r="W147" s="383" t="s">
        <v>85</v>
      </c>
    </row>
    <row r="148" spans="10:23">
      <c r="J148" t="str">
        <f t="shared" si="33"/>
        <v>\I:Trd_car_lpg</v>
      </c>
      <c r="K148" t="str">
        <f t="shared" si="34"/>
        <v>\I:</v>
      </c>
      <c r="L148" t="str">
        <f t="shared" si="35"/>
        <v>\I:</v>
      </c>
      <c r="M148" s="380" t="str">
        <f t="shared" si="36"/>
        <v/>
      </c>
      <c r="N148" s="380" t="str">
        <f t="shared" si="37"/>
        <v/>
      </c>
      <c r="O148" s="380" t="str">
        <f t="shared" si="38"/>
        <v/>
      </c>
      <c r="P148" s="380" t="str">
        <f t="shared" si="39"/>
        <v/>
      </c>
      <c r="T148" t="str">
        <f t="shared" si="31"/>
        <v>\I:</v>
      </c>
      <c r="U148" t="str">
        <f ca="1" t="shared" si="32"/>
        <v>ICE medium size LPG car -- 00%</v>
      </c>
      <c r="V148" s="383" t="s">
        <v>84</v>
      </c>
      <c r="W148" s="383" t="s">
        <v>85</v>
      </c>
    </row>
    <row r="149" spans="10:23">
      <c r="J149" t="str">
        <f t="shared" si="33"/>
        <v>\I:Trd_car_lpg</v>
      </c>
      <c r="K149" t="str">
        <f t="shared" si="34"/>
        <v>\I:</v>
      </c>
      <c r="L149" t="str">
        <f t="shared" si="35"/>
        <v>\I:</v>
      </c>
      <c r="M149" s="380" t="str">
        <f t="shared" si="36"/>
        <v/>
      </c>
      <c r="N149" s="380" t="str">
        <f t="shared" si="37"/>
        <v/>
      </c>
      <c r="O149" s="380" t="str">
        <f t="shared" si="38"/>
        <v/>
      </c>
      <c r="P149" s="380" t="str">
        <f t="shared" si="39"/>
        <v/>
      </c>
      <c r="T149" t="str">
        <f t="shared" si="31"/>
        <v>\I:</v>
      </c>
      <c r="U149" t="str">
        <f ca="1" t="shared" si="32"/>
        <v>ICE medium size LPG car -- 00%</v>
      </c>
      <c r="V149" s="383" t="s">
        <v>84</v>
      </c>
      <c r="W149" s="383" t="s">
        <v>85</v>
      </c>
    </row>
    <row r="150" spans="10:23">
      <c r="J150" t="str">
        <f t="shared" si="33"/>
        <v>\I:Trd_car_lpg</v>
      </c>
      <c r="K150" t="str">
        <f t="shared" si="34"/>
        <v>\I:</v>
      </c>
      <c r="L150" t="str">
        <f t="shared" si="35"/>
        <v>\I:</v>
      </c>
      <c r="M150" s="380" t="str">
        <f t="shared" si="36"/>
        <v/>
      </c>
      <c r="N150" s="380" t="str">
        <f t="shared" si="37"/>
        <v/>
      </c>
      <c r="O150" s="380" t="str">
        <f t="shared" si="38"/>
        <v/>
      </c>
      <c r="P150" s="380" t="str">
        <f t="shared" si="39"/>
        <v/>
      </c>
      <c r="T150" t="str">
        <f t="shared" si="31"/>
        <v>\I:</v>
      </c>
      <c r="U150" t="str">
        <f ca="1" t="shared" si="32"/>
        <v>ICE medium size LPG car -- 00%</v>
      </c>
      <c r="V150" s="383" t="s">
        <v>84</v>
      </c>
      <c r="W150" s="383" t="s">
        <v>85</v>
      </c>
    </row>
    <row r="151" spans="2:23">
      <c r="B151" s="43" t="s">
        <v>92</v>
      </c>
      <c r="J151" t="str">
        <f t="shared" si="33"/>
        <v>\I:Trd_car_lpg</v>
      </c>
      <c r="K151" t="str">
        <f t="shared" si="34"/>
        <v>\I:</v>
      </c>
      <c r="L151" t="str">
        <f t="shared" si="35"/>
        <v>\I:</v>
      </c>
      <c r="M151" s="380" t="str">
        <f t="shared" si="36"/>
        <v/>
      </c>
      <c r="N151" s="380" t="str">
        <f t="shared" si="37"/>
        <v/>
      </c>
      <c r="O151" s="380" t="str">
        <f t="shared" si="38"/>
        <v/>
      </c>
      <c r="P151" s="380" t="str">
        <f t="shared" si="39"/>
        <v/>
      </c>
      <c r="T151" t="str">
        <f t="shared" si="31"/>
        <v>\I:</v>
      </c>
      <c r="U151" t="str">
        <f ca="1" t="shared" si="32"/>
        <v>ICE medium size LPG car -- Reference values for medium size E85 flex fuel</v>
      </c>
      <c r="V151" s="383" t="s">
        <v>84</v>
      </c>
      <c r="W151" s="383" t="s">
        <v>85</v>
      </c>
    </row>
    <row r="152" spans="2:23">
      <c r="B152" s="372">
        <v>2015</v>
      </c>
      <c r="C152" s="372"/>
      <c r="D152" s="372"/>
      <c r="J152" t="str">
        <f t="shared" si="33"/>
        <v>\I:Trd_car_lpg</v>
      </c>
      <c r="K152" t="str">
        <f t="shared" si="34"/>
        <v>\I:</v>
      </c>
      <c r="L152" t="str">
        <f t="shared" si="35"/>
        <v>\I:</v>
      </c>
      <c r="M152" s="380" t="str">
        <f t="shared" si="36"/>
        <v/>
      </c>
      <c r="N152" s="380" t="str">
        <f t="shared" si="37"/>
        <v/>
      </c>
      <c r="O152" s="380" t="str">
        <f t="shared" si="38"/>
        <v/>
      </c>
      <c r="P152" s="380" t="str">
        <f t="shared" si="39"/>
        <v/>
      </c>
      <c r="T152" t="str">
        <f t="shared" si="31"/>
        <v>\I:</v>
      </c>
      <c r="U152" t="str">
        <f ca="1" t="shared" si="32"/>
        <v>ICE medium size LPG car -- 201500%</v>
      </c>
      <c r="V152" s="383" t="s">
        <v>84</v>
      </c>
      <c r="W152" s="383" t="s">
        <v>85</v>
      </c>
    </row>
    <row r="153" spans="2:23">
      <c r="B153" s="45" t="s">
        <v>12</v>
      </c>
      <c r="C153" s="46" t="s">
        <v>13</v>
      </c>
      <c r="D153" s="47">
        <v>9.2</v>
      </c>
      <c r="J153" t="str">
        <f t="shared" si="33"/>
        <v>\I:Trd_car_lpg</v>
      </c>
      <c r="K153" t="str">
        <f t="shared" si="34"/>
        <v>\I:</v>
      </c>
      <c r="L153" t="str">
        <f t="shared" si="35"/>
        <v>\I:</v>
      </c>
      <c r="M153" s="380" t="str">
        <f t="shared" si="36"/>
        <v/>
      </c>
      <c r="N153" s="380" t="str">
        <f t="shared" si="37"/>
        <v/>
      </c>
      <c r="O153" s="380" t="str">
        <f t="shared" si="38"/>
        <v/>
      </c>
      <c r="P153" s="380" t="str">
        <f t="shared" si="39"/>
        <v/>
      </c>
      <c r="T153" t="str">
        <f t="shared" si="31"/>
        <v>\I:</v>
      </c>
      <c r="U153" t="str">
        <f ca="1" t="shared" si="32"/>
        <v>ICE medium size LPG car -- Energy consumption</v>
      </c>
      <c r="V153" s="383" t="s">
        <v>84</v>
      </c>
      <c r="W153" s="383" t="s">
        <v>85</v>
      </c>
    </row>
    <row r="154" spans="2:23">
      <c r="B154" s="45" t="s">
        <v>14</v>
      </c>
      <c r="C154" s="46" t="s">
        <v>15</v>
      </c>
      <c r="D154" s="68">
        <v>19587.048</v>
      </c>
      <c r="J154" t="str">
        <f t="shared" si="33"/>
        <v>\I:Trd_car_lpg</v>
      </c>
      <c r="K154" t="str">
        <f t="shared" si="34"/>
        <v>\I:</v>
      </c>
      <c r="L154" t="str">
        <f t="shared" si="35"/>
        <v>\I:</v>
      </c>
      <c r="M154" s="380" t="str">
        <f t="shared" si="36"/>
        <v/>
      </c>
      <c r="N154" s="380" t="str">
        <f t="shared" si="37"/>
        <v/>
      </c>
      <c r="O154" s="380" t="str">
        <f t="shared" si="38"/>
        <v/>
      </c>
      <c r="P154" s="380" t="str">
        <f t="shared" si="39"/>
        <v/>
      </c>
      <c r="T154" t="str">
        <f t="shared" si="31"/>
        <v>\I:</v>
      </c>
      <c r="U154" t="str">
        <f ca="1" t="shared" si="32"/>
        <v>ICE medium size LPG car -- Capital cost</v>
      </c>
      <c r="V154" s="383" t="s">
        <v>84</v>
      </c>
      <c r="W154" s="383" t="s">
        <v>85</v>
      </c>
    </row>
    <row r="155" spans="10:23">
      <c r="J155" t="str">
        <f t="shared" si="33"/>
        <v>\I:Trd_car_lpg</v>
      </c>
      <c r="K155" t="str">
        <f t="shared" si="34"/>
        <v>\I:</v>
      </c>
      <c r="L155" t="str">
        <f t="shared" si="35"/>
        <v>\I:</v>
      </c>
      <c r="M155" s="380" t="str">
        <f t="shared" si="36"/>
        <v/>
      </c>
      <c r="N155" s="380" t="str">
        <f t="shared" si="37"/>
        <v/>
      </c>
      <c r="O155" s="380" t="str">
        <f t="shared" si="38"/>
        <v/>
      </c>
      <c r="P155" s="380" t="str">
        <f t="shared" si="39"/>
        <v/>
      </c>
      <c r="T155" t="str">
        <f t="shared" si="31"/>
        <v>\I:</v>
      </c>
      <c r="U155" t="str">
        <f ca="1" t="shared" si="32"/>
        <v>ICE medium size LPG car -- 00%</v>
      </c>
      <c r="V155" s="383" t="s">
        <v>84</v>
      </c>
      <c r="W155" s="383" t="s">
        <v>85</v>
      </c>
    </row>
    <row r="156" ht="15" customHeight="1" spans="2:23">
      <c r="B156" s="374" t="s">
        <v>93</v>
      </c>
      <c r="C156" s="374" t="s">
        <v>64</v>
      </c>
      <c r="D156" s="374"/>
      <c r="E156" s="374"/>
      <c r="F156" s="374"/>
      <c r="J156" t="str">
        <f t="shared" si="33"/>
        <v>\I:Trd_car_E85</v>
      </c>
      <c r="K156" t="str">
        <f t="shared" si="34"/>
        <v>\I:</v>
      </c>
      <c r="L156" t="str">
        <f t="shared" si="35"/>
        <v>\I:</v>
      </c>
      <c r="M156" s="380" t="str">
        <f t="shared" si="36"/>
        <v/>
      </c>
      <c r="N156" s="380" t="str">
        <f t="shared" si="37"/>
        <v/>
      </c>
      <c r="O156" s="380" t="str">
        <f t="shared" si="38"/>
        <v/>
      </c>
      <c r="P156" s="380" t="str">
        <f t="shared" si="39"/>
        <v/>
      </c>
      <c r="T156" t="str">
        <f t="shared" si="31"/>
        <v>\I:</v>
      </c>
      <c r="U156" t="str">
        <f ca="1" t="shared" si="32"/>
        <v>ICE medium size E85 flex-fuel car -- Reduction of specific energy consumption relative to 2015 E85 vehicle (%)</v>
      </c>
      <c r="V156" s="383" t="s">
        <v>84</v>
      </c>
      <c r="W156" s="383" t="s">
        <v>85</v>
      </c>
    </row>
    <row r="157" spans="2:23">
      <c r="B157" s="374"/>
      <c r="C157" s="374"/>
      <c r="D157" s="374"/>
      <c r="E157" s="374"/>
      <c r="F157" s="374"/>
      <c r="J157" t="str">
        <f t="shared" si="33"/>
        <v>\I:Trd_car_E85</v>
      </c>
      <c r="K157" t="str">
        <f t="shared" si="34"/>
        <v>\I:</v>
      </c>
      <c r="L157" t="str">
        <f t="shared" si="35"/>
        <v>\I:</v>
      </c>
      <c r="M157" s="380" t="str">
        <f t="shared" si="36"/>
        <v/>
      </c>
      <c r="N157" s="380" t="str">
        <f t="shared" si="37"/>
        <v/>
      </c>
      <c r="O157" s="380" t="str">
        <f t="shared" si="38"/>
        <v/>
      </c>
      <c r="P157" s="380" t="str">
        <f t="shared" si="39"/>
        <v/>
      </c>
      <c r="T157" t="str">
        <f t="shared" si="31"/>
        <v>\I:</v>
      </c>
      <c r="U157" t="str">
        <f ca="1" t="shared" si="32"/>
        <v>ICE medium size E85 flex-fuel car -- 00%</v>
      </c>
      <c r="V157" s="383" t="s">
        <v>84</v>
      </c>
      <c r="W157" s="383" t="s">
        <v>85</v>
      </c>
    </row>
    <row r="158" spans="2:23">
      <c r="B158" s="374"/>
      <c r="C158" s="374"/>
      <c r="D158" s="374"/>
      <c r="E158" s="374"/>
      <c r="F158" s="374"/>
      <c r="J158" t="str">
        <f t="shared" si="33"/>
        <v>\I:Trd_car_E85</v>
      </c>
      <c r="K158" t="str">
        <f t="shared" si="34"/>
        <v>\I:</v>
      </c>
      <c r="L158" t="str">
        <f t="shared" si="35"/>
        <v>\I:</v>
      </c>
      <c r="M158" s="380" t="str">
        <f t="shared" si="36"/>
        <v/>
      </c>
      <c r="N158" s="380" t="str">
        <f t="shared" si="37"/>
        <v/>
      </c>
      <c r="O158" s="380" t="str">
        <f t="shared" si="38"/>
        <v/>
      </c>
      <c r="P158" s="380" t="str">
        <f t="shared" si="39"/>
        <v/>
      </c>
      <c r="T158" t="str">
        <f t="shared" si="31"/>
        <v>\I:</v>
      </c>
      <c r="U158" t="str">
        <f ca="1" t="shared" si="32"/>
        <v>ICE medium size E85 flex-fuel car -- 00%</v>
      </c>
      <c r="V158" s="383" t="s">
        <v>84</v>
      </c>
      <c r="W158" s="383" t="s">
        <v>85</v>
      </c>
    </row>
    <row r="159" spans="2:23">
      <c r="B159" s="88"/>
      <c r="C159" s="50">
        <v>2020</v>
      </c>
      <c r="D159" s="50">
        <v>2030</v>
      </c>
      <c r="E159" s="50">
        <v>2040</v>
      </c>
      <c r="F159" s="50">
        <v>2050</v>
      </c>
      <c r="J159" t="str">
        <f t="shared" si="33"/>
        <v>\I:Trd_car_E85</v>
      </c>
      <c r="K159" t="str">
        <f t="shared" si="34"/>
        <v>\I:</v>
      </c>
      <c r="L159" t="str">
        <f t="shared" si="35"/>
        <v>\I:</v>
      </c>
      <c r="M159" s="380" t="str">
        <f t="shared" si="36"/>
        <v/>
      </c>
      <c r="N159" s="380" t="str">
        <f t="shared" si="37"/>
        <v/>
      </c>
      <c r="O159" s="380" t="str">
        <f t="shared" si="38"/>
        <v/>
      </c>
      <c r="P159" s="380" t="str">
        <f t="shared" si="39"/>
        <v/>
      </c>
      <c r="T159" t="str">
        <f t="shared" si="31"/>
        <v>\I:</v>
      </c>
      <c r="U159" t="str">
        <f ca="1" t="shared" si="32"/>
        <v>ICE medium size E85 flex-fuel car -- 00%</v>
      </c>
      <c r="V159" s="383" t="s">
        <v>84</v>
      </c>
      <c r="W159" s="383" t="s">
        <v>85</v>
      </c>
    </row>
    <row r="160" spans="2:23">
      <c r="B160" s="85">
        <v>0.133623958941972</v>
      </c>
      <c r="C160" s="86">
        <v>19851.2688184151</v>
      </c>
      <c r="D160" s="86">
        <v>19657.8934601988</v>
      </c>
      <c r="E160" s="86">
        <v>19657.8934601988</v>
      </c>
      <c r="F160" s="86">
        <v>19657.8934601988</v>
      </c>
      <c r="I160" s="77"/>
      <c r="J160" t="str">
        <f t="shared" si="33"/>
        <v>\I:Trd_car_E85</v>
      </c>
      <c r="K160" t="str">
        <f t="shared" si="34"/>
        <v>\I:Trd_car_E85_13</v>
      </c>
      <c r="L160" t="str">
        <f t="shared" si="35"/>
        <v>\I:Trd_</v>
      </c>
      <c r="M160" s="380">
        <f t="shared" si="36"/>
        <v>19851.2688184151</v>
      </c>
      <c r="N160" s="380">
        <f t="shared" si="37"/>
        <v>19657.8934601988</v>
      </c>
      <c r="O160" s="380">
        <f t="shared" si="38"/>
        <v>19657.8934601988</v>
      </c>
      <c r="P160" s="380">
        <f t="shared" si="39"/>
        <v>19657.8934601988</v>
      </c>
      <c r="T160" t="str">
        <f t="shared" si="31"/>
        <v>\I:Trd_car_E85_13</v>
      </c>
      <c r="U160" t="str">
        <f ca="1" t="shared" si="32"/>
        <v>ICE medium size E85 flex-fuel car -- 13%</v>
      </c>
      <c r="V160" s="383" t="s">
        <v>84</v>
      </c>
      <c r="W160" s="383" t="s">
        <v>85</v>
      </c>
    </row>
    <row r="161" spans="2:23">
      <c r="B161" s="85">
        <v>0.233623958941972</v>
      </c>
      <c r="C161" s="86">
        <v>20667.1160508183</v>
      </c>
      <c r="D161" s="86">
        <v>19918.845962835</v>
      </c>
      <c r="E161" s="86">
        <v>19918.845962835</v>
      </c>
      <c r="F161" s="86">
        <v>19918.845962835</v>
      </c>
      <c r="I161" s="77"/>
      <c r="J161" t="str">
        <f t="shared" si="33"/>
        <v>\I:Trd_car_E85</v>
      </c>
      <c r="K161" t="str">
        <f t="shared" si="34"/>
        <v>\I:Trd_car_E85_23</v>
      </c>
      <c r="L161" t="str">
        <f t="shared" si="35"/>
        <v>\I:Trd_</v>
      </c>
      <c r="M161" s="380">
        <f t="shared" si="36"/>
        <v>20667.1160508183</v>
      </c>
      <c r="N161" s="380">
        <f t="shared" si="37"/>
        <v>19918.845962835</v>
      </c>
      <c r="O161" s="380">
        <f t="shared" si="38"/>
        <v>19918.845962835</v>
      </c>
      <c r="P161" s="380">
        <f t="shared" si="39"/>
        <v>19918.845962835</v>
      </c>
      <c r="T161" t="str">
        <f t="shared" si="31"/>
        <v>\I:Trd_car_E85_23</v>
      </c>
      <c r="U161" t="str">
        <f ca="1" t="shared" si="32"/>
        <v>ICE medium size E85 flex-fuel car -- 23%</v>
      </c>
      <c r="V161" s="383" t="s">
        <v>84</v>
      </c>
      <c r="W161" s="383" t="s">
        <v>85</v>
      </c>
    </row>
    <row r="162" spans="2:23">
      <c r="B162" s="85">
        <v>0.333623958941972</v>
      </c>
      <c r="C162" s="86">
        <v>22430.2635818993</v>
      </c>
      <c r="D162" s="86">
        <v>20550.1451770178</v>
      </c>
      <c r="E162" s="86">
        <v>20550.1451770178</v>
      </c>
      <c r="F162" s="86">
        <v>20550.1451770178</v>
      </c>
      <c r="I162" s="77"/>
      <c r="J162" t="str">
        <f t="shared" si="33"/>
        <v>\I:Trd_car_E85</v>
      </c>
      <c r="K162" t="str">
        <f t="shared" si="34"/>
        <v>\I:Trd_car_E85_33</v>
      </c>
      <c r="L162" t="str">
        <f t="shared" si="35"/>
        <v>\I:Trd_</v>
      </c>
      <c r="M162" s="380">
        <f t="shared" si="36"/>
        <v>22430.2635818993</v>
      </c>
      <c r="N162" s="380">
        <f t="shared" si="37"/>
        <v>20550.1451770178</v>
      </c>
      <c r="O162" s="380">
        <f t="shared" si="38"/>
        <v>20550.1451770178</v>
      </c>
      <c r="P162" s="380">
        <f t="shared" si="39"/>
        <v>20550.1451770178</v>
      </c>
      <c r="T162" t="str">
        <f t="shared" si="31"/>
        <v>\I:Trd_car_E85_33</v>
      </c>
      <c r="U162" t="str">
        <f ca="1" t="shared" si="32"/>
        <v>ICE medium size E85 flex-fuel car -- 33%</v>
      </c>
      <c r="V162" s="383" t="s">
        <v>84</v>
      </c>
      <c r="W162" s="383" t="s">
        <v>85</v>
      </c>
    </row>
    <row r="163" spans="2:23">
      <c r="B163" s="85">
        <v>0.383623958941972</v>
      </c>
      <c r="C163" s="86">
        <v>24943.5882135329</v>
      </c>
      <c r="D163" s="86">
        <v>21283.2868906618</v>
      </c>
      <c r="E163" s="86">
        <v>21283.2868906618</v>
      </c>
      <c r="F163" s="86">
        <v>21283.2868906618</v>
      </c>
      <c r="I163" s="77"/>
      <c r="J163" t="str">
        <f t="shared" si="33"/>
        <v>\I:Trd_car_E85</v>
      </c>
      <c r="K163" t="str">
        <f t="shared" si="34"/>
        <v>\I:Trd_car_E85_38</v>
      </c>
      <c r="L163" t="str">
        <f t="shared" si="35"/>
        <v>\I:Trd_</v>
      </c>
      <c r="M163" s="380">
        <f t="shared" si="36"/>
        <v>24943.5882135329</v>
      </c>
      <c r="N163" s="380">
        <f t="shared" si="37"/>
        <v>21283.2868906618</v>
      </c>
      <c r="O163" s="380">
        <f t="shared" si="38"/>
        <v>21283.2868906618</v>
      </c>
      <c r="P163" s="380">
        <f t="shared" si="39"/>
        <v>21283.2868906618</v>
      </c>
      <c r="T163" t="str">
        <f t="shared" si="31"/>
        <v>\I:Trd_car_E85_38</v>
      </c>
      <c r="U163" t="str">
        <f ca="1" t="shared" si="32"/>
        <v>ICE medium size E85 flex-fuel car -- 38%</v>
      </c>
      <c r="V163" s="383" t="s">
        <v>84</v>
      </c>
      <c r="W163" s="383" t="s">
        <v>85</v>
      </c>
    </row>
    <row r="164" ht="15" customHeight="1" spans="2:23">
      <c r="B164" s="85">
        <v>0.433623958941972</v>
      </c>
      <c r="C164" s="86">
        <v>54212.7433847634</v>
      </c>
      <c r="D164" s="86">
        <v>23096.2010244043</v>
      </c>
      <c r="E164" s="86">
        <v>23096.2010244043</v>
      </c>
      <c r="F164" s="86">
        <v>23096.2010244043</v>
      </c>
      <c r="I164" s="77"/>
      <c r="J164" t="str">
        <f t="shared" si="33"/>
        <v>\I:Trd_car_E85</v>
      </c>
      <c r="K164" t="str">
        <f t="shared" si="34"/>
        <v>\I:Trd_car_E85_43</v>
      </c>
      <c r="L164" t="str">
        <f t="shared" si="35"/>
        <v>\I:Trd_</v>
      </c>
      <c r="M164" s="380">
        <f t="shared" si="36"/>
        <v>54212.7433847634</v>
      </c>
      <c r="N164" s="380">
        <f t="shared" si="37"/>
        <v>23096.2010244043</v>
      </c>
      <c r="O164" s="380">
        <f t="shared" si="38"/>
        <v>23096.2010244043</v>
      </c>
      <c r="P164" s="380">
        <f t="shared" si="39"/>
        <v>23096.2010244043</v>
      </c>
      <c r="T164" t="str">
        <f t="shared" si="31"/>
        <v>\I:Trd_car_E85_43</v>
      </c>
      <c r="U164" t="str">
        <f ca="1" t="shared" si="32"/>
        <v>ICE medium size E85 flex-fuel car -- 43%</v>
      </c>
      <c r="V164" s="383" t="s">
        <v>84</v>
      </c>
      <c r="W164" s="383" t="s">
        <v>85</v>
      </c>
    </row>
    <row r="165" spans="2:23">
      <c r="B165" s="85">
        <v>0.483623958941972</v>
      </c>
      <c r="C165" s="86">
        <v>119391.059928288</v>
      </c>
      <c r="D165" s="86">
        <v>41570.2454218915</v>
      </c>
      <c r="E165" s="86">
        <v>41570.2454218915</v>
      </c>
      <c r="F165" s="86">
        <v>41570.2454218915</v>
      </c>
      <c r="I165" s="77"/>
      <c r="J165" t="str">
        <f t="shared" si="33"/>
        <v>\I:Trd_car_E85</v>
      </c>
      <c r="K165" t="str">
        <f t="shared" si="34"/>
        <v>\I:Trd_car_E85_48</v>
      </c>
      <c r="L165" t="str">
        <f t="shared" si="35"/>
        <v>\I:Trd_</v>
      </c>
      <c r="M165" s="380">
        <f t="shared" si="36"/>
        <v>119391.059928288</v>
      </c>
      <c r="N165" s="380">
        <f t="shared" si="37"/>
        <v>41570.2454218915</v>
      </c>
      <c r="O165" s="380">
        <f t="shared" si="38"/>
        <v>41570.2454218915</v>
      </c>
      <c r="P165" s="380">
        <f t="shared" si="39"/>
        <v>41570.2454218915</v>
      </c>
      <c r="T165" t="str">
        <f t="shared" si="31"/>
        <v>\I:Trd_car_E85_48</v>
      </c>
      <c r="U165" t="str">
        <f ca="1" t="shared" si="32"/>
        <v>ICE medium size E85 flex-fuel car -- 48%</v>
      </c>
      <c r="V165" s="383" t="s">
        <v>84</v>
      </c>
      <c r="W165" s="383" t="s">
        <v>85</v>
      </c>
    </row>
    <row r="166" spans="3:23">
      <c r="C166" s="97"/>
      <c r="D166" s="97"/>
      <c r="E166" s="97"/>
      <c r="F166" s="97"/>
      <c r="J166" t="str">
        <f t="shared" si="33"/>
        <v>\I:Trd_car_E85</v>
      </c>
      <c r="K166" t="str">
        <f t="shared" si="34"/>
        <v>\I:</v>
      </c>
      <c r="L166" t="str">
        <f t="shared" si="35"/>
        <v>\I:</v>
      </c>
      <c r="M166" s="380" t="str">
        <f t="shared" si="36"/>
        <v/>
      </c>
      <c r="N166" s="380" t="str">
        <f t="shared" si="37"/>
        <v/>
      </c>
      <c r="O166" s="380" t="str">
        <f t="shared" si="38"/>
        <v/>
      </c>
      <c r="P166" s="380" t="str">
        <f t="shared" si="39"/>
        <v/>
      </c>
      <c r="T166" t="str">
        <f t="shared" si="31"/>
        <v>\I:</v>
      </c>
      <c r="U166" t="str">
        <f ca="1" t="shared" si="32"/>
        <v>ICE medium size E85 flex-fuel car -- 00%</v>
      </c>
      <c r="V166" s="383" t="s">
        <v>84</v>
      </c>
      <c r="W166" s="383" t="s">
        <v>85</v>
      </c>
    </row>
    <row r="167" spans="10:23">
      <c r="J167" t="str">
        <f t="shared" si="33"/>
        <v>\I:Trd_car_E85</v>
      </c>
      <c r="K167" t="str">
        <f t="shared" si="34"/>
        <v>\I:</v>
      </c>
      <c r="L167" t="str">
        <f t="shared" si="35"/>
        <v>\I:</v>
      </c>
      <c r="M167" s="380" t="str">
        <f t="shared" si="36"/>
        <v/>
      </c>
      <c r="N167" s="380" t="str">
        <f t="shared" si="37"/>
        <v/>
      </c>
      <c r="O167" s="380" t="str">
        <f t="shared" si="38"/>
        <v/>
      </c>
      <c r="P167" s="380" t="str">
        <f t="shared" si="39"/>
        <v/>
      </c>
      <c r="T167" t="str">
        <f t="shared" si="31"/>
        <v>\I:</v>
      </c>
      <c r="U167" t="str">
        <f ca="1" t="shared" si="32"/>
        <v>ICE medium size E85 flex-fuel car -- 00%</v>
      </c>
      <c r="V167" s="383" t="s">
        <v>84</v>
      </c>
      <c r="W167" s="383" t="s">
        <v>85</v>
      </c>
    </row>
    <row r="168" spans="10:23">
      <c r="J168" t="str">
        <f t="shared" si="33"/>
        <v>\I:Trd_car_E85</v>
      </c>
      <c r="K168" t="str">
        <f t="shared" si="34"/>
        <v>\I:</v>
      </c>
      <c r="L168" t="str">
        <f t="shared" si="35"/>
        <v>\I:</v>
      </c>
      <c r="M168" s="380" t="str">
        <f t="shared" si="36"/>
        <v/>
      </c>
      <c r="N168" s="380" t="str">
        <f t="shared" si="37"/>
        <v/>
      </c>
      <c r="O168" s="380" t="str">
        <f t="shared" si="38"/>
        <v/>
      </c>
      <c r="P168" s="380" t="str">
        <f t="shared" si="39"/>
        <v/>
      </c>
      <c r="T168" t="str">
        <f t="shared" si="31"/>
        <v>\I:</v>
      </c>
      <c r="U168" t="str">
        <f ca="1" t="shared" si="32"/>
        <v>ICE medium size E85 flex-fuel car -- 00%</v>
      </c>
      <c r="V168" s="383" t="s">
        <v>84</v>
      </c>
      <c r="W168" s="383" t="s">
        <v>85</v>
      </c>
    </row>
    <row r="169" spans="10:23">
      <c r="J169" t="str">
        <f t="shared" si="33"/>
        <v>\I:Trd_car_E85</v>
      </c>
      <c r="K169" t="str">
        <f t="shared" si="34"/>
        <v>\I:</v>
      </c>
      <c r="L169" t="str">
        <f t="shared" si="35"/>
        <v>\I:</v>
      </c>
      <c r="M169" s="380" t="str">
        <f t="shared" si="36"/>
        <v/>
      </c>
      <c r="N169" s="380" t="str">
        <f t="shared" si="37"/>
        <v/>
      </c>
      <c r="O169" s="380" t="str">
        <f t="shared" si="38"/>
        <v/>
      </c>
      <c r="P169" s="380" t="str">
        <f t="shared" si="39"/>
        <v/>
      </c>
      <c r="T169" t="str">
        <f t="shared" si="31"/>
        <v>\I:</v>
      </c>
      <c r="U169" t="str">
        <f ca="1" t="shared" si="32"/>
        <v>ICE medium size E85 flex-fuel car -- 00%</v>
      </c>
      <c r="V169" s="383" t="s">
        <v>84</v>
      </c>
      <c r="W169" s="383" t="s">
        <v>85</v>
      </c>
    </row>
    <row r="170" ht="15" customHeight="1" spans="2:23">
      <c r="B170" s="372">
        <v>2020</v>
      </c>
      <c r="C170" s="372"/>
      <c r="D170" s="372"/>
      <c r="J170" t="str">
        <f t="shared" si="33"/>
        <v>\I:Trd_car_E85</v>
      </c>
      <c r="K170" t="str">
        <f t="shared" si="34"/>
        <v>\I:</v>
      </c>
      <c r="L170" t="str">
        <f t="shared" si="35"/>
        <v>\I:</v>
      </c>
      <c r="M170" s="380" t="str">
        <f t="shared" si="36"/>
        <v/>
      </c>
      <c r="N170" s="380" t="str">
        <f t="shared" si="37"/>
        <v/>
      </c>
      <c r="O170" s="380" t="str">
        <f t="shared" si="38"/>
        <v/>
      </c>
      <c r="P170" s="380" t="str">
        <f t="shared" si="39"/>
        <v/>
      </c>
      <c r="T170" t="str">
        <f t="shared" si="31"/>
        <v>\I:</v>
      </c>
      <c r="U170" t="str">
        <f ca="1" t="shared" si="32"/>
        <v>ICE medium size E85 flex-fuel car -- 202000%</v>
      </c>
      <c r="V170" s="383" t="s">
        <v>84</v>
      </c>
      <c r="W170" s="383" t="s">
        <v>85</v>
      </c>
    </row>
    <row r="171" spans="2:23">
      <c r="B171" s="45" t="s">
        <v>94</v>
      </c>
      <c r="C171" s="46" t="s">
        <v>26</v>
      </c>
      <c r="D171" s="74">
        <v>0.15</v>
      </c>
      <c r="G171" s="77">
        <f>D171/3.6/100*10^9/10^6</f>
        <v>0.416666666666667</v>
      </c>
      <c r="H171" s="77"/>
      <c r="I171" s="412">
        <f>1/G171-0.4</f>
        <v>2</v>
      </c>
      <c r="J171" t="str">
        <f t="shared" si="33"/>
        <v>\I:Trd_car_E85</v>
      </c>
      <c r="K171" t="str">
        <f t="shared" si="34"/>
        <v>\I:</v>
      </c>
      <c r="L171" t="str">
        <f t="shared" si="35"/>
        <v>\I:</v>
      </c>
      <c r="M171" s="380" t="str">
        <f t="shared" si="36"/>
        <v/>
      </c>
      <c r="N171" s="380" t="str">
        <f t="shared" si="37"/>
        <v/>
      </c>
      <c r="O171" s="380" t="str">
        <f t="shared" si="38"/>
        <v/>
      </c>
      <c r="P171" s="380" t="str">
        <f t="shared" si="39"/>
        <v/>
      </c>
      <c r="T171" t="str">
        <f t="shared" si="31"/>
        <v>\I:</v>
      </c>
      <c r="U171" t="str">
        <f ca="1" t="shared" si="32"/>
        <v>ICE medium size E85 flex-fuel car -- Energy consumption οf Medium size battery electric car</v>
      </c>
      <c r="V171" s="383" t="s">
        <v>84</v>
      </c>
      <c r="W171" s="383" t="s">
        <v>85</v>
      </c>
    </row>
    <row r="172" spans="9:23">
      <c r="I172" s="385" t="s">
        <v>70</v>
      </c>
      <c r="J172" t="str">
        <f t="shared" si="33"/>
        <v>\I:Trd_car_E85</v>
      </c>
      <c r="K172" t="str">
        <f t="shared" si="34"/>
        <v>\I:</v>
      </c>
      <c r="L172" t="str">
        <f t="shared" si="35"/>
        <v>\I:</v>
      </c>
      <c r="M172" s="380" t="str">
        <f t="shared" si="36"/>
        <v/>
      </c>
      <c r="N172" s="380" t="str">
        <f t="shared" si="37"/>
        <v/>
      </c>
      <c r="O172" s="380" t="str">
        <f t="shared" si="38"/>
        <v/>
      </c>
      <c r="P172" s="380" t="str">
        <f t="shared" si="39"/>
        <v/>
      </c>
      <c r="T172" t="str">
        <f t="shared" si="31"/>
        <v>\I:</v>
      </c>
      <c r="U172" t="str">
        <f ca="1" t="shared" si="32"/>
        <v>ICE medium size E85 flex-fuel car -- 00%</v>
      </c>
      <c r="V172" s="383" t="s">
        <v>84</v>
      </c>
      <c r="W172" s="383" t="s">
        <v>85</v>
      </c>
    </row>
    <row r="173" ht="15" customHeight="1" spans="2:23">
      <c r="B173" s="374" t="s">
        <v>27</v>
      </c>
      <c r="C173" s="374" t="s">
        <v>67</v>
      </c>
      <c r="D173" s="374"/>
      <c r="E173" s="374"/>
      <c r="F173" s="374"/>
      <c r="J173" t="str">
        <f t="shared" si="33"/>
        <v>Trd_car_elc</v>
      </c>
      <c r="K173" t="str">
        <f t="shared" si="34"/>
        <v>\I:</v>
      </c>
      <c r="L173" t="str">
        <f t="shared" si="35"/>
        <v>\I:</v>
      </c>
      <c r="M173" s="380" t="str">
        <f t="shared" si="36"/>
        <v/>
      </c>
      <c r="N173" s="380" t="str">
        <f t="shared" si="37"/>
        <v/>
      </c>
      <c r="O173" s="380" t="str">
        <f t="shared" si="38"/>
        <v/>
      </c>
      <c r="P173" s="380" t="str">
        <f t="shared" si="39"/>
        <v/>
      </c>
      <c r="T173" t="str">
        <f t="shared" si="31"/>
        <v>\I:</v>
      </c>
      <c r="U173" t="str">
        <f ca="1" t="shared" si="32"/>
        <v>Medium size battery electric car -- Electric range (km)</v>
      </c>
      <c r="V173" s="383" t="s">
        <v>84</v>
      </c>
      <c r="W173" s="383" t="s">
        <v>85</v>
      </c>
    </row>
    <row r="174" spans="2:23">
      <c r="B174" s="374"/>
      <c r="C174" s="374"/>
      <c r="D174" s="374"/>
      <c r="E174" s="374"/>
      <c r="F174" s="374"/>
      <c r="J174" t="str">
        <f t="shared" si="33"/>
        <v>Trd_car_elc</v>
      </c>
      <c r="K174" t="str">
        <f t="shared" si="34"/>
        <v>\I:</v>
      </c>
      <c r="L174" t="str">
        <f t="shared" si="35"/>
        <v>\I:</v>
      </c>
      <c r="M174" s="380" t="str">
        <f t="shared" si="36"/>
        <v/>
      </c>
      <c r="N174" s="380" t="str">
        <f t="shared" si="37"/>
        <v/>
      </c>
      <c r="O174" s="380" t="str">
        <f t="shared" si="38"/>
        <v/>
      </c>
      <c r="P174" s="380" t="str">
        <f t="shared" si="39"/>
        <v/>
      </c>
      <c r="T174" t="str">
        <f t="shared" si="31"/>
        <v>\I:</v>
      </c>
      <c r="U174" t="str">
        <f ca="1" t="shared" si="32"/>
        <v>Medium size battery electric car -- 00%</v>
      </c>
      <c r="V174" s="383" t="s">
        <v>84</v>
      </c>
      <c r="W174" s="383" t="s">
        <v>85</v>
      </c>
    </row>
    <row r="175" spans="2:23">
      <c r="B175" s="374"/>
      <c r="C175" s="374"/>
      <c r="D175" s="374"/>
      <c r="E175" s="374"/>
      <c r="F175" s="374"/>
      <c r="J175" t="str">
        <f t="shared" si="33"/>
        <v>Trd_car_elc</v>
      </c>
      <c r="K175" t="str">
        <f t="shared" si="34"/>
        <v>\I:</v>
      </c>
      <c r="L175" t="str">
        <f t="shared" si="35"/>
        <v>\I:</v>
      </c>
      <c r="M175" s="380" t="str">
        <f t="shared" si="36"/>
        <v/>
      </c>
      <c r="N175" s="380" t="str">
        <f t="shared" si="37"/>
        <v/>
      </c>
      <c r="O175" s="380" t="str">
        <f t="shared" si="38"/>
        <v/>
      </c>
      <c r="P175" s="380" t="str">
        <f t="shared" si="39"/>
        <v/>
      </c>
      <c r="T175" t="str">
        <f t="shared" si="31"/>
        <v>\I:</v>
      </c>
      <c r="U175" t="str">
        <f ca="1" t="shared" si="32"/>
        <v>Medium size battery electric car -- 00%</v>
      </c>
      <c r="V175" s="383" t="s">
        <v>84</v>
      </c>
      <c r="W175" s="383" t="s">
        <v>85</v>
      </c>
    </row>
    <row r="176" spans="2:23">
      <c r="B176" s="88"/>
      <c r="C176" s="50">
        <v>2020</v>
      </c>
      <c r="D176" s="50">
        <v>2030</v>
      </c>
      <c r="E176" s="50">
        <v>2040</v>
      </c>
      <c r="F176" s="50">
        <v>2050</v>
      </c>
      <c r="J176" t="str">
        <f t="shared" si="33"/>
        <v>Trd_car_elc</v>
      </c>
      <c r="K176" t="str">
        <f t="shared" si="34"/>
        <v>\I:</v>
      </c>
      <c r="L176" t="str">
        <f t="shared" si="35"/>
        <v>\I:</v>
      </c>
      <c r="M176" s="380" t="str">
        <f t="shared" si="36"/>
        <v/>
      </c>
      <c r="N176" s="380" t="str">
        <f t="shared" si="37"/>
        <v/>
      </c>
      <c r="O176" s="380" t="str">
        <f t="shared" si="38"/>
        <v/>
      </c>
      <c r="P176" s="380" t="str">
        <f t="shared" si="39"/>
        <v/>
      </c>
      <c r="T176" t="str">
        <f t="shared" si="31"/>
        <v>\I:</v>
      </c>
      <c r="U176" t="str">
        <f ca="1" t="shared" si="32"/>
        <v>Medium size battery electric car -- 00%</v>
      </c>
      <c r="V176" s="383" t="s">
        <v>84</v>
      </c>
      <c r="W176" s="383" t="s">
        <v>85</v>
      </c>
    </row>
    <row r="177" spans="2:23">
      <c r="B177" s="66">
        <v>120</v>
      </c>
      <c r="C177" s="86">
        <v>23157.6575819394</v>
      </c>
      <c r="D177" s="86">
        <v>20751.720805376</v>
      </c>
      <c r="E177" s="86">
        <v>20217.5262772825</v>
      </c>
      <c r="F177" s="86">
        <v>20032.534537058</v>
      </c>
      <c r="I177" s="386">
        <f>$I$171/$I$12</f>
        <v>4.29135863605588</v>
      </c>
      <c r="J177" t="str">
        <f t="shared" si="33"/>
        <v>Trd_car_elc</v>
      </c>
      <c r="K177" t="str">
        <f>IFERROR(IF(VALUE(C177)&gt;2020,J177&amp;"_"&amp;TEXT(B177,"000"),"\I:"),"\I:")</f>
        <v>Trd_car_elc_120</v>
      </c>
      <c r="L177" t="str">
        <f t="shared" si="35"/>
        <v>Trd_car</v>
      </c>
      <c r="M177" s="380">
        <f t="shared" si="36"/>
        <v>23157.6575819394</v>
      </c>
      <c r="N177" s="380">
        <f t="shared" si="37"/>
        <v>20751.720805376</v>
      </c>
      <c r="O177" s="380">
        <f t="shared" si="38"/>
        <v>20217.5262772825</v>
      </c>
      <c r="P177" s="380">
        <f t="shared" si="39"/>
        <v>20032.534537058</v>
      </c>
      <c r="Q177" s="43">
        <v>0.05</v>
      </c>
      <c r="T177" t="str">
        <f t="shared" ref="T177:T199" si="40">K177</f>
        <v>Trd_car_elc_120</v>
      </c>
      <c r="U177" t="str">
        <f ca="1" t="shared" ref="U177:U184" si="41">OFFSET($S$1,MATCH(J177,$S$1:$S$11,0)-1,-1)&amp;" -- "&amp;TEXT(B177,"000")</f>
        <v>Medium size battery electric car -- 120</v>
      </c>
      <c r="V177" s="383" t="s">
        <v>84</v>
      </c>
      <c r="W177" s="383" t="s">
        <v>85</v>
      </c>
    </row>
    <row r="178" spans="2:23">
      <c r="B178" s="66">
        <v>160</v>
      </c>
      <c r="C178" s="86">
        <v>24797.3390883531</v>
      </c>
      <c r="D178" s="86">
        <v>20898.3261358183</v>
      </c>
      <c r="E178" s="86">
        <v>20316.3084785431</v>
      </c>
      <c r="F178" s="86">
        <v>20114.7555730032</v>
      </c>
      <c r="I178" s="386">
        <f t="shared" ref="I178:I184" si="42">$I$171/$I$12</f>
        <v>4.29135863605588</v>
      </c>
      <c r="J178" t="str">
        <f t="shared" si="33"/>
        <v>Trd_car_elc</v>
      </c>
      <c r="K178" t="str">
        <f t="shared" ref="K178:K184" si="43">IFERROR(IF(VALUE(C178)&gt;2020,J178&amp;"_"&amp;TEXT(B178,"000"),"\I:"),"\I:")</f>
        <v>Trd_car_elc_160</v>
      </c>
      <c r="L178" t="str">
        <f t="shared" si="35"/>
        <v>Trd_car</v>
      </c>
      <c r="M178" s="380">
        <f t="shared" si="36"/>
        <v>24797.3390883531</v>
      </c>
      <c r="N178" s="380">
        <f t="shared" si="37"/>
        <v>20898.3261358183</v>
      </c>
      <c r="O178" s="380">
        <f t="shared" si="38"/>
        <v>20316.3084785431</v>
      </c>
      <c r="P178" s="380">
        <f t="shared" si="39"/>
        <v>20114.7555730032</v>
      </c>
      <c r="Q178" s="43">
        <v>0.075</v>
      </c>
      <c r="T178" t="str">
        <f t="shared" si="40"/>
        <v>Trd_car_elc_160</v>
      </c>
      <c r="U178" t="str">
        <f ca="1" t="shared" si="41"/>
        <v>Medium size battery electric car -- 160</v>
      </c>
      <c r="V178" s="383" t="s">
        <v>84</v>
      </c>
      <c r="W178" s="383" t="s">
        <v>85</v>
      </c>
    </row>
    <row r="179" spans="2:23">
      <c r="B179" s="66">
        <v>200</v>
      </c>
      <c r="C179" s="86">
        <v>26437.0205947667</v>
      </c>
      <c r="D179" s="86">
        <v>21188.417534353</v>
      </c>
      <c r="E179" s="86">
        <v>20511.7711321012</v>
      </c>
      <c r="F179" s="86">
        <v>20277.4482611501</v>
      </c>
      <c r="I179" s="386">
        <f t="shared" si="42"/>
        <v>4.29135863605588</v>
      </c>
      <c r="J179" t="str">
        <f t="shared" si="33"/>
        <v>Trd_car_elc</v>
      </c>
      <c r="K179" t="str">
        <f t="shared" si="43"/>
        <v>Trd_car_elc_200</v>
      </c>
      <c r="L179" t="str">
        <f t="shared" si="35"/>
        <v>Trd_car</v>
      </c>
      <c r="M179" s="380">
        <f t="shared" si="36"/>
        <v>26437.0205947667</v>
      </c>
      <c r="N179" s="380">
        <f t="shared" si="37"/>
        <v>21188.417534353</v>
      </c>
      <c r="O179" s="380">
        <f t="shared" si="38"/>
        <v>20511.7711321012</v>
      </c>
      <c r="P179" s="380">
        <f t="shared" si="39"/>
        <v>20277.4482611501</v>
      </c>
      <c r="Q179" s="43">
        <v>0.1</v>
      </c>
      <c r="T179" t="str">
        <f t="shared" si="40"/>
        <v>Trd_car_elc_200</v>
      </c>
      <c r="U179" t="str">
        <f ca="1" t="shared" si="41"/>
        <v>Medium size battery electric car -- 200</v>
      </c>
      <c r="V179" s="383" t="s">
        <v>84</v>
      </c>
      <c r="W179" s="383" t="s">
        <v>85</v>
      </c>
    </row>
    <row r="180" spans="2:23">
      <c r="B180" s="66">
        <v>250</v>
      </c>
      <c r="C180" s="86">
        <v>28564.0109499813</v>
      </c>
      <c r="D180" s="86">
        <v>21785.3315089368</v>
      </c>
      <c r="E180" s="86">
        <v>20913.9698529438</v>
      </c>
      <c r="F180" s="86">
        <v>20612.2170257811</v>
      </c>
      <c r="I180" s="386">
        <f t="shared" si="42"/>
        <v>4.29135863605588</v>
      </c>
      <c r="J180" t="str">
        <f t="shared" si="33"/>
        <v>Trd_car_elc</v>
      </c>
      <c r="K180" t="str">
        <f t="shared" si="43"/>
        <v>Trd_car_elc_250</v>
      </c>
      <c r="L180" t="str">
        <f t="shared" si="35"/>
        <v>Trd_car</v>
      </c>
      <c r="M180" s="380">
        <f t="shared" si="36"/>
        <v>28564.0109499813</v>
      </c>
      <c r="N180" s="380">
        <f t="shared" si="37"/>
        <v>21785.3315089368</v>
      </c>
      <c r="O180" s="380">
        <f t="shared" si="38"/>
        <v>20913.9698529438</v>
      </c>
      <c r="P180" s="380">
        <f t="shared" si="39"/>
        <v>20612.2170257811</v>
      </c>
      <c r="Q180" s="43">
        <v>0.125</v>
      </c>
      <c r="T180" t="str">
        <f t="shared" si="40"/>
        <v>Trd_car_elc_250</v>
      </c>
      <c r="U180" t="str">
        <f ca="1" t="shared" si="41"/>
        <v>Medium size battery electric car -- 250</v>
      </c>
      <c r="V180" s="383" t="s">
        <v>84</v>
      </c>
      <c r="W180" s="383" t="s">
        <v>85</v>
      </c>
    </row>
    <row r="181" spans="2:23">
      <c r="B181" s="66">
        <v>300</v>
      </c>
      <c r="C181" s="86">
        <v>30691.0013051959</v>
      </c>
      <c r="D181" s="86">
        <v>22382.2454835207</v>
      </c>
      <c r="E181" s="86">
        <v>21316.1685737864</v>
      </c>
      <c r="F181" s="86">
        <v>20946.985790412</v>
      </c>
      <c r="I181" s="386">
        <f t="shared" si="42"/>
        <v>4.29135863605588</v>
      </c>
      <c r="J181" t="str">
        <f t="shared" si="33"/>
        <v>Trd_car_elc</v>
      </c>
      <c r="K181" t="str">
        <f t="shared" si="43"/>
        <v>Trd_car_elc_300</v>
      </c>
      <c r="L181" t="str">
        <f t="shared" si="35"/>
        <v>Trd_car</v>
      </c>
      <c r="M181" s="380">
        <f t="shared" si="36"/>
        <v>30691.0013051959</v>
      </c>
      <c r="N181" s="380">
        <f t="shared" si="37"/>
        <v>22382.2454835207</v>
      </c>
      <c r="O181" s="380">
        <f t="shared" si="38"/>
        <v>21316.1685737864</v>
      </c>
      <c r="P181" s="380">
        <f t="shared" si="39"/>
        <v>20946.985790412</v>
      </c>
      <c r="Q181" s="43">
        <v>0.15</v>
      </c>
      <c r="T181" t="str">
        <f t="shared" si="40"/>
        <v>Trd_car_elc_300</v>
      </c>
      <c r="U181" t="str">
        <f ca="1" t="shared" si="41"/>
        <v>Medium size battery electric car -- 300</v>
      </c>
      <c r="V181" s="383" t="s">
        <v>84</v>
      </c>
      <c r="W181" s="383" t="s">
        <v>85</v>
      </c>
    </row>
    <row r="182" spans="2:23">
      <c r="B182" s="66">
        <v>350</v>
      </c>
      <c r="C182" s="86">
        <v>33572.5229819496</v>
      </c>
      <c r="D182" s="86">
        <v>23101.8629366229</v>
      </c>
      <c r="E182" s="86">
        <v>21722.7842202962</v>
      </c>
      <c r="F182" s="86">
        <v>21285.4309683989</v>
      </c>
      <c r="I182" s="386">
        <f t="shared" si="42"/>
        <v>4.29135863605588</v>
      </c>
      <c r="J182" t="str">
        <f t="shared" si="33"/>
        <v>Trd_car_elc</v>
      </c>
      <c r="K182" t="str">
        <f t="shared" si="43"/>
        <v>Trd_car_elc_350</v>
      </c>
      <c r="L182" t="str">
        <f t="shared" si="35"/>
        <v>Trd_car</v>
      </c>
      <c r="M182" s="380">
        <f t="shared" si="36"/>
        <v>33572.5229819496</v>
      </c>
      <c r="N182" s="380">
        <f t="shared" si="37"/>
        <v>23101.8629366229</v>
      </c>
      <c r="O182" s="380">
        <f t="shared" si="38"/>
        <v>21722.7842202962</v>
      </c>
      <c r="P182" s="380">
        <f t="shared" si="39"/>
        <v>21285.4309683989</v>
      </c>
      <c r="Q182" s="43">
        <v>0.175</v>
      </c>
      <c r="T182" t="str">
        <f t="shared" si="40"/>
        <v>Trd_car_elc_350</v>
      </c>
      <c r="U182" t="str">
        <f ca="1" t="shared" si="41"/>
        <v>Medium size battery electric car -- 350</v>
      </c>
      <c r="V182" s="383" t="s">
        <v>84</v>
      </c>
      <c r="W182" s="383" t="s">
        <v>85</v>
      </c>
    </row>
    <row r="183" spans="2:23">
      <c r="B183" s="66">
        <v>400</v>
      </c>
      <c r="C183" s="86">
        <v>36673.347231568</v>
      </c>
      <c r="D183" s="86">
        <v>23857.6885449144</v>
      </c>
      <c r="E183" s="86">
        <v>22129.399866806</v>
      </c>
      <c r="F183" s="86">
        <v>21623.8761463858</v>
      </c>
      <c r="I183" s="386">
        <f t="shared" si="42"/>
        <v>4.29135863605588</v>
      </c>
      <c r="J183" t="str">
        <f t="shared" si="33"/>
        <v>Trd_car_elc</v>
      </c>
      <c r="K183" t="str">
        <f t="shared" si="43"/>
        <v>Trd_car_elc_400</v>
      </c>
      <c r="L183" t="str">
        <f t="shared" si="35"/>
        <v>Trd_car</v>
      </c>
      <c r="M183" s="380">
        <f t="shared" si="36"/>
        <v>36673.347231568</v>
      </c>
      <c r="N183" s="380">
        <f t="shared" si="37"/>
        <v>23857.6885449144</v>
      </c>
      <c r="O183" s="380">
        <f t="shared" si="38"/>
        <v>22129.399866806</v>
      </c>
      <c r="P183" s="380">
        <f t="shared" si="39"/>
        <v>21623.8761463858</v>
      </c>
      <c r="Q183" s="43">
        <v>0.2</v>
      </c>
      <c r="T183" t="str">
        <f t="shared" si="40"/>
        <v>Trd_car_elc_400</v>
      </c>
      <c r="U183" t="str">
        <f ca="1" t="shared" si="41"/>
        <v>Medium size battery electric car -- 400</v>
      </c>
      <c r="V183" s="383" t="s">
        <v>84</v>
      </c>
      <c r="W183" s="383" t="s">
        <v>85</v>
      </c>
    </row>
    <row r="184" spans="2:23">
      <c r="B184" s="66">
        <v>500</v>
      </c>
      <c r="C184" s="86">
        <v>43532.903449399</v>
      </c>
      <c r="D184" s="86">
        <v>25648.4246597977</v>
      </c>
      <c r="E184" s="86">
        <v>23095.7720833501</v>
      </c>
      <c r="F184" s="86">
        <v>22300.7665023597</v>
      </c>
      <c r="I184" s="386">
        <f t="shared" si="42"/>
        <v>4.29135863605588</v>
      </c>
      <c r="J184" t="str">
        <f t="shared" si="33"/>
        <v>Trd_car_elc</v>
      </c>
      <c r="K184" t="str">
        <f t="shared" si="43"/>
        <v>Trd_car_elc_500</v>
      </c>
      <c r="L184" t="str">
        <f t="shared" si="35"/>
        <v>Trd_car</v>
      </c>
      <c r="M184" s="380">
        <f t="shared" si="36"/>
        <v>43532.903449399</v>
      </c>
      <c r="N184" s="380">
        <f t="shared" si="37"/>
        <v>25648.4246597977</v>
      </c>
      <c r="O184" s="380">
        <f t="shared" si="38"/>
        <v>23095.7720833501</v>
      </c>
      <c r="P184" s="380">
        <f t="shared" si="39"/>
        <v>22300.7665023597</v>
      </c>
      <c r="T184" t="str">
        <f t="shared" si="40"/>
        <v>Trd_car_elc_500</v>
      </c>
      <c r="U184" t="str">
        <f ca="1" t="shared" si="41"/>
        <v>Medium size battery electric car -- 500</v>
      </c>
      <c r="V184" s="383" t="s">
        <v>84</v>
      </c>
      <c r="W184" s="383" t="s">
        <v>85</v>
      </c>
    </row>
    <row r="185" spans="10:23">
      <c r="J185" t="str">
        <f t="shared" si="33"/>
        <v>Trd_car_elc</v>
      </c>
      <c r="K185" t="str">
        <f t="shared" si="34"/>
        <v>\I:</v>
      </c>
      <c r="L185" t="str">
        <f t="shared" si="35"/>
        <v>\I:</v>
      </c>
      <c r="M185" s="380" t="str">
        <f t="shared" si="36"/>
        <v/>
      </c>
      <c r="N185" s="380" t="str">
        <f t="shared" si="37"/>
        <v/>
      </c>
      <c r="O185" s="380" t="str">
        <f t="shared" si="38"/>
        <v/>
      </c>
      <c r="P185" s="380" t="str">
        <f t="shared" si="39"/>
        <v/>
      </c>
      <c r="T185" t="str">
        <f t="shared" si="40"/>
        <v>\I:</v>
      </c>
      <c r="U185" t="str">
        <f ca="1" t="shared" ref="U185:U191" si="44">OFFSET($S$1,MATCH(J185,$S$1:$S$11,0)-1,-1)&amp;" -- "&amp;TEXT(B185,"00%")</f>
        <v>Medium size battery electric car -- 00%</v>
      </c>
      <c r="V185" s="383" t="s">
        <v>84</v>
      </c>
      <c r="W185" s="383" t="s">
        <v>85</v>
      </c>
    </row>
    <row r="186" spans="10:23">
      <c r="J186" t="str">
        <f t="shared" si="33"/>
        <v>Trd_car_elc</v>
      </c>
      <c r="K186" t="str">
        <f t="shared" si="34"/>
        <v>\I:</v>
      </c>
      <c r="L186" t="str">
        <f t="shared" si="35"/>
        <v>\I:</v>
      </c>
      <c r="M186" s="380" t="str">
        <f t="shared" si="36"/>
        <v/>
      </c>
      <c r="N186" s="380" t="str">
        <f t="shared" si="37"/>
        <v/>
      </c>
      <c r="O186" s="380" t="str">
        <f t="shared" si="38"/>
        <v/>
      </c>
      <c r="P186" s="380" t="str">
        <f t="shared" si="39"/>
        <v/>
      </c>
      <c r="T186" t="str">
        <f t="shared" si="40"/>
        <v>\I:</v>
      </c>
      <c r="U186" t="str">
        <f ca="1" t="shared" si="44"/>
        <v>Medium size battery electric car -- 00%</v>
      </c>
      <c r="V186" s="383" t="s">
        <v>84</v>
      </c>
      <c r="W186" s="383" t="s">
        <v>85</v>
      </c>
    </row>
    <row r="187" spans="10:23">
      <c r="J187" t="str">
        <f t="shared" si="33"/>
        <v>Trd_car_elc</v>
      </c>
      <c r="K187" t="str">
        <f t="shared" si="34"/>
        <v>\I:</v>
      </c>
      <c r="L187" t="str">
        <f t="shared" si="35"/>
        <v>\I:</v>
      </c>
      <c r="M187" s="380" t="str">
        <f t="shared" si="36"/>
        <v/>
      </c>
      <c r="N187" s="380" t="str">
        <f t="shared" si="37"/>
        <v/>
      </c>
      <c r="O187" s="380" t="str">
        <f t="shared" si="38"/>
        <v/>
      </c>
      <c r="P187" s="380" t="str">
        <f t="shared" si="39"/>
        <v/>
      </c>
      <c r="T187" t="str">
        <f t="shared" si="40"/>
        <v>\I:</v>
      </c>
      <c r="U187" t="str">
        <f ca="1" t="shared" si="44"/>
        <v>Medium size battery electric car -- 00%</v>
      </c>
      <c r="V187" s="383" t="s">
        <v>84</v>
      </c>
      <c r="W187" s="383" t="s">
        <v>85</v>
      </c>
    </row>
    <row r="188" ht="15" customHeight="1" spans="2:23">
      <c r="B188" s="374" t="s">
        <v>29</v>
      </c>
      <c r="C188" s="401" t="s">
        <v>69</v>
      </c>
      <c r="D188" s="424"/>
      <c r="E188" s="424"/>
      <c r="F188" s="425"/>
      <c r="J188" t="str">
        <f t="shared" si="33"/>
        <v>Trd_car_hh2</v>
      </c>
      <c r="K188" t="str">
        <f t="shared" si="34"/>
        <v>\I:</v>
      </c>
      <c r="L188" t="str">
        <f t="shared" si="35"/>
        <v>\I:</v>
      </c>
      <c r="M188" s="380" t="str">
        <f t="shared" si="36"/>
        <v/>
      </c>
      <c r="N188" s="380" t="str">
        <f t="shared" si="37"/>
        <v/>
      </c>
      <c r="O188" s="380" t="str">
        <f t="shared" si="38"/>
        <v/>
      </c>
      <c r="P188" s="380" t="str">
        <f t="shared" si="39"/>
        <v/>
      </c>
      <c r="T188" t="str">
        <f t="shared" si="40"/>
        <v>\I:</v>
      </c>
      <c r="U188" t="str">
        <f ca="1" t="shared" si="44"/>
        <v>Medium size hydrogen fuel cell -- Energy consumption (kg H2/100km)</v>
      </c>
      <c r="V188" s="383" t="s">
        <v>84</v>
      </c>
      <c r="W188" s="383" t="s">
        <v>85</v>
      </c>
    </row>
    <row r="189" ht="15.75" customHeight="1" spans="2:23">
      <c r="B189" s="374"/>
      <c r="C189" s="426"/>
      <c r="D189" s="427"/>
      <c r="E189" s="427"/>
      <c r="F189" s="428"/>
      <c r="J189" t="str">
        <f t="shared" si="33"/>
        <v>Trd_car_hh2</v>
      </c>
      <c r="K189" t="str">
        <f t="shared" si="34"/>
        <v>\I:</v>
      </c>
      <c r="L189" t="str">
        <f t="shared" si="35"/>
        <v>\I:</v>
      </c>
      <c r="M189" s="380" t="str">
        <f t="shared" si="36"/>
        <v/>
      </c>
      <c r="N189" s="380" t="str">
        <f t="shared" si="37"/>
        <v/>
      </c>
      <c r="O189" s="380" t="str">
        <f t="shared" si="38"/>
        <v/>
      </c>
      <c r="P189" s="380" t="str">
        <f t="shared" si="39"/>
        <v/>
      </c>
      <c r="T189" t="str">
        <f t="shared" si="40"/>
        <v>\I:</v>
      </c>
      <c r="U189" t="str">
        <f ca="1" t="shared" si="44"/>
        <v>Medium size hydrogen fuel cell -- 00%</v>
      </c>
      <c r="V189" s="383" t="s">
        <v>84</v>
      </c>
      <c r="W189" s="383" t="s">
        <v>85</v>
      </c>
    </row>
    <row r="190" ht="21.75" customHeight="1" spans="2:23">
      <c r="B190" s="374"/>
      <c r="C190" s="429"/>
      <c r="D190" s="430"/>
      <c r="E190" s="430"/>
      <c r="F190" s="431"/>
      <c r="J190" t="str">
        <f t="shared" si="33"/>
        <v>Trd_car_hh2</v>
      </c>
      <c r="K190" t="str">
        <f t="shared" si="34"/>
        <v>\I:</v>
      </c>
      <c r="L190" t="str">
        <f t="shared" si="35"/>
        <v>\I:</v>
      </c>
      <c r="M190" s="380" t="str">
        <f t="shared" si="36"/>
        <v/>
      </c>
      <c r="N190" s="380" t="str">
        <f t="shared" si="37"/>
        <v/>
      </c>
      <c r="O190" s="380" t="str">
        <f t="shared" si="38"/>
        <v/>
      </c>
      <c r="P190" s="380" t="str">
        <f t="shared" si="39"/>
        <v/>
      </c>
      <c r="T190" t="str">
        <f t="shared" si="40"/>
        <v>\I:</v>
      </c>
      <c r="U190" t="str">
        <f ca="1" t="shared" si="44"/>
        <v>Medium size hydrogen fuel cell -- 00%</v>
      </c>
      <c r="V190" s="383" t="s">
        <v>84</v>
      </c>
      <c r="W190" s="383" t="s">
        <v>85</v>
      </c>
    </row>
    <row r="191" ht="18" customHeight="1" spans="2:23">
      <c r="B191" s="88"/>
      <c r="C191" s="50">
        <v>2020</v>
      </c>
      <c r="D191" s="50">
        <v>2030</v>
      </c>
      <c r="E191" s="50">
        <v>2040</v>
      </c>
      <c r="F191" s="50">
        <v>2050</v>
      </c>
      <c r="J191" t="str">
        <f t="shared" si="33"/>
        <v>Trd_car_hh2</v>
      </c>
      <c r="K191" t="str">
        <f t="shared" si="34"/>
        <v>\I:</v>
      </c>
      <c r="L191" t="str">
        <f t="shared" si="35"/>
        <v>\I:</v>
      </c>
      <c r="M191" s="380" t="str">
        <f t="shared" si="36"/>
        <v/>
      </c>
      <c r="N191" s="380" t="str">
        <f t="shared" si="37"/>
        <v/>
      </c>
      <c r="O191" s="380" t="str">
        <f t="shared" si="38"/>
        <v/>
      </c>
      <c r="P191" s="380" t="str">
        <f t="shared" si="39"/>
        <v/>
      </c>
      <c r="T191" t="str">
        <f t="shared" si="40"/>
        <v>\I:</v>
      </c>
      <c r="U191" t="str">
        <f ca="1" t="shared" si="44"/>
        <v>Medium size hydrogen fuel cell -- 00%</v>
      </c>
      <c r="V191" s="383" t="s">
        <v>84</v>
      </c>
      <c r="W191" s="383" t="s">
        <v>85</v>
      </c>
    </row>
    <row r="192" spans="2:23">
      <c r="B192" s="420">
        <v>0.946734005829305</v>
      </c>
      <c r="C192" s="86">
        <v>51066.9838694536</v>
      </c>
      <c r="D192" s="86">
        <v>35844.8446280299</v>
      </c>
      <c r="E192" s="86">
        <v>29881.1465974715</v>
      </c>
      <c r="F192" s="86">
        <v>28412.9839870662</v>
      </c>
      <c r="G192" s="77">
        <f>B192*0.12/100*10^9/10^6</f>
        <v>1.13608080699517</v>
      </c>
      <c r="H192" s="77"/>
      <c r="I192" s="373">
        <f>1/G192/$I$12</f>
        <v>1.88866787011663</v>
      </c>
      <c r="J192" t="str">
        <f t="shared" si="33"/>
        <v>Trd_car_hh2</v>
      </c>
      <c r="K192" t="str">
        <f t="shared" si="34"/>
        <v>Trd_car_hh2_95</v>
      </c>
      <c r="L192" t="str">
        <f t="shared" si="35"/>
        <v>Trd_car</v>
      </c>
      <c r="M192" s="380">
        <f t="shared" si="36"/>
        <v>51066.9838694536</v>
      </c>
      <c r="N192" s="380">
        <f t="shared" si="37"/>
        <v>35844.8446280299</v>
      </c>
      <c r="O192" s="380">
        <f t="shared" si="38"/>
        <v>29881.1465974715</v>
      </c>
      <c r="P192" s="380">
        <f t="shared" si="39"/>
        <v>28412.9839870662</v>
      </c>
      <c r="T192" t="str">
        <f t="shared" si="40"/>
        <v>Trd_car_hh2_95</v>
      </c>
      <c r="U192" t="str">
        <f ca="1">OFFSET($S$1,MATCH(J192,$S$1:$S$11,0)-1,-1)&amp;" -- "&amp;TEXT(B192,"0.00")</f>
        <v>Medium size hydrogen fuel cell -- 0.95</v>
      </c>
      <c r="V192" s="383" t="s">
        <v>84</v>
      </c>
      <c r="W192" s="383" t="s">
        <v>85</v>
      </c>
    </row>
    <row r="193" spans="2:23">
      <c r="B193" s="420">
        <v>0.906159691293763</v>
      </c>
      <c r="C193" s="86">
        <v>51333.6668176655</v>
      </c>
      <c r="D193" s="86">
        <v>36060.4543841275</v>
      </c>
      <c r="E193" s="86">
        <v>30065.5019981684</v>
      </c>
      <c r="F193" s="86">
        <v>28592.3568093659</v>
      </c>
      <c r="G193" s="77">
        <f t="shared" ref="G193:G199" si="45">B193*0.12/100*10^9/10^6</f>
        <v>1.08739162955252</v>
      </c>
      <c r="H193" s="77"/>
      <c r="I193" s="373">
        <f t="shared" ref="I193:I199" si="46">1/G193/$I$12</f>
        <v>1.97323508818155</v>
      </c>
      <c r="J193" t="str">
        <f t="shared" si="33"/>
        <v>Trd_car_hh2</v>
      </c>
      <c r="K193" t="str">
        <f t="shared" si="34"/>
        <v>Trd_car_hh2_91</v>
      </c>
      <c r="L193" t="str">
        <f t="shared" si="35"/>
        <v>Trd_car</v>
      </c>
      <c r="M193" s="380">
        <f t="shared" si="36"/>
        <v>51333.6668176655</v>
      </c>
      <c r="N193" s="380">
        <f t="shared" si="37"/>
        <v>36060.4543841275</v>
      </c>
      <c r="O193" s="380">
        <f t="shared" si="38"/>
        <v>30065.5019981684</v>
      </c>
      <c r="P193" s="380">
        <f t="shared" si="39"/>
        <v>28592.3568093659</v>
      </c>
      <c r="T193" t="str">
        <f t="shared" si="40"/>
        <v>Trd_car_hh2_91</v>
      </c>
      <c r="U193" t="str">
        <f ca="1" t="shared" ref="U193:U199" si="47">OFFSET($S$1,MATCH(J193,$S$1:$S$11,0)-1,-1)&amp;" -- "&amp;TEXT(B193,"0.00")</f>
        <v>Medium size hydrogen fuel cell -- 0.91</v>
      </c>
      <c r="V193" s="383" t="s">
        <v>84</v>
      </c>
      <c r="W193" s="383" t="s">
        <v>85</v>
      </c>
    </row>
    <row r="194" spans="2:23">
      <c r="B194" s="420">
        <v>0.865585376758221</v>
      </c>
      <c r="C194" s="86">
        <v>51791.4017053404</v>
      </c>
      <c r="D194" s="86">
        <v>36276.064140225</v>
      </c>
      <c r="E194" s="86">
        <v>30249.8573988653</v>
      </c>
      <c r="F194" s="86">
        <v>28771.7296316655</v>
      </c>
      <c r="G194" s="77">
        <f t="shared" si="45"/>
        <v>1.03870245210987</v>
      </c>
      <c r="H194" s="77"/>
      <c r="I194" s="373">
        <f t="shared" si="46"/>
        <v>2.06573048294006</v>
      </c>
      <c r="J194" t="str">
        <f t="shared" si="33"/>
        <v>Trd_car_hh2</v>
      </c>
      <c r="K194" t="str">
        <f t="shared" si="34"/>
        <v>Trd_car_hh2_87</v>
      </c>
      <c r="L194" t="str">
        <f t="shared" si="35"/>
        <v>Trd_car</v>
      </c>
      <c r="M194" s="380">
        <f t="shared" si="36"/>
        <v>51791.4017053404</v>
      </c>
      <c r="N194" s="380">
        <f t="shared" si="37"/>
        <v>36276.064140225</v>
      </c>
      <c r="O194" s="380">
        <f t="shared" si="38"/>
        <v>30249.8573988653</v>
      </c>
      <c r="P194" s="380">
        <f t="shared" si="39"/>
        <v>28771.7296316655</v>
      </c>
      <c r="T194" t="str">
        <f t="shared" si="40"/>
        <v>Trd_car_hh2_87</v>
      </c>
      <c r="U194" t="str">
        <f ca="1" t="shared" si="47"/>
        <v>Medium size hydrogen fuel cell -- 0.87</v>
      </c>
      <c r="V194" s="383" t="s">
        <v>84</v>
      </c>
      <c r="W194" s="383" t="s">
        <v>85</v>
      </c>
    </row>
    <row r="195" spans="2:23">
      <c r="B195" s="420">
        <v>0.82501106222268</v>
      </c>
      <c r="C195" s="86">
        <v>54058.2346435814</v>
      </c>
      <c r="D195" s="86">
        <v>36491.6738963226</v>
      </c>
      <c r="E195" s="86">
        <v>30434.2127995621</v>
      </c>
      <c r="F195" s="86">
        <v>28951.1024539652</v>
      </c>
      <c r="G195" s="77">
        <f t="shared" si="45"/>
        <v>0.990013274667216</v>
      </c>
      <c r="H195" s="77"/>
      <c r="I195" s="373">
        <f t="shared" si="46"/>
        <v>2.16732378537974</v>
      </c>
      <c r="J195" t="str">
        <f t="shared" si="33"/>
        <v>Trd_car_hh2</v>
      </c>
      <c r="K195" t="str">
        <f t="shared" si="34"/>
        <v>Trd_car_hh2_83</v>
      </c>
      <c r="L195" t="str">
        <f t="shared" si="35"/>
        <v>Trd_car</v>
      </c>
      <c r="M195" s="380">
        <f t="shared" si="36"/>
        <v>54058.2346435814</v>
      </c>
      <c r="N195" s="380">
        <f t="shared" si="37"/>
        <v>36491.6738963226</v>
      </c>
      <c r="O195" s="380">
        <f t="shared" si="38"/>
        <v>30434.2127995621</v>
      </c>
      <c r="P195" s="380">
        <f t="shared" si="39"/>
        <v>28951.1024539652</v>
      </c>
      <c r="T195" t="str">
        <f t="shared" si="40"/>
        <v>Trd_car_hh2_83</v>
      </c>
      <c r="U195" t="str">
        <f ca="1" t="shared" si="47"/>
        <v>Medium size hydrogen fuel cell -- 0.83</v>
      </c>
      <c r="V195" s="383" t="s">
        <v>84</v>
      </c>
      <c r="W195" s="383" t="s">
        <v>85</v>
      </c>
    </row>
    <row r="196" spans="2:23">
      <c r="B196" s="420">
        <v>0.786871206559271</v>
      </c>
      <c r="C196" s="86">
        <v>54564.0905053834</v>
      </c>
      <c r="D196" s="86">
        <v>37995.8021232778</v>
      </c>
      <c r="E196" s="86">
        <v>30618.568200259</v>
      </c>
      <c r="F196" s="86">
        <v>29130.4752762648</v>
      </c>
      <c r="G196" s="77">
        <f t="shared" si="45"/>
        <v>0.944245447871125</v>
      </c>
      <c r="H196" s="77"/>
      <c r="I196" s="373">
        <f t="shared" si="46"/>
        <v>2.27237454293853</v>
      </c>
      <c r="J196" t="str">
        <f t="shared" si="33"/>
        <v>Trd_car_hh2</v>
      </c>
      <c r="K196" t="str">
        <f t="shared" si="34"/>
        <v>Trd_car_hh2_79</v>
      </c>
      <c r="L196" t="str">
        <f t="shared" si="35"/>
        <v>Trd_car</v>
      </c>
      <c r="M196" s="380">
        <f t="shared" si="36"/>
        <v>54564.0905053834</v>
      </c>
      <c r="N196" s="380">
        <f t="shared" si="37"/>
        <v>37995.8021232778</v>
      </c>
      <c r="O196" s="380">
        <f t="shared" si="38"/>
        <v>30618.568200259</v>
      </c>
      <c r="P196" s="380">
        <f t="shared" si="39"/>
        <v>29130.4752762648</v>
      </c>
      <c r="T196" t="str">
        <f t="shared" si="40"/>
        <v>Trd_car_hh2_79</v>
      </c>
      <c r="U196" t="str">
        <f ca="1" t="shared" si="47"/>
        <v>Medium size hydrogen fuel cell -- 0.79</v>
      </c>
      <c r="V196" s="383" t="s">
        <v>84</v>
      </c>
      <c r="W196" s="383" t="s">
        <v>85</v>
      </c>
    </row>
    <row r="197" spans="2:23">
      <c r="B197" s="420">
        <v>0.754006011785482</v>
      </c>
      <c r="C197" s="86">
        <v>54852.8037817166</v>
      </c>
      <c r="D197" s="86">
        <v>38223.0917586269</v>
      </c>
      <c r="E197" s="86">
        <v>30802.9236009559</v>
      </c>
      <c r="F197" s="86">
        <v>29309.8480985645</v>
      </c>
      <c r="G197" s="77">
        <f t="shared" si="45"/>
        <v>0.904807214142578</v>
      </c>
      <c r="H197" s="77"/>
      <c r="I197" s="373">
        <f t="shared" si="46"/>
        <v>2.37142154095361</v>
      </c>
      <c r="J197" t="str">
        <f t="shared" si="33"/>
        <v>Trd_car_hh2</v>
      </c>
      <c r="K197" t="str">
        <f t="shared" si="34"/>
        <v>Trd_car_hh2_75</v>
      </c>
      <c r="L197" t="str">
        <f t="shared" si="35"/>
        <v>Trd_car</v>
      </c>
      <c r="M197" s="380">
        <f t="shared" si="36"/>
        <v>54852.8037817166</v>
      </c>
      <c r="N197" s="380">
        <f t="shared" si="37"/>
        <v>38223.0917586269</v>
      </c>
      <c r="O197" s="380">
        <f t="shared" si="38"/>
        <v>30802.9236009559</v>
      </c>
      <c r="P197" s="380">
        <f t="shared" si="39"/>
        <v>29309.8480985645</v>
      </c>
      <c r="T197" t="str">
        <f t="shared" si="40"/>
        <v>Trd_car_hh2_75</v>
      </c>
      <c r="U197" t="str">
        <f ca="1" t="shared" si="47"/>
        <v>Medium size hydrogen fuel cell -- 0.75</v>
      </c>
      <c r="V197" s="383" t="s">
        <v>84</v>
      </c>
      <c r="W197" s="383" t="s">
        <v>85</v>
      </c>
    </row>
    <row r="198" spans="2:23">
      <c r="B198" s="420">
        <v>0.722222798732641</v>
      </c>
      <c r="C198" s="86">
        <v>55141.5170580497</v>
      </c>
      <c r="D198" s="86">
        <v>38450.381393976</v>
      </c>
      <c r="E198" s="86">
        <v>30987.2790016527</v>
      </c>
      <c r="F198" s="86">
        <v>29489.2209208641</v>
      </c>
      <c r="G198" s="77">
        <f t="shared" si="45"/>
        <v>0.866667358479169</v>
      </c>
      <c r="H198" s="77"/>
      <c r="I198" s="373">
        <f t="shared" si="46"/>
        <v>2.47578185221281</v>
      </c>
      <c r="J198" t="str">
        <f t="shared" si="33"/>
        <v>Trd_car_hh2</v>
      </c>
      <c r="K198" t="str">
        <f t="shared" si="34"/>
        <v>Trd_car_hh2_72</v>
      </c>
      <c r="L198" t="str">
        <f t="shared" si="35"/>
        <v>Trd_car</v>
      </c>
      <c r="M198" s="380">
        <f t="shared" si="36"/>
        <v>55141.5170580497</v>
      </c>
      <c r="N198" s="380">
        <f t="shared" si="37"/>
        <v>38450.381393976</v>
      </c>
      <c r="O198" s="380">
        <f t="shared" si="38"/>
        <v>30987.2790016527</v>
      </c>
      <c r="P198" s="380">
        <f t="shared" si="39"/>
        <v>29489.2209208641</v>
      </c>
      <c r="T198" t="str">
        <f t="shared" si="40"/>
        <v>Trd_car_hh2_72</v>
      </c>
      <c r="U198" t="str">
        <f ca="1" t="shared" si="47"/>
        <v>Medium size hydrogen fuel cell -- 0.72</v>
      </c>
      <c r="V198" s="383" t="s">
        <v>84</v>
      </c>
      <c r="W198" s="383" t="s">
        <v>85</v>
      </c>
    </row>
    <row r="199" spans="2:23">
      <c r="B199" s="420">
        <v>0.695849494284539</v>
      </c>
      <c r="C199" s="86">
        <v>55430.2303343829</v>
      </c>
      <c r="D199" s="86">
        <v>38677.6710293252</v>
      </c>
      <c r="E199" s="86">
        <v>31171.6344023496</v>
      </c>
      <c r="F199" s="86">
        <v>29668.5937431638</v>
      </c>
      <c r="G199" s="77">
        <f t="shared" si="45"/>
        <v>0.835019393141447</v>
      </c>
      <c r="H199" s="77"/>
      <c r="I199" s="373">
        <f t="shared" si="46"/>
        <v>2.56961614981854</v>
      </c>
      <c r="J199" t="str">
        <f t="shared" si="33"/>
        <v>Trd_car_hh2</v>
      </c>
      <c r="K199" t="str">
        <f t="shared" si="34"/>
        <v>Trd_car_hh2_70</v>
      </c>
      <c r="L199" t="str">
        <f t="shared" si="35"/>
        <v>Trd_car</v>
      </c>
      <c r="M199" s="380">
        <f t="shared" si="36"/>
        <v>55430.2303343829</v>
      </c>
      <c r="N199" s="380">
        <f t="shared" si="37"/>
        <v>38677.6710293252</v>
      </c>
      <c r="O199" s="380">
        <f t="shared" si="38"/>
        <v>31171.6344023496</v>
      </c>
      <c r="P199" s="380">
        <f t="shared" si="39"/>
        <v>29668.5937431638</v>
      </c>
      <c r="T199" t="str">
        <f t="shared" si="40"/>
        <v>Trd_car_hh2_70</v>
      </c>
      <c r="U199" t="str">
        <f ca="1" t="shared" si="47"/>
        <v>Medium size hydrogen fuel cell -- 0.70</v>
      </c>
      <c r="V199" s="383" t="s">
        <v>84</v>
      </c>
      <c r="W199" s="383" t="s">
        <v>85</v>
      </c>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79"/>
  <sheetViews>
    <sheetView showGridLines="0" zoomScale="54" zoomScaleNormal="54" workbookViewId="0">
      <selection activeCell="H15" sqref="H15"/>
    </sheetView>
  </sheetViews>
  <sheetFormatPr defaultColWidth="9" defaultRowHeight="14.5"/>
  <cols>
    <col min="1" max="1" width="7.63636363636364" customWidth="1"/>
    <col min="2" max="2" width="38.2727272727273" style="97" customWidth="1"/>
    <col min="3" max="3" width="6.90909090909091" customWidth="1"/>
    <col min="4" max="6" width="6.36363636363636" customWidth="1"/>
    <col min="10" max="10" width="15" customWidth="1"/>
    <col min="11" max="11" width="18.0909090909091" customWidth="1"/>
    <col min="12" max="12" width="11.0909090909091" customWidth="1"/>
    <col min="13" max="13" width="7" customWidth="1"/>
    <col min="14" max="16" width="6" customWidth="1"/>
    <col min="18" max="18" width="51.3636363636364" customWidth="1"/>
    <col min="19" max="19" width="15" customWidth="1"/>
    <col min="20" max="20" width="18.0909090909091" customWidth="1"/>
    <col min="21" max="21" width="24" customWidth="1"/>
  </cols>
  <sheetData>
    <row r="1" ht="15.5" spans="2:19">
      <c r="B1" s="364" t="s">
        <v>10</v>
      </c>
      <c r="C1" s="365"/>
      <c r="D1" s="365"/>
      <c r="E1" s="365"/>
      <c r="F1" s="366"/>
      <c r="Q1" t="s">
        <v>42</v>
      </c>
      <c r="R1" t="s">
        <v>95</v>
      </c>
      <c r="S1" t="str">
        <f>"Trd_lcv_"&amp;Q1</f>
        <v>Trd_lcv_gsl</v>
      </c>
    </row>
    <row r="2" spans="2:19">
      <c r="B2" s="35" t="s">
        <v>9</v>
      </c>
      <c r="C2" s="36"/>
      <c r="D2" s="36"/>
      <c r="E2" s="36"/>
      <c r="F2" s="36"/>
      <c r="Q2" t="s">
        <v>45</v>
      </c>
      <c r="R2" t="s">
        <v>96</v>
      </c>
      <c r="S2" t="str">
        <f t="shared" ref="S2:S10" si="0">"Trd_lcv_"&amp;Q2</f>
        <v>Trd_lcv_gsl-hyb</v>
      </c>
    </row>
    <row r="3" spans="2:19">
      <c r="B3" s="413"/>
      <c r="C3" s="414"/>
      <c r="D3" s="413"/>
      <c r="E3" s="413"/>
      <c r="F3" s="413"/>
      <c r="Q3" t="s">
        <v>48</v>
      </c>
      <c r="R3" t="s">
        <v>97</v>
      </c>
      <c r="S3" t="str">
        <f t="shared" si="0"/>
        <v>Trd_lcv_gsl-pih</v>
      </c>
    </row>
    <row r="4" spans="2:19">
      <c r="B4" s="413"/>
      <c r="C4" s="414"/>
      <c r="D4" s="413"/>
      <c r="E4" s="413"/>
      <c r="F4" s="413"/>
      <c r="Q4" t="s">
        <v>51</v>
      </c>
      <c r="R4" t="s">
        <v>98</v>
      </c>
      <c r="S4" t="str">
        <f t="shared" si="0"/>
        <v>Trd_lcv_dsl</v>
      </c>
    </row>
    <row r="5" spans="2:19">
      <c r="B5" s="413"/>
      <c r="C5" s="414"/>
      <c r="D5" s="413"/>
      <c r="E5" s="413"/>
      <c r="F5" s="413"/>
      <c r="Q5" t="s">
        <v>54</v>
      </c>
      <c r="R5" t="s">
        <v>99</v>
      </c>
      <c r="S5" t="str">
        <f t="shared" si="0"/>
        <v>Trd_lcv_dsl-hyb</v>
      </c>
    </row>
    <row r="6" spans="2:19">
      <c r="B6" s="413"/>
      <c r="C6" s="414"/>
      <c r="D6" s="413"/>
      <c r="E6" s="413"/>
      <c r="F6" s="413"/>
      <c r="Q6" t="s">
        <v>57</v>
      </c>
      <c r="R6" t="s">
        <v>100</v>
      </c>
      <c r="S6" t="str">
        <f t="shared" si="0"/>
        <v>Trd_lcv_dsl-pih</v>
      </c>
    </row>
    <row r="7" spans="6:19">
      <c r="F7" s="390">
        <f>31536000/10^9</f>
        <v>0.031536</v>
      </c>
      <c r="G7" s="375" t="s">
        <v>47</v>
      </c>
      <c r="H7" s="375"/>
      <c r="Q7" t="s">
        <v>59</v>
      </c>
      <c r="R7" t="s">
        <v>101</v>
      </c>
      <c r="S7" t="str">
        <f t="shared" si="0"/>
        <v>Trd_lcv_cng</v>
      </c>
    </row>
    <row r="8" spans="6:19">
      <c r="F8" s="375">
        <v>0.038</v>
      </c>
      <c r="G8" s="375" t="s">
        <v>50</v>
      </c>
      <c r="H8" s="375"/>
      <c r="Q8" t="s">
        <v>61</v>
      </c>
      <c r="R8" t="s">
        <v>102</v>
      </c>
      <c r="S8" t="str">
        <f>"\I:Trd_lcv_"&amp;Q8</f>
        <v>\I:Trd_lcv_lpg</v>
      </c>
    </row>
    <row r="9" ht="15" customHeight="1" spans="2:19">
      <c r="B9" s="43" t="s">
        <v>103</v>
      </c>
      <c r="F9" s="376">
        <f>1.406/26.137</f>
        <v>0.053793472854574</v>
      </c>
      <c r="G9" s="375" t="s">
        <v>53</v>
      </c>
      <c r="H9" s="375"/>
      <c r="Q9" t="s">
        <v>66</v>
      </c>
      <c r="R9" t="s">
        <v>104</v>
      </c>
      <c r="S9" t="str">
        <f t="shared" si="0"/>
        <v>Trd_lcv_elc</v>
      </c>
    </row>
    <row r="10" spans="2:19">
      <c r="B10" s="44">
        <v>2015</v>
      </c>
      <c r="C10" s="372"/>
      <c r="D10" s="44"/>
      <c r="F10" s="376">
        <v>0.02559</v>
      </c>
      <c r="G10" s="375" t="s">
        <v>56</v>
      </c>
      <c r="H10" s="375"/>
      <c r="Q10" t="s">
        <v>68</v>
      </c>
      <c r="R10" t="s">
        <v>105</v>
      </c>
      <c r="S10" t="str">
        <f t="shared" si="0"/>
        <v>Trd_lcv_hh2</v>
      </c>
    </row>
    <row r="11" spans="2:10">
      <c r="B11" s="45" t="s">
        <v>12</v>
      </c>
      <c r="C11" s="46" t="s">
        <v>13</v>
      </c>
      <c r="D11" s="47">
        <v>8.50782554565738</v>
      </c>
      <c r="G11" s="77">
        <f>D11*$F$7/100*10^9/10^6</f>
        <v>2.68302786407851</v>
      </c>
      <c r="H11" s="77"/>
      <c r="I11" s="373">
        <f>1/G11</f>
        <v>0.372713236932204</v>
      </c>
      <c r="J11" s="373"/>
    </row>
    <row r="12" spans="2:10">
      <c r="B12" s="45" t="s">
        <v>14</v>
      </c>
      <c r="C12" s="46" t="s">
        <v>15</v>
      </c>
      <c r="D12" s="68">
        <v>17407.9785320185</v>
      </c>
      <c r="I12" s="385" t="s">
        <v>70</v>
      </c>
      <c r="J12" s="385"/>
    </row>
    <row r="13" spans="2:10">
      <c r="B13" s="397"/>
      <c r="C13" s="398"/>
      <c r="D13" s="399"/>
      <c r="I13" s="385"/>
      <c r="J13" s="385"/>
    </row>
    <row r="14" ht="15.25" spans="11:23">
      <c r="K14" s="378" t="s">
        <v>71</v>
      </c>
      <c r="S14" s="378" t="s">
        <v>72</v>
      </c>
      <c r="T14" s="382"/>
      <c r="U14" s="382"/>
      <c r="V14" s="382"/>
      <c r="W14" s="382"/>
    </row>
    <row r="15" spans="9:23">
      <c r="I15" t="s">
        <v>73</v>
      </c>
      <c r="J15" t="s">
        <v>74</v>
      </c>
      <c r="K15" t="s">
        <v>75</v>
      </c>
      <c r="L15" t="s">
        <v>76</v>
      </c>
      <c r="M15">
        <f>C19</f>
        <v>2020</v>
      </c>
      <c r="N15">
        <f>D19</f>
        <v>2030</v>
      </c>
      <c r="O15">
        <f>E19</f>
        <v>2040</v>
      </c>
      <c r="P15">
        <f>F19</f>
        <v>2050</v>
      </c>
      <c r="Q15" t="s">
        <v>77</v>
      </c>
      <c r="S15" s="382" t="s">
        <v>78</v>
      </c>
      <c r="T15" s="382" t="s">
        <v>79</v>
      </c>
      <c r="U15" s="382" t="s">
        <v>80</v>
      </c>
      <c r="V15" s="382" t="s">
        <v>81</v>
      </c>
      <c r="W15" s="382" t="s">
        <v>82</v>
      </c>
    </row>
    <row r="16" ht="15" customHeight="1" spans="2:23">
      <c r="B16" s="48" t="s">
        <v>16</v>
      </c>
      <c r="C16" s="374" t="s">
        <v>95</v>
      </c>
      <c r="D16" s="48"/>
      <c r="E16" s="48"/>
      <c r="F16" s="48"/>
      <c r="J16" t="str">
        <f>IFERROR(VLOOKUP(C16,$R$1:$S$10,2,FALSE),J14)</f>
        <v>Trd_lcv_gsl</v>
      </c>
      <c r="K16" t="str">
        <f>IFERROR(IF(VALUE(C16)&gt;2020,J16&amp;"_"&amp;TEXT(B16*100,"00"),"\I:"),"\I:")</f>
        <v>\I:</v>
      </c>
      <c r="L16" t="str">
        <f>LEFT(K16,7)</f>
        <v>\I:</v>
      </c>
      <c r="M16" s="380" t="str">
        <f>IF($K16="\I:","",C16)</f>
        <v/>
      </c>
      <c r="N16" s="380" t="str">
        <f>IF($K16="\I:","",D16)</f>
        <v/>
      </c>
      <c r="O16" s="380" t="str">
        <f>IF($K16="\I:","",E16)</f>
        <v/>
      </c>
      <c r="P16" s="380" t="str">
        <f>IF($K16="\I:","",F16)</f>
        <v/>
      </c>
      <c r="Q16" s="380"/>
      <c r="R16" s="419"/>
      <c r="S16" t="s">
        <v>83</v>
      </c>
      <c r="T16" t="str">
        <f t="shared" ref="T16:T47" si="1">K16</f>
        <v>\I:</v>
      </c>
      <c r="U16" t="str">
        <f ca="1" t="shared" ref="U16:U47" si="2">OFFSET($S$1,MATCH(J16,$S$1:$S$10,0)-1,-1)&amp;" -- "&amp;TEXT(B16,"00%")</f>
        <v>ICE gasoline LCV -- Reduction of specific energy consumption relative to 2015 gasoline vehicle (%)</v>
      </c>
      <c r="V16" s="383" t="s">
        <v>84</v>
      </c>
      <c r="W16" s="383" t="s">
        <v>85</v>
      </c>
    </row>
    <row r="17" spans="2:23">
      <c r="B17" s="48"/>
      <c r="C17" s="374"/>
      <c r="D17" s="48"/>
      <c r="E17" s="48"/>
      <c r="F17" s="48"/>
      <c r="J17" t="str">
        <f>IFERROR(VLOOKUP(C17,$R$1:$S$10,2,FALSE),J16)</f>
        <v>Trd_lcv_gsl</v>
      </c>
      <c r="K17" t="str">
        <f t="shared" ref="K17:K80" si="3">IFERROR(IF(VALUE(C17)&gt;2020,J17&amp;"_"&amp;TEXT(B17*100,"00"),"\I:"),"\I:")</f>
        <v>\I:</v>
      </c>
      <c r="L17" t="str">
        <f t="shared" ref="L17:L80" si="4">LEFT(K17,7)</f>
        <v>\I:</v>
      </c>
      <c r="M17" s="380" t="str">
        <f t="shared" ref="M17:M25" si="5">IF($K17="\I:","",C17)</f>
        <v/>
      </c>
      <c r="N17" s="380" t="str">
        <f t="shared" ref="N17:P18" si="6">IF($K17="\I:","",D17)</f>
        <v/>
      </c>
      <c r="O17" s="380" t="str">
        <f t="shared" si="6"/>
        <v/>
      </c>
      <c r="P17" s="380" t="str">
        <f t="shared" si="6"/>
        <v/>
      </c>
      <c r="Q17" s="380"/>
      <c r="R17" s="380"/>
      <c r="S17" t="s">
        <v>83</v>
      </c>
      <c r="T17" t="str">
        <f t="shared" si="1"/>
        <v>\I:</v>
      </c>
      <c r="U17" t="str">
        <f ca="1" t="shared" si="2"/>
        <v>ICE gasoline LCV -- 00%</v>
      </c>
      <c r="V17" s="383" t="s">
        <v>84</v>
      </c>
      <c r="W17" s="383" t="s">
        <v>85</v>
      </c>
    </row>
    <row r="18" spans="2:23">
      <c r="B18" s="48"/>
      <c r="C18" s="374"/>
      <c r="D18" s="48"/>
      <c r="E18" s="48"/>
      <c r="F18" s="48"/>
      <c r="J18" t="str">
        <f>IFERROR(VLOOKUP(C18,$R$1:$S$10,2,FALSE),J17)</f>
        <v>Trd_lcv_gsl</v>
      </c>
      <c r="K18" t="str">
        <f t="shared" si="3"/>
        <v>\I:</v>
      </c>
      <c r="L18" t="str">
        <f t="shared" si="4"/>
        <v>\I:</v>
      </c>
      <c r="M18" s="380" t="str">
        <f t="shared" si="5"/>
        <v/>
      </c>
      <c r="N18" s="380" t="str">
        <f t="shared" si="6"/>
        <v/>
      </c>
      <c r="O18" s="380" t="str">
        <f t="shared" si="6"/>
        <v/>
      </c>
      <c r="P18" s="380" t="str">
        <f t="shared" si="6"/>
        <v/>
      </c>
      <c r="Q18" s="380"/>
      <c r="R18" s="380"/>
      <c r="S18" t="s">
        <v>83</v>
      </c>
      <c r="T18" t="str">
        <f t="shared" si="1"/>
        <v>\I:</v>
      </c>
      <c r="U18" t="str">
        <f ca="1" t="shared" si="2"/>
        <v>ICE gasoline LCV -- 00%</v>
      </c>
      <c r="V18" s="383" t="s">
        <v>84</v>
      </c>
      <c r="W18" s="383" t="s">
        <v>85</v>
      </c>
    </row>
    <row r="19" spans="2:23">
      <c r="B19" s="88"/>
      <c r="C19" s="415">
        <v>2020</v>
      </c>
      <c r="D19" s="50">
        <v>2030</v>
      </c>
      <c r="E19" s="50">
        <v>2040</v>
      </c>
      <c r="F19" s="50">
        <v>2050</v>
      </c>
      <c r="I19" s="373">
        <v>1</v>
      </c>
      <c r="J19" s="43" t="str">
        <f t="shared" ref="J19" si="7">IFERROR(VLOOKUP(C19,$R$1:$S$11,2,FALSE),J18)</f>
        <v>Trd_lcv_gsl</v>
      </c>
      <c r="K19" s="43" t="str">
        <f>IFERROR(IF(VALUE(C19)&gt;200,J19&amp;"_"&amp;TEXT(B19*100,"00"),"\I:"),"\I:")</f>
        <v>Trd_lcv_gsl_00</v>
      </c>
      <c r="L19" t="str">
        <f t="shared" si="4"/>
        <v>Trd_lcv</v>
      </c>
      <c r="M19" s="418">
        <f>D12</f>
        <v>17407.9785320185</v>
      </c>
      <c r="N19" s="380"/>
      <c r="O19" s="380"/>
      <c r="P19" s="380"/>
      <c r="Q19" s="380"/>
      <c r="R19" s="380"/>
      <c r="S19" t="s">
        <v>83</v>
      </c>
      <c r="T19" t="str">
        <f t="shared" si="1"/>
        <v>Trd_lcv_gsl_00</v>
      </c>
      <c r="U19" t="str">
        <f ca="1" t="shared" si="2"/>
        <v>ICE gasoline LCV -- 00%</v>
      </c>
      <c r="V19" s="383" t="s">
        <v>84</v>
      </c>
      <c r="W19" s="383" t="s">
        <v>85</v>
      </c>
    </row>
    <row r="20" spans="2:23">
      <c r="B20" s="85">
        <v>0.145560583753408</v>
      </c>
      <c r="C20" s="416">
        <v>17878.5978132433</v>
      </c>
      <c r="D20" s="86">
        <v>17417.4266041105</v>
      </c>
      <c r="E20" s="86">
        <v>17417.4266041105</v>
      </c>
      <c r="F20" s="86">
        <v>17417.4266041105</v>
      </c>
      <c r="I20" s="77">
        <f>(1+B20)</f>
        <v>1.14556058375341</v>
      </c>
      <c r="J20" t="str">
        <f t="shared" ref="J20:J83" si="8">IFERROR(VLOOKUP(C20,$R$1:$S$10,2,FALSE),J19)</f>
        <v>Trd_lcv_gsl</v>
      </c>
      <c r="K20" t="str">
        <f t="shared" si="3"/>
        <v>Trd_lcv_gsl_15</v>
      </c>
      <c r="L20" t="str">
        <f t="shared" si="4"/>
        <v>Trd_lcv</v>
      </c>
      <c r="M20" s="380">
        <f t="shared" si="5"/>
        <v>17878.5978132433</v>
      </c>
      <c r="N20" s="380">
        <f t="shared" ref="N20:P25" si="9">IF($K20="\I:","",D20)</f>
        <v>17417.4266041105</v>
      </c>
      <c r="O20" s="380">
        <f t="shared" si="9"/>
        <v>17417.4266041105</v>
      </c>
      <c r="P20" s="380">
        <f t="shared" si="9"/>
        <v>17417.4266041105</v>
      </c>
      <c r="Q20" s="380"/>
      <c r="R20" s="380"/>
      <c r="S20" t="s">
        <v>83</v>
      </c>
      <c r="T20" t="str">
        <f t="shared" si="1"/>
        <v>Trd_lcv_gsl_15</v>
      </c>
      <c r="U20" t="str">
        <f ca="1" t="shared" si="2"/>
        <v>ICE gasoline LCV -- 15%</v>
      </c>
      <c r="V20" s="383" t="s">
        <v>84</v>
      </c>
      <c r="W20" s="383" t="s">
        <v>85</v>
      </c>
    </row>
    <row r="21" spans="2:23">
      <c r="B21" s="85">
        <v>0.245560583753408</v>
      </c>
      <c r="C21" s="416">
        <v>19243.4316461009</v>
      </c>
      <c r="D21" s="86">
        <v>17966.6005607638</v>
      </c>
      <c r="E21" s="86">
        <v>17966.6005607638</v>
      </c>
      <c r="F21" s="86">
        <v>17966.6005607638</v>
      </c>
      <c r="I21" s="77">
        <f t="shared" ref="I21:I25" si="10">(1+B21)</f>
        <v>1.24556058375341</v>
      </c>
      <c r="J21" t="str">
        <f t="shared" si="8"/>
        <v>Trd_lcv_gsl</v>
      </c>
      <c r="K21" t="str">
        <f t="shared" si="3"/>
        <v>Trd_lcv_gsl_25</v>
      </c>
      <c r="L21" t="str">
        <f t="shared" si="4"/>
        <v>Trd_lcv</v>
      </c>
      <c r="M21" s="380">
        <f t="shared" si="5"/>
        <v>19243.4316461009</v>
      </c>
      <c r="N21" s="380">
        <f t="shared" si="9"/>
        <v>17966.6005607638</v>
      </c>
      <c r="O21" s="380">
        <f t="shared" si="9"/>
        <v>17966.6005607638</v>
      </c>
      <c r="P21" s="380">
        <f t="shared" si="9"/>
        <v>17966.6005607638</v>
      </c>
      <c r="Q21" s="380"/>
      <c r="R21" s="380"/>
      <c r="S21" t="s">
        <v>83</v>
      </c>
      <c r="T21" t="str">
        <f t="shared" si="1"/>
        <v>Trd_lcv_gsl_25</v>
      </c>
      <c r="U21" t="str">
        <f ca="1" t="shared" si="2"/>
        <v>ICE gasoline LCV -- 25%</v>
      </c>
      <c r="V21" s="383" t="s">
        <v>84</v>
      </c>
      <c r="W21" s="383" t="s">
        <v>85</v>
      </c>
    </row>
    <row r="22" spans="2:23">
      <c r="B22" s="85">
        <v>0.345560583753408</v>
      </c>
      <c r="C22" s="416">
        <v>24327.6038120321</v>
      </c>
      <c r="D22" s="86">
        <v>19194.380760066</v>
      </c>
      <c r="E22" s="86">
        <v>19194.380760066</v>
      </c>
      <c r="F22" s="86">
        <v>19194.380760066</v>
      </c>
      <c r="I22" s="77">
        <f t="shared" si="10"/>
        <v>1.34556058375341</v>
      </c>
      <c r="J22" t="str">
        <f t="shared" si="8"/>
        <v>Trd_lcv_gsl</v>
      </c>
      <c r="K22" t="str">
        <f t="shared" si="3"/>
        <v>Trd_lcv_gsl_35</v>
      </c>
      <c r="L22" t="str">
        <f t="shared" si="4"/>
        <v>Trd_lcv</v>
      </c>
      <c r="M22" s="380">
        <f t="shared" si="5"/>
        <v>24327.6038120321</v>
      </c>
      <c r="N22" s="380">
        <f t="shared" si="9"/>
        <v>19194.380760066</v>
      </c>
      <c r="O22" s="380">
        <f t="shared" si="9"/>
        <v>19194.380760066</v>
      </c>
      <c r="P22" s="380">
        <f t="shared" si="9"/>
        <v>19194.380760066</v>
      </c>
      <c r="Q22" s="380"/>
      <c r="R22" s="380"/>
      <c r="S22" t="s">
        <v>83</v>
      </c>
      <c r="T22" t="str">
        <f t="shared" si="1"/>
        <v>Trd_lcv_gsl_35</v>
      </c>
      <c r="U22" t="str">
        <f ca="1" t="shared" si="2"/>
        <v>ICE gasoline LCV -- 35%</v>
      </c>
      <c r="V22" s="383" t="s">
        <v>84</v>
      </c>
      <c r="W22" s="383" t="s">
        <v>85</v>
      </c>
    </row>
    <row r="23" spans="2:23">
      <c r="B23" s="85">
        <v>0.395560583753408</v>
      </c>
      <c r="C23" s="416">
        <v>32775.022169116</v>
      </c>
      <c r="D23" s="86">
        <v>21558.4773052488</v>
      </c>
      <c r="E23" s="86">
        <v>21558.4773052488</v>
      </c>
      <c r="F23" s="86">
        <v>21558.4773052488</v>
      </c>
      <c r="I23" s="77">
        <f t="shared" si="10"/>
        <v>1.39556058375341</v>
      </c>
      <c r="J23" t="str">
        <f t="shared" si="8"/>
        <v>Trd_lcv_gsl</v>
      </c>
      <c r="K23" t="str">
        <f t="shared" si="3"/>
        <v>Trd_lcv_gsl_40</v>
      </c>
      <c r="L23" t="str">
        <f t="shared" si="4"/>
        <v>Trd_lcv</v>
      </c>
      <c r="M23" s="380">
        <f t="shared" si="5"/>
        <v>32775.022169116</v>
      </c>
      <c r="N23" s="380">
        <f t="shared" si="9"/>
        <v>21558.4773052488</v>
      </c>
      <c r="O23" s="380">
        <f t="shared" si="9"/>
        <v>21558.4773052488</v>
      </c>
      <c r="P23" s="380">
        <f t="shared" si="9"/>
        <v>21558.4773052488</v>
      </c>
      <c r="Q23" s="380"/>
      <c r="R23" s="380"/>
      <c r="S23" t="s">
        <v>83</v>
      </c>
      <c r="T23" t="str">
        <f t="shared" si="1"/>
        <v>Trd_lcv_gsl_40</v>
      </c>
      <c r="U23" t="str">
        <f ca="1" t="shared" si="2"/>
        <v>ICE gasoline LCV -- 40%</v>
      </c>
      <c r="V23" s="383" t="s">
        <v>84</v>
      </c>
      <c r="W23" s="383" t="s">
        <v>85</v>
      </c>
    </row>
    <row r="24" spans="2:23">
      <c r="B24" s="85">
        <v>0.445560583753408</v>
      </c>
      <c r="C24" s="416">
        <v>99589.7033153908</v>
      </c>
      <c r="D24" s="86">
        <v>26988.3309410172</v>
      </c>
      <c r="E24" s="86">
        <v>26988.3309410172</v>
      </c>
      <c r="F24" s="86">
        <v>26988.3309410172</v>
      </c>
      <c r="I24" s="77">
        <f t="shared" si="10"/>
        <v>1.44556058375341</v>
      </c>
      <c r="J24" t="str">
        <f t="shared" si="8"/>
        <v>Trd_lcv_gsl</v>
      </c>
      <c r="K24" t="str">
        <f t="shared" si="3"/>
        <v>Trd_lcv_gsl_45</v>
      </c>
      <c r="L24" t="str">
        <f t="shared" si="4"/>
        <v>Trd_lcv</v>
      </c>
      <c r="M24" s="380">
        <f t="shared" si="5"/>
        <v>99589.7033153908</v>
      </c>
      <c r="N24" s="380">
        <f t="shared" si="9"/>
        <v>26988.3309410172</v>
      </c>
      <c r="O24" s="380">
        <f t="shared" si="9"/>
        <v>26988.3309410172</v>
      </c>
      <c r="P24" s="380">
        <f t="shared" si="9"/>
        <v>26988.3309410172</v>
      </c>
      <c r="Q24" s="380"/>
      <c r="R24" s="380"/>
      <c r="S24" t="s">
        <v>83</v>
      </c>
      <c r="T24" t="str">
        <f t="shared" si="1"/>
        <v>Trd_lcv_gsl_45</v>
      </c>
      <c r="U24" t="str">
        <f ca="1" t="shared" si="2"/>
        <v>ICE gasoline LCV -- 45%</v>
      </c>
      <c r="V24" s="383" t="s">
        <v>84</v>
      </c>
      <c r="W24" s="383" t="s">
        <v>85</v>
      </c>
    </row>
    <row r="25" spans="2:23">
      <c r="B25" s="85">
        <v>0.495560583753408</v>
      </c>
      <c r="C25" s="416">
        <v>116875.343716562</v>
      </c>
      <c r="D25" s="86">
        <v>78477.0793321692</v>
      </c>
      <c r="E25" s="86">
        <v>78477.0793321692</v>
      </c>
      <c r="F25" s="86">
        <v>78477.0793321692</v>
      </c>
      <c r="I25" s="77">
        <f t="shared" si="10"/>
        <v>1.49556058375341</v>
      </c>
      <c r="J25" t="str">
        <f t="shared" si="8"/>
        <v>Trd_lcv_gsl</v>
      </c>
      <c r="K25" t="str">
        <f t="shared" si="3"/>
        <v>Trd_lcv_gsl_50</v>
      </c>
      <c r="L25" t="str">
        <f t="shared" si="4"/>
        <v>Trd_lcv</v>
      </c>
      <c r="M25" s="380">
        <f t="shared" si="5"/>
        <v>116875.343716562</v>
      </c>
      <c r="N25" s="380">
        <f t="shared" si="9"/>
        <v>78477.0793321692</v>
      </c>
      <c r="O25" s="380">
        <f t="shared" si="9"/>
        <v>78477.0793321692</v>
      </c>
      <c r="P25" s="380">
        <f t="shared" si="9"/>
        <v>78477.0793321692</v>
      </c>
      <c r="Q25" s="380"/>
      <c r="R25" s="380"/>
      <c r="S25" t="s">
        <v>83</v>
      </c>
      <c r="T25" t="str">
        <f t="shared" si="1"/>
        <v>Trd_lcv_gsl_50</v>
      </c>
      <c r="U25" t="str">
        <f ca="1" t="shared" si="2"/>
        <v>ICE gasoline LCV -- 50%</v>
      </c>
      <c r="V25" s="383" t="s">
        <v>84</v>
      </c>
      <c r="W25" s="383" t="s">
        <v>85</v>
      </c>
    </row>
    <row r="26" spans="4:23">
      <c r="D26" s="97"/>
      <c r="E26" s="97"/>
      <c r="F26" s="97"/>
      <c r="J26" t="str">
        <f t="shared" si="8"/>
        <v>Trd_lcv_gsl</v>
      </c>
      <c r="K26" t="str">
        <f t="shared" si="3"/>
        <v>\I:</v>
      </c>
      <c r="L26" t="str">
        <f t="shared" si="4"/>
        <v>\I:</v>
      </c>
      <c r="M26" s="380" t="str">
        <f t="shared" ref="M26:M89" si="11">IF($K26="\I:","",C26)</f>
        <v/>
      </c>
      <c r="N26" s="380" t="str">
        <f t="shared" ref="N26:N89" si="12">IF($K26="\I:","",D26)</f>
        <v/>
      </c>
      <c r="O26" s="380" t="str">
        <f t="shared" ref="O26:O89" si="13">IF($K26="\I:","",E26)</f>
        <v/>
      </c>
      <c r="P26" s="380" t="str">
        <f t="shared" ref="P26:P89" si="14">IF($K26="\I:","",F26)</f>
        <v/>
      </c>
      <c r="T26" t="str">
        <f t="shared" si="1"/>
        <v>\I:</v>
      </c>
      <c r="U26" t="str">
        <f ca="1" t="shared" si="2"/>
        <v>ICE gasoline LCV -- 00%</v>
      </c>
      <c r="V26" s="383" t="s">
        <v>84</v>
      </c>
      <c r="W26" s="383" t="s">
        <v>85</v>
      </c>
    </row>
    <row r="27" spans="10:23">
      <c r="J27" t="str">
        <f t="shared" si="8"/>
        <v>Trd_lcv_gsl</v>
      </c>
      <c r="K27" t="str">
        <f t="shared" si="3"/>
        <v>\I:</v>
      </c>
      <c r="L27" t="str">
        <f t="shared" si="4"/>
        <v>\I:</v>
      </c>
      <c r="M27" s="380" t="str">
        <f t="shared" si="11"/>
        <v/>
      </c>
      <c r="N27" s="380" t="str">
        <f t="shared" si="12"/>
        <v/>
      </c>
      <c r="O27" s="380" t="str">
        <f t="shared" si="13"/>
        <v/>
      </c>
      <c r="P27" s="380" t="str">
        <f t="shared" si="14"/>
        <v/>
      </c>
      <c r="T27" t="str">
        <f t="shared" si="1"/>
        <v>\I:</v>
      </c>
      <c r="U27" t="str">
        <f ca="1" t="shared" si="2"/>
        <v>ICE gasoline LCV -- 00%</v>
      </c>
      <c r="V27" s="383" t="s">
        <v>84</v>
      </c>
      <c r="W27" s="383" t="s">
        <v>85</v>
      </c>
    </row>
    <row r="28" spans="10:23">
      <c r="J28" t="str">
        <f t="shared" si="8"/>
        <v>Trd_lcv_gsl</v>
      </c>
      <c r="K28" t="str">
        <f t="shared" si="3"/>
        <v>\I:</v>
      </c>
      <c r="L28" t="str">
        <f t="shared" si="4"/>
        <v>\I:</v>
      </c>
      <c r="M28" s="380" t="str">
        <f t="shared" si="11"/>
        <v/>
      </c>
      <c r="N28" s="380" t="str">
        <f t="shared" si="12"/>
        <v/>
      </c>
      <c r="O28" s="380" t="str">
        <f t="shared" si="13"/>
        <v/>
      </c>
      <c r="P28" s="380" t="str">
        <f t="shared" si="14"/>
        <v/>
      </c>
      <c r="T28" t="str">
        <f t="shared" si="1"/>
        <v>\I:</v>
      </c>
      <c r="U28" t="str">
        <f ca="1" t="shared" si="2"/>
        <v>ICE gasoline LCV -- 00%</v>
      </c>
      <c r="V28" s="383" t="s">
        <v>84</v>
      </c>
      <c r="W28" s="383" t="s">
        <v>85</v>
      </c>
    </row>
    <row r="29" spans="10:23">
      <c r="J29" t="str">
        <f t="shared" si="8"/>
        <v>Trd_lcv_gsl</v>
      </c>
      <c r="K29" t="str">
        <f t="shared" si="3"/>
        <v>\I:</v>
      </c>
      <c r="L29" t="str">
        <f t="shared" si="4"/>
        <v>\I:</v>
      </c>
      <c r="M29" s="380" t="str">
        <f t="shared" si="11"/>
        <v/>
      </c>
      <c r="N29" s="380" t="str">
        <f t="shared" si="12"/>
        <v/>
      </c>
      <c r="O29" s="380" t="str">
        <f t="shared" si="13"/>
        <v/>
      </c>
      <c r="P29" s="380" t="str">
        <f t="shared" si="14"/>
        <v/>
      </c>
      <c r="T29" t="str">
        <f t="shared" si="1"/>
        <v>\I:</v>
      </c>
      <c r="U29" t="str">
        <f ca="1" t="shared" si="2"/>
        <v>ICE gasoline LCV -- 00%</v>
      </c>
      <c r="V29" s="383" t="s">
        <v>84</v>
      </c>
      <c r="W29" s="383" t="s">
        <v>85</v>
      </c>
    </row>
    <row r="30" ht="15" customHeight="1" spans="2:23">
      <c r="B30" s="48" t="s">
        <v>16</v>
      </c>
      <c r="C30" s="374" t="s">
        <v>96</v>
      </c>
      <c r="D30" s="48"/>
      <c r="E30" s="48"/>
      <c r="F30" s="48"/>
      <c r="J30" t="str">
        <f t="shared" si="8"/>
        <v>Trd_lcv_gsl-hyb</v>
      </c>
      <c r="K30" t="str">
        <f t="shared" si="3"/>
        <v>\I:</v>
      </c>
      <c r="L30" t="str">
        <f t="shared" si="4"/>
        <v>\I:</v>
      </c>
      <c r="M30" s="380" t="str">
        <f t="shared" si="11"/>
        <v/>
      </c>
      <c r="N30" s="380" t="str">
        <f t="shared" si="12"/>
        <v/>
      </c>
      <c r="O30" s="380" t="str">
        <f t="shared" si="13"/>
        <v/>
      </c>
      <c r="P30" s="380" t="str">
        <f t="shared" si="14"/>
        <v/>
      </c>
      <c r="T30" t="str">
        <f t="shared" si="1"/>
        <v>\I:</v>
      </c>
      <c r="U30" t="str">
        <f ca="1" t="shared" si="2"/>
        <v>ICE gasoline hybrid LCV -- Reduction of specific energy consumption relative to 2015 gasoline vehicle (%)</v>
      </c>
      <c r="V30" s="383" t="s">
        <v>84</v>
      </c>
      <c r="W30" s="383" t="s">
        <v>85</v>
      </c>
    </row>
    <row r="31" spans="2:23">
      <c r="B31" s="48"/>
      <c r="C31" s="374"/>
      <c r="D31" s="48"/>
      <c r="E31" s="48"/>
      <c r="F31" s="48"/>
      <c r="J31" t="str">
        <f t="shared" si="8"/>
        <v>Trd_lcv_gsl-hyb</v>
      </c>
      <c r="K31" t="str">
        <f t="shared" si="3"/>
        <v>\I:</v>
      </c>
      <c r="L31" t="str">
        <f t="shared" si="4"/>
        <v>\I:</v>
      </c>
      <c r="M31" s="380" t="str">
        <f t="shared" si="11"/>
        <v/>
      </c>
      <c r="N31" s="380" t="str">
        <f t="shared" si="12"/>
        <v/>
      </c>
      <c r="O31" s="380" t="str">
        <f t="shared" si="13"/>
        <v/>
      </c>
      <c r="P31" s="380" t="str">
        <f t="shared" si="14"/>
        <v/>
      </c>
      <c r="T31" t="str">
        <f t="shared" si="1"/>
        <v>\I:</v>
      </c>
      <c r="U31" t="str">
        <f ca="1" t="shared" si="2"/>
        <v>ICE gasoline hybrid LCV -- 00%</v>
      </c>
      <c r="V31" s="383" t="s">
        <v>84</v>
      </c>
      <c r="W31" s="383" t="s">
        <v>85</v>
      </c>
    </row>
    <row r="32" spans="2:23">
      <c r="B32" s="48"/>
      <c r="C32" s="374"/>
      <c r="D32" s="48"/>
      <c r="E32" s="48"/>
      <c r="F32" s="48"/>
      <c r="J32" t="str">
        <f t="shared" si="8"/>
        <v>Trd_lcv_gsl-hyb</v>
      </c>
      <c r="K32" t="str">
        <f t="shared" si="3"/>
        <v>\I:</v>
      </c>
      <c r="L32" t="str">
        <f t="shared" si="4"/>
        <v>\I:</v>
      </c>
      <c r="M32" s="380" t="str">
        <f t="shared" si="11"/>
        <v/>
      </c>
      <c r="N32" s="380" t="str">
        <f t="shared" si="12"/>
        <v/>
      </c>
      <c r="O32" s="380" t="str">
        <f t="shared" si="13"/>
        <v/>
      </c>
      <c r="P32" s="380" t="str">
        <f t="shared" si="14"/>
        <v/>
      </c>
      <c r="T32" t="str">
        <f t="shared" si="1"/>
        <v>\I:</v>
      </c>
      <c r="U32" t="str">
        <f ca="1" t="shared" si="2"/>
        <v>ICE gasoline hybrid LCV -- 00%</v>
      </c>
      <c r="V32" s="383" t="s">
        <v>84</v>
      </c>
      <c r="W32" s="383" t="s">
        <v>85</v>
      </c>
    </row>
    <row r="33" spans="2:23">
      <c r="B33" s="88"/>
      <c r="C33" s="415">
        <v>2020</v>
      </c>
      <c r="D33" s="50">
        <v>2030</v>
      </c>
      <c r="E33" s="50">
        <v>2040</v>
      </c>
      <c r="F33" s="50">
        <v>2050</v>
      </c>
      <c r="J33" t="str">
        <f t="shared" si="8"/>
        <v>Trd_lcv_gsl-hyb</v>
      </c>
      <c r="K33" t="str">
        <f t="shared" si="3"/>
        <v>\I:</v>
      </c>
      <c r="L33" t="str">
        <f t="shared" si="4"/>
        <v>\I:</v>
      </c>
      <c r="M33" s="380" t="str">
        <f t="shared" si="11"/>
        <v/>
      </c>
      <c r="N33" s="380" t="str">
        <f t="shared" si="12"/>
        <v/>
      </c>
      <c r="O33" s="380" t="str">
        <f t="shared" si="13"/>
        <v/>
      </c>
      <c r="P33" s="380" t="str">
        <f t="shared" si="14"/>
        <v/>
      </c>
      <c r="T33" t="str">
        <f t="shared" si="1"/>
        <v>\I:</v>
      </c>
      <c r="U33" t="str">
        <f ca="1" t="shared" si="2"/>
        <v>ICE gasoline hybrid LCV -- 00%</v>
      </c>
      <c r="V33" s="383" t="s">
        <v>84</v>
      </c>
      <c r="W33" s="383" t="s">
        <v>85</v>
      </c>
    </row>
    <row r="34" spans="2:23">
      <c r="B34" s="85">
        <v>0.141858664420856</v>
      </c>
      <c r="C34" s="416">
        <v>20504.4559655839</v>
      </c>
      <c r="D34" s="86">
        <v>19138.7491883351</v>
      </c>
      <c r="E34" s="86">
        <v>19138.7491883351</v>
      </c>
      <c r="F34" s="86">
        <v>19138.7491883351</v>
      </c>
      <c r="I34" s="77">
        <f t="shared" ref="I34:I40" si="15">(1+B34)</f>
        <v>1.14185866442086</v>
      </c>
      <c r="J34" t="str">
        <f t="shared" si="8"/>
        <v>Trd_lcv_gsl-hyb</v>
      </c>
      <c r="K34" t="str">
        <f t="shared" si="3"/>
        <v>Trd_lcv_gsl-hyb_14</v>
      </c>
      <c r="L34" t="str">
        <f t="shared" si="4"/>
        <v>Trd_lcv</v>
      </c>
      <c r="M34" s="380">
        <f t="shared" si="11"/>
        <v>20504.4559655839</v>
      </c>
      <c r="N34" s="380">
        <f t="shared" si="12"/>
        <v>19138.7491883351</v>
      </c>
      <c r="O34" s="380">
        <f t="shared" si="13"/>
        <v>19138.7491883351</v>
      </c>
      <c r="P34" s="380">
        <f t="shared" si="14"/>
        <v>19138.7491883351</v>
      </c>
      <c r="T34" t="str">
        <f t="shared" si="1"/>
        <v>Trd_lcv_gsl-hyb_14</v>
      </c>
      <c r="U34" t="str">
        <f ca="1" t="shared" si="2"/>
        <v>ICE gasoline hybrid LCV -- 14%</v>
      </c>
      <c r="V34" s="383" t="s">
        <v>84</v>
      </c>
      <c r="W34" s="383" t="s">
        <v>85</v>
      </c>
    </row>
    <row r="35" spans="2:23">
      <c r="B35" s="85">
        <v>0.241858664420856</v>
      </c>
      <c r="C35" s="416">
        <v>20722.2426519634</v>
      </c>
      <c r="D35" s="86">
        <v>19390.0828167076</v>
      </c>
      <c r="E35" s="86">
        <v>19390.0828167076</v>
      </c>
      <c r="F35" s="86">
        <v>19390.0828167076</v>
      </c>
      <c r="I35" s="77">
        <f t="shared" si="15"/>
        <v>1.24185866442086</v>
      </c>
      <c r="J35" t="str">
        <f t="shared" si="8"/>
        <v>Trd_lcv_gsl-hyb</v>
      </c>
      <c r="K35" t="str">
        <f t="shared" si="3"/>
        <v>Trd_lcv_gsl-hyb_24</v>
      </c>
      <c r="L35" t="str">
        <f t="shared" si="4"/>
        <v>Trd_lcv</v>
      </c>
      <c r="M35" s="380">
        <f t="shared" si="11"/>
        <v>20722.2426519634</v>
      </c>
      <c r="N35" s="380">
        <f t="shared" si="12"/>
        <v>19390.0828167076</v>
      </c>
      <c r="O35" s="380">
        <f t="shared" si="13"/>
        <v>19390.0828167076</v>
      </c>
      <c r="P35" s="380">
        <f t="shared" si="14"/>
        <v>19390.0828167076</v>
      </c>
      <c r="T35" t="str">
        <f t="shared" si="1"/>
        <v>Trd_lcv_gsl-hyb_24</v>
      </c>
      <c r="U35" t="str">
        <f ca="1" t="shared" si="2"/>
        <v>ICE gasoline hybrid LCV -- 24%</v>
      </c>
      <c r="V35" s="383" t="s">
        <v>84</v>
      </c>
      <c r="W35" s="383" t="s">
        <v>85</v>
      </c>
    </row>
    <row r="36" spans="2:23">
      <c r="B36" s="85">
        <v>0.291858664420856</v>
      </c>
      <c r="C36" s="416">
        <v>20967.6583697595</v>
      </c>
      <c r="D36" s="86">
        <v>19601.2088430076</v>
      </c>
      <c r="E36" s="86">
        <v>19601.2088430076</v>
      </c>
      <c r="F36" s="86">
        <v>19601.2088430076</v>
      </c>
      <c r="I36" s="77">
        <f t="shared" si="15"/>
        <v>1.29185866442086</v>
      </c>
      <c r="J36" t="str">
        <f t="shared" si="8"/>
        <v>Trd_lcv_gsl-hyb</v>
      </c>
      <c r="K36" t="str">
        <f t="shared" si="3"/>
        <v>Trd_lcv_gsl-hyb_29</v>
      </c>
      <c r="L36" t="str">
        <f t="shared" si="4"/>
        <v>Trd_lcv</v>
      </c>
      <c r="M36" s="380">
        <f t="shared" si="11"/>
        <v>20967.6583697595</v>
      </c>
      <c r="N36" s="380">
        <f t="shared" si="12"/>
        <v>19601.2088430076</v>
      </c>
      <c r="O36" s="380">
        <f t="shared" si="13"/>
        <v>19601.2088430076</v>
      </c>
      <c r="P36" s="380">
        <f t="shared" si="14"/>
        <v>19601.2088430076</v>
      </c>
      <c r="T36" t="str">
        <f t="shared" si="1"/>
        <v>Trd_lcv_gsl-hyb_29</v>
      </c>
      <c r="U36" t="str">
        <f ca="1" t="shared" si="2"/>
        <v>ICE gasoline hybrid LCV -- 29%</v>
      </c>
      <c r="V36" s="383" t="s">
        <v>84</v>
      </c>
      <c r="W36" s="383" t="s">
        <v>85</v>
      </c>
    </row>
    <row r="37" spans="2:23">
      <c r="B37" s="85">
        <v>0.341858664420856</v>
      </c>
      <c r="C37" s="416">
        <v>21437.6216583787</v>
      </c>
      <c r="D37" s="86">
        <v>19855.9040595789</v>
      </c>
      <c r="E37" s="86">
        <v>19855.9040595789</v>
      </c>
      <c r="F37" s="86">
        <v>19855.9040595789</v>
      </c>
      <c r="I37" s="77">
        <f t="shared" si="15"/>
        <v>1.34185866442086</v>
      </c>
      <c r="J37" t="str">
        <f t="shared" si="8"/>
        <v>Trd_lcv_gsl-hyb</v>
      </c>
      <c r="K37" t="str">
        <f t="shared" si="3"/>
        <v>Trd_lcv_gsl-hyb_34</v>
      </c>
      <c r="L37" t="str">
        <f t="shared" si="4"/>
        <v>Trd_lcv</v>
      </c>
      <c r="M37" s="380">
        <f t="shared" si="11"/>
        <v>21437.6216583787</v>
      </c>
      <c r="N37" s="380">
        <f t="shared" si="12"/>
        <v>19855.9040595789</v>
      </c>
      <c r="O37" s="380">
        <f t="shared" si="13"/>
        <v>19855.9040595789</v>
      </c>
      <c r="P37" s="380">
        <f t="shared" si="14"/>
        <v>19855.9040595789</v>
      </c>
      <c r="T37" t="str">
        <f t="shared" si="1"/>
        <v>Trd_lcv_gsl-hyb_34</v>
      </c>
      <c r="U37" t="str">
        <f ca="1" t="shared" si="2"/>
        <v>ICE gasoline hybrid LCV -- 34%</v>
      </c>
      <c r="V37" s="383" t="s">
        <v>84</v>
      </c>
      <c r="W37" s="383" t="s">
        <v>85</v>
      </c>
    </row>
    <row r="38" spans="2:23">
      <c r="B38" s="85">
        <v>0.391858664420856</v>
      </c>
      <c r="C38" s="416">
        <v>22211.0087034134</v>
      </c>
      <c r="D38" s="86">
        <v>20325.5630625639</v>
      </c>
      <c r="E38" s="86">
        <v>20325.5630625639</v>
      </c>
      <c r="F38" s="86">
        <v>20325.5630625639</v>
      </c>
      <c r="I38" s="77">
        <f t="shared" si="15"/>
        <v>1.39185866442086</v>
      </c>
      <c r="J38" t="str">
        <f t="shared" si="8"/>
        <v>Trd_lcv_gsl-hyb</v>
      </c>
      <c r="K38" t="str">
        <f t="shared" si="3"/>
        <v>Trd_lcv_gsl-hyb_39</v>
      </c>
      <c r="L38" t="str">
        <f t="shared" si="4"/>
        <v>Trd_lcv</v>
      </c>
      <c r="M38" s="380">
        <f t="shared" si="11"/>
        <v>22211.0087034134</v>
      </c>
      <c r="N38" s="380">
        <f t="shared" si="12"/>
        <v>20325.5630625639</v>
      </c>
      <c r="O38" s="380">
        <f t="shared" si="13"/>
        <v>20325.5630625639</v>
      </c>
      <c r="P38" s="380">
        <f t="shared" si="14"/>
        <v>20325.5630625639</v>
      </c>
      <c r="T38" t="str">
        <f t="shared" si="1"/>
        <v>Trd_lcv_gsl-hyb_39</v>
      </c>
      <c r="U38" t="str">
        <f ca="1" t="shared" si="2"/>
        <v>ICE gasoline hybrid LCV -- 39%</v>
      </c>
      <c r="V38" s="383" t="s">
        <v>84</v>
      </c>
      <c r="W38" s="383" t="s">
        <v>85</v>
      </c>
    </row>
    <row r="39" spans="2:23">
      <c r="B39" s="85">
        <v>0.441858664420856</v>
      </c>
      <c r="C39" s="416">
        <v>46471.148840111</v>
      </c>
      <c r="D39" s="86">
        <v>26131.898294073</v>
      </c>
      <c r="E39" s="86">
        <v>26131.898294073</v>
      </c>
      <c r="F39" s="86">
        <v>26131.898294073</v>
      </c>
      <c r="I39" s="77">
        <f t="shared" si="15"/>
        <v>1.44185866442086</v>
      </c>
      <c r="J39" t="str">
        <f t="shared" si="8"/>
        <v>Trd_lcv_gsl-hyb</v>
      </c>
      <c r="K39" t="str">
        <f t="shared" si="3"/>
        <v>Trd_lcv_gsl-hyb_44</v>
      </c>
      <c r="L39" t="str">
        <f t="shared" si="4"/>
        <v>Trd_lcv</v>
      </c>
      <c r="M39" s="380">
        <f t="shared" si="11"/>
        <v>46471.148840111</v>
      </c>
      <c r="N39" s="380">
        <f t="shared" si="12"/>
        <v>26131.898294073</v>
      </c>
      <c r="O39" s="380">
        <f t="shared" si="13"/>
        <v>26131.898294073</v>
      </c>
      <c r="P39" s="380">
        <f t="shared" si="14"/>
        <v>26131.898294073</v>
      </c>
      <c r="T39" t="str">
        <f t="shared" si="1"/>
        <v>Trd_lcv_gsl-hyb_44</v>
      </c>
      <c r="U39" t="str">
        <f ca="1" t="shared" si="2"/>
        <v>ICE gasoline hybrid LCV -- 44%</v>
      </c>
      <c r="V39" s="383" t="s">
        <v>84</v>
      </c>
      <c r="W39" s="383" t="s">
        <v>85</v>
      </c>
    </row>
    <row r="40" spans="2:23">
      <c r="B40" s="85">
        <v>0.491858664420856</v>
      </c>
      <c r="C40" s="416">
        <v>108265.756276503</v>
      </c>
      <c r="D40" s="86">
        <v>77485.5623662731</v>
      </c>
      <c r="E40" s="86">
        <v>77485.5623662731</v>
      </c>
      <c r="F40" s="86">
        <v>77485.5623662731</v>
      </c>
      <c r="I40" s="77">
        <f t="shared" si="15"/>
        <v>1.49185866442086</v>
      </c>
      <c r="J40" t="str">
        <f t="shared" si="8"/>
        <v>Trd_lcv_gsl-hyb</v>
      </c>
      <c r="K40" t="str">
        <f t="shared" si="3"/>
        <v>Trd_lcv_gsl-hyb_49</v>
      </c>
      <c r="L40" t="str">
        <f t="shared" si="4"/>
        <v>Trd_lcv</v>
      </c>
      <c r="M40" s="380">
        <f t="shared" si="11"/>
        <v>108265.756276503</v>
      </c>
      <c r="N40" s="380">
        <f t="shared" si="12"/>
        <v>77485.5623662731</v>
      </c>
      <c r="O40" s="380">
        <f t="shared" si="13"/>
        <v>77485.5623662731</v>
      </c>
      <c r="P40" s="380">
        <f t="shared" si="14"/>
        <v>77485.5623662731</v>
      </c>
      <c r="T40" t="str">
        <f t="shared" si="1"/>
        <v>Trd_lcv_gsl-hyb_49</v>
      </c>
      <c r="U40" t="str">
        <f ca="1" t="shared" si="2"/>
        <v>ICE gasoline hybrid LCV -- 49%</v>
      </c>
      <c r="V40" s="383" t="s">
        <v>84</v>
      </c>
      <c r="W40" s="383" t="s">
        <v>85</v>
      </c>
    </row>
    <row r="41" spans="4:23">
      <c r="D41" s="97"/>
      <c r="E41" s="97"/>
      <c r="F41" s="97"/>
      <c r="I41" s="77"/>
      <c r="J41" t="str">
        <f t="shared" si="8"/>
        <v>Trd_lcv_gsl-hyb</v>
      </c>
      <c r="K41" t="str">
        <f t="shared" si="3"/>
        <v>\I:</v>
      </c>
      <c r="L41" t="str">
        <f t="shared" si="4"/>
        <v>\I:</v>
      </c>
      <c r="M41" s="380" t="str">
        <f t="shared" si="11"/>
        <v/>
      </c>
      <c r="N41" s="380" t="str">
        <f t="shared" si="12"/>
        <v/>
      </c>
      <c r="O41" s="380" t="str">
        <f t="shared" si="13"/>
        <v/>
      </c>
      <c r="P41" s="380" t="str">
        <f t="shared" si="14"/>
        <v/>
      </c>
      <c r="T41" t="str">
        <f t="shared" si="1"/>
        <v>\I:</v>
      </c>
      <c r="U41" t="str">
        <f ca="1" t="shared" si="2"/>
        <v>ICE gasoline hybrid LCV -- 00%</v>
      </c>
      <c r="V41" s="383" t="s">
        <v>84</v>
      </c>
      <c r="W41" s="383" t="s">
        <v>85</v>
      </c>
    </row>
    <row r="42" spans="9:23">
      <c r="I42" s="77"/>
      <c r="J42" t="str">
        <f t="shared" si="8"/>
        <v>Trd_lcv_gsl-hyb</v>
      </c>
      <c r="K42" t="str">
        <f t="shared" si="3"/>
        <v>\I:</v>
      </c>
      <c r="L42" t="str">
        <f t="shared" si="4"/>
        <v>\I:</v>
      </c>
      <c r="M42" s="380" t="str">
        <f t="shared" si="11"/>
        <v/>
      </c>
      <c r="N42" s="380" t="str">
        <f t="shared" si="12"/>
        <v/>
      </c>
      <c r="O42" s="380" t="str">
        <f t="shared" si="13"/>
        <v/>
      </c>
      <c r="P42" s="380" t="str">
        <f t="shared" si="14"/>
        <v/>
      </c>
      <c r="T42" t="str">
        <f t="shared" si="1"/>
        <v>\I:</v>
      </c>
      <c r="U42" t="str">
        <f ca="1" t="shared" si="2"/>
        <v>ICE gasoline hybrid LCV -- 00%</v>
      </c>
      <c r="V42" s="383" t="s">
        <v>84</v>
      </c>
      <c r="W42" s="383" t="s">
        <v>85</v>
      </c>
    </row>
    <row r="43" spans="9:23">
      <c r="I43" s="77"/>
      <c r="J43" t="str">
        <f t="shared" si="8"/>
        <v>Trd_lcv_gsl-hyb</v>
      </c>
      <c r="K43" t="str">
        <f t="shared" si="3"/>
        <v>\I:</v>
      </c>
      <c r="L43" t="str">
        <f t="shared" si="4"/>
        <v>\I:</v>
      </c>
      <c r="M43" s="380" t="str">
        <f t="shared" si="11"/>
        <v/>
      </c>
      <c r="N43" s="380" t="str">
        <f t="shared" si="12"/>
        <v/>
      </c>
      <c r="O43" s="380" t="str">
        <f t="shared" si="13"/>
        <v/>
      </c>
      <c r="P43" s="380" t="str">
        <f t="shared" si="14"/>
        <v/>
      </c>
      <c r="T43" t="str">
        <f t="shared" si="1"/>
        <v>\I:</v>
      </c>
      <c r="U43" t="str">
        <f ca="1" t="shared" si="2"/>
        <v>ICE gasoline hybrid LCV -- 00%</v>
      </c>
      <c r="V43" s="383" t="s">
        <v>84</v>
      </c>
      <c r="W43" s="383" t="s">
        <v>85</v>
      </c>
    </row>
    <row r="44" spans="9:23">
      <c r="I44" s="77"/>
      <c r="J44" t="str">
        <f t="shared" si="8"/>
        <v>Trd_lcv_gsl-hyb</v>
      </c>
      <c r="K44" t="str">
        <f t="shared" si="3"/>
        <v>\I:</v>
      </c>
      <c r="L44" t="str">
        <f t="shared" si="4"/>
        <v>\I:</v>
      </c>
      <c r="M44" s="380" t="str">
        <f t="shared" si="11"/>
        <v/>
      </c>
      <c r="N44" s="380" t="str">
        <f t="shared" si="12"/>
        <v/>
      </c>
      <c r="O44" s="380" t="str">
        <f t="shared" si="13"/>
        <v/>
      </c>
      <c r="P44" s="380" t="str">
        <f t="shared" si="14"/>
        <v/>
      </c>
      <c r="T44" t="str">
        <f t="shared" si="1"/>
        <v>\I:</v>
      </c>
      <c r="U44" t="str">
        <f ca="1" t="shared" si="2"/>
        <v>ICE gasoline hybrid LCV -- 00%</v>
      </c>
      <c r="V44" s="383" t="s">
        <v>84</v>
      </c>
      <c r="W44" s="383" t="s">
        <v>85</v>
      </c>
    </row>
    <row r="45" ht="15" customHeight="1" spans="2:23">
      <c r="B45" s="48" t="s">
        <v>16</v>
      </c>
      <c r="C45" s="374" t="s">
        <v>97</v>
      </c>
      <c r="D45" s="48"/>
      <c r="E45" s="48"/>
      <c r="F45" s="48"/>
      <c r="I45" s="77"/>
      <c r="J45" t="str">
        <f t="shared" si="8"/>
        <v>Trd_lcv_gsl-pih</v>
      </c>
      <c r="K45" t="str">
        <f t="shared" si="3"/>
        <v>\I:</v>
      </c>
      <c r="L45" t="str">
        <f t="shared" si="4"/>
        <v>\I:</v>
      </c>
      <c r="M45" s="380" t="str">
        <f t="shared" si="11"/>
        <v/>
      </c>
      <c r="N45" s="380" t="str">
        <f t="shared" si="12"/>
        <v/>
      </c>
      <c r="O45" s="380" t="str">
        <f t="shared" si="13"/>
        <v/>
      </c>
      <c r="P45" s="380" t="str">
        <f t="shared" si="14"/>
        <v/>
      </c>
      <c r="T45" t="str">
        <f t="shared" si="1"/>
        <v>\I:</v>
      </c>
      <c r="U45" t="str">
        <f ca="1" t="shared" si="2"/>
        <v>ICE gasoline plug-in hybrid LCV -- Reduction of specific energy consumption relative to 2015 gasoline vehicle (%)</v>
      </c>
      <c r="V45" s="383" t="s">
        <v>84</v>
      </c>
      <c r="W45" s="383" t="s">
        <v>85</v>
      </c>
    </row>
    <row r="46" spans="2:23">
      <c r="B46" s="48"/>
      <c r="C46" s="374"/>
      <c r="D46" s="48"/>
      <c r="E46" s="48"/>
      <c r="F46" s="48"/>
      <c r="J46" t="str">
        <f t="shared" si="8"/>
        <v>Trd_lcv_gsl-pih</v>
      </c>
      <c r="K46" t="str">
        <f t="shared" si="3"/>
        <v>\I:</v>
      </c>
      <c r="L46" t="str">
        <f t="shared" si="4"/>
        <v>\I:</v>
      </c>
      <c r="M46" s="380" t="str">
        <f t="shared" si="11"/>
        <v/>
      </c>
      <c r="N46" s="380" t="str">
        <f t="shared" si="12"/>
        <v/>
      </c>
      <c r="O46" s="380" t="str">
        <f t="shared" si="13"/>
        <v/>
      </c>
      <c r="P46" s="380" t="str">
        <f t="shared" si="14"/>
        <v/>
      </c>
      <c r="T46" t="str">
        <f t="shared" si="1"/>
        <v>\I:</v>
      </c>
      <c r="U46" t="str">
        <f ca="1" t="shared" si="2"/>
        <v>ICE gasoline plug-in hybrid LCV -- 00%</v>
      </c>
      <c r="V46" s="383" t="s">
        <v>84</v>
      </c>
      <c r="W46" s="383" t="s">
        <v>85</v>
      </c>
    </row>
    <row r="47" spans="2:23">
      <c r="B47" s="48"/>
      <c r="C47" s="374"/>
      <c r="D47" s="48"/>
      <c r="E47" s="48"/>
      <c r="F47" s="48"/>
      <c r="J47" t="str">
        <f t="shared" si="8"/>
        <v>Trd_lcv_gsl-pih</v>
      </c>
      <c r="K47" t="str">
        <f t="shared" si="3"/>
        <v>\I:</v>
      </c>
      <c r="L47" t="str">
        <f t="shared" si="4"/>
        <v>\I:</v>
      </c>
      <c r="M47" s="380" t="str">
        <f t="shared" si="11"/>
        <v/>
      </c>
      <c r="N47" s="380" t="str">
        <f t="shared" si="12"/>
        <v/>
      </c>
      <c r="O47" s="380" t="str">
        <f t="shared" si="13"/>
        <v/>
      </c>
      <c r="P47" s="380" t="str">
        <f t="shared" si="14"/>
        <v/>
      </c>
      <c r="T47" t="str">
        <f t="shared" si="1"/>
        <v>\I:</v>
      </c>
      <c r="U47" t="str">
        <f ca="1" t="shared" si="2"/>
        <v>ICE gasoline plug-in hybrid LCV -- 00%</v>
      </c>
      <c r="V47" s="383" t="s">
        <v>84</v>
      </c>
      <c r="W47" s="383" t="s">
        <v>85</v>
      </c>
    </row>
    <row r="48" spans="2:23">
      <c r="B48" s="88"/>
      <c r="C48" s="415">
        <v>2020</v>
      </c>
      <c r="D48" s="50">
        <v>2030</v>
      </c>
      <c r="E48" s="50">
        <v>2040</v>
      </c>
      <c r="F48" s="50">
        <v>2050</v>
      </c>
      <c r="J48" t="str">
        <f t="shared" si="8"/>
        <v>Trd_lcv_gsl-pih</v>
      </c>
      <c r="K48" t="str">
        <f t="shared" si="3"/>
        <v>\I:</v>
      </c>
      <c r="L48" t="str">
        <f t="shared" si="4"/>
        <v>\I:</v>
      </c>
      <c r="M48" s="380" t="str">
        <f t="shared" si="11"/>
        <v/>
      </c>
      <c r="N48" s="380" t="str">
        <f t="shared" si="12"/>
        <v/>
      </c>
      <c r="O48" s="380" t="str">
        <f t="shared" si="13"/>
        <v/>
      </c>
      <c r="P48" s="380" t="str">
        <f t="shared" si="14"/>
        <v/>
      </c>
      <c r="T48" t="str">
        <f t="shared" ref="T48:T79" si="16">K48</f>
        <v>\I:</v>
      </c>
      <c r="U48" t="str">
        <f ca="1" t="shared" ref="U48:U79" si="17">OFFSET($S$1,MATCH(J48,$S$1:$S$10,0)-1,-1)&amp;" -- "&amp;TEXT(B48,"00%")</f>
        <v>ICE gasoline plug-in hybrid LCV -- 00%</v>
      </c>
      <c r="V48" s="383" t="s">
        <v>84</v>
      </c>
      <c r="W48" s="383" t="s">
        <v>85</v>
      </c>
    </row>
    <row r="49" spans="2:23">
      <c r="B49" s="417">
        <v>0.825</v>
      </c>
      <c r="C49" s="416">
        <v>25855.4162729033</v>
      </c>
      <c r="D49" s="86">
        <v>20946.0136101116</v>
      </c>
      <c r="E49" s="86">
        <v>19751.4795793658</v>
      </c>
      <c r="F49" s="86">
        <v>19403.0868687444</v>
      </c>
      <c r="I49" s="77">
        <f t="shared" ref="I49:I56" si="18">(1+B49)</f>
        <v>1.825</v>
      </c>
      <c r="J49" t="str">
        <f t="shared" si="8"/>
        <v>Trd_lcv_gsl-pih</v>
      </c>
      <c r="K49" t="str">
        <f t="shared" si="3"/>
        <v>Trd_lcv_gsl-pih_83</v>
      </c>
      <c r="L49" t="str">
        <f t="shared" si="4"/>
        <v>Trd_lcv</v>
      </c>
      <c r="M49" s="380">
        <f t="shared" si="11"/>
        <v>25855.4162729033</v>
      </c>
      <c r="N49" s="380">
        <f t="shared" si="12"/>
        <v>20946.0136101116</v>
      </c>
      <c r="O49" s="380">
        <f t="shared" si="13"/>
        <v>19751.4795793658</v>
      </c>
      <c r="P49" s="380">
        <f t="shared" si="14"/>
        <v>19403.0868687444</v>
      </c>
      <c r="T49" t="str">
        <f t="shared" si="16"/>
        <v>Trd_lcv_gsl-pih_83</v>
      </c>
      <c r="U49" t="str">
        <f ca="1" t="shared" si="17"/>
        <v>ICE gasoline plug-in hybrid LCV -- 83%</v>
      </c>
      <c r="V49" s="383" t="s">
        <v>84</v>
      </c>
      <c r="W49" s="383" t="s">
        <v>85</v>
      </c>
    </row>
    <row r="50" spans="2:23">
      <c r="B50" s="417">
        <v>0.835</v>
      </c>
      <c r="C50" s="416">
        <v>25936.7339540823</v>
      </c>
      <c r="D50" s="86">
        <v>20972.5685484446</v>
      </c>
      <c r="E50" s="86">
        <v>19766.6423788705</v>
      </c>
      <c r="F50" s="86">
        <v>19414.5742977407</v>
      </c>
      <c r="I50" s="77">
        <f t="shared" si="18"/>
        <v>1.835</v>
      </c>
      <c r="J50" t="str">
        <f t="shared" si="8"/>
        <v>Trd_lcv_gsl-pih</v>
      </c>
      <c r="K50" t="str">
        <f t="shared" si="3"/>
        <v>Trd_lcv_gsl-pih_84</v>
      </c>
      <c r="L50" t="str">
        <f t="shared" si="4"/>
        <v>Trd_lcv</v>
      </c>
      <c r="M50" s="380">
        <f t="shared" si="11"/>
        <v>25936.7339540823</v>
      </c>
      <c r="N50" s="380">
        <f t="shared" si="12"/>
        <v>20972.5685484446</v>
      </c>
      <c r="O50" s="380">
        <f t="shared" si="13"/>
        <v>19766.6423788705</v>
      </c>
      <c r="P50" s="380">
        <f t="shared" si="14"/>
        <v>19414.5742977407</v>
      </c>
      <c r="T50" t="str">
        <f t="shared" si="16"/>
        <v>Trd_lcv_gsl-pih_84</v>
      </c>
      <c r="U50" t="str">
        <f ca="1" t="shared" si="17"/>
        <v>ICE gasoline plug-in hybrid LCV -- 84%</v>
      </c>
      <c r="V50" s="383" t="s">
        <v>84</v>
      </c>
      <c r="W50" s="383" t="s">
        <v>85</v>
      </c>
    </row>
    <row r="51" spans="2:23">
      <c r="B51" s="417">
        <v>0.8475</v>
      </c>
      <c r="C51" s="416">
        <v>26068.0641465879</v>
      </c>
      <c r="D51" s="86">
        <v>20983.7357684659</v>
      </c>
      <c r="E51" s="86">
        <v>19772.1960204821</v>
      </c>
      <c r="F51" s="86">
        <v>19418.2617068886</v>
      </c>
      <c r="I51" s="77">
        <f t="shared" si="18"/>
        <v>1.8475</v>
      </c>
      <c r="J51" t="str">
        <f t="shared" si="8"/>
        <v>Trd_lcv_gsl-pih</v>
      </c>
      <c r="K51" t="str">
        <f t="shared" si="3"/>
        <v>Trd_lcv_gsl-pih_85</v>
      </c>
      <c r="L51" t="str">
        <f t="shared" si="4"/>
        <v>Trd_lcv</v>
      </c>
      <c r="M51" s="380">
        <f t="shared" si="11"/>
        <v>26068.0641465879</v>
      </c>
      <c r="N51" s="380">
        <f t="shared" si="12"/>
        <v>20983.7357684659</v>
      </c>
      <c r="O51" s="380">
        <f t="shared" si="13"/>
        <v>19772.1960204821</v>
      </c>
      <c r="P51" s="380">
        <f t="shared" si="14"/>
        <v>19418.2617068886</v>
      </c>
      <c r="T51" t="str">
        <f t="shared" si="16"/>
        <v>Trd_lcv_gsl-pih_85</v>
      </c>
      <c r="U51" t="str">
        <f ca="1" t="shared" si="17"/>
        <v>ICE gasoline plug-in hybrid LCV -- 85%</v>
      </c>
      <c r="V51" s="383" t="s">
        <v>84</v>
      </c>
      <c r="W51" s="383" t="s">
        <v>85</v>
      </c>
    </row>
    <row r="52" spans="2:23">
      <c r="B52" s="417">
        <v>0.8575</v>
      </c>
      <c r="C52" s="416">
        <v>29189.2099676658</v>
      </c>
      <c r="D52" s="86">
        <v>21014.1005815479</v>
      </c>
      <c r="E52" s="86">
        <v>19796.1968088197</v>
      </c>
      <c r="F52" s="86">
        <v>19440.6559656101</v>
      </c>
      <c r="I52" s="77">
        <f t="shared" si="18"/>
        <v>1.8575</v>
      </c>
      <c r="J52" t="str">
        <f t="shared" si="8"/>
        <v>Trd_lcv_gsl-pih</v>
      </c>
      <c r="K52" t="str">
        <f t="shared" si="3"/>
        <v>Trd_lcv_gsl-pih_86</v>
      </c>
      <c r="L52" t="str">
        <f t="shared" si="4"/>
        <v>Trd_lcv</v>
      </c>
      <c r="M52" s="380">
        <f t="shared" si="11"/>
        <v>29189.2099676658</v>
      </c>
      <c r="N52" s="380">
        <f t="shared" si="12"/>
        <v>21014.1005815479</v>
      </c>
      <c r="O52" s="380">
        <f t="shared" si="13"/>
        <v>19796.1968088197</v>
      </c>
      <c r="P52" s="380">
        <f t="shared" si="14"/>
        <v>19440.6559656101</v>
      </c>
      <c r="T52" t="str">
        <f t="shared" si="16"/>
        <v>Trd_lcv_gsl-pih_86</v>
      </c>
      <c r="U52" t="str">
        <f ca="1" t="shared" si="17"/>
        <v>ICE gasoline plug-in hybrid LCV -- 86%</v>
      </c>
      <c r="V52" s="383" t="s">
        <v>84</v>
      </c>
      <c r="W52" s="383" t="s">
        <v>85</v>
      </c>
    </row>
    <row r="53" spans="2:23">
      <c r="B53" s="417">
        <v>0.8675</v>
      </c>
      <c r="C53" s="416">
        <v>44989.8543167652</v>
      </c>
      <c r="D53" s="86">
        <v>21032.5204061794</v>
      </c>
      <c r="E53" s="86">
        <v>19824.2506796935</v>
      </c>
      <c r="F53" s="86">
        <v>19472.9936204524</v>
      </c>
      <c r="I53" s="77">
        <f t="shared" si="18"/>
        <v>1.8675</v>
      </c>
      <c r="J53" t="str">
        <f t="shared" si="8"/>
        <v>Trd_lcv_gsl-pih</v>
      </c>
      <c r="K53" t="str">
        <f t="shared" si="3"/>
        <v>Trd_lcv_gsl-pih_87</v>
      </c>
      <c r="L53" t="str">
        <f t="shared" si="4"/>
        <v>Trd_lcv</v>
      </c>
      <c r="M53" s="380">
        <f t="shared" si="11"/>
        <v>44989.8543167652</v>
      </c>
      <c r="N53" s="380">
        <f t="shared" si="12"/>
        <v>21032.5204061794</v>
      </c>
      <c r="O53" s="380">
        <f t="shared" si="13"/>
        <v>19824.2506796935</v>
      </c>
      <c r="P53" s="380">
        <f t="shared" si="14"/>
        <v>19472.9936204524</v>
      </c>
      <c r="T53" t="str">
        <f t="shared" si="16"/>
        <v>Trd_lcv_gsl-pih_87</v>
      </c>
      <c r="U53" t="str">
        <f ca="1" t="shared" si="17"/>
        <v>ICE gasoline plug-in hybrid LCV -- 87%</v>
      </c>
      <c r="V53" s="383" t="s">
        <v>84</v>
      </c>
      <c r="W53" s="383" t="s">
        <v>85</v>
      </c>
    </row>
    <row r="54" spans="2:23">
      <c r="B54" s="417">
        <v>0.915</v>
      </c>
      <c r="C54" s="416">
        <v>61078.7026089492</v>
      </c>
      <c r="D54" s="86">
        <v>24620.9228746061</v>
      </c>
      <c r="E54" s="86">
        <v>22831.7849053289</v>
      </c>
      <c r="F54" s="86">
        <v>22357.3877876521</v>
      </c>
      <c r="I54" s="77">
        <f t="shared" si="18"/>
        <v>1.915</v>
      </c>
      <c r="J54" t="str">
        <f t="shared" si="8"/>
        <v>Trd_lcv_gsl-pih</v>
      </c>
      <c r="K54" t="str">
        <f t="shared" si="3"/>
        <v>Trd_lcv_gsl-pih_92</v>
      </c>
      <c r="L54" t="str">
        <f t="shared" si="4"/>
        <v>Trd_lcv</v>
      </c>
      <c r="M54" s="380">
        <f t="shared" si="11"/>
        <v>61078.7026089492</v>
      </c>
      <c r="N54" s="380">
        <f t="shared" si="12"/>
        <v>24620.9228746061</v>
      </c>
      <c r="O54" s="380">
        <f t="shared" si="13"/>
        <v>22831.7849053289</v>
      </c>
      <c r="P54" s="380">
        <f t="shared" si="14"/>
        <v>22357.3877876521</v>
      </c>
      <c r="T54" t="str">
        <f t="shared" si="16"/>
        <v>Trd_lcv_gsl-pih_92</v>
      </c>
      <c r="U54" t="str">
        <f ca="1" t="shared" si="17"/>
        <v>ICE gasoline plug-in hybrid LCV -- 92%</v>
      </c>
      <c r="V54" s="383" t="s">
        <v>84</v>
      </c>
      <c r="W54" s="383" t="s">
        <v>85</v>
      </c>
    </row>
    <row r="55" spans="2:23">
      <c r="B55" s="417">
        <v>0.9225</v>
      </c>
      <c r="C55" s="416">
        <v>61658.5569109629</v>
      </c>
      <c r="D55" s="86">
        <v>36662.6858263954</v>
      </c>
      <c r="E55" s="86">
        <v>34512.2146444883</v>
      </c>
      <c r="F55" s="86">
        <v>34243.3411954732</v>
      </c>
      <c r="I55" s="77">
        <f t="shared" si="18"/>
        <v>1.9225</v>
      </c>
      <c r="J55" t="str">
        <f t="shared" si="8"/>
        <v>Trd_lcv_gsl-pih</v>
      </c>
      <c r="K55" t="str">
        <f t="shared" si="3"/>
        <v>Trd_lcv_gsl-pih_92</v>
      </c>
      <c r="L55" t="str">
        <f t="shared" si="4"/>
        <v>Trd_lcv</v>
      </c>
      <c r="M55" s="380">
        <f t="shared" si="11"/>
        <v>61658.5569109629</v>
      </c>
      <c r="N55" s="380">
        <f t="shared" si="12"/>
        <v>36662.6858263954</v>
      </c>
      <c r="O55" s="380">
        <f t="shared" si="13"/>
        <v>34512.2146444883</v>
      </c>
      <c r="P55" s="380">
        <f t="shared" si="14"/>
        <v>34243.3411954732</v>
      </c>
      <c r="T55" t="str">
        <f t="shared" si="16"/>
        <v>Trd_lcv_gsl-pih_92</v>
      </c>
      <c r="U55" t="str">
        <f ca="1" t="shared" si="17"/>
        <v>ICE gasoline plug-in hybrid LCV -- 92%</v>
      </c>
      <c r="V55" s="383" t="s">
        <v>84</v>
      </c>
      <c r="W55" s="383" t="s">
        <v>85</v>
      </c>
    </row>
    <row r="56" spans="2:23">
      <c r="B56" s="417">
        <v>0.93</v>
      </c>
      <c r="C56" s="416">
        <v>99213.7185822678</v>
      </c>
      <c r="D56" s="86">
        <v>52428.018226086</v>
      </c>
      <c r="E56" s="86">
        <v>50000.3633152236</v>
      </c>
      <c r="F56" s="86">
        <v>50076.8935124655</v>
      </c>
      <c r="I56" s="77">
        <f t="shared" si="18"/>
        <v>1.93</v>
      </c>
      <c r="J56" t="str">
        <f t="shared" si="8"/>
        <v>Trd_lcv_gsl-pih</v>
      </c>
      <c r="K56" t="str">
        <f t="shared" si="3"/>
        <v>Trd_lcv_gsl-pih_93</v>
      </c>
      <c r="L56" t="str">
        <f t="shared" si="4"/>
        <v>Trd_lcv</v>
      </c>
      <c r="M56" s="380">
        <f t="shared" si="11"/>
        <v>99213.7185822678</v>
      </c>
      <c r="N56" s="380">
        <f t="shared" si="12"/>
        <v>52428.018226086</v>
      </c>
      <c r="O56" s="380">
        <f t="shared" si="13"/>
        <v>50000.3633152236</v>
      </c>
      <c r="P56" s="380">
        <f t="shared" si="14"/>
        <v>50076.8935124655</v>
      </c>
      <c r="T56" t="str">
        <f t="shared" si="16"/>
        <v>Trd_lcv_gsl-pih_93</v>
      </c>
      <c r="U56" t="str">
        <f ca="1" t="shared" si="17"/>
        <v>ICE gasoline plug-in hybrid LCV -- 93%</v>
      </c>
      <c r="V56" s="383" t="s">
        <v>84</v>
      </c>
      <c r="W56" s="383" t="s">
        <v>85</v>
      </c>
    </row>
    <row r="57" spans="10:23">
      <c r="J57" t="str">
        <f t="shared" si="8"/>
        <v>Trd_lcv_gsl-pih</v>
      </c>
      <c r="K57" t="str">
        <f t="shared" si="3"/>
        <v>\I:</v>
      </c>
      <c r="L57" t="str">
        <f t="shared" si="4"/>
        <v>\I:</v>
      </c>
      <c r="M57" s="380" t="str">
        <f t="shared" si="11"/>
        <v/>
      </c>
      <c r="N57" s="380" t="str">
        <f t="shared" si="12"/>
        <v/>
      </c>
      <c r="O57" s="380" t="str">
        <f t="shared" si="13"/>
        <v/>
      </c>
      <c r="P57" s="380" t="str">
        <f t="shared" si="14"/>
        <v/>
      </c>
      <c r="T57" t="str">
        <f t="shared" si="16"/>
        <v>\I:</v>
      </c>
      <c r="U57" t="str">
        <f ca="1" t="shared" si="17"/>
        <v>ICE gasoline plug-in hybrid LCV -- 00%</v>
      </c>
      <c r="V57" s="383" t="s">
        <v>84</v>
      </c>
      <c r="W57" s="383" t="s">
        <v>85</v>
      </c>
    </row>
    <row r="58" spans="10:23">
      <c r="J58" t="str">
        <f t="shared" si="8"/>
        <v>Trd_lcv_gsl-pih</v>
      </c>
      <c r="K58" t="str">
        <f t="shared" si="3"/>
        <v>\I:</v>
      </c>
      <c r="L58" t="str">
        <f t="shared" si="4"/>
        <v>\I:</v>
      </c>
      <c r="M58" s="380" t="str">
        <f t="shared" si="11"/>
        <v/>
      </c>
      <c r="N58" s="380" t="str">
        <f t="shared" si="12"/>
        <v/>
      </c>
      <c r="O58" s="380" t="str">
        <f t="shared" si="13"/>
        <v/>
      </c>
      <c r="P58" s="380" t="str">
        <f t="shared" si="14"/>
        <v/>
      </c>
      <c r="T58" t="str">
        <f t="shared" si="16"/>
        <v>\I:</v>
      </c>
      <c r="U58" t="str">
        <f ca="1" t="shared" si="17"/>
        <v>ICE gasoline plug-in hybrid LCV -- 00%</v>
      </c>
      <c r="V58" s="383" t="s">
        <v>84</v>
      </c>
      <c r="W58" s="383" t="s">
        <v>85</v>
      </c>
    </row>
    <row r="59" spans="10:23">
      <c r="J59" t="str">
        <f t="shared" si="8"/>
        <v>Trd_lcv_gsl-pih</v>
      </c>
      <c r="K59" t="str">
        <f t="shared" si="3"/>
        <v>\I:</v>
      </c>
      <c r="L59" t="str">
        <f t="shared" si="4"/>
        <v>\I:</v>
      </c>
      <c r="M59" s="380" t="str">
        <f t="shared" si="11"/>
        <v/>
      </c>
      <c r="N59" s="380" t="str">
        <f t="shared" si="12"/>
        <v/>
      </c>
      <c r="O59" s="380" t="str">
        <f t="shared" si="13"/>
        <v/>
      </c>
      <c r="P59" s="380" t="str">
        <f t="shared" si="14"/>
        <v/>
      </c>
      <c r="T59" t="str">
        <f t="shared" si="16"/>
        <v>\I:</v>
      </c>
      <c r="U59" t="str">
        <f ca="1" t="shared" si="17"/>
        <v>ICE gasoline plug-in hybrid LCV -- 00%</v>
      </c>
      <c r="V59" s="383" t="s">
        <v>84</v>
      </c>
      <c r="W59" s="383" t="s">
        <v>85</v>
      </c>
    </row>
    <row r="60" spans="10:23">
      <c r="J60" t="str">
        <f t="shared" si="8"/>
        <v>Trd_lcv_gsl-pih</v>
      </c>
      <c r="K60" t="str">
        <f t="shared" si="3"/>
        <v>\I:</v>
      </c>
      <c r="L60" t="str">
        <f t="shared" si="4"/>
        <v>\I:</v>
      </c>
      <c r="M60" s="380" t="str">
        <f t="shared" si="11"/>
        <v/>
      </c>
      <c r="N60" s="380" t="str">
        <f t="shared" si="12"/>
        <v/>
      </c>
      <c r="O60" s="380" t="str">
        <f t="shared" si="13"/>
        <v/>
      </c>
      <c r="P60" s="380" t="str">
        <f t="shared" si="14"/>
        <v/>
      </c>
      <c r="T60" t="str">
        <f t="shared" si="16"/>
        <v>\I:</v>
      </c>
      <c r="U60" t="str">
        <f ca="1" t="shared" si="17"/>
        <v>ICE gasoline plug-in hybrid LCV -- 00%</v>
      </c>
      <c r="V60" s="383" t="s">
        <v>84</v>
      </c>
      <c r="W60" s="383" t="s">
        <v>85</v>
      </c>
    </row>
    <row r="61" spans="2:23">
      <c r="B61" s="43" t="s">
        <v>106</v>
      </c>
      <c r="J61" t="str">
        <f t="shared" si="8"/>
        <v>Trd_lcv_gsl-pih</v>
      </c>
      <c r="K61" t="str">
        <f t="shared" si="3"/>
        <v>\I:</v>
      </c>
      <c r="L61" t="str">
        <f t="shared" si="4"/>
        <v>\I:</v>
      </c>
      <c r="M61" s="380" t="str">
        <f t="shared" si="11"/>
        <v/>
      </c>
      <c r="N61" s="380" t="str">
        <f t="shared" si="12"/>
        <v/>
      </c>
      <c r="O61" s="380" t="str">
        <f t="shared" si="13"/>
        <v/>
      </c>
      <c r="P61" s="380" t="str">
        <f t="shared" si="14"/>
        <v/>
      </c>
      <c r="T61" t="str">
        <f t="shared" si="16"/>
        <v>\I:</v>
      </c>
      <c r="U61" t="str">
        <f ca="1" t="shared" si="17"/>
        <v>ICE gasoline plug-in hybrid LCV -- Reference values for diesel LCV</v>
      </c>
      <c r="V61" s="383" t="s">
        <v>84</v>
      </c>
      <c r="W61" s="383" t="s">
        <v>85</v>
      </c>
    </row>
    <row r="62" spans="2:23">
      <c r="B62" s="44">
        <v>2015</v>
      </c>
      <c r="C62" s="372"/>
      <c r="D62" s="44"/>
      <c r="J62" t="str">
        <f t="shared" si="8"/>
        <v>Trd_lcv_gsl-pih</v>
      </c>
      <c r="K62" t="str">
        <f t="shared" si="3"/>
        <v>\I:</v>
      </c>
      <c r="L62" t="str">
        <f t="shared" si="4"/>
        <v>\I:</v>
      </c>
      <c r="M62" s="380" t="str">
        <f t="shared" si="11"/>
        <v/>
      </c>
      <c r="N62" s="380" t="str">
        <f t="shared" si="12"/>
        <v/>
      </c>
      <c r="O62" s="380" t="str">
        <f t="shared" si="13"/>
        <v/>
      </c>
      <c r="P62" s="380" t="str">
        <f t="shared" si="14"/>
        <v/>
      </c>
      <c r="T62" t="str">
        <f t="shared" si="16"/>
        <v>\I:</v>
      </c>
      <c r="U62" t="str">
        <f ca="1" t="shared" si="17"/>
        <v>ICE gasoline plug-in hybrid LCV -- 201500%</v>
      </c>
      <c r="V62" s="383" t="s">
        <v>84</v>
      </c>
      <c r="W62" s="383" t="s">
        <v>85</v>
      </c>
    </row>
    <row r="63" spans="2:23">
      <c r="B63" s="45" t="s">
        <v>12</v>
      </c>
      <c r="C63" s="46" t="s">
        <v>13</v>
      </c>
      <c r="D63" s="47">
        <v>6.93202988379299</v>
      </c>
      <c r="G63" s="77">
        <f>D63*F8/100*10^9/10^6</f>
        <v>2.63417135584134</v>
      </c>
      <c r="H63" s="77"/>
      <c r="I63" s="373">
        <f>1/G63</f>
        <v>0.379626024625345</v>
      </c>
      <c r="J63" t="str">
        <f t="shared" si="8"/>
        <v>Trd_lcv_gsl-pih</v>
      </c>
      <c r="K63" t="str">
        <f t="shared" si="3"/>
        <v>\I:</v>
      </c>
      <c r="L63" t="str">
        <f t="shared" si="4"/>
        <v>\I:</v>
      </c>
      <c r="M63" s="380" t="str">
        <f t="shared" si="11"/>
        <v/>
      </c>
      <c r="N63" s="380" t="str">
        <f t="shared" si="12"/>
        <v/>
      </c>
      <c r="O63" s="380" t="str">
        <f t="shared" si="13"/>
        <v/>
      </c>
      <c r="P63" s="380" t="str">
        <f t="shared" si="14"/>
        <v/>
      </c>
      <c r="T63" t="str">
        <f t="shared" si="16"/>
        <v>\I:</v>
      </c>
      <c r="U63" t="str">
        <f ca="1" t="shared" si="17"/>
        <v>ICE gasoline plug-in hybrid LCV -- Energy consumption</v>
      </c>
      <c r="V63" s="383" t="s">
        <v>84</v>
      </c>
      <c r="W63" s="383" t="s">
        <v>85</v>
      </c>
    </row>
    <row r="64" spans="2:23">
      <c r="B64" s="45" t="s">
        <v>14</v>
      </c>
      <c r="C64" s="46" t="s">
        <v>15</v>
      </c>
      <c r="D64" s="68">
        <v>21231.3607830263</v>
      </c>
      <c r="I64" s="385" t="s">
        <v>70</v>
      </c>
      <c r="J64" t="str">
        <f t="shared" si="8"/>
        <v>Trd_lcv_gsl-pih</v>
      </c>
      <c r="K64" t="str">
        <f t="shared" si="3"/>
        <v>\I:</v>
      </c>
      <c r="L64" t="str">
        <f t="shared" si="4"/>
        <v>\I:</v>
      </c>
      <c r="M64" s="380" t="str">
        <f t="shared" si="11"/>
        <v/>
      </c>
      <c r="N64" s="380" t="str">
        <f t="shared" si="12"/>
        <v/>
      </c>
      <c r="O64" s="380" t="str">
        <f t="shared" si="13"/>
        <v/>
      </c>
      <c r="P64" s="380" t="str">
        <f t="shared" si="14"/>
        <v/>
      </c>
      <c r="T64" t="str">
        <f t="shared" si="16"/>
        <v>\I:</v>
      </c>
      <c r="U64" t="str">
        <f ca="1" t="shared" si="17"/>
        <v>ICE gasoline plug-in hybrid LCV -- Capital cost</v>
      </c>
      <c r="V64" s="383" t="s">
        <v>84</v>
      </c>
      <c r="W64" s="383" t="s">
        <v>85</v>
      </c>
    </row>
    <row r="65" spans="10:23">
      <c r="J65" t="str">
        <f t="shared" si="8"/>
        <v>Trd_lcv_gsl-pih</v>
      </c>
      <c r="K65" t="str">
        <f t="shared" si="3"/>
        <v>\I:</v>
      </c>
      <c r="L65" t="str">
        <f t="shared" si="4"/>
        <v>\I:</v>
      </c>
      <c r="M65" s="380" t="str">
        <f t="shared" si="11"/>
        <v/>
      </c>
      <c r="N65" s="380" t="str">
        <f t="shared" si="12"/>
        <v/>
      </c>
      <c r="O65" s="380" t="str">
        <f t="shared" si="13"/>
        <v/>
      </c>
      <c r="P65" s="380" t="str">
        <f t="shared" si="14"/>
        <v/>
      </c>
      <c r="T65" t="str">
        <f t="shared" si="16"/>
        <v>\I:</v>
      </c>
      <c r="U65" t="str">
        <f ca="1" t="shared" si="17"/>
        <v>ICE gasoline plug-in hybrid LCV -- 00%</v>
      </c>
      <c r="V65" s="383" t="s">
        <v>84</v>
      </c>
      <c r="W65" s="383" t="s">
        <v>85</v>
      </c>
    </row>
    <row r="66" ht="15" customHeight="1" spans="2:23">
      <c r="B66" s="48" t="s">
        <v>21</v>
      </c>
      <c r="C66" s="374" t="s">
        <v>98</v>
      </c>
      <c r="D66" s="48"/>
      <c r="E66" s="48"/>
      <c r="F66" s="48"/>
      <c r="J66" t="str">
        <f t="shared" si="8"/>
        <v>Trd_lcv_dsl</v>
      </c>
      <c r="K66" t="str">
        <f t="shared" si="3"/>
        <v>\I:</v>
      </c>
      <c r="L66" t="str">
        <f t="shared" si="4"/>
        <v>\I:</v>
      </c>
      <c r="M66" s="380" t="str">
        <f t="shared" si="11"/>
        <v/>
      </c>
      <c r="N66" s="380" t="str">
        <f t="shared" si="12"/>
        <v/>
      </c>
      <c r="O66" s="380" t="str">
        <f t="shared" si="13"/>
        <v/>
      </c>
      <c r="P66" s="380" t="str">
        <f t="shared" si="14"/>
        <v/>
      </c>
      <c r="T66" t="str">
        <f t="shared" si="16"/>
        <v>\I:</v>
      </c>
      <c r="U66" t="str">
        <f ca="1" t="shared" si="17"/>
        <v>ICE diesel LCV -- Reduction of specific energy consumption relative to 2015 diesel vehicle (%)</v>
      </c>
      <c r="V66" s="383" t="s">
        <v>84</v>
      </c>
      <c r="W66" s="383" t="s">
        <v>85</v>
      </c>
    </row>
    <row r="67" spans="2:23">
      <c r="B67" s="48"/>
      <c r="C67" s="374"/>
      <c r="D67" s="48"/>
      <c r="E67" s="48"/>
      <c r="F67" s="48"/>
      <c r="J67" t="str">
        <f t="shared" si="8"/>
        <v>Trd_lcv_dsl</v>
      </c>
      <c r="K67" t="str">
        <f t="shared" si="3"/>
        <v>\I:</v>
      </c>
      <c r="L67" t="str">
        <f t="shared" si="4"/>
        <v>\I:</v>
      </c>
      <c r="M67" s="380" t="str">
        <f t="shared" si="11"/>
        <v/>
      </c>
      <c r="N67" s="380" t="str">
        <f t="shared" si="12"/>
        <v/>
      </c>
      <c r="O67" s="380" t="str">
        <f t="shared" si="13"/>
        <v/>
      </c>
      <c r="P67" s="380" t="str">
        <f t="shared" si="14"/>
        <v/>
      </c>
      <c r="T67" t="str">
        <f t="shared" si="16"/>
        <v>\I:</v>
      </c>
      <c r="U67" t="str">
        <f ca="1" t="shared" si="17"/>
        <v>ICE diesel LCV -- 00%</v>
      </c>
      <c r="V67" s="383" t="s">
        <v>84</v>
      </c>
      <c r="W67" s="383" t="s">
        <v>85</v>
      </c>
    </row>
    <row r="68" spans="2:23">
      <c r="B68" s="48"/>
      <c r="C68" s="374"/>
      <c r="D68" s="48"/>
      <c r="E68" s="48"/>
      <c r="F68" s="48"/>
      <c r="J68" t="str">
        <f t="shared" si="8"/>
        <v>Trd_lcv_dsl</v>
      </c>
      <c r="K68" t="str">
        <f t="shared" si="3"/>
        <v>\I:</v>
      </c>
      <c r="L68" t="str">
        <f t="shared" si="4"/>
        <v>\I:</v>
      </c>
      <c r="M68" s="380" t="str">
        <f t="shared" si="11"/>
        <v/>
      </c>
      <c r="N68" s="380" t="str">
        <f t="shared" si="12"/>
        <v/>
      </c>
      <c r="O68" s="380" t="str">
        <f t="shared" si="13"/>
        <v/>
      </c>
      <c r="P68" s="380" t="str">
        <f t="shared" si="14"/>
        <v/>
      </c>
      <c r="T68" t="str">
        <f t="shared" si="16"/>
        <v>\I:</v>
      </c>
      <c r="U68" t="str">
        <f ca="1" t="shared" si="17"/>
        <v>ICE diesel LCV -- 00%</v>
      </c>
      <c r="V68" s="383" t="s">
        <v>84</v>
      </c>
      <c r="W68" s="383" t="s">
        <v>85</v>
      </c>
    </row>
    <row r="69" spans="2:23">
      <c r="B69" s="88"/>
      <c r="C69" s="415">
        <v>2020</v>
      </c>
      <c r="D69" s="50">
        <v>2030</v>
      </c>
      <c r="E69" s="50">
        <v>2040</v>
      </c>
      <c r="F69" s="50">
        <v>2050</v>
      </c>
      <c r="I69" s="373">
        <v>1</v>
      </c>
      <c r="J69" s="43" t="str">
        <f t="shared" ref="J69" si="19">IFERROR(VLOOKUP(C69,$R$1:$S$11,2,FALSE),J68)</f>
        <v>Trd_lcv_dsl</v>
      </c>
      <c r="K69" s="43" t="str">
        <f>IFERROR(IF(VALUE(C69)&gt;200,J69&amp;"_"&amp;TEXT(B69*100,"00"),"\I:"),"\I:")</f>
        <v>Trd_lcv_dsl_00</v>
      </c>
      <c r="L69" t="str">
        <f t="shared" si="4"/>
        <v>Trd_lcv</v>
      </c>
      <c r="M69" s="418">
        <f>D64</f>
        <v>21231.3607830263</v>
      </c>
      <c r="N69" s="380"/>
      <c r="O69" s="380"/>
      <c r="P69" s="380"/>
      <c r="T69" t="str">
        <f t="shared" si="16"/>
        <v>Trd_lcv_dsl_00</v>
      </c>
      <c r="U69" t="str">
        <f ca="1" t="shared" si="17"/>
        <v>ICE diesel LCV -- 00%</v>
      </c>
      <c r="V69" s="383" t="s">
        <v>84</v>
      </c>
      <c r="W69" s="383" t="s">
        <v>85</v>
      </c>
    </row>
    <row r="70" spans="2:23">
      <c r="B70" s="85">
        <v>0.26210919523592</v>
      </c>
      <c r="C70" s="416">
        <v>22474.2283094357</v>
      </c>
      <c r="D70" s="86">
        <v>21602.1923061418</v>
      </c>
      <c r="E70" s="86">
        <v>21602.1923061418</v>
      </c>
      <c r="F70" s="86">
        <v>21602.1923061418</v>
      </c>
      <c r="I70" s="77">
        <f>$I$63*(1+B70)/$I$11</f>
        <v>1.28551778942495</v>
      </c>
      <c r="J70" t="str">
        <f t="shared" si="8"/>
        <v>Trd_lcv_dsl</v>
      </c>
      <c r="K70" t="str">
        <f t="shared" si="3"/>
        <v>Trd_lcv_dsl_26</v>
      </c>
      <c r="L70" t="str">
        <f t="shared" si="4"/>
        <v>Trd_lcv</v>
      </c>
      <c r="M70" s="380">
        <f t="shared" si="11"/>
        <v>22474.2283094357</v>
      </c>
      <c r="N70" s="380">
        <f t="shared" si="12"/>
        <v>21602.1923061418</v>
      </c>
      <c r="O70" s="380">
        <f t="shared" si="13"/>
        <v>21602.1923061418</v>
      </c>
      <c r="P70" s="380">
        <f t="shared" si="14"/>
        <v>21602.1923061418</v>
      </c>
      <c r="T70" t="str">
        <f t="shared" si="16"/>
        <v>Trd_lcv_dsl_26</v>
      </c>
      <c r="U70" t="str">
        <f ca="1" t="shared" si="17"/>
        <v>ICE diesel LCV -- 26%</v>
      </c>
      <c r="V70" s="383" t="s">
        <v>84</v>
      </c>
      <c r="W70" s="383" t="s">
        <v>85</v>
      </c>
    </row>
    <row r="71" spans="2:23">
      <c r="B71" s="85">
        <v>0.36210919523592</v>
      </c>
      <c r="C71" s="416">
        <v>26916.5341573593</v>
      </c>
      <c r="D71" s="86">
        <v>22758.9400528979</v>
      </c>
      <c r="E71" s="86">
        <v>22758.9400528979</v>
      </c>
      <c r="F71" s="86">
        <v>22758.9400528979</v>
      </c>
      <c r="I71" s="77">
        <f>$I$63*(1+B71)/$I$11</f>
        <v>1.38737250962487</v>
      </c>
      <c r="J71" t="str">
        <f t="shared" si="8"/>
        <v>Trd_lcv_dsl</v>
      </c>
      <c r="K71" t="str">
        <f t="shared" si="3"/>
        <v>Trd_lcv_dsl_36</v>
      </c>
      <c r="L71" t="str">
        <f t="shared" si="4"/>
        <v>Trd_lcv</v>
      </c>
      <c r="M71" s="380">
        <f t="shared" si="11"/>
        <v>26916.5341573593</v>
      </c>
      <c r="N71" s="380">
        <f t="shared" si="12"/>
        <v>22758.9400528979</v>
      </c>
      <c r="O71" s="380">
        <f t="shared" si="13"/>
        <v>22758.9400528979</v>
      </c>
      <c r="P71" s="380">
        <f t="shared" si="14"/>
        <v>22758.9400528979</v>
      </c>
      <c r="T71" t="str">
        <f t="shared" si="16"/>
        <v>Trd_lcv_dsl_36</v>
      </c>
      <c r="U71" t="str">
        <f ca="1" t="shared" si="17"/>
        <v>ICE diesel LCV -- 36%</v>
      </c>
      <c r="V71" s="383" t="s">
        <v>84</v>
      </c>
      <c r="W71" s="383" t="s">
        <v>85</v>
      </c>
    </row>
    <row r="72" spans="2:23">
      <c r="B72" s="85">
        <v>0.41210919523592</v>
      </c>
      <c r="C72" s="416">
        <v>36866.5037549578</v>
      </c>
      <c r="D72" s="86">
        <v>24797.8982314302</v>
      </c>
      <c r="E72" s="86">
        <v>24797.8982314302</v>
      </c>
      <c r="F72" s="86">
        <v>24797.8982314302</v>
      </c>
      <c r="I72" s="77">
        <f>$I$63*(1+B72)/$I$11</f>
        <v>1.43829986972482</v>
      </c>
      <c r="J72" t="str">
        <f t="shared" si="8"/>
        <v>Trd_lcv_dsl</v>
      </c>
      <c r="K72" t="str">
        <f t="shared" si="3"/>
        <v>Trd_lcv_dsl_41</v>
      </c>
      <c r="L72" t="str">
        <f t="shared" si="4"/>
        <v>Trd_lcv</v>
      </c>
      <c r="M72" s="380">
        <f t="shared" si="11"/>
        <v>36866.5037549578</v>
      </c>
      <c r="N72" s="380">
        <f t="shared" si="12"/>
        <v>24797.8982314302</v>
      </c>
      <c r="O72" s="380">
        <f t="shared" si="13"/>
        <v>24797.8982314302</v>
      </c>
      <c r="P72" s="380">
        <f t="shared" si="14"/>
        <v>24797.8982314302</v>
      </c>
      <c r="T72" t="str">
        <f t="shared" si="16"/>
        <v>Trd_lcv_dsl_41</v>
      </c>
      <c r="U72" t="str">
        <f ca="1" t="shared" si="17"/>
        <v>ICE diesel LCV -- 41%</v>
      </c>
      <c r="V72" s="383" t="s">
        <v>84</v>
      </c>
      <c r="W72" s="383" t="s">
        <v>85</v>
      </c>
    </row>
    <row r="73" spans="2:23">
      <c r="B73" s="85">
        <v>0.46210919523592</v>
      </c>
      <c r="C73" s="416">
        <v>111418.876548986</v>
      </c>
      <c r="D73" s="86">
        <v>30833.7589860951</v>
      </c>
      <c r="E73" s="86">
        <v>30833.7589860951</v>
      </c>
      <c r="F73" s="86">
        <v>30833.7589860951</v>
      </c>
      <c r="I73" s="77">
        <f>$I$63*(1+B73)/$I$11</f>
        <v>1.48922722982478</v>
      </c>
      <c r="J73" t="str">
        <f t="shared" si="8"/>
        <v>Trd_lcv_dsl</v>
      </c>
      <c r="K73" t="str">
        <f t="shared" si="3"/>
        <v>Trd_lcv_dsl_46</v>
      </c>
      <c r="L73" t="str">
        <f t="shared" si="4"/>
        <v>Trd_lcv</v>
      </c>
      <c r="M73" s="380">
        <f t="shared" si="11"/>
        <v>111418.876548986</v>
      </c>
      <c r="N73" s="380">
        <f t="shared" si="12"/>
        <v>30833.7589860951</v>
      </c>
      <c r="O73" s="380">
        <f t="shared" si="13"/>
        <v>30833.7589860951</v>
      </c>
      <c r="P73" s="380">
        <f t="shared" si="14"/>
        <v>30833.7589860951</v>
      </c>
      <c r="T73" t="str">
        <f t="shared" si="16"/>
        <v>Trd_lcv_dsl_46</v>
      </c>
      <c r="U73" t="str">
        <f ca="1" t="shared" si="17"/>
        <v>ICE diesel LCV -- 46%</v>
      </c>
      <c r="V73" s="383" t="s">
        <v>84</v>
      </c>
      <c r="W73" s="383" t="s">
        <v>85</v>
      </c>
    </row>
    <row r="74" spans="2:23">
      <c r="B74" s="85">
        <v>0.51210919523592</v>
      </c>
      <c r="C74" s="416"/>
      <c r="D74" s="86">
        <v>86441.8011430764</v>
      </c>
      <c r="E74" s="86">
        <v>86441.8011430764</v>
      </c>
      <c r="F74" s="86">
        <v>86441.8011430764</v>
      </c>
      <c r="I74" s="77">
        <f>$I$63*(1+B74)/$I$11</f>
        <v>1.54015458992474</v>
      </c>
      <c r="J74" t="str">
        <f t="shared" si="8"/>
        <v>Trd_lcv_dsl</v>
      </c>
      <c r="K74" t="str">
        <f t="shared" si="3"/>
        <v>\I:</v>
      </c>
      <c r="L74" t="str">
        <f t="shared" si="4"/>
        <v>\I:</v>
      </c>
      <c r="M74" s="380" t="str">
        <f t="shared" si="11"/>
        <v/>
      </c>
      <c r="N74" s="380" t="str">
        <f t="shared" si="12"/>
        <v/>
      </c>
      <c r="O74" s="380" t="str">
        <f t="shared" si="13"/>
        <v/>
      </c>
      <c r="P74" s="380" t="str">
        <f t="shared" si="14"/>
        <v/>
      </c>
      <c r="T74" t="str">
        <f t="shared" si="16"/>
        <v>\I:</v>
      </c>
      <c r="U74" t="str">
        <f ca="1" t="shared" si="17"/>
        <v>ICE diesel LCV -- 51%</v>
      </c>
      <c r="V74" s="383" t="s">
        <v>84</v>
      </c>
      <c r="W74" s="383" t="s">
        <v>85</v>
      </c>
    </row>
    <row r="75" spans="4:23">
      <c r="D75" s="97"/>
      <c r="E75" s="97"/>
      <c r="F75" s="97"/>
      <c r="J75" t="str">
        <f t="shared" si="8"/>
        <v>Trd_lcv_dsl</v>
      </c>
      <c r="K75" t="str">
        <f t="shared" si="3"/>
        <v>\I:</v>
      </c>
      <c r="L75" t="str">
        <f t="shared" si="4"/>
        <v>\I:</v>
      </c>
      <c r="M75" s="380" t="str">
        <f t="shared" si="11"/>
        <v/>
      </c>
      <c r="N75" s="380" t="str">
        <f t="shared" si="12"/>
        <v/>
      </c>
      <c r="O75" s="380" t="str">
        <f t="shared" si="13"/>
        <v/>
      </c>
      <c r="P75" s="380" t="str">
        <f t="shared" si="14"/>
        <v/>
      </c>
      <c r="T75" t="str">
        <f t="shared" si="16"/>
        <v>\I:</v>
      </c>
      <c r="U75" t="str">
        <f ca="1" t="shared" si="17"/>
        <v>ICE diesel LCV -- 00%</v>
      </c>
      <c r="V75" s="383" t="s">
        <v>84</v>
      </c>
      <c r="W75" s="383" t="s">
        <v>85</v>
      </c>
    </row>
    <row r="76" spans="10:23">
      <c r="J76" t="str">
        <f t="shared" si="8"/>
        <v>Trd_lcv_dsl</v>
      </c>
      <c r="K76" t="str">
        <f t="shared" si="3"/>
        <v>\I:</v>
      </c>
      <c r="L76" t="str">
        <f t="shared" si="4"/>
        <v>\I:</v>
      </c>
      <c r="M76" s="380" t="str">
        <f t="shared" si="11"/>
        <v/>
      </c>
      <c r="N76" s="380" t="str">
        <f t="shared" si="12"/>
        <v/>
      </c>
      <c r="O76" s="380" t="str">
        <f t="shared" si="13"/>
        <v/>
      </c>
      <c r="P76" s="380" t="str">
        <f t="shared" si="14"/>
        <v/>
      </c>
      <c r="T76" t="str">
        <f t="shared" si="16"/>
        <v>\I:</v>
      </c>
      <c r="U76" t="str">
        <f ca="1" t="shared" si="17"/>
        <v>ICE diesel LCV -- 00%</v>
      </c>
      <c r="V76" s="383" t="s">
        <v>84</v>
      </c>
      <c r="W76" s="383" t="s">
        <v>85</v>
      </c>
    </row>
    <row r="77" spans="10:23">
      <c r="J77" t="str">
        <f t="shared" si="8"/>
        <v>Trd_lcv_dsl</v>
      </c>
      <c r="K77" t="str">
        <f t="shared" si="3"/>
        <v>\I:</v>
      </c>
      <c r="L77" t="str">
        <f t="shared" si="4"/>
        <v>\I:</v>
      </c>
      <c r="M77" s="380" t="str">
        <f t="shared" si="11"/>
        <v/>
      </c>
      <c r="N77" s="380" t="str">
        <f t="shared" si="12"/>
        <v/>
      </c>
      <c r="O77" s="380" t="str">
        <f t="shared" si="13"/>
        <v/>
      </c>
      <c r="P77" s="380" t="str">
        <f t="shared" si="14"/>
        <v/>
      </c>
      <c r="T77" t="str">
        <f t="shared" si="16"/>
        <v>\I:</v>
      </c>
      <c r="U77" t="str">
        <f ca="1" t="shared" si="17"/>
        <v>ICE diesel LCV -- 00%</v>
      </c>
      <c r="V77" s="383" t="s">
        <v>84</v>
      </c>
      <c r="W77" s="383" t="s">
        <v>85</v>
      </c>
    </row>
    <row r="78" spans="10:23">
      <c r="J78" t="str">
        <f t="shared" si="8"/>
        <v>Trd_lcv_dsl</v>
      </c>
      <c r="K78" t="str">
        <f t="shared" si="3"/>
        <v>\I:</v>
      </c>
      <c r="L78" t="str">
        <f t="shared" si="4"/>
        <v>\I:</v>
      </c>
      <c r="M78" s="380" t="str">
        <f t="shared" si="11"/>
        <v/>
      </c>
      <c r="N78" s="380" t="str">
        <f t="shared" si="12"/>
        <v/>
      </c>
      <c r="O78" s="380" t="str">
        <f t="shared" si="13"/>
        <v/>
      </c>
      <c r="P78" s="380" t="str">
        <f t="shared" si="14"/>
        <v/>
      </c>
      <c r="T78" t="str">
        <f t="shared" si="16"/>
        <v>\I:</v>
      </c>
      <c r="U78" t="str">
        <f ca="1" t="shared" si="17"/>
        <v>ICE diesel LCV -- 00%</v>
      </c>
      <c r="V78" s="383" t="s">
        <v>84</v>
      </c>
      <c r="W78" s="383" t="s">
        <v>85</v>
      </c>
    </row>
    <row r="79" ht="15" customHeight="1" spans="2:23">
      <c r="B79" s="48" t="s">
        <v>21</v>
      </c>
      <c r="C79" s="374" t="s">
        <v>99</v>
      </c>
      <c r="D79" s="48"/>
      <c r="E79" s="48"/>
      <c r="F79" s="48"/>
      <c r="J79" t="str">
        <f t="shared" si="8"/>
        <v>Trd_lcv_dsl-hyb</v>
      </c>
      <c r="K79" t="str">
        <f t="shared" si="3"/>
        <v>\I:</v>
      </c>
      <c r="L79" t="str">
        <f t="shared" si="4"/>
        <v>\I:</v>
      </c>
      <c r="M79" s="380" t="str">
        <f t="shared" si="11"/>
        <v/>
      </c>
      <c r="N79" s="380" t="str">
        <f t="shared" si="12"/>
        <v/>
      </c>
      <c r="O79" s="380" t="str">
        <f t="shared" si="13"/>
        <v/>
      </c>
      <c r="P79" s="380" t="str">
        <f t="shared" si="14"/>
        <v/>
      </c>
      <c r="T79" t="str">
        <f t="shared" si="16"/>
        <v>\I:</v>
      </c>
      <c r="U79" t="str">
        <f ca="1" t="shared" si="17"/>
        <v>ICE hybrid diesel LCV -- Reduction of specific energy consumption relative to 2015 diesel vehicle (%)</v>
      </c>
      <c r="V79" s="383" t="s">
        <v>84</v>
      </c>
      <c r="W79" s="383" t="s">
        <v>85</v>
      </c>
    </row>
    <row r="80" spans="2:23">
      <c r="B80" s="48"/>
      <c r="C80" s="374"/>
      <c r="D80" s="48"/>
      <c r="E80" s="48"/>
      <c r="F80" s="48"/>
      <c r="J80" t="str">
        <f t="shared" si="8"/>
        <v>Trd_lcv_dsl-hyb</v>
      </c>
      <c r="K80" t="str">
        <f t="shared" si="3"/>
        <v>\I:</v>
      </c>
      <c r="L80" t="str">
        <f t="shared" si="4"/>
        <v>\I:</v>
      </c>
      <c r="M80" s="380" t="str">
        <f t="shared" si="11"/>
        <v/>
      </c>
      <c r="N80" s="380" t="str">
        <f t="shared" si="12"/>
        <v/>
      </c>
      <c r="O80" s="380" t="str">
        <f t="shared" si="13"/>
        <v/>
      </c>
      <c r="P80" s="380" t="str">
        <f t="shared" si="14"/>
        <v/>
      </c>
      <c r="T80" t="str">
        <f t="shared" ref="T80:T111" si="20">K80</f>
        <v>\I:</v>
      </c>
      <c r="U80" t="str">
        <f ca="1" t="shared" ref="U80:U111" si="21">OFFSET($S$1,MATCH(J80,$S$1:$S$10,0)-1,-1)&amp;" -- "&amp;TEXT(B80,"00%")</f>
        <v>ICE hybrid diesel LCV -- 00%</v>
      </c>
      <c r="V80" s="383" t="s">
        <v>84</v>
      </c>
      <c r="W80" s="383" t="s">
        <v>85</v>
      </c>
    </row>
    <row r="81" spans="2:23">
      <c r="B81" s="48"/>
      <c r="C81" s="374"/>
      <c r="D81" s="48"/>
      <c r="E81" s="48"/>
      <c r="F81" s="48"/>
      <c r="J81" t="str">
        <f t="shared" si="8"/>
        <v>Trd_lcv_dsl-hyb</v>
      </c>
      <c r="K81" t="str">
        <f t="shared" ref="K81:K144" si="22">IFERROR(IF(VALUE(C81)&gt;2020,J81&amp;"_"&amp;TEXT(B81*100,"00"),"\I:"),"\I:")</f>
        <v>\I:</v>
      </c>
      <c r="L81" t="str">
        <f t="shared" ref="L81:L144" si="23">LEFT(K81,7)</f>
        <v>\I:</v>
      </c>
      <c r="M81" s="380" t="str">
        <f t="shared" si="11"/>
        <v/>
      </c>
      <c r="N81" s="380" t="str">
        <f t="shared" si="12"/>
        <v/>
      </c>
      <c r="O81" s="380" t="str">
        <f t="shared" si="13"/>
        <v/>
      </c>
      <c r="P81" s="380" t="str">
        <f t="shared" si="14"/>
        <v/>
      </c>
      <c r="T81" t="str">
        <f t="shared" si="20"/>
        <v>\I:</v>
      </c>
      <c r="U81" t="str">
        <f ca="1" t="shared" si="21"/>
        <v>ICE hybrid diesel LCV -- 00%</v>
      </c>
      <c r="V81" s="383" t="s">
        <v>84</v>
      </c>
      <c r="W81" s="383" t="s">
        <v>85</v>
      </c>
    </row>
    <row r="82" spans="2:23">
      <c r="B82" s="88"/>
      <c r="C82" s="415">
        <v>2020</v>
      </c>
      <c r="D82" s="50">
        <v>2030</v>
      </c>
      <c r="E82" s="50">
        <v>2040</v>
      </c>
      <c r="F82" s="50">
        <v>2050</v>
      </c>
      <c r="J82" t="str">
        <f t="shared" si="8"/>
        <v>Trd_lcv_dsl-hyb</v>
      </c>
      <c r="K82" t="str">
        <f t="shared" si="22"/>
        <v>\I:</v>
      </c>
      <c r="L82" t="str">
        <f t="shared" si="23"/>
        <v>\I:</v>
      </c>
      <c r="M82" s="380" t="str">
        <f t="shared" si="11"/>
        <v/>
      </c>
      <c r="N82" s="380" t="str">
        <f t="shared" si="12"/>
        <v/>
      </c>
      <c r="O82" s="380" t="str">
        <f t="shared" si="13"/>
        <v/>
      </c>
      <c r="P82" s="380" t="str">
        <f t="shared" si="14"/>
        <v/>
      </c>
      <c r="T82" t="str">
        <f t="shared" si="20"/>
        <v>\I:</v>
      </c>
      <c r="U82" t="str">
        <f ca="1" t="shared" si="21"/>
        <v>ICE hybrid diesel LCV -- 00%</v>
      </c>
      <c r="V82" s="383" t="s">
        <v>84</v>
      </c>
      <c r="W82" s="383" t="s">
        <v>85</v>
      </c>
    </row>
    <row r="83" spans="2:23">
      <c r="B83" s="85">
        <v>0.110724303558803</v>
      </c>
      <c r="C83" s="416">
        <v>24678.6668661833</v>
      </c>
      <c r="D83" s="86">
        <v>23366.0686001195</v>
      </c>
      <c r="E83" s="86">
        <v>23366.0686001195</v>
      </c>
      <c r="F83" s="86">
        <v>23366.0686001195</v>
      </c>
      <c r="I83" s="77">
        <f t="shared" ref="I83:I89" si="24">$I$63*(1+B83)/$I$11</f>
        <v>1.13132513158228</v>
      </c>
      <c r="J83" t="str">
        <f t="shared" si="8"/>
        <v>Trd_lcv_dsl-hyb</v>
      </c>
      <c r="K83" t="str">
        <f t="shared" si="22"/>
        <v>Trd_lcv_dsl-hyb_11</v>
      </c>
      <c r="L83" t="str">
        <f t="shared" si="23"/>
        <v>Trd_lcv</v>
      </c>
      <c r="M83" s="380">
        <f t="shared" si="11"/>
        <v>24678.6668661833</v>
      </c>
      <c r="N83" s="380">
        <f t="shared" si="12"/>
        <v>23366.0686001195</v>
      </c>
      <c r="O83" s="380">
        <f t="shared" si="13"/>
        <v>23366.0686001195</v>
      </c>
      <c r="P83" s="380">
        <f t="shared" si="14"/>
        <v>23366.0686001195</v>
      </c>
      <c r="T83" t="str">
        <f t="shared" si="20"/>
        <v>Trd_lcv_dsl-hyb_11</v>
      </c>
      <c r="U83" t="str">
        <f ca="1" t="shared" si="21"/>
        <v>ICE hybrid diesel LCV -- 11%</v>
      </c>
      <c r="V83" s="383" t="s">
        <v>84</v>
      </c>
      <c r="W83" s="383" t="s">
        <v>85</v>
      </c>
    </row>
    <row r="84" spans="2:23">
      <c r="B84" s="85">
        <v>0.210724303558803</v>
      </c>
      <c r="C84" s="416">
        <v>24878.6334447431</v>
      </c>
      <c r="D84" s="86">
        <v>23501.1217209491</v>
      </c>
      <c r="E84" s="86">
        <v>23501.1217209491</v>
      </c>
      <c r="F84" s="86">
        <v>23501.1217209491</v>
      </c>
      <c r="I84" s="77">
        <f t="shared" si="24"/>
        <v>1.23317985178219</v>
      </c>
      <c r="J84" t="str">
        <f t="shared" ref="J84:J147" si="25">IFERROR(VLOOKUP(C84,$R$1:$S$10,2,FALSE),J83)</f>
        <v>Trd_lcv_dsl-hyb</v>
      </c>
      <c r="K84" t="str">
        <f t="shared" si="22"/>
        <v>Trd_lcv_dsl-hyb_21</v>
      </c>
      <c r="L84" t="str">
        <f t="shared" si="23"/>
        <v>Trd_lcv</v>
      </c>
      <c r="M84" s="380">
        <f t="shared" si="11"/>
        <v>24878.6334447431</v>
      </c>
      <c r="N84" s="380">
        <f t="shared" si="12"/>
        <v>23501.1217209491</v>
      </c>
      <c r="O84" s="380">
        <f t="shared" si="13"/>
        <v>23501.1217209491</v>
      </c>
      <c r="P84" s="380">
        <f t="shared" si="14"/>
        <v>23501.1217209491</v>
      </c>
      <c r="T84" t="str">
        <f t="shared" si="20"/>
        <v>Trd_lcv_dsl-hyb_21</v>
      </c>
      <c r="U84" t="str">
        <f ca="1" t="shared" si="21"/>
        <v>ICE hybrid diesel LCV -- 21%</v>
      </c>
      <c r="V84" s="383" t="s">
        <v>84</v>
      </c>
      <c r="W84" s="383" t="s">
        <v>85</v>
      </c>
    </row>
    <row r="85" spans="2:23">
      <c r="B85" s="85">
        <v>0.260724303558803</v>
      </c>
      <c r="C85" s="416">
        <v>25028.9645658107</v>
      </c>
      <c r="D85" s="86">
        <v>23634.9946579313</v>
      </c>
      <c r="E85" s="86">
        <v>23634.9946579313</v>
      </c>
      <c r="F85" s="86">
        <v>23634.9946579313</v>
      </c>
      <c r="I85" s="77">
        <f t="shared" si="24"/>
        <v>1.28410721188215</v>
      </c>
      <c r="J85" t="str">
        <f t="shared" si="25"/>
        <v>Trd_lcv_dsl-hyb</v>
      </c>
      <c r="K85" t="str">
        <f t="shared" si="22"/>
        <v>Trd_lcv_dsl-hyb_26</v>
      </c>
      <c r="L85" t="str">
        <f t="shared" si="23"/>
        <v>Trd_lcv</v>
      </c>
      <c r="M85" s="380">
        <f t="shared" si="11"/>
        <v>25028.9645658107</v>
      </c>
      <c r="N85" s="380">
        <f t="shared" si="12"/>
        <v>23634.9946579313</v>
      </c>
      <c r="O85" s="380">
        <f t="shared" si="13"/>
        <v>23634.9946579313</v>
      </c>
      <c r="P85" s="380">
        <f t="shared" si="14"/>
        <v>23634.9946579313</v>
      </c>
      <c r="T85" t="str">
        <f t="shared" si="20"/>
        <v>Trd_lcv_dsl-hyb_26</v>
      </c>
      <c r="U85" t="str">
        <f ca="1" t="shared" si="21"/>
        <v>ICE hybrid diesel LCV -- 26%</v>
      </c>
      <c r="V85" s="383" t="s">
        <v>84</v>
      </c>
      <c r="W85" s="383" t="s">
        <v>85</v>
      </c>
    </row>
    <row r="86" spans="2:23">
      <c r="B86" s="85">
        <v>0.310724303558803</v>
      </c>
      <c r="C86" s="416">
        <v>25273.0292990968</v>
      </c>
      <c r="D86" s="86">
        <v>23801.0752115564</v>
      </c>
      <c r="E86" s="86">
        <v>23801.0752115564</v>
      </c>
      <c r="F86" s="86">
        <v>23801.0752115564</v>
      </c>
      <c r="I86" s="77">
        <f t="shared" si="24"/>
        <v>1.33503457198211</v>
      </c>
      <c r="J86" t="str">
        <f t="shared" si="25"/>
        <v>Trd_lcv_dsl-hyb</v>
      </c>
      <c r="K86" t="str">
        <f t="shared" si="22"/>
        <v>Trd_lcv_dsl-hyb_31</v>
      </c>
      <c r="L86" t="str">
        <f t="shared" si="23"/>
        <v>Trd_lcv</v>
      </c>
      <c r="M86" s="380">
        <f t="shared" si="11"/>
        <v>25273.0292990968</v>
      </c>
      <c r="N86" s="380">
        <f t="shared" si="12"/>
        <v>23801.0752115564</v>
      </c>
      <c r="O86" s="380">
        <f t="shared" si="13"/>
        <v>23801.0752115564</v>
      </c>
      <c r="P86" s="380">
        <f t="shared" si="14"/>
        <v>23801.0752115564</v>
      </c>
      <c r="T86" t="str">
        <f t="shared" si="20"/>
        <v>Trd_lcv_dsl-hyb_31</v>
      </c>
      <c r="U86" t="str">
        <f ca="1" t="shared" si="21"/>
        <v>ICE hybrid diesel LCV -- 31%</v>
      </c>
      <c r="V86" s="383" t="s">
        <v>84</v>
      </c>
      <c r="W86" s="383" t="s">
        <v>85</v>
      </c>
    </row>
    <row r="87" spans="2:23">
      <c r="B87" s="85">
        <v>0.360724303558803</v>
      </c>
      <c r="C87" s="416">
        <v>25690.6061397019</v>
      </c>
      <c r="D87" s="86">
        <v>24014.7586359106</v>
      </c>
      <c r="E87" s="86">
        <v>24014.7586359106</v>
      </c>
      <c r="F87" s="86">
        <v>24014.7586359106</v>
      </c>
      <c r="I87" s="77">
        <f t="shared" si="24"/>
        <v>1.38596193208207</v>
      </c>
      <c r="J87" t="str">
        <f t="shared" si="25"/>
        <v>Trd_lcv_dsl-hyb</v>
      </c>
      <c r="K87" t="str">
        <f t="shared" si="22"/>
        <v>Trd_lcv_dsl-hyb_36</v>
      </c>
      <c r="L87" t="str">
        <f t="shared" si="23"/>
        <v>Trd_lcv</v>
      </c>
      <c r="M87" s="380">
        <f t="shared" si="11"/>
        <v>25690.6061397019</v>
      </c>
      <c r="N87" s="380">
        <f t="shared" si="12"/>
        <v>24014.7586359106</v>
      </c>
      <c r="O87" s="380">
        <f t="shared" si="13"/>
        <v>24014.7586359106</v>
      </c>
      <c r="P87" s="380">
        <f t="shared" si="14"/>
        <v>24014.7586359106</v>
      </c>
      <c r="T87" t="str">
        <f t="shared" si="20"/>
        <v>Trd_lcv_dsl-hyb_36</v>
      </c>
      <c r="U87" t="str">
        <f ca="1" t="shared" si="21"/>
        <v>ICE hybrid diesel LCV -- 36%</v>
      </c>
      <c r="V87" s="383" t="s">
        <v>84</v>
      </c>
      <c r="W87" s="383" t="s">
        <v>85</v>
      </c>
    </row>
    <row r="88" spans="2:23">
      <c r="B88" s="85">
        <v>0.410724303558803</v>
      </c>
      <c r="C88" s="416">
        <v>35262.6550538041</v>
      </c>
      <c r="D88" s="86">
        <v>24332.1326255198</v>
      </c>
      <c r="E88" s="86">
        <v>24332.1326255198</v>
      </c>
      <c r="F88" s="86">
        <v>24332.1326255198</v>
      </c>
      <c r="I88" s="77">
        <f t="shared" si="24"/>
        <v>1.43688929218202</v>
      </c>
      <c r="J88" t="str">
        <f t="shared" si="25"/>
        <v>Trd_lcv_dsl-hyb</v>
      </c>
      <c r="K88" t="str">
        <f t="shared" si="22"/>
        <v>Trd_lcv_dsl-hyb_41</v>
      </c>
      <c r="L88" t="str">
        <f t="shared" si="23"/>
        <v>Trd_lcv</v>
      </c>
      <c r="M88" s="380">
        <f t="shared" si="11"/>
        <v>35262.6550538041</v>
      </c>
      <c r="N88" s="380">
        <f t="shared" si="12"/>
        <v>24332.1326255198</v>
      </c>
      <c r="O88" s="380">
        <f t="shared" si="13"/>
        <v>24332.1326255198</v>
      </c>
      <c r="P88" s="380">
        <f t="shared" si="14"/>
        <v>24332.1326255198</v>
      </c>
      <c r="T88" t="str">
        <f t="shared" si="20"/>
        <v>Trd_lcv_dsl-hyb_41</v>
      </c>
      <c r="U88" t="str">
        <f ca="1" t="shared" si="21"/>
        <v>ICE hybrid diesel LCV -- 41%</v>
      </c>
      <c r="V88" s="383" t="s">
        <v>84</v>
      </c>
      <c r="W88" s="383" t="s">
        <v>85</v>
      </c>
    </row>
    <row r="89" spans="2:23">
      <c r="B89" s="85">
        <v>0.460724303558803</v>
      </c>
      <c r="C89" s="416">
        <v>114071.886949746</v>
      </c>
      <c r="D89" s="86">
        <v>33470.3117976244</v>
      </c>
      <c r="E89" s="86">
        <v>33470.3117976244</v>
      </c>
      <c r="F89" s="86">
        <v>33470.3117976244</v>
      </c>
      <c r="I89" s="77">
        <f t="shared" si="24"/>
        <v>1.48781665228198</v>
      </c>
      <c r="J89" t="str">
        <f t="shared" si="25"/>
        <v>Trd_lcv_dsl-hyb</v>
      </c>
      <c r="K89" t="str">
        <f t="shared" si="22"/>
        <v>Trd_lcv_dsl-hyb_46</v>
      </c>
      <c r="L89" t="str">
        <f t="shared" si="23"/>
        <v>Trd_lcv</v>
      </c>
      <c r="M89" s="380">
        <f t="shared" si="11"/>
        <v>114071.886949746</v>
      </c>
      <c r="N89" s="380">
        <f t="shared" si="12"/>
        <v>33470.3117976244</v>
      </c>
      <c r="O89" s="380">
        <f t="shared" si="13"/>
        <v>33470.3117976244</v>
      </c>
      <c r="P89" s="380">
        <f t="shared" si="14"/>
        <v>33470.3117976244</v>
      </c>
      <c r="T89" t="str">
        <f t="shared" si="20"/>
        <v>Trd_lcv_dsl-hyb_46</v>
      </c>
      <c r="U89" t="str">
        <f ca="1" t="shared" si="21"/>
        <v>ICE hybrid diesel LCV -- 46%</v>
      </c>
      <c r="V89" s="383" t="s">
        <v>84</v>
      </c>
      <c r="W89" s="383" t="s">
        <v>85</v>
      </c>
    </row>
    <row r="90" spans="4:23">
      <c r="D90" s="97"/>
      <c r="E90" s="97"/>
      <c r="F90" s="97"/>
      <c r="I90" s="77"/>
      <c r="J90" t="str">
        <f t="shared" si="25"/>
        <v>Trd_lcv_dsl-hyb</v>
      </c>
      <c r="K90" t="str">
        <f t="shared" si="22"/>
        <v>\I:</v>
      </c>
      <c r="L90" t="str">
        <f t="shared" si="23"/>
        <v>\I:</v>
      </c>
      <c r="M90" s="380" t="str">
        <f t="shared" ref="M90:M153" si="26">IF($K90="\I:","",C90)</f>
        <v/>
      </c>
      <c r="N90" s="380" t="str">
        <f t="shared" ref="N90:N153" si="27">IF($K90="\I:","",D90)</f>
        <v/>
      </c>
      <c r="O90" s="380" t="str">
        <f t="shared" ref="O90:O153" si="28">IF($K90="\I:","",E90)</f>
        <v/>
      </c>
      <c r="P90" s="380" t="str">
        <f t="shared" ref="P90:P153" si="29">IF($K90="\I:","",F90)</f>
        <v/>
      </c>
      <c r="T90" t="str">
        <f t="shared" si="20"/>
        <v>\I:</v>
      </c>
      <c r="U90" t="str">
        <f ca="1" t="shared" si="21"/>
        <v>ICE hybrid diesel LCV -- 00%</v>
      </c>
      <c r="V90" s="383" t="s">
        <v>84</v>
      </c>
      <c r="W90" s="383" t="s">
        <v>85</v>
      </c>
    </row>
    <row r="91" spans="10:23">
      <c r="J91" t="str">
        <f t="shared" si="25"/>
        <v>Trd_lcv_dsl-hyb</v>
      </c>
      <c r="K91" t="str">
        <f t="shared" si="22"/>
        <v>\I:</v>
      </c>
      <c r="L91" t="str">
        <f t="shared" si="23"/>
        <v>\I:</v>
      </c>
      <c r="M91" s="380" t="str">
        <f t="shared" si="26"/>
        <v/>
      </c>
      <c r="N91" s="380" t="str">
        <f t="shared" si="27"/>
        <v/>
      </c>
      <c r="O91" s="380" t="str">
        <f t="shared" si="28"/>
        <v/>
      </c>
      <c r="P91" s="380" t="str">
        <f t="shared" si="29"/>
        <v/>
      </c>
      <c r="T91" t="str">
        <f t="shared" si="20"/>
        <v>\I:</v>
      </c>
      <c r="U91" t="str">
        <f ca="1" t="shared" si="21"/>
        <v>ICE hybrid diesel LCV -- 00%</v>
      </c>
      <c r="V91" s="383" t="s">
        <v>84</v>
      </c>
      <c r="W91" s="383" t="s">
        <v>85</v>
      </c>
    </row>
    <row r="92" spans="10:23">
      <c r="J92" t="str">
        <f t="shared" si="25"/>
        <v>Trd_lcv_dsl-hyb</v>
      </c>
      <c r="K92" t="str">
        <f t="shared" si="22"/>
        <v>\I:</v>
      </c>
      <c r="L92" t="str">
        <f t="shared" si="23"/>
        <v>\I:</v>
      </c>
      <c r="M92" s="380" t="str">
        <f t="shared" si="26"/>
        <v/>
      </c>
      <c r="N92" s="380" t="str">
        <f t="shared" si="27"/>
        <v/>
      </c>
      <c r="O92" s="380" t="str">
        <f t="shared" si="28"/>
        <v/>
      </c>
      <c r="P92" s="380" t="str">
        <f t="shared" si="29"/>
        <v/>
      </c>
      <c r="T92" t="str">
        <f t="shared" si="20"/>
        <v>\I:</v>
      </c>
      <c r="U92" t="str">
        <f ca="1" t="shared" si="21"/>
        <v>ICE hybrid diesel LCV -- 00%</v>
      </c>
      <c r="V92" s="383" t="s">
        <v>84</v>
      </c>
      <c r="W92" s="383" t="s">
        <v>85</v>
      </c>
    </row>
    <row r="93" spans="10:23">
      <c r="J93" t="str">
        <f t="shared" si="25"/>
        <v>Trd_lcv_dsl-hyb</v>
      </c>
      <c r="K93" t="str">
        <f t="shared" si="22"/>
        <v>\I:</v>
      </c>
      <c r="L93" t="str">
        <f t="shared" si="23"/>
        <v>\I:</v>
      </c>
      <c r="M93" s="380" t="str">
        <f t="shared" si="26"/>
        <v/>
      </c>
      <c r="N93" s="380" t="str">
        <f t="shared" si="27"/>
        <v/>
      </c>
      <c r="O93" s="380" t="str">
        <f t="shared" si="28"/>
        <v/>
      </c>
      <c r="P93" s="380" t="str">
        <f t="shared" si="29"/>
        <v/>
      </c>
      <c r="T93" t="str">
        <f t="shared" si="20"/>
        <v>\I:</v>
      </c>
      <c r="U93" t="str">
        <f ca="1" t="shared" si="21"/>
        <v>ICE hybrid diesel LCV -- 00%</v>
      </c>
      <c r="V93" s="383" t="s">
        <v>84</v>
      </c>
      <c r="W93" s="383" t="s">
        <v>85</v>
      </c>
    </row>
    <row r="94" ht="15" customHeight="1" spans="2:23">
      <c r="B94" s="48" t="s">
        <v>21</v>
      </c>
      <c r="C94" s="374" t="s">
        <v>100</v>
      </c>
      <c r="D94" s="48"/>
      <c r="E94" s="48"/>
      <c r="F94" s="48"/>
      <c r="J94" t="str">
        <f t="shared" si="25"/>
        <v>Trd_lcv_dsl-pih</v>
      </c>
      <c r="K94" t="str">
        <f t="shared" si="22"/>
        <v>\I:</v>
      </c>
      <c r="L94" t="str">
        <f t="shared" si="23"/>
        <v>\I:</v>
      </c>
      <c r="M94" s="380" t="str">
        <f t="shared" si="26"/>
        <v/>
      </c>
      <c r="N94" s="380" t="str">
        <f t="shared" si="27"/>
        <v/>
      </c>
      <c r="O94" s="380" t="str">
        <f t="shared" si="28"/>
        <v/>
      </c>
      <c r="P94" s="380" t="str">
        <f t="shared" si="29"/>
        <v/>
      </c>
      <c r="T94" t="str">
        <f t="shared" si="20"/>
        <v>\I:</v>
      </c>
      <c r="U94" t="str">
        <f ca="1" t="shared" si="21"/>
        <v>ICE plug-in hybrid diesel LCV -- Reduction of specific energy consumption relative to 2015 diesel vehicle (%)</v>
      </c>
      <c r="V94" s="383" t="s">
        <v>84</v>
      </c>
      <c r="W94" s="383" t="s">
        <v>85</v>
      </c>
    </row>
    <row r="95" spans="2:23">
      <c r="B95" s="48"/>
      <c r="C95" s="374"/>
      <c r="D95" s="48"/>
      <c r="E95" s="48"/>
      <c r="F95" s="48"/>
      <c r="J95" t="str">
        <f t="shared" si="25"/>
        <v>Trd_lcv_dsl-pih</v>
      </c>
      <c r="K95" t="str">
        <f t="shared" si="22"/>
        <v>\I:</v>
      </c>
      <c r="L95" t="str">
        <f t="shared" si="23"/>
        <v>\I:</v>
      </c>
      <c r="M95" s="380" t="str">
        <f t="shared" si="26"/>
        <v/>
      </c>
      <c r="N95" s="380" t="str">
        <f t="shared" si="27"/>
        <v/>
      </c>
      <c r="O95" s="380" t="str">
        <f t="shared" si="28"/>
        <v/>
      </c>
      <c r="P95" s="380" t="str">
        <f t="shared" si="29"/>
        <v/>
      </c>
      <c r="T95" t="str">
        <f t="shared" si="20"/>
        <v>\I:</v>
      </c>
      <c r="U95" t="str">
        <f ca="1" t="shared" si="21"/>
        <v>ICE plug-in hybrid diesel LCV -- 00%</v>
      </c>
      <c r="V95" s="383" t="s">
        <v>84</v>
      </c>
      <c r="W95" s="383" t="s">
        <v>85</v>
      </c>
    </row>
    <row r="96" spans="2:23">
      <c r="B96" s="48"/>
      <c r="C96" s="374"/>
      <c r="D96" s="48"/>
      <c r="E96" s="48"/>
      <c r="F96" s="48"/>
      <c r="J96" t="str">
        <f t="shared" si="25"/>
        <v>Trd_lcv_dsl-pih</v>
      </c>
      <c r="K96" t="str">
        <f t="shared" si="22"/>
        <v>\I:</v>
      </c>
      <c r="L96" t="str">
        <f t="shared" si="23"/>
        <v>\I:</v>
      </c>
      <c r="M96" s="380" t="str">
        <f t="shared" si="26"/>
        <v/>
      </c>
      <c r="N96" s="380" t="str">
        <f t="shared" si="27"/>
        <v/>
      </c>
      <c r="O96" s="380" t="str">
        <f t="shared" si="28"/>
        <v/>
      </c>
      <c r="P96" s="380" t="str">
        <f t="shared" si="29"/>
        <v/>
      </c>
      <c r="T96" t="str">
        <f t="shared" si="20"/>
        <v>\I:</v>
      </c>
      <c r="U96" t="str">
        <f ca="1" t="shared" si="21"/>
        <v>ICE plug-in hybrid diesel LCV -- 00%</v>
      </c>
      <c r="V96" s="383" t="s">
        <v>84</v>
      </c>
      <c r="W96" s="383" t="s">
        <v>85</v>
      </c>
    </row>
    <row r="97" spans="2:23">
      <c r="B97" s="88"/>
      <c r="C97" s="415">
        <v>2020</v>
      </c>
      <c r="D97" s="50">
        <v>2030</v>
      </c>
      <c r="E97" s="50">
        <v>2040</v>
      </c>
      <c r="F97" s="50">
        <v>2050</v>
      </c>
      <c r="J97" t="str">
        <f t="shared" si="25"/>
        <v>Trd_lcv_dsl-pih</v>
      </c>
      <c r="K97" t="str">
        <f t="shared" si="22"/>
        <v>\I:</v>
      </c>
      <c r="L97" t="str">
        <f t="shared" si="23"/>
        <v>\I:</v>
      </c>
      <c r="M97" s="380" t="str">
        <f t="shared" si="26"/>
        <v/>
      </c>
      <c r="N97" s="380" t="str">
        <f t="shared" si="27"/>
        <v/>
      </c>
      <c r="O97" s="380" t="str">
        <f t="shared" si="28"/>
        <v/>
      </c>
      <c r="P97" s="380" t="str">
        <f t="shared" si="29"/>
        <v/>
      </c>
      <c r="T97" t="str">
        <f t="shared" si="20"/>
        <v>\I:</v>
      </c>
      <c r="U97" t="str">
        <f ca="1" t="shared" si="21"/>
        <v>ICE plug-in hybrid diesel LCV -- 00%</v>
      </c>
      <c r="V97" s="383" t="s">
        <v>84</v>
      </c>
      <c r="W97" s="383" t="s">
        <v>85</v>
      </c>
    </row>
    <row r="98" spans="2:23">
      <c r="B98" s="417">
        <v>0.85</v>
      </c>
      <c r="C98" s="416">
        <v>29234.4869036876</v>
      </c>
      <c r="D98" s="86">
        <v>24721.6233975056</v>
      </c>
      <c r="E98" s="86">
        <v>23657.1536371324</v>
      </c>
      <c r="F98" s="86">
        <v>23346.6949179619</v>
      </c>
      <c r="I98" s="77">
        <f t="shared" ref="I98:I104" si="30">$I$63*(1+B98)/$I$11</f>
        <v>1.88431232369844</v>
      </c>
      <c r="J98" t="str">
        <f t="shared" si="25"/>
        <v>Trd_lcv_dsl-pih</v>
      </c>
      <c r="K98" t="str">
        <f t="shared" si="22"/>
        <v>Trd_lcv_dsl-pih_85</v>
      </c>
      <c r="L98" t="str">
        <f t="shared" si="23"/>
        <v>Trd_lcv</v>
      </c>
      <c r="M98" s="380">
        <f t="shared" si="26"/>
        <v>29234.4869036876</v>
      </c>
      <c r="N98" s="380">
        <f t="shared" si="27"/>
        <v>24721.6233975056</v>
      </c>
      <c r="O98" s="380">
        <f t="shared" si="28"/>
        <v>23657.1536371324</v>
      </c>
      <c r="P98" s="380">
        <f t="shared" si="29"/>
        <v>23346.6949179619</v>
      </c>
      <c r="T98" t="str">
        <f t="shared" si="20"/>
        <v>Trd_lcv_dsl-pih_85</v>
      </c>
      <c r="U98" t="str">
        <f ca="1" t="shared" si="21"/>
        <v>ICE plug-in hybrid diesel LCV -- 85%</v>
      </c>
      <c r="V98" s="383" t="s">
        <v>84</v>
      </c>
      <c r="W98" s="383" t="s">
        <v>85</v>
      </c>
    </row>
    <row r="99" spans="2:23">
      <c r="B99" s="417">
        <v>0.86</v>
      </c>
      <c r="C99" s="416">
        <v>29248.700988014</v>
      </c>
      <c r="D99" s="86">
        <v>24735.5644630519</v>
      </c>
      <c r="E99" s="86">
        <v>23661.3230310365</v>
      </c>
      <c r="F99" s="86">
        <v>23347.4576013673</v>
      </c>
      <c r="I99" s="77">
        <f t="shared" si="30"/>
        <v>1.89449779571843</v>
      </c>
      <c r="J99" t="str">
        <f t="shared" si="25"/>
        <v>Trd_lcv_dsl-pih</v>
      </c>
      <c r="K99" t="str">
        <f t="shared" si="22"/>
        <v>Trd_lcv_dsl-pih_86</v>
      </c>
      <c r="L99" t="str">
        <f t="shared" si="23"/>
        <v>Trd_lcv</v>
      </c>
      <c r="M99" s="380">
        <f t="shared" si="26"/>
        <v>29248.700988014</v>
      </c>
      <c r="N99" s="380">
        <f t="shared" si="27"/>
        <v>24735.5644630519</v>
      </c>
      <c r="O99" s="380">
        <f t="shared" si="28"/>
        <v>23661.3230310365</v>
      </c>
      <c r="P99" s="380">
        <f t="shared" si="29"/>
        <v>23347.4576013673</v>
      </c>
      <c r="T99" t="str">
        <f t="shared" si="20"/>
        <v>Trd_lcv_dsl-pih_86</v>
      </c>
      <c r="U99" t="str">
        <f ca="1" t="shared" si="21"/>
        <v>ICE plug-in hybrid diesel LCV -- 86%</v>
      </c>
      <c r="V99" s="383" t="s">
        <v>84</v>
      </c>
      <c r="W99" s="383" t="s">
        <v>85</v>
      </c>
    </row>
    <row r="100" spans="2:23">
      <c r="B100" s="417">
        <v>0.87</v>
      </c>
      <c r="C100" s="416">
        <v>29375.5183424242</v>
      </c>
      <c r="D100" s="86">
        <v>24752.5086854066</v>
      </c>
      <c r="E100" s="86">
        <v>23672.9915395907</v>
      </c>
      <c r="F100" s="86">
        <v>23357.5576776065</v>
      </c>
      <c r="I100" s="77">
        <f t="shared" si="30"/>
        <v>1.90468326773842</v>
      </c>
      <c r="J100" t="str">
        <f t="shared" si="25"/>
        <v>Trd_lcv_dsl-pih</v>
      </c>
      <c r="K100" t="str">
        <f t="shared" si="22"/>
        <v>Trd_lcv_dsl-pih_87</v>
      </c>
      <c r="L100" t="str">
        <f t="shared" si="23"/>
        <v>Trd_lcv</v>
      </c>
      <c r="M100" s="380">
        <f t="shared" si="26"/>
        <v>29375.5183424242</v>
      </c>
      <c r="N100" s="380">
        <f t="shared" si="27"/>
        <v>24752.5086854066</v>
      </c>
      <c r="O100" s="380">
        <f t="shared" si="28"/>
        <v>23672.9915395907</v>
      </c>
      <c r="P100" s="380">
        <f t="shared" si="29"/>
        <v>23357.5576776065</v>
      </c>
      <c r="T100" t="str">
        <f t="shared" si="20"/>
        <v>Trd_lcv_dsl-pih_87</v>
      </c>
      <c r="U100" t="str">
        <f ca="1" t="shared" si="21"/>
        <v>ICE plug-in hybrid diesel LCV -- 87%</v>
      </c>
      <c r="V100" s="383" t="s">
        <v>84</v>
      </c>
      <c r="W100" s="383" t="s">
        <v>85</v>
      </c>
    </row>
    <row r="101" spans="2:23">
      <c r="B101" s="417">
        <v>0.88</v>
      </c>
      <c r="C101" s="416">
        <v>29852.3977032646</v>
      </c>
      <c r="D101" s="86">
        <v>24778.2908929212</v>
      </c>
      <c r="E101" s="86">
        <v>23702.3792571154</v>
      </c>
      <c r="F101" s="86">
        <v>23389.0918257128</v>
      </c>
      <c r="I101" s="77">
        <f t="shared" si="30"/>
        <v>1.91486873975841</v>
      </c>
      <c r="J101" t="str">
        <f t="shared" si="25"/>
        <v>Trd_lcv_dsl-pih</v>
      </c>
      <c r="K101" t="str">
        <f t="shared" si="22"/>
        <v>Trd_lcv_dsl-pih_88</v>
      </c>
      <c r="L101" t="str">
        <f t="shared" si="23"/>
        <v>Trd_lcv</v>
      </c>
      <c r="M101" s="380">
        <f t="shared" si="26"/>
        <v>29852.3977032646</v>
      </c>
      <c r="N101" s="380">
        <f t="shared" si="27"/>
        <v>24778.2908929212</v>
      </c>
      <c r="O101" s="380">
        <f t="shared" si="28"/>
        <v>23702.3792571154</v>
      </c>
      <c r="P101" s="380">
        <f t="shared" si="29"/>
        <v>23389.0918257128</v>
      </c>
      <c r="T101" t="str">
        <f t="shared" si="20"/>
        <v>Trd_lcv_dsl-pih_88</v>
      </c>
      <c r="U101" t="str">
        <f ca="1" t="shared" si="21"/>
        <v>ICE plug-in hybrid diesel LCV -- 88%</v>
      </c>
      <c r="V101" s="383" t="s">
        <v>84</v>
      </c>
      <c r="W101" s="383" t="s">
        <v>85</v>
      </c>
    </row>
    <row r="102" spans="2:23">
      <c r="B102" s="417">
        <v>0.89</v>
      </c>
      <c r="C102" s="416">
        <v>34743.079083496</v>
      </c>
      <c r="D102" s="86">
        <v>24899.2147906171</v>
      </c>
      <c r="E102" s="86">
        <v>23827.8028677736</v>
      </c>
      <c r="F102" s="86">
        <v>23519.7465846992</v>
      </c>
      <c r="I102" s="77">
        <f t="shared" si="30"/>
        <v>1.9250542117784</v>
      </c>
      <c r="J102" t="str">
        <f t="shared" si="25"/>
        <v>Trd_lcv_dsl-pih</v>
      </c>
      <c r="K102" t="str">
        <f t="shared" si="22"/>
        <v>Trd_lcv_dsl-pih_89</v>
      </c>
      <c r="L102" t="str">
        <f t="shared" si="23"/>
        <v>Trd_lcv</v>
      </c>
      <c r="M102" s="380">
        <f t="shared" si="26"/>
        <v>34743.079083496</v>
      </c>
      <c r="N102" s="380">
        <f t="shared" si="27"/>
        <v>24899.2147906171</v>
      </c>
      <c r="O102" s="380">
        <f t="shared" si="28"/>
        <v>23827.8028677736</v>
      </c>
      <c r="P102" s="380">
        <f t="shared" si="29"/>
        <v>23519.7465846992</v>
      </c>
      <c r="T102" t="str">
        <f t="shared" si="20"/>
        <v>Trd_lcv_dsl-pih_89</v>
      </c>
      <c r="U102" t="str">
        <f ca="1" t="shared" si="21"/>
        <v>ICE plug-in hybrid diesel LCV -- 89%</v>
      </c>
      <c r="V102" s="383" t="s">
        <v>84</v>
      </c>
      <c r="W102" s="383" t="s">
        <v>85</v>
      </c>
    </row>
    <row r="103" spans="2:23">
      <c r="B103" s="417">
        <v>0.9325</v>
      </c>
      <c r="C103" s="416">
        <v>110252.595487286</v>
      </c>
      <c r="D103" s="86">
        <v>29030.4336706465</v>
      </c>
      <c r="E103" s="86">
        <v>27383.9399225882</v>
      </c>
      <c r="F103" s="86">
        <v>26970.6097618657</v>
      </c>
      <c r="I103" s="77">
        <f t="shared" si="30"/>
        <v>1.96834246786337</v>
      </c>
      <c r="J103" t="str">
        <f t="shared" si="25"/>
        <v>Trd_lcv_dsl-pih</v>
      </c>
      <c r="K103" t="str">
        <f t="shared" si="22"/>
        <v>Trd_lcv_dsl-pih_93</v>
      </c>
      <c r="L103" t="str">
        <f t="shared" si="23"/>
        <v>Trd_lcv</v>
      </c>
      <c r="M103" s="380">
        <f t="shared" si="26"/>
        <v>110252.595487286</v>
      </c>
      <c r="N103" s="380">
        <f t="shared" si="27"/>
        <v>29030.4336706465</v>
      </c>
      <c r="O103" s="380">
        <f t="shared" si="28"/>
        <v>27383.9399225882</v>
      </c>
      <c r="P103" s="380">
        <f t="shared" si="29"/>
        <v>26970.6097618657</v>
      </c>
      <c r="T103" t="str">
        <f t="shared" si="20"/>
        <v>Trd_lcv_dsl-pih_93</v>
      </c>
      <c r="U103" t="str">
        <f ca="1" t="shared" si="21"/>
        <v>ICE plug-in hybrid diesel LCV -- 93%</v>
      </c>
      <c r="V103" s="383" t="s">
        <v>84</v>
      </c>
      <c r="W103" s="383" t="s">
        <v>85</v>
      </c>
    </row>
    <row r="104" spans="2:23">
      <c r="B104" s="417">
        <v>0.9375</v>
      </c>
      <c r="C104" s="416"/>
      <c r="D104" s="86">
        <v>58730.6324989268</v>
      </c>
      <c r="E104" s="86">
        <v>56027.5236874505</v>
      </c>
      <c r="F104" s="86">
        <v>56056.649342681</v>
      </c>
      <c r="I104" s="77">
        <f t="shared" si="30"/>
        <v>1.97343520387336</v>
      </c>
      <c r="J104" t="str">
        <f t="shared" si="25"/>
        <v>Trd_lcv_dsl-pih</v>
      </c>
      <c r="K104" t="str">
        <f t="shared" si="22"/>
        <v>\I:</v>
      </c>
      <c r="L104" t="str">
        <f t="shared" si="23"/>
        <v>\I:</v>
      </c>
      <c r="M104" s="380" t="str">
        <f t="shared" si="26"/>
        <v/>
      </c>
      <c r="N104" s="380" t="str">
        <f t="shared" si="27"/>
        <v/>
      </c>
      <c r="O104" s="380" t="str">
        <f t="shared" si="28"/>
        <v/>
      </c>
      <c r="P104" s="380" t="str">
        <f t="shared" si="29"/>
        <v/>
      </c>
      <c r="T104" t="str">
        <f t="shared" si="20"/>
        <v>\I:</v>
      </c>
      <c r="U104" t="str">
        <f ca="1" t="shared" si="21"/>
        <v>ICE plug-in hybrid diesel LCV -- 94%</v>
      </c>
      <c r="V104" s="383" t="s">
        <v>84</v>
      </c>
      <c r="W104" s="383" t="s">
        <v>85</v>
      </c>
    </row>
    <row r="105" spans="4:23">
      <c r="D105" s="97"/>
      <c r="E105" s="97"/>
      <c r="F105" s="97"/>
      <c r="J105" t="str">
        <f t="shared" si="25"/>
        <v>Trd_lcv_dsl-pih</v>
      </c>
      <c r="K105" t="str">
        <f t="shared" si="22"/>
        <v>\I:</v>
      </c>
      <c r="L105" t="str">
        <f t="shared" si="23"/>
        <v>\I:</v>
      </c>
      <c r="M105" s="380" t="str">
        <f t="shared" si="26"/>
        <v/>
      </c>
      <c r="N105" s="380" t="str">
        <f t="shared" si="27"/>
        <v/>
      </c>
      <c r="O105" s="380" t="str">
        <f t="shared" si="28"/>
        <v/>
      </c>
      <c r="P105" s="380" t="str">
        <f t="shared" si="29"/>
        <v/>
      </c>
      <c r="T105" t="str">
        <f t="shared" si="20"/>
        <v>\I:</v>
      </c>
      <c r="U105" t="str">
        <f ca="1" t="shared" si="21"/>
        <v>ICE plug-in hybrid diesel LCV -- 00%</v>
      </c>
      <c r="V105" s="383" t="s">
        <v>84</v>
      </c>
      <c r="W105" s="383" t="s">
        <v>85</v>
      </c>
    </row>
    <row r="106" spans="10:23">
      <c r="J106" t="str">
        <f t="shared" si="25"/>
        <v>Trd_lcv_dsl-pih</v>
      </c>
      <c r="K106" t="str">
        <f t="shared" si="22"/>
        <v>\I:</v>
      </c>
      <c r="L106" t="str">
        <f t="shared" si="23"/>
        <v>\I:</v>
      </c>
      <c r="M106" s="380" t="str">
        <f t="shared" si="26"/>
        <v/>
      </c>
      <c r="N106" s="380" t="str">
        <f t="shared" si="27"/>
        <v/>
      </c>
      <c r="O106" s="380" t="str">
        <f t="shared" si="28"/>
        <v/>
      </c>
      <c r="P106" s="380" t="str">
        <f t="shared" si="29"/>
        <v/>
      </c>
      <c r="T106" t="str">
        <f t="shared" si="20"/>
        <v>\I:</v>
      </c>
      <c r="U106" t="str">
        <f ca="1" t="shared" si="21"/>
        <v>ICE plug-in hybrid diesel LCV -- 00%</v>
      </c>
      <c r="V106" s="383" t="s">
        <v>84</v>
      </c>
      <c r="W106" s="383" t="s">
        <v>85</v>
      </c>
    </row>
    <row r="107" spans="10:23">
      <c r="J107" t="str">
        <f t="shared" si="25"/>
        <v>Trd_lcv_dsl-pih</v>
      </c>
      <c r="K107" t="str">
        <f t="shared" si="22"/>
        <v>\I:</v>
      </c>
      <c r="L107" t="str">
        <f t="shared" si="23"/>
        <v>\I:</v>
      </c>
      <c r="M107" s="380" t="str">
        <f t="shared" si="26"/>
        <v/>
      </c>
      <c r="N107" s="380" t="str">
        <f t="shared" si="27"/>
        <v/>
      </c>
      <c r="O107" s="380" t="str">
        <f t="shared" si="28"/>
        <v/>
      </c>
      <c r="P107" s="380" t="str">
        <f t="shared" si="29"/>
        <v/>
      </c>
      <c r="T107" t="str">
        <f t="shared" si="20"/>
        <v>\I:</v>
      </c>
      <c r="U107" t="str">
        <f ca="1" t="shared" si="21"/>
        <v>ICE plug-in hybrid diesel LCV -- 00%</v>
      </c>
      <c r="V107" s="383" t="s">
        <v>84</v>
      </c>
      <c r="W107" s="383" t="s">
        <v>85</v>
      </c>
    </row>
    <row r="108" spans="10:23">
      <c r="J108" t="str">
        <f t="shared" si="25"/>
        <v>Trd_lcv_dsl-pih</v>
      </c>
      <c r="K108" t="str">
        <f t="shared" si="22"/>
        <v>\I:</v>
      </c>
      <c r="L108" t="str">
        <f t="shared" si="23"/>
        <v>\I:</v>
      </c>
      <c r="M108" s="380" t="str">
        <f t="shared" si="26"/>
        <v/>
      </c>
      <c r="N108" s="380" t="str">
        <f t="shared" si="27"/>
        <v/>
      </c>
      <c r="O108" s="380" t="str">
        <f t="shared" si="28"/>
        <v/>
      </c>
      <c r="P108" s="380" t="str">
        <f t="shared" si="29"/>
        <v/>
      </c>
      <c r="T108" t="str">
        <f t="shared" si="20"/>
        <v>\I:</v>
      </c>
      <c r="U108" t="str">
        <f ca="1" t="shared" si="21"/>
        <v>ICE plug-in hybrid diesel LCV -- 00%</v>
      </c>
      <c r="V108" s="383" t="s">
        <v>84</v>
      </c>
      <c r="W108" s="383" t="s">
        <v>85</v>
      </c>
    </row>
    <row r="109" spans="10:23">
      <c r="J109" t="str">
        <f t="shared" si="25"/>
        <v>Trd_lcv_dsl-pih</v>
      </c>
      <c r="K109" t="str">
        <f t="shared" si="22"/>
        <v>\I:</v>
      </c>
      <c r="L109" t="str">
        <f t="shared" si="23"/>
        <v>\I:</v>
      </c>
      <c r="M109" s="380" t="str">
        <f t="shared" si="26"/>
        <v/>
      </c>
      <c r="N109" s="380" t="str">
        <f t="shared" si="27"/>
        <v/>
      </c>
      <c r="O109" s="380" t="str">
        <f t="shared" si="28"/>
        <v/>
      </c>
      <c r="P109" s="380" t="str">
        <f t="shared" si="29"/>
        <v/>
      </c>
      <c r="T109" t="str">
        <f t="shared" si="20"/>
        <v>\I:</v>
      </c>
      <c r="U109" t="str">
        <f ca="1" t="shared" si="21"/>
        <v>ICE plug-in hybrid diesel LCV -- 00%</v>
      </c>
      <c r="V109" s="383" t="s">
        <v>84</v>
      </c>
      <c r="W109" s="383" t="s">
        <v>85</v>
      </c>
    </row>
    <row r="110" spans="2:23">
      <c r="B110" s="43" t="s">
        <v>107</v>
      </c>
      <c r="J110" t="str">
        <f t="shared" si="25"/>
        <v>Trd_lcv_dsl-pih</v>
      </c>
      <c r="K110" t="str">
        <f t="shared" si="22"/>
        <v>\I:</v>
      </c>
      <c r="L110" t="str">
        <f t="shared" si="23"/>
        <v>\I:</v>
      </c>
      <c r="M110" s="380" t="str">
        <f t="shared" si="26"/>
        <v/>
      </c>
      <c r="N110" s="380" t="str">
        <f t="shared" si="27"/>
        <v/>
      </c>
      <c r="O110" s="380" t="str">
        <f t="shared" si="28"/>
        <v/>
      </c>
      <c r="P110" s="380" t="str">
        <f t="shared" si="29"/>
        <v/>
      </c>
      <c r="T110" t="str">
        <f t="shared" si="20"/>
        <v>\I:</v>
      </c>
      <c r="U110" t="str">
        <f ca="1" t="shared" si="21"/>
        <v>ICE plug-in hybrid diesel LCV -- Reference values for CNG LCV</v>
      </c>
      <c r="V110" s="383" t="s">
        <v>84</v>
      </c>
      <c r="W110" s="383" t="s">
        <v>85</v>
      </c>
    </row>
    <row r="111" spans="2:23">
      <c r="B111" s="44">
        <v>2015</v>
      </c>
      <c r="C111" s="372"/>
      <c r="D111" s="44"/>
      <c r="J111" t="str">
        <f t="shared" si="25"/>
        <v>Trd_lcv_dsl-pih</v>
      </c>
      <c r="K111" t="str">
        <f t="shared" si="22"/>
        <v>\I:</v>
      </c>
      <c r="L111" t="str">
        <f t="shared" si="23"/>
        <v>\I:</v>
      </c>
      <c r="M111" s="380" t="str">
        <f t="shared" si="26"/>
        <v/>
      </c>
      <c r="N111" s="380" t="str">
        <f t="shared" si="27"/>
        <v/>
      </c>
      <c r="O111" s="380" t="str">
        <f t="shared" si="28"/>
        <v/>
      </c>
      <c r="P111" s="380" t="str">
        <f t="shared" si="29"/>
        <v/>
      </c>
      <c r="T111" t="str">
        <f t="shared" si="20"/>
        <v>\I:</v>
      </c>
      <c r="U111" t="str">
        <f ca="1" t="shared" si="21"/>
        <v>ICE plug-in hybrid diesel LCV -- 201500%</v>
      </c>
      <c r="V111" s="383" t="s">
        <v>84</v>
      </c>
      <c r="W111" s="383" t="s">
        <v>85</v>
      </c>
    </row>
    <row r="112" spans="2:23">
      <c r="B112" s="45" t="s">
        <v>12</v>
      </c>
      <c r="C112" s="46" t="s">
        <v>88</v>
      </c>
      <c r="D112" s="47">
        <v>5.64203167764647</v>
      </c>
      <c r="G112" s="77">
        <f>D112*$F$9/100*10^9/10^6</f>
        <v>3.03504477896122</v>
      </c>
      <c r="H112" s="77"/>
      <c r="I112" s="373">
        <f>1/G112</f>
        <v>0.329484430322726</v>
      </c>
      <c r="J112" t="str">
        <f t="shared" si="25"/>
        <v>Trd_lcv_dsl-pih</v>
      </c>
      <c r="K112" t="str">
        <f t="shared" si="22"/>
        <v>\I:</v>
      </c>
      <c r="L112" t="str">
        <f t="shared" si="23"/>
        <v>\I:</v>
      </c>
      <c r="M112" s="380" t="str">
        <f t="shared" si="26"/>
        <v/>
      </c>
      <c r="N112" s="380" t="str">
        <f t="shared" si="27"/>
        <v/>
      </c>
      <c r="O112" s="380" t="str">
        <f t="shared" si="28"/>
        <v/>
      </c>
      <c r="P112" s="380" t="str">
        <f t="shared" si="29"/>
        <v/>
      </c>
      <c r="T112" t="str">
        <f t="shared" ref="T112:T143" si="31">K112</f>
        <v>\I:</v>
      </c>
      <c r="U112" t="str">
        <f ca="1" t="shared" ref="U112:U143" si="32">OFFSET($S$1,MATCH(J112,$S$1:$S$10,0)-1,-1)&amp;" -- "&amp;TEXT(B112,"00%")</f>
        <v>ICE plug-in hybrid diesel LCV -- Energy consumption</v>
      </c>
      <c r="V112" s="383" t="s">
        <v>84</v>
      </c>
      <c r="W112" s="383" t="s">
        <v>85</v>
      </c>
    </row>
    <row r="113" spans="2:23">
      <c r="B113" s="45" t="s">
        <v>14</v>
      </c>
      <c r="C113" s="46" t="s">
        <v>15</v>
      </c>
      <c r="D113" s="68">
        <v>19499.3766980185</v>
      </c>
      <c r="I113" s="385" t="s">
        <v>70</v>
      </c>
      <c r="J113" t="str">
        <f t="shared" si="25"/>
        <v>Trd_lcv_dsl-pih</v>
      </c>
      <c r="K113" t="str">
        <f t="shared" si="22"/>
        <v>\I:</v>
      </c>
      <c r="L113" t="str">
        <f t="shared" si="23"/>
        <v>\I:</v>
      </c>
      <c r="M113" s="380" t="str">
        <f t="shared" si="26"/>
        <v/>
      </c>
      <c r="N113" s="380" t="str">
        <f t="shared" si="27"/>
        <v/>
      </c>
      <c r="O113" s="380" t="str">
        <f t="shared" si="28"/>
        <v/>
      </c>
      <c r="P113" s="380" t="str">
        <f t="shared" si="29"/>
        <v/>
      </c>
      <c r="T113" t="str">
        <f t="shared" si="31"/>
        <v>\I:</v>
      </c>
      <c r="U113" t="str">
        <f ca="1" t="shared" si="32"/>
        <v>ICE plug-in hybrid diesel LCV -- Capital cost</v>
      </c>
      <c r="V113" s="383" t="s">
        <v>84</v>
      </c>
      <c r="W113" s="383" t="s">
        <v>85</v>
      </c>
    </row>
    <row r="114" spans="10:23">
      <c r="J114" t="str">
        <f t="shared" si="25"/>
        <v>Trd_lcv_dsl-pih</v>
      </c>
      <c r="K114" t="str">
        <f t="shared" si="22"/>
        <v>\I:</v>
      </c>
      <c r="L114" t="str">
        <f t="shared" si="23"/>
        <v>\I:</v>
      </c>
      <c r="M114" s="380" t="str">
        <f t="shared" si="26"/>
        <v/>
      </c>
      <c r="N114" s="380" t="str">
        <f t="shared" si="27"/>
        <v/>
      </c>
      <c r="O114" s="380" t="str">
        <f t="shared" si="28"/>
        <v/>
      </c>
      <c r="P114" s="380" t="str">
        <f t="shared" si="29"/>
        <v/>
      </c>
      <c r="T114" t="str">
        <f t="shared" si="31"/>
        <v>\I:</v>
      </c>
      <c r="U114" t="str">
        <f ca="1" t="shared" si="32"/>
        <v>ICE plug-in hybrid diesel LCV -- 00%</v>
      </c>
      <c r="V114" s="383" t="s">
        <v>84</v>
      </c>
      <c r="W114" s="383" t="s">
        <v>85</v>
      </c>
    </row>
    <row r="115" ht="15" customHeight="1" spans="2:23">
      <c r="B115" s="48" t="s">
        <v>89</v>
      </c>
      <c r="C115" s="374" t="s">
        <v>101</v>
      </c>
      <c r="D115" s="48"/>
      <c r="E115" s="48"/>
      <c r="F115" s="48"/>
      <c r="J115" t="str">
        <f t="shared" si="25"/>
        <v>Trd_lcv_cng</v>
      </c>
      <c r="K115" t="str">
        <f t="shared" si="22"/>
        <v>\I:</v>
      </c>
      <c r="L115" t="str">
        <f t="shared" si="23"/>
        <v>\I:</v>
      </c>
      <c r="M115" s="380" t="str">
        <f t="shared" si="26"/>
        <v/>
      </c>
      <c r="N115" s="380" t="str">
        <f t="shared" si="27"/>
        <v/>
      </c>
      <c r="O115" s="380" t="str">
        <f t="shared" si="28"/>
        <v/>
      </c>
      <c r="P115" s="380" t="str">
        <f t="shared" si="29"/>
        <v/>
      </c>
      <c r="T115" t="str">
        <f t="shared" si="31"/>
        <v>\I:</v>
      </c>
      <c r="U115" t="str">
        <f ca="1" t="shared" si="32"/>
        <v>ICE CNG LCV -- Reduction of specific energy consumption relative to 2015 CNG vehicle (%)</v>
      </c>
      <c r="V115" s="383" t="s">
        <v>84</v>
      </c>
      <c r="W115" s="383" t="s">
        <v>85</v>
      </c>
    </row>
    <row r="116" spans="2:23">
      <c r="B116" s="48"/>
      <c r="C116" s="374"/>
      <c r="D116" s="48"/>
      <c r="E116" s="48"/>
      <c r="F116" s="48"/>
      <c r="J116" t="str">
        <f t="shared" si="25"/>
        <v>Trd_lcv_cng</v>
      </c>
      <c r="K116" t="str">
        <f t="shared" si="22"/>
        <v>\I:</v>
      </c>
      <c r="L116" t="str">
        <f t="shared" si="23"/>
        <v>\I:</v>
      </c>
      <c r="M116" s="380" t="str">
        <f t="shared" si="26"/>
        <v/>
      </c>
      <c r="N116" s="380" t="str">
        <f t="shared" si="27"/>
        <v/>
      </c>
      <c r="O116" s="380" t="str">
        <f t="shared" si="28"/>
        <v/>
      </c>
      <c r="P116" s="380" t="str">
        <f t="shared" si="29"/>
        <v/>
      </c>
      <c r="T116" t="str">
        <f t="shared" si="31"/>
        <v>\I:</v>
      </c>
      <c r="U116" t="str">
        <f ca="1" t="shared" si="32"/>
        <v>ICE CNG LCV -- 00%</v>
      </c>
      <c r="V116" s="383" t="s">
        <v>84</v>
      </c>
      <c r="W116" s="383" t="s">
        <v>85</v>
      </c>
    </row>
    <row r="117" spans="2:23">
      <c r="B117" s="48"/>
      <c r="C117" s="374"/>
      <c r="D117" s="48"/>
      <c r="E117" s="48"/>
      <c r="F117" s="48"/>
      <c r="J117" t="str">
        <f t="shared" si="25"/>
        <v>Trd_lcv_cng</v>
      </c>
      <c r="K117" t="str">
        <f t="shared" si="22"/>
        <v>\I:</v>
      </c>
      <c r="L117" t="str">
        <f t="shared" si="23"/>
        <v>\I:</v>
      </c>
      <c r="M117" s="380" t="str">
        <f t="shared" si="26"/>
        <v/>
      </c>
      <c r="N117" s="380" t="str">
        <f t="shared" si="27"/>
        <v/>
      </c>
      <c r="O117" s="380" t="str">
        <f t="shared" si="28"/>
        <v/>
      </c>
      <c r="P117" s="380" t="str">
        <f t="shared" si="29"/>
        <v/>
      </c>
      <c r="T117" t="str">
        <f t="shared" si="31"/>
        <v>\I:</v>
      </c>
      <c r="U117" t="str">
        <f ca="1" t="shared" si="32"/>
        <v>ICE CNG LCV -- 00%</v>
      </c>
      <c r="V117" s="383" t="s">
        <v>84</v>
      </c>
      <c r="W117" s="383" t="s">
        <v>85</v>
      </c>
    </row>
    <row r="118" spans="2:23">
      <c r="B118" s="88"/>
      <c r="C118" s="415">
        <v>2020</v>
      </c>
      <c r="D118" s="50">
        <v>2030</v>
      </c>
      <c r="E118" s="50">
        <v>2040</v>
      </c>
      <c r="F118" s="50">
        <v>2050</v>
      </c>
      <c r="I118" s="373">
        <v>1</v>
      </c>
      <c r="J118" s="43" t="str">
        <f t="shared" ref="J118" si="33">IFERROR(VLOOKUP(C118,$R$1:$S$11,2,FALSE),J117)</f>
        <v>Trd_lcv_cng</v>
      </c>
      <c r="K118" s="43" t="str">
        <f>IFERROR(IF(VALUE(C118)&gt;200,J118&amp;"_"&amp;TEXT(B118*100,"00"),"\I:"),"\I:")</f>
        <v>Trd_lcv_cng_00</v>
      </c>
      <c r="L118" t="str">
        <f t="shared" si="23"/>
        <v>Trd_lcv</v>
      </c>
      <c r="M118" s="418">
        <f>D113</f>
        <v>19499.3766980185</v>
      </c>
      <c r="N118" s="380"/>
      <c r="O118" s="380"/>
      <c r="P118" s="380"/>
      <c r="T118" t="str">
        <f t="shared" si="31"/>
        <v>Trd_lcv_cng_00</v>
      </c>
      <c r="U118" t="str">
        <f ca="1" t="shared" si="32"/>
        <v>ICE CNG LCV -- 00%</v>
      </c>
      <c r="V118" s="383" t="s">
        <v>84</v>
      </c>
      <c r="W118" s="383" t="s">
        <v>85</v>
      </c>
    </row>
    <row r="119" spans="2:23">
      <c r="B119" s="85">
        <v>0.145560583753408</v>
      </c>
      <c r="C119" s="416">
        <v>19969.9959792433</v>
      </c>
      <c r="D119" s="86">
        <v>19508.8247701105</v>
      </c>
      <c r="E119" s="86">
        <v>19508.8247701105</v>
      </c>
      <c r="F119" s="86">
        <v>19508.8247701105</v>
      </c>
      <c r="I119" s="77">
        <f>$I$112*(1+B119)/$I$11</f>
        <v>1.01269377885502</v>
      </c>
      <c r="J119" t="str">
        <f t="shared" si="25"/>
        <v>Trd_lcv_cng</v>
      </c>
      <c r="K119" t="str">
        <f t="shared" si="22"/>
        <v>Trd_lcv_cng_15</v>
      </c>
      <c r="L119" t="str">
        <f t="shared" si="23"/>
        <v>Trd_lcv</v>
      </c>
      <c r="M119" s="380">
        <f t="shared" si="26"/>
        <v>19969.9959792433</v>
      </c>
      <c r="N119" s="380">
        <f t="shared" si="27"/>
        <v>19508.8247701105</v>
      </c>
      <c r="O119" s="380">
        <f t="shared" si="28"/>
        <v>19508.8247701105</v>
      </c>
      <c r="P119" s="380">
        <f t="shared" si="29"/>
        <v>19508.8247701105</v>
      </c>
      <c r="T119" t="str">
        <f t="shared" si="31"/>
        <v>Trd_lcv_cng_15</v>
      </c>
      <c r="U119" t="str">
        <f ca="1" t="shared" si="32"/>
        <v>ICE CNG LCV -- 15%</v>
      </c>
      <c r="V119" s="383" t="s">
        <v>84</v>
      </c>
      <c r="W119" s="383" t="s">
        <v>85</v>
      </c>
    </row>
    <row r="120" spans="2:23">
      <c r="B120" s="85">
        <v>0.245560583753408</v>
      </c>
      <c r="C120" s="416">
        <v>21334.8298121009</v>
      </c>
      <c r="D120" s="86">
        <v>20057.9987267638</v>
      </c>
      <c r="E120" s="86">
        <v>20057.9987267638</v>
      </c>
      <c r="F120" s="86">
        <v>20057.9987267638</v>
      </c>
      <c r="I120" s="77">
        <f>$I$112*(1+B120)/$I$11</f>
        <v>1.10109536958861</v>
      </c>
      <c r="J120" t="str">
        <f t="shared" si="25"/>
        <v>Trd_lcv_cng</v>
      </c>
      <c r="K120" t="str">
        <f t="shared" si="22"/>
        <v>Trd_lcv_cng_25</v>
      </c>
      <c r="L120" t="str">
        <f t="shared" si="23"/>
        <v>Trd_lcv</v>
      </c>
      <c r="M120" s="380">
        <f t="shared" si="26"/>
        <v>21334.8298121009</v>
      </c>
      <c r="N120" s="380">
        <f t="shared" si="27"/>
        <v>20057.9987267638</v>
      </c>
      <c r="O120" s="380">
        <f t="shared" si="28"/>
        <v>20057.9987267638</v>
      </c>
      <c r="P120" s="380">
        <f t="shared" si="29"/>
        <v>20057.9987267638</v>
      </c>
      <c r="T120" t="str">
        <f t="shared" si="31"/>
        <v>Trd_lcv_cng_25</v>
      </c>
      <c r="U120" t="str">
        <f ca="1" t="shared" si="32"/>
        <v>ICE CNG LCV -- 25%</v>
      </c>
      <c r="V120" s="383" t="s">
        <v>84</v>
      </c>
      <c r="W120" s="383" t="s">
        <v>85</v>
      </c>
    </row>
    <row r="121" spans="2:23">
      <c r="B121" s="85">
        <v>0.345560583753408</v>
      </c>
      <c r="C121" s="416">
        <v>26419.0019780321</v>
      </c>
      <c r="D121" s="86">
        <v>21285.778926066</v>
      </c>
      <c r="E121" s="86">
        <v>21285.778926066</v>
      </c>
      <c r="F121" s="86">
        <v>21285.778926066</v>
      </c>
      <c r="I121" s="77">
        <f>$I$112*(1+B121)/$I$11</f>
        <v>1.1894969603222</v>
      </c>
      <c r="J121" t="str">
        <f t="shared" si="25"/>
        <v>Trd_lcv_cng</v>
      </c>
      <c r="K121" t="str">
        <f t="shared" si="22"/>
        <v>Trd_lcv_cng_35</v>
      </c>
      <c r="L121" t="str">
        <f t="shared" si="23"/>
        <v>Trd_lcv</v>
      </c>
      <c r="M121" s="380">
        <f t="shared" si="26"/>
        <v>26419.0019780321</v>
      </c>
      <c r="N121" s="380">
        <f t="shared" si="27"/>
        <v>21285.778926066</v>
      </c>
      <c r="O121" s="380">
        <f t="shared" si="28"/>
        <v>21285.778926066</v>
      </c>
      <c r="P121" s="380">
        <f t="shared" si="29"/>
        <v>21285.778926066</v>
      </c>
      <c r="T121" t="str">
        <f t="shared" si="31"/>
        <v>Trd_lcv_cng_35</v>
      </c>
      <c r="U121" t="str">
        <f ca="1" t="shared" si="32"/>
        <v>ICE CNG LCV -- 35%</v>
      </c>
      <c r="V121" s="383" t="s">
        <v>84</v>
      </c>
      <c r="W121" s="383" t="s">
        <v>85</v>
      </c>
    </row>
    <row r="122" spans="2:23">
      <c r="B122" s="85">
        <v>0.395560583753408</v>
      </c>
      <c r="C122" s="416">
        <v>34866.420335116</v>
      </c>
      <c r="D122" s="86">
        <v>23649.8754712488</v>
      </c>
      <c r="E122" s="86">
        <v>23649.8754712488</v>
      </c>
      <c r="F122" s="86">
        <v>23649.8754712488</v>
      </c>
      <c r="I122" s="77">
        <f>$I$112*(1+B122)/$I$11</f>
        <v>1.233697755689</v>
      </c>
      <c r="J122" t="str">
        <f t="shared" si="25"/>
        <v>Trd_lcv_cng</v>
      </c>
      <c r="K122" t="str">
        <f t="shared" si="22"/>
        <v>Trd_lcv_cng_40</v>
      </c>
      <c r="L122" t="str">
        <f t="shared" si="23"/>
        <v>Trd_lcv</v>
      </c>
      <c r="M122" s="380">
        <f t="shared" si="26"/>
        <v>34866.420335116</v>
      </c>
      <c r="N122" s="380">
        <f t="shared" si="27"/>
        <v>23649.8754712488</v>
      </c>
      <c r="O122" s="380">
        <f t="shared" si="28"/>
        <v>23649.8754712488</v>
      </c>
      <c r="P122" s="380">
        <f t="shared" si="29"/>
        <v>23649.8754712488</v>
      </c>
      <c r="T122" t="str">
        <f t="shared" si="31"/>
        <v>Trd_lcv_cng_40</v>
      </c>
      <c r="U122" t="str">
        <f ca="1" t="shared" si="32"/>
        <v>ICE CNG LCV -- 40%</v>
      </c>
      <c r="V122" s="383" t="s">
        <v>84</v>
      </c>
      <c r="W122" s="383" t="s">
        <v>85</v>
      </c>
    </row>
    <row r="123" spans="2:23">
      <c r="B123" s="85">
        <v>0.445560583753408</v>
      </c>
      <c r="C123" s="416">
        <v>101681.101481391</v>
      </c>
      <c r="D123" s="86">
        <v>29079.7291070172</v>
      </c>
      <c r="E123" s="86">
        <v>29079.7291070172</v>
      </c>
      <c r="F123" s="86">
        <v>29079.7291070172</v>
      </c>
      <c r="I123" s="77">
        <f>$I$112*(1+B123)/$I$11</f>
        <v>1.27789855105579</v>
      </c>
      <c r="J123" t="str">
        <f t="shared" si="25"/>
        <v>Trd_lcv_cng</v>
      </c>
      <c r="K123" t="str">
        <f t="shared" si="22"/>
        <v>Trd_lcv_cng_45</v>
      </c>
      <c r="L123" t="str">
        <f t="shared" si="23"/>
        <v>Trd_lcv</v>
      </c>
      <c r="M123" s="380">
        <f t="shared" si="26"/>
        <v>101681.101481391</v>
      </c>
      <c r="N123" s="380">
        <f t="shared" si="27"/>
        <v>29079.7291070172</v>
      </c>
      <c r="O123" s="380">
        <f t="shared" si="28"/>
        <v>29079.7291070172</v>
      </c>
      <c r="P123" s="380">
        <f t="shared" si="29"/>
        <v>29079.7291070172</v>
      </c>
      <c r="T123" t="str">
        <f t="shared" si="31"/>
        <v>Trd_lcv_cng_45</v>
      </c>
      <c r="U123" t="str">
        <f ca="1" t="shared" si="32"/>
        <v>ICE CNG LCV -- 45%</v>
      </c>
      <c r="V123" s="383" t="s">
        <v>84</v>
      </c>
      <c r="W123" s="383" t="s">
        <v>85</v>
      </c>
    </row>
    <row r="124" spans="4:23">
      <c r="D124" s="97"/>
      <c r="E124" s="97"/>
      <c r="F124" s="97"/>
      <c r="I124" s="77"/>
      <c r="J124" t="str">
        <f t="shared" si="25"/>
        <v>Trd_lcv_cng</v>
      </c>
      <c r="K124" t="str">
        <f t="shared" si="22"/>
        <v>\I:</v>
      </c>
      <c r="L124" t="str">
        <f t="shared" si="23"/>
        <v>\I:</v>
      </c>
      <c r="M124" s="380" t="str">
        <f t="shared" si="26"/>
        <v/>
      </c>
      <c r="N124" s="380" t="str">
        <f t="shared" si="27"/>
        <v/>
      </c>
      <c r="O124" s="380" t="str">
        <f t="shared" si="28"/>
        <v/>
      </c>
      <c r="P124" s="380" t="str">
        <f t="shared" si="29"/>
        <v/>
      </c>
      <c r="T124" t="str">
        <f t="shared" si="31"/>
        <v>\I:</v>
      </c>
      <c r="U124" t="str">
        <f ca="1" t="shared" si="32"/>
        <v>ICE CNG LCV -- 00%</v>
      </c>
      <c r="V124" s="383" t="s">
        <v>84</v>
      </c>
      <c r="W124" s="383" t="s">
        <v>85</v>
      </c>
    </row>
    <row r="125" spans="4:23">
      <c r="D125" s="97"/>
      <c r="E125" s="97"/>
      <c r="F125" s="97"/>
      <c r="I125" s="77"/>
      <c r="J125" t="str">
        <f t="shared" si="25"/>
        <v>Trd_lcv_cng</v>
      </c>
      <c r="K125" t="str">
        <f t="shared" si="22"/>
        <v>\I:</v>
      </c>
      <c r="L125" t="str">
        <f t="shared" si="23"/>
        <v>\I:</v>
      </c>
      <c r="M125" s="380" t="str">
        <f t="shared" si="26"/>
        <v/>
      </c>
      <c r="N125" s="380" t="str">
        <f t="shared" si="27"/>
        <v/>
      </c>
      <c r="O125" s="380" t="str">
        <f t="shared" si="28"/>
        <v/>
      </c>
      <c r="P125" s="380" t="str">
        <f t="shared" si="29"/>
        <v/>
      </c>
      <c r="T125" t="str">
        <f t="shared" si="31"/>
        <v>\I:</v>
      </c>
      <c r="U125" t="str">
        <f ca="1" t="shared" si="32"/>
        <v>ICE CNG LCV -- 00%</v>
      </c>
      <c r="V125" s="383" t="s">
        <v>84</v>
      </c>
      <c r="W125" s="383" t="s">
        <v>85</v>
      </c>
    </row>
    <row r="126" spans="10:23">
      <c r="J126" t="str">
        <f t="shared" si="25"/>
        <v>Trd_lcv_cng</v>
      </c>
      <c r="K126" t="str">
        <f t="shared" si="22"/>
        <v>\I:</v>
      </c>
      <c r="L126" t="str">
        <f t="shared" si="23"/>
        <v>\I:</v>
      </c>
      <c r="M126" s="380" t="str">
        <f t="shared" si="26"/>
        <v/>
      </c>
      <c r="N126" s="380" t="str">
        <f t="shared" si="27"/>
        <v/>
      </c>
      <c r="O126" s="380" t="str">
        <f t="shared" si="28"/>
        <v/>
      </c>
      <c r="P126" s="380" t="str">
        <f t="shared" si="29"/>
        <v/>
      </c>
      <c r="T126" t="str">
        <f t="shared" si="31"/>
        <v>\I:</v>
      </c>
      <c r="U126" t="str">
        <f ca="1" t="shared" si="32"/>
        <v>ICE CNG LCV -- 00%</v>
      </c>
      <c r="V126" s="383" t="s">
        <v>84</v>
      </c>
      <c r="W126" s="383" t="s">
        <v>85</v>
      </c>
    </row>
    <row r="127" spans="10:23">
      <c r="J127" t="str">
        <f t="shared" si="25"/>
        <v>Trd_lcv_cng</v>
      </c>
      <c r="K127" t="str">
        <f t="shared" si="22"/>
        <v>\I:</v>
      </c>
      <c r="L127" t="str">
        <f t="shared" si="23"/>
        <v>\I:</v>
      </c>
      <c r="M127" s="380" t="str">
        <f t="shared" si="26"/>
        <v/>
      </c>
      <c r="N127" s="380" t="str">
        <f t="shared" si="27"/>
        <v/>
      </c>
      <c r="O127" s="380" t="str">
        <f t="shared" si="28"/>
        <v/>
      </c>
      <c r="P127" s="380" t="str">
        <f t="shared" si="29"/>
        <v/>
      </c>
      <c r="T127" t="str">
        <f t="shared" si="31"/>
        <v>\I:</v>
      </c>
      <c r="U127" t="str">
        <f ca="1" t="shared" si="32"/>
        <v>ICE CNG LCV -- 00%</v>
      </c>
      <c r="V127" s="383" t="s">
        <v>84</v>
      </c>
      <c r="W127" s="383" t="s">
        <v>85</v>
      </c>
    </row>
    <row r="128" spans="10:23">
      <c r="J128" t="str">
        <f t="shared" si="25"/>
        <v>Trd_lcv_cng</v>
      </c>
      <c r="K128" t="str">
        <f t="shared" si="22"/>
        <v>\I:</v>
      </c>
      <c r="L128" t="str">
        <f t="shared" si="23"/>
        <v>\I:</v>
      </c>
      <c r="M128" s="380" t="str">
        <f t="shared" si="26"/>
        <v/>
      </c>
      <c r="N128" s="380" t="str">
        <f t="shared" si="27"/>
        <v/>
      </c>
      <c r="O128" s="380" t="str">
        <f t="shared" si="28"/>
        <v/>
      </c>
      <c r="P128" s="380" t="str">
        <f t="shared" si="29"/>
        <v/>
      </c>
      <c r="T128" t="str">
        <f t="shared" si="31"/>
        <v>\I:</v>
      </c>
      <c r="U128" t="str">
        <f ca="1" t="shared" si="32"/>
        <v>ICE CNG LCV -- 00%</v>
      </c>
      <c r="V128" s="383" t="s">
        <v>84</v>
      </c>
      <c r="W128" s="383" t="s">
        <v>85</v>
      </c>
    </row>
    <row r="129" spans="10:23">
      <c r="J129" t="str">
        <f t="shared" si="25"/>
        <v>Trd_lcv_cng</v>
      </c>
      <c r="K129" t="str">
        <f t="shared" si="22"/>
        <v>\I:</v>
      </c>
      <c r="L129" t="str">
        <f t="shared" si="23"/>
        <v>\I:</v>
      </c>
      <c r="M129" s="380" t="str">
        <f t="shared" si="26"/>
        <v/>
      </c>
      <c r="N129" s="380" t="str">
        <f t="shared" si="27"/>
        <v/>
      </c>
      <c r="O129" s="380" t="str">
        <f t="shared" si="28"/>
        <v/>
      </c>
      <c r="P129" s="380" t="str">
        <f t="shared" si="29"/>
        <v/>
      </c>
      <c r="T129" t="str">
        <f t="shared" si="31"/>
        <v>\I:</v>
      </c>
      <c r="U129" t="str">
        <f ca="1" t="shared" si="32"/>
        <v>ICE CNG LCV -- 00%</v>
      </c>
      <c r="V129" s="383" t="s">
        <v>84</v>
      </c>
      <c r="W129" s="383" t="s">
        <v>85</v>
      </c>
    </row>
    <row r="130" spans="2:23">
      <c r="B130" s="43" t="s">
        <v>108</v>
      </c>
      <c r="J130" t="str">
        <f t="shared" si="25"/>
        <v>Trd_lcv_cng</v>
      </c>
      <c r="K130" t="str">
        <f t="shared" si="22"/>
        <v>\I:</v>
      </c>
      <c r="L130" t="str">
        <f t="shared" si="23"/>
        <v>\I:</v>
      </c>
      <c r="M130" s="380" t="str">
        <f t="shared" si="26"/>
        <v/>
      </c>
      <c r="N130" s="380" t="str">
        <f t="shared" si="27"/>
        <v/>
      </c>
      <c r="O130" s="380" t="str">
        <f t="shared" si="28"/>
        <v/>
      </c>
      <c r="P130" s="380" t="str">
        <f t="shared" si="29"/>
        <v/>
      </c>
      <c r="T130" t="str">
        <f t="shared" si="31"/>
        <v>\I:</v>
      </c>
      <c r="U130" t="str">
        <f ca="1" t="shared" si="32"/>
        <v>ICE CNG LCV -- Reference values for LPG LCV</v>
      </c>
      <c r="V130" s="383" t="s">
        <v>84</v>
      </c>
      <c r="W130" s="383" t="s">
        <v>85</v>
      </c>
    </row>
    <row r="131" spans="2:23">
      <c r="B131" s="44">
        <v>2015</v>
      </c>
      <c r="C131" s="372"/>
      <c r="D131" s="44"/>
      <c r="J131" t="str">
        <f t="shared" si="25"/>
        <v>Trd_lcv_cng</v>
      </c>
      <c r="K131" t="str">
        <f t="shared" si="22"/>
        <v>\I:</v>
      </c>
      <c r="L131" t="str">
        <f t="shared" si="23"/>
        <v>\I:</v>
      </c>
      <c r="M131" s="380" t="str">
        <f t="shared" si="26"/>
        <v/>
      </c>
      <c r="N131" s="380" t="str">
        <f t="shared" si="27"/>
        <v/>
      </c>
      <c r="O131" s="380" t="str">
        <f t="shared" si="28"/>
        <v/>
      </c>
      <c r="P131" s="380" t="str">
        <f t="shared" si="29"/>
        <v/>
      </c>
      <c r="T131" t="str">
        <f t="shared" si="31"/>
        <v>\I:</v>
      </c>
      <c r="U131" t="str">
        <f ca="1" t="shared" si="32"/>
        <v>ICE CNG LCV -- 201500%</v>
      </c>
      <c r="V131" s="383" t="s">
        <v>84</v>
      </c>
      <c r="W131" s="383" t="s">
        <v>85</v>
      </c>
    </row>
    <row r="132" spans="2:23">
      <c r="B132" s="45" t="s">
        <v>12</v>
      </c>
      <c r="C132" s="46" t="s">
        <v>13</v>
      </c>
      <c r="D132" s="47">
        <v>8.86604977915874</v>
      </c>
      <c r="G132" s="77">
        <f>D132*$F$10/100*10^9/10^6</f>
        <v>2.26882213848672</v>
      </c>
      <c r="H132" s="77"/>
      <c r="I132" s="373">
        <f>1/G132</f>
        <v>0.440757335287194</v>
      </c>
      <c r="J132" t="str">
        <f t="shared" si="25"/>
        <v>Trd_lcv_cng</v>
      </c>
      <c r="K132" t="str">
        <f t="shared" si="22"/>
        <v>\I:</v>
      </c>
      <c r="L132" t="str">
        <f t="shared" si="23"/>
        <v>\I:</v>
      </c>
      <c r="M132" s="380" t="str">
        <f t="shared" si="26"/>
        <v/>
      </c>
      <c r="N132" s="380" t="str">
        <f t="shared" si="27"/>
        <v/>
      </c>
      <c r="O132" s="380" t="str">
        <f t="shared" si="28"/>
        <v/>
      </c>
      <c r="P132" s="380" t="str">
        <f t="shared" si="29"/>
        <v/>
      </c>
      <c r="T132" t="str">
        <f t="shared" si="31"/>
        <v>\I:</v>
      </c>
      <c r="U132" t="str">
        <f ca="1" t="shared" si="32"/>
        <v>ICE CNG LCV -- Energy consumption</v>
      </c>
      <c r="V132" s="383" t="s">
        <v>84</v>
      </c>
      <c r="W132" s="383" t="s">
        <v>85</v>
      </c>
    </row>
    <row r="133" spans="2:23">
      <c r="B133" s="45" t="s">
        <v>14</v>
      </c>
      <c r="C133" s="46" t="s">
        <v>15</v>
      </c>
      <c r="D133" s="68">
        <v>18928.9953800185</v>
      </c>
      <c r="I133" s="385" t="s">
        <v>70</v>
      </c>
      <c r="J133" t="str">
        <f t="shared" si="25"/>
        <v>Trd_lcv_cng</v>
      </c>
      <c r="K133" t="str">
        <f t="shared" si="22"/>
        <v>\I:</v>
      </c>
      <c r="L133" t="str">
        <f t="shared" si="23"/>
        <v>\I:</v>
      </c>
      <c r="M133" s="380" t="str">
        <f t="shared" si="26"/>
        <v/>
      </c>
      <c r="N133" s="380" t="str">
        <f t="shared" si="27"/>
        <v/>
      </c>
      <c r="O133" s="380" t="str">
        <f t="shared" si="28"/>
        <v/>
      </c>
      <c r="P133" s="380" t="str">
        <f t="shared" si="29"/>
        <v/>
      </c>
      <c r="T133" t="str">
        <f t="shared" si="31"/>
        <v>\I:</v>
      </c>
      <c r="U133" t="str">
        <f ca="1" t="shared" si="32"/>
        <v>ICE CNG LCV -- Capital cost</v>
      </c>
      <c r="V133" s="383" t="s">
        <v>84</v>
      </c>
      <c r="W133" s="383" t="s">
        <v>85</v>
      </c>
    </row>
    <row r="134" spans="10:23">
      <c r="J134" t="str">
        <f t="shared" si="25"/>
        <v>Trd_lcv_cng</v>
      </c>
      <c r="K134" t="str">
        <f t="shared" si="22"/>
        <v>\I:</v>
      </c>
      <c r="L134" t="str">
        <f t="shared" si="23"/>
        <v>\I:</v>
      </c>
      <c r="M134" s="380" t="str">
        <f t="shared" si="26"/>
        <v/>
      </c>
      <c r="N134" s="380" t="str">
        <f t="shared" si="27"/>
        <v/>
      </c>
      <c r="O134" s="380" t="str">
        <f t="shared" si="28"/>
        <v/>
      </c>
      <c r="P134" s="380" t="str">
        <f t="shared" si="29"/>
        <v/>
      </c>
      <c r="T134" t="str">
        <f t="shared" si="31"/>
        <v>\I:</v>
      </c>
      <c r="U134" t="str">
        <f ca="1" t="shared" si="32"/>
        <v>ICE CNG LCV -- 00%</v>
      </c>
      <c r="V134" s="383" t="s">
        <v>84</v>
      </c>
      <c r="W134" s="383" t="s">
        <v>85</v>
      </c>
    </row>
    <row r="135" ht="15" customHeight="1" spans="2:23">
      <c r="B135" s="48" t="s">
        <v>91</v>
      </c>
      <c r="C135" s="374" t="s">
        <v>102</v>
      </c>
      <c r="D135" s="48"/>
      <c r="E135" s="48"/>
      <c r="F135" s="48"/>
      <c r="J135" t="str">
        <f t="shared" si="25"/>
        <v>\I:Trd_lcv_lpg</v>
      </c>
      <c r="K135" t="str">
        <f t="shared" si="22"/>
        <v>\I:</v>
      </c>
      <c r="L135" t="str">
        <f t="shared" si="23"/>
        <v>\I:</v>
      </c>
      <c r="M135" s="380" t="str">
        <f t="shared" si="26"/>
        <v/>
      </c>
      <c r="N135" s="380" t="str">
        <f t="shared" si="27"/>
        <v/>
      </c>
      <c r="O135" s="380" t="str">
        <f t="shared" si="28"/>
        <v/>
      </c>
      <c r="P135" s="380" t="str">
        <f t="shared" si="29"/>
        <v/>
      </c>
      <c r="T135" t="str">
        <f t="shared" si="31"/>
        <v>\I:</v>
      </c>
      <c r="U135" t="str">
        <f ca="1" t="shared" si="32"/>
        <v>ICE LPG LCV -- Reduction of specific energy consumption relative to 2015 LPG vehicle (%)</v>
      </c>
      <c r="V135" s="383" t="s">
        <v>84</v>
      </c>
      <c r="W135" s="383" t="s">
        <v>85</v>
      </c>
    </row>
    <row r="136" spans="2:23">
      <c r="B136" s="48"/>
      <c r="C136" s="374"/>
      <c r="D136" s="48"/>
      <c r="E136" s="48"/>
      <c r="F136" s="48"/>
      <c r="J136" t="str">
        <f t="shared" si="25"/>
        <v>\I:Trd_lcv_lpg</v>
      </c>
      <c r="K136" t="str">
        <f t="shared" si="22"/>
        <v>\I:</v>
      </c>
      <c r="L136" t="str">
        <f t="shared" si="23"/>
        <v>\I:</v>
      </c>
      <c r="M136" s="380" t="str">
        <f t="shared" si="26"/>
        <v/>
      </c>
      <c r="N136" s="380" t="str">
        <f t="shared" si="27"/>
        <v/>
      </c>
      <c r="O136" s="380" t="str">
        <f t="shared" si="28"/>
        <v/>
      </c>
      <c r="P136" s="380" t="str">
        <f t="shared" si="29"/>
        <v/>
      </c>
      <c r="T136" t="str">
        <f t="shared" si="31"/>
        <v>\I:</v>
      </c>
      <c r="U136" t="str">
        <f ca="1" t="shared" si="32"/>
        <v>ICE LPG LCV -- 00%</v>
      </c>
      <c r="V136" s="383" t="s">
        <v>84</v>
      </c>
      <c r="W136" s="383" t="s">
        <v>85</v>
      </c>
    </row>
    <row r="137" spans="2:23">
      <c r="B137" s="48"/>
      <c r="C137" s="374"/>
      <c r="D137" s="48"/>
      <c r="E137" s="48"/>
      <c r="F137" s="48"/>
      <c r="J137" t="str">
        <f t="shared" si="25"/>
        <v>\I:Trd_lcv_lpg</v>
      </c>
      <c r="K137" t="str">
        <f t="shared" si="22"/>
        <v>\I:</v>
      </c>
      <c r="L137" t="str">
        <f t="shared" si="23"/>
        <v>\I:</v>
      </c>
      <c r="M137" s="380" t="str">
        <f t="shared" si="26"/>
        <v/>
      </c>
      <c r="N137" s="380" t="str">
        <f t="shared" si="27"/>
        <v/>
      </c>
      <c r="O137" s="380" t="str">
        <f t="shared" si="28"/>
        <v/>
      </c>
      <c r="P137" s="380" t="str">
        <f t="shared" si="29"/>
        <v/>
      </c>
      <c r="T137" t="str">
        <f t="shared" si="31"/>
        <v>\I:</v>
      </c>
      <c r="U137" t="str">
        <f ca="1" t="shared" si="32"/>
        <v>ICE LPG LCV -- 00%</v>
      </c>
      <c r="V137" s="383" t="s">
        <v>84</v>
      </c>
      <c r="W137" s="383" t="s">
        <v>85</v>
      </c>
    </row>
    <row r="138" spans="2:23">
      <c r="B138" s="88"/>
      <c r="C138" s="415">
        <v>2020</v>
      </c>
      <c r="D138" s="50">
        <v>2030</v>
      </c>
      <c r="E138" s="50">
        <v>2040</v>
      </c>
      <c r="F138" s="50">
        <v>2050</v>
      </c>
      <c r="J138" t="str">
        <f t="shared" si="25"/>
        <v>\I:Trd_lcv_lpg</v>
      </c>
      <c r="K138" t="str">
        <f t="shared" si="22"/>
        <v>\I:</v>
      </c>
      <c r="L138" t="str">
        <f t="shared" si="23"/>
        <v>\I:</v>
      </c>
      <c r="M138" s="380" t="str">
        <f t="shared" si="26"/>
        <v/>
      </c>
      <c r="N138" s="380" t="str">
        <f t="shared" si="27"/>
        <v/>
      </c>
      <c r="O138" s="380" t="str">
        <f t="shared" si="28"/>
        <v/>
      </c>
      <c r="P138" s="380" t="str">
        <f t="shared" si="29"/>
        <v/>
      </c>
      <c r="T138" t="str">
        <f t="shared" si="31"/>
        <v>\I:</v>
      </c>
      <c r="U138" t="str">
        <f ca="1" t="shared" si="32"/>
        <v>ICE LPG LCV -- 00%</v>
      </c>
      <c r="V138" s="383" t="s">
        <v>84</v>
      </c>
      <c r="W138" s="383" t="s">
        <v>85</v>
      </c>
    </row>
    <row r="139" spans="2:23">
      <c r="B139" s="85">
        <v>0.145560583753408</v>
      </c>
      <c r="C139" s="416">
        <v>19399.6146612433</v>
      </c>
      <c r="D139" s="86">
        <v>18938.4434521105</v>
      </c>
      <c r="E139" s="86">
        <v>18938.4434521105</v>
      </c>
      <c r="F139" s="86">
        <v>18938.4434521105</v>
      </c>
      <c r="I139" s="77">
        <f>$I$132*(1+B139)/$I$11</f>
        <v>1.35469894887859</v>
      </c>
      <c r="J139" t="str">
        <f t="shared" si="25"/>
        <v>\I:Trd_lcv_lpg</v>
      </c>
      <c r="K139" t="str">
        <f t="shared" si="22"/>
        <v>\I:Trd_lcv_lpg_15</v>
      </c>
      <c r="L139" t="str">
        <f t="shared" si="23"/>
        <v>\I:Trd_</v>
      </c>
      <c r="M139" s="380">
        <f t="shared" si="26"/>
        <v>19399.6146612433</v>
      </c>
      <c r="N139" s="380">
        <f t="shared" si="27"/>
        <v>18938.4434521105</v>
      </c>
      <c r="O139" s="380">
        <f t="shared" si="28"/>
        <v>18938.4434521105</v>
      </c>
      <c r="P139" s="380">
        <f t="shared" si="29"/>
        <v>18938.4434521105</v>
      </c>
      <c r="T139" t="str">
        <f t="shared" si="31"/>
        <v>\I:Trd_lcv_lpg_15</v>
      </c>
      <c r="U139" t="str">
        <f ca="1" t="shared" si="32"/>
        <v>ICE LPG LCV -- 15%</v>
      </c>
      <c r="V139" s="383" t="s">
        <v>84</v>
      </c>
      <c r="W139" s="383" t="s">
        <v>85</v>
      </c>
    </row>
    <row r="140" spans="2:23">
      <c r="B140" s="85">
        <v>0.245560583753408</v>
      </c>
      <c r="C140" s="416">
        <v>20764.4484941009</v>
      </c>
      <c r="D140" s="86">
        <v>19487.6174087638</v>
      </c>
      <c r="E140" s="86">
        <v>19487.6174087638</v>
      </c>
      <c r="F140" s="86">
        <v>19487.6174087638</v>
      </c>
      <c r="I140" s="77">
        <f>$I$132*(1+B140)/$I$11</f>
        <v>1.47295537006584</v>
      </c>
      <c r="J140" t="str">
        <f t="shared" si="25"/>
        <v>\I:Trd_lcv_lpg</v>
      </c>
      <c r="K140" t="str">
        <f t="shared" si="22"/>
        <v>\I:Trd_lcv_lpg_25</v>
      </c>
      <c r="L140" t="str">
        <f t="shared" si="23"/>
        <v>\I:Trd_</v>
      </c>
      <c r="M140" s="380">
        <f t="shared" si="26"/>
        <v>20764.4484941009</v>
      </c>
      <c r="N140" s="380">
        <f t="shared" si="27"/>
        <v>19487.6174087638</v>
      </c>
      <c r="O140" s="380">
        <f t="shared" si="28"/>
        <v>19487.6174087638</v>
      </c>
      <c r="P140" s="380">
        <f t="shared" si="29"/>
        <v>19487.6174087638</v>
      </c>
      <c r="T140" t="str">
        <f t="shared" si="31"/>
        <v>\I:Trd_lcv_lpg_25</v>
      </c>
      <c r="U140" t="str">
        <f ca="1" t="shared" si="32"/>
        <v>ICE LPG LCV -- 25%</v>
      </c>
      <c r="V140" s="383" t="s">
        <v>84</v>
      </c>
      <c r="W140" s="383" t="s">
        <v>85</v>
      </c>
    </row>
    <row r="141" spans="2:23">
      <c r="B141" s="85">
        <v>0.345560583753408</v>
      </c>
      <c r="C141" s="416">
        <v>25848.6206600321</v>
      </c>
      <c r="D141" s="86">
        <v>20715.397608066</v>
      </c>
      <c r="E141" s="86">
        <v>20715.397608066</v>
      </c>
      <c r="F141" s="86">
        <v>20715.397608066</v>
      </c>
      <c r="I141" s="77">
        <f>$I$132*(1+B141)/$I$11</f>
        <v>1.5912117912531</v>
      </c>
      <c r="J141" t="str">
        <f t="shared" si="25"/>
        <v>\I:Trd_lcv_lpg</v>
      </c>
      <c r="K141" t="str">
        <f t="shared" si="22"/>
        <v>\I:Trd_lcv_lpg_35</v>
      </c>
      <c r="L141" t="str">
        <f t="shared" si="23"/>
        <v>\I:Trd_</v>
      </c>
      <c r="M141" s="380">
        <f t="shared" si="26"/>
        <v>25848.6206600321</v>
      </c>
      <c r="N141" s="380">
        <f t="shared" si="27"/>
        <v>20715.397608066</v>
      </c>
      <c r="O141" s="380">
        <f t="shared" si="28"/>
        <v>20715.397608066</v>
      </c>
      <c r="P141" s="380">
        <f t="shared" si="29"/>
        <v>20715.397608066</v>
      </c>
      <c r="T141" t="str">
        <f t="shared" si="31"/>
        <v>\I:Trd_lcv_lpg_35</v>
      </c>
      <c r="U141" t="str">
        <f ca="1" t="shared" si="32"/>
        <v>ICE LPG LCV -- 35%</v>
      </c>
      <c r="V141" s="383" t="s">
        <v>84</v>
      </c>
      <c r="W141" s="383" t="s">
        <v>85</v>
      </c>
    </row>
    <row r="142" spans="2:23">
      <c r="B142" s="85">
        <v>0.395560583753408</v>
      </c>
      <c r="C142" s="416">
        <v>34296.039017116</v>
      </c>
      <c r="D142" s="86">
        <v>23079.4941532488</v>
      </c>
      <c r="E142" s="86">
        <v>23079.4941532488</v>
      </c>
      <c r="F142" s="86">
        <v>23079.4941532488</v>
      </c>
      <c r="I142" s="77">
        <f>$I$132*(1+B142)/$I$11</f>
        <v>1.65034000184672</v>
      </c>
      <c r="J142" t="str">
        <f t="shared" si="25"/>
        <v>\I:Trd_lcv_lpg</v>
      </c>
      <c r="K142" t="str">
        <f t="shared" si="22"/>
        <v>\I:Trd_lcv_lpg_40</v>
      </c>
      <c r="L142" t="str">
        <f t="shared" si="23"/>
        <v>\I:Trd_</v>
      </c>
      <c r="M142" s="380">
        <f t="shared" si="26"/>
        <v>34296.039017116</v>
      </c>
      <c r="N142" s="380">
        <f t="shared" si="27"/>
        <v>23079.4941532488</v>
      </c>
      <c r="O142" s="380">
        <f t="shared" si="28"/>
        <v>23079.4941532488</v>
      </c>
      <c r="P142" s="380">
        <f t="shared" si="29"/>
        <v>23079.4941532488</v>
      </c>
      <c r="T142" t="str">
        <f t="shared" si="31"/>
        <v>\I:Trd_lcv_lpg_40</v>
      </c>
      <c r="U142" t="str">
        <f ca="1" t="shared" si="32"/>
        <v>ICE LPG LCV -- 40%</v>
      </c>
      <c r="V142" s="383" t="s">
        <v>84</v>
      </c>
      <c r="W142" s="383" t="s">
        <v>85</v>
      </c>
    </row>
    <row r="143" spans="2:23">
      <c r="B143" s="85">
        <v>0.445560583753408</v>
      </c>
      <c r="C143" s="416">
        <v>101110.720163391</v>
      </c>
      <c r="D143" s="86">
        <v>28509.3477890172</v>
      </c>
      <c r="E143" s="86">
        <v>28509.3477890172</v>
      </c>
      <c r="F143" s="86">
        <v>28509.3477890172</v>
      </c>
      <c r="I143" s="77">
        <f>$I$132*(1+B143)/$I$11</f>
        <v>1.70946821244035</v>
      </c>
      <c r="J143" t="str">
        <f t="shared" si="25"/>
        <v>\I:Trd_lcv_lpg</v>
      </c>
      <c r="K143" t="str">
        <f t="shared" si="22"/>
        <v>\I:Trd_lcv_lpg_45</v>
      </c>
      <c r="L143" t="str">
        <f t="shared" si="23"/>
        <v>\I:Trd_</v>
      </c>
      <c r="M143" s="380">
        <f t="shared" si="26"/>
        <v>101110.720163391</v>
      </c>
      <c r="N143" s="380">
        <f t="shared" si="27"/>
        <v>28509.3477890172</v>
      </c>
      <c r="O143" s="380">
        <f t="shared" si="28"/>
        <v>28509.3477890172</v>
      </c>
      <c r="P143" s="380">
        <f t="shared" si="29"/>
        <v>28509.3477890172</v>
      </c>
      <c r="T143" t="str">
        <f t="shared" si="31"/>
        <v>\I:Trd_lcv_lpg_45</v>
      </c>
      <c r="U143" t="str">
        <f ca="1" t="shared" si="32"/>
        <v>ICE LPG LCV -- 45%</v>
      </c>
      <c r="V143" s="383" t="s">
        <v>84</v>
      </c>
      <c r="W143" s="383" t="s">
        <v>85</v>
      </c>
    </row>
    <row r="144" spans="4:23">
      <c r="D144" s="97"/>
      <c r="E144" s="97"/>
      <c r="F144" s="97"/>
      <c r="J144" t="str">
        <f t="shared" si="25"/>
        <v>\I:Trd_lcv_lpg</v>
      </c>
      <c r="K144" t="str">
        <f t="shared" si="22"/>
        <v>\I:</v>
      </c>
      <c r="L144" t="str">
        <f t="shared" si="23"/>
        <v>\I:</v>
      </c>
      <c r="M144" s="380" t="str">
        <f t="shared" si="26"/>
        <v/>
      </c>
      <c r="N144" s="380" t="str">
        <f t="shared" si="27"/>
        <v/>
      </c>
      <c r="O144" s="380" t="str">
        <f t="shared" si="28"/>
        <v/>
      </c>
      <c r="P144" s="380" t="str">
        <f t="shared" si="29"/>
        <v/>
      </c>
      <c r="T144" t="str">
        <f t="shared" ref="T144:T178" si="34">K144</f>
        <v>\I:</v>
      </c>
      <c r="U144" t="str">
        <f ca="1" t="shared" ref="U144:U155" si="35">OFFSET($S$1,MATCH(J144,$S$1:$S$10,0)-1,-1)&amp;" -- "&amp;TEXT(B144,"00%")</f>
        <v>ICE LPG LCV -- 00%</v>
      </c>
      <c r="V144" s="383" t="s">
        <v>84</v>
      </c>
      <c r="W144" s="383" t="s">
        <v>85</v>
      </c>
    </row>
    <row r="145" spans="4:23">
      <c r="D145" s="97"/>
      <c r="E145" s="97"/>
      <c r="F145" s="97"/>
      <c r="J145" t="str">
        <f t="shared" si="25"/>
        <v>\I:Trd_lcv_lpg</v>
      </c>
      <c r="K145" t="str">
        <f t="shared" ref="K145:K170" si="36">IFERROR(IF(VALUE(C145)&gt;2020,J145&amp;"_"&amp;TEXT(B145*100,"00"),"\I:"),"\I:")</f>
        <v>\I:</v>
      </c>
      <c r="L145" t="str">
        <f t="shared" ref="L145:L178" si="37">LEFT(K145,7)</f>
        <v>\I:</v>
      </c>
      <c r="M145" s="380" t="str">
        <f t="shared" si="26"/>
        <v/>
      </c>
      <c r="N145" s="380" t="str">
        <f t="shared" si="27"/>
        <v/>
      </c>
      <c r="O145" s="380" t="str">
        <f t="shared" si="28"/>
        <v/>
      </c>
      <c r="P145" s="380" t="str">
        <f t="shared" si="29"/>
        <v/>
      </c>
      <c r="T145" t="str">
        <f t="shared" si="34"/>
        <v>\I:</v>
      </c>
      <c r="U145" t="str">
        <f ca="1" t="shared" si="35"/>
        <v>ICE LPG LCV -- 00%</v>
      </c>
      <c r="V145" s="383" t="s">
        <v>84</v>
      </c>
      <c r="W145" s="383" t="s">
        <v>85</v>
      </c>
    </row>
    <row r="146" spans="10:23">
      <c r="J146" t="str">
        <f t="shared" si="25"/>
        <v>\I:Trd_lcv_lpg</v>
      </c>
      <c r="K146" t="str">
        <f t="shared" si="36"/>
        <v>\I:</v>
      </c>
      <c r="L146" t="str">
        <f t="shared" si="37"/>
        <v>\I:</v>
      </c>
      <c r="M146" s="380" t="str">
        <f t="shared" si="26"/>
        <v/>
      </c>
      <c r="N146" s="380" t="str">
        <f t="shared" si="27"/>
        <v/>
      </c>
      <c r="O146" s="380" t="str">
        <f t="shared" si="28"/>
        <v/>
      </c>
      <c r="P146" s="380" t="str">
        <f t="shared" si="29"/>
        <v/>
      </c>
      <c r="T146" t="str">
        <f t="shared" si="34"/>
        <v>\I:</v>
      </c>
      <c r="U146" t="str">
        <f ca="1" t="shared" si="35"/>
        <v>ICE LPG LCV -- 00%</v>
      </c>
      <c r="V146" s="383" t="s">
        <v>84</v>
      </c>
      <c r="W146" s="383" t="s">
        <v>85</v>
      </c>
    </row>
    <row r="147" spans="10:23">
      <c r="J147" t="str">
        <f t="shared" si="25"/>
        <v>\I:Trd_lcv_lpg</v>
      </c>
      <c r="K147" t="str">
        <f t="shared" si="36"/>
        <v>\I:</v>
      </c>
      <c r="L147" t="str">
        <f t="shared" si="37"/>
        <v>\I:</v>
      </c>
      <c r="M147" s="380" t="str">
        <f t="shared" si="26"/>
        <v/>
      </c>
      <c r="N147" s="380" t="str">
        <f t="shared" si="27"/>
        <v/>
      </c>
      <c r="O147" s="380" t="str">
        <f t="shared" si="28"/>
        <v/>
      </c>
      <c r="P147" s="380" t="str">
        <f t="shared" si="29"/>
        <v/>
      </c>
      <c r="T147" t="str">
        <f t="shared" si="34"/>
        <v>\I:</v>
      </c>
      <c r="U147" t="str">
        <f ca="1" t="shared" si="35"/>
        <v>ICE LPG LCV -- 00%</v>
      </c>
      <c r="V147" s="383" t="s">
        <v>84</v>
      </c>
      <c r="W147" s="383" t="s">
        <v>85</v>
      </c>
    </row>
    <row r="148" spans="10:23">
      <c r="J148" t="str">
        <f t="shared" ref="J148:J178" si="38">IFERROR(VLOOKUP(C148,$R$1:$S$10,2,FALSE),J147)</f>
        <v>\I:Trd_lcv_lpg</v>
      </c>
      <c r="K148" t="str">
        <f t="shared" si="36"/>
        <v>\I:</v>
      </c>
      <c r="L148" t="str">
        <f t="shared" si="37"/>
        <v>\I:</v>
      </c>
      <c r="M148" s="380" t="str">
        <f t="shared" si="26"/>
        <v/>
      </c>
      <c r="N148" s="380" t="str">
        <f t="shared" si="27"/>
        <v/>
      </c>
      <c r="O148" s="380" t="str">
        <f t="shared" si="28"/>
        <v/>
      </c>
      <c r="P148" s="380" t="str">
        <f t="shared" si="29"/>
        <v/>
      </c>
      <c r="T148" t="str">
        <f t="shared" si="34"/>
        <v>\I:</v>
      </c>
      <c r="U148" t="str">
        <f ca="1" t="shared" si="35"/>
        <v>ICE LPG LCV -- 00%</v>
      </c>
      <c r="V148" s="383" t="s">
        <v>84</v>
      </c>
      <c r="W148" s="383" t="s">
        <v>85</v>
      </c>
    </row>
    <row r="149" spans="2:23">
      <c r="B149" s="44">
        <v>2020</v>
      </c>
      <c r="C149" s="372"/>
      <c r="D149" s="44"/>
      <c r="J149" t="str">
        <f t="shared" si="38"/>
        <v>\I:Trd_lcv_lpg</v>
      </c>
      <c r="K149" t="str">
        <f t="shared" si="36"/>
        <v>\I:</v>
      </c>
      <c r="L149" t="str">
        <f t="shared" si="37"/>
        <v>\I:</v>
      </c>
      <c r="M149" s="380" t="str">
        <f t="shared" si="26"/>
        <v/>
      </c>
      <c r="N149" s="380" t="str">
        <f t="shared" si="27"/>
        <v/>
      </c>
      <c r="O149" s="380" t="str">
        <f t="shared" si="28"/>
        <v/>
      </c>
      <c r="P149" s="380" t="str">
        <f t="shared" si="29"/>
        <v/>
      </c>
      <c r="T149" t="str">
        <f t="shared" si="34"/>
        <v>\I:</v>
      </c>
      <c r="U149" t="str">
        <f ca="1" t="shared" si="35"/>
        <v>ICE LPG LCV -- 202000%</v>
      </c>
      <c r="V149" s="383" t="s">
        <v>84</v>
      </c>
      <c r="W149" s="383" t="s">
        <v>85</v>
      </c>
    </row>
    <row r="150" spans="2:23">
      <c r="B150" s="45" t="s">
        <v>109</v>
      </c>
      <c r="C150" s="46" t="s">
        <v>26</v>
      </c>
      <c r="D150" s="74">
        <v>0.17</v>
      </c>
      <c r="G150" s="77">
        <f>D150/3.6/100*10^9/10^6</f>
        <v>0.472222222222222</v>
      </c>
      <c r="H150" s="77"/>
      <c r="I150" s="412">
        <f>1/G150-1</f>
        <v>1.11764705882353</v>
      </c>
      <c r="J150" t="str">
        <f t="shared" si="38"/>
        <v>\I:Trd_lcv_lpg</v>
      </c>
      <c r="K150" t="str">
        <f t="shared" si="36"/>
        <v>\I:</v>
      </c>
      <c r="L150" t="str">
        <f t="shared" si="37"/>
        <v>\I:</v>
      </c>
      <c r="M150" s="380" t="str">
        <f t="shared" si="26"/>
        <v/>
      </c>
      <c r="N150" s="380" t="str">
        <f t="shared" si="27"/>
        <v/>
      </c>
      <c r="O150" s="380" t="str">
        <f t="shared" si="28"/>
        <v/>
      </c>
      <c r="P150" s="380" t="str">
        <f t="shared" si="29"/>
        <v/>
      </c>
      <c r="T150" t="str">
        <f t="shared" si="34"/>
        <v>\I:</v>
      </c>
      <c r="U150" t="str">
        <f ca="1" t="shared" si="35"/>
        <v>ICE LPG LCV -- Energy consumption of Battery electric LCV</v>
      </c>
      <c r="V150" s="383" t="s">
        <v>84</v>
      </c>
      <c r="W150" s="383" t="s">
        <v>85</v>
      </c>
    </row>
    <row r="151" spans="9:23">
      <c r="I151" s="385" t="s">
        <v>70</v>
      </c>
      <c r="J151" t="str">
        <f t="shared" si="38"/>
        <v>\I:Trd_lcv_lpg</v>
      </c>
      <c r="K151" t="str">
        <f t="shared" si="36"/>
        <v>\I:</v>
      </c>
      <c r="L151" t="str">
        <f t="shared" si="37"/>
        <v>\I:</v>
      </c>
      <c r="M151" s="380" t="str">
        <f t="shared" si="26"/>
        <v/>
      </c>
      <c r="N151" s="380" t="str">
        <f t="shared" si="27"/>
        <v/>
      </c>
      <c r="O151" s="380" t="str">
        <f t="shared" si="28"/>
        <v/>
      </c>
      <c r="P151" s="380" t="str">
        <f t="shared" si="29"/>
        <v/>
      </c>
      <c r="T151" t="str">
        <f t="shared" si="34"/>
        <v>\I:</v>
      </c>
      <c r="U151" t="str">
        <f ca="1" t="shared" si="35"/>
        <v>ICE LPG LCV -- 00%</v>
      </c>
      <c r="V151" s="383" t="s">
        <v>84</v>
      </c>
      <c r="W151" s="383" t="s">
        <v>85</v>
      </c>
    </row>
    <row r="152" ht="15" customHeight="1" spans="2:23">
      <c r="B152" s="48" t="s">
        <v>27</v>
      </c>
      <c r="C152" s="374" t="s">
        <v>104</v>
      </c>
      <c r="D152" s="48"/>
      <c r="E152" s="48"/>
      <c r="F152" s="48"/>
      <c r="J152" t="str">
        <f t="shared" si="38"/>
        <v>Trd_lcv_elc</v>
      </c>
      <c r="K152" t="str">
        <f t="shared" si="36"/>
        <v>\I:</v>
      </c>
      <c r="L152" t="str">
        <f t="shared" si="37"/>
        <v>\I:</v>
      </c>
      <c r="M152" s="380" t="str">
        <f t="shared" si="26"/>
        <v/>
      </c>
      <c r="N152" s="380" t="str">
        <f t="shared" si="27"/>
        <v/>
      </c>
      <c r="O152" s="380" t="str">
        <f t="shared" si="28"/>
        <v/>
      </c>
      <c r="P152" s="380" t="str">
        <f t="shared" si="29"/>
        <v/>
      </c>
      <c r="T152" t="str">
        <f t="shared" si="34"/>
        <v>\I:</v>
      </c>
      <c r="U152" t="str">
        <f ca="1" t="shared" si="35"/>
        <v>Battery electric LCV -- Electric range (km)</v>
      </c>
      <c r="V152" s="383" t="s">
        <v>84</v>
      </c>
      <c r="W152" s="383" t="s">
        <v>85</v>
      </c>
    </row>
    <row r="153" spans="2:23">
      <c r="B153" s="48"/>
      <c r="C153" s="374"/>
      <c r="D153" s="48"/>
      <c r="E153" s="48"/>
      <c r="F153" s="48"/>
      <c r="J153" t="str">
        <f t="shared" si="38"/>
        <v>Trd_lcv_elc</v>
      </c>
      <c r="K153" t="str">
        <f t="shared" si="36"/>
        <v>\I:</v>
      </c>
      <c r="L153" t="str">
        <f t="shared" si="37"/>
        <v>\I:</v>
      </c>
      <c r="M153" s="380" t="str">
        <f t="shared" si="26"/>
        <v/>
      </c>
      <c r="N153" s="380" t="str">
        <f t="shared" si="27"/>
        <v/>
      </c>
      <c r="O153" s="380" t="str">
        <f t="shared" si="28"/>
        <v/>
      </c>
      <c r="P153" s="380" t="str">
        <f t="shared" si="29"/>
        <v/>
      </c>
      <c r="T153" t="str">
        <f t="shared" si="34"/>
        <v>\I:</v>
      </c>
      <c r="U153" t="str">
        <f ca="1" t="shared" si="35"/>
        <v>Battery electric LCV -- 00%</v>
      </c>
      <c r="V153" s="383" t="s">
        <v>84</v>
      </c>
      <c r="W153" s="383" t="s">
        <v>85</v>
      </c>
    </row>
    <row r="154" spans="2:23">
      <c r="B154" s="48"/>
      <c r="C154" s="374"/>
      <c r="D154" s="48"/>
      <c r="E154" s="48"/>
      <c r="F154" s="48"/>
      <c r="J154" t="str">
        <f t="shared" si="38"/>
        <v>Trd_lcv_elc</v>
      </c>
      <c r="K154" t="str">
        <f t="shared" si="36"/>
        <v>\I:</v>
      </c>
      <c r="L154" t="str">
        <f t="shared" si="37"/>
        <v>\I:</v>
      </c>
      <c r="M154" s="380" t="str">
        <f t="shared" ref="M154:M178" si="39">IF($K154="\I:","",C154)</f>
        <v/>
      </c>
      <c r="N154" s="380" t="str">
        <f t="shared" ref="N154:N178" si="40">IF($K154="\I:","",D154)</f>
        <v/>
      </c>
      <c r="O154" s="380" t="str">
        <f t="shared" ref="O154:O178" si="41">IF($K154="\I:","",E154)</f>
        <v/>
      </c>
      <c r="P154" s="380" t="str">
        <f t="shared" ref="P154:P178" si="42">IF($K154="\I:","",F154)</f>
        <v/>
      </c>
      <c r="T154" t="str">
        <f t="shared" si="34"/>
        <v>\I:</v>
      </c>
      <c r="U154" t="str">
        <f ca="1" t="shared" si="35"/>
        <v>Battery electric LCV -- 00%</v>
      </c>
      <c r="V154" s="383" t="s">
        <v>84</v>
      </c>
      <c r="W154" s="383" t="s">
        <v>85</v>
      </c>
    </row>
    <row r="155" spans="2:23">
      <c r="B155" s="88"/>
      <c r="C155" s="415">
        <v>2020</v>
      </c>
      <c r="D155" s="50">
        <v>2030</v>
      </c>
      <c r="E155" s="50">
        <v>2040</v>
      </c>
      <c r="F155" s="50">
        <v>2050</v>
      </c>
      <c r="J155" t="str">
        <f t="shared" si="38"/>
        <v>Trd_lcv_elc</v>
      </c>
      <c r="K155" t="str">
        <f t="shared" si="36"/>
        <v>\I:</v>
      </c>
      <c r="L155" t="str">
        <f t="shared" si="37"/>
        <v>\I:</v>
      </c>
      <c r="M155" s="380" t="str">
        <f t="shared" si="39"/>
        <v/>
      </c>
      <c r="N155" s="380" t="str">
        <f t="shared" si="40"/>
        <v/>
      </c>
      <c r="O155" s="380" t="str">
        <f t="shared" si="41"/>
        <v/>
      </c>
      <c r="P155" s="380" t="str">
        <f t="shared" si="42"/>
        <v/>
      </c>
      <c r="T155" t="str">
        <f t="shared" si="34"/>
        <v>\I:</v>
      </c>
      <c r="U155" t="str">
        <f ca="1" t="shared" si="35"/>
        <v>Battery electric LCV -- 00%</v>
      </c>
      <c r="V155" s="383" t="s">
        <v>84</v>
      </c>
      <c r="W155" s="383" t="s">
        <v>85</v>
      </c>
    </row>
    <row r="156" ht="15" customHeight="1" spans="2:23">
      <c r="B156" s="66">
        <v>120</v>
      </c>
      <c r="C156" s="416">
        <v>22060.8898906779</v>
      </c>
      <c r="D156" s="86">
        <v>18978.0198753824</v>
      </c>
      <c r="E156" s="86">
        <v>18465.8673516113</v>
      </c>
      <c r="F156" s="86">
        <v>18288.5087647105</v>
      </c>
      <c r="I156" s="386">
        <f>$I$150/$I$11</f>
        <v>2.99867820102892</v>
      </c>
      <c r="J156" t="str">
        <f t="shared" si="38"/>
        <v>Trd_lcv_elc</v>
      </c>
      <c r="K156" t="str">
        <f>IFERROR(IF(VALUE(C156)&gt;2020,J156&amp;"_"&amp;TEXT(B156,"000"),"\I:"),"\I:")</f>
        <v>Trd_lcv_elc_120</v>
      </c>
      <c r="L156" t="str">
        <f t="shared" si="37"/>
        <v>Trd_lcv</v>
      </c>
      <c r="M156" s="380">
        <f t="shared" si="39"/>
        <v>22060.8898906779</v>
      </c>
      <c r="N156" s="380">
        <f t="shared" si="40"/>
        <v>18978.0198753824</v>
      </c>
      <c r="O156" s="380">
        <f t="shared" si="41"/>
        <v>18465.8673516113</v>
      </c>
      <c r="P156" s="380">
        <f t="shared" si="42"/>
        <v>18288.5087647105</v>
      </c>
      <c r="Q156" s="43">
        <v>0.05</v>
      </c>
      <c r="T156" t="str">
        <f t="shared" si="34"/>
        <v>Trd_lcv_elc_120</v>
      </c>
      <c r="U156" t="str">
        <f ca="1" t="shared" ref="U156:U163" si="43">OFFSET($S$1,MATCH(J156,$S$1:$S$10,0)-1,-1)&amp;" -- "&amp;TEXT(B156,"000")</f>
        <v>Battery electric LCV -- 120</v>
      </c>
      <c r="V156" s="383" t="s">
        <v>84</v>
      </c>
      <c r="W156" s="383" t="s">
        <v>85</v>
      </c>
    </row>
    <row r="157" spans="2:23">
      <c r="B157" s="66">
        <v>160</v>
      </c>
      <c r="C157" s="416">
        <v>23847.6536151786</v>
      </c>
      <c r="D157" s="86">
        <v>20088.9351310926</v>
      </c>
      <c r="E157" s="86">
        <v>19214.3984864749</v>
      </c>
      <c r="F157" s="86">
        <v>18911.5461597104</v>
      </c>
      <c r="I157" s="386">
        <f t="shared" ref="I157:I163" si="44">$I$150/$I$11</f>
        <v>2.99867820102892</v>
      </c>
      <c r="J157" t="str">
        <f t="shared" si="38"/>
        <v>Trd_lcv_elc</v>
      </c>
      <c r="K157" t="str">
        <f t="shared" ref="K157:K163" si="45">IFERROR(IF(VALUE(C157)&gt;2020,J157&amp;"_"&amp;TEXT(B157,"000"),"\I:"),"\I:")</f>
        <v>Trd_lcv_elc_160</v>
      </c>
      <c r="L157" t="str">
        <f t="shared" si="37"/>
        <v>Trd_lcv</v>
      </c>
      <c r="M157" s="380">
        <f t="shared" si="39"/>
        <v>23847.6536151786</v>
      </c>
      <c r="N157" s="380">
        <f t="shared" si="40"/>
        <v>20088.9351310926</v>
      </c>
      <c r="O157" s="380">
        <f t="shared" si="41"/>
        <v>19214.3984864749</v>
      </c>
      <c r="P157" s="380">
        <f t="shared" si="42"/>
        <v>18911.5461597104</v>
      </c>
      <c r="Q157" s="43">
        <v>0.05</v>
      </c>
      <c r="T157" t="str">
        <f t="shared" si="34"/>
        <v>Trd_lcv_elc_160</v>
      </c>
      <c r="U157" t="str">
        <f ca="1" t="shared" si="43"/>
        <v>Battery electric LCV -- 160</v>
      </c>
      <c r="V157" s="383" t="s">
        <v>84</v>
      </c>
      <c r="W157" s="383" t="s">
        <v>85</v>
      </c>
    </row>
    <row r="158" spans="2:23">
      <c r="B158" s="66">
        <v>200</v>
      </c>
      <c r="C158" s="416">
        <v>25634.4173396793</v>
      </c>
      <c r="D158" s="86">
        <v>20759.4262694129</v>
      </c>
      <c r="E158" s="86">
        <v>19666.1732641666</v>
      </c>
      <c r="F158" s="86">
        <v>19287.5793900062</v>
      </c>
      <c r="I158" s="386">
        <f t="shared" si="44"/>
        <v>2.99867820102892</v>
      </c>
      <c r="J158" t="str">
        <f t="shared" si="38"/>
        <v>Trd_lcv_elc</v>
      </c>
      <c r="K158" t="str">
        <f t="shared" si="45"/>
        <v>Trd_lcv_elc_200</v>
      </c>
      <c r="L158" t="str">
        <f t="shared" si="37"/>
        <v>Trd_lcv</v>
      </c>
      <c r="M158" s="380">
        <f t="shared" si="39"/>
        <v>25634.4173396793</v>
      </c>
      <c r="N158" s="380">
        <f t="shared" si="40"/>
        <v>20759.4262694129</v>
      </c>
      <c r="O158" s="380">
        <f t="shared" si="41"/>
        <v>19666.1732641666</v>
      </c>
      <c r="P158" s="380">
        <f t="shared" si="42"/>
        <v>19287.5793900062</v>
      </c>
      <c r="Q158" s="43">
        <v>0.05</v>
      </c>
      <c r="T158" t="str">
        <f t="shared" si="34"/>
        <v>Trd_lcv_elc_200</v>
      </c>
      <c r="U158" t="str">
        <f ca="1" t="shared" si="43"/>
        <v>Battery electric LCV -- 200</v>
      </c>
      <c r="V158" s="383" t="s">
        <v>84</v>
      </c>
      <c r="W158" s="383" t="s">
        <v>85</v>
      </c>
    </row>
    <row r="159" spans="2:23">
      <c r="B159" s="66">
        <v>250</v>
      </c>
      <c r="C159" s="416">
        <v>27948.3523689399</v>
      </c>
      <c r="D159" s="86">
        <v>21676.7267933811</v>
      </c>
      <c r="E159" s="86">
        <v>20284.2474140061</v>
      </c>
      <c r="F159" s="86">
        <v>19802.031348378</v>
      </c>
      <c r="I159" s="386">
        <f t="shared" si="44"/>
        <v>2.99867820102892</v>
      </c>
      <c r="J159" t="str">
        <f t="shared" si="38"/>
        <v>Trd_lcv_elc</v>
      </c>
      <c r="K159" t="str">
        <f t="shared" si="45"/>
        <v>Trd_lcv_elc_250</v>
      </c>
      <c r="L159" t="str">
        <f t="shared" si="37"/>
        <v>Trd_lcv</v>
      </c>
      <c r="M159" s="380">
        <f t="shared" si="39"/>
        <v>27948.3523689399</v>
      </c>
      <c r="N159" s="380">
        <f t="shared" si="40"/>
        <v>21676.7267933811</v>
      </c>
      <c r="O159" s="380">
        <f t="shared" si="41"/>
        <v>20284.2474140061</v>
      </c>
      <c r="P159" s="380">
        <f t="shared" si="42"/>
        <v>19802.031348378</v>
      </c>
      <c r="Q159" s="43">
        <v>0.125</v>
      </c>
      <c r="T159" t="str">
        <f t="shared" si="34"/>
        <v>Trd_lcv_elc_250</v>
      </c>
      <c r="U159" t="str">
        <f ca="1" t="shared" si="43"/>
        <v>Battery electric LCV -- 250</v>
      </c>
      <c r="V159" s="383" t="s">
        <v>84</v>
      </c>
      <c r="W159" s="383" t="s">
        <v>85</v>
      </c>
    </row>
    <row r="160" spans="2:23">
      <c r="B160" s="66">
        <v>300</v>
      </c>
      <c r="C160" s="416">
        <v>30262.2873982005</v>
      </c>
      <c r="D160" s="86">
        <v>22594.0273173494</v>
      </c>
      <c r="E160" s="86">
        <v>20902.3215638457</v>
      </c>
      <c r="F160" s="86">
        <v>20316.4833067498</v>
      </c>
      <c r="I160" s="386">
        <f t="shared" si="44"/>
        <v>2.99867820102892</v>
      </c>
      <c r="J160" t="str">
        <f t="shared" si="38"/>
        <v>Trd_lcv_elc</v>
      </c>
      <c r="K160" t="str">
        <f t="shared" si="45"/>
        <v>Trd_lcv_elc_300</v>
      </c>
      <c r="L160" t="str">
        <f t="shared" si="37"/>
        <v>Trd_lcv</v>
      </c>
      <c r="M160" s="380">
        <f t="shared" si="39"/>
        <v>30262.2873982005</v>
      </c>
      <c r="N160" s="380">
        <f t="shared" si="40"/>
        <v>22594.0273173494</v>
      </c>
      <c r="O160" s="380">
        <f t="shared" si="41"/>
        <v>20902.3215638457</v>
      </c>
      <c r="P160" s="380">
        <f t="shared" si="42"/>
        <v>20316.4833067498</v>
      </c>
      <c r="Q160" s="43">
        <v>0.15</v>
      </c>
      <c r="T160" t="str">
        <f t="shared" si="34"/>
        <v>Trd_lcv_elc_300</v>
      </c>
      <c r="U160" t="str">
        <f ca="1" t="shared" si="43"/>
        <v>Battery electric LCV -- 300</v>
      </c>
      <c r="V160" s="383" t="s">
        <v>84</v>
      </c>
      <c r="W160" s="383" t="s">
        <v>85</v>
      </c>
    </row>
    <row r="161" spans="2:23">
      <c r="B161" s="66">
        <v>350</v>
      </c>
      <c r="C161" s="416">
        <v>33408.2814289264</v>
      </c>
      <c r="D161" s="86">
        <v>23702.9684508776</v>
      </c>
      <c r="E161" s="86">
        <v>21525.9824247356</v>
      </c>
      <c r="F161" s="86">
        <v>20835.585345442</v>
      </c>
      <c r="I161" s="386">
        <f t="shared" si="44"/>
        <v>2.99867820102892</v>
      </c>
      <c r="J161" t="str">
        <f t="shared" si="38"/>
        <v>Trd_lcv_elc</v>
      </c>
      <c r="K161" t="str">
        <f t="shared" si="45"/>
        <v>Trd_lcv_elc_350</v>
      </c>
      <c r="L161" t="str">
        <f t="shared" si="37"/>
        <v>Trd_lcv</v>
      </c>
      <c r="M161" s="380">
        <f t="shared" si="39"/>
        <v>33408.2814289264</v>
      </c>
      <c r="N161" s="380">
        <f t="shared" si="40"/>
        <v>23702.9684508776</v>
      </c>
      <c r="O161" s="380">
        <f t="shared" si="41"/>
        <v>21525.9824247356</v>
      </c>
      <c r="P161" s="380">
        <f t="shared" si="42"/>
        <v>20835.585345442</v>
      </c>
      <c r="Q161" s="43">
        <v>0.175</v>
      </c>
      <c r="T161" t="str">
        <f t="shared" si="34"/>
        <v>Trd_lcv_elc_350</v>
      </c>
      <c r="U161" t="str">
        <f ca="1" t="shared" si="43"/>
        <v>Battery electric LCV -- 350</v>
      </c>
      <c r="V161" s="383" t="s">
        <v>84</v>
      </c>
      <c r="W161" s="383" t="s">
        <v>85</v>
      </c>
    </row>
    <row r="162" spans="2:23">
      <c r="B162" s="66">
        <v>400</v>
      </c>
      <c r="C162" s="416">
        <v>36792.6829441682</v>
      </c>
      <c r="D162" s="86">
        <v>24867.4450991613</v>
      </c>
      <c r="E162" s="86">
        <v>22149.6432856255</v>
      </c>
      <c r="F162" s="86">
        <v>21354.6873841341</v>
      </c>
      <c r="I162" s="386">
        <f t="shared" si="44"/>
        <v>2.99867820102892</v>
      </c>
      <c r="J162" t="str">
        <f t="shared" si="38"/>
        <v>Trd_lcv_elc</v>
      </c>
      <c r="K162" t="str">
        <f t="shared" si="45"/>
        <v>Trd_lcv_elc_400</v>
      </c>
      <c r="L162" t="str">
        <f t="shared" si="37"/>
        <v>Trd_lcv</v>
      </c>
      <c r="M162" s="380">
        <f t="shared" si="39"/>
        <v>36792.6829441682</v>
      </c>
      <c r="N162" s="380">
        <f t="shared" si="40"/>
        <v>24867.4450991613</v>
      </c>
      <c r="O162" s="380">
        <f t="shared" si="41"/>
        <v>22149.6432856255</v>
      </c>
      <c r="P162" s="380">
        <f t="shared" si="42"/>
        <v>21354.6873841341</v>
      </c>
      <c r="Q162" s="43">
        <v>0.2</v>
      </c>
      <c r="T162" t="str">
        <f t="shared" si="34"/>
        <v>Trd_lcv_elc_400</v>
      </c>
      <c r="U162" t="str">
        <f ca="1" t="shared" si="43"/>
        <v>Battery electric LCV -- 400</v>
      </c>
      <c r="V162" s="383" t="s">
        <v>84</v>
      </c>
      <c r="W162" s="383" t="s">
        <v>85</v>
      </c>
    </row>
    <row r="163" spans="2:23">
      <c r="B163" s="66">
        <v>500</v>
      </c>
      <c r="C163" s="416">
        <v>44276.7084281994</v>
      </c>
      <c r="D163" s="86">
        <v>27629.6574330657</v>
      </c>
      <c r="E163" s="86">
        <v>23636.5244664208</v>
      </c>
      <c r="F163" s="86">
        <v>22392.8914615185</v>
      </c>
      <c r="I163" s="386">
        <f t="shared" si="44"/>
        <v>2.99867820102892</v>
      </c>
      <c r="J163" t="str">
        <f t="shared" si="38"/>
        <v>Trd_lcv_elc</v>
      </c>
      <c r="K163" t="str">
        <f t="shared" si="45"/>
        <v>Trd_lcv_elc_500</v>
      </c>
      <c r="L163" t="str">
        <f t="shared" si="37"/>
        <v>Trd_lcv</v>
      </c>
      <c r="M163" s="380">
        <f t="shared" si="39"/>
        <v>44276.7084281994</v>
      </c>
      <c r="N163" s="380">
        <f t="shared" si="40"/>
        <v>27629.6574330657</v>
      </c>
      <c r="O163" s="380">
        <f t="shared" si="41"/>
        <v>23636.5244664208</v>
      </c>
      <c r="P163" s="380">
        <f t="shared" si="42"/>
        <v>22392.8914615185</v>
      </c>
      <c r="T163" t="str">
        <f t="shared" si="34"/>
        <v>Trd_lcv_elc_500</v>
      </c>
      <c r="U163" t="str">
        <f ca="1" t="shared" si="43"/>
        <v>Battery electric LCV -- 500</v>
      </c>
      <c r="V163" s="383" t="s">
        <v>84</v>
      </c>
      <c r="W163" s="383" t="s">
        <v>85</v>
      </c>
    </row>
    <row r="164" spans="10:23">
      <c r="J164" t="str">
        <f t="shared" si="38"/>
        <v>Trd_lcv_elc</v>
      </c>
      <c r="K164" t="str">
        <f t="shared" si="36"/>
        <v>\I:</v>
      </c>
      <c r="L164" t="str">
        <f t="shared" si="37"/>
        <v>\I:</v>
      </c>
      <c r="M164" s="380" t="str">
        <f t="shared" si="39"/>
        <v/>
      </c>
      <c r="N164" s="380" t="str">
        <f t="shared" si="40"/>
        <v/>
      </c>
      <c r="O164" s="380" t="str">
        <f t="shared" si="41"/>
        <v/>
      </c>
      <c r="P164" s="380" t="str">
        <f t="shared" si="42"/>
        <v/>
      </c>
      <c r="T164" t="str">
        <f t="shared" si="34"/>
        <v>\I:</v>
      </c>
      <c r="U164" t="str">
        <f ca="1" t="shared" ref="U164:U170" si="46">OFFSET($S$1,MATCH(J164,$S$1:$S$10,0)-1,-1)&amp;" -- "&amp;TEXT(B164,"00%")</f>
        <v>Battery electric LCV -- 00%</v>
      </c>
      <c r="V164" s="383" t="s">
        <v>84</v>
      </c>
      <c r="W164" s="383" t="s">
        <v>85</v>
      </c>
    </row>
    <row r="165" spans="10:23">
      <c r="J165" t="str">
        <f t="shared" si="38"/>
        <v>Trd_lcv_elc</v>
      </c>
      <c r="K165" t="str">
        <f t="shared" si="36"/>
        <v>\I:</v>
      </c>
      <c r="L165" t="str">
        <f t="shared" si="37"/>
        <v>\I:</v>
      </c>
      <c r="M165" s="380" t="str">
        <f t="shared" si="39"/>
        <v/>
      </c>
      <c r="N165" s="380" t="str">
        <f t="shared" si="40"/>
        <v/>
      </c>
      <c r="O165" s="380" t="str">
        <f t="shared" si="41"/>
        <v/>
      </c>
      <c r="P165" s="380" t="str">
        <f t="shared" si="42"/>
        <v/>
      </c>
      <c r="T165" t="str">
        <f t="shared" si="34"/>
        <v>\I:</v>
      </c>
      <c r="U165" t="str">
        <f ca="1" t="shared" si="46"/>
        <v>Battery electric LCV -- 00%</v>
      </c>
      <c r="V165" s="383" t="s">
        <v>84</v>
      </c>
      <c r="W165" s="383" t="s">
        <v>85</v>
      </c>
    </row>
    <row r="166" spans="10:23">
      <c r="J166" t="str">
        <f t="shared" si="38"/>
        <v>Trd_lcv_elc</v>
      </c>
      <c r="K166" t="str">
        <f t="shared" si="36"/>
        <v>\I:</v>
      </c>
      <c r="L166" t="str">
        <f t="shared" si="37"/>
        <v>\I:</v>
      </c>
      <c r="M166" s="380" t="str">
        <f t="shared" si="39"/>
        <v/>
      </c>
      <c r="N166" s="380" t="str">
        <f t="shared" si="40"/>
        <v/>
      </c>
      <c r="O166" s="380" t="str">
        <f t="shared" si="41"/>
        <v/>
      </c>
      <c r="P166" s="380" t="str">
        <f t="shared" si="42"/>
        <v/>
      </c>
      <c r="T166" t="str">
        <f t="shared" si="34"/>
        <v>\I:</v>
      </c>
      <c r="U166" t="str">
        <f ca="1" t="shared" si="46"/>
        <v>Battery electric LCV -- 00%</v>
      </c>
      <c r="V166" s="383" t="s">
        <v>84</v>
      </c>
      <c r="W166" s="383" t="s">
        <v>85</v>
      </c>
    </row>
    <row r="167" ht="15" customHeight="1" spans="2:23">
      <c r="B167" s="48" t="s">
        <v>29</v>
      </c>
      <c r="C167" s="374" t="s">
        <v>105</v>
      </c>
      <c r="D167" s="48"/>
      <c r="E167" s="48"/>
      <c r="F167" s="48"/>
      <c r="J167" t="str">
        <f t="shared" si="38"/>
        <v>Trd_lcv_hh2</v>
      </c>
      <c r="K167" t="str">
        <f t="shared" si="36"/>
        <v>\I:</v>
      </c>
      <c r="L167" t="str">
        <f t="shared" si="37"/>
        <v>\I:</v>
      </c>
      <c r="M167" s="380" t="str">
        <f t="shared" si="39"/>
        <v/>
      </c>
      <c r="N167" s="380" t="str">
        <f t="shared" si="40"/>
        <v/>
      </c>
      <c r="O167" s="380" t="str">
        <f t="shared" si="41"/>
        <v/>
      </c>
      <c r="P167" s="380" t="str">
        <f t="shared" si="42"/>
        <v/>
      </c>
      <c r="T167" t="str">
        <f t="shared" si="34"/>
        <v>\I:</v>
      </c>
      <c r="U167" t="str">
        <f ca="1" t="shared" si="46"/>
        <v>Hydrogen fuel cell LCV -- Energy consumption (kg H2/100km)</v>
      </c>
      <c r="V167" s="383" t="s">
        <v>84</v>
      </c>
      <c r="W167" s="383" t="s">
        <v>85</v>
      </c>
    </row>
    <row r="168" spans="2:23">
      <c r="B168" s="48"/>
      <c r="C168" s="374"/>
      <c r="D168" s="48"/>
      <c r="E168" s="48"/>
      <c r="F168" s="48"/>
      <c r="J168" t="str">
        <f t="shared" si="38"/>
        <v>Trd_lcv_hh2</v>
      </c>
      <c r="K168" t="str">
        <f t="shared" si="36"/>
        <v>\I:</v>
      </c>
      <c r="L168" t="str">
        <f t="shared" si="37"/>
        <v>\I:</v>
      </c>
      <c r="M168" s="380" t="str">
        <f t="shared" si="39"/>
        <v/>
      </c>
      <c r="N168" s="380" t="str">
        <f t="shared" si="40"/>
        <v/>
      </c>
      <c r="O168" s="380" t="str">
        <f t="shared" si="41"/>
        <v/>
      </c>
      <c r="P168" s="380" t="str">
        <f t="shared" si="42"/>
        <v/>
      </c>
      <c r="T168" t="str">
        <f t="shared" si="34"/>
        <v>\I:</v>
      </c>
      <c r="U168" t="str">
        <f ca="1" t="shared" si="46"/>
        <v>Hydrogen fuel cell LCV -- 00%</v>
      </c>
      <c r="V168" s="383" t="s">
        <v>84</v>
      </c>
      <c r="W168" s="383" t="s">
        <v>85</v>
      </c>
    </row>
    <row r="169" spans="2:23">
      <c r="B169" s="48"/>
      <c r="C169" s="374"/>
      <c r="D169" s="48"/>
      <c r="E169" s="48"/>
      <c r="F169" s="48"/>
      <c r="J169" t="str">
        <f t="shared" si="38"/>
        <v>Trd_lcv_hh2</v>
      </c>
      <c r="K169" t="str">
        <f t="shared" si="36"/>
        <v>\I:</v>
      </c>
      <c r="L169" t="str">
        <f t="shared" si="37"/>
        <v>\I:</v>
      </c>
      <c r="M169" s="380" t="str">
        <f t="shared" si="39"/>
        <v/>
      </c>
      <c r="N169" s="380" t="str">
        <f t="shared" si="40"/>
        <v/>
      </c>
      <c r="O169" s="380" t="str">
        <f t="shared" si="41"/>
        <v/>
      </c>
      <c r="P169" s="380" t="str">
        <f t="shared" si="42"/>
        <v/>
      </c>
      <c r="T169" t="str">
        <f t="shared" si="34"/>
        <v>\I:</v>
      </c>
      <c r="U169" t="str">
        <f ca="1" t="shared" si="46"/>
        <v>Hydrogen fuel cell LCV -- 00%</v>
      </c>
      <c r="V169" s="383" t="s">
        <v>84</v>
      </c>
      <c r="W169" s="383" t="s">
        <v>85</v>
      </c>
    </row>
    <row r="170" spans="2:23">
      <c r="B170" s="88"/>
      <c r="C170" s="415">
        <v>2020</v>
      </c>
      <c r="D170" s="50">
        <v>2030</v>
      </c>
      <c r="E170" s="50">
        <v>2040</v>
      </c>
      <c r="F170" s="50">
        <v>2050</v>
      </c>
      <c r="J170" t="str">
        <f t="shared" si="38"/>
        <v>Trd_lcv_hh2</v>
      </c>
      <c r="K170" t="str">
        <f t="shared" si="36"/>
        <v>\I:</v>
      </c>
      <c r="L170" t="str">
        <f t="shared" si="37"/>
        <v>\I:</v>
      </c>
      <c r="M170" s="380" t="str">
        <f t="shared" si="39"/>
        <v/>
      </c>
      <c r="N170" s="380" t="str">
        <f t="shared" si="40"/>
        <v/>
      </c>
      <c r="O170" s="380" t="str">
        <f t="shared" si="41"/>
        <v/>
      </c>
      <c r="P170" s="380" t="str">
        <f t="shared" si="42"/>
        <v/>
      </c>
      <c r="T170" t="str">
        <f t="shared" si="34"/>
        <v>\I:</v>
      </c>
      <c r="U170" t="str">
        <f ca="1" t="shared" si="46"/>
        <v>Hydrogen fuel cell LCV -- 00%</v>
      </c>
      <c r="V170" s="383" t="s">
        <v>84</v>
      </c>
      <c r="W170" s="383" t="s">
        <v>85</v>
      </c>
    </row>
    <row r="171" spans="1:23">
      <c r="A171" s="77"/>
      <c r="B171" s="420">
        <v>1.20554299239837</v>
      </c>
      <c r="C171" s="416">
        <v>45848.1660768927</v>
      </c>
      <c r="D171" s="86">
        <v>33512.2985132785</v>
      </c>
      <c r="E171" s="86">
        <v>27771.8876812487</v>
      </c>
      <c r="F171" s="86">
        <v>26358.6946408287</v>
      </c>
      <c r="G171" s="77">
        <f>B171*0.12/100*10^9/10^6</f>
        <v>1.44665159087804</v>
      </c>
      <c r="H171" s="77"/>
      <c r="I171" s="373">
        <f>1/G171/$I$11</f>
        <v>1.85464688318633</v>
      </c>
      <c r="J171" t="str">
        <f t="shared" si="38"/>
        <v>Trd_lcv_hh2</v>
      </c>
      <c r="K171" t="str">
        <f>IFERROR(IF(VALUE(C171)&gt;2020,J171&amp;"_"&amp;TEXT(1/B171*100,"00"),"\I:"),"\I:")</f>
        <v>Trd_lcv_hh2_83</v>
      </c>
      <c r="L171" t="str">
        <f t="shared" si="37"/>
        <v>Trd_lcv</v>
      </c>
      <c r="M171" s="380">
        <f t="shared" si="39"/>
        <v>45848.1660768927</v>
      </c>
      <c r="N171" s="380">
        <f t="shared" si="40"/>
        <v>33512.2985132785</v>
      </c>
      <c r="O171" s="380">
        <f t="shared" si="41"/>
        <v>27771.8876812487</v>
      </c>
      <c r="P171" s="380">
        <f t="shared" si="42"/>
        <v>26358.6946408287</v>
      </c>
      <c r="T171" t="str">
        <f t="shared" si="34"/>
        <v>Trd_lcv_hh2_83</v>
      </c>
      <c r="U171" t="str">
        <f ca="1">OFFSET($S$1,MATCH(J171,$S$1:$S$10,0)-1,-1)&amp;" -- "&amp;TEXT(B171,"0.0")</f>
        <v>Hydrogen fuel cell LCV -- 1.2</v>
      </c>
      <c r="V171" s="383" t="s">
        <v>84</v>
      </c>
      <c r="W171" s="383" t="s">
        <v>85</v>
      </c>
    </row>
    <row r="172" spans="1:23">
      <c r="A172" s="77"/>
      <c r="B172" s="420">
        <v>1.15387686415272</v>
      </c>
      <c r="C172" s="416">
        <v>46326.8277788115</v>
      </c>
      <c r="D172" s="86">
        <v>33899.2903831972</v>
      </c>
      <c r="E172" s="86">
        <v>28102.7819901918</v>
      </c>
      <c r="F172" s="86">
        <v>26680.6458603409</v>
      </c>
      <c r="G172" s="77">
        <f t="shared" ref="G172:G178" si="47">B172*0.12/100*10^9/10^6</f>
        <v>1.38465223698326</v>
      </c>
      <c r="H172" s="77"/>
      <c r="I172" s="373">
        <f t="shared" ref="I172:I178" si="48">1/G172/$I$11</f>
        <v>1.93769077347827</v>
      </c>
      <c r="J172" t="str">
        <f t="shared" si="38"/>
        <v>Trd_lcv_hh2</v>
      </c>
      <c r="K172" t="str">
        <f t="shared" ref="K172:K178" si="49">IFERROR(IF(VALUE(C172)&gt;2020,J172&amp;"_"&amp;TEXT(1/B172*100,"00"),"\I:"),"\I:")</f>
        <v>Trd_lcv_hh2_87</v>
      </c>
      <c r="L172" t="str">
        <f t="shared" si="37"/>
        <v>Trd_lcv</v>
      </c>
      <c r="M172" s="380">
        <f t="shared" si="39"/>
        <v>46326.8277788115</v>
      </c>
      <c r="N172" s="380">
        <f t="shared" si="40"/>
        <v>33899.2903831972</v>
      </c>
      <c r="O172" s="380">
        <f t="shared" si="41"/>
        <v>28102.7819901918</v>
      </c>
      <c r="P172" s="380">
        <f t="shared" si="42"/>
        <v>26680.6458603409</v>
      </c>
      <c r="T172" t="str">
        <f t="shared" si="34"/>
        <v>Trd_lcv_hh2_87</v>
      </c>
      <c r="U172" t="str">
        <f ca="1" t="shared" ref="U172:U178" si="50">OFFSET($S$1,MATCH(J172,$S$1:$S$10,0)-1,-1)&amp;" -- "&amp;TEXT(B172,"0.0")</f>
        <v>Hydrogen fuel cell LCV -- 1.2</v>
      </c>
      <c r="V172" s="383" t="s">
        <v>84</v>
      </c>
      <c r="W172" s="383" t="s">
        <v>85</v>
      </c>
    </row>
    <row r="173" spans="1:23">
      <c r="A173" s="77"/>
      <c r="B173" s="420">
        <v>1.10221073590708</v>
      </c>
      <c r="C173" s="416">
        <v>47015.1741892966</v>
      </c>
      <c r="D173" s="86">
        <v>34286.2822531159</v>
      </c>
      <c r="E173" s="86">
        <v>28433.6762991349</v>
      </c>
      <c r="F173" s="86">
        <v>27002.5970798531</v>
      </c>
      <c r="G173" s="77">
        <f t="shared" si="47"/>
        <v>1.3226528830885</v>
      </c>
      <c r="H173" s="77"/>
      <c r="I173" s="373">
        <f t="shared" si="48"/>
        <v>2.02852002848505</v>
      </c>
      <c r="J173" t="str">
        <f t="shared" si="38"/>
        <v>Trd_lcv_hh2</v>
      </c>
      <c r="K173" t="str">
        <f t="shared" si="49"/>
        <v>Trd_lcv_hh2_91</v>
      </c>
      <c r="L173" t="str">
        <f t="shared" si="37"/>
        <v>Trd_lcv</v>
      </c>
      <c r="M173" s="380">
        <f t="shared" si="39"/>
        <v>47015.1741892966</v>
      </c>
      <c r="N173" s="380">
        <f t="shared" si="40"/>
        <v>34286.2822531159</v>
      </c>
      <c r="O173" s="380">
        <f t="shared" si="41"/>
        <v>28433.6762991349</v>
      </c>
      <c r="P173" s="380">
        <f t="shared" si="42"/>
        <v>27002.5970798531</v>
      </c>
      <c r="T173" t="str">
        <f t="shared" si="34"/>
        <v>Trd_lcv_hh2_91</v>
      </c>
      <c r="U173" t="str">
        <f ca="1" t="shared" si="50"/>
        <v>Hydrogen fuel cell LCV -- 1.1</v>
      </c>
      <c r="V173" s="383" t="s">
        <v>84</v>
      </c>
      <c r="W173" s="383" t="s">
        <v>85</v>
      </c>
    </row>
    <row r="174" spans="1:23">
      <c r="A174" s="77"/>
      <c r="B174" s="420">
        <v>1.05054460766144</v>
      </c>
      <c r="C174" s="416">
        <v>49703.0325829883</v>
      </c>
      <c r="D174" s="86">
        <v>34673.2741230346</v>
      </c>
      <c r="E174" s="86">
        <v>28764.570608078</v>
      </c>
      <c r="F174" s="86">
        <v>27324.5482993653</v>
      </c>
      <c r="G174" s="77">
        <f t="shared" si="47"/>
        <v>1.26065352919373</v>
      </c>
      <c r="H174" s="77"/>
      <c r="I174" s="373">
        <f t="shared" si="48"/>
        <v>2.12828330857447</v>
      </c>
      <c r="J174" t="str">
        <f t="shared" si="38"/>
        <v>Trd_lcv_hh2</v>
      </c>
      <c r="K174" t="str">
        <f t="shared" si="49"/>
        <v>Trd_lcv_hh2_95</v>
      </c>
      <c r="L174" t="str">
        <f t="shared" si="37"/>
        <v>Trd_lcv</v>
      </c>
      <c r="M174" s="380">
        <f t="shared" si="39"/>
        <v>49703.0325829883</v>
      </c>
      <c r="N174" s="380">
        <f t="shared" si="40"/>
        <v>34673.2741230346</v>
      </c>
      <c r="O174" s="380">
        <f t="shared" si="41"/>
        <v>28764.570608078</v>
      </c>
      <c r="P174" s="380">
        <f t="shared" si="42"/>
        <v>27324.5482993653</v>
      </c>
      <c r="T174" t="str">
        <f t="shared" si="34"/>
        <v>Trd_lcv_hh2_95</v>
      </c>
      <c r="U174" t="str">
        <f ca="1" t="shared" si="50"/>
        <v>Hydrogen fuel cell LCV -- 1.1</v>
      </c>
      <c r="V174" s="383" t="s">
        <v>84</v>
      </c>
      <c r="W174" s="383" t="s">
        <v>85</v>
      </c>
    </row>
    <row r="175" spans="1:23">
      <c r="A175" s="77"/>
      <c r="B175" s="420">
        <v>0.998878479415791</v>
      </c>
      <c r="C175" s="416">
        <v>50460.9409463544</v>
      </c>
      <c r="D175" s="86">
        <v>36490.73991933</v>
      </c>
      <c r="E175" s="86">
        <v>29095.4649170211</v>
      </c>
      <c r="F175" s="86">
        <v>27646.4995188775</v>
      </c>
      <c r="G175" s="77">
        <f t="shared" si="47"/>
        <v>1.19865417529895</v>
      </c>
      <c r="H175" s="77"/>
      <c r="I175" s="373">
        <f t="shared" si="48"/>
        <v>2.23836692798351</v>
      </c>
      <c r="J175" t="str">
        <f t="shared" si="38"/>
        <v>Trd_lcv_hh2</v>
      </c>
      <c r="K175" t="str">
        <f t="shared" si="49"/>
        <v>Trd_lcv_hh2_100</v>
      </c>
      <c r="L175" t="str">
        <f t="shared" si="37"/>
        <v>Trd_lcv</v>
      </c>
      <c r="M175" s="380">
        <f t="shared" si="39"/>
        <v>50460.9409463544</v>
      </c>
      <c r="N175" s="380">
        <f t="shared" si="40"/>
        <v>36490.73991933</v>
      </c>
      <c r="O175" s="380">
        <f t="shared" si="41"/>
        <v>29095.4649170211</v>
      </c>
      <c r="P175" s="380">
        <f t="shared" si="42"/>
        <v>27646.4995188775</v>
      </c>
      <c r="T175" t="str">
        <f t="shared" si="34"/>
        <v>Trd_lcv_hh2_100</v>
      </c>
      <c r="U175" t="str">
        <f ca="1" t="shared" si="50"/>
        <v>Hydrogen fuel cell LCV -- 1.0</v>
      </c>
      <c r="V175" s="383" t="s">
        <v>84</v>
      </c>
      <c r="W175" s="383" t="s">
        <v>85</v>
      </c>
    </row>
    <row r="176" spans="1:23">
      <c r="A176" s="77"/>
      <c r="B176" s="420">
        <v>0.947212351170146</v>
      </c>
      <c r="C176" s="416">
        <v>50979.1442628498</v>
      </c>
      <c r="D176" s="86">
        <v>36898.6956750849</v>
      </c>
      <c r="E176" s="86">
        <v>29426.3592259642</v>
      </c>
      <c r="F176" s="86">
        <v>27968.4507383897</v>
      </c>
      <c r="G176" s="77">
        <f t="shared" si="47"/>
        <v>1.13665482140418</v>
      </c>
      <c r="H176" s="77"/>
      <c r="I176" s="373">
        <f t="shared" si="48"/>
        <v>2.36045966950988</v>
      </c>
      <c r="J176" t="str">
        <f t="shared" si="38"/>
        <v>Trd_lcv_hh2</v>
      </c>
      <c r="K176" t="str">
        <f t="shared" si="49"/>
        <v>Trd_lcv_hh2_106</v>
      </c>
      <c r="L176" t="str">
        <f t="shared" si="37"/>
        <v>Trd_lcv</v>
      </c>
      <c r="M176" s="380">
        <f t="shared" si="39"/>
        <v>50979.1442628498</v>
      </c>
      <c r="N176" s="380">
        <f t="shared" si="40"/>
        <v>36898.6956750849</v>
      </c>
      <c r="O176" s="380">
        <f t="shared" si="41"/>
        <v>29426.3592259642</v>
      </c>
      <c r="P176" s="380">
        <f t="shared" si="42"/>
        <v>27968.4507383897</v>
      </c>
      <c r="T176" t="str">
        <f t="shared" si="34"/>
        <v>Trd_lcv_hh2_106</v>
      </c>
      <c r="U176" t="str">
        <f ca="1" t="shared" si="50"/>
        <v>Hydrogen fuel cell LCV -- 0.9</v>
      </c>
      <c r="V176" s="383" t="s">
        <v>84</v>
      </c>
      <c r="W176" s="383" t="s">
        <v>85</v>
      </c>
    </row>
    <row r="177" ht="15.75" customHeight="1" spans="1:23">
      <c r="A177" s="77"/>
      <c r="B177" s="420">
        <v>0.895546222924502</v>
      </c>
      <c r="C177" s="416">
        <v>51497.3475793452</v>
      </c>
      <c r="D177" s="86">
        <v>37306.6514308397</v>
      </c>
      <c r="E177" s="86">
        <v>29757.2535349073</v>
      </c>
      <c r="F177" s="86">
        <v>28290.4019579018</v>
      </c>
      <c r="G177" s="77">
        <f t="shared" si="47"/>
        <v>1.0746554675094</v>
      </c>
      <c r="H177" s="77"/>
      <c r="I177" s="373">
        <f t="shared" si="48"/>
        <v>2.49664003505853</v>
      </c>
      <c r="J177" t="str">
        <f t="shared" si="38"/>
        <v>Trd_lcv_hh2</v>
      </c>
      <c r="K177" t="str">
        <f t="shared" si="49"/>
        <v>Trd_lcv_hh2_112</v>
      </c>
      <c r="L177" t="str">
        <f t="shared" si="37"/>
        <v>Trd_lcv</v>
      </c>
      <c r="M177" s="380">
        <f t="shared" si="39"/>
        <v>51497.3475793452</v>
      </c>
      <c r="N177" s="380">
        <f t="shared" si="40"/>
        <v>37306.6514308397</v>
      </c>
      <c r="O177" s="380">
        <f t="shared" si="41"/>
        <v>29757.2535349073</v>
      </c>
      <c r="P177" s="380">
        <f t="shared" si="42"/>
        <v>28290.4019579018</v>
      </c>
      <c r="T177" t="str">
        <f t="shared" si="34"/>
        <v>Trd_lcv_hh2_112</v>
      </c>
      <c r="U177" t="str">
        <f ca="1" t="shared" si="50"/>
        <v>Hydrogen fuel cell LCV -- 0.9</v>
      </c>
      <c r="V177" s="383" t="s">
        <v>84</v>
      </c>
      <c r="W177" s="383" t="s">
        <v>85</v>
      </c>
    </row>
    <row r="178" ht="15.75" customHeight="1" spans="1:23">
      <c r="A178" s="77"/>
      <c r="B178" s="420">
        <v>0.843880094678858</v>
      </c>
      <c r="C178" s="416">
        <v>52015.5508958406</v>
      </c>
      <c r="D178" s="86">
        <v>37714.6071865946</v>
      </c>
      <c r="E178" s="86">
        <v>30088.1478438504</v>
      </c>
      <c r="F178" s="86">
        <v>28612.3531774141</v>
      </c>
      <c r="G178" s="77">
        <f t="shared" si="47"/>
        <v>1.01265611361463</v>
      </c>
      <c r="H178" s="77"/>
      <c r="I178" s="373">
        <f t="shared" si="48"/>
        <v>2.64949554740905</v>
      </c>
      <c r="J178" t="str">
        <f t="shared" si="38"/>
        <v>Trd_lcv_hh2</v>
      </c>
      <c r="K178" t="str">
        <f t="shared" si="49"/>
        <v>Trd_lcv_hh2_119</v>
      </c>
      <c r="L178" t="str">
        <f t="shared" si="37"/>
        <v>Trd_lcv</v>
      </c>
      <c r="M178" s="380">
        <f t="shared" si="39"/>
        <v>52015.5508958406</v>
      </c>
      <c r="N178" s="380">
        <f t="shared" si="40"/>
        <v>37714.6071865946</v>
      </c>
      <c r="O178" s="380">
        <f t="shared" si="41"/>
        <v>30088.1478438504</v>
      </c>
      <c r="P178" s="380">
        <f t="shared" si="42"/>
        <v>28612.3531774141</v>
      </c>
      <c r="T178" t="str">
        <f t="shared" si="34"/>
        <v>Trd_lcv_hh2_119</v>
      </c>
      <c r="U178" t="str">
        <f ca="1" t="shared" si="50"/>
        <v>Hydrogen fuel cell LCV -- 0.8</v>
      </c>
      <c r="V178" s="383" t="s">
        <v>84</v>
      </c>
      <c r="W178" s="383" t="s">
        <v>85</v>
      </c>
    </row>
    <row r="179" ht="24.75" customHeight="1"/>
  </sheetData>
  <mergeCells count="1">
    <mergeCell ref="B2:F2"/>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344"/>
  <sheetViews>
    <sheetView showGridLines="0" zoomScale="57" zoomScaleNormal="57" workbookViewId="0">
      <selection activeCell="H11" sqref="H11"/>
    </sheetView>
  </sheetViews>
  <sheetFormatPr defaultColWidth="9" defaultRowHeight="14.5"/>
  <cols>
    <col min="1" max="1" width="7.63636363636364" customWidth="1"/>
    <col min="2" max="2" width="38.2727272727273" style="97" customWidth="1"/>
    <col min="3" max="6" width="7.09090909090909" customWidth="1"/>
    <col min="10" max="10" width="15.6363636363636" customWidth="1"/>
    <col min="11" max="11" width="18.7272727272727" customWidth="1"/>
    <col min="12" max="12" width="11.0909090909091" customWidth="1"/>
    <col min="13" max="16" width="7" customWidth="1"/>
    <col min="18" max="18" width="51.7272727272727" customWidth="1"/>
  </cols>
  <sheetData>
    <row r="1" ht="15.5" spans="2:19">
      <c r="B1" s="364" t="s">
        <v>10</v>
      </c>
      <c r="C1" s="365"/>
      <c r="D1" s="394"/>
      <c r="E1" s="394"/>
      <c r="F1" s="395"/>
      <c r="Q1" t="s">
        <v>51</v>
      </c>
      <c r="R1" t="s">
        <v>110</v>
      </c>
      <c r="S1" t="str">
        <f>"Trd_hdt_"&amp;Q1</f>
        <v>Trd_hdt_dsl</v>
      </c>
    </row>
    <row r="2" ht="15.75" customHeight="1" spans="2:19">
      <c r="B2" s="367" t="s">
        <v>9</v>
      </c>
      <c r="C2" s="368"/>
      <c r="D2" s="368"/>
      <c r="E2" s="368"/>
      <c r="F2" s="368"/>
      <c r="I2" s="376">
        <v>0.0520099378899987</v>
      </c>
      <c r="J2" s="375" t="s">
        <v>44</v>
      </c>
      <c r="Q2" t="s">
        <v>54</v>
      </c>
      <c r="R2" t="s">
        <v>111</v>
      </c>
      <c r="S2" t="str">
        <f t="shared" ref="S2:S6" si="0">"Trd_hdt_"&amp;Q2</f>
        <v>Trd_hdt_dsl-hyb</v>
      </c>
    </row>
    <row r="3" ht="18.5" spans="2:19">
      <c r="B3" s="396" t="s">
        <v>112</v>
      </c>
      <c r="C3" s="370"/>
      <c r="D3" s="370"/>
      <c r="E3" s="370"/>
      <c r="F3" s="371"/>
      <c r="I3" s="390">
        <f>31536000/10^9</f>
        <v>0.031536</v>
      </c>
      <c r="J3" s="375" t="s">
        <v>47</v>
      </c>
      <c r="M3" s="89"/>
      <c r="Q3" t="s">
        <v>113</v>
      </c>
      <c r="R3" t="s">
        <v>114</v>
      </c>
      <c r="S3" t="str">
        <f t="shared" si="0"/>
        <v>Trd_hdt_lng</v>
      </c>
    </row>
    <row r="4" spans="9:19">
      <c r="I4" s="375">
        <v>0.038</v>
      </c>
      <c r="J4" s="375" t="s">
        <v>50</v>
      </c>
      <c r="M4" s="89"/>
      <c r="Q4" t="s">
        <v>61</v>
      </c>
      <c r="R4" t="s">
        <v>115</v>
      </c>
      <c r="S4" t="str">
        <f>"\I:Trd_hdt_"&amp;Q4</f>
        <v>\I:Trd_hdt_lpg</v>
      </c>
    </row>
    <row r="5" spans="2:19">
      <c r="B5" s="43" t="s">
        <v>116</v>
      </c>
      <c r="I5" s="376">
        <f>1.406/26.137</f>
        <v>0.053793472854574</v>
      </c>
      <c r="J5" s="375" t="s">
        <v>53</v>
      </c>
      <c r="Q5" t="s">
        <v>66</v>
      </c>
      <c r="R5" t="s">
        <v>117</v>
      </c>
      <c r="S5" t="str">
        <f t="shared" si="0"/>
        <v>Trd_hdt_elc</v>
      </c>
    </row>
    <row r="6" ht="15" customHeight="1" spans="2:19">
      <c r="B6" s="372">
        <v>2015</v>
      </c>
      <c r="C6" s="372"/>
      <c r="D6" s="372"/>
      <c r="I6" s="376">
        <v>0.02559</v>
      </c>
      <c r="J6" s="375" t="s">
        <v>56</v>
      </c>
      <c r="Q6" t="s">
        <v>68</v>
      </c>
      <c r="R6" t="s">
        <v>118</v>
      </c>
      <c r="S6" t="str">
        <f t="shared" si="0"/>
        <v>Trd_hdt_hh2</v>
      </c>
    </row>
    <row r="7" spans="2:9">
      <c r="B7" s="45" t="s">
        <v>12</v>
      </c>
      <c r="C7" s="46" t="s">
        <v>13</v>
      </c>
      <c r="D7" s="47">
        <v>18.8825162842906</v>
      </c>
      <c r="G7" s="373">
        <f>D7*$I$4/100*10^9/10^6</f>
        <v>7.17535618803043</v>
      </c>
      <c r="H7" s="373"/>
      <c r="I7" s="373">
        <f>1/G7</f>
        <v>0.139365903767697</v>
      </c>
    </row>
    <row r="8" spans="2:9">
      <c r="B8" s="45" t="s">
        <v>14</v>
      </c>
      <c r="C8" s="46" t="s">
        <v>15</v>
      </c>
      <c r="D8" s="68">
        <v>79045.0684591355</v>
      </c>
      <c r="I8" s="43" t="s">
        <v>70</v>
      </c>
    </row>
    <row r="9" spans="2:9">
      <c r="B9" s="397"/>
      <c r="C9" s="398"/>
      <c r="D9" s="399"/>
      <c r="I9" s="43"/>
    </row>
    <row r="10" ht="15.25" spans="11:23">
      <c r="K10" s="378" t="s">
        <v>71</v>
      </c>
      <c r="S10" s="378" t="s">
        <v>72</v>
      </c>
      <c r="T10" s="382"/>
      <c r="U10" s="382"/>
      <c r="V10" s="382"/>
      <c r="W10" s="382"/>
    </row>
    <row r="11" spans="9:23">
      <c r="I11" t="s">
        <v>73</v>
      </c>
      <c r="J11" t="s">
        <v>74</v>
      </c>
      <c r="K11" t="s">
        <v>75</v>
      </c>
      <c r="L11" t="s">
        <v>76</v>
      </c>
      <c r="M11">
        <f>C15</f>
        <v>2020</v>
      </c>
      <c r="N11">
        <f>D15</f>
        <v>2030</v>
      </c>
      <c r="O11">
        <f>E15</f>
        <v>2040</v>
      </c>
      <c r="P11">
        <f>F15</f>
        <v>2050</v>
      </c>
      <c r="Q11" t="s">
        <v>77</v>
      </c>
      <c r="S11" s="382" t="s">
        <v>78</v>
      </c>
      <c r="T11" s="382" t="s">
        <v>79</v>
      </c>
      <c r="U11" s="382" t="s">
        <v>80</v>
      </c>
      <c r="V11" s="382" t="s">
        <v>81</v>
      </c>
      <c r="W11" s="382" t="s">
        <v>82</v>
      </c>
    </row>
    <row r="12" ht="15" customHeight="1" spans="2:23">
      <c r="B12" s="389" t="s">
        <v>119</v>
      </c>
      <c r="C12" s="374" t="s">
        <v>110</v>
      </c>
      <c r="D12" s="389"/>
      <c r="E12" s="389"/>
      <c r="F12" s="389"/>
      <c r="J12" t="str">
        <f>IFERROR(VLOOKUP(C12,$R$1:$S$7,2,FALSE),J10)</f>
        <v>Trd_hdt_dsl</v>
      </c>
      <c r="K12" t="str">
        <f>IFERROR(IF(VALUE(C12)&gt;2020,J12&amp;"_"&amp;TEXT(B12*100,"00"),"\I:"),"\I:")</f>
        <v>\I:</v>
      </c>
      <c r="L12" t="str">
        <f>LEFT(K12,7)</f>
        <v>\I:</v>
      </c>
      <c r="M12" t="str">
        <f>IF($K12="\I:","",C12)</f>
        <v/>
      </c>
      <c r="N12" t="str">
        <f>IF($K12="\I:","",D12)</f>
        <v/>
      </c>
      <c r="O12" t="str">
        <f>IF($K12="\I:","",E12)</f>
        <v/>
      </c>
      <c r="P12" t="str">
        <f>IF($K12="\I:","",F12)</f>
        <v/>
      </c>
      <c r="S12" t="s">
        <v>83</v>
      </c>
      <c r="T12" t="str">
        <f>K12</f>
        <v>\I:</v>
      </c>
      <c r="U12" t="str">
        <f ca="1">OFFSET($S$1,MATCH(J12,$S$1:$S$11,0)-1,-1)&amp;" -- "&amp;TEXT(B12,"00%")</f>
        <v>7.5-16t diesel truck -- Reduction of specific energy consumption relative to 2015 diesel vehicle(%)</v>
      </c>
      <c r="V12" s="383" t="s">
        <v>84</v>
      </c>
      <c r="W12" s="383" t="s">
        <v>85</v>
      </c>
    </row>
    <row r="13" spans="2:23">
      <c r="B13" s="389"/>
      <c r="C13" s="374"/>
      <c r="D13" s="389"/>
      <c r="E13" s="389"/>
      <c r="F13" s="389"/>
      <c r="J13" t="str">
        <f t="shared" ref="J13:J16" si="1">IFERROR(VLOOKUP(C13,$R$1:$S$7,2,FALSE),J12)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S13" t="s">
        <v>83</v>
      </c>
      <c r="T13" t="str">
        <f>K13</f>
        <v>\I:</v>
      </c>
      <c r="U13" t="str">
        <f ca="1">OFFSET($S$1,MATCH(J13,$S$1:$S$11,0)-1,-1)&amp;" -- "&amp;TEXT(B13,"00%")</f>
        <v>7.5-16t diesel truck -- 00%</v>
      </c>
      <c r="V13" s="383" t="s">
        <v>84</v>
      </c>
      <c r="W13" s="383" t="s">
        <v>85</v>
      </c>
    </row>
    <row r="14" spans="2:23">
      <c r="B14" s="389"/>
      <c r="C14" s="374"/>
      <c r="D14" s="389"/>
      <c r="E14" s="389"/>
      <c r="F14" s="389"/>
      <c r="J14" t="str">
        <f t="shared" si="1"/>
        <v>Trd_hdt_dsl</v>
      </c>
      <c r="K14" t="str">
        <f t="shared" si="2"/>
        <v>\I:</v>
      </c>
      <c r="L14" t="str">
        <f t="shared" si="3"/>
        <v>\I:</v>
      </c>
      <c r="M14" t="str">
        <f t="shared" si="4"/>
        <v/>
      </c>
      <c r="N14" t="str">
        <f t="shared" si="5"/>
        <v/>
      </c>
      <c r="O14" t="str">
        <f t="shared" si="5"/>
        <v/>
      </c>
      <c r="P14" t="str">
        <f t="shared" si="5"/>
        <v/>
      </c>
      <c r="S14" t="s">
        <v>83</v>
      </c>
      <c r="T14" t="str">
        <f>K14</f>
        <v>\I:</v>
      </c>
      <c r="U14" t="str">
        <f ca="1">OFFSET($S$1,MATCH(J14,$S$1:$S$11,0)-1,-1)&amp;" -- "&amp;TEXT(B14,"00%")</f>
        <v>7.5-16t diesel truck -- 00%</v>
      </c>
      <c r="V14" s="383" t="s">
        <v>84</v>
      </c>
      <c r="W14" s="383" t="s">
        <v>85</v>
      </c>
    </row>
    <row r="15" spans="2:23">
      <c r="B15" s="88"/>
      <c r="C15" s="50">
        <v>2020</v>
      </c>
      <c r="D15" s="50">
        <v>2030</v>
      </c>
      <c r="E15" s="50">
        <v>2040</v>
      </c>
      <c r="F15" s="50">
        <v>2050</v>
      </c>
      <c r="J15" t="str">
        <f t="shared" si="1"/>
        <v>Trd_hdt_dsl</v>
      </c>
      <c r="K15" t="str">
        <f t="shared" si="2"/>
        <v>\I:</v>
      </c>
      <c r="L15" t="str">
        <f t="shared" si="3"/>
        <v>\I:</v>
      </c>
      <c r="M15" t="str">
        <f t="shared" si="4"/>
        <v/>
      </c>
      <c r="N15" t="str">
        <f t="shared" si="5"/>
        <v/>
      </c>
      <c r="O15" t="str">
        <f t="shared" si="5"/>
        <v/>
      </c>
      <c r="P15" t="str">
        <f t="shared" si="5"/>
        <v/>
      </c>
      <c r="S15" t="s">
        <v>83</v>
      </c>
      <c r="T15" t="str">
        <f t="shared" ref="T15:T78" si="6">K15</f>
        <v>\I:</v>
      </c>
      <c r="U15" t="str">
        <f ca="1" t="shared" ref="U15:U78" si="7">OFFSET($S$1,MATCH(J15,$S$1:$S$11,0)-1,-1)&amp;" -- "&amp;TEXT(B15,"00%")</f>
        <v>7.5-16t diesel truck -- 00%</v>
      </c>
      <c r="V15" s="383" t="s">
        <v>84</v>
      </c>
      <c r="W15" s="383" t="s">
        <v>85</v>
      </c>
    </row>
    <row r="16" spans="2:23">
      <c r="B16" s="85">
        <v>0.0441258142145298</v>
      </c>
      <c r="C16" s="86">
        <v>79927.7536460642</v>
      </c>
      <c r="D16" s="86">
        <v>79927.7536460642</v>
      </c>
      <c r="E16" s="86">
        <v>79927.7536460642</v>
      </c>
      <c r="F16" s="86">
        <v>79927.7536460642</v>
      </c>
      <c r="I16" s="379">
        <f>(1+B16)</f>
        <v>1.04412581421453</v>
      </c>
      <c r="J16" t="str">
        <f t="shared" si="1"/>
        <v>Trd_hdt_dsl</v>
      </c>
      <c r="K16" t="str">
        <f t="shared" si="2"/>
        <v>Trd_hdt_dsl_04</v>
      </c>
      <c r="L16" t="str">
        <f t="shared" si="3"/>
        <v>Trd_hdt</v>
      </c>
      <c r="M16" s="380">
        <f t="shared" si="4"/>
        <v>79927.7536460642</v>
      </c>
      <c r="N16" s="380">
        <f t="shared" si="5"/>
        <v>79927.7536460642</v>
      </c>
      <c r="O16" s="380">
        <f t="shared" si="5"/>
        <v>79927.7536460642</v>
      </c>
      <c r="P16" s="380">
        <f t="shared" si="5"/>
        <v>79927.7536460642</v>
      </c>
      <c r="S16" t="s">
        <v>83</v>
      </c>
      <c r="T16" t="str">
        <f t="shared" si="6"/>
        <v>Trd_hdt_dsl_04</v>
      </c>
      <c r="U16" t="str">
        <f ca="1" t="shared" si="7"/>
        <v>7.5-16t diesel truck -- 04%</v>
      </c>
      <c r="V16" s="383" t="s">
        <v>84</v>
      </c>
      <c r="W16" s="383" t="s">
        <v>85</v>
      </c>
    </row>
    <row r="17" spans="2:23">
      <c r="B17" s="85">
        <v>0.0941258142145298</v>
      </c>
      <c r="C17" s="86">
        <v>81360.1864067572</v>
      </c>
      <c r="D17" s="86">
        <v>80873.2378673953</v>
      </c>
      <c r="E17" s="86">
        <v>80873.2378673953</v>
      </c>
      <c r="F17" s="86">
        <v>80873.2378673953</v>
      </c>
      <c r="I17" s="379">
        <f t="shared" ref="I17:I22" si="8">(1+B17)</f>
        <v>1.09412581421453</v>
      </c>
      <c r="J17" t="str">
        <f t="shared" ref="J17:J37" si="9">IFERROR(VLOOKUP(C17,$R$1:$S$7,2,FALSE),J16)</f>
        <v>Trd_hdt_dsl</v>
      </c>
      <c r="K17" t="str">
        <f t="shared" ref="K17:K37" si="10">IFERROR(IF(VALUE(C17)&gt;2020,J17&amp;"_"&amp;TEXT(B17*100,"00"),"\I:"),"\I:")</f>
        <v>Trd_hdt_dsl_09</v>
      </c>
      <c r="L17" t="str">
        <f t="shared" si="3"/>
        <v>Trd_hdt</v>
      </c>
      <c r="M17" s="380">
        <f t="shared" ref="M17:M37" si="11">IF($K17="\I:","",C17)</f>
        <v>81360.1864067572</v>
      </c>
      <c r="N17" s="380">
        <f t="shared" ref="N17:N37" si="12">IF($K17="\I:","",D17)</f>
        <v>80873.2378673953</v>
      </c>
      <c r="O17" s="380">
        <f t="shared" ref="O17:O37" si="13">IF($K17="\I:","",E17)</f>
        <v>80873.2378673953</v>
      </c>
      <c r="P17" s="380">
        <f t="shared" ref="P17:P37" si="14">IF($K17="\I:","",F17)</f>
        <v>80873.2378673953</v>
      </c>
      <c r="S17" t="s">
        <v>83</v>
      </c>
      <c r="T17" t="str">
        <f t="shared" si="6"/>
        <v>Trd_hdt_dsl_09</v>
      </c>
      <c r="U17" t="str">
        <f ca="1" t="shared" si="7"/>
        <v>7.5-16t diesel truck -- 09%</v>
      </c>
      <c r="V17" s="383" t="s">
        <v>84</v>
      </c>
      <c r="W17" s="383" t="s">
        <v>85</v>
      </c>
    </row>
    <row r="18" spans="2:23">
      <c r="B18" s="85">
        <v>0.14412581421453</v>
      </c>
      <c r="C18" s="86">
        <v>82659.1626483237</v>
      </c>
      <c r="D18" s="86">
        <v>82265.6067669513</v>
      </c>
      <c r="E18" s="86">
        <v>82265.6067669513</v>
      </c>
      <c r="F18" s="86">
        <v>82265.6067669513</v>
      </c>
      <c r="I18" s="379">
        <f t="shared" si="8"/>
        <v>1.14412581421453</v>
      </c>
      <c r="J18" t="str">
        <f t="shared" si="9"/>
        <v>Trd_hdt_dsl</v>
      </c>
      <c r="K18" t="str">
        <f t="shared" si="10"/>
        <v>Trd_hdt_dsl_14</v>
      </c>
      <c r="L18" t="str">
        <f t="shared" si="3"/>
        <v>Trd_hdt</v>
      </c>
      <c r="M18" s="380">
        <f t="shared" si="11"/>
        <v>82659.1626483237</v>
      </c>
      <c r="N18" s="380">
        <f t="shared" si="12"/>
        <v>82265.6067669513</v>
      </c>
      <c r="O18" s="380">
        <f t="shared" si="13"/>
        <v>82265.6067669513</v>
      </c>
      <c r="P18" s="380">
        <f t="shared" si="14"/>
        <v>82265.6067669513</v>
      </c>
      <c r="S18" t="s">
        <v>83</v>
      </c>
      <c r="T18" t="str">
        <f t="shared" si="6"/>
        <v>Trd_hdt_dsl_14</v>
      </c>
      <c r="U18" t="str">
        <f ca="1" t="shared" si="7"/>
        <v>7.5-16t diesel truck -- 14%</v>
      </c>
      <c r="V18" s="383" t="s">
        <v>84</v>
      </c>
      <c r="W18" s="383" t="s">
        <v>85</v>
      </c>
    </row>
    <row r="19" spans="2:23">
      <c r="B19" s="85">
        <v>0.19412581421453</v>
      </c>
      <c r="C19" s="86">
        <v>88191.0297712466</v>
      </c>
      <c r="D19" s="86">
        <v>84316.0811257105</v>
      </c>
      <c r="E19" s="86">
        <v>84316.0811257105</v>
      </c>
      <c r="F19" s="86">
        <v>84316.0811257105</v>
      </c>
      <c r="I19" s="379">
        <f t="shared" si="8"/>
        <v>1.19412581421453</v>
      </c>
      <c r="J19" t="str">
        <f t="shared" si="9"/>
        <v>Trd_hdt_dsl</v>
      </c>
      <c r="K19" t="str">
        <f t="shared" si="10"/>
        <v>Trd_hdt_dsl_19</v>
      </c>
      <c r="L19" t="str">
        <f t="shared" si="3"/>
        <v>Trd_hdt</v>
      </c>
      <c r="M19" s="380">
        <f t="shared" si="11"/>
        <v>88191.0297712466</v>
      </c>
      <c r="N19" s="380">
        <f t="shared" si="12"/>
        <v>84316.0811257105</v>
      </c>
      <c r="O19" s="380">
        <f t="shared" si="13"/>
        <v>84316.0811257105</v>
      </c>
      <c r="P19" s="380">
        <f t="shared" si="14"/>
        <v>84316.0811257105</v>
      </c>
      <c r="S19" t="s">
        <v>83</v>
      </c>
      <c r="T19" t="str">
        <f t="shared" si="6"/>
        <v>Trd_hdt_dsl_19</v>
      </c>
      <c r="U19" t="str">
        <f ca="1" t="shared" si="7"/>
        <v>7.5-16t diesel truck -- 19%</v>
      </c>
      <c r="V19" s="383" t="s">
        <v>84</v>
      </c>
      <c r="W19" s="383" t="s">
        <v>85</v>
      </c>
    </row>
    <row r="20" spans="2:23">
      <c r="B20" s="85">
        <v>0.24412581421453</v>
      </c>
      <c r="C20" s="86">
        <v>92499.1246257596</v>
      </c>
      <c r="D20" s="86">
        <v>87335.7155755103</v>
      </c>
      <c r="E20" s="86">
        <v>87335.7155755103</v>
      </c>
      <c r="F20" s="86">
        <v>87335.7155755103</v>
      </c>
      <c r="I20" s="379">
        <f t="shared" si="8"/>
        <v>1.24412581421453</v>
      </c>
      <c r="J20" t="str">
        <f t="shared" si="9"/>
        <v>Trd_hdt_dsl</v>
      </c>
      <c r="K20" t="str">
        <f t="shared" si="10"/>
        <v>Trd_hdt_dsl_24</v>
      </c>
      <c r="L20" t="str">
        <f t="shared" si="3"/>
        <v>Trd_hdt</v>
      </c>
      <c r="M20" s="380">
        <f t="shared" si="11"/>
        <v>92499.1246257596</v>
      </c>
      <c r="N20" s="380">
        <f t="shared" si="12"/>
        <v>87335.7155755103</v>
      </c>
      <c r="O20" s="380">
        <f t="shared" si="13"/>
        <v>87335.7155755103</v>
      </c>
      <c r="P20" s="380">
        <f t="shared" si="14"/>
        <v>87335.7155755103</v>
      </c>
      <c r="S20" t="s">
        <v>83</v>
      </c>
      <c r="T20" t="str">
        <f t="shared" si="6"/>
        <v>Trd_hdt_dsl_24</v>
      </c>
      <c r="U20" t="str">
        <f ca="1" t="shared" si="7"/>
        <v>7.5-16t diesel truck -- 24%</v>
      </c>
      <c r="V20" s="383" t="s">
        <v>84</v>
      </c>
      <c r="W20" s="383" t="s">
        <v>85</v>
      </c>
    </row>
    <row r="21" spans="2:23">
      <c r="B21" s="85">
        <v>0.26412581421453</v>
      </c>
      <c r="C21" s="86">
        <v>115400.251045956</v>
      </c>
      <c r="D21" s="86">
        <v>91896.6101429967</v>
      </c>
      <c r="E21" s="86">
        <v>91782.585233483</v>
      </c>
      <c r="F21" s="86">
        <v>91782.585233483</v>
      </c>
      <c r="I21" s="379">
        <f t="shared" si="8"/>
        <v>1.26412581421453</v>
      </c>
      <c r="J21" t="str">
        <f t="shared" si="9"/>
        <v>Trd_hdt_dsl</v>
      </c>
      <c r="K21" t="str">
        <f t="shared" si="10"/>
        <v>Trd_hdt_dsl_26</v>
      </c>
      <c r="L21" t="str">
        <f t="shared" si="3"/>
        <v>Trd_hdt</v>
      </c>
      <c r="M21" s="380">
        <f t="shared" si="11"/>
        <v>115400.251045956</v>
      </c>
      <c r="N21" s="380">
        <f t="shared" si="12"/>
        <v>91896.6101429967</v>
      </c>
      <c r="O21" s="380">
        <f t="shared" si="13"/>
        <v>91782.585233483</v>
      </c>
      <c r="P21" s="380">
        <f t="shared" si="14"/>
        <v>91782.585233483</v>
      </c>
      <c r="S21" t="s">
        <v>83</v>
      </c>
      <c r="T21" t="str">
        <f t="shared" si="6"/>
        <v>Trd_hdt_dsl_26</v>
      </c>
      <c r="U21" t="str">
        <f ca="1" t="shared" si="7"/>
        <v>7.5-16t diesel truck -- 26%</v>
      </c>
      <c r="V21" s="383" t="s">
        <v>84</v>
      </c>
      <c r="W21" s="383" t="s">
        <v>85</v>
      </c>
    </row>
    <row r="22" spans="2:23">
      <c r="B22" s="85">
        <v>0.29412581421453</v>
      </c>
      <c r="C22" s="86">
        <v>189775.230098575</v>
      </c>
      <c r="D22" s="86">
        <v>105837.452091052</v>
      </c>
      <c r="E22" s="86">
        <v>98331.2751771647</v>
      </c>
      <c r="F22" s="86">
        <v>98331.2751771647</v>
      </c>
      <c r="I22" s="379">
        <f t="shared" si="8"/>
        <v>1.29412581421453</v>
      </c>
      <c r="J22" t="str">
        <f t="shared" si="9"/>
        <v>Trd_hdt_dsl</v>
      </c>
      <c r="K22" t="str">
        <f t="shared" si="10"/>
        <v>Trd_hdt_dsl_29</v>
      </c>
      <c r="L22" t="str">
        <f t="shared" si="3"/>
        <v>Trd_hdt</v>
      </c>
      <c r="M22" s="380">
        <f t="shared" si="11"/>
        <v>189775.230098575</v>
      </c>
      <c r="N22" s="380">
        <f t="shared" si="12"/>
        <v>105837.452091052</v>
      </c>
      <c r="O22" s="380">
        <f t="shared" si="13"/>
        <v>98331.2751771647</v>
      </c>
      <c r="P22" s="380">
        <f t="shared" si="14"/>
        <v>98331.2751771647</v>
      </c>
      <c r="S22" t="s">
        <v>83</v>
      </c>
      <c r="T22" t="str">
        <f t="shared" si="6"/>
        <v>Trd_hdt_dsl_29</v>
      </c>
      <c r="U22" t="str">
        <f ca="1" t="shared" si="7"/>
        <v>7.5-16t diesel truck -- 29%</v>
      </c>
      <c r="V22" s="383" t="s">
        <v>84</v>
      </c>
      <c r="W22" s="383" t="s">
        <v>85</v>
      </c>
    </row>
    <row r="23" spans="9:23">
      <c r="I23" s="379"/>
      <c r="J23" t="str">
        <f t="shared" si="9"/>
        <v>Trd_hdt_dsl</v>
      </c>
      <c r="K23" t="str">
        <f t="shared" si="10"/>
        <v>\I:</v>
      </c>
      <c r="L23" t="str">
        <f t="shared" si="3"/>
        <v>\I:</v>
      </c>
      <c r="M23" s="380" t="str">
        <f t="shared" si="11"/>
        <v/>
      </c>
      <c r="N23" s="380" t="str">
        <f t="shared" si="12"/>
        <v/>
      </c>
      <c r="O23" s="380" t="str">
        <f t="shared" si="13"/>
        <v/>
      </c>
      <c r="P23" s="380" t="str">
        <f t="shared" si="14"/>
        <v/>
      </c>
      <c r="T23" t="str">
        <f t="shared" si="6"/>
        <v>\I:</v>
      </c>
      <c r="U23" t="str">
        <f ca="1" t="shared" si="7"/>
        <v>7.5-16t diesel truck -- 00%</v>
      </c>
      <c r="V23" s="383" t="s">
        <v>84</v>
      </c>
      <c r="W23" s="383" t="s">
        <v>85</v>
      </c>
    </row>
    <row r="24" spans="9:23">
      <c r="I24" s="379"/>
      <c r="J24" t="str">
        <f t="shared" si="9"/>
        <v>Trd_hdt_dsl</v>
      </c>
      <c r="K24" t="str">
        <f t="shared" si="10"/>
        <v>\I:</v>
      </c>
      <c r="L24" t="str">
        <f t="shared" si="3"/>
        <v>\I:</v>
      </c>
      <c r="M24" s="380" t="str">
        <f t="shared" si="11"/>
        <v/>
      </c>
      <c r="N24" s="380" t="str">
        <f t="shared" si="12"/>
        <v/>
      </c>
      <c r="O24" s="380" t="str">
        <f t="shared" si="13"/>
        <v/>
      </c>
      <c r="P24" s="380" t="str">
        <f t="shared" si="14"/>
        <v/>
      </c>
      <c r="T24" t="str">
        <f t="shared" si="6"/>
        <v>\I:</v>
      </c>
      <c r="U24" t="str">
        <f ca="1" t="shared" si="7"/>
        <v>7.5-16t diesel truck -- 00%</v>
      </c>
      <c r="V24" s="383" t="s">
        <v>84</v>
      </c>
      <c r="W24" s="383" t="s">
        <v>85</v>
      </c>
    </row>
    <row r="25" spans="9:23">
      <c r="I25" s="379"/>
      <c r="J25" t="str">
        <f t="shared" si="9"/>
        <v>Trd_hdt_dsl</v>
      </c>
      <c r="K25" t="str">
        <f t="shared" si="10"/>
        <v>\I:</v>
      </c>
      <c r="L25" t="str">
        <f t="shared" si="3"/>
        <v>\I:</v>
      </c>
      <c r="M25" s="380" t="str">
        <f t="shared" si="11"/>
        <v/>
      </c>
      <c r="N25" s="380" t="str">
        <f t="shared" si="12"/>
        <v/>
      </c>
      <c r="O25" s="380" t="str">
        <f t="shared" si="13"/>
        <v/>
      </c>
      <c r="P25" s="380" t="str">
        <f t="shared" si="14"/>
        <v/>
      </c>
      <c r="T25" t="str">
        <f t="shared" si="6"/>
        <v>\I:</v>
      </c>
      <c r="U25" t="str">
        <f ca="1" t="shared" si="7"/>
        <v>7.5-16t diesel truck -- 00%</v>
      </c>
      <c r="V25" s="383" t="s">
        <v>84</v>
      </c>
      <c r="W25" s="383" t="s">
        <v>85</v>
      </c>
    </row>
    <row r="26" ht="15" customHeight="1" spans="2:23">
      <c r="B26" s="389" t="s">
        <v>119</v>
      </c>
      <c r="C26" s="374" t="s">
        <v>111</v>
      </c>
      <c r="D26" s="389"/>
      <c r="E26" s="389"/>
      <c r="F26" s="389"/>
      <c r="I26" s="379"/>
      <c r="J26" t="str">
        <f t="shared" si="9"/>
        <v>Trd_hdt_dsl-hyb</v>
      </c>
      <c r="K26" t="str">
        <f t="shared" si="10"/>
        <v>\I:</v>
      </c>
      <c r="L26" t="str">
        <f t="shared" si="3"/>
        <v>\I:</v>
      </c>
      <c r="M26" s="380" t="str">
        <f t="shared" si="11"/>
        <v/>
      </c>
      <c r="N26" s="380" t="str">
        <f t="shared" si="12"/>
        <v/>
      </c>
      <c r="O26" s="380" t="str">
        <f t="shared" si="13"/>
        <v/>
      </c>
      <c r="P26" s="380" t="str">
        <f t="shared" si="14"/>
        <v/>
      </c>
      <c r="T26" t="str">
        <f t="shared" si="6"/>
        <v>\I:</v>
      </c>
      <c r="U26" t="str">
        <f ca="1" t="shared" si="7"/>
        <v>7.5-16t diesel hybrid truck -- Reduction of specific energy consumption relative to 2015 diesel vehicle(%)</v>
      </c>
      <c r="V26" s="383" t="s">
        <v>84</v>
      </c>
      <c r="W26" s="383" t="s">
        <v>85</v>
      </c>
    </row>
    <row r="27" spans="2:23">
      <c r="B27" s="389"/>
      <c r="C27" s="374"/>
      <c r="D27" s="389"/>
      <c r="E27" s="389"/>
      <c r="F27" s="389"/>
      <c r="I27" s="379"/>
      <c r="J27" t="str">
        <f t="shared" si="9"/>
        <v>Trd_hdt_dsl-hyb</v>
      </c>
      <c r="K27" t="str">
        <f t="shared" si="10"/>
        <v>\I:</v>
      </c>
      <c r="L27" t="str">
        <f t="shared" si="3"/>
        <v>\I:</v>
      </c>
      <c r="M27" s="380" t="str">
        <f t="shared" si="11"/>
        <v/>
      </c>
      <c r="N27" s="380" t="str">
        <f t="shared" si="12"/>
        <v/>
      </c>
      <c r="O27" s="380" t="str">
        <f t="shared" si="13"/>
        <v/>
      </c>
      <c r="P27" s="380" t="str">
        <f t="shared" si="14"/>
        <v/>
      </c>
      <c r="T27" t="str">
        <f t="shared" si="6"/>
        <v>\I:</v>
      </c>
      <c r="U27" t="str">
        <f ca="1" t="shared" si="7"/>
        <v>7.5-16t diesel hybrid truck -- 00%</v>
      </c>
      <c r="V27" s="383" t="s">
        <v>84</v>
      </c>
      <c r="W27" s="383" t="s">
        <v>85</v>
      </c>
    </row>
    <row r="28" spans="2:23">
      <c r="B28" s="389"/>
      <c r="C28" s="374"/>
      <c r="D28" s="389"/>
      <c r="E28" s="389"/>
      <c r="F28" s="389"/>
      <c r="I28" s="379"/>
      <c r="J28" t="str">
        <f t="shared" si="9"/>
        <v>Trd_hdt_dsl-hyb</v>
      </c>
      <c r="K28" t="str">
        <f t="shared" si="10"/>
        <v>\I:</v>
      </c>
      <c r="L28" t="str">
        <f t="shared" si="3"/>
        <v>\I:</v>
      </c>
      <c r="M28" s="380" t="str">
        <f t="shared" si="11"/>
        <v/>
      </c>
      <c r="N28" s="380" t="str">
        <f t="shared" si="12"/>
        <v/>
      </c>
      <c r="O28" s="380" t="str">
        <f t="shared" si="13"/>
        <v/>
      </c>
      <c r="P28" s="380" t="str">
        <f t="shared" si="14"/>
        <v/>
      </c>
      <c r="T28" t="str">
        <f t="shared" si="6"/>
        <v>\I:</v>
      </c>
      <c r="U28" t="str">
        <f ca="1" t="shared" si="7"/>
        <v>7.5-16t diesel hybrid truck -- 00%</v>
      </c>
      <c r="V28" s="383" t="s">
        <v>84</v>
      </c>
      <c r="W28" s="383" t="s">
        <v>85</v>
      </c>
    </row>
    <row r="29" spans="2:23">
      <c r="B29" s="88"/>
      <c r="C29" s="50">
        <v>2020</v>
      </c>
      <c r="D29" s="50">
        <v>2030</v>
      </c>
      <c r="E29" s="50">
        <v>2040</v>
      </c>
      <c r="F29" s="50">
        <v>2050</v>
      </c>
      <c r="I29" s="379"/>
      <c r="J29" t="str">
        <f t="shared" si="9"/>
        <v>Trd_hdt_dsl-hyb</v>
      </c>
      <c r="K29" t="str">
        <f t="shared" si="10"/>
        <v>\I:</v>
      </c>
      <c r="L29" t="str">
        <f t="shared" si="3"/>
        <v>\I:</v>
      </c>
      <c r="M29" s="380" t="str">
        <f t="shared" si="11"/>
        <v/>
      </c>
      <c r="N29" s="380" t="str">
        <f t="shared" si="12"/>
        <v/>
      </c>
      <c r="O29" s="380" t="str">
        <f t="shared" si="13"/>
        <v/>
      </c>
      <c r="P29" s="380" t="str">
        <f t="shared" si="14"/>
        <v/>
      </c>
      <c r="T29" t="str">
        <f t="shared" si="6"/>
        <v>\I:</v>
      </c>
      <c r="U29" t="str">
        <f ca="1" t="shared" si="7"/>
        <v>7.5-16t diesel hybrid truck -- 00%</v>
      </c>
      <c r="V29" s="383" t="s">
        <v>84</v>
      </c>
      <c r="W29" s="383" t="s">
        <v>85</v>
      </c>
    </row>
    <row r="30" spans="2:23">
      <c r="B30" s="85">
        <v>0.1</v>
      </c>
      <c r="C30" s="86">
        <v>88920.6651098532</v>
      </c>
      <c r="D30" s="86">
        <v>85723.7072151163</v>
      </c>
      <c r="E30" s="86">
        <v>84520.5888443088</v>
      </c>
      <c r="F30" s="86">
        <v>83595.636305435</v>
      </c>
      <c r="I30" s="379">
        <f t="shared" ref="I30:I37" si="15">(1+B30)</f>
        <v>1.1</v>
      </c>
      <c r="J30" t="str">
        <f t="shared" si="9"/>
        <v>Trd_hdt_dsl-hyb</v>
      </c>
      <c r="K30" t="str">
        <f t="shared" si="10"/>
        <v>Trd_hdt_dsl-hyb_10</v>
      </c>
      <c r="L30" t="str">
        <f t="shared" si="3"/>
        <v>Trd_hdt</v>
      </c>
      <c r="M30" s="380">
        <f t="shared" si="11"/>
        <v>88920.6651098532</v>
      </c>
      <c r="N30" s="380">
        <f t="shared" si="12"/>
        <v>85723.7072151163</v>
      </c>
      <c r="O30" s="380">
        <f t="shared" si="13"/>
        <v>84520.5888443088</v>
      </c>
      <c r="P30" s="380">
        <f t="shared" si="14"/>
        <v>83595.636305435</v>
      </c>
      <c r="T30" t="str">
        <f t="shared" si="6"/>
        <v>Trd_hdt_dsl-hyb_10</v>
      </c>
      <c r="U30" t="str">
        <f ca="1" t="shared" si="7"/>
        <v>7.5-16t diesel hybrid truck -- 10%</v>
      </c>
      <c r="V30" s="383" t="s">
        <v>84</v>
      </c>
      <c r="W30" s="383" t="s">
        <v>85</v>
      </c>
    </row>
    <row r="31" spans="2:23">
      <c r="B31" s="85">
        <v>0.15</v>
      </c>
      <c r="C31" s="86">
        <v>90395.0204926283</v>
      </c>
      <c r="D31" s="86">
        <v>85866.8890332981</v>
      </c>
      <c r="E31" s="86">
        <v>84742.0752039553</v>
      </c>
      <c r="F31" s="86">
        <v>83858.3785974444</v>
      </c>
      <c r="I31" s="379">
        <f t="shared" si="15"/>
        <v>1.15</v>
      </c>
      <c r="J31" t="str">
        <f t="shared" si="9"/>
        <v>Trd_hdt_dsl-hyb</v>
      </c>
      <c r="K31" t="str">
        <f t="shared" si="10"/>
        <v>Trd_hdt_dsl-hyb_15</v>
      </c>
      <c r="L31" t="str">
        <f t="shared" si="3"/>
        <v>Trd_hdt</v>
      </c>
      <c r="M31" s="380">
        <f t="shared" si="11"/>
        <v>90395.0204926283</v>
      </c>
      <c r="N31" s="380">
        <f t="shared" si="12"/>
        <v>85866.8890332981</v>
      </c>
      <c r="O31" s="380">
        <f t="shared" si="13"/>
        <v>84742.0752039553</v>
      </c>
      <c r="P31" s="380">
        <f t="shared" si="14"/>
        <v>83858.3785974444</v>
      </c>
      <c r="T31" t="str">
        <f t="shared" si="6"/>
        <v>Trd_hdt_dsl-hyb_15</v>
      </c>
      <c r="U31" t="str">
        <f ca="1" t="shared" si="7"/>
        <v>7.5-16t diesel hybrid truck -- 15%</v>
      </c>
      <c r="V31" s="383" t="s">
        <v>84</v>
      </c>
      <c r="W31" s="383" t="s">
        <v>85</v>
      </c>
    </row>
    <row r="32" spans="2:23">
      <c r="B32" s="85">
        <v>0.2</v>
      </c>
      <c r="C32" s="86">
        <v>91869.3758754034</v>
      </c>
      <c r="D32" s="86">
        <v>86041.5708514799</v>
      </c>
      <c r="E32" s="86">
        <v>84996.5031128271</v>
      </c>
      <c r="F32" s="86">
        <v>84156.751475997</v>
      </c>
      <c r="I32" s="379">
        <f t="shared" si="15"/>
        <v>1.2</v>
      </c>
      <c r="J32" t="str">
        <f t="shared" si="9"/>
        <v>Trd_hdt_dsl-hyb</v>
      </c>
      <c r="K32" t="str">
        <f t="shared" si="10"/>
        <v>Trd_hdt_dsl-hyb_20</v>
      </c>
      <c r="L32" t="str">
        <f t="shared" si="3"/>
        <v>Trd_hdt</v>
      </c>
      <c r="M32" s="380">
        <f t="shared" si="11"/>
        <v>91869.3758754034</v>
      </c>
      <c r="N32" s="380">
        <f t="shared" si="12"/>
        <v>86041.5708514799</v>
      </c>
      <c r="O32" s="380">
        <f t="shared" si="13"/>
        <v>84996.5031128271</v>
      </c>
      <c r="P32" s="380">
        <f t="shared" si="14"/>
        <v>84156.751475997</v>
      </c>
      <c r="T32" t="str">
        <f t="shared" si="6"/>
        <v>Trd_hdt_dsl-hyb_20</v>
      </c>
      <c r="U32" t="str">
        <f ca="1" t="shared" si="7"/>
        <v>7.5-16t diesel hybrid truck -- 20%</v>
      </c>
      <c r="V32" s="383" t="s">
        <v>84</v>
      </c>
      <c r="W32" s="383" t="s">
        <v>85</v>
      </c>
    </row>
    <row r="33" spans="2:23">
      <c r="B33" s="85">
        <v>0.25</v>
      </c>
      <c r="C33" s="86">
        <v>93343.7312581785</v>
      </c>
      <c r="D33" s="86">
        <v>86487.4440572216</v>
      </c>
      <c r="E33" s="86">
        <v>85493.1691287208</v>
      </c>
      <c r="F33" s="86">
        <v>84675.0560982984</v>
      </c>
      <c r="I33" s="379">
        <f t="shared" si="15"/>
        <v>1.25</v>
      </c>
      <c r="J33" t="str">
        <f t="shared" si="9"/>
        <v>Trd_hdt_dsl-hyb</v>
      </c>
      <c r="K33" t="str">
        <f t="shared" si="10"/>
        <v>Trd_hdt_dsl-hyb_25</v>
      </c>
      <c r="L33" t="str">
        <f t="shared" si="3"/>
        <v>Trd_hdt</v>
      </c>
      <c r="M33" s="380">
        <f t="shared" si="11"/>
        <v>93343.7312581785</v>
      </c>
      <c r="N33" s="380">
        <f t="shared" si="12"/>
        <v>86487.4440572216</v>
      </c>
      <c r="O33" s="380">
        <f t="shared" si="13"/>
        <v>85493.1691287208</v>
      </c>
      <c r="P33" s="380">
        <f t="shared" si="14"/>
        <v>84675.0560982984</v>
      </c>
      <c r="T33" t="str">
        <f t="shared" si="6"/>
        <v>Trd_hdt_dsl-hyb_25</v>
      </c>
      <c r="U33" t="str">
        <f ca="1" t="shared" si="7"/>
        <v>7.5-16t diesel hybrid truck -- 25%</v>
      </c>
      <c r="V33" s="383" t="s">
        <v>84</v>
      </c>
      <c r="W33" s="383" t="s">
        <v>85</v>
      </c>
    </row>
    <row r="34" spans="2:23">
      <c r="B34" s="85">
        <v>0.3</v>
      </c>
      <c r="C34" s="86">
        <v>94818.0866409536</v>
      </c>
      <c r="D34" s="86">
        <v>87242.4966888005</v>
      </c>
      <c r="E34" s="86">
        <v>86278.8059816227</v>
      </c>
      <c r="F34" s="86">
        <v>85465.4384699798</v>
      </c>
      <c r="I34" s="379">
        <f t="shared" si="15"/>
        <v>1.3</v>
      </c>
      <c r="J34" t="str">
        <f t="shared" si="9"/>
        <v>Trd_hdt_dsl-hyb</v>
      </c>
      <c r="K34" t="str">
        <f t="shared" si="10"/>
        <v>Trd_hdt_dsl-hyb_30</v>
      </c>
      <c r="L34" t="str">
        <f t="shared" si="3"/>
        <v>Trd_hdt</v>
      </c>
      <c r="M34" s="380">
        <f t="shared" si="11"/>
        <v>94818.0866409536</v>
      </c>
      <c r="N34" s="380">
        <f t="shared" si="12"/>
        <v>87242.4966888005</v>
      </c>
      <c r="O34" s="380">
        <f t="shared" si="13"/>
        <v>86278.8059816227</v>
      </c>
      <c r="P34" s="380">
        <f t="shared" si="14"/>
        <v>85465.4384699798</v>
      </c>
      <c r="T34" t="str">
        <f t="shared" si="6"/>
        <v>Trd_hdt_dsl-hyb_30</v>
      </c>
      <c r="U34" t="str">
        <f ca="1" t="shared" si="7"/>
        <v>7.5-16t diesel hybrid truck -- 30%</v>
      </c>
      <c r="V34" s="383" t="s">
        <v>84</v>
      </c>
      <c r="W34" s="383" t="s">
        <v>85</v>
      </c>
    </row>
    <row r="35" spans="2:23">
      <c r="B35" s="85">
        <v>0.35</v>
      </c>
      <c r="C35" s="86">
        <v>96915.1446564834</v>
      </c>
      <c r="D35" s="86">
        <v>88296.0206122455</v>
      </c>
      <c r="E35" s="86">
        <v>87359.2952176801</v>
      </c>
      <c r="F35" s="86">
        <v>86546.2415338802</v>
      </c>
      <c r="I35" s="379">
        <f t="shared" si="15"/>
        <v>1.35</v>
      </c>
      <c r="J35" t="str">
        <f t="shared" si="9"/>
        <v>Trd_hdt_dsl-hyb</v>
      </c>
      <c r="K35" t="str">
        <f t="shared" si="10"/>
        <v>Trd_hdt_dsl-hyb_35</v>
      </c>
      <c r="L35" t="str">
        <f t="shared" si="3"/>
        <v>Trd_hdt</v>
      </c>
      <c r="M35" s="380">
        <f t="shared" si="11"/>
        <v>96915.1446564834</v>
      </c>
      <c r="N35" s="380">
        <f t="shared" si="12"/>
        <v>88296.0206122455</v>
      </c>
      <c r="O35" s="380">
        <f t="shared" si="13"/>
        <v>87359.2952176801</v>
      </c>
      <c r="P35" s="380">
        <f t="shared" si="14"/>
        <v>86546.2415338802</v>
      </c>
      <c r="T35" t="str">
        <f t="shared" si="6"/>
        <v>Trd_hdt_dsl-hyb_35</v>
      </c>
      <c r="U35" t="str">
        <f ca="1" t="shared" si="7"/>
        <v>7.5-16t diesel hybrid truck -- 35%</v>
      </c>
      <c r="V35" s="383" t="s">
        <v>84</v>
      </c>
      <c r="W35" s="383" t="s">
        <v>85</v>
      </c>
    </row>
    <row r="36" spans="2:23">
      <c r="B36" s="85">
        <v>0.4</v>
      </c>
      <c r="C36" s="86">
        <v>98758.1767482286</v>
      </c>
      <c r="D36" s="86">
        <v>91896.2574543508</v>
      </c>
      <c r="E36" s="86">
        <v>90807.9713158337</v>
      </c>
      <c r="F36" s="86">
        <v>89832.5535866655</v>
      </c>
      <c r="I36" s="379">
        <f t="shared" si="15"/>
        <v>1.4</v>
      </c>
      <c r="J36" t="str">
        <f t="shared" si="9"/>
        <v>Trd_hdt_dsl-hyb</v>
      </c>
      <c r="K36" t="str">
        <f t="shared" si="10"/>
        <v>Trd_hdt_dsl-hyb_40</v>
      </c>
      <c r="L36" t="str">
        <f t="shared" si="3"/>
        <v>Trd_hdt</v>
      </c>
      <c r="M36" s="380">
        <f t="shared" si="11"/>
        <v>98758.1767482286</v>
      </c>
      <c r="N36" s="380">
        <f t="shared" si="12"/>
        <v>91896.2574543508</v>
      </c>
      <c r="O36" s="380">
        <f t="shared" si="13"/>
        <v>90807.9713158337</v>
      </c>
      <c r="P36" s="380">
        <f t="shared" si="14"/>
        <v>89832.5535866655</v>
      </c>
      <c r="T36" t="str">
        <f t="shared" si="6"/>
        <v>Trd_hdt_dsl-hyb_40</v>
      </c>
      <c r="U36" t="str">
        <f ca="1" t="shared" si="7"/>
        <v>7.5-16t diesel hybrid truck -- 40%</v>
      </c>
      <c r="V36" s="383" t="s">
        <v>84</v>
      </c>
      <c r="W36" s="383" t="s">
        <v>85</v>
      </c>
    </row>
    <row r="37" spans="2:23">
      <c r="B37" s="85">
        <v>0.45</v>
      </c>
      <c r="C37" s="86">
        <v>104720.410736048</v>
      </c>
      <c r="D37" s="86">
        <v>97691.6617605709</v>
      </c>
      <c r="E37" s="86">
        <v>96426.7577972023</v>
      </c>
      <c r="F37" s="86">
        <v>95247.6594290264</v>
      </c>
      <c r="I37" s="379">
        <f t="shared" si="15"/>
        <v>1.45</v>
      </c>
      <c r="J37" t="str">
        <f t="shared" si="9"/>
        <v>Trd_hdt_dsl-hyb</v>
      </c>
      <c r="K37" t="str">
        <f t="shared" si="10"/>
        <v>Trd_hdt_dsl-hyb_45</v>
      </c>
      <c r="L37" t="str">
        <f t="shared" si="3"/>
        <v>Trd_hdt</v>
      </c>
      <c r="M37" s="380">
        <f t="shared" si="11"/>
        <v>104720.410736048</v>
      </c>
      <c r="N37" s="380">
        <f t="shared" si="12"/>
        <v>97691.6617605709</v>
      </c>
      <c r="O37" s="380">
        <f t="shared" si="13"/>
        <v>96426.7577972023</v>
      </c>
      <c r="P37" s="380">
        <f t="shared" si="14"/>
        <v>95247.6594290264</v>
      </c>
      <c r="T37" t="str">
        <f t="shared" si="6"/>
        <v>Trd_hdt_dsl-hyb_45</v>
      </c>
      <c r="U37" t="str">
        <f ca="1" t="shared" si="7"/>
        <v>7.5-16t diesel hybrid truck -- 45%</v>
      </c>
      <c r="V37" s="383" t="s">
        <v>84</v>
      </c>
      <c r="W37" s="383" t="s">
        <v>85</v>
      </c>
    </row>
    <row r="38" spans="10:23">
      <c r="J38" t="str">
        <f t="shared" ref="J38:J57" si="16">IFERROR(VLOOKUP(C38,$R$1:$S$7,2,FALSE),J37)</f>
        <v>Trd_hdt_dsl-hyb</v>
      </c>
      <c r="K38" t="str">
        <f t="shared" ref="K38:K57" si="17">IFERROR(IF(VALUE(C38)&gt;2020,J38&amp;"_"&amp;TEXT(B38*100,"00"),"\I:"),"\I:")</f>
        <v>\I:</v>
      </c>
      <c r="L38" t="str">
        <f t="shared" si="3"/>
        <v>\I:</v>
      </c>
      <c r="M38" s="380" t="str">
        <f t="shared" ref="M38:M57" si="18">IF($K38="\I:","",C38)</f>
        <v/>
      </c>
      <c r="N38" s="380" t="str">
        <f t="shared" ref="N38:N57" si="19">IF($K38="\I:","",D38)</f>
        <v/>
      </c>
      <c r="O38" s="380" t="str">
        <f t="shared" ref="O38:O57" si="20">IF($K38="\I:","",E38)</f>
        <v/>
      </c>
      <c r="P38" s="380" t="str">
        <f t="shared" ref="P38:P57" si="21">IF($K38="\I:","",F38)</f>
        <v/>
      </c>
      <c r="T38" t="str">
        <f t="shared" si="6"/>
        <v>\I:</v>
      </c>
      <c r="U38" t="str">
        <f ca="1" t="shared" si="7"/>
        <v>7.5-16t diesel hybrid truck -- 00%</v>
      </c>
      <c r="V38" s="383" t="s">
        <v>84</v>
      </c>
      <c r="W38" s="383" t="s">
        <v>85</v>
      </c>
    </row>
    <row r="39" spans="10:23">
      <c r="J39" t="str">
        <f t="shared" si="16"/>
        <v>Trd_hdt_dsl-hyb</v>
      </c>
      <c r="K39" t="str">
        <f t="shared" si="17"/>
        <v>\I:</v>
      </c>
      <c r="L39" t="str">
        <f t="shared" si="3"/>
        <v>\I:</v>
      </c>
      <c r="M39" s="380" t="str">
        <f t="shared" si="18"/>
        <v/>
      </c>
      <c r="N39" s="380" t="str">
        <f t="shared" si="19"/>
        <v/>
      </c>
      <c r="O39" s="380" t="str">
        <f t="shared" si="20"/>
        <v/>
      </c>
      <c r="P39" s="380" t="str">
        <f t="shared" si="21"/>
        <v/>
      </c>
      <c r="T39" t="str">
        <f t="shared" si="6"/>
        <v>\I:</v>
      </c>
      <c r="U39" t="str">
        <f ca="1" t="shared" si="7"/>
        <v>7.5-16t diesel hybrid truck -- 00%</v>
      </c>
      <c r="V39" s="383" t="s">
        <v>84</v>
      </c>
      <c r="W39" s="383" t="s">
        <v>85</v>
      </c>
    </row>
    <row r="40" spans="10:23">
      <c r="J40" t="str">
        <f t="shared" si="16"/>
        <v>Trd_hdt_dsl-hyb</v>
      </c>
      <c r="K40" t="str">
        <f t="shared" si="17"/>
        <v>\I:</v>
      </c>
      <c r="L40" t="str">
        <f t="shared" si="3"/>
        <v>\I:</v>
      </c>
      <c r="M40" s="380" t="str">
        <f t="shared" si="18"/>
        <v/>
      </c>
      <c r="N40" s="380" t="str">
        <f t="shared" si="19"/>
        <v/>
      </c>
      <c r="O40" s="380" t="str">
        <f t="shared" si="20"/>
        <v/>
      </c>
      <c r="P40" s="380" t="str">
        <f t="shared" si="21"/>
        <v/>
      </c>
      <c r="T40" t="str">
        <f t="shared" si="6"/>
        <v>\I:</v>
      </c>
      <c r="U40" t="str">
        <f ca="1" t="shared" si="7"/>
        <v>7.5-16t diesel hybrid truck -- 00%</v>
      </c>
      <c r="V40" s="383" t="s">
        <v>84</v>
      </c>
      <c r="W40" s="383" t="s">
        <v>85</v>
      </c>
    </row>
    <row r="41" spans="10:23">
      <c r="J41" t="str">
        <f t="shared" si="16"/>
        <v>Trd_hdt_dsl-hyb</v>
      </c>
      <c r="K41" t="str">
        <f t="shared" si="17"/>
        <v>\I:</v>
      </c>
      <c r="L41" t="str">
        <f t="shared" si="3"/>
        <v>\I:</v>
      </c>
      <c r="M41" s="380" t="str">
        <f t="shared" si="18"/>
        <v/>
      </c>
      <c r="N41" s="380" t="str">
        <f t="shared" si="19"/>
        <v/>
      </c>
      <c r="O41" s="380" t="str">
        <f t="shared" si="20"/>
        <v/>
      </c>
      <c r="P41" s="380" t="str">
        <f t="shared" si="21"/>
        <v/>
      </c>
      <c r="T41" t="str">
        <f t="shared" si="6"/>
        <v>\I:</v>
      </c>
      <c r="U41" t="str">
        <f ca="1" t="shared" si="7"/>
        <v>7.5-16t diesel hybrid truck -- 00%</v>
      </c>
      <c r="V41" s="383" t="s">
        <v>84</v>
      </c>
      <c r="W41" s="383" t="s">
        <v>85</v>
      </c>
    </row>
    <row r="42" spans="2:23">
      <c r="B42" s="43" t="s">
        <v>120</v>
      </c>
      <c r="J42" t="str">
        <f t="shared" si="16"/>
        <v>Trd_hdt_dsl-hyb</v>
      </c>
      <c r="K42" t="str">
        <f t="shared" si="17"/>
        <v>\I:</v>
      </c>
      <c r="L42" t="str">
        <f t="shared" si="3"/>
        <v>\I:</v>
      </c>
      <c r="M42" s="380" t="str">
        <f t="shared" si="18"/>
        <v/>
      </c>
      <c r="N42" s="380" t="str">
        <f t="shared" si="19"/>
        <v/>
      </c>
      <c r="O42" s="380" t="str">
        <f t="shared" si="20"/>
        <v/>
      </c>
      <c r="P42" s="380" t="str">
        <f t="shared" si="21"/>
        <v/>
      </c>
      <c r="T42" t="str">
        <f t="shared" si="6"/>
        <v>\I:</v>
      </c>
      <c r="U42" t="str">
        <f ca="1" t="shared" si="7"/>
        <v>7.5-16t diesel hybrid truck -- Reference values for LNG truck 7.5-16t</v>
      </c>
      <c r="V42" s="383" t="s">
        <v>84</v>
      </c>
      <c r="W42" s="383" t="s">
        <v>85</v>
      </c>
    </row>
    <row r="43" spans="2:23">
      <c r="B43" s="372">
        <v>2015</v>
      </c>
      <c r="C43" s="372"/>
      <c r="D43" s="372"/>
      <c r="J43" t="str">
        <f t="shared" si="16"/>
        <v>Trd_hdt_dsl-hyb</v>
      </c>
      <c r="K43" t="str">
        <f t="shared" si="17"/>
        <v>\I:</v>
      </c>
      <c r="L43" t="str">
        <f t="shared" si="3"/>
        <v>\I:</v>
      </c>
      <c r="M43" s="380" t="str">
        <f t="shared" si="18"/>
        <v/>
      </c>
      <c r="N43" s="380" t="str">
        <f t="shared" si="19"/>
        <v/>
      </c>
      <c r="O43" s="380" t="str">
        <f t="shared" si="20"/>
        <v/>
      </c>
      <c r="P43" s="380" t="str">
        <f t="shared" si="21"/>
        <v/>
      </c>
      <c r="T43" t="str">
        <f t="shared" si="6"/>
        <v>\I:</v>
      </c>
      <c r="U43" t="str">
        <f ca="1" t="shared" si="7"/>
        <v>7.5-16t diesel hybrid truck -- 201500%</v>
      </c>
      <c r="V43" s="383" t="s">
        <v>84</v>
      </c>
      <c r="W43" s="383" t="s">
        <v>85</v>
      </c>
    </row>
    <row r="44" spans="2:23">
      <c r="B44" s="45" t="s">
        <v>12</v>
      </c>
      <c r="C44" s="46" t="s">
        <v>88</v>
      </c>
      <c r="D44" s="47">
        <v>15.6724885159612</v>
      </c>
      <c r="G44" s="373">
        <f>D44*$I$2/100*10^9/10^6</f>
        <v>8.1512515429686</v>
      </c>
      <c r="H44" s="373"/>
      <c r="I44" s="373">
        <f>1/G44</f>
        <v>0.122680547242174</v>
      </c>
      <c r="J44" t="str">
        <f t="shared" si="16"/>
        <v>Trd_hdt_dsl-hyb</v>
      </c>
      <c r="K44" t="str">
        <f t="shared" si="17"/>
        <v>\I:</v>
      </c>
      <c r="L44" t="str">
        <f t="shared" si="3"/>
        <v>\I:</v>
      </c>
      <c r="M44" s="380" t="str">
        <f t="shared" si="18"/>
        <v/>
      </c>
      <c r="N44" s="380" t="str">
        <f t="shared" si="19"/>
        <v/>
      </c>
      <c r="O44" s="380" t="str">
        <f t="shared" si="20"/>
        <v/>
      </c>
      <c r="P44" s="380" t="str">
        <f t="shared" si="21"/>
        <v/>
      </c>
      <c r="T44" t="str">
        <f t="shared" si="6"/>
        <v>\I:</v>
      </c>
      <c r="U44" t="str">
        <f ca="1" t="shared" si="7"/>
        <v>7.5-16t diesel hybrid truck -- Energy consumption</v>
      </c>
      <c r="V44" s="383" t="s">
        <v>84</v>
      </c>
      <c r="W44" s="383" t="s">
        <v>85</v>
      </c>
    </row>
    <row r="45" spans="2:23">
      <c r="B45" s="45" t="s">
        <v>14</v>
      </c>
      <c r="C45" s="46" t="s">
        <v>15</v>
      </c>
      <c r="D45" s="68">
        <v>97834.8667075987</v>
      </c>
      <c r="I45" s="43" t="s">
        <v>70</v>
      </c>
      <c r="J45" t="str">
        <f t="shared" si="16"/>
        <v>Trd_hdt_dsl-hyb</v>
      </c>
      <c r="K45" t="str">
        <f t="shared" si="17"/>
        <v>\I:</v>
      </c>
      <c r="L45" t="str">
        <f t="shared" si="3"/>
        <v>\I:</v>
      </c>
      <c r="M45" s="380" t="str">
        <f t="shared" si="18"/>
        <v/>
      </c>
      <c r="N45" s="380" t="str">
        <f t="shared" si="19"/>
        <v/>
      </c>
      <c r="O45" s="380" t="str">
        <f t="shared" si="20"/>
        <v/>
      </c>
      <c r="P45" s="380" t="str">
        <f t="shared" si="21"/>
        <v/>
      </c>
      <c r="T45" t="str">
        <f t="shared" si="6"/>
        <v>\I:</v>
      </c>
      <c r="U45" t="str">
        <f ca="1" t="shared" si="7"/>
        <v>7.5-16t diesel hybrid truck -- Capital cost</v>
      </c>
      <c r="V45" s="383" t="s">
        <v>84</v>
      </c>
      <c r="W45" s="383" t="s">
        <v>85</v>
      </c>
    </row>
    <row r="46" ht="15" customHeight="1" spans="10:23">
      <c r="J46" t="str">
        <f t="shared" si="16"/>
        <v>Trd_hdt_dsl-hyb</v>
      </c>
      <c r="K46" t="str">
        <f t="shared" si="17"/>
        <v>\I:</v>
      </c>
      <c r="L46" t="str">
        <f t="shared" si="3"/>
        <v>\I:</v>
      </c>
      <c r="M46" s="380" t="str">
        <f t="shared" si="18"/>
        <v/>
      </c>
      <c r="N46" s="380" t="str">
        <f t="shared" si="19"/>
        <v/>
      </c>
      <c r="O46" s="380" t="str">
        <f t="shared" si="20"/>
        <v/>
      </c>
      <c r="P46" s="380" t="str">
        <f t="shared" si="21"/>
        <v/>
      </c>
      <c r="T46" t="str">
        <f t="shared" si="6"/>
        <v>\I:</v>
      </c>
      <c r="U46" t="str">
        <f ca="1" t="shared" si="7"/>
        <v>7.5-16t diesel hybrid truck -- 00%</v>
      </c>
      <c r="V46" s="383" t="s">
        <v>84</v>
      </c>
      <c r="W46" s="383" t="s">
        <v>85</v>
      </c>
    </row>
    <row r="47" ht="15" customHeight="1" spans="2:23">
      <c r="B47" s="389" t="s">
        <v>121</v>
      </c>
      <c r="C47" s="374" t="s">
        <v>114</v>
      </c>
      <c r="D47" s="389"/>
      <c r="E47" s="389"/>
      <c r="F47" s="389"/>
      <c r="J47" t="str">
        <f t="shared" si="16"/>
        <v>Trd_hdt_lng</v>
      </c>
      <c r="K47" t="str">
        <f t="shared" si="17"/>
        <v>\I:</v>
      </c>
      <c r="L47" t="str">
        <f t="shared" si="3"/>
        <v>\I:</v>
      </c>
      <c r="M47" s="380" t="str">
        <f t="shared" si="18"/>
        <v/>
      </c>
      <c r="N47" s="380" t="str">
        <f t="shared" si="19"/>
        <v/>
      </c>
      <c r="O47" s="380" t="str">
        <f t="shared" si="20"/>
        <v/>
      </c>
      <c r="P47" s="380" t="str">
        <f t="shared" si="21"/>
        <v/>
      </c>
      <c r="T47" t="str">
        <f t="shared" si="6"/>
        <v>\I:</v>
      </c>
      <c r="U47" t="str">
        <f ca="1" t="shared" si="7"/>
        <v>7.5-16t LNG truck -- Reduction of specific energy consumption relative to 2015 LNG vehicle (%)</v>
      </c>
      <c r="V47" s="383" t="s">
        <v>84</v>
      </c>
      <c r="W47" s="383" t="s">
        <v>85</v>
      </c>
    </row>
    <row r="48" spans="2:23">
      <c r="B48" s="389"/>
      <c r="C48" s="374"/>
      <c r="D48" s="389"/>
      <c r="E48" s="389"/>
      <c r="F48" s="389"/>
      <c r="J48" t="str">
        <f t="shared" si="16"/>
        <v>Trd_hdt_lng</v>
      </c>
      <c r="K48" t="str">
        <f t="shared" si="17"/>
        <v>\I:</v>
      </c>
      <c r="L48" t="str">
        <f t="shared" si="3"/>
        <v>\I:</v>
      </c>
      <c r="M48" s="380" t="str">
        <f t="shared" si="18"/>
        <v/>
      </c>
      <c r="N48" s="380" t="str">
        <f t="shared" si="19"/>
        <v/>
      </c>
      <c r="O48" s="380" t="str">
        <f t="shared" si="20"/>
        <v/>
      </c>
      <c r="P48" s="380" t="str">
        <f t="shared" si="21"/>
        <v/>
      </c>
      <c r="T48" t="str">
        <f t="shared" si="6"/>
        <v>\I:</v>
      </c>
      <c r="U48" t="str">
        <f ca="1" t="shared" si="7"/>
        <v>7.5-16t LNG truck -- 00%</v>
      </c>
      <c r="V48" s="383" t="s">
        <v>84</v>
      </c>
      <c r="W48" s="383" t="s">
        <v>85</v>
      </c>
    </row>
    <row r="49" spans="2:23">
      <c r="B49" s="389"/>
      <c r="C49" s="374"/>
      <c r="D49" s="389"/>
      <c r="E49" s="389"/>
      <c r="F49" s="389"/>
      <c r="J49" t="str">
        <f t="shared" si="16"/>
        <v>Trd_hdt_lng</v>
      </c>
      <c r="K49" t="str">
        <f t="shared" si="17"/>
        <v>\I:</v>
      </c>
      <c r="L49" t="str">
        <f t="shared" si="3"/>
        <v>\I:</v>
      </c>
      <c r="M49" s="380" t="str">
        <f t="shared" si="18"/>
        <v/>
      </c>
      <c r="N49" s="380" t="str">
        <f t="shared" si="19"/>
        <v/>
      </c>
      <c r="O49" s="380" t="str">
        <f t="shared" si="20"/>
        <v/>
      </c>
      <c r="P49" s="380" t="str">
        <f t="shared" si="21"/>
        <v/>
      </c>
      <c r="T49" t="str">
        <f t="shared" si="6"/>
        <v>\I:</v>
      </c>
      <c r="U49" t="str">
        <f ca="1" t="shared" si="7"/>
        <v>7.5-16t LNG truck -- 00%</v>
      </c>
      <c r="V49" s="383" t="s">
        <v>84</v>
      </c>
      <c r="W49" s="383" t="s">
        <v>85</v>
      </c>
    </row>
    <row r="50" spans="2:23">
      <c r="B50" s="88"/>
      <c r="C50" s="50">
        <v>2020</v>
      </c>
      <c r="D50" s="50">
        <v>2030</v>
      </c>
      <c r="E50" s="50">
        <v>2040</v>
      </c>
      <c r="F50" s="50">
        <v>2050</v>
      </c>
      <c r="J50" t="str">
        <f t="shared" si="16"/>
        <v>Trd_hdt_lng</v>
      </c>
      <c r="K50" t="str">
        <f t="shared" si="17"/>
        <v>\I:</v>
      </c>
      <c r="L50" t="str">
        <f t="shared" si="3"/>
        <v>\I:</v>
      </c>
      <c r="M50" s="380" t="str">
        <f t="shared" si="18"/>
        <v/>
      </c>
      <c r="N50" s="380" t="str">
        <f t="shared" si="19"/>
        <v/>
      </c>
      <c r="O50" s="380" t="str">
        <f t="shared" si="20"/>
        <v/>
      </c>
      <c r="P50" s="380" t="str">
        <f t="shared" si="21"/>
        <v/>
      </c>
      <c r="T50" t="str">
        <f t="shared" si="6"/>
        <v>\I:</v>
      </c>
      <c r="U50" t="str">
        <f ca="1" t="shared" si="7"/>
        <v>7.5-16t LNG truck -- 00%</v>
      </c>
      <c r="V50" s="383" t="s">
        <v>84</v>
      </c>
      <c r="W50" s="383" t="s">
        <v>85</v>
      </c>
    </row>
    <row r="51" spans="2:23">
      <c r="B51" s="85">
        <v>0.0441258142145298</v>
      </c>
      <c r="C51" s="86">
        <v>98717.5518945274</v>
      </c>
      <c r="D51" s="86">
        <v>98717.5518945274</v>
      </c>
      <c r="E51" s="86">
        <v>98717.5518945274</v>
      </c>
      <c r="F51" s="86">
        <v>98717.5518945274</v>
      </c>
      <c r="I51" s="379">
        <f t="shared" ref="I51:I57" si="22">$I$44*(1+B51)/$I$7</f>
        <v>0.919119546564507</v>
      </c>
      <c r="J51" t="str">
        <f t="shared" si="16"/>
        <v>Trd_hdt_lng</v>
      </c>
      <c r="K51" t="str">
        <f t="shared" si="17"/>
        <v>Trd_hdt_lng_04</v>
      </c>
      <c r="L51" t="str">
        <f t="shared" si="3"/>
        <v>Trd_hdt</v>
      </c>
      <c r="M51" s="380">
        <f t="shared" si="18"/>
        <v>98717.5518945274</v>
      </c>
      <c r="N51" s="380">
        <f t="shared" si="19"/>
        <v>98717.5518945274</v>
      </c>
      <c r="O51" s="380">
        <f t="shared" si="20"/>
        <v>98717.5518945274</v>
      </c>
      <c r="P51" s="380">
        <f t="shared" si="21"/>
        <v>98717.5518945274</v>
      </c>
      <c r="T51" t="str">
        <f t="shared" si="6"/>
        <v>Trd_hdt_lng_04</v>
      </c>
      <c r="U51" t="str">
        <f ca="1" t="shared" si="7"/>
        <v>7.5-16t LNG truck -- 04%</v>
      </c>
      <c r="V51" s="383" t="s">
        <v>84</v>
      </c>
      <c r="W51" s="383" t="s">
        <v>85</v>
      </c>
    </row>
    <row r="52" spans="2:23">
      <c r="B52" s="85">
        <v>0.0941258142145298</v>
      </c>
      <c r="C52" s="86">
        <v>100149.98465522</v>
      </c>
      <c r="D52" s="86">
        <v>99663.0361158585</v>
      </c>
      <c r="E52" s="86">
        <v>99663.0361158585</v>
      </c>
      <c r="F52" s="86">
        <v>99663.0361158585</v>
      </c>
      <c r="I52" s="379">
        <f t="shared" si="22"/>
        <v>0.963133377754761</v>
      </c>
      <c r="J52" t="str">
        <f t="shared" si="16"/>
        <v>Trd_hdt_lng</v>
      </c>
      <c r="K52" t="str">
        <f t="shared" si="17"/>
        <v>Trd_hdt_lng_09</v>
      </c>
      <c r="L52" t="str">
        <f t="shared" si="3"/>
        <v>Trd_hdt</v>
      </c>
      <c r="M52" s="380">
        <f t="shared" si="18"/>
        <v>100149.98465522</v>
      </c>
      <c r="N52" s="380">
        <f t="shared" si="19"/>
        <v>99663.0361158585</v>
      </c>
      <c r="O52" s="380">
        <f t="shared" si="20"/>
        <v>99663.0361158585</v>
      </c>
      <c r="P52" s="380">
        <f t="shared" si="21"/>
        <v>99663.0361158585</v>
      </c>
      <c r="T52" t="str">
        <f t="shared" si="6"/>
        <v>Trd_hdt_lng_09</v>
      </c>
      <c r="U52" t="str">
        <f ca="1" t="shared" si="7"/>
        <v>7.5-16t LNG truck -- 09%</v>
      </c>
      <c r="V52" s="383" t="s">
        <v>84</v>
      </c>
      <c r="W52" s="383" t="s">
        <v>85</v>
      </c>
    </row>
    <row r="53" spans="2:23">
      <c r="B53" s="85">
        <v>0.14412581421453</v>
      </c>
      <c r="C53" s="86">
        <v>101448.960896787</v>
      </c>
      <c r="D53" s="86">
        <v>101055.405015415</v>
      </c>
      <c r="E53" s="86">
        <v>101055.405015415</v>
      </c>
      <c r="F53" s="86">
        <v>101055.405015415</v>
      </c>
      <c r="I53" s="379">
        <f t="shared" si="22"/>
        <v>1.00714720894502</v>
      </c>
      <c r="J53" t="str">
        <f t="shared" si="16"/>
        <v>Trd_hdt_lng</v>
      </c>
      <c r="K53" t="str">
        <f t="shared" si="17"/>
        <v>Trd_hdt_lng_14</v>
      </c>
      <c r="L53" t="str">
        <f t="shared" si="3"/>
        <v>Trd_hdt</v>
      </c>
      <c r="M53" s="380">
        <f t="shared" si="18"/>
        <v>101448.960896787</v>
      </c>
      <c r="N53" s="380">
        <f t="shared" si="19"/>
        <v>101055.405015415</v>
      </c>
      <c r="O53" s="380">
        <f t="shared" si="20"/>
        <v>101055.405015415</v>
      </c>
      <c r="P53" s="380">
        <f t="shared" si="21"/>
        <v>101055.405015415</v>
      </c>
      <c r="T53" t="str">
        <f t="shared" si="6"/>
        <v>Trd_hdt_lng_14</v>
      </c>
      <c r="U53" t="str">
        <f ca="1" t="shared" si="7"/>
        <v>7.5-16t LNG truck -- 14%</v>
      </c>
      <c r="V53" s="383" t="s">
        <v>84</v>
      </c>
      <c r="W53" s="383" t="s">
        <v>85</v>
      </c>
    </row>
    <row r="54" spans="2:23">
      <c r="B54" s="85">
        <v>0.19412581421453</v>
      </c>
      <c r="C54" s="86">
        <v>106980.82801971</v>
      </c>
      <c r="D54" s="86">
        <v>103105.879374174</v>
      </c>
      <c r="E54" s="86">
        <v>103105.879374174</v>
      </c>
      <c r="F54" s="86">
        <v>103105.879374174</v>
      </c>
      <c r="I54" s="379">
        <f t="shared" si="22"/>
        <v>1.05116104013527</v>
      </c>
      <c r="J54" t="str">
        <f t="shared" si="16"/>
        <v>Trd_hdt_lng</v>
      </c>
      <c r="K54" t="str">
        <f t="shared" si="17"/>
        <v>Trd_hdt_lng_19</v>
      </c>
      <c r="L54" t="str">
        <f t="shared" si="3"/>
        <v>Trd_hdt</v>
      </c>
      <c r="M54" s="380">
        <f t="shared" si="18"/>
        <v>106980.82801971</v>
      </c>
      <c r="N54" s="380">
        <f t="shared" si="19"/>
        <v>103105.879374174</v>
      </c>
      <c r="O54" s="380">
        <f t="shared" si="20"/>
        <v>103105.879374174</v>
      </c>
      <c r="P54" s="380">
        <f t="shared" si="21"/>
        <v>103105.879374174</v>
      </c>
      <c r="T54" t="str">
        <f t="shared" si="6"/>
        <v>Trd_hdt_lng_19</v>
      </c>
      <c r="U54" t="str">
        <f ca="1" t="shared" si="7"/>
        <v>7.5-16t LNG truck -- 19%</v>
      </c>
      <c r="V54" s="383" t="s">
        <v>84</v>
      </c>
      <c r="W54" s="383" t="s">
        <v>85</v>
      </c>
    </row>
    <row r="55" spans="2:23">
      <c r="B55" s="85">
        <v>0.24412581421453</v>
      </c>
      <c r="C55" s="86">
        <v>111288.922874223</v>
      </c>
      <c r="D55" s="86">
        <v>106125.513823974</v>
      </c>
      <c r="E55" s="86">
        <v>106125.513823974</v>
      </c>
      <c r="F55" s="86">
        <v>106125.513823974</v>
      </c>
      <c r="I55" s="379">
        <f t="shared" si="22"/>
        <v>1.09517487132553</v>
      </c>
      <c r="J55" t="str">
        <f t="shared" si="16"/>
        <v>Trd_hdt_lng</v>
      </c>
      <c r="K55" t="str">
        <f t="shared" si="17"/>
        <v>Trd_hdt_lng_24</v>
      </c>
      <c r="L55" t="str">
        <f t="shared" si="3"/>
        <v>Trd_hdt</v>
      </c>
      <c r="M55" s="380">
        <f t="shared" si="18"/>
        <v>111288.922874223</v>
      </c>
      <c r="N55" s="380">
        <f t="shared" si="19"/>
        <v>106125.513823974</v>
      </c>
      <c r="O55" s="380">
        <f t="shared" si="20"/>
        <v>106125.513823974</v>
      </c>
      <c r="P55" s="380">
        <f t="shared" si="21"/>
        <v>106125.513823974</v>
      </c>
      <c r="T55" t="str">
        <f t="shared" si="6"/>
        <v>Trd_hdt_lng_24</v>
      </c>
      <c r="U55" t="str">
        <f ca="1" t="shared" si="7"/>
        <v>7.5-16t LNG truck -- 24%</v>
      </c>
      <c r="V55" s="383" t="s">
        <v>84</v>
      </c>
      <c r="W55" s="383" t="s">
        <v>85</v>
      </c>
    </row>
    <row r="56" spans="2:23">
      <c r="B56" s="85">
        <v>0.26412581421453</v>
      </c>
      <c r="C56" s="86">
        <v>134190.049294419</v>
      </c>
      <c r="D56" s="86">
        <v>110686.40839146</v>
      </c>
      <c r="E56" s="86">
        <v>110572.383481946</v>
      </c>
      <c r="F56" s="86">
        <v>110572.383481946</v>
      </c>
      <c r="I56" s="379">
        <f t="shared" si="22"/>
        <v>1.11278040380163</v>
      </c>
      <c r="J56" t="str">
        <f t="shared" si="16"/>
        <v>Trd_hdt_lng</v>
      </c>
      <c r="K56" t="str">
        <f t="shared" si="17"/>
        <v>Trd_hdt_lng_26</v>
      </c>
      <c r="L56" t="str">
        <f t="shared" si="3"/>
        <v>Trd_hdt</v>
      </c>
      <c r="M56" s="380">
        <f t="shared" si="18"/>
        <v>134190.049294419</v>
      </c>
      <c r="N56" s="380">
        <f t="shared" si="19"/>
        <v>110686.40839146</v>
      </c>
      <c r="O56" s="380">
        <f t="shared" si="20"/>
        <v>110572.383481946</v>
      </c>
      <c r="P56" s="380">
        <f t="shared" si="21"/>
        <v>110572.383481946</v>
      </c>
      <c r="T56" t="str">
        <f t="shared" si="6"/>
        <v>Trd_hdt_lng_26</v>
      </c>
      <c r="U56" t="str">
        <f ca="1" t="shared" si="7"/>
        <v>7.5-16t LNG truck -- 26%</v>
      </c>
      <c r="V56" s="383" t="s">
        <v>84</v>
      </c>
      <c r="W56" s="383" t="s">
        <v>85</v>
      </c>
    </row>
    <row r="57" spans="2:23">
      <c r="B57" s="85">
        <v>0.29412581421453</v>
      </c>
      <c r="C57" s="86">
        <v>208565.028347038</v>
      </c>
      <c r="D57" s="86">
        <v>124627.250339516</v>
      </c>
      <c r="E57" s="86">
        <v>117121.073425628</v>
      </c>
      <c r="F57" s="86">
        <v>117121.073425628</v>
      </c>
      <c r="I57" s="379">
        <f t="shared" si="22"/>
        <v>1.13918870251578</v>
      </c>
      <c r="J57" t="str">
        <f t="shared" si="16"/>
        <v>Trd_hdt_lng</v>
      </c>
      <c r="K57" t="str">
        <f t="shared" si="17"/>
        <v>Trd_hdt_lng_29</v>
      </c>
      <c r="L57" t="str">
        <f t="shared" si="3"/>
        <v>Trd_hdt</v>
      </c>
      <c r="M57" s="380">
        <f t="shared" si="18"/>
        <v>208565.028347038</v>
      </c>
      <c r="N57" s="380">
        <f t="shared" si="19"/>
        <v>124627.250339516</v>
      </c>
      <c r="O57" s="380">
        <f t="shared" si="20"/>
        <v>117121.073425628</v>
      </c>
      <c r="P57" s="380">
        <f t="shared" si="21"/>
        <v>117121.073425628</v>
      </c>
      <c r="T57" t="str">
        <f t="shared" si="6"/>
        <v>Trd_hdt_lng_29</v>
      </c>
      <c r="U57" t="str">
        <f ca="1" t="shared" si="7"/>
        <v>7.5-16t LNG truck -- 29%</v>
      </c>
      <c r="V57" s="383" t="s">
        <v>84</v>
      </c>
      <c r="W57" s="383" t="s">
        <v>85</v>
      </c>
    </row>
    <row r="58" spans="10:23">
      <c r="J58" t="str">
        <f t="shared" ref="J58:J111" si="23">IFERROR(VLOOKUP(C58,$R$1:$S$7,2,FALSE),J57)</f>
        <v>Trd_hdt_lng</v>
      </c>
      <c r="K58" t="str">
        <f t="shared" ref="K58:K103" si="24">IFERROR(IF(VALUE(C58)&gt;2020,J58&amp;"_"&amp;TEXT(B58*100,"00"),"\I:"),"\I:")</f>
        <v>\I:</v>
      </c>
      <c r="L58" t="str">
        <f t="shared" si="3"/>
        <v>\I:</v>
      </c>
      <c r="M58" s="380" t="str">
        <f t="shared" ref="M58:M111" si="25">IF($K58="\I:","",C58)</f>
        <v/>
      </c>
      <c r="N58" s="380" t="str">
        <f t="shared" ref="N58:N111" si="26">IF($K58="\I:","",D58)</f>
        <v/>
      </c>
      <c r="O58" s="380" t="str">
        <f t="shared" ref="O58:O111" si="27">IF($K58="\I:","",E58)</f>
        <v/>
      </c>
      <c r="P58" s="380" t="str">
        <f t="shared" ref="P58:P111" si="28">IF($K58="\I:","",F58)</f>
        <v/>
      </c>
      <c r="T58" t="str">
        <f t="shared" si="6"/>
        <v>\I:</v>
      </c>
      <c r="U58" t="str">
        <f ca="1" t="shared" si="7"/>
        <v>7.5-16t LNG truck -- 00%</v>
      </c>
      <c r="V58" s="383" t="s">
        <v>84</v>
      </c>
      <c r="W58" s="383" t="s">
        <v>85</v>
      </c>
    </row>
    <row r="59" spans="10:23">
      <c r="J59" t="str">
        <f t="shared" si="23"/>
        <v>Trd_hdt_lng</v>
      </c>
      <c r="K59" t="str">
        <f t="shared" si="24"/>
        <v>\I:</v>
      </c>
      <c r="L59" t="str">
        <f t="shared" si="3"/>
        <v>\I:</v>
      </c>
      <c r="M59" s="380" t="str">
        <f t="shared" si="25"/>
        <v/>
      </c>
      <c r="N59" s="380" t="str">
        <f t="shared" si="26"/>
        <v/>
      </c>
      <c r="O59" s="380" t="str">
        <f t="shared" si="27"/>
        <v/>
      </c>
      <c r="P59" s="380" t="str">
        <f t="shared" si="28"/>
        <v/>
      </c>
      <c r="T59" t="str">
        <f t="shared" si="6"/>
        <v>\I:</v>
      </c>
      <c r="U59" t="str">
        <f ca="1" t="shared" si="7"/>
        <v>7.5-16t LNG truck -- 00%</v>
      </c>
      <c r="V59" s="383" t="s">
        <v>84</v>
      </c>
      <c r="W59" s="383" t="s">
        <v>85</v>
      </c>
    </row>
    <row r="60" spans="10:23">
      <c r="J60" t="str">
        <f t="shared" si="23"/>
        <v>Trd_hdt_lng</v>
      </c>
      <c r="K60" t="str">
        <f t="shared" si="24"/>
        <v>\I:</v>
      </c>
      <c r="L60" t="str">
        <f t="shared" si="3"/>
        <v>\I:</v>
      </c>
      <c r="M60" s="380" t="str">
        <f t="shared" si="25"/>
        <v/>
      </c>
      <c r="N60" s="380" t="str">
        <f t="shared" si="26"/>
        <v/>
      </c>
      <c r="O60" s="380" t="str">
        <f t="shared" si="27"/>
        <v/>
      </c>
      <c r="P60" s="380" t="str">
        <f t="shared" si="28"/>
        <v/>
      </c>
      <c r="T60" t="str">
        <f t="shared" si="6"/>
        <v>\I:</v>
      </c>
      <c r="U60" t="str">
        <f ca="1" t="shared" si="7"/>
        <v>7.5-16t LNG truck -- 00%</v>
      </c>
      <c r="V60" s="383" t="s">
        <v>84</v>
      </c>
      <c r="W60" s="383" t="s">
        <v>85</v>
      </c>
    </row>
    <row r="61" spans="10:23">
      <c r="J61" t="str">
        <f t="shared" si="23"/>
        <v>Trd_hdt_lng</v>
      </c>
      <c r="K61" t="str">
        <f t="shared" si="24"/>
        <v>\I:</v>
      </c>
      <c r="L61" t="str">
        <f t="shared" si="3"/>
        <v>\I:</v>
      </c>
      <c r="M61" s="380" t="str">
        <f t="shared" si="25"/>
        <v/>
      </c>
      <c r="N61" s="380" t="str">
        <f t="shared" si="26"/>
        <v/>
      </c>
      <c r="O61" s="380" t="str">
        <f t="shared" si="27"/>
        <v/>
      </c>
      <c r="P61" s="380" t="str">
        <f t="shared" si="28"/>
        <v/>
      </c>
      <c r="T61" t="str">
        <f t="shared" si="6"/>
        <v>\I:</v>
      </c>
      <c r="U61" t="str">
        <f ca="1" t="shared" si="7"/>
        <v>7.5-16t LNG truck -- 00%</v>
      </c>
      <c r="V61" s="383" t="s">
        <v>84</v>
      </c>
      <c r="W61" s="383" t="s">
        <v>85</v>
      </c>
    </row>
    <row r="62" spans="2:23">
      <c r="B62" s="43" t="s">
        <v>122</v>
      </c>
      <c r="J62" t="str">
        <f t="shared" si="23"/>
        <v>Trd_hdt_lng</v>
      </c>
      <c r="K62" t="str">
        <f t="shared" si="24"/>
        <v>\I:</v>
      </c>
      <c r="L62" t="str">
        <f t="shared" si="3"/>
        <v>\I:</v>
      </c>
      <c r="M62" s="380" t="str">
        <f t="shared" si="25"/>
        <v/>
      </c>
      <c r="N62" s="380" t="str">
        <f t="shared" si="26"/>
        <v/>
      </c>
      <c r="O62" s="380" t="str">
        <f t="shared" si="27"/>
        <v/>
      </c>
      <c r="P62" s="380" t="str">
        <f t="shared" si="28"/>
        <v/>
      </c>
      <c r="T62" t="str">
        <f t="shared" si="6"/>
        <v>\I:</v>
      </c>
      <c r="U62" t="str">
        <f ca="1" t="shared" si="7"/>
        <v>7.5-16t LNG truck -- Reference values for LPG truck 7.5-16t</v>
      </c>
      <c r="V62" s="383" t="s">
        <v>84</v>
      </c>
      <c r="W62" s="383" t="s">
        <v>85</v>
      </c>
    </row>
    <row r="63" spans="2:23">
      <c r="B63" s="372">
        <v>2015</v>
      </c>
      <c r="C63" s="372"/>
      <c r="D63" s="372"/>
      <c r="J63" t="str">
        <f t="shared" si="23"/>
        <v>Trd_hdt_lng</v>
      </c>
      <c r="K63" t="str">
        <f t="shared" si="24"/>
        <v>\I:</v>
      </c>
      <c r="L63" t="str">
        <f t="shared" si="3"/>
        <v>\I:</v>
      </c>
      <c r="M63" s="380" t="str">
        <f t="shared" si="25"/>
        <v/>
      </c>
      <c r="N63" s="380" t="str">
        <f t="shared" si="26"/>
        <v/>
      </c>
      <c r="O63" s="380" t="str">
        <f t="shared" si="27"/>
        <v/>
      </c>
      <c r="P63" s="380" t="str">
        <f t="shared" si="28"/>
        <v/>
      </c>
      <c r="T63" t="str">
        <f t="shared" si="6"/>
        <v>\I:</v>
      </c>
      <c r="U63" t="str">
        <f ca="1" t="shared" si="7"/>
        <v>7.5-16t LNG truck -- 201500%</v>
      </c>
      <c r="V63" s="383" t="s">
        <v>84</v>
      </c>
      <c r="W63" s="383" t="s">
        <v>85</v>
      </c>
    </row>
    <row r="64" spans="2:23">
      <c r="B64" s="45" t="s">
        <v>12</v>
      </c>
      <c r="C64" s="46" t="s">
        <v>13</v>
      </c>
      <c r="D64" s="47">
        <v>23.0366698668345</v>
      </c>
      <c r="G64" s="373">
        <f>D64*$I$6/100*10^9/10^6</f>
        <v>5.89508381892295</v>
      </c>
      <c r="H64" s="373"/>
      <c r="I64" s="373">
        <f>1/G64</f>
        <v>0.169632872189204</v>
      </c>
      <c r="J64" t="str">
        <f t="shared" si="23"/>
        <v>Trd_hdt_lng</v>
      </c>
      <c r="K64" t="str">
        <f t="shared" si="24"/>
        <v>\I:</v>
      </c>
      <c r="L64" t="str">
        <f t="shared" si="3"/>
        <v>\I:</v>
      </c>
      <c r="M64" s="380" t="str">
        <f t="shared" si="25"/>
        <v/>
      </c>
      <c r="N64" s="380" t="str">
        <f t="shared" si="26"/>
        <v/>
      </c>
      <c r="O64" s="380" t="str">
        <f t="shared" si="27"/>
        <v/>
      </c>
      <c r="P64" s="380" t="str">
        <f t="shared" si="28"/>
        <v/>
      </c>
      <c r="T64" t="str">
        <f t="shared" si="6"/>
        <v>\I:</v>
      </c>
      <c r="U64" t="str">
        <f ca="1" t="shared" si="7"/>
        <v>7.5-16t LNG truck -- Energy consumption</v>
      </c>
      <c r="V64" s="383" t="s">
        <v>84</v>
      </c>
      <c r="W64" s="383" t="s">
        <v>85</v>
      </c>
    </row>
    <row r="65" ht="15.75" customHeight="1" spans="2:23">
      <c r="B65" s="45" t="s">
        <v>14</v>
      </c>
      <c r="C65" s="46" t="s">
        <v>15</v>
      </c>
      <c r="D65" s="68">
        <v>87115.9084188155</v>
      </c>
      <c r="I65" s="43" t="s">
        <v>70</v>
      </c>
      <c r="J65" t="str">
        <f t="shared" si="23"/>
        <v>Trd_hdt_lng</v>
      </c>
      <c r="K65" t="str">
        <f t="shared" si="24"/>
        <v>\I:</v>
      </c>
      <c r="L65" t="str">
        <f t="shared" si="3"/>
        <v>\I:</v>
      </c>
      <c r="M65" s="380" t="str">
        <f t="shared" si="25"/>
        <v/>
      </c>
      <c r="N65" s="380" t="str">
        <f t="shared" si="26"/>
        <v/>
      </c>
      <c r="O65" s="380" t="str">
        <f t="shared" si="27"/>
        <v/>
      </c>
      <c r="P65" s="380" t="str">
        <f t="shared" si="28"/>
        <v/>
      </c>
      <c r="T65" t="str">
        <f t="shared" si="6"/>
        <v>\I:</v>
      </c>
      <c r="U65" t="str">
        <f ca="1" t="shared" si="7"/>
        <v>7.5-16t LNG truck -- Capital cost</v>
      </c>
      <c r="V65" s="383" t="s">
        <v>84</v>
      </c>
      <c r="W65" s="383" t="s">
        <v>85</v>
      </c>
    </row>
    <row r="66" ht="15.75" customHeight="1" spans="2:23">
      <c r="B66"/>
      <c r="J66" t="str">
        <f t="shared" si="23"/>
        <v>Trd_hdt_lng</v>
      </c>
      <c r="K66" t="str">
        <f t="shared" si="24"/>
        <v>\I:</v>
      </c>
      <c r="L66" t="str">
        <f t="shared" si="3"/>
        <v>\I:</v>
      </c>
      <c r="M66" s="380" t="str">
        <f t="shared" si="25"/>
        <v/>
      </c>
      <c r="N66" s="380" t="str">
        <f t="shared" si="26"/>
        <v/>
      </c>
      <c r="O66" s="380" t="str">
        <f t="shared" si="27"/>
        <v/>
      </c>
      <c r="P66" s="380" t="str">
        <f t="shared" si="28"/>
        <v/>
      </c>
      <c r="T66" t="str">
        <f t="shared" si="6"/>
        <v>\I:</v>
      </c>
      <c r="U66" t="str">
        <f ca="1" t="shared" si="7"/>
        <v>7.5-16t LNG truck -- 00%</v>
      </c>
      <c r="V66" s="383" t="s">
        <v>84</v>
      </c>
      <c r="W66" s="383" t="s">
        <v>85</v>
      </c>
    </row>
    <row r="67" ht="15.75" customHeight="1" spans="2:23">
      <c r="B67" s="389" t="s">
        <v>123</v>
      </c>
      <c r="C67" s="374" t="s">
        <v>115</v>
      </c>
      <c r="D67" s="389"/>
      <c r="E67" s="389"/>
      <c r="F67" s="389"/>
      <c r="J67" t="str">
        <f t="shared" si="23"/>
        <v>\I:Trd_hdt_lpg</v>
      </c>
      <c r="K67" t="str">
        <f t="shared" si="24"/>
        <v>\I:</v>
      </c>
      <c r="L67" t="str">
        <f t="shared" si="3"/>
        <v>\I:</v>
      </c>
      <c r="M67" s="380" t="str">
        <f t="shared" si="25"/>
        <v/>
      </c>
      <c r="N67" s="380" t="str">
        <f t="shared" si="26"/>
        <v/>
      </c>
      <c r="O67" s="380" t="str">
        <f t="shared" si="27"/>
        <v/>
      </c>
      <c r="P67" s="380" t="str">
        <f t="shared" si="28"/>
        <v/>
      </c>
      <c r="T67" t="str">
        <f t="shared" si="6"/>
        <v>\I:</v>
      </c>
      <c r="U67" t="str">
        <f ca="1" t="shared" si="7"/>
        <v>7.5-16t LPG truck -- Reduction of specific energy consumption relative to 2015  LPG vehicle(%)</v>
      </c>
      <c r="V67" s="383" t="s">
        <v>84</v>
      </c>
      <c r="W67" s="383" t="s">
        <v>85</v>
      </c>
    </row>
    <row r="68" spans="2:23">
      <c r="B68" s="389"/>
      <c r="C68" s="374"/>
      <c r="D68" s="389"/>
      <c r="E68" s="389"/>
      <c r="F68" s="389"/>
      <c r="J68" t="str">
        <f t="shared" si="23"/>
        <v>\I:Trd_hdt_lpg</v>
      </c>
      <c r="K68" t="str">
        <f t="shared" si="24"/>
        <v>\I:</v>
      </c>
      <c r="L68" t="str">
        <f t="shared" si="3"/>
        <v>\I:</v>
      </c>
      <c r="M68" s="380" t="str">
        <f t="shared" si="25"/>
        <v/>
      </c>
      <c r="N68" s="380" t="str">
        <f t="shared" si="26"/>
        <v/>
      </c>
      <c r="O68" s="380" t="str">
        <f t="shared" si="27"/>
        <v/>
      </c>
      <c r="P68" s="380" t="str">
        <f t="shared" si="28"/>
        <v/>
      </c>
      <c r="T68" t="str">
        <f t="shared" si="6"/>
        <v>\I:</v>
      </c>
      <c r="U68" t="str">
        <f ca="1" t="shared" si="7"/>
        <v>7.5-16t LPG truck -- 00%</v>
      </c>
      <c r="V68" s="383" t="s">
        <v>84</v>
      </c>
      <c r="W68" s="383" t="s">
        <v>85</v>
      </c>
    </row>
    <row r="69" spans="2:23">
      <c r="B69" s="389"/>
      <c r="C69" s="374"/>
      <c r="D69" s="389"/>
      <c r="E69" s="389"/>
      <c r="F69" s="389"/>
      <c r="J69" t="str">
        <f t="shared" si="23"/>
        <v>\I:Trd_hdt_lpg</v>
      </c>
      <c r="K69" t="str">
        <f t="shared" si="24"/>
        <v>\I:</v>
      </c>
      <c r="L69" t="str">
        <f t="shared" si="3"/>
        <v>\I:</v>
      </c>
      <c r="M69" s="380" t="str">
        <f t="shared" si="25"/>
        <v/>
      </c>
      <c r="N69" s="380" t="str">
        <f t="shared" si="26"/>
        <v/>
      </c>
      <c r="O69" s="380" t="str">
        <f t="shared" si="27"/>
        <v/>
      </c>
      <c r="P69" s="380" t="str">
        <f t="shared" si="28"/>
        <v/>
      </c>
      <c r="T69" t="str">
        <f t="shared" si="6"/>
        <v>\I:</v>
      </c>
      <c r="U69" t="str">
        <f ca="1" t="shared" si="7"/>
        <v>7.5-16t LPG truck -- 00%</v>
      </c>
      <c r="V69" s="383" t="s">
        <v>84</v>
      </c>
      <c r="W69" s="383" t="s">
        <v>85</v>
      </c>
    </row>
    <row r="70" spans="2:23">
      <c r="B70" s="88"/>
      <c r="C70" s="50">
        <v>2020</v>
      </c>
      <c r="D70" s="50">
        <v>2030</v>
      </c>
      <c r="E70" s="50">
        <v>2040</v>
      </c>
      <c r="F70" s="50">
        <v>2050</v>
      </c>
      <c r="J70" t="str">
        <f t="shared" si="23"/>
        <v>\I:Trd_hdt_lpg</v>
      </c>
      <c r="K70" t="str">
        <f t="shared" si="24"/>
        <v>\I:</v>
      </c>
      <c r="L70" t="str">
        <f t="shared" si="3"/>
        <v>\I:</v>
      </c>
      <c r="M70" s="380" t="str">
        <f t="shared" si="25"/>
        <v/>
      </c>
      <c r="N70" s="380" t="str">
        <f t="shared" si="26"/>
        <v/>
      </c>
      <c r="O70" s="380" t="str">
        <f t="shared" si="27"/>
        <v/>
      </c>
      <c r="P70" s="380" t="str">
        <f t="shared" si="28"/>
        <v/>
      </c>
      <c r="T70" t="str">
        <f t="shared" si="6"/>
        <v>\I:</v>
      </c>
      <c r="U70" t="str">
        <f ca="1" t="shared" si="7"/>
        <v>7.5-16t LPG truck -- 00%</v>
      </c>
      <c r="V70" s="383" t="s">
        <v>84</v>
      </c>
      <c r="W70" s="383" t="s">
        <v>85</v>
      </c>
    </row>
    <row r="71" spans="2:23">
      <c r="B71" s="85">
        <v>0.0441258142145298</v>
      </c>
      <c r="C71" s="86">
        <v>87998.5936057443</v>
      </c>
      <c r="D71" s="86">
        <v>87998.5936057443</v>
      </c>
      <c r="E71" s="86">
        <v>87998.5936057443</v>
      </c>
      <c r="F71" s="86">
        <v>87998.5936057443</v>
      </c>
      <c r="I71" s="379">
        <f t="shared" ref="I71:I77" si="29">$I$64*(1+B71)/$I$7</f>
        <v>1.27088517351656</v>
      </c>
      <c r="J71" t="str">
        <f t="shared" si="23"/>
        <v>\I:Trd_hdt_lpg</v>
      </c>
      <c r="K71" t="str">
        <f t="shared" si="24"/>
        <v>\I:Trd_hdt_lpg_04</v>
      </c>
      <c r="L71" t="str">
        <f t="shared" si="3"/>
        <v>\I:Trd_</v>
      </c>
      <c r="M71" s="380">
        <f t="shared" si="25"/>
        <v>87998.5936057443</v>
      </c>
      <c r="N71" s="380">
        <f t="shared" si="26"/>
        <v>87998.5936057443</v>
      </c>
      <c r="O71" s="380">
        <f t="shared" si="27"/>
        <v>87998.5936057443</v>
      </c>
      <c r="P71" s="380">
        <f t="shared" si="28"/>
        <v>87998.5936057443</v>
      </c>
      <c r="T71" t="str">
        <f t="shared" si="6"/>
        <v>\I:Trd_hdt_lpg_04</v>
      </c>
      <c r="U71" t="str">
        <f ca="1" t="shared" si="7"/>
        <v>7.5-16t LPG truck -- 04%</v>
      </c>
      <c r="V71" s="383" t="s">
        <v>84</v>
      </c>
      <c r="W71" s="383" t="s">
        <v>85</v>
      </c>
    </row>
    <row r="72" spans="2:23">
      <c r="B72" s="85">
        <v>0.0941258142145298</v>
      </c>
      <c r="C72" s="86">
        <v>89431.0263664373</v>
      </c>
      <c r="D72" s="86">
        <v>88944.0778270753</v>
      </c>
      <c r="E72" s="86">
        <v>88944.0778270753</v>
      </c>
      <c r="F72" s="86">
        <v>88944.0778270753</v>
      </c>
      <c r="I72" s="379">
        <f t="shared" si="29"/>
        <v>1.33174398747437</v>
      </c>
      <c r="J72" t="str">
        <f t="shared" si="23"/>
        <v>\I:Trd_hdt_lpg</v>
      </c>
      <c r="K72" t="str">
        <f t="shared" si="24"/>
        <v>\I:Trd_hdt_lpg_09</v>
      </c>
      <c r="L72" t="str">
        <f t="shared" si="3"/>
        <v>\I:Trd_</v>
      </c>
      <c r="M72" s="380">
        <f t="shared" si="25"/>
        <v>89431.0263664373</v>
      </c>
      <c r="N72" s="380">
        <f t="shared" si="26"/>
        <v>88944.0778270753</v>
      </c>
      <c r="O72" s="380">
        <f t="shared" si="27"/>
        <v>88944.0778270753</v>
      </c>
      <c r="P72" s="380">
        <f t="shared" si="28"/>
        <v>88944.0778270753</v>
      </c>
      <c r="T72" t="str">
        <f t="shared" si="6"/>
        <v>\I:Trd_hdt_lpg_09</v>
      </c>
      <c r="U72" t="str">
        <f ca="1" t="shared" si="7"/>
        <v>7.5-16t LPG truck -- 09%</v>
      </c>
      <c r="V72" s="383" t="s">
        <v>84</v>
      </c>
      <c r="W72" s="383" t="s">
        <v>85</v>
      </c>
    </row>
    <row r="73" spans="2:23">
      <c r="B73" s="85">
        <v>0.14412581421453</v>
      </c>
      <c r="C73" s="86">
        <v>90730.0026080037</v>
      </c>
      <c r="D73" s="86">
        <v>90336.4467266314</v>
      </c>
      <c r="E73" s="86">
        <v>90336.4467266314</v>
      </c>
      <c r="F73" s="86">
        <v>90336.4467266314</v>
      </c>
      <c r="I73" s="379">
        <f t="shared" si="29"/>
        <v>1.39260280143217</v>
      </c>
      <c r="J73" t="str">
        <f t="shared" si="23"/>
        <v>\I:Trd_hdt_lpg</v>
      </c>
      <c r="K73" t="str">
        <f t="shared" si="24"/>
        <v>\I:Trd_hdt_lpg_14</v>
      </c>
      <c r="L73" t="str">
        <f t="shared" si="3"/>
        <v>\I:Trd_</v>
      </c>
      <c r="M73" s="380">
        <f t="shared" si="25"/>
        <v>90730.0026080037</v>
      </c>
      <c r="N73" s="380">
        <f t="shared" si="26"/>
        <v>90336.4467266314</v>
      </c>
      <c r="O73" s="380">
        <f t="shared" si="27"/>
        <v>90336.4467266314</v>
      </c>
      <c r="P73" s="380">
        <f t="shared" si="28"/>
        <v>90336.4467266314</v>
      </c>
      <c r="T73" t="str">
        <f t="shared" si="6"/>
        <v>\I:Trd_hdt_lpg_14</v>
      </c>
      <c r="U73" t="str">
        <f ca="1" t="shared" si="7"/>
        <v>7.5-16t LPG truck -- 14%</v>
      </c>
      <c r="V73" s="383" t="s">
        <v>84</v>
      </c>
      <c r="W73" s="383" t="s">
        <v>85</v>
      </c>
    </row>
    <row r="74" spans="2:23">
      <c r="B74" s="85">
        <v>0.19412581421453</v>
      </c>
      <c r="C74" s="86">
        <v>96261.8697309267</v>
      </c>
      <c r="D74" s="86">
        <v>92386.9210853906</v>
      </c>
      <c r="E74" s="86">
        <v>92386.9210853906</v>
      </c>
      <c r="F74" s="86">
        <v>92386.9210853906</v>
      </c>
      <c r="I74" s="379">
        <f t="shared" si="29"/>
        <v>1.45346161538998</v>
      </c>
      <c r="J74" t="str">
        <f t="shared" si="23"/>
        <v>\I:Trd_hdt_lpg</v>
      </c>
      <c r="K74" t="str">
        <f t="shared" si="24"/>
        <v>\I:Trd_hdt_lpg_19</v>
      </c>
      <c r="L74" t="str">
        <f t="shared" si="3"/>
        <v>\I:Trd_</v>
      </c>
      <c r="M74" s="380">
        <f t="shared" si="25"/>
        <v>96261.8697309267</v>
      </c>
      <c r="N74" s="380">
        <f t="shared" si="26"/>
        <v>92386.9210853906</v>
      </c>
      <c r="O74" s="380">
        <f t="shared" si="27"/>
        <v>92386.9210853906</v>
      </c>
      <c r="P74" s="380">
        <f t="shared" si="28"/>
        <v>92386.9210853906</v>
      </c>
      <c r="T74" t="str">
        <f t="shared" si="6"/>
        <v>\I:Trd_hdt_lpg_19</v>
      </c>
      <c r="U74" t="str">
        <f ca="1" t="shared" si="7"/>
        <v>7.5-16t LPG truck -- 19%</v>
      </c>
      <c r="V74" s="383" t="s">
        <v>84</v>
      </c>
      <c r="W74" s="383" t="s">
        <v>85</v>
      </c>
    </row>
    <row r="75" spans="2:23">
      <c r="B75" s="85">
        <v>0.24412581421453</v>
      </c>
      <c r="C75" s="86">
        <v>100569.96458544</v>
      </c>
      <c r="D75" s="86">
        <v>95406.5555351904</v>
      </c>
      <c r="E75" s="86">
        <v>95406.5555351904</v>
      </c>
      <c r="F75" s="86">
        <v>95406.5555351904</v>
      </c>
      <c r="I75" s="379">
        <f t="shared" si="29"/>
        <v>1.51432042934779</v>
      </c>
      <c r="J75" t="str">
        <f t="shared" si="23"/>
        <v>\I:Trd_hdt_lpg</v>
      </c>
      <c r="K75" t="str">
        <f t="shared" si="24"/>
        <v>\I:Trd_hdt_lpg_24</v>
      </c>
      <c r="L75" t="str">
        <f t="shared" si="3"/>
        <v>\I:Trd_</v>
      </c>
      <c r="M75" s="380">
        <f t="shared" si="25"/>
        <v>100569.96458544</v>
      </c>
      <c r="N75" s="380">
        <f t="shared" si="26"/>
        <v>95406.5555351904</v>
      </c>
      <c r="O75" s="380">
        <f t="shared" si="27"/>
        <v>95406.5555351904</v>
      </c>
      <c r="P75" s="380">
        <f t="shared" si="28"/>
        <v>95406.5555351904</v>
      </c>
      <c r="T75" t="str">
        <f t="shared" si="6"/>
        <v>\I:Trd_hdt_lpg_24</v>
      </c>
      <c r="U75" t="str">
        <f ca="1" t="shared" si="7"/>
        <v>7.5-16t LPG truck -- 24%</v>
      </c>
      <c r="V75" s="383" t="s">
        <v>84</v>
      </c>
      <c r="W75" s="383" t="s">
        <v>85</v>
      </c>
    </row>
    <row r="76" spans="2:23">
      <c r="B76" s="85">
        <v>0.26412581421453</v>
      </c>
      <c r="C76" s="86">
        <v>123471.091005636</v>
      </c>
      <c r="D76" s="86">
        <v>99967.4501026767</v>
      </c>
      <c r="E76" s="86">
        <v>99853.4251931631</v>
      </c>
      <c r="F76" s="86">
        <v>99853.4251931631</v>
      </c>
      <c r="I76" s="379">
        <f t="shared" si="29"/>
        <v>1.53866395493092</v>
      </c>
      <c r="J76" t="str">
        <f t="shared" si="23"/>
        <v>\I:Trd_hdt_lpg</v>
      </c>
      <c r="K76" t="str">
        <f t="shared" si="24"/>
        <v>\I:Trd_hdt_lpg_26</v>
      </c>
      <c r="L76" t="str">
        <f t="shared" si="3"/>
        <v>\I:Trd_</v>
      </c>
      <c r="M76" s="380">
        <f t="shared" si="25"/>
        <v>123471.091005636</v>
      </c>
      <c r="N76" s="380">
        <f t="shared" si="26"/>
        <v>99967.4501026767</v>
      </c>
      <c r="O76" s="380">
        <f t="shared" si="27"/>
        <v>99853.4251931631</v>
      </c>
      <c r="P76" s="380">
        <f t="shared" si="28"/>
        <v>99853.4251931631</v>
      </c>
      <c r="T76" t="str">
        <f t="shared" si="6"/>
        <v>\I:Trd_hdt_lpg_26</v>
      </c>
      <c r="U76" t="str">
        <f ca="1" t="shared" si="7"/>
        <v>7.5-16t LPG truck -- 26%</v>
      </c>
      <c r="V76" s="383" t="s">
        <v>84</v>
      </c>
      <c r="W76" s="383" t="s">
        <v>85</v>
      </c>
    </row>
    <row r="77" spans="2:23">
      <c r="B77" s="85">
        <v>0.29412581421453</v>
      </c>
      <c r="C77" s="86">
        <v>197846.070058255</v>
      </c>
      <c r="D77" s="86">
        <v>113908.292050733</v>
      </c>
      <c r="E77" s="86">
        <v>106402.115136845</v>
      </c>
      <c r="F77" s="86">
        <v>106402.115136845</v>
      </c>
      <c r="I77" s="379">
        <f t="shared" si="29"/>
        <v>1.5751792433056</v>
      </c>
      <c r="J77" t="str">
        <f t="shared" si="23"/>
        <v>\I:Trd_hdt_lpg</v>
      </c>
      <c r="K77" t="str">
        <f t="shared" si="24"/>
        <v>\I:Trd_hdt_lpg_29</v>
      </c>
      <c r="L77" t="str">
        <f t="shared" ref="L77:L111" si="30">LEFT(K77,7)</f>
        <v>\I:Trd_</v>
      </c>
      <c r="M77" s="380">
        <f t="shared" si="25"/>
        <v>197846.070058255</v>
      </c>
      <c r="N77" s="380">
        <f t="shared" si="26"/>
        <v>113908.292050733</v>
      </c>
      <c r="O77" s="380">
        <f t="shared" si="27"/>
        <v>106402.115136845</v>
      </c>
      <c r="P77" s="380">
        <f t="shared" si="28"/>
        <v>106402.115136845</v>
      </c>
      <c r="T77" t="str">
        <f t="shared" si="6"/>
        <v>\I:Trd_hdt_lpg_29</v>
      </c>
      <c r="U77" t="str">
        <f ca="1" t="shared" si="7"/>
        <v>7.5-16t LPG truck -- 29%</v>
      </c>
      <c r="V77" s="383" t="s">
        <v>84</v>
      </c>
      <c r="W77" s="383" t="s">
        <v>85</v>
      </c>
    </row>
    <row r="78" spans="10:23">
      <c r="J78" t="str">
        <f t="shared" si="23"/>
        <v>\I:Trd_hdt_lpg</v>
      </c>
      <c r="K78" t="str">
        <f t="shared" si="24"/>
        <v>\I:</v>
      </c>
      <c r="L78" t="str">
        <f t="shared" si="30"/>
        <v>\I:</v>
      </c>
      <c r="M78" s="380" t="str">
        <f t="shared" si="25"/>
        <v/>
      </c>
      <c r="N78" s="380" t="str">
        <f t="shared" si="26"/>
        <v/>
      </c>
      <c r="O78" s="380" t="str">
        <f t="shared" si="27"/>
        <v/>
      </c>
      <c r="P78" s="380" t="str">
        <f t="shared" si="28"/>
        <v/>
      </c>
      <c r="T78" t="str">
        <f t="shared" si="6"/>
        <v>\I:</v>
      </c>
      <c r="U78" t="str">
        <f ca="1" t="shared" si="7"/>
        <v>7.5-16t LPG truck -- 00%</v>
      </c>
      <c r="V78" s="383" t="s">
        <v>84</v>
      </c>
      <c r="W78" s="383" t="s">
        <v>85</v>
      </c>
    </row>
    <row r="79" spans="10:23">
      <c r="J79" t="str">
        <f t="shared" si="23"/>
        <v>\I:Trd_hdt_lpg</v>
      </c>
      <c r="K79" t="str">
        <f t="shared" si="24"/>
        <v>\I:</v>
      </c>
      <c r="L79" t="str">
        <f t="shared" si="30"/>
        <v>\I:</v>
      </c>
      <c r="M79" s="380" t="str">
        <f t="shared" si="25"/>
        <v/>
      </c>
      <c r="N79" s="380" t="str">
        <f t="shared" si="26"/>
        <v/>
      </c>
      <c r="O79" s="380" t="str">
        <f t="shared" si="27"/>
        <v/>
      </c>
      <c r="P79" s="380" t="str">
        <f t="shared" si="28"/>
        <v/>
      </c>
      <c r="T79" t="str">
        <f t="shared" ref="T79:T111" si="31">K79</f>
        <v>\I:</v>
      </c>
      <c r="U79" t="str">
        <f ca="1" t="shared" ref="U79:U103" si="32">OFFSET($S$1,MATCH(J79,$S$1:$S$11,0)-1,-1)&amp;" -- "&amp;TEXT(B79,"00%")</f>
        <v>7.5-16t LPG truck -- 00%</v>
      </c>
      <c r="V79" s="383" t="s">
        <v>84</v>
      </c>
      <c r="W79" s="383" t="s">
        <v>85</v>
      </c>
    </row>
    <row r="80" spans="10:23">
      <c r="J80" t="str">
        <f t="shared" si="23"/>
        <v>\I:Trd_hdt_lpg</v>
      </c>
      <c r="K80" t="str">
        <f t="shared" si="24"/>
        <v>\I:</v>
      </c>
      <c r="L80" t="str">
        <f t="shared" si="30"/>
        <v>\I:</v>
      </c>
      <c r="M80" s="380" t="str">
        <f t="shared" si="25"/>
        <v/>
      </c>
      <c r="N80" s="380" t="str">
        <f t="shared" si="26"/>
        <v/>
      </c>
      <c r="O80" s="380" t="str">
        <f t="shared" si="27"/>
        <v/>
      </c>
      <c r="P80" s="380" t="str">
        <f t="shared" si="28"/>
        <v/>
      </c>
      <c r="T80" t="str">
        <f t="shared" si="31"/>
        <v>\I:</v>
      </c>
      <c r="U80" t="str">
        <f ca="1" t="shared" si="32"/>
        <v>7.5-16t LPG truck -- 00%</v>
      </c>
      <c r="V80" s="383" t="s">
        <v>84</v>
      </c>
      <c r="W80" s="383" t="s">
        <v>85</v>
      </c>
    </row>
    <row r="81" spans="2:23">
      <c r="B81" s="372">
        <v>2020</v>
      </c>
      <c r="C81" s="372"/>
      <c r="D81" s="372"/>
      <c r="J81" t="str">
        <f t="shared" si="23"/>
        <v>\I:Trd_hdt_lpg</v>
      </c>
      <c r="K81" t="str">
        <f t="shared" si="24"/>
        <v>\I:</v>
      </c>
      <c r="L81" t="str">
        <f t="shared" si="30"/>
        <v>\I:</v>
      </c>
      <c r="M81" s="380" t="str">
        <f t="shared" si="25"/>
        <v/>
      </c>
      <c r="N81" s="380" t="str">
        <f t="shared" si="26"/>
        <v/>
      </c>
      <c r="O81" s="380" t="str">
        <f t="shared" si="27"/>
        <v/>
      </c>
      <c r="P81" s="380" t="str">
        <f t="shared" si="28"/>
        <v/>
      </c>
      <c r="T81" t="str">
        <f t="shared" si="31"/>
        <v>\I:</v>
      </c>
      <c r="U81" t="str">
        <f ca="1" t="shared" si="32"/>
        <v>7.5-16t LPG truck -- 202000%</v>
      </c>
      <c r="V81" s="383" t="s">
        <v>84</v>
      </c>
      <c r="W81" s="383" t="s">
        <v>85</v>
      </c>
    </row>
    <row r="82" spans="2:23">
      <c r="B82" s="45" t="s">
        <v>124</v>
      </c>
      <c r="C82" s="46" t="s">
        <v>26</v>
      </c>
      <c r="D82" s="74">
        <v>0.74</v>
      </c>
      <c r="G82" s="77">
        <f>D82/3.6/100*10^9/10^6</f>
        <v>2.05555555555556</v>
      </c>
      <c r="H82" s="77"/>
      <c r="I82" s="412">
        <f>1/G82-0.15</f>
        <v>0.336486486486486</v>
      </c>
      <c r="J82" t="str">
        <f t="shared" si="23"/>
        <v>\I:Trd_hdt_lpg</v>
      </c>
      <c r="K82" t="str">
        <f t="shared" si="24"/>
        <v>\I:</v>
      </c>
      <c r="L82" t="str">
        <f t="shared" si="30"/>
        <v>\I:</v>
      </c>
      <c r="M82" s="380" t="str">
        <f t="shared" si="25"/>
        <v/>
      </c>
      <c r="N82" s="380" t="str">
        <f t="shared" si="26"/>
        <v/>
      </c>
      <c r="O82" s="380" t="str">
        <f t="shared" si="27"/>
        <v/>
      </c>
      <c r="P82" s="380" t="str">
        <f t="shared" si="28"/>
        <v/>
      </c>
      <c r="T82" t="str">
        <f t="shared" si="31"/>
        <v>\I:</v>
      </c>
      <c r="U82" t="str">
        <f ca="1" t="shared" si="32"/>
        <v>7.5-16t LPG truck -- Energy consumption of 7.5-16t battery electric truck</v>
      </c>
      <c r="V82" s="383" t="s">
        <v>84</v>
      </c>
      <c r="W82" s="383" t="s">
        <v>85</v>
      </c>
    </row>
    <row r="83" spans="9:23">
      <c r="I83" s="385" t="s">
        <v>70</v>
      </c>
      <c r="J83" t="str">
        <f t="shared" si="23"/>
        <v>\I:Trd_hdt_lpg</v>
      </c>
      <c r="K83" t="str">
        <f t="shared" si="24"/>
        <v>\I:</v>
      </c>
      <c r="L83" t="str">
        <f t="shared" si="30"/>
        <v>\I:</v>
      </c>
      <c r="M83" s="380" t="str">
        <f t="shared" si="25"/>
        <v/>
      </c>
      <c r="N83" s="380" t="str">
        <f t="shared" si="26"/>
        <v/>
      </c>
      <c r="O83" s="380" t="str">
        <f t="shared" si="27"/>
        <v/>
      </c>
      <c r="P83" s="380" t="str">
        <f t="shared" si="28"/>
        <v/>
      </c>
      <c r="T83" t="str">
        <f t="shared" si="31"/>
        <v>\I:</v>
      </c>
      <c r="U83" t="str">
        <f ca="1" t="shared" si="32"/>
        <v>7.5-16t LPG truck -- 00%</v>
      </c>
      <c r="V83" s="383" t="s">
        <v>84</v>
      </c>
      <c r="W83" s="383" t="s">
        <v>85</v>
      </c>
    </row>
    <row r="84" spans="10:23">
      <c r="J84" t="str">
        <f t="shared" si="23"/>
        <v>\I:Trd_hdt_lpg</v>
      </c>
      <c r="K84" t="str">
        <f t="shared" si="24"/>
        <v>\I:</v>
      </c>
      <c r="L84" t="str">
        <f t="shared" si="30"/>
        <v>\I:</v>
      </c>
      <c r="M84" s="380" t="str">
        <f t="shared" si="25"/>
        <v/>
      </c>
      <c r="N84" s="380" t="str">
        <f t="shared" si="26"/>
        <v/>
      </c>
      <c r="O84" s="380" t="str">
        <f t="shared" si="27"/>
        <v/>
      </c>
      <c r="P84" s="380" t="str">
        <f t="shared" si="28"/>
        <v/>
      </c>
      <c r="T84" t="str">
        <f t="shared" si="31"/>
        <v>\I:</v>
      </c>
      <c r="U84" t="str">
        <f ca="1" t="shared" si="32"/>
        <v>7.5-16t LPG truck -- 00%</v>
      </c>
      <c r="V84" s="383" t="s">
        <v>84</v>
      </c>
      <c r="W84" s="383" t="s">
        <v>85</v>
      </c>
    </row>
    <row r="85" ht="15" customHeight="1" spans="2:23">
      <c r="B85" s="389" t="s">
        <v>27</v>
      </c>
      <c r="C85" s="374" t="s">
        <v>117</v>
      </c>
      <c r="D85" s="389"/>
      <c r="E85" s="389"/>
      <c r="F85" s="389"/>
      <c r="J85" t="str">
        <f t="shared" si="23"/>
        <v>Trd_hdt_elc</v>
      </c>
      <c r="K85" t="str">
        <f t="shared" si="24"/>
        <v>\I:</v>
      </c>
      <c r="L85" t="str">
        <f t="shared" si="30"/>
        <v>\I:</v>
      </c>
      <c r="M85" s="380" t="str">
        <f t="shared" si="25"/>
        <v/>
      </c>
      <c r="N85" s="380" t="str">
        <f t="shared" si="26"/>
        <v/>
      </c>
      <c r="O85" s="380" t="str">
        <f t="shared" si="27"/>
        <v/>
      </c>
      <c r="P85" s="380" t="str">
        <f t="shared" si="28"/>
        <v/>
      </c>
      <c r="T85" t="str">
        <f t="shared" si="31"/>
        <v>\I:</v>
      </c>
      <c r="U85" t="str">
        <f ca="1" t="shared" si="32"/>
        <v>7.5-16t battery electric truck -- Electric range (km)</v>
      </c>
      <c r="V85" s="383" t="s">
        <v>84</v>
      </c>
      <c r="W85" s="383" t="s">
        <v>85</v>
      </c>
    </row>
    <row r="86" spans="2:23">
      <c r="B86" s="389"/>
      <c r="C86" s="374"/>
      <c r="D86" s="389"/>
      <c r="E86" s="389"/>
      <c r="F86" s="389"/>
      <c r="J86" t="str">
        <f t="shared" si="23"/>
        <v>Trd_hdt_elc</v>
      </c>
      <c r="K86" t="str">
        <f t="shared" si="24"/>
        <v>\I:</v>
      </c>
      <c r="L86" t="str">
        <f t="shared" si="30"/>
        <v>\I:</v>
      </c>
      <c r="M86" s="380" t="str">
        <f t="shared" si="25"/>
        <v/>
      </c>
      <c r="N86" s="380" t="str">
        <f t="shared" si="26"/>
        <v/>
      </c>
      <c r="O86" s="380" t="str">
        <f t="shared" si="27"/>
        <v/>
      </c>
      <c r="P86" s="380" t="str">
        <f t="shared" si="28"/>
        <v/>
      </c>
      <c r="T86" t="str">
        <f t="shared" si="31"/>
        <v>\I:</v>
      </c>
      <c r="U86" t="str">
        <f ca="1" t="shared" si="32"/>
        <v>7.5-16t battery electric truck -- 00%</v>
      </c>
      <c r="V86" s="383" t="s">
        <v>84</v>
      </c>
      <c r="W86" s="383" t="s">
        <v>85</v>
      </c>
    </row>
    <row r="87" spans="2:23">
      <c r="B87" s="389"/>
      <c r="C87" s="374"/>
      <c r="D87" s="389"/>
      <c r="E87" s="389"/>
      <c r="F87" s="389"/>
      <c r="J87" t="str">
        <f t="shared" si="23"/>
        <v>Trd_hdt_elc</v>
      </c>
      <c r="K87" t="str">
        <f t="shared" si="24"/>
        <v>\I:</v>
      </c>
      <c r="L87" t="str">
        <f t="shared" si="30"/>
        <v>\I:</v>
      </c>
      <c r="M87" s="380" t="str">
        <f t="shared" si="25"/>
        <v/>
      </c>
      <c r="N87" s="380" t="str">
        <f t="shared" si="26"/>
        <v/>
      </c>
      <c r="O87" s="380" t="str">
        <f t="shared" si="27"/>
        <v/>
      </c>
      <c r="P87" s="380" t="str">
        <f t="shared" si="28"/>
        <v/>
      </c>
      <c r="T87" t="str">
        <f t="shared" si="31"/>
        <v>\I:</v>
      </c>
      <c r="U87" t="str">
        <f ca="1" t="shared" si="32"/>
        <v>7.5-16t battery electric truck -- 00%</v>
      </c>
      <c r="V87" s="383" t="s">
        <v>84</v>
      </c>
      <c r="W87" s="383" t="s">
        <v>85</v>
      </c>
    </row>
    <row r="88" spans="2:23">
      <c r="B88" s="88"/>
      <c r="C88" s="50">
        <v>2020</v>
      </c>
      <c r="D88" s="50">
        <v>2030</v>
      </c>
      <c r="E88" s="50">
        <v>2040</v>
      </c>
      <c r="F88" s="50">
        <v>2050</v>
      </c>
      <c r="J88" t="str">
        <f t="shared" si="23"/>
        <v>Trd_hdt_elc</v>
      </c>
      <c r="K88" t="str">
        <f t="shared" si="24"/>
        <v>\I:</v>
      </c>
      <c r="L88" t="str">
        <f t="shared" si="30"/>
        <v>\I:</v>
      </c>
      <c r="M88" s="380" t="str">
        <f t="shared" si="25"/>
        <v/>
      </c>
      <c r="N88" s="380" t="str">
        <f t="shared" si="26"/>
        <v/>
      </c>
      <c r="O88" s="380" t="str">
        <f t="shared" si="27"/>
        <v/>
      </c>
      <c r="P88" s="380" t="str">
        <f t="shared" si="28"/>
        <v/>
      </c>
      <c r="T88" t="str">
        <f t="shared" si="31"/>
        <v>\I:</v>
      </c>
      <c r="U88" t="str">
        <f ca="1" t="shared" si="32"/>
        <v>7.5-16t battery electric truck -- 00%</v>
      </c>
      <c r="V88" s="383" t="s">
        <v>84</v>
      </c>
      <c r="W88" s="383" t="s">
        <v>85</v>
      </c>
    </row>
    <row r="89" spans="2:23">
      <c r="B89" s="66">
        <v>150</v>
      </c>
      <c r="C89" s="86">
        <v>144373.905423467</v>
      </c>
      <c r="D89" s="86">
        <v>95780.7302979094</v>
      </c>
      <c r="E89" s="86">
        <v>90629.9070208589</v>
      </c>
      <c r="F89" s="86">
        <v>88752.5161176525</v>
      </c>
      <c r="I89" s="386">
        <f t="shared" ref="I89:I96" si="33">$I$82/$I$7</f>
        <v>2.41441039299943</v>
      </c>
      <c r="J89" t="str">
        <f t="shared" si="23"/>
        <v>Trd_hdt_elc</v>
      </c>
      <c r="K89" t="str">
        <f>IFERROR(IF(VALUE(C89)&gt;2020,J89&amp;"_"&amp;TEXT(B89,"00"),"\I:"),"\I:")</f>
        <v>Trd_hdt_elc_150</v>
      </c>
      <c r="L89" t="str">
        <f t="shared" si="30"/>
        <v>Trd_hdt</v>
      </c>
      <c r="M89" s="380">
        <f t="shared" si="25"/>
        <v>144373.905423467</v>
      </c>
      <c r="N89" s="380">
        <f t="shared" si="26"/>
        <v>95780.7302979094</v>
      </c>
      <c r="O89" s="380">
        <f t="shared" si="27"/>
        <v>90629.9070208589</v>
      </c>
      <c r="P89" s="380">
        <f t="shared" si="28"/>
        <v>88752.5161176525</v>
      </c>
      <c r="Q89" s="43">
        <v>0.01</v>
      </c>
      <c r="T89" t="str">
        <f t="shared" si="31"/>
        <v>Trd_hdt_elc_150</v>
      </c>
      <c r="U89" t="str">
        <f ca="1">OFFSET($S$1,MATCH(J89,$S$1:$S$11,0)-1,-1)&amp;" -- "&amp;TEXT(B89,"000")</f>
        <v>7.5-16t battery electric truck -- 150</v>
      </c>
      <c r="V89" s="383" t="s">
        <v>84</v>
      </c>
      <c r="W89" s="383" t="s">
        <v>85</v>
      </c>
    </row>
    <row r="90" spans="2:23">
      <c r="B90" s="66">
        <v>178.571428571429</v>
      </c>
      <c r="C90" s="86">
        <v>147802.362213157</v>
      </c>
      <c r="D90" s="86">
        <v>97793.4993710964</v>
      </c>
      <c r="E90" s="86">
        <v>92046.7492662401</v>
      </c>
      <c r="F90" s="86">
        <v>89776.9226508232</v>
      </c>
      <c r="I90" s="386">
        <f t="shared" si="33"/>
        <v>2.41441039299943</v>
      </c>
      <c r="J90" t="str">
        <f t="shared" si="23"/>
        <v>Trd_hdt_elc</v>
      </c>
      <c r="K90" t="str">
        <f t="shared" ref="K90:K96" si="34">IFERROR(IF(VALUE(C90)&gt;2020,J90&amp;"_"&amp;TEXT(B90,"00"),"\I:"),"\I:")</f>
        <v>Trd_hdt_elc_179</v>
      </c>
      <c r="L90" t="str">
        <f t="shared" si="30"/>
        <v>Trd_hdt</v>
      </c>
      <c r="M90" s="380">
        <f t="shared" si="25"/>
        <v>147802.362213157</v>
      </c>
      <c r="N90" s="380">
        <f t="shared" si="26"/>
        <v>97793.4993710964</v>
      </c>
      <c r="O90" s="380">
        <f t="shared" si="27"/>
        <v>92046.7492662401</v>
      </c>
      <c r="P90" s="380">
        <f t="shared" si="28"/>
        <v>89776.9226508232</v>
      </c>
      <c r="Q90" s="43">
        <v>0.01</v>
      </c>
      <c r="T90" t="str">
        <f t="shared" si="31"/>
        <v>Trd_hdt_elc_179</v>
      </c>
      <c r="U90" t="str">
        <f ca="1" t="shared" ref="U90:U96" si="35">OFFSET($S$1,MATCH(J90,$S$1:$S$11,0)-1,-1)&amp;" -- "&amp;TEXT(B90,"000")</f>
        <v>7.5-16t battery electric truck -- 179</v>
      </c>
      <c r="V90" s="383" t="s">
        <v>84</v>
      </c>
      <c r="W90" s="383" t="s">
        <v>85</v>
      </c>
    </row>
    <row r="91" spans="2:23">
      <c r="B91" s="66">
        <v>207.142857142857</v>
      </c>
      <c r="C91" s="86">
        <v>149288.810561655</v>
      </c>
      <c r="D91" s="86">
        <v>100585.833714969</v>
      </c>
      <c r="E91" s="86">
        <v>93658.4385500626</v>
      </c>
      <c r="F91" s="86">
        <v>90964.2849465796</v>
      </c>
      <c r="I91" s="386">
        <f t="shared" si="33"/>
        <v>2.41441039299943</v>
      </c>
      <c r="J91" t="str">
        <f t="shared" si="23"/>
        <v>Trd_hdt_elc</v>
      </c>
      <c r="K91" t="str">
        <f t="shared" si="34"/>
        <v>Trd_hdt_elc_207</v>
      </c>
      <c r="L91" t="str">
        <f t="shared" si="30"/>
        <v>Trd_hdt</v>
      </c>
      <c r="M91" s="380">
        <f t="shared" si="25"/>
        <v>149288.810561655</v>
      </c>
      <c r="N91" s="380">
        <f t="shared" si="26"/>
        <v>100585.833714969</v>
      </c>
      <c r="O91" s="380">
        <f t="shared" si="27"/>
        <v>93658.4385500626</v>
      </c>
      <c r="P91" s="380">
        <f t="shared" si="28"/>
        <v>90964.2849465796</v>
      </c>
      <c r="Q91" s="43">
        <v>0.01</v>
      </c>
      <c r="T91" t="str">
        <f t="shared" si="31"/>
        <v>Trd_hdt_elc_207</v>
      </c>
      <c r="U91" t="str">
        <f ca="1" t="shared" si="35"/>
        <v>7.5-16t battery electric truck -- 207</v>
      </c>
      <c r="V91" s="383" t="s">
        <v>84</v>
      </c>
      <c r="W91" s="383" t="s">
        <v>85</v>
      </c>
    </row>
    <row r="92" spans="2:23">
      <c r="B92" s="66">
        <v>235.714285714286</v>
      </c>
      <c r="C92" s="86">
        <v>152494.108762408</v>
      </c>
      <c r="D92" s="86">
        <v>102554.343444586</v>
      </c>
      <c r="E92" s="86">
        <v>94660.0138665998</v>
      </c>
      <c r="F92" s="86">
        <v>92014.5204906916</v>
      </c>
      <c r="I92" s="386">
        <f t="shared" si="33"/>
        <v>2.41441039299943</v>
      </c>
      <c r="J92" t="str">
        <f t="shared" si="23"/>
        <v>Trd_hdt_elc</v>
      </c>
      <c r="K92" t="str">
        <f t="shared" si="34"/>
        <v>Trd_hdt_elc_236</v>
      </c>
      <c r="L92" t="str">
        <f t="shared" si="30"/>
        <v>Trd_hdt</v>
      </c>
      <c r="M92" s="380">
        <f t="shared" si="25"/>
        <v>152494.108762408</v>
      </c>
      <c r="N92" s="380">
        <f t="shared" si="26"/>
        <v>102554.343444586</v>
      </c>
      <c r="O92" s="380">
        <f t="shared" si="27"/>
        <v>94660.0138665998</v>
      </c>
      <c r="P92" s="380">
        <f t="shared" si="28"/>
        <v>92014.5204906916</v>
      </c>
      <c r="Q92" s="43">
        <v>0.01</v>
      </c>
      <c r="T92" t="str">
        <f t="shared" si="31"/>
        <v>Trd_hdt_elc_236</v>
      </c>
      <c r="U92" t="str">
        <f ca="1" t="shared" si="35"/>
        <v>7.5-16t battery electric truck -- 236</v>
      </c>
      <c r="V92" s="383" t="s">
        <v>84</v>
      </c>
      <c r="W92" s="383" t="s">
        <v>85</v>
      </c>
    </row>
    <row r="93" spans="2:23">
      <c r="B93" s="66">
        <v>264.285714285714</v>
      </c>
      <c r="C93" s="86">
        <v>155632.353081546</v>
      </c>
      <c r="D93" s="86">
        <v>104580.228913704</v>
      </c>
      <c r="E93" s="86">
        <v>95569.8225134195</v>
      </c>
      <c r="F93" s="86">
        <v>92930.9045082581</v>
      </c>
      <c r="I93" s="386">
        <f t="shared" si="33"/>
        <v>2.41441039299943</v>
      </c>
      <c r="J93" t="str">
        <f t="shared" si="23"/>
        <v>Trd_hdt_elc</v>
      </c>
      <c r="K93" t="str">
        <f t="shared" si="34"/>
        <v>Trd_hdt_elc_264</v>
      </c>
      <c r="L93" t="str">
        <f t="shared" si="30"/>
        <v>Trd_hdt</v>
      </c>
      <c r="M93" s="380">
        <f t="shared" si="25"/>
        <v>155632.353081546</v>
      </c>
      <c r="N93" s="380">
        <f t="shared" si="26"/>
        <v>104580.228913704</v>
      </c>
      <c r="O93" s="380">
        <f t="shared" si="27"/>
        <v>95569.8225134195</v>
      </c>
      <c r="P93" s="380">
        <f t="shared" si="28"/>
        <v>92930.9045082581</v>
      </c>
      <c r="Q93" s="43">
        <v>0.05</v>
      </c>
      <c r="T93" t="str">
        <f t="shared" si="31"/>
        <v>Trd_hdt_elc_264</v>
      </c>
      <c r="U93" t="str">
        <f ca="1" t="shared" si="35"/>
        <v>7.5-16t battery electric truck -- 264</v>
      </c>
      <c r="V93" s="383" t="s">
        <v>84</v>
      </c>
      <c r="W93" s="383" t="s">
        <v>85</v>
      </c>
    </row>
    <row r="94" spans="2:23">
      <c r="B94" s="66">
        <v>350</v>
      </c>
      <c r="C94" s="86">
        <v>159704.765843061</v>
      </c>
      <c r="D94" s="86">
        <v>107786.20577947</v>
      </c>
      <c r="E94" s="86">
        <v>98254.3480327816</v>
      </c>
      <c r="F94" s="86">
        <v>95331.8317326809</v>
      </c>
      <c r="I94" s="386">
        <f t="shared" si="33"/>
        <v>2.41441039299943</v>
      </c>
      <c r="J94" t="str">
        <f t="shared" si="23"/>
        <v>Trd_hdt_elc</v>
      </c>
      <c r="K94" t="str">
        <f t="shared" si="34"/>
        <v>Trd_hdt_elc_350</v>
      </c>
      <c r="L94" t="str">
        <f t="shared" si="30"/>
        <v>Trd_hdt</v>
      </c>
      <c r="M94" s="380">
        <f t="shared" si="25"/>
        <v>159704.765843061</v>
      </c>
      <c r="N94" s="380">
        <f t="shared" si="26"/>
        <v>107786.20577947</v>
      </c>
      <c r="O94" s="380">
        <f t="shared" si="27"/>
        <v>98254.3480327816</v>
      </c>
      <c r="P94" s="380">
        <f t="shared" si="28"/>
        <v>95331.8317326809</v>
      </c>
      <c r="Q94" s="43">
        <v>0.1</v>
      </c>
      <c r="T94" t="str">
        <f t="shared" si="31"/>
        <v>Trd_hdt_elc_350</v>
      </c>
      <c r="U94" t="str">
        <f ca="1" t="shared" si="35"/>
        <v>7.5-16t battery electric truck -- 350</v>
      </c>
      <c r="V94" s="383" t="s">
        <v>84</v>
      </c>
      <c r="W94" s="383" t="s">
        <v>85</v>
      </c>
    </row>
    <row r="95" spans="2:23">
      <c r="B95" s="66">
        <v>500</v>
      </c>
      <c r="C95" s="86">
        <v>179612.758472383</v>
      </c>
      <c r="D95" s="86">
        <v>119565.16497781</v>
      </c>
      <c r="E95" s="86">
        <v>104086.944839593</v>
      </c>
      <c r="F95" s="86">
        <v>100030.341013554</v>
      </c>
      <c r="I95" s="386">
        <f t="shared" si="33"/>
        <v>2.41441039299943</v>
      </c>
      <c r="J95" t="str">
        <f t="shared" si="23"/>
        <v>Trd_hdt_elc</v>
      </c>
      <c r="K95" t="str">
        <f t="shared" si="34"/>
        <v>Trd_hdt_elc_500</v>
      </c>
      <c r="L95" t="str">
        <f t="shared" si="30"/>
        <v>Trd_hdt</v>
      </c>
      <c r="M95" s="380">
        <f t="shared" si="25"/>
        <v>179612.758472383</v>
      </c>
      <c r="N95" s="380">
        <f t="shared" si="26"/>
        <v>119565.16497781</v>
      </c>
      <c r="O95" s="380">
        <f t="shared" si="27"/>
        <v>104086.944839593</v>
      </c>
      <c r="P95" s="380">
        <f t="shared" si="28"/>
        <v>100030.341013554</v>
      </c>
      <c r="Q95" s="43">
        <v>0.2</v>
      </c>
      <c r="T95" t="str">
        <f t="shared" si="31"/>
        <v>Trd_hdt_elc_500</v>
      </c>
      <c r="U95" t="str">
        <f ca="1" t="shared" si="35"/>
        <v>7.5-16t battery electric truck -- 500</v>
      </c>
      <c r="V95" s="383" t="s">
        <v>84</v>
      </c>
      <c r="W95" s="383" t="s">
        <v>85</v>
      </c>
    </row>
    <row r="96" spans="2:23">
      <c r="B96" s="66">
        <v>600</v>
      </c>
      <c r="C96" s="86">
        <v>193069.495161372</v>
      </c>
      <c r="D96" s="86">
        <v>125556.819841456</v>
      </c>
      <c r="E96" s="86">
        <v>111128.241503766</v>
      </c>
      <c r="F96" s="86">
        <v>104587.124680729</v>
      </c>
      <c r="I96" s="386">
        <f t="shared" si="33"/>
        <v>2.41441039299943</v>
      </c>
      <c r="J96" t="str">
        <f t="shared" si="23"/>
        <v>Trd_hdt_elc</v>
      </c>
      <c r="K96" t="str">
        <f t="shared" si="34"/>
        <v>Trd_hdt_elc_600</v>
      </c>
      <c r="L96" t="str">
        <f t="shared" si="30"/>
        <v>Trd_hdt</v>
      </c>
      <c r="M96" s="380">
        <f t="shared" si="25"/>
        <v>193069.495161372</v>
      </c>
      <c r="N96" s="380">
        <f t="shared" si="26"/>
        <v>125556.819841456</v>
      </c>
      <c r="O96" s="380">
        <f t="shared" si="27"/>
        <v>111128.241503766</v>
      </c>
      <c r="P96" s="380">
        <f t="shared" si="28"/>
        <v>104587.124680729</v>
      </c>
      <c r="T96" t="str">
        <f t="shared" si="31"/>
        <v>Trd_hdt_elc_600</v>
      </c>
      <c r="U96" t="str">
        <f ca="1" t="shared" si="35"/>
        <v>7.5-16t battery electric truck -- 600</v>
      </c>
      <c r="V96" s="383" t="s">
        <v>84</v>
      </c>
      <c r="W96" s="383" t="s">
        <v>85</v>
      </c>
    </row>
    <row r="97" spans="10:23">
      <c r="J97" t="str">
        <f t="shared" si="23"/>
        <v>Trd_hdt_elc</v>
      </c>
      <c r="K97" t="str">
        <f t="shared" si="24"/>
        <v>\I:</v>
      </c>
      <c r="L97" t="str">
        <f t="shared" si="30"/>
        <v>\I:</v>
      </c>
      <c r="M97" s="380" t="str">
        <f t="shared" si="25"/>
        <v/>
      </c>
      <c r="N97" s="380" t="str">
        <f t="shared" si="26"/>
        <v/>
      </c>
      <c r="O97" s="380" t="str">
        <f t="shared" si="27"/>
        <v/>
      </c>
      <c r="P97" s="380" t="str">
        <f t="shared" si="28"/>
        <v/>
      </c>
      <c r="T97" t="str">
        <f t="shared" si="31"/>
        <v>\I:</v>
      </c>
      <c r="U97" t="str">
        <f ca="1" t="shared" si="32"/>
        <v>7.5-16t battery electric truck -- 00%</v>
      </c>
      <c r="V97" s="383" t="s">
        <v>84</v>
      </c>
      <c r="W97" s="383" t="s">
        <v>85</v>
      </c>
    </row>
    <row r="98" spans="10:23">
      <c r="J98" t="str">
        <f t="shared" si="23"/>
        <v>Trd_hdt_elc</v>
      </c>
      <c r="K98" t="str">
        <f t="shared" si="24"/>
        <v>\I:</v>
      </c>
      <c r="L98" t="str">
        <f t="shared" si="30"/>
        <v>\I:</v>
      </c>
      <c r="M98" s="380" t="str">
        <f t="shared" si="25"/>
        <v/>
      </c>
      <c r="N98" s="380" t="str">
        <f t="shared" si="26"/>
        <v/>
      </c>
      <c r="O98" s="380" t="str">
        <f t="shared" si="27"/>
        <v/>
      </c>
      <c r="P98" s="380" t="str">
        <f t="shared" si="28"/>
        <v/>
      </c>
      <c r="T98" t="str">
        <f t="shared" si="31"/>
        <v>\I:</v>
      </c>
      <c r="U98" t="str">
        <f ca="1" t="shared" si="32"/>
        <v>7.5-16t battery electric truck -- 00%</v>
      </c>
      <c r="V98" s="383" t="s">
        <v>84</v>
      </c>
      <c r="W98" s="383" t="s">
        <v>85</v>
      </c>
    </row>
    <row r="99" ht="15.75" customHeight="1" spans="10:23">
      <c r="J99" t="str">
        <f t="shared" si="23"/>
        <v>Trd_hdt_elc</v>
      </c>
      <c r="K99" t="str">
        <f t="shared" si="24"/>
        <v>\I:</v>
      </c>
      <c r="L99" t="str">
        <f t="shared" si="30"/>
        <v>\I:</v>
      </c>
      <c r="M99" s="380" t="str">
        <f t="shared" si="25"/>
        <v/>
      </c>
      <c r="N99" s="380" t="str">
        <f t="shared" si="26"/>
        <v/>
      </c>
      <c r="O99" s="380" t="str">
        <f t="shared" si="27"/>
        <v/>
      </c>
      <c r="P99" s="380" t="str">
        <f t="shared" si="28"/>
        <v/>
      </c>
      <c r="T99" t="str">
        <f t="shared" si="31"/>
        <v>\I:</v>
      </c>
      <c r="U99" t="str">
        <f ca="1" t="shared" si="32"/>
        <v>7.5-16t battery electric truck -- 00%</v>
      </c>
      <c r="V99" s="383" t="s">
        <v>84</v>
      </c>
      <c r="W99" s="383" t="s">
        <v>85</v>
      </c>
    </row>
    <row r="100" spans="2:23">
      <c r="B100" s="400" t="s">
        <v>29</v>
      </c>
      <c r="C100" s="401" t="s">
        <v>118</v>
      </c>
      <c r="D100" s="402"/>
      <c r="E100" s="402"/>
      <c r="F100" s="403"/>
      <c r="J100" t="str">
        <f t="shared" si="23"/>
        <v>Trd_hdt_hh2</v>
      </c>
      <c r="K100" t="str">
        <f t="shared" si="24"/>
        <v>\I:</v>
      </c>
      <c r="L100" t="str">
        <f t="shared" si="30"/>
        <v>\I:</v>
      </c>
      <c r="M100" s="380" t="str">
        <f t="shared" si="25"/>
        <v/>
      </c>
      <c r="N100" s="380" t="str">
        <f t="shared" si="26"/>
        <v/>
      </c>
      <c r="O100" s="380" t="str">
        <f t="shared" si="27"/>
        <v/>
      </c>
      <c r="P100" s="380" t="str">
        <f t="shared" si="28"/>
        <v/>
      </c>
      <c r="T100" t="str">
        <f t="shared" si="31"/>
        <v>\I:</v>
      </c>
      <c r="U100" t="str">
        <f ca="1" t="shared" si="32"/>
        <v>7.5-16t Hydrogen fuel cell truck -- Energy consumption (kg H2/100km)</v>
      </c>
      <c r="V100" s="383" t="s">
        <v>84</v>
      </c>
      <c r="W100" s="383" t="s">
        <v>85</v>
      </c>
    </row>
    <row r="101" spans="2:23">
      <c r="B101" s="404"/>
      <c r="C101" s="405"/>
      <c r="D101" s="406"/>
      <c r="E101" s="406"/>
      <c r="F101" s="407"/>
      <c r="J101" t="str">
        <f t="shared" si="23"/>
        <v>Trd_hdt_hh2</v>
      </c>
      <c r="K101" t="str">
        <f t="shared" si="24"/>
        <v>\I:</v>
      </c>
      <c r="L101" t="str">
        <f t="shared" si="30"/>
        <v>\I:</v>
      </c>
      <c r="M101" s="380" t="str">
        <f t="shared" si="25"/>
        <v/>
      </c>
      <c r="N101" s="380" t="str">
        <f t="shared" si="26"/>
        <v/>
      </c>
      <c r="O101" s="380" t="str">
        <f t="shared" si="27"/>
        <v/>
      </c>
      <c r="P101" s="380" t="str">
        <f t="shared" si="28"/>
        <v/>
      </c>
      <c r="T101" t="str">
        <f t="shared" si="31"/>
        <v>\I:</v>
      </c>
      <c r="U101" t="str">
        <f ca="1" t="shared" si="32"/>
        <v>7.5-16t Hydrogen fuel cell truck -- 00%</v>
      </c>
      <c r="V101" s="383" t="s">
        <v>84</v>
      </c>
      <c r="W101" s="383" t="s">
        <v>85</v>
      </c>
    </row>
    <row r="102" spans="2:23">
      <c r="B102" s="408"/>
      <c r="C102" s="409"/>
      <c r="D102" s="410"/>
      <c r="E102" s="410"/>
      <c r="F102" s="411"/>
      <c r="J102" t="str">
        <f t="shared" si="23"/>
        <v>Trd_hdt_hh2</v>
      </c>
      <c r="K102" t="str">
        <f t="shared" si="24"/>
        <v>\I:</v>
      </c>
      <c r="L102" t="str">
        <f t="shared" si="30"/>
        <v>\I:</v>
      </c>
      <c r="M102" s="380" t="str">
        <f t="shared" si="25"/>
        <v/>
      </c>
      <c r="N102" s="380" t="str">
        <f t="shared" si="26"/>
        <v/>
      </c>
      <c r="O102" s="380" t="str">
        <f t="shared" si="27"/>
        <v/>
      </c>
      <c r="P102" s="380" t="str">
        <f t="shared" si="28"/>
        <v/>
      </c>
      <c r="T102" t="str">
        <f t="shared" si="31"/>
        <v>\I:</v>
      </c>
      <c r="U102" t="str">
        <f ca="1" t="shared" si="32"/>
        <v>7.5-16t Hydrogen fuel cell truck -- 00%</v>
      </c>
      <c r="V102" s="383" t="s">
        <v>84</v>
      </c>
      <c r="W102" s="383" t="s">
        <v>85</v>
      </c>
    </row>
    <row r="103" spans="2:23">
      <c r="B103" s="88"/>
      <c r="C103" s="50">
        <v>2020</v>
      </c>
      <c r="D103" s="50">
        <v>2030</v>
      </c>
      <c r="E103" s="50">
        <v>2040</v>
      </c>
      <c r="F103" s="50">
        <v>2050</v>
      </c>
      <c r="J103" t="str">
        <f t="shared" si="23"/>
        <v>Trd_hdt_hh2</v>
      </c>
      <c r="K103" t="str">
        <f t="shared" si="24"/>
        <v>\I:</v>
      </c>
      <c r="L103" t="str">
        <f t="shared" si="30"/>
        <v>\I:</v>
      </c>
      <c r="M103" s="380" t="str">
        <f t="shared" si="25"/>
        <v/>
      </c>
      <c r="N103" s="380" t="str">
        <f t="shared" si="26"/>
        <v/>
      </c>
      <c r="O103" s="380" t="str">
        <f t="shared" si="27"/>
        <v/>
      </c>
      <c r="P103" s="380" t="str">
        <f t="shared" si="28"/>
        <v/>
      </c>
      <c r="T103" t="str">
        <f t="shared" si="31"/>
        <v>\I:</v>
      </c>
      <c r="U103" t="str">
        <f ca="1" t="shared" si="32"/>
        <v>7.5-16t Hydrogen fuel cell truck -- 00%</v>
      </c>
      <c r="V103" s="383" t="s">
        <v>84</v>
      </c>
      <c r="W103" s="383" t="s">
        <v>85</v>
      </c>
    </row>
    <row r="104" spans="2:23">
      <c r="B104" s="67">
        <v>3.6</v>
      </c>
      <c r="C104" s="86">
        <v>289239.360061222</v>
      </c>
      <c r="D104" s="86">
        <v>165331.416739842</v>
      </c>
      <c r="E104" s="86">
        <v>126641.731543009</v>
      </c>
      <c r="F104" s="86">
        <v>113300.500205988</v>
      </c>
      <c r="G104" s="77">
        <f>B104*0.12/100*10^9/10^6</f>
        <v>4.32</v>
      </c>
      <c r="H104" s="77"/>
      <c r="I104" s="373">
        <f>1/G104/$I$7</f>
        <v>1.6609620805626</v>
      </c>
      <c r="J104" t="str">
        <f t="shared" si="23"/>
        <v>Trd_hdt_hh2</v>
      </c>
      <c r="K104" t="str">
        <f>IFERROR(IF(VALUE(C104)&gt;2020,J104&amp;"_"&amp;TEXT(B104,"0.0"),"\I:"),"\I:")</f>
        <v>Trd_hdt_hh2_3.6</v>
      </c>
      <c r="L104" t="str">
        <f t="shared" si="30"/>
        <v>Trd_hdt</v>
      </c>
      <c r="M104" s="380">
        <f t="shared" si="25"/>
        <v>289239.360061222</v>
      </c>
      <c r="N104" s="380">
        <f t="shared" si="26"/>
        <v>165331.416739842</v>
      </c>
      <c r="O104" s="380">
        <f t="shared" si="27"/>
        <v>126641.731543009</v>
      </c>
      <c r="P104" s="380">
        <f t="shared" si="28"/>
        <v>113300.500205988</v>
      </c>
      <c r="T104" t="str">
        <f t="shared" si="31"/>
        <v>Trd_hdt_hh2_3.6</v>
      </c>
      <c r="U104" t="str">
        <f ca="1">OFFSET($S$1,MATCH(J104,$S$1:$S$11,0)-1,-1)&amp;" -- "&amp;TEXT(B104,"0.0")</f>
        <v>7.5-16t Hydrogen fuel cell truck -- 3.6</v>
      </c>
      <c r="V104" s="383" t="s">
        <v>84</v>
      </c>
      <c r="W104" s="383" t="s">
        <v>85</v>
      </c>
    </row>
    <row r="105" spans="2:23">
      <c r="B105" s="67">
        <v>3.49104438941274</v>
      </c>
      <c r="C105" s="86">
        <v>290124.884209772</v>
      </c>
      <c r="D105" s="86">
        <v>165775.115926834</v>
      </c>
      <c r="E105" s="86">
        <v>127085.430730001</v>
      </c>
      <c r="F105" s="86">
        <v>113744.19939298</v>
      </c>
      <c r="G105" s="77">
        <f t="shared" ref="G105:G111" si="36">B105*0.12/100*10^9/10^6</f>
        <v>4.18925326729529</v>
      </c>
      <c r="H105" s="77"/>
      <c r="I105" s="373">
        <f t="shared" ref="I105:I111" si="37">1/G105/$I$7</f>
        <v>1.71280076190358</v>
      </c>
      <c r="J105" t="str">
        <f t="shared" si="23"/>
        <v>Trd_hdt_hh2</v>
      </c>
      <c r="K105" t="str">
        <f t="shared" ref="K105:K111" si="38">IFERROR(IF(VALUE(C105)&gt;2020,J105&amp;"_"&amp;TEXT(B105,"0.0"),"\I:"),"\I:")</f>
        <v>Trd_hdt_hh2_3.5</v>
      </c>
      <c r="L105" t="str">
        <f t="shared" si="30"/>
        <v>Trd_hdt</v>
      </c>
      <c r="M105" s="380">
        <f t="shared" si="25"/>
        <v>290124.884209772</v>
      </c>
      <c r="N105" s="380">
        <f t="shared" si="26"/>
        <v>165775.115926834</v>
      </c>
      <c r="O105" s="380">
        <f t="shared" si="27"/>
        <v>127085.430730001</v>
      </c>
      <c r="P105" s="380">
        <f t="shared" si="28"/>
        <v>113744.19939298</v>
      </c>
      <c r="T105" t="str">
        <f t="shared" si="31"/>
        <v>Trd_hdt_hh2_3.5</v>
      </c>
      <c r="U105" t="str">
        <f ca="1" t="shared" ref="U105:U111" si="39">OFFSET($S$1,MATCH(J105,$S$1:$S$11,0)-1,-1)&amp;" -- "&amp;TEXT(B105,"0.0")</f>
        <v>7.5-16t Hydrogen fuel cell truck -- 3.5</v>
      </c>
      <c r="V105" s="383" t="s">
        <v>84</v>
      </c>
      <c r="W105" s="383" t="s">
        <v>85</v>
      </c>
    </row>
    <row r="106" spans="2:23">
      <c r="B106" s="67">
        <v>3.38208877882548</v>
      </c>
      <c r="C106" s="86">
        <v>291607.78759882</v>
      </c>
      <c r="D106" s="86">
        <v>169260.356312954</v>
      </c>
      <c r="E106" s="86">
        <v>127529.129916993</v>
      </c>
      <c r="F106" s="86">
        <v>114187.898579971</v>
      </c>
      <c r="G106" s="77">
        <f t="shared" si="36"/>
        <v>4.05850653459058</v>
      </c>
      <c r="H106" s="77"/>
      <c r="I106" s="373">
        <f t="shared" si="37"/>
        <v>1.76797945916189</v>
      </c>
      <c r="J106" t="str">
        <f t="shared" si="23"/>
        <v>Trd_hdt_hh2</v>
      </c>
      <c r="K106" t="str">
        <f t="shared" si="38"/>
        <v>Trd_hdt_hh2_3.4</v>
      </c>
      <c r="L106" t="str">
        <f t="shared" si="30"/>
        <v>Trd_hdt</v>
      </c>
      <c r="M106" s="380">
        <f t="shared" si="25"/>
        <v>291607.78759882</v>
      </c>
      <c r="N106" s="380">
        <f t="shared" si="26"/>
        <v>169260.356312954</v>
      </c>
      <c r="O106" s="380">
        <f t="shared" si="27"/>
        <v>127529.129916993</v>
      </c>
      <c r="P106" s="380">
        <f t="shared" si="28"/>
        <v>114187.898579971</v>
      </c>
      <c r="T106" t="str">
        <f t="shared" si="31"/>
        <v>Trd_hdt_hh2_3.4</v>
      </c>
      <c r="U106" t="str">
        <f ca="1" t="shared" si="39"/>
        <v>7.5-16t Hydrogen fuel cell truck -- 3.4</v>
      </c>
      <c r="V106" s="383" t="s">
        <v>84</v>
      </c>
      <c r="W106" s="383" t="s">
        <v>85</v>
      </c>
    </row>
    <row r="107" spans="2:23">
      <c r="B107" s="67">
        <v>3.27313316823822</v>
      </c>
      <c r="C107" s="86">
        <v>298751.243165772</v>
      </c>
      <c r="D107" s="86">
        <v>172972.418760191</v>
      </c>
      <c r="E107" s="86">
        <v>127972.829103985</v>
      </c>
      <c r="F107" s="86">
        <v>114631.597766963</v>
      </c>
      <c r="G107" s="77">
        <f t="shared" si="36"/>
        <v>3.92775980188586</v>
      </c>
      <c r="H107" s="77"/>
      <c r="I107" s="373">
        <f t="shared" si="37"/>
        <v>1.82683171832078</v>
      </c>
      <c r="J107" t="str">
        <f t="shared" si="23"/>
        <v>Trd_hdt_hh2</v>
      </c>
      <c r="K107" t="str">
        <f t="shared" si="38"/>
        <v>Trd_hdt_hh2_3.3</v>
      </c>
      <c r="L107" t="str">
        <f t="shared" si="30"/>
        <v>Trd_hdt</v>
      </c>
      <c r="M107" s="380">
        <f t="shared" si="25"/>
        <v>298751.243165772</v>
      </c>
      <c r="N107" s="380">
        <f t="shared" si="26"/>
        <v>172972.418760191</v>
      </c>
      <c r="O107" s="380">
        <f t="shared" si="27"/>
        <v>127972.829103985</v>
      </c>
      <c r="P107" s="380">
        <f t="shared" si="28"/>
        <v>114631.597766963</v>
      </c>
      <c r="T107" t="str">
        <f t="shared" si="31"/>
        <v>Trd_hdt_hh2_3.3</v>
      </c>
      <c r="U107" t="str">
        <f ca="1" t="shared" si="39"/>
        <v>7.5-16t Hydrogen fuel cell truck -- 3.3</v>
      </c>
      <c r="V107" s="383" t="s">
        <v>84</v>
      </c>
      <c r="W107" s="383" t="s">
        <v>85</v>
      </c>
    </row>
    <row r="108" spans="2:23">
      <c r="B108" s="67">
        <v>3.16417755765097</v>
      </c>
      <c r="C108" s="86">
        <v>300389.263299954</v>
      </c>
      <c r="D108" s="86">
        <v>179433.095982914</v>
      </c>
      <c r="E108" s="86">
        <v>128416.528290977</v>
      </c>
      <c r="F108" s="86">
        <v>115075.296953955</v>
      </c>
      <c r="G108" s="77">
        <f t="shared" si="36"/>
        <v>3.79701306918116</v>
      </c>
      <c r="H108" s="77"/>
      <c r="I108" s="373">
        <f t="shared" si="37"/>
        <v>1.88973702678822</v>
      </c>
      <c r="J108" t="str">
        <f t="shared" si="23"/>
        <v>Trd_hdt_hh2</v>
      </c>
      <c r="K108" t="str">
        <f t="shared" si="38"/>
        <v>Trd_hdt_hh2_3.2</v>
      </c>
      <c r="L108" t="str">
        <f t="shared" si="30"/>
        <v>Trd_hdt</v>
      </c>
      <c r="M108" s="380">
        <f t="shared" si="25"/>
        <v>300389.263299954</v>
      </c>
      <c r="N108" s="380">
        <f t="shared" si="26"/>
        <v>179433.095982914</v>
      </c>
      <c r="O108" s="380">
        <f t="shared" si="27"/>
        <v>128416.528290977</v>
      </c>
      <c r="P108" s="380">
        <f t="shared" si="28"/>
        <v>115075.296953955</v>
      </c>
      <c r="T108" t="str">
        <f t="shared" si="31"/>
        <v>Trd_hdt_hh2_3.2</v>
      </c>
      <c r="U108" t="str">
        <f ca="1" t="shared" si="39"/>
        <v>7.5-16t Hydrogen fuel cell truck -- 3.2</v>
      </c>
      <c r="V108" s="383" t="s">
        <v>84</v>
      </c>
      <c r="W108" s="383" t="s">
        <v>85</v>
      </c>
    </row>
    <row r="109" spans="2:23">
      <c r="B109" s="67">
        <v>3.05522194706371</v>
      </c>
      <c r="C109" s="86">
        <v>301347.939435471</v>
      </c>
      <c r="D109" s="86">
        <v>179995.322886205</v>
      </c>
      <c r="E109" s="86">
        <v>128860.227477969</v>
      </c>
      <c r="F109" s="86">
        <v>115518.996140947</v>
      </c>
      <c r="G109" s="77">
        <f t="shared" si="36"/>
        <v>3.66626633647645</v>
      </c>
      <c r="H109" s="77"/>
      <c r="I109" s="373">
        <f t="shared" si="37"/>
        <v>1.95712900523383</v>
      </c>
      <c r="J109" t="str">
        <f t="shared" si="23"/>
        <v>Trd_hdt_hh2</v>
      </c>
      <c r="K109" t="str">
        <f t="shared" si="38"/>
        <v>Trd_hdt_hh2_3.1</v>
      </c>
      <c r="L109" t="str">
        <f t="shared" si="30"/>
        <v>Trd_hdt</v>
      </c>
      <c r="M109" s="380">
        <f t="shared" si="25"/>
        <v>301347.939435471</v>
      </c>
      <c r="N109" s="380">
        <f t="shared" si="26"/>
        <v>179995.322886205</v>
      </c>
      <c r="O109" s="380">
        <f t="shared" si="27"/>
        <v>128860.227477969</v>
      </c>
      <c r="P109" s="380">
        <f t="shared" si="28"/>
        <v>115518.996140947</v>
      </c>
      <c r="T109" t="str">
        <f t="shared" si="31"/>
        <v>Trd_hdt_hh2_3.1</v>
      </c>
      <c r="U109" t="str">
        <f ca="1" t="shared" si="39"/>
        <v>7.5-16t Hydrogen fuel cell truck -- 3.1</v>
      </c>
      <c r="V109" s="383" t="s">
        <v>84</v>
      </c>
      <c r="W109" s="383" t="s">
        <v>85</v>
      </c>
    </row>
    <row r="110" spans="2:23">
      <c r="B110" s="67">
        <v>2.94626633647645</v>
      </c>
      <c r="C110" s="86">
        <v>302306.615570987</v>
      </c>
      <c r="D110" s="86">
        <v>180557.549789496</v>
      </c>
      <c r="E110" s="86">
        <v>129303.92666496</v>
      </c>
      <c r="F110" s="86">
        <v>115962.695327939</v>
      </c>
      <c r="G110" s="77">
        <f t="shared" si="36"/>
        <v>3.53551960377174</v>
      </c>
      <c r="H110" s="77"/>
      <c r="I110" s="373">
        <f t="shared" si="37"/>
        <v>2.02950541707523</v>
      </c>
      <c r="J110" t="str">
        <f t="shared" si="23"/>
        <v>Trd_hdt_hh2</v>
      </c>
      <c r="K110" t="str">
        <f t="shared" si="38"/>
        <v>Trd_hdt_hh2_2.9</v>
      </c>
      <c r="L110" t="str">
        <f t="shared" si="30"/>
        <v>Trd_hdt</v>
      </c>
      <c r="M110" s="380">
        <f t="shared" si="25"/>
        <v>302306.615570987</v>
      </c>
      <c r="N110" s="380">
        <f t="shared" si="26"/>
        <v>180557.549789496</v>
      </c>
      <c r="O110" s="380">
        <f t="shared" si="27"/>
        <v>129303.92666496</v>
      </c>
      <c r="P110" s="380">
        <f t="shared" si="28"/>
        <v>115962.695327939</v>
      </c>
      <c r="T110" t="str">
        <f t="shared" si="31"/>
        <v>Trd_hdt_hh2_2.9</v>
      </c>
      <c r="U110" t="str">
        <f ca="1" t="shared" si="39"/>
        <v>7.5-16t Hydrogen fuel cell truck -- 2.9</v>
      </c>
      <c r="V110" s="383" t="s">
        <v>84</v>
      </c>
      <c r="W110" s="383" t="s">
        <v>85</v>
      </c>
    </row>
    <row r="111" spans="2:23">
      <c r="B111" s="67">
        <v>2.83731072588919</v>
      </c>
      <c r="C111" s="86">
        <v>303265.291706504</v>
      </c>
      <c r="D111" s="86">
        <v>181119.776692787</v>
      </c>
      <c r="E111" s="86">
        <v>129747.625851952</v>
      </c>
      <c r="F111" s="86">
        <v>116406.394514931</v>
      </c>
      <c r="G111" s="77">
        <f t="shared" si="36"/>
        <v>3.40477287106703</v>
      </c>
      <c r="H111" s="77"/>
      <c r="I111" s="373">
        <f t="shared" si="37"/>
        <v>2.10744048421113</v>
      </c>
      <c r="J111" t="str">
        <f t="shared" si="23"/>
        <v>Trd_hdt_hh2</v>
      </c>
      <c r="K111" t="str">
        <f t="shared" si="38"/>
        <v>Trd_hdt_hh2_2.8</v>
      </c>
      <c r="L111" t="str">
        <f t="shared" si="30"/>
        <v>Trd_hdt</v>
      </c>
      <c r="M111" s="380">
        <f t="shared" si="25"/>
        <v>303265.291706504</v>
      </c>
      <c r="N111" s="380">
        <f t="shared" si="26"/>
        <v>181119.776692787</v>
      </c>
      <c r="O111" s="380">
        <f t="shared" si="27"/>
        <v>129747.625851952</v>
      </c>
      <c r="P111" s="380">
        <f t="shared" si="28"/>
        <v>116406.394514931</v>
      </c>
      <c r="T111" t="str">
        <f t="shared" si="31"/>
        <v>Trd_hdt_hh2_2.8</v>
      </c>
      <c r="U111" t="str">
        <f ca="1" t="shared" si="39"/>
        <v>7.5-16t Hydrogen fuel cell truck -- 2.8</v>
      </c>
      <c r="V111" s="383" t="s">
        <v>84</v>
      </c>
      <c r="W111" s="383"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55"/>
  <sheetViews>
    <sheetView showGridLines="0" zoomScale="57" zoomScaleNormal="57" topLeftCell="A16" workbookViewId="0">
      <selection activeCell="F27" sqref="F27"/>
    </sheetView>
  </sheetViews>
  <sheetFormatPr defaultColWidth="9" defaultRowHeight="14.5"/>
  <cols>
    <col min="1" max="1" width="7.63636363636364" customWidth="1"/>
    <col min="2" max="2" width="38.2727272727273" customWidth="1"/>
    <col min="3" max="6" width="13.7272727272727" customWidth="1"/>
    <col min="10" max="10" width="14.0909090909091" customWidth="1"/>
    <col min="11" max="11" width="18.2727272727273" customWidth="1"/>
    <col min="12" max="12" width="11.0909090909091" customWidth="1"/>
    <col min="13" max="16" width="6" customWidth="1"/>
    <col min="18" max="18" width="31.6363636363636" customWidth="1"/>
  </cols>
  <sheetData>
    <row r="1" ht="15.5" spans="2:19">
      <c r="B1" s="364" t="s">
        <v>10</v>
      </c>
      <c r="C1" s="365"/>
      <c r="D1" s="365"/>
      <c r="E1" s="365"/>
      <c r="F1" s="366"/>
      <c r="Q1" t="s">
        <v>125</v>
      </c>
      <c r="R1" t="s">
        <v>126</v>
      </c>
      <c r="S1" t="str">
        <f>"Trd_2w_"&amp;Q1</f>
        <v>Trd_2w_gsl150</v>
      </c>
    </row>
    <row r="2" spans="2:19">
      <c r="B2" s="387" t="s">
        <v>9</v>
      </c>
      <c r="C2" s="388"/>
      <c r="D2" s="388"/>
      <c r="E2" s="388"/>
      <c r="F2" s="388"/>
      <c r="Q2" t="s">
        <v>127</v>
      </c>
      <c r="R2" t="s">
        <v>128</v>
      </c>
      <c r="S2" t="str">
        <f t="shared" ref="S2:S8" si="0">"Trd_2w_"&amp;Q2</f>
        <v>Trd_2w_gsl500</v>
      </c>
    </row>
    <row r="3" spans="17:19">
      <c r="Q3" t="s">
        <v>42</v>
      </c>
      <c r="R3" t="s">
        <v>129</v>
      </c>
      <c r="S3" t="str">
        <f>"Trd_3w_"&amp;Q3</f>
        <v>Trd_3w_gsl</v>
      </c>
    </row>
    <row r="4" spans="9:19">
      <c r="I4" s="390">
        <f>31536000/10^9</f>
        <v>0.031536</v>
      </c>
      <c r="J4" s="375" t="s">
        <v>47</v>
      </c>
      <c r="Q4" t="s">
        <v>130</v>
      </c>
      <c r="R4" t="s">
        <v>131</v>
      </c>
      <c r="S4" t="str">
        <f t="shared" si="0"/>
        <v>Trd_2w_gsl50</v>
      </c>
    </row>
    <row r="5" spans="2:19">
      <c r="B5" s="43" t="s">
        <v>132</v>
      </c>
      <c r="Q5" t="s">
        <v>133</v>
      </c>
      <c r="R5" t="s">
        <v>134</v>
      </c>
      <c r="S5" t="str">
        <f t="shared" si="0"/>
        <v>Trd_2w_elc150</v>
      </c>
    </row>
    <row r="6" ht="15" customHeight="1" spans="2:19">
      <c r="B6" s="372">
        <v>2015</v>
      </c>
      <c r="C6" s="372"/>
      <c r="D6" s="372"/>
      <c r="Q6" t="s">
        <v>135</v>
      </c>
      <c r="R6" t="s">
        <v>136</v>
      </c>
      <c r="S6" t="str">
        <f t="shared" si="0"/>
        <v>Trd_2w_elc500</v>
      </c>
    </row>
    <row r="7" spans="2:19">
      <c r="B7" s="45" t="s">
        <v>12</v>
      </c>
      <c r="C7" s="46" t="s">
        <v>13</v>
      </c>
      <c r="D7" s="47">
        <v>3.2040038477468</v>
      </c>
      <c r="G7" s="373">
        <f>D7*$I$4/100*10^9/10^6</f>
        <v>1.01041465342543</v>
      </c>
      <c r="H7" s="373"/>
      <c r="I7" s="373">
        <f>1/G7</f>
        <v>0.989692693598491</v>
      </c>
      <c r="Q7" t="s">
        <v>66</v>
      </c>
      <c r="R7" t="s">
        <v>137</v>
      </c>
      <c r="S7" t="str">
        <f>"Trd_3w_"&amp;Q7</f>
        <v>Trd_3w_elc</v>
      </c>
    </row>
    <row r="8" spans="2:19">
      <c r="B8" s="45" t="s">
        <v>14</v>
      </c>
      <c r="C8" s="46" t="s">
        <v>15</v>
      </c>
      <c r="D8" s="68">
        <v>2532.96733489852</v>
      </c>
      <c r="I8" s="43" t="s">
        <v>70</v>
      </c>
      <c r="Q8" t="s">
        <v>138</v>
      </c>
      <c r="R8" t="s">
        <v>139</v>
      </c>
      <c r="S8" t="str">
        <f t="shared" si="0"/>
        <v>Trd_2w_elc50</v>
      </c>
    </row>
    <row r="10" ht="15.25" spans="11:23">
      <c r="K10" s="378" t="s">
        <v>71</v>
      </c>
      <c r="S10" s="378" t="s">
        <v>72</v>
      </c>
      <c r="T10" s="382"/>
      <c r="U10" s="382"/>
      <c r="V10" s="382"/>
      <c r="W10" s="382"/>
    </row>
    <row r="11" spans="9:23">
      <c r="I11" t="s">
        <v>73</v>
      </c>
      <c r="J11" t="s">
        <v>74</v>
      </c>
      <c r="K11" t="s">
        <v>75</v>
      </c>
      <c r="L11" t="s">
        <v>76</v>
      </c>
      <c r="M11">
        <f>C15</f>
        <v>2020</v>
      </c>
      <c r="N11">
        <f>D15</f>
        <v>2030</v>
      </c>
      <c r="O11">
        <f>E15</f>
        <v>2040</v>
      </c>
      <c r="P11">
        <f>F15</f>
        <v>2050</v>
      </c>
      <c r="Q11" t="s">
        <v>77</v>
      </c>
      <c r="S11" s="382" t="s">
        <v>78</v>
      </c>
      <c r="T11" s="382" t="s">
        <v>79</v>
      </c>
      <c r="U11" s="382" t="s">
        <v>80</v>
      </c>
      <c r="V11" s="382" t="s">
        <v>81</v>
      </c>
      <c r="W11" s="382" t="s">
        <v>82</v>
      </c>
    </row>
    <row r="12" ht="15" customHeight="1" spans="2:23">
      <c r="B12" s="389" t="s">
        <v>140</v>
      </c>
      <c r="C12" s="389" t="s">
        <v>126</v>
      </c>
      <c r="D12" s="389"/>
      <c r="E12" s="389"/>
      <c r="F12" s="389"/>
      <c r="J12" t="str">
        <f>IFERROR(VLOOKUP(C12,$R$1:$S$8,2,FALSE),J11)</f>
        <v>Trd_2w_gsl150</v>
      </c>
      <c r="K12" t="str">
        <f>IFERROR(IF(VALUE(C12)&gt;2020,J12&amp;"_"&amp;TEXT(B12*100,"00"),"\I:"),"\I:")</f>
        <v>\I:</v>
      </c>
      <c r="L12" t="str">
        <f>LEFT(K12,6)</f>
        <v>\I:</v>
      </c>
      <c r="M12" t="str">
        <f>IF($K12="\I:","",C12)</f>
        <v/>
      </c>
      <c r="N12" t="str">
        <f>IF($K12="\I:","",D12)</f>
        <v/>
      </c>
      <c r="O12" t="str">
        <f>IF($K12="\I:","",E12)</f>
        <v/>
      </c>
      <c r="P12" t="str">
        <f>IF($K12="\I:","",F12)</f>
        <v/>
      </c>
      <c r="S12" t="s">
        <v>83</v>
      </c>
      <c r="T12" t="str">
        <f>K12</f>
        <v>\I:</v>
      </c>
      <c r="U12" t="str">
        <f ca="1">OFFSET($S$1,MATCH(J12,$S$1:$S$11,0)-1,-1)&amp;" -- "&amp;TEXT(B12,"00%")</f>
        <v>4-stroke MC 50-250 cc motorcycle -- Reduction of specific energy consumption relative to 2015 (%)</v>
      </c>
      <c r="V12" s="383" t="s">
        <v>84</v>
      </c>
      <c r="W12" s="383" t="s">
        <v>85</v>
      </c>
    </row>
    <row r="13" spans="2:23">
      <c r="B13" s="389"/>
      <c r="C13" s="389"/>
      <c r="D13" s="389"/>
      <c r="E13" s="389"/>
      <c r="F13" s="389"/>
      <c r="J13" t="str">
        <f t="shared" ref="J13:J76" si="1">IFERROR(VLOOKUP(C13,$R$1:$S$8,2,FALSE),J12)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S13" t="s">
        <v>83</v>
      </c>
      <c r="T13" t="str">
        <f t="shared" ref="T13:T23" si="6">K13</f>
        <v>\I:</v>
      </c>
      <c r="U13" t="str">
        <f ca="1" t="shared" ref="U13:U23" si="7">OFFSET($S$1,MATCH(J13,$S$1:$S$11,0)-1,-1)&amp;" -- "&amp;TEXT(B13,"00%")</f>
        <v>4-stroke MC 50-250 cc motorcycle -- 00%</v>
      </c>
      <c r="V13" s="383" t="s">
        <v>84</v>
      </c>
      <c r="W13" s="383" t="s">
        <v>85</v>
      </c>
    </row>
    <row r="14" spans="2:23">
      <c r="B14" s="389"/>
      <c r="C14" s="389"/>
      <c r="D14" s="389"/>
      <c r="E14" s="389"/>
      <c r="F14" s="389"/>
      <c r="J14" t="str">
        <f t="shared" si="1"/>
        <v>Trd_2w_gsl150</v>
      </c>
      <c r="K14" t="str">
        <f t="shared" si="2"/>
        <v>\I:</v>
      </c>
      <c r="L14" t="str">
        <f t="shared" si="3"/>
        <v>\I:</v>
      </c>
      <c r="M14" t="str">
        <f t="shared" si="4"/>
        <v/>
      </c>
      <c r="N14" t="str">
        <f t="shared" si="5"/>
        <v/>
      </c>
      <c r="O14" t="str">
        <f t="shared" si="5"/>
        <v/>
      </c>
      <c r="P14" t="str">
        <f t="shared" si="5"/>
        <v/>
      </c>
      <c r="S14" t="s">
        <v>83</v>
      </c>
      <c r="T14" t="str">
        <f t="shared" si="6"/>
        <v>\I:</v>
      </c>
      <c r="U14" t="str">
        <f ca="1" t="shared" si="7"/>
        <v>4-stroke MC 50-250 cc motorcycle -- 00%</v>
      </c>
      <c r="V14" s="383" t="s">
        <v>84</v>
      </c>
      <c r="W14" s="383" t="s">
        <v>85</v>
      </c>
    </row>
    <row r="15" spans="2:23">
      <c r="B15" s="49"/>
      <c r="C15" s="50">
        <v>2020</v>
      </c>
      <c r="D15" s="50">
        <v>2030</v>
      </c>
      <c r="E15" s="50">
        <v>2040</v>
      </c>
      <c r="F15" s="50">
        <v>2050</v>
      </c>
      <c r="J15" t="str">
        <f t="shared" si="1"/>
        <v>Trd_2w_gsl150</v>
      </c>
      <c r="K15" t="str">
        <f t="shared" si="2"/>
        <v>\I:</v>
      </c>
      <c r="L15" t="str">
        <f t="shared" si="3"/>
        <v>\I:</v>
      </c>
      <c r="M15" t="str">
        <f t="shared" si="4"/>
        <v/>
      </c>
      <c r="N15" t="str">
        <f t="shared" si="5"/>
        <v/>
      </c>
      <c r="O15" t="str">
        <f t="shared" si="5"/>
        <v/>
      </c>
      <c r="P15" t="str">
        <f t="shared" si="5"/>
        <v/>
      </c>
      <c r="S15" t="s">
        <v>83</v>
      </c>
      <c r="T15" t="str">
        <f t="shared" si="6"/>
        <v>\I:</v>
      </c>
      <c r="U15" t="str">
        <f ca="1" t="shared" si="7"/>
        <v>4-stroke MC 50-250 cc motorcycle -- 00%</v>
      </c>
      <c r="V15" s="383" t="s">
        <v>84</v>
      </c>
      <c r="W15" s="383" t="s">
        <v>85</v>
      </c>
    </row>
    <row r="16" spans="2:23">
      <c r="B16" s="85">
        <v>0.0154296707848</v>
      </c>
      <c r="C16" s="86">
        <v>2548.39995873036</v>
      </c>
      <c r="D16" s="86">
        <v>2548.39995873036</v>
      </c>
      <c r="E16" s="86">
        <v>2548.39995873036</v>
      </c>
      <c r="F16" s="86">
        <v>2548.39995873036</v>
      </c>
      <c r="I16" s="379">
        <f>(1+B16)</f>
        <v>1.0154296707848</v>
      </c>
      <c r="J16" t="str">
        <f t="shared" si="1"/>
        <v>Trd_2w_gsl150</v>
      </c>
      <c r="K16" t="str">
        <f t="shared" si="2"/>
        <v>Trd_2w_gsl150_02</v>
      </c>
      <c r="L16" t="str">
        <f t="shared" si="3"/>
        <v>Trd_2w</v>
      </c>
      <c r="M16" s="380">
        <f t="shared" si="4"/>
        <v>2548.39995873036</v>
      </c>
      <c r="N16" s="380">
        <f t="shared" si="5"/>
        <v>2548.39995873036</v>
      </c>
      <c r="O16" s="380">
        <f t="shared" si="5"/>
        <v>2548.39995873036</v>
      </c>
      <c r="P16" s="380">
        <f t="shared" si="5"/>
        <v>2548.39995873036</v>
      </c>
      <c r="S16" t="s">
        <v>83</v>
      </c>
      <c r="T16" t="str">
        <f t="shared" si="6"/>
        <v>Trd_2w_gsl150_02</v>
      </c>
      <c r="U16" t="str">
        <f ca="1" t="shared" si="7"/>
        <v>4-stroke MC 50-250 cc motorcycle -- 02%</v>
      </c>
      <c r="V16" s="383" t="s">
        <v>84</v>
      </c>
      <c r="W16" s="383" t="s">
        <v>85</v>
      </c>
    </row>
    <row r="17" spans="2:23">
      <c r="B17" s="85">
        <v>0.0654296707848</v>
      </c>
      <c r="C17" s="86">
        <v>2623.20910676422</v>
      </c>
      <c r="D17" s="86">
        <v>2598.40952810835</v>
      </c>
      <c r="E17" s="86">
        <v>2598.40952810835</v>
      </c>
      <c r="F17" s="86">
        <v>2598.40952810835</v>
      </c>
      <c r="I17" s="379">
        <f t="shared" ref="I17:I19" si="8">(1+B17)</f>
        <v>1.0654296707848</v>
      </c>
      <c r="J17" t="str">
        <f t="shared" si="1"/>
        <v>Trd_2w_gsl150</v>
      </c>
      <c r="K17" t="str">
        <f t="shared" si="2"/>
        <v>Trd_2w_gsl150_07</v>
      </c>
      <c r="L17" t="str">
        <f t="shared" si="3"/>
        <v>Trd_2w</v>
      </c>
      <c r="M17" s="380">
        <f t="shared" si="4"/>
        <v>2623.20910676422</v>
      </c>
      <c r="N17" s="380">
        <f t="shared" si="5"/>
        <v>2598.40952810835</v>
      </c>
      <c r="O17" s="380">
        <f t="shared" si="5"/>
        <v>2598.40952810835</v>
      </c>
      <c r="P17" s="380">
        <f t="shared" si="5"/>
        <v>2598.40952810835</v>
      </c>
      <c r="S17" t="s">
        <v>83</v>
      </c>
      <c r="T17" t="str">
        <f t="shared" si="6"/>
        <v>Trd_2w_gsl150_07</v>
      </c>
      <c r="U17" t="str">
        <f ca="1" t="shared" si="7"/>
        <v>4-stroke MC 50-250 cc motorcycle -- 07%</v>
      </c>
      <c r="V17" s="383" t="s">
        <v>84</v>
      </c>
      <c r="W17" s="383" t="s">
        <v>85</v>
      </c>
    </row>
    <row r="18" spans="2:23">
      <c r="B18" s="85">
        <v>0.1154296707848</v>
      </c>
      <c r="C18" s="86">
        <v>2666.56616060177</v>
      </c>
      <c r="D18" s="86">
        <v>2648.41909748634</v>
      </c>
      <c r="E18" s="86">
        <v>2648.41909748634</v>
      </c>
      <c r="F18" s="86">
        <v>2648.41909748634</v>
      </c>
      <c r="I18" s="379">
        <f t="shared" si="8"/>
        <v>1.1154296707848</v>
      </c>
      <c r="J18" t="str">
        <f t="shared" si="1"/>
        <v>Trd_2w_gsl150</v>
      </c>
      <c r="K18" t="str">
        <f t="shared" si="2"/>
        <v>Trd_2w_gsl150_12</v>
      </c>
      <c r="L18" t="str">
        <f t="shared" si="3"/>
        <v>Trd_2w</v>
      </c>
      <c r="M18" s="380">
        <f t="shared" si="4"/>
        <v>2666.56616060177</v>
      </c>
      <c r="N18" s="380">
        <f t="shared" si="5"/>
        <v>2648.41909748634</v>
      </c>
      <c r="O18" s="380">
        <f t="shared" si="5"/>
        <v>2648.41909748634</v>
      </c>
      <c r="P18" s="380">
        <f t="shared" si="5"/>
        <v>2648.41909748634</v>
      </c>
      <c r="S18" t="s">
        <v>83</v>
      </c>
      <c r="T18" t="str">
        <f t="shared" si="6"/>
        <v>Trd_2w_gsl150_12</v>
      </c>
      <c r="U18" t="str">
        <f ca="1" t="shared" si="7"/>
        <v>4-stroke MC 50-250 cc motorcycle -- 12%</v>
      </c>
      <c r="V18" s="383" t="s">
        <v>84</v>
      </c>
      <c r="W18" s="383" t="s">
        <v>85</v>
      </c>
    </row>
    <row r="19" spans="2:23">
      <c r="B19" s="85">
        <v>0.1654296707848</v>
      </c>
      <c r="C19" s="86">
        <v>2850.09035239822</v>
      </c>
      <c r="D19" s="86">
        <v>2698.42866686434</v>
      </c>
      <c r="E19" s="86">
        <v>2698.42866686434</v>
      </c>
      <c r="F19" s="86">
        <v>2698.42866686434</v>
      </c>
      <c r="I19" s="379">
        <f t="shared" si="8"/>
        <v>1.1654296707848</v>
      </c>
      <c r="J19" t="str">
        <f t="shared" si="1"/>
        <v>Trd_2w_gsl150</v>
      </c>
      <c r="K19" t="str">
        <f t="shared" si="2"/>
        <v>Trd_2w_gsl150_17</v>
      </c>
      <c r="L19" t="str">
        <f t="shared" si="3"/>
        <v>Trd_2w</v>
      </c>
      <c r="M19" s="380">
        <f t="shared" si="4"/>
        <v>2850.09035239822</v>
      </c>
      <c r="N19" s="380">
        <f t="shared" si="5"/>
        <v>2698.42866686434</v>
      </c>
      <c r="O19" s="380">
        <f t="shared" si="5"/>
        <v>2698.42866686434</v>
      </c>
      <c r="P19" s="380">
        <f t="shared" si="5"/>
        <v>2698.42866686434</v>
      </c>
      <c r="S19" t="s">
        <v>83</v>
      </c>
      <c r="T19" t="str">
        <f t="shared" si="6"/>
        <v>Trd_2w_gsl150_17</v>
      </c>
      <c r="U19" t="str">
        <f ca="1" t="shared" si="7"/>
        <v>4-stroke MC 50-250 cc motorcycle -- 17%</v>
      </c>
      <c r="V19" s="383" t="s">
        <v>84</v>
      </c>
      <c r="W19" s="383" t="s">
        <v>85</v>
      </c>
    </row>
    <row r="20" spans="2:23">
      <c r="B20" s="85">
        <v>0.2154296707848</v>
      </c>
      <c r="C20" s="86">
        <v>2913.11323778648</v>
      </c>
      <c r="D20" s="86">
        <v>2748.43823624233</v>
      </c>
      <c r="E20" s="86">
        <v>2748.43823624233</v>
      </c>
      <c r="F20" s="86">
        <v>2748.43823624233</v>
      </c>
      <c r="J20" t="str">
        <f t="shared" si="1"/>
        <v>Trd_2w_gsl150</v>
      </c>
      <c r="K20" t="str">
        <f t="shared" ref="K20:K83" si="9">IFERROR(IF(VALUE(C20)&gt;2020,J20&amp;"_"&amp;TEXT(B20*100,"00"),"\I:"),"\I:")</f>
        <v>Trd_2w_gsl150_22</v>
      </c>
      <c r="L20" t="str">
        <f t="shared" si="3"/>
        <v>Trd_2w</v>
      </c>
      <c r="M20" s="380">
        <f t="shared" ref="M20:M83" si="10">IF($K20="\I:","",C20)</f>
        <v>2913.11323778648</v>
      </c>
      <c r="N20" s="380">
        <f t="shared" ref="N20:N83" si="11">IF($K20="\I:","",D20)</f>
        <v>2748.43823624233</v>
      </c>
      <c r="O20" s="380">
        <f t="shared" ref="O20:O83" si="12">IF($K20="\I:","",E20)</f>
        <v>2748.43823624233</v>
      </c>
      <c r="P20" s="380">
        <f t="shared" ref="P20:P83" si="13">IF($K20="\I:","",F20)</f>
        <v>2748.43823624233</v>
      </c>
      <c r="S20" t="s">
        <v>83</v>
      </c>
      <c r="T20" t="str">
        <f t="shared" si="6"/>
        <v>Trd_2w_gsl150_22</v>
      </c>
      <c r="U20" t="str">
        <f ca="1" t="shared" si="7"/>
        <v>4-stroke MC 50-250 cc motorcycle -- 22%</v>
      </c>
      <c r="V20" s="383" t="s">
        <v>84</v>
      </c>
      <c r="W20" s="383" t="s">
        <v>85</v>
      </c>
    </row>
    <row r="21" spans="2:23">
      <c r="B21" s="85">
        <v>0.2654296707848</v>
      </c>
      <c r="C21" s="86">
        <v>3395.17369254124</v>
      </c>
      <c r="D21" s="86">
        <v>2801.32876836239</v>
      </c>
      <c r="E21" s="86">
        <v>2798.44780562032</v>
      </c>
      <c r="F21" s="86">
        <v>2798.44780562032</v>
      </c>
      <c r="J21" t="str">
        <f t="shared" si="1"/>
        <v>Trd_2w_gsl150</v>
      </c>
      <c r="K21" t="str">
        <f t="shared" si="9"/>
        <v>Trd_2w_gsl150_27</v>
      </c>
      <c r="L21" t="str">
        <f t="shared" si="3"/>
        <v>Trd_2w</v>
      </c>
      <c r="M21" s="380">
        <f t="shared" si="10"/>
        <v>3395.17369254124</v>
      </c>
      <c r="N21" s="380">
        <f t="shared" si="11"/>
        <v>2801.32876836239</v>
      </c>
      <c r="O21" s="380">
        <f t="shared" si="12"/>
        <v>2798.44780562032</v>
      </c>
      <c r="P21" s="380">
        <f t="shared" si="13"/>
        <v>2798.44780562032</v>
      </c>
      <c r="S21" t="s">
        <v>83</v>
      </c>
      <c r="T21" t="str">
        <f t="shared" si="6"/>
        <v>Trd_2w_gsl150_27</v>
      </c>
      <c r="U21" t="str">
        <f ca="1" t="shared" si="7"/>
        <v>4-stroke MC 50-250 cc motorcycle -- 27%</v>
      </c>
      <c r="V21" s="383" t="s">
        <v>84</v>
      </c>
      <c r="W21" s="383" t="s">
        <v>85</v>
      </c>
    </row>
    <row r="22" spans="2:23">
      <c r="B22" s="85">
        <v>0.3154296707848</v>
      </c>
      <c r="C22" s="86">
        <v>4641.47609894753</v>
      </c>
      <c r="D22" s="86">
        <v>2995.6373144863</v>
      </c>
      <c r="E22" s="86">
        <v>2848.45737499831</v>
      </c>
      <c r="F22" s="86">
        <v>2848.45737499831</v>
      </c>
      <c r="J22" t="str">
        <f t="shared" si="1"/>
        <v>Trd_2w_gsl150</v>
      </c>
      <c r="K22" t="str">
        <f t="shared" si="9"/>
        <v>Trd_2w_gsl150_32</v>
      </c>
      <c r="L22" t="str">
        <f t="shared" si="3"/>
        <v>Trd_2w</v>
      </c>
      <c r="M22" s="380">
        <f t="shared" si="10"/>
        <v>4641.47609894753</v>
      </c>
      <c r="N22" s="380">
        <f t="shared" si="11"/>
        <v>2995.6373144863</v>
      </c>
      <c r="O22" s="380">
        <f t="shared" si="12"/>
        <v>2848.45737499831</v>
      </c>
      <c r="P22" s="380">
        <f t="shared" si="13"/>
        <v>2848.45737499831</v>
      </c>
      <c r="S22" t="s">
        <v>83</v>
      </c>
      <c r="T22" t="str">
        <f t="shared" si="6"/>
        <v>Trd_2w_gsl150_32</v>
      </c>
      <c r="U22" t="str">
        <f ca="1" t="shared" si="7"/>
        <v>4-stroke MC 50-250 cc motorcycle -- 32%</v>
      </c>
      <c r="V22" s="383" t="s">
        <v>84</v>
      </c>
      <c r="W22" s="383" t="s">
        <v>85</v>
      </c>
    </row>
    <row r="23" spans="10:23">
      <c r="J23" t="str">
        <f t="shared" si="1"/>
        <v>Trd_2w_gsl150</v>
      </c>
      <c r="K23" t="str">
        <f t="shared" si="9"/>
        <v>\I:</v>
      </c>
      <c r="L23" t="str">
        <f t="shared" si="3"/>
        <v>\I:</v>
      </c>
      <c r="M23" s="380" t="str">
        <f t="shared" si="10"/>
        <v/>
      </c>
      <c r="N23" s="380" t="str">
        <f t="shared" si="11"/>
        <v/>
      </c>
      <c r="O23" s="380" t="str">
        <f t="shared" si="12"/>
        <v/>
      </c>
      <c r="P23" s="380" t="str">
        <f t="shared" si="13"/>
        <v/>
      </c>
      <c r="S23" t="s">
        <v>83</v>
      </c>
      <c r="T23" t="str">
        <f t="shared" si="6"/>
        <v>\I:</v>
      </c>
      <c r="U23" t="str">
        <f ca="1" t="shared" si="7"/>
        <v>4-stroke MC 50-250 cc motorcycle -- 00%</v>
      </c>
      <c r="V23" s="383" t="s">
        <v>84</v>
      </c>
      <c r="W23" s="383" t="s">
        <v>85</v>
      </c>
    </row>
    <row r="24" spans="10:23">
      <c r="J24" t="str">
        <f t="shared" si="1"/>
        <v>Trd_2w_gsl150</v>
      </c>
      <c r="K24" t="str">
        <f t="shared" si="9"/>
        <v>\I:</v>
      </c>
      <c r="L24" t="str">
        <f t="shared" si="3"/>
        <v>\I:</v>
      </c>
      <c r="M24" s="380" t="str">
        <f t="shared" si="10"/>
        <v/>
      </c>
      <c r="N24" s="380" t="str">
        <f t="shared" si="11"/>
        <v/>
      </c>
      <c r="O24" s="380" t="str">
        <f t="shared" si="12"/>
        <v/>
      </c>
      <c r="P24" s="380" t="str">
        <f t="shared" si="13"/>
        <v/>
      </c>
      <c r="T24" t="str">
        <f t="shared" ref="T24:T87" si="14">K24</f>
        <v>\I:</v>
      </c>
      <c r="U24" t="str">
        <f ca="1" t="shared" ref="U24:U87" si="15">OFFSET($S$1,MATCH(J24,$S$1:$S$11,0)-1,-1)&amp;" -- "&amp;TEXT(B24,"00%")</f>
        <v>4-stroke MC 50-250 cc motorcycle -- 00%</v>
      </c>
      <c r="V24" s="383" t="s">
        <v>84</v>
      </c>
      <c r="W24" s="383" t="s">
        <v>85</v>
      </c>
    </row>
    <row r="25" spans="10:23">
      <c r="J25" t="str">
        <f t="shared" si="1"/>
        <v>Trd_2w_gsl150</v>
      </c>
      <c r="K25" t="str">
        <f t="shared" si="9"/>
        <v>\I:</v>
      </c>
      <c r="L25" t="str">
        <f t="shared" si="3"/>
        <v>\I:</v>
      </c>
      <c r="M25" s="380" t="str">
        <f t="shared" si="10"/>
        <v/>
      </c>
      <c r="N25" s="380" t="str">
        <f t="shared" si="11"/>
        <v/>
      </c>
      <c r="O25" s="380" t="str">
        <f t="shared" si="12"/>
        <v/>
      </c>
      <c r="P25" s="380" t="str">
        <f t="shared" si="13"/>
        <v/>
      </c>
      <c r="T25" t="str">
        <f t="shared" si="14"/>
        <v>\I:</v>
      </c>
      <c r="U25" t="str">
        <f ca="1" t="shared" si="15"/>
        <v>4-stroke MC 50-250 cc motorcycle -- 00%</v>
      </c>
      <c r="V25" s="383" t="s">
        <v>84</v>
      </c>
      <c r="W25" s="383" t="s">
        <v>85</v>
      </c>
    </row>
    <row r="26" spans="10:23">
      <c r="J26" t="str">
        <f t="shared" si="1"/>
        <v>Trd_2w_gsl150</v>
      </c>
      <c r="K26" t="str">
        <f t="shared" si="9"/>
        <v>\I:</v>
      </c>
      <c r="L26" t="str">
        <f t="shared" si="3"/>
        <v>\I:</v>
      </c>
      <c r="M26" s="380" t="str">
        <f t="shared" si="10"/>
        <v/>
      </c>
      <c r="N26" s="380" t="str">
        <f t="shared" si="11"/>
        <v/>
      </c>
      <c r="O26" s="380" t="str">
        <f t="shared" si="12"/>
        <v/>
      </c>
      <c r="P26" s="380" t="str">
        <f t="shared" si="13"/>
        <v/>
      </c>
      <c r="T26" t="str">
        <f t="shared" si="14"/>
        <v>\I:</v>
      </c>
      <c r="U26" t="str">
        <f ca="1" t="shared" si="15"/>
        <v>4-stroke MC 50-250 cc motorcycle -- 00%</v>
      </c>
      <c r="V26" s="383" t="s">
        <v>84</v>
      </c>
      <c r="W26" s="383" t="s">
        <v>85</v>
      </c>
    </row>
    <row r="27" spans="2:23">
      <c r="B27" s="43" t="s">
        <v>141</v>
      </c>
      <c r="J27" t="str">
        <f t="shared" si="1"/>
        <v>Trd_2w_gsl150</v>
      </c>
      <c r="K27" t="str">
        <f t="shared" si="9"/>
        <v>\I:</v>
      </c>
      <c r="L27" t="str">
        <f t="shared" si="3"/>
        <v>\I:</v>
      </c>
      <c r="M27" s="380" t="str">
        <f t="shared" si="10"/>
        <v/>
      </c>
      <c r="N27" s="380" t="str">
        <f t="shared" si="11"/>
        <v/>
      </c>
      <c r="O27" s="380" t="str">
        <f t="shared" si="12"/>
        <v/>
      </c>
      <c r="P27" s="380" t="str">
        <f t="shared" si="13"/>
        <v/>
      </c>
      <c r="T27" t="str">
        <f t="shared" si="14"/>
        <v>\I:</v>
      </c>
      <c r="U27" t="str">
        <f ca="1" t="shared" si="15"/>
        <v>4-stroke MC 50-250 cc motorcycle -- Reference values for 4-stroke MC 250-750 cc motorcycle</v>
      </c>
      <c r="V27" s="383" t="s">
        <v>84</v>
      </c>
      <c r="W27" s="383" t="s">
        <v>85</v>
      </c>
    </row>
    <row r="28" ht="15" customHeight="1" spans="2:23">
      <c r="B28" s="372">
        <v>2015</v>
      </c>
      <c r="C28" s="372"/>
      <c r="D28" s="372"/>
      <c r="J28" t="str">
        <f t="shared" si="1"/>
        <v>Trd_2w_gsl150</v>
      </c>
      <c r="K28" t="str">
        <f t="shared" si="9"/>
        <v>\I:</v>
      </c>
      <c r="L28" t="str">
        <f t="shared" si="3"/>
        <v>\I:</v>
      </c>
      <c r="M28" s="380" t="str">
        <f t="shared" si="10"/>
        <v/>
      </c>
      <c r="N28" s="380" t="str">
        <f t="shared" si="11"/>
        <v/>
      </c>
      <c r="O28" s="380" t="str">
        <f t="shared" si="12"/>
        <v/>
      </c>
      <c r="P28" s="380" t="str">
        <f t="shared" si="13"/>
        <v/>
      </c>
      <c r="T28" t="str">
        <f t="shared" si="14"/>
        <v>\I:</v>
      </c>
      <c r="U28" t="str">
        <f ca="1" t="shared" si="15"/>
        <v>4-stroke MC 50-250 cc motorcycle -- 201500%</v>
      </c>
      <c r="V28" s="383" t="s">
        <v>84</v>
      </c>
      <c r="W28" s="383" t="s">
        <v>85</v>
      </c>
    </row>
    <row r="29" spans="2:23">
      <c r="B29" s="45" t="s">
        <v>12</v>
      </c>
      <c r="C29" s="46" t="s">
        <v>13</v>
      </c>
      <c r="D29" s="47">
        <v>4.40705451685865</v>
      </c>
      <c r="G29" s="373">
        <f>D29*$I$4/100*10^9/10^6</f>
        <v>1.38980871243654</v>
      </c>
      <c r="H29" s="373"/>
      <c r="I29" s="373">
        <f>1/G29</f>
        <v>0.719523479059827</v>
      </c>
      <c r="J29" t="str">
        <f t="shared" si="1"/>
        <v>Trd_2w_gsl150</v>
      </c>
      <c r="K29" t="str">
        <f t="shared" si="9"/>
        <v>\I:</v>
      </c>
      <c r="L29" t="str">
        <f t="shared" si="3"/>
        <v>\I:</v>
      </c>
      <c r="M29" s="380" t="str">
        <f t="shared" si="10"/>
        <v/>
      </c>
      <c r="N29" s="380" t="str">
        <f t="shared" si="11"/>
        <v/>
      </c>
      <c r="O29" s="380" t="str">
        <f t="shared" si="12"/>
        <v/>
      </c>
      <c r="P29" s="380" t="str">
        <f t="shared" si="13"/>
        <v/>
      </c>
      <c r="T29" t="str">
        <f t="shared" si="14"/>
        <v>\I:</v>
      </c>
      <c r="U29" t="str">
        <f ca="1" t="shared" si="15"/>
        <v>4-stroke MC 50-250 cc motorcycle -- Energy consumption</v>
      </c>
      <c r="V29" s="383" t="s">
        <v>84</v>
      </c>
      <c r="W29" s="383" t="s">
        <v>85</v>
      </c>
    </row>
    <row r="30" spans="2:23">
      <c r="B30" s="45" t="s">
        <v>14</v>
      </c>
      <c r="C30" s="46" t="s">
        <v>15</v>
      </c>
      <c r="D30" s="68">
        <v>6006.1537284368</v>
      </c>
      <c r="I30" s="43" t="s">
        <v>70</v>
      </c>
      <c r="J30" t="str">
        <f t="shared" si="1"/>
        <v>Trd_2w_gsl150</v>
      </c>
      <c r="K30" t="str">
        <f t="shared" si="9"/>
        <v>\I:</v>
      </c>
      <c r="L30" t="str">
        <f t="shared" si="3"/>
        <v>\I:</v>
      </c>
      <c r="M30" s="380" t="str">
        <f t="shared" si="10"/>
        <v/>
      </c>
      <c r="N30" s="380" t="str">
        <f t="shared" si="11"/>
        <v/>
      </c>
      <c r="O30" s="380" t="str">
        <f t="shared" si="12"/>
        <v/>
      </c>
      <c r="P30" s="380" t="str">
        <f t="shared" si="13"/>
        <v/>
      </c>
      <c r="T30" t="str">
        <f t="shared" si="14"/>
        <v>\I:</v>
      </c>
      <c r="U30" t="str">
        <f ca="1" t="shared" si="15"/>
        <v>4-stroke MC 50-250 cc motorcycle -- Capital cost</v>
      </c>
      <c r="V30" s="383" t="s">
        <v>84</v>
      </c>
      <c r="W30" s="383" t="s">
        <v>85</v>
      </c>
    </row>
    <row r="31" spans="10:23">
      <c r="J31" t="str">
        <f t="shared" si="1"/>
        <v>Trd_2w_gsl150</v>
      </c>
      <c r="K31" t="str">
        <f t="shared" si="9"/>
        <v>\I:</v>
      </c>
      <c r="L31" t="str">
        <f t="shared" si="3"/>
        <v>\I:</v>
      </c>
      <c r="M31" s="380" t="str">
        <f t="shared" si="10"/>
        <v/>
      </c>
      <c r="N31" s="380" t="str">
        <f t="shared" si="11"/>
        <v/>
      </c>
      <c r="O31" s="380" t="str">
        <f t="shared" si="12"/>
        <v/>
      </c>
      <c r="P31" s="380" t="str">
        <f t="shared" si="13"/>
        <v/>
      </c>
      <c r="T31" t="str">
        <f t="shared" si="14"/>
        <v>\I:</v>
      </c>
      <c r="U31" t="str">
        <f ca="1" t="shared" si="15"/>
        <v>4-stroke MC 50-250 cc motorcycle -- 00%</v>
      </c>
      <c r="V31" s="383" t="s">
        <v>84</v>
      </c>
      <c r="W31" s="383" t="s">
        <v>85</v>
      </c>
    </row>
    <row r="32" ht="15" customHeight="1" spans="2:23">
      <c r="B32" s="389" t="s">
        <v>140</v>
      </c>
      <c r="C32" s="389" t="s">
        <v>128</v>
      </c>
      <c r="D32" s="389"/>
      <c r="E32" s="389"/>
      <c r="F32" s="389"/>
      <c r="J32" t="str">
        <f t="shared" si="1"/>
        <v>Trd_2w_gsl500</v>
      </c>
      <c r="K32" t="str">
        <f t="shared" si="9"/>
        <v>\I:</v>
      </c>
      <c r="L32" t="str">
        <f t="shared" si="3"/>
        <v>\I:</v>
      </c>
      <c r="M32" s="380" t="str">
        <f t="shared" si="10"/>
        <v/>
      </c>
      <c r="N32" s="380" t="str">
        <f t="shared" si="11"/>
        <v/>
      </c>
      <c r="O32" s="380" t="str">
        <f t="shared" si="12"/>
        <v/>
      </c>
      <c r="P32" s="380" t="str">
        <f t="shared" si="13"/>
        <v/>
      </c>
      <c r="T32" t="str">
        <f t="shared" si="14"/>
        <v>\I:</v>
      </c>
      <c r="U32" t="str">
        <f ca="1" t="shared" si="15"/>
        <v>4-stroke MC 250-750 cc motorcycle -- Reduction of specific energy consumption relative to 2015 (%)</v>
      </c>
      <c r="V32" s="383" t="s">
        <v>84</v>
      </c>
      <c r="W32" s="383" t="s">
        <v>85</v>
      </c>
    </row>
    <row r="33" spans="2:23">
      <c r="B33" s="389"/>
      <c r="C33" s="389"/>
      <c r="D33" s="389"/>
      <c r="E33" s="389"/>
      <c r="F33" s="389"/>
      <c r="J33" t="str">
        <f t="shared" si="1"/>
        <v>Trd_2w_gsl500</v>
      </c>
      <c r="K33" t="str">
        <f t="shared" si="9"/>
        <v>\I:</v>
      </c>
      <c r="L33" t="str">
        <f t="shared" si="3"/>
        <v>\I:</v>
      </c>
      <c r="M33" s="380" t="str">
        <f t="shared" si="10"/>
        <v/>
      </c>
      <c r="N33" s="380" t="str">
        <f t="shared" si="11"/>
        <v/>
      </c>
      <c r="O33" s="380" t="str">
        <f t="shared" si="12"/>
        <v/>
      </c>
      <c r="P33" s="380" t="str">
        <f t="shared" si="13"/>
        <v/>
      </c>
      <c r="T33" t="str">
        <f t="shared" si="14"/>
        <v>\I:</v>
      </c>
      <c r="U33" t="str">
        <f ca="1" t="shared" si="15"/>
        <v>4-stroke MC 250-750 cc motorcycle -- 00%</v>
      </c>
      <c r="V33" s="383" t="s">
        <v>84</v>
      </c>
      <c r="W33" s="383" t="s">
        <v>85</v>
      </c>
    </row>
    <row r="34" spans="2:23">
      <c r="B34" s="389"/>
      <c r="C34" s="389"/>
      <c r="D34" s="389"/>
      <c r="E34" s="389"/>
      <c r="F34" s="389"/>
      <c r="J34" t="str">
        <f t="shared" si="1"/>
        <v>Trd_2w_gsl500</v>
      </c>
      <c r="K34" t="str">
        <f t="shared" si="9"/>
        <v>\I:</v>
      </c>
      <c r="L34" t="str">
        <f t="shared" si="3"/>
        <v>\I:</v>
      </c>
      <c r="M34" s="380" t="str">
        <f t="shared" si="10"/>
        <v/>
      </c>
      <c r="N34" s="380" t="str">
        <f t="shared" si="11"/>
        <v/>
      </c>
      <c r="O34" s="380" t="str">
        <f t="shared" si="12"/>
        <v/>
      </c>
      <c r="P34" s="380" t="str">
        <f t="shared" si="13"/>
        <v/>
      </c>
      <c r="T34" t="str">
        <f t="shared" si="14"/>
        <v>\I:</v>
      </c>
      <c r="U34" t="str">
        <f ca="1" t="shared" si="15"/>
        <v>4-stroke MC 250-750 cc motorcycle -- 00%</v>
      </c>
      <c r="V34" s="383" t="s">
        <v>84</v>
      </c>
      <c r="W34" s="383" t="s">
        <v>85</v>
      </c>
    </row>
    <row r="35" spans="2:23">
      <c r="B35" s="49"/>
      <c r="C35" s="50">
        <v>2020</v>
      </c>
      <c r="D35" s="50">
        <v>2030</v>
      </c>
      <c r="E35" s="50">
        <v>2040</v>
      </c>
      <c r="F35" s="50">
        <v>2050</v>
      </c>
      <c r="J35" t="str">
        <f t="shared" si="1"/>
        <v>Trd_2w_gsl500</v>
      </c>
      <c r="K35" t="str">
        <f t="shared" si="9"/>
        <v>\I:</v>
      </c>
      <c r="L35" t="str">
        <f t="shared" si="3"/>
        <v>\I:</v>
      </c>
      <c r="M35" s="380" t="str">
        <f t="shared" si="10"/>
        <v/>
      </c>
      <c r="N35" s="380" t="str">
        <f t="shared" si="11"/>
        <v/>
      </c>
      <c r="O35" s="380" t="str">
        <f t="shared" si="12"/>
        <v/>
      </c>
      <c r="P35" s="380" t="str">
        <f t="shared" si="13"/>
        <v/>
      </c>
      <c r="T35" t="str">
        <f t="shared" si="14"/>
        <v>\I:</v>
      </c>
      <c r="U35" t="str">
        <f ca="1" t="shared" si="15"/>
        <v>4-stroke MC 250-750 cc motorcycle -- 00%</v>
      </c>
      <c r="V35" s="383" t="s">
        <v>84</v>
      </c>
      <c r="W35" s="383" t="s">
        <v>85</v>
      </c>
    </row>
    <row r="36" spans="2:23">
      <c r="B36" s="85">
        <v>0.0181363576788854</v>
      </c>
      <c r="C36" s="86">
        <v>6040.16590734703</v>
      </c>
      <c r="D36" s="86">
        <v>6040.16590734703</v>
      </c>
      <c r="E36" s="86">
        <v>6040.16590734703</v>
      </c>
      <c r="F36" s="86">
        <v>6040.16590734703</v>
      </c>
      <c r="I36" s="379">
        <f>$I$29/$I$7*(1+B36)</f>
        <v>0.740202508286486</v>
      </c>
      <c r="J36" t="str">
        <f t="shared" si="1"/>
        <v>Trd_2w_gsl500</v>
      </c>
      <c r="K36" t="str">
        <f t="shared" si="9"/>
        <v>Trd_2w_gsl500_02</v>
      </c>
      <c r="L36" t="str">
        <f t="shared" si="3"/>
        <v>Trd_2w</v>
      </c>
      <c r="M36" s="380">
        <f t="shared" si="10"/>
        <v>6040.16590734703</v>
      </c>
      <c r="N36" s="380">
        <f t="shared" si="11"/>
        <v>6040.16590734703</v>
      </c>
      <c r="O36" s="380">
        <f t="shared" si="12"/>
        <v>6040.16590734703</v>
      </c>
      <c r="P36" s="380">
        <f t="shared" si="13"/>
        <v>6040.16590734703</v>
      </c>
      <c r="T36" t="str">
        <f t="shared" si="14"/>
        <v>Trd_2w_gsl500_02</v>
      </c>
      <c r="U36" t="str">
        <f ca="1" t="shared" si="15"/>
        <v>4-stroke MC 250-750 cc motorcycle -- 02%</v>
      </c>
      <c r="V36" s="383" t="s">
        <v>84</v>
      </c>
      <c r="W36" s="383" t="s">
        <v>85</v>
      </c>
    </row>
    <row r="37" spans="2:23">
      <c r="B37" s="85">
        <v>0.0681363576788853</v>
      </c>
      <c r="C37" s="86">
        <v>6180.43305991052</v>
      </c>
      <c r="D37" s="86">
        <v>6133.93384993077</v>
      </c>
      <c r="E37" s="86">
        <v>6133.93384993077</v>
      </c>
      <c r="F37" s="86">
        <v>6133.93384993077</v>
      </c>
      <c r="I37" s="379">
        <f t="shared" ref="I37:I42" si="16">$I$29/$I$7*(1+B37)</f>
        <v>0.776553361622771</v>
      </c>
      <c r="J37" t="str">
        <f t="shared" si="1"/>
        <v>Trd_2w_gsl500</v>
      </c>
      <c r="K37" t="str">
        <f t="shared" si="9"/>
        <v>Trd_2w_gsl500_07</v>
      </c>
      <c r="L37" t="str">
        <f t="shared" si="3"/>
        <v>Trd_2w</v>
      </c>
      <c r="M37" s="380">
        <f t="shared" si="10"/>
        <v>6180.43305991052</v>
      </c>
      <c r="N37" s="380">
        <f t="shared" si="11"/>
        <v>6133.93384993077</v>
      </c>
      <c r="O37" s="380">
        <f t="shared" si="12"/>
        <v>6133.93384993077</v>
      </c>
      <c r="P37" s="380">
        <f t="shared" si="13"/>
        <v>6133.93384993077</v>
      </c>
      <c r="T37" t="str">
        <f t="shared" si="14"/>
        <v>Trd_2w_gsl500_07</v>
      </c>
      <c r="U37" t="str">
        <f ca="1" t="shared" si="15"/>
        <v>4-stroke MC 250-750 cc motorcycle -- 07%</v>
      </c>
      <c r="V37" s="383" t="s">
        <v>84</v>
      </c>
      <c r="W37" s="383" t="s">
        <v>85</v>
      </c>
    </row>
    <row r="38" spans="2:23">
      <c r="B38" s="85">
        <v>0.118136357678885</v>
      </c>
      <c r="C38" s="86">
        <v>6261.72753585592</v>
      </c>
      <c r="D38" s="86">
        <v>6227.7017925145</v>
      </c>
      <c r="E38" s="86">
        <v>6227.7017925145</v>
      </c>
      <c r="F38" s="86">
        <v>6227.7017925145</v>
      </c>
      <c r="I38" s="379">
        <f t="shared" si="16"/>
        <v>0.812904214959055</v>
      </c>
      <c r="J38" t="str">
        <f t="shared" si="1"/>
        <v>Trd_2w_gsl500</v>
      </c>
      <c r="K38" t="str">
        <f t="shared" si="9"/>
        <v>Trd_2w_gsl500_12</v>
      </c>
      <c r="L38" t="str">
        <f t="shared" si="3"/>
        <v>Trd_2w</v>
      </c>
      <c r="M38" s="380">
        <f t="shared" si="10"/>
        <v>6261.72753585592</v>
      </c>
      <c r="N38" s="380">
        <f t="shared" si="11"/>
        <v>6227.7017925145</v>
      </c>
      <c r="O38" s="380">
        <f t="shared" si="12"/>
        <v>6227.7017925145</v>
      </c>
      <c r="P38" s="380">
        <f t="shared" si="13"/>
        <v>6227.7017925145</v>
      </c>
      <c r="T38" t="str">
        <f t="shared" si="14"/>
        <v>Trd_2w_gsl500_12</v>
      </c>
      <c r="U38" t="str">
        <f ca="1" t="shared" si="15"/>
        <v>4-stroke MC 250-750 cc motorcycle -- 12%</v>
      </c>
      <c r="V38" s="383" t="s">
        <v>84</v>
      </c>
      <c r="W38" s="383" t="s">
        <v>85</v>
      </c>
    </row>
    <row r="39" spans="2:23">
      <c r="B39" s="85">
        <v>0.168136357678885</v>
      </c>
      <c r="C39" s="86">
        <v>6605.83539547427</v>
      </c>
      <c r="D39" s="86">
        <v>6321.46973509823</v>
      </c>
      <c r="E39" s="86">
        <v>6321.46973509823</v>
      </c>
      <c r="F39" s="86">
        <v>6321.46973509823</v>
      </c>
      <c r="I39" s="379">
        <f t="shared" si="16"/>
        <v>0.84925506829534</v>
      </c>
      <c r="J39" t="str">
        <f t="shared" si="1"/>
        <v>Trd_2w_gsl500</v>
      </c>
      <c r="K39" t="str">
        <f t="shared" si="9"/>
        <v>Trd_2w_gsl500_17</v>
      </c>
      <c r="L39" t="str">
        <f t="shared" si="3"/>
        <v>Trd_2w</v>
      </c>
      <c r="M39" s="380">
        <f t="shared" si="10"/>
        <v>6605.83539547427</v>
      </c>
      <c r="N39" s="380">
        <f t="shared" si="11"/>
        <v>6321.46973509823</v>
      </c>
      <c r="O39" s="380">
        <f t="shared" si="12"/>
        <v>6321.46973509823</v>
      </c>
      <c r="P39" s="380">
        <f t="shared" si="13"/>
        <v>6321.46973509823</v>
      </c>
      <c r="T39" t="str">
        <f t="shared" si="14"/>
        <v>Trd_2w_gsl500_17</v>
      </c>
      <c r="U39" t="str">
        <f ca="1" t="shared" si="15"/>
        <v>4-stroke MC 250-750 cc motorcycle -- 17%</v>
      </c>
      <c r="V39" s="383" t="s">
        <v>84</v>
      </c>
      <c r="W39" s="383" t="s">
        <v>85</v>
      </c>
    </row>
    <row r="40" spans="2:23">
      <c r="B40" s="85">
        <v>0.218136357678885</v>
      </c>
      <c r="C40" s="86">
        <v>6724.00330557725</v>
      </c>
      <c r="D40" s="86">
        <v>6415.23767768196</v>
      </c>
      <c r="E40" s="86">
        <v>6415.23767768196</v>
      </c>
      <c r="F40" s="86">
        <v>6415.23767768196</v>
      </c>
      <c r="I40" s="379">
        <f t="shared" si="16"/>
        <v>0.885605921631625</v>
      </c>
      <c r="J40" t="str">
        <f t="shared" si="1"/>
        <v>Trd_2w_gsl500</v>
      </c>
      <c r="K40" t="str">
        <f t="shared" si="9"/>
        <v>Trd_2w_gsl500_22</v>
      </c>
      <c r="L40" t="str">
        <f t="shared" si="3"/>
        <v>Trd_2w</v>
      </c>
      <c r="M40" s="380">
        <f t="shared" si="10"/>
        <v>6724.00330557725</v>
      </c>
      <c r="N40" s="380">
        <f t="shared" si="11"/>
        <v>6415.23767768196</v>
      </c>
      <c r="O40" s="380">
        <f t="shared" si="12"/>
        <v>6415.23767768196</v>
      </c>
      <c r="P40" s="380">
        <f t="shared" si="13"/>
        <v>6415.23767768196</v>
      </c>
      <c r="T40" t="str">
        <f t="shared" si="14"/>
        <v>Trd_2w_gsl500_22</v>
      </c>
      <c r="U40" t="str">
        <f ca="1" t="shared" si="15"/>
        <v>4-stroke MC 250-750 cc motorcycle -- 22%</v>
      </c>
      <c r="V40" s="383" t="s">
        <v>84</v>
      </c>
      <c r="W40" s="383" t="s">
        <v>85</v>
      </c>
    </row>
    <row r="41" spans="2:23">
      <c r="B41" s="85">
        <v>0.268136357678885</v>
      </c>
      <c r="C41" s="86">
        <v>7627.86665824243</v>
      </c>
      <c r="D41" s="86">
        <v>6514.40742540709</v>
      </c>
      <c r="E41" s="86">
        <v>6509.00562026569</v>
      </c>
      <c r="F41" s="86">
        <v>6509.00562026569</v>
      </c>
      <c r="I41" s="379">
        <f t="shared" si="16"/>
        <v>0.92195677496791</v>
      </c>
      <c r="J41" t="str">
        <f t="shared" si="1"/>
        <v>Trd_2w_gsl500</v>
      </c>
      <c r="K41" t="str">
        <f t="shared" si="9"/>
        <v>Trd_2w_gsl500_27</v>
      </c>
      <c r="L41" t="str">
        <f t="shared" si="3"/>
        <v>Trd_2w</v>
      </c>
      <c r="M41" s="380">
        <f t="shared" si="10"/>
        <v>7627.86665824243</v>
      </c>
      <c r="N41" s="380">
        <f t="shared" si="11"/>
        <v>6514.40742540709</v>
      </c>
      <c r="O41" s="380">
        <f t="shared" si="12"/>
        <v>6509.00562026569</v>
      </c>
      <c r="P41" s="380">
        <f t="shared" si="13"/>
        <v>6509.00562026569</v>
      </c>
      <c r="T41" t="str">
        <f t="shared" si="14"/>
        <v>Trd_2w_gsl500_27</v>
      </c>
      <c r="U41" t="str">
        <f ca="1" t="shared" si="15"/>
        <v>4-stroke MC 250-750 cc motorcycle -- 27%</v>
      </c>
      <c r="V41" s="383" t="s">
        <v>84</v>
      </c>
      <c r="W41" s="383" t="s">
        <v>85</v>
      </c>
    </row>
    <row r="42" spans="2:23">
      <c r="B42" s="85">
        <v>0.318136357678885</v>
      </c>
      <c r="C42" s="86">
        <v>9964.68367025422</v>
      </c>
      <c r="D42" s="86">
        <v>6878.73594938942</v>
      </c>
      <c r="E42" s="86">
        <v>6602.77356284943</v>
      </c>
      <c r="F42" s="86">
        <v>6602.77356284943</v>
      </c>
      <c r="I42" s="379">
        <f t="shared" si="16"/>
        <v>0.958307628304194</v>
      </c>
      <c r="J42" t="str">
        <f t="shared" si="1"/>
        <v>Trd_2w_gsl500</v>
      </c>
      <c r="K42" t="str">
        <f t="shared" si="9"/>
        <v>Trd_2w_gsl500_32</v>
      </c>
      <c r="L42" t="str">
        <f t="shared" si="3"/>
        <v>Trd_2w</v>
      </c>
      <c r="M42" s="380">
        <f t="shared" si="10"/>
        <v>9964.68367025422</v>
      </c>
      <c r="N42" s="380">
        <f t="shared" si="11"/>
        <v>6878.73594938942</v>
      </c>
      <c r="O42" s="380">
        <f t="shared" si="12"/>
        <v>6602.77356284943</v>
      </c>
      <c r="P42" s="380">
        <f t="shared" si="13"/>
        <v>6602.77356284943</v>
      </c>
      <c r="T42" t="str">
        <f t="shared" si="14"/>
        <v>Trd_2w_gsl500_32</v>
      </c>
      <c r="U42" t="str">
        <f ca="1" t="shared" si="15"/>
        <v>4-stroke MC 250-750 cc motorcycle -- 32%</v>
      </c>
      <c r="V42" s="383" t="s">
        <v>84</v>
      </c>
      <c r="W42" s="383" t="s">
        <v>85</v>
      </c>
    </row>
    <row r="43" spans="10:23">
      <c r="J43" t="str">
        <f t="shared" si="1"/>
        <v>Trd_2w_gsl500</v>
      </c>
      <c r="K43" t="str">
        <f t="shared" si="9"/>
        <v>\I:</v>
      </c>
      <c r="L43" t="str">
        <f t="shared" si="3"/>
        <v>\I:</v>
      </c>
      <c r="M43" s="380" t="str">
        <f t="shared" si="10"/>
        <v/>
      </c>
      <c r="N43" s="380" t="str">
        <f t="shared" si="11"/>
        <v/>
      </c>
      <c r="O43" s="380" t="str">
        <f t="shared" si="12"/>
        <v/>
      </c>
      <c r="P43" s="380" t="str">
        <f t="shared" si="13"/>
        <v/>
      </c>
      <c r="T43" t="str">
        <f t="shared" si="14"/>
        <v>\I:</v>
      </c>
      <c r="U43" t="str">
        <f ca="1" t="shared" si="15"/>
        <v>4-stroke MC 250-750 cc motorcycle -- 00%</v>
      </c>
      <c r="V43" s="383" t="s">
        <v>84</v>
      </c>
      <c r="W43" s="383" t="s">
        <v>85</v>
      </c>
    </row>
    <row r="44" spans="10:23">
      <c r="J44" t="str">
        <f t="shared" si="1"/>
        <v>Trd_2w_gsl500</v>
      </c>
      <c r="K44" t="str">
        <f t="shared" si="9"/>
        <v>\I:</v>
      </c>
      <c r="L44" t="str">
        <f t="shared" si="3"/>
        <v>\I:</v>
      </c>
      <c r="M44" s="380" t="str">
        <f t="shared" si="10"/>
        <v/>
      </c>
      <c r="N44" s="380" t="str">
        <f t="shared" si="11"/>
        <v/>
      </c>
      <c r="O44" s="380" t="str">
        <f t="shared" si="12"/>
        <v/>
      </c>
      <c r="P44" s="380" t="str">
        <f t="shared" si="13"/>
        <v/>
      </c>
      <c r="T44" t="str">
        <f t="shared" si="14"/>
        <v>\I:</v>
      </c>
      <c r="U44" t="str">
        <f ca="1" t="shared" si="15"/>
        <v>4-stroke MC 250-750 cc motorcycle -- 00%</v>
      </c>
      <c r="V44" s="383" t="s">
        <v>84</v>
      </c>
      <c r="W44" s="383" t="s">
        <v>85</v>
      </c>
    </row>
    <row r="45" spans="10:23">
      <c r="J45" t="str">
        <f t="shared" si="1"/>
        <v>Trd_2w_gsl500</v>
      </c>
      <c r="K45" t="str">
        <f t="shared" si="9"/>
        <v>\I:</v>
      </c>
      <c r="L45" t="str">
        <f t="shared" si="3"/>
        <v>\I:</v>
      </c>
      <c r="M45" s="380" t="str">
        <f t="shared" si="10"/>
        <v/>
      </c>
      <c r="N45" s="380" t="str">
        <f t="shared" si="11"/>
        <v/>
      </c>
      <c r="O45" s="380" t="str">
        <f t="shared" si="12"/>
        <v/>
      </c>
      <c r="P45" s="380" t="str">
        <f t="shared" si="13"/>
        <v/>
      </c>
      <c r="T45" t="str">
        <f t="shared" si="14"/>
        <v>\I:</v>
      </c>
      <c r="U45" t="str">
        <f ca="1" t="shared" si="15"/>
        <v>4-stroke MC 250-750 cc motorcycle -- 00%</v>
      </c>
      <c r="V45" s="383" t="s">
        <v>84</v>
      </c>
      <c r="W45" s="383" t="s">
        <v>85</v>
      </c>
    </row>
    <row r="46" spans="10:23">
      <c r="J46" t="str">
        <f t="shared" si="1"/>
        <v>Trd_2w_gsl500</v>
      </c>
      <c r="K46" t="str">
        <f t="shared" si="9"/>
        <v>\I:</v>
      </c>
      <c r="L46" t="str">
        <f t="shared" si="3"/>
        <v>\I:</v>
      </c>
      <c r="M46" s="380" t="str">
        <f t="shared" si="10"/>
        <v/>
      </c>
      <c r="N46" s="380" t="str">
        <f t="shared" si="11"/>
        <v/>
      </c>
      <c r="O46" s="380" t="str">
        <f t="shared" si="12"/>
        <v/>
      </c>
      <c r="P46" s="380" t="str">
        <f t="shared" si="13"/>
        <v/>
      </c>
      <c r="T46" t="str">
        <f t="shared" si="14"/>
        <v>\I:</v>
      </c>
      <c r="U46" t="str">
        <f ca="1" t="shared" si="15"/>
        <v>4-stroke MC 250-750 cc motorcycle -- 00%</v>
      </c>
      <c r="V46" s="383" t="s">
        <v>84</v>
      </c>
      <c r="W46" s="383" t="s">
        <v>85</v>
      </c>
    </row>
    <row r="47" spans="2:23">
      <c r="B47" s="43" t="s">
        <v>142</v>
      </c>
      <c r="J47" t="str">
        <f t="shared" si="1"/>
        <v>Trd_2w_gsl500</v>
      </c>
      <c r="K47" t="str">
        <f t="shared" si="9"/>
        <v>\I:</v>
      </c>
      <c r="L47" t="str">
        <f t="shared" si="3"/>
        <v>\I:</v>
      </c>
      <c r="M47" s="380" t="str">
        <f t="shared" si="10"/>
        <v/>
      </c>
      <c r="N47" s="380" t="str">
        <f t="shared" si="11"/>
        <v/>
      </c>
      <c r="O47" s="380" t="str">
        <f t="shared" si="12"/>
        <v/>
      </c>
      <c r="P47" s="380" t="str">
        <f t="shared" si="13"/>
        <v/>
      </c>
      <c r="T47" t="str">
        <f t="shared" si="14"/>
        <v>\I:</v>
      </c>
      <c r="U47" t="str">
        <f ca="1" t="shared" si="15"/>
        <v>4-stroke MC 250-750 cc motorcycle -- Reference values for 4-stroke MC &gt;750 cc motorcycle</v>
      </c>
      <c r="V47" s="383" t="s">
        <v>84</v>
      </c>
      <c r="W47" s="383" t="s">
        <v>85</v>
      </c>
    </row>
    <row r="48" ht="15" customHeight="1" spans="2:23">
      <c r="B48" s="372">
        <v>2015</v>
      </c>
      <c r="C48" s="372"/>
      <c r="D48" s="372"/>
      <c r="J48" t="str">
        <f t="shared" si="1"/>
        <v>Trd_2w_gsl500</v>
      </c>
      <c r="K48" t="str">
        <f t="shared" si="9"/>
        <v>\I:</v>
      </c>
      <c r="L48" t="str">
        <f t="shared" si="3"/>
        <v>\I:</v>
      </c>
      <c r="M48" s="380" t="str">
        <f t="shared" si="10"/>
        <v/>
      </c>
      <c r="N48" s="380" t="str">
        <f t="shared" si="11"/>
        <v/>
      </c>
      <c r="O48" s="380" t="str">
        <f t="shared" si="12"/>
        <v/>
      </c>
      <c r="P48" s="380" t="str">
        <f t="shared" si="13"/>
        <v/>
      </c>
      <c r="T48" t="str">
        <f t="shared" si="14"/>
        <v>\I:</v>
      </c>
      <c r="U48" t="str">
        <f ca="1" t="shared" si="15"/>
        <v>4-stroke MC 250-750 cc motorcycle -- 201500%</v>
      </c>
      <c r="V48" s="383" t="s">
        <v>84</v>
      </c>
      <c r="W48" s="383" t="s">
        <v>85</v>
      </c>
    </row>
    <row r="49" spans="2:23">
      <c r="B49" s="45" t="s">
        <v>12</v>
      </c>
      <c r="C49" s="46" t="s">
        <v>13</v>
      </c>
      <c r="D49" s="47">
        <v>5.40232952265944</v>
      </c>
      <c r="G49" s="373">
        <f>D49*$I$4/100*10^9/10^6</f>
        <v>1.70367863826588</v>
      </c>
      <c r="H49" s="373"/>
      <c r="I49" s="377">
        <f>1/G49</f>
        <v>0.586965157359646</v>
      </c>
      <c r="J49" t="str">
        <f t="shared" si="1"/>
        <v>Trd_2w_gsl500</v>
      </c>
      <c r="K49" t="str">
        <f t="shared" si="9"/>
        <v>\I:</v>
      </c>
      <c r="L49" t="str">
        <f t="shared" si="3"/>
        <v>\I:</v>
      </c>
      <c r="M49" s="380" t="str">
        <f t="shared" si="10"/>
        <v/>
      </c>
      <c r="N49" s="380" t="str">
        <f t="shared" si="11"/>
        <v/>
      </c>
      <c r="O49" s="380" t="str">
        <f t="shared" si="12"/>
        <v/>
      </c>
      <c r="P49" s="380" t="str">
        <f t="shared" si="13"/>
        <v/>
      </c>
      <c r="T49" t="str">
        <f t="shared" si="14"/>
        <v>\I:</v>
      </c>
      <c r="U49" t="str">
        <f ca="1" t="shared" si="15"/>
        <v>4-stroke MC 250-750 cc motorcycle -- Energy consumption</v>
      </c>
      <c r="V49" s="383" t="s">
        <v>84</v>
      </c>
      <c r="W49" s="383" t="s">
        <v>85</v>
      </c>
    </row>
    <row r="50" spans="2:23">
      <c r="B50" s="45" t="s">
        <v>14</v>
      </c>
      <c r="C50" s="46" t="s">
        <v>15</v>
      </c>
      <c r="D50" s="68">
        <v>11061.5651294592</v>
      </c>
      <c r="I50" s="43" t="s">
        <v>70</v>
      </c>
      <c r="J50" t="str">
        <f t="shared" si="1"/>
        <v>Trd_2w_gsl500</v>
      </c>
      <c r="K50" t="str">
        <f t="shared" si="9"/>
        <v>\I:</v>
      </c>
      <c r="L50" t="str">
        <f t="shared" si="3"/>
        <v>\I:</v>
      </c>
      <c r="M50" s="380" t="str">
        <f t="shared" si="10"/>
        <v/>
      </c>
      <c r="N50" s="380" t="str">
        <f t="shared" si="11"/>
        <v/>
      </c>
      <c r="O50" s="380" t="str">
        <f t="shared" si="12"/>
        <v/>
      </c>
      <c r="P50" s="380" t="str">
        <f t="shared" si="13"/>
        <v/>
      </c>
      <c r="T50" t="str">
        <f t="shared" si="14"/>
        <v>\I:</v>
      </c>
      <c r="U50" t="str">
        <f ca="1" t="shared" si="15"/>
        <v>4-stroke MC 250-750 cc motorcycle -- Capital cost</v>
      </c>
      <c r="V50" s="383" t="s">
        <v>84</v>
      </c>
      <c r="W50" s="383" t="s">
        <v>85</v>
      </c>
    </row>
    <row r="51" spans="10:23">
      <c r="J51" t="str">
        <f t="shared" si="1"/>
        <v>Trd_2w_gsl500</v>
      </c>
      <c r="K51" t="str">
        <f t="shared" si="9"/>
        <v>\I:</v>
      </c>
      <c r="L51" t="str">
        <f t="shared" si="3"/>
        <v>\I:</v>
      </c>
      <c r="M51" s="380" t="str">
        <f t="shared" si="10"/>
        <v/>
      </c>
      <c r="N51" s="380" t="str">
        <f t="shared" si="11"/>
        <v/>
      </c>
      <c r="O51" s="380" t="str">
        <f t="shared" si="12"/>
        <v/>
      </c>
      <c r="P51" s="380" t="str">
        <f t="shared" si="13"/>
        <v/>
      </c>
      <c r="T51" t="str">
        <f t="shared" si="14"/>
        <v>\I:</v>
      </c>
      <c r="U51" t="str">
        <f ca="1" t="shared" si="15"/>
        <v>4-stroke MC 250-750 cc motorcycle -- 00%</v>
      </c>
      <c r="V51" s="383" t="s">
        <v>84</v>
      </c>
      <c r="W51" s="383" t="s">
        <v>85</v>
      </c>
    </row>
    <row r="52" ht="15" customHeight="1" spans="2:23">
      <c r="B52" s="389" t="s">
        <v>140</v>
      </c>
      <c r="C52" s="389" t="s">
        <v>129</v>
      </c>
      <c r="D52" s="389"/>
      <c r="E52" s="389"/>
      <c r="F52" s="389"/>
      <c r="J52" t="str">
        <f t="shared" si="1"/>
        <v>Trd_3w_gsl</v>
      </c>
      <c r="K52" t="str">
        <f t="shared" si="9"/>
        <v>\I:</v>
      </c>
      <c r="L52" t="str">
        <f t="shared" si="3"/>
        <v>\I:</v>
      </c>
      <c r="M52" s="380" t="str">
        <f t="shared" si="10"/>
        <v/>
      </c>
      <c r="N52" s="380" t="str">
        <f t="shared" si="11"/>
        <v/>
      </c>
      <c r="O52" s="380" t="str">
        <f t="shared" si="12"/>
        <v/>
      </c>
      <c r="P52" s="380" t="str">
        <f t="shared" si="13"/>
        <v/>
      </c>
      <c r="T52" t="str">
        <f t="shared" si="14"/>
        <v>\I:</v>
      </c>
      <c r="U52" t="str">
        <f ca="1" t="shared" si="15"/>
        <v>4-stroke MC &gt;750 cc motorcycle -- Reduction of specific energy consumption relative to 2015 (%)</v>
      </c>
      <c r="V52" s="383" t="s">
        <v>84</v>
      </c>
      <c r="W52" s="383" t="s">
        <v>85</v>
      </c>
    </row>
    <row r="53" spans="2:23">
      <c r="B53" s="389"/>
      <c r="C53" s="389"/>
      <c r="D53" s="389"/>
      <c r="E53" s="389"/>
      <c r="F53" s="389"/>
      <c r="J53" t="str">
        <f t="shared" si="1"/>
        <v>Trd_3w_gsl</v>
      </c>
      <c r="K53" t="str">
        <f t="shared" si="9"/>
        <v>\I:</v>
      </c>
      <c r="L53" t="str">
        <f t="shared" si="3"/>
        <v>\I:</v>
      </c>
      <c r="M53" s="380" t="str">
        <f t="shared" si="10"/>
        <v/>
      </c>
      <c r="N53" s="380" t="str">
        <f t="shared" si="11"/>
        <v/>
      </c>
      <c r="O53" s="380" t="str">
        <f t="shared" si="12"/>
        <v/>
      </c>
      <c r="P53" s="380" t="str">
        <f t="shared" si="13"/>
        <v/>
      </c>
      <c r="T53" t="str">
        <f t="shared" si="14"/>
        <v>\I:</v>
      </c>
      <c r="U53" t="str">
        <f ca="1" t="shared" si="15"/>
        <v>4-stroke MC &gt;750 cc motorcycle -- 00%</v>
      </c>
      <c r="V53" s="383" t="s">
        <v>84</v>
      </c>
      <c r="W53" s="383" t="s">
        <v>85</v>
      </c>
    </row>
    <row r="54" spans="2:23">
      <c r="B54" s="389"/>
      <c r="C54" s="389"/>
      <c r="D54" s="389"/>
      <c r="E54" s="389"/>
      <c r="F54" s="389"/>
      <c r="J54" t="str">
        <f t="shared" si="1"/>
        <v>Trd_3w_gsl</v>
      </c>
      <c r="K54" t="str">
        <f t="shared" si="9"/>
        <v>\I:</v>
      </c>
      <c r="L54" t="str">
        <f t="shared" si="3"/>
        <v>\I:</v>
      </c>
      <c r="M54" s="380" t="str">
        <f t="shared" si="10"/>
        <v/>
      </c>
      <c r="N54" s="380" t="str">
        <f t="shared" si="11"/>
        <v/>
      </c>
      <c r="O54" s="380" t="str">
        <f t="shared" si="12"/>
        <v/>
      </c>
      <c r="P54" s="380" t="str">
        <f t="shared" si="13"/>
        <v/>
      </c>
      <c r="T54" t="str">
        <f t="shared" si="14"/>
        <v>\I:</v>
      </c>
      <c r="U54" t="str">
        <f ca="1" t="shared" si="15"/>
        <v>4-stroke MC &gt;750 cc motorcycle -- 00%</v>
      </c>
      <c r="V54" s="383" t="s">
        <v>84</v>
      </c>
      <c r="W54" s="383" t="s">
        <v>85</v>
      </c>
    </row>
    <row r="55" spans="2:23">
      <c r="B55" s="49"/>
      <c r="C55" s="50">
        <v>2020</v>
      </c>
      <c r="D55" s="50">
        <v>2030</v>
      </c>
      <c r="E55" s="50">
        <v>2040</v>
      </c>
      <c r="F55" s="50">
        <v>2050</v>
      </c>
      <c r="J55" t="str">
        <f t="shared" si="1"/>
        <v>Trd_3w_gsl</v>
      </c>
      <c r="K55" t="str">
        <f t="shared" si="9"/>
        <v>\I:</v>
      </c>
      <c r="L55" t="str">
        <f t="shared" si="3"/>
        <v>\I:</v>
      </c>
      <c r="M55" s="380" t="str">
        <f t="shared" si="10"/>
        <v/>
      </c>
      <c r="N55" s="380" t="str">
        <f t="shared" si="11"/>
        <v/>
      </c>
      <c r="O55" s="380" t="str">
        <f t="shared" si="12"/>
        <v/>
      </c>
      <c r="P55" s="380" t="str">
        <f t="shared" si="13"/>
        <v/>
      </c>
      <c r="T55" t="str">
        <f t="shared" si="14"/>
        <v>\I:</v>
      </c>
      <c r="U55" t="str">
        <f ca="1" t="shared" si="15"/>
        <v>4-stroke MC &gt;750 cc motorcycle -- 00%</v>
      </c>
      <c r="V55" s="383" t="s">
        <v>84</v>
      </c>
      <c r="W55" s="383" t="s">
        <v>85</v>
      </c>
    </row>
    <row r="56" spans="2:23">
      <c r="B56" s="85">
        <v>0.0156490716371927</v>
      </c>
      <c r="C56" s="86">
        <v>11100.6952961463</v>
      </c>
      <c r="D56" s="86">
        <v>11100.6952961463</v>
      </c>
      <c r="E56" s="86">
        <v>11100.6952961463</v>
      </c>
      <c r="F56" s="86">
        <v>11100.6952961463</v>
      </c>
      <c r="I56" s="77">
        <f>(1+B56)</f>
        <v>1.01564907163719</v>
      </c>
      <c r="J56" t="str">
        <f t="shared" si="1"/>
        <v>Trd_3w_gsl</v>
      </c>
      <c r="K56" t="str">
        <f t="shared" si="9"/>
        <v>Trd_3w_gsl_02</v>
      </c>
      <c r="L56" t="str">
        <f t="shared" si="3"/>
        <v>Trd_3w</v>
      </c>
      <c r="M56" s="380">
        <f t="shared" si="10"/>
        <v>11100.6952961463</v>
      </c>
      <c r="N56" s="380">
        <f t="shared" si="11"/>
        <v>11100.6952961463</v>
      </c>
      <c r="O56" s="380">
        <f t="shared" si="12"/>
        <v>11100.6952961463</v>
      </c>
      <c r="P56" s="380">
        <f t="shared" si="13"/>
        <v>11100.6952961463</v>
      </c>
      <c r="T56" t="str">
        <f t="shared" si="14"/>
        <v>Trd_3w_gsl_02</v>
      </c>
      <c r="U56" t="str">
        <f ca="1" t="shared" si="15"/>
        <v>4-stroke MC &gt;750 cc motorcycle -- 02%</v>
      </c>
      <c r="V56" s="383" t="s">
        <v>84</v>
      </c>
      <c r="W56" s="383" t="s">
        <v>85</v>
      </c>
    </row>
    <row r="57" spans="2:23">
      <c r="B57" s="85">
        <v>0.0656490716371927</v>
      </c>
      <c r="C57" s="86">
        <v>11287.7181662309</v>
      </c>
      <c r="D57" s="86">
        <v>11225.7192195912</v>
      </c>
      <c r="E57" s="86">
        <v>11225.7192195912</v>
      </c>
      <c r="F57" s="86">
        <v>11225.7192195912</v>
      </c>
      <c r="I57" s="77">
        <f t="shared" ref="I57:I62" si="17">(1+B57)</f>
        <v>1.06564907163719</v>
      </c>
      <c r="J57" t="str">
        <f t="shared" si="1"/>
        <v>Trd_3w_gsl</v>
      </c>
      <c r="K57" t="str">
        <f t="shared" si="9"/>
        <v>Trd_3w_gsl_07</v>
      </c>
      <c r="L57" t="str">
        <f t="shared" si="3"/>
        <v>Trd_3w</v>
      </c>
      <c r="M57" s="380">
        <f t="shared" si="10"/>
        <v>11287.7181662309</v>
      </c>
      <c r="N57" s="380">
        <f t="shared" si="11"/>
        <v>11225.7192195912</v>
      </c>
      <c r="O57" s="380">
        <f t="shared" si="12"/>
        <v>11225.7192195912</v>
      </c>
      <c r="P57" s="380">
        <f t="shared" si="13"/>
        <v>11225.7192195912</v>
      </c>
      <c r="T57" t="str">
        <f t="shared" si="14"/>
        <v>Trd_3w_gsl_07</v>
      </c>
      <c r="U57" t="str">
        <f ca="1" t="shared" si="15"/>
        <v>4-stroke MC &gt;750 cc motorcycle -- 07%</v>
      </c>
      <c r="V57" s="383" t="s">
        <v>84</v>
      </c>
      <c r="W57" s="383" t="s">
        <v>85</v>
      </c>
    </row>
    <row r="58" spans="2:23">
      <c r="B58" s="85">
        <v>0.115649071637193</v>
      </c>
      <c r="C58" s="86">
        <v>11396.1108008248</v>
      </c>
      <c r="D58" s="86">
        <v>11350.7431430362</v>
      </c>
      <c r="E58" s="86">
        <v>11350.7431430362</v>
      </c>
      <c r="F58" s="86">
        <v>11350.7431430362</v>
      </c>
      <c r="I58" s="77">
        <f t="shared" si="17"/>
        <v>1.11564907163719</v>
      </c>
      <c r="J58" t="str">
        <f t="shared" si="1"/>
        <v>Trd_3w_gsl</v>
      </c>
      <c r="K58" t="str">
        <f t="shared" si="9"/>
        <v>Trd_3w_gsl_12</v>
      </c>
      <c r="L58" t="str">
        <f t="shared" si="3"/>
        <v>Trd_3w</v>
      </c>
      <c r="M58" s="380">
        <f t="shared" si="10"/>
        <v>11396.1108008248</v>
      </c>
      <c r="N58" s="380">
        <f t="shared" si="11"/>
        <v>11350.7431430362</v>
      </c>
      <c r="O58" s="380">
        <f t="shared" si="12"/>
        <v>11350.7431430362</v>
      </c>
      <c r="P58" s="380">
        <f t="shared" si="13"/>
        <v>11350.7431430362</v>
      </c>
      <c r="T58" t="str">
        <f t="shared" si="14"/>
        <v>Trd_3w_gsl_12</v>
      </c>
      <c r="U58" t="str">
        <f ca="1" t="shared" si="15"/>
        <v>4-stroke MC &gt;750 cc motorcycle -- 12%</v>
      </c>
      <c r="V58" s="383" t="s">
        <v>84</v>
      </c>
      <c r="W58" s="383" t="s">
        <v>85</v>
      </c>
    </row>
    <row r="59" spans="2:23">
      <c r="B59" s="85">
        <v>0.165649071637193</v>
      </c>
      <c r="C59" s="86">
        <v>11854.9212803159</v>
      </c>
      <c r="D59" s="86">
        <v>11475.7670664812</v>
      </c>
      <c r="E59" s="86">
        <v>11475.7670664812</v>
      </c>
      <c r="F59" s="86">
        <v>11475.7670664812</v>
      </c>
      <c r="I59" s="77">
        <f t="shared" si="17"/>
        <v>1.16564907163719</v>
      </c>
      <c r="J59" t="str">
        <f t="shared" si="1"/>
        <v>Trd_3w_gsl</v>
      </c>
      <c r="K59" t="str">
        <f t="shared" si="9"/>
        <v>Trd_3w_gsl_17</v>
      </c>
      <c r="L59" t="str">
        <f t="shared" si="3"/>
        <v>Trd_3w</v>
      </c>
      <c r="M59" s="380">
        <f t="shared" si="10"/>
        <v>11854.9212803159</v>
      </c>
      <c r="N59" s="380">
        <f t="shared" si="11"/>
        <v>11475.7670664812</v>
      </c>
      <c r="O59" s="380">
        <f t="shared" si="12"/>
        <v>11475.7670664812</v>
      </c>
      <c r="P59" s="380">
        <f t="shared" si="13"/>
        <v>11475.7670664812</v>
      </c>
      <c r="T59" t="str">
        <f t="shared" si="14"/>
        <v>Trd_3w_gsl_17</v>
      </c>
      <c r="U59" t="str">
        <f ca="1" t="shared" si="15"/>
        <v>4-stroke MC &gt;750 cc motorcycle -- 17%</v>
      </c>
      <c r="V59" s="383" t="s">
        <v>84</v>
      </c>
      <c r="W59" s="383" t="s">
        <v>85</v>
      </c>
    </row>
    <row r="60" spans="2:23">
      <c r="B60" s="85">
        <v>0.215649071637193</v>
      </c>
      <c r="C60" s="86">
        <v>12012.4784937866</v>
      </c>
      <c r="D60" s="86">
        <v>11600.7909899262</v>
      </c>
      <c r="E60" s="86">
        <v>11600.7909899262</v>
      </c>
      <c r="F60" s="86">
        <v>11600.7909899262</v>
      </c>
      <c r="I60" s="77">
        <f t="shared" si="17"/>
        <v>1.21564907163719</v>
      </c>
      <c r="J60" t="str">
        <f t="shared" si="1"/>
        <v>Trd_3w_gsl</v>
      </c>
      <c r="K60" t="str">
        <f t="shared" si="9"/>
        <v>Trd_3w_gsl_22</v>
      </c>
      <c r="L60" t="str">
        <f t="shared" si="3"/>
        <v>Trd_3w</v>
      </c>
      <c r="M60" s="380">
        <f t="shared" si="10"/>
        <v>12012.4784937866</v>
      </c>
      <c r="N60" s="380">
        <f t="shared" si="11"/>
        <v>11600.7909899262</v>
      </c>
      <c r="O60" s="380">
        <f t="shared" si="12"/>
        <v>11600.7909899262</v>
      </c>
      <c r="P60" s="380">
        <f t="shared" si="13"/>
        <v>11600.7909899262</v>
      </c>
      <c r="T60" t="str">
        <f t="shared" si="14"/>
        <v>Trd_3w_gsl_22</v>
      </c>
      <c r="U60" t="str">
        <f ca="1" t="shared" si="15"/>
        <v>4-stroke MC &gt;750 cc motorcycle -- 22%</v>
      </c>
      <c r="V60" s="383" t="s">
        <v>84</v>
      </c>
      <c r="W60" s="383" t="s">
        <v>85</v>
      </c>
    </row>
    <row r="61" spans="2:23">
      <c r="B61" s="85">
        <v>0.265649071637193</v>
      </c>
      <c r="C61" s="86">
        <v>13217.6296306735</v>
      </c>
      <c r="D61" s="86">
        <v>11733.0173202263</v>
      </c>
      <c r="E61" s="86">
        <v>11725.8149133712</v>
      </c>
      <c r="F61" s="86">
        <v>11725.8149133712</v>
      </c>
      <c r="I61" s="77">
        <f t="shared" si="17"/>
        <v>1.26564907163719</v>
      </c>
      <c r="J61" t="str">
        <f t="shared" si="1"/>
        <v>Trd_3w_gsl</v>
      </c>
      <c r="K61" t="str">
        <f t="shared" si="9"/>
        <v>Trd_3w_gsl_27</v>
      </c>
      <c r="L61" t="str">
        <f t="shared" si="3"/>
        <v>Trd_3w</v>
      </c>
      <c r="M61" s="380">
        <f t="shared" si="10"/>
        <v>13217.6296306735</v>
      </c>
      <c r="N61" s="380">
        <f t="shared" si="11"/>
        <v>11733.0173202263</v>
      </c>
      <c r="O61" s="380">
        <f t="shared" si="12"/>
        <v>11725.8149133712</v>
      </c>
      <c r="P61" s="380">
        <f t="shared" si="13"/>
        <v>11725.8149133712</v>
      </c>
      <c r="T61" t="str">
        <f t="shared" si="14"/>
        <v>Trd_3w_gsl_27</v>
      </c>
      <c r="U61" t="str">
        <f ca="1" t="shared" si="15"/>
        <v>4-stroke MC &gt;750 cc motorcycle -- 27%</v>
      </c>
      <c r="V61" s="383" t="s">
        <v>84</v>
      </c>
      <c r="W61" s="383" t="s">
        <v>85</v>
      </c>
    </row>
    <row r="62" spans="2:23">
      <c r="B62" s="85">
        <v>0.315649071637193</v>
      </c>
      <c r="C62" s="86">
        <v>16333.3856466892</v>
      </c>
      <c r="D62" s="86">
        <v>12218.7886855361</v>
      </c>
      <c r="E62" s="86">
        <v>11850.8388368161</v>
      </c>
      <c r="F62" s="86">
        <v>11850.8388368161</v>
      </c>
      <c r="I62" s="77">
        <f t="shared" si="17"/>
        <v>1.31564907163719</v>
      </c>
      <c r="J62" t="str">
        <f t="shared" si="1"/>
        <v>Trd_3w_gsl</v>
      </c>
      <c r="K62" t="str">
        <f t="shared" si="9"/>
        <v>Trd_3w_gsl_32</v>
      </c>
      <c r="L62" t="str">
        <f t="shared" si="3"/>
        <v>Trd_3w</v>
      </c>
      <c r="M62" s="380">
        <f t="shared" si="10"/>
        <v>16333.3856466892</v>
      </c>
      <c r="N62" s="380">
        <f t="shared" si="11"/>
        <v>12218.7886855361</v>
      </c>
      <c r="O62" s="380">
        <f t="shared" si="12"/>
        <v>11850.8388368161</v>
      </c>
      <c r="P62" s="380">
        <f t="shared" si="13"/>
        <v>11850.8388368161</v>
      </c>
      <c r="T62" t="str">
        <f t="shared" si="14"/>
        <v>Trd_3w_gsl_32</v>
      </c>
      <c r="U62" t="str">
        <f ca="1" t="shared" si="15"/>
        <v>4-stroke MC &gt;750 cc motorcycle -- 32%</v>
      </c>
      <c r="V62" s="383" t="s">
        <v>84</v>
      </c>
      <c r="W62" s="383" t="s">
        <v>85</v>
      </c>
    </row>
    <row r="63" spans="10:23">
      <c r="J63" t="str">
        <f t="shared" si="1"/>
        <v>Trd_3w_gsl</v>
      </c>
      <c r="K63" t="str">
        <f t="shared" si="9"/>
        <v>\I:</v>
      </c>
      <c r="L63" t="str">
        <f t="shared" si="3"/>
        <v>\I:</v>
      </c>
      <c r="M63" s="380" t="str">
        <f t="shared" si="10"/>
        <v/>
      </c>
      <c r="N63" s="380" t="str">
        <f t="shared" si="11"/>
        <v/>
      </c>
      <c r="O63" s="380" t="str">
        <f t="shared" si="12"/>
        <v/>
      </c>
      <c r="P63" s="380" t="str">
        <f t="shared" si="13"/>
        <v/>
      </c>
      <c r="T63" t="str">
        <f t="shared" si="14"/>
        <v>\I:</v>
      </c>
      <c r="U63" t="str">
        <f ca="1" t="shared" si="15"/>
        <v>4-stroke MC &gt;750 cc motorcycle -- 00%</v>
      </c>
      <c r="V63" s="383" t="s">
        <v>84</v>
      </c>
      <c r="W63" s="383" t="s">
        <v>85</v>
      </c>
    </row>
    <row r="64" spans="10:23">
      <c r="J64" t="str">
        <f t="shared" si="1"/>
        <v>Trd_3w_gsl</v>
      </c>
      <c r="K64" t="str">
        <f t="shared" si="9"/>
        <v>\I:</v>
      </c>
      <c r="L64" t="str">
        <f t="shared" si="3"/>
        <v>\I:</v>
      </c>
      <c r="M64" s="380" t="str">
        <f t="shared" si="10"/>
        <v/>
      </c>
      <c r="N64" s="380" t="str">
        <f t="shared" si="11"/>
        <v/>
      </c>
      <c r="O64" s="380" t="str">
        <f t="shared" si="12"/>
        <v/>
      </c>
      <c r="P64" s="380" t="str">
        <f t="shared" si="13"/>
        <v/>
      </c>
      <c r="T64" t="str">
        <f t="shared" si="14"/>
        <v>\I:</v>
      </c>
      <c r="U64" t="str">
        <f ca="1" t="shared" si="15"/>
        <v>4-stroke MC &gt;750 cc motorcycle -- 00%</v>
      </c>
      <c r="V64" s="383" t="s">
        <v>84</v>
      </c>
      <c r="W64" s="383" t="s">
        <v>85</v>
      </c>
    </row>
    <row r="65" spans="10:23">
      <c r="J65" t="str">
        <f t="shared" si="1"/>
        <v>Trd_3w_gsl</v>
      </c>
      <c r="K65" t="str">
        <f t="shared" si="9"/>
        <v>\I:</v>
      </c>
      <c r="L65" t="str">
        <f t="shared" si="3"/>
        <v>\I:</v>
      </c>
      <c r="M65" s="380" t="str">
        <f t="shared" si="10"/>
        <v/>
      </c>
      <c r="N65" s="380" t="str">
        <f t="shared" si="11"/>
        <v/>
      </c>
      <c r="O65" s="380" t="str">
        <f t="shared" si="12"/>
        <v/>
      </c>
      <c r="P65" s="380" t="str">
        <f t="shared" si="13"/>
        <v/>
      </c>
      <c r="T65" t="str">
        <f t="shared" si="14"/>
        <v>\I:</v>
      </c>
      <c r="U65" t="str">
        <f ca="1" t="shared" si="15"/>
        <v>4-stroke MC &gt;750 cc motorcycle -- 00%</v>
      </c>
      <c r="V65" s="383" t="s">
        <v>84</v>
      </c>
      <c r="W65" s="383" t="s">
        <v>85</v>
      </c>
    </row>
    <row r="66" spans="10:23">
      <c r="J66" t="str">
        <f t="shared" si="1"/>
        <v>Trd_3w_gsl</v>
      </c>
      <c r="K66" t="str">
        <f t="shared" si="9"/>
        <v>\I:</v>
      </c>
      <c r="L66" t="str">
        <f t="shared" si="3"/>
        <v>\I:</v>
      </c>
      <c r="M66" s="380" t="str">
        <f t="shared" si="10"/>
        <v/>
      </c>
      <c r="N66" s="380" t="str">
        <f t="shared" si="11"/>
        <v/>
      </c>
      <c r="O66" s="380" t="str">
        <f t="shared" si="12"/>
        <v/>
      </c>
      <c r="P66" s="380" t="str">
        <f t="shared" si="13"/>
        <v/>
      </c>
      <c r="T66" t="str">
        <f t="shared" si="14"/>
        <v>\I:</v>
      </c>
      <c r="U66" t="str">
        <f ca="1" t="shared" si="15"/>
        <v>4-stroke MC &gt;750 cc motorcycle -- 00%</v>
      </c>
      <c r="V66" s="383" t="s">
        <v>84</v>
      </c>
      <c r="W66" s="383" t="s">
        <v>85</v>
      </c>
    </row>
    <row r="67" spans="2:23">
      <c r="B67" s="43" t="s">
        <v>143</v>
      </c>
      <c r="J67" t="str">
        <f t="shared" si="1"/>
        <v>Trd_3w_gsl</v>
      </c>
      <c r="K67" t="str">
        <f t="shared" si="9"/>
        <v>\I:</v>
      </c>
      <c r="L67" t="str">
        <f t="shared" si="3"/>
        <v>\I:</v>
      </c>
      <c r="M67" s="380" t="str">
        <f t="shared" si="10"/>
        <v/>
      </c>
      <c r="N67" s="380" t="str">
        <f t="shared" si="11"/>
        <v/>
      </c>
      <c r="O67" s="380" t="str">
        <f t="shared" si="12"/>
        <v/>
      </c>
      <c r="P67" s="380" t="str">
        <f t="shared" si="13"/>
        <v/>
      </c>
      <c r="T67" t="str">
        <f t="shared" si="14"/>
        <v>\I:</v>
      </c>
      <c r="U67" t="str">
        <f ca="1" t="shared" si="15"/>
        <v>4-stroke MC &gt;750 cc motorcycle -- Reference values for moped</v>
      </c>
      <c r="V67" s="383" t="s">
        <v>84</v>
      </c>
      <c r="W67" s="383" t="s">
        <v>85</v>
      </c>
    </row>
    <row r="68" ht="15" customHeight="1" spans="2:23">
      <c r="B68" s="372">
        <v>2015</v>
      </c>
      <c r="C68" s="372"/>
      <c r="D68" s="372"/>
      <c r="J68" t="str">
        <f t="shared" si="1"/>
        <v>Trd_3w_gsl</v>
      </c>
      <c r="K68" t="str">
        <f t="shared" si="9"/>
        <v>\I:</v>
      </c>
      <c r="L68" t="str">
        <f t="shared" si="3"/>
        <v>\I:</v>
      </c>
      <c r="M68" s="380" t="str">
        <f t="shared" si="10"/>
        <v/>
      </c>
      <c r="N68" s="380" t="str">
        <f t="shared" si="11"/>
        <v/>
      </c>
      <c r="O68" s="380" t="str">
        <f t="shared" si="12"/>
        <v/>
      </c>
      <c r="P68" s="380" t="str">
        <f t="shared" si="13"/>
        <v/>
      </c>
      <c r="T68" t="str">
        <f t="shared" si="14"/>
        <v>\I:</v>
      </c>
      <c r="U68" t="str">
        <f ca="1" t="shared" si="15"/>
        <v>4-stroke MC &gt;750 cc motorcycle -- 201500%</v>
      </c>
      <c r="V68" s="383" t="s">
        <v>84</v>
      </c>
      <c r="W68" s="383" t="s">
        <v>85</v>
      </c>
    </row>
    <row r="69" spans="2:23">
      <c r="B69" s="45" t="s">
        <v>12</v>
      </c>
      <c r="C69" s="46" t="s">
        <v>13</v>
      </c>
      <c r="D69" s="47">
        <v>2.89822960633191</v>
      </c>
      <c r="G69" s="373">
        <f>D69*$I$4/100*10^9/10^6</f>
        <v>0.913985688652831</v>
      </c>
      <c r="H69" s="373"/>
      <c r="I69" s="373">
        <f>1/G69</f>
        <v>1.09410903520158</v>
      </c>
      <c r="J69" t="str">
        <f t="shared" si="1"/>
        <v>Trd_3w_gsl</v>
      </c>
      <c r="K69" t="str">
        <f t="shared" si="9"/>
        <v>\I:</v>
      </c>
      <c r="L69" t="str">
        <f t="shared" si="3"/>
        <v>\I:</v>
      </c>
      <c r="M69" s="380" t="str">
        <f t="shared" si="10"/>
        <v/>
      </c>
      <c r="N69" s="380" t="str">
        <f t="shared" si="11"/>
        <v/>
      </c>
      <c r="O69" s="380" t="str">
        <f t="shared" si="12"/>
        <v/>
      </c>
      <c r="P69" s="380" t="str">
        <f t="shared" si="13"/>
        <v/>
      </c>
      <c r="T69" t="str">
        <f t="shared" si="14"/>
        <v>\I:</v>
      </c>
      <c r="U69" t="str">
        <f ca="1" t="shared" si="15"/>
        <v>4-stroke MC &gt;750 cc motorcycle -- Energy consumption</v>
      </c>
      <c r="V69" s="383" t="s">
        <v>84</v>
      </c>
      <c r="W69" s="383" t="s">
        <v>85</v>
      </c>
    </row>
    <row r="70" spans="2:23">
      <c r="B70" s="45" t="s">
        <v>14</v>
      </c>
      <c r="C70" s="46" t="s">
        <v>15</v>
      </c>
      <c r="D70" s="68">
        <v>1789.17324177336</v>
      </c>
      <c r="I70" s="43" t="s">
        <v>70</v>
      </c>
      <c r="J70" t="str">
        <f t="shared" si="1"/>
        <v>Trd_3w_gsl</v>
      </c>
      <c r="K70" t="str">
        <f t="shared" si="9"/>
        <v>\I:</v>
      </c>
      <c r="L70" t="str">
        <f t="shared" si="3"/>
        <v>\I:</v>
      </c>
      <c r="M70" s="380" t="str">
        <f t="shared" si="10"/>
        <v/>
      </c>
      <c r="N70" s="380" t="str">
        <f t="shared" si="11"/>
        <v/>
      </c>
      <c r="O70" s="380" t="str">
        <f t="shared" si="12"/>
        <v/>
      </c>
      <c r="P70" s="380" t="str">
        <f t="shared" si="13"/>
        <v/>
      </c>
      <c r="T70" t="str">
        <f t="shared" si="14"/>
        <v>\I:</v>
      </c>
      <c r="U70" t="str">
        <f ca="1" t="shared" si="15"/>
        <v>4-stroke MC &gt;750 cc motorcycle -- Capital cost</v>
      </c>
      <c r="V70" s="383" t="s">
        <v>84</v>
      </c>
      <c r="W70" s="383" t="s">
        <v>85</v>
      </c>
    </row>
    <row r="71" spans="10:23">
      <c r="J71" t="str">
        <f t="shared" si="1"/>
        <v>Trd_3w_gsl</v>
      </c>
      <c r="K71" t="str">
        <f t="shared" si="9"/>
        <v>\I:</v>
      </c>
      <c r="L71" t="str">
        <f t="shared" si="3"/>
        <v>\I:</v>
      </c>
      <c r="M71" s="380" t="str">
        <f t="shared" si="10"/>
        <v/>
      </c>
      <c r="N71" s="380" t="str">
        <f t="shared" si="11"/>
        <v/>
      </c>
      <c r="O71" s="380" t="str">
        <f t="shared" si="12"/>
        <v/>
      </c>
      <c r="P71" s="380" t="str">
        <f t="shared" si="13"/>
        <v/>
      </c>
      <c r="T71" t="str">
        <f t="shared" si="14"/>
        <v>\I:</v>
      </c>
      <c r="U71" t="str">
        <f ca="1" t="shared" si="15"/>
        <v>4-stroke MC &gt;750 cc motorcycle -- 00%</v>
      </c>
      <c r="V71" s="383" t="s">
        <v>84</v>
      </c>
      <c r="W71" s="383" t="s">
        <v>85</v>
      </c>
    </row>
    <row r="72" ht="15" customHeight="1" spans="2:23">
      <c r="B72" s="389" t="s">
        <v>140</v>
      </c>
      <c r="C72" s="389" t="s">
        <v>131</v>
      </c>
      <c r="D72" s="389"/>
      <c r="E72" s="389"/>
      <c r="F72" s="389"/>
      <c r="J72" t="str">
        <f t="shared" si="1"/>
        <v>Trd_2w_gsl50</v>
      </c>
      <c r="K72" t="str">
        <f t="shared" si="9"/>
        <v>\I:</v>
      </c>
      <c r="L72" t="str">
        <f t="shared" si="3"/>
        <v>\I:</v>
      </c>
      <c r="M72" s="380" t="str">
        <f t="shared" si="10"/>
        <v/>
      </c>
      <c r="N72" s="380" t="str">
        <f t="shared" si="11"/>
        <v/>
      </c>
      <c r="O72" s="380" t="str">
        <f t="shared" si="12"/>
        <v/>
      </c>
      <c r="P72" s="380" t="str">
        <f t="shared" si="13"/>
        <v/>
      </c>
      <c r="T72" t="str">
        <f t="shared" si="14"/>
        <v>\I:</v>
      </c>
      <c r="U72" t="str">
        <f ca="1" t="shared" si="15"/>
        <v>Moped -- Reduction of specific energy consumption relative to 2015 (%)</v>
      </c>
      <c r="V72" s="383" t="s">
        <v>84</v>
      </c>
      <c r="W72" s="383" t="s">
        <v>85</v>
      </c>
    </row>
    <row r="73" spans="2:23">
      <c r="B73" s="389"/>
      <c r="C73" s="389"/>
      <c r="D73" s="389"/>
      <c r="E73" s="389"/>
      <c r="F73" s="389"/>
      <c r="J73" t="str">
        <f t="shared" si="1"/>
        <v>Trd_2w_gsl50</v>
      </c>
      <c r="K73" t="str">
        <f t="shared" si="9"/>
        <v>\I:</v>
      </c>
      <c r="L73" t="str">
        <f t="shared" si="3"/>
        <v>\I:</v>
      </c>
      <c r="M73" s="380" t="str">
        <f t="shared" si="10"/>
        <v/>
      </c>
      <c r="N73" s="380" t="str">
        <f t="shared" si="11"/>
        <v/>
      </c>
      <c r="O73" s="380" t="str">
        <f t="shared" si="12"/>
        <v/>
      </c>
      <c r="P73" s="380" t="str">
        <f t="shared" si="13"/>
        <v/>
      </c>
      <c r="T73" t="str">
        <f t="shared" si="14"/>
        <v>\I:</v>
      </c>
      <c r="U73" t="str">
        <f ca="1" t="shared" si="15"/>
        <v>Moped -- 00%</v>
      </c>
      <c r="V73" s="383" t="s">
        <v>84</v>
      </c>
      <c r="W73" s="383" t="s">
        <v>85</v>
      </c>
    </row>
    <row r="74" spans="2:23">
      <c r="B74" s="389"/>
      <c r="C74" s="389"/>
      <c r="D74" s="389"/>
      <c r="E74" s="389"/>
      <c r="F74" s="389"/>
      <c r="J74" t="str">
        <f t="shared" si="1"/>
        <v>Trd_2w_gsl50</v>
      </c>
      <c r="K74" t="str">
        <f t="shared" si="9"/>
        <v>\I:</v>
      </c>
      <c r="L74" t="str">
        <f t="shared" si="3"/>
        <v>\I:</v>
      </c>
      <c r="M74" s="380" t="str">
        <f t="shared" si="10"/>
        <v/>
      </c>
      <c r="N74" s="380" t="str">
        <f t="shared" si="11"/>
        <v/>
      </c>
      <c r="O74" s="380" t="str">
        <f t="shared" si="12"/>
        <v/>
      </c>
      <c r="P74" s="380" t="str">
        <f t="shared" si="13"/>
        <v/>
      </c>
      <c r="T74" t="str">
        <f t="shared" si="14"/>
        <v>\I:</v>
      </c>
      <c r="U74" t="str">
        <f ca="1" t="shared" si="15"/>
        <v>Moped -- 00%</v>
      </c>
      <c r="V74" s="383" t="s">
        <v>84</v>
      </c>
      <c r="W74" s="383" t="s">
        <v>85</v>
      </c>
    </row>
    <row r="75" spans="2:23">
      <c r="B75" s="49"/>
      <c r="C75" s="50">
        <v>2020</v>
      </c>
      <c r="D75" s="50">
        <v>2030</v>
      </c>
      <c r="E75" s="50">
        <v>2040</v>
      </c>
      <c r="F75" s="50">
        <v>2050</v>
      </c>
      <c r="J75" t="str">
        <f t="shared" si="1"/>
        <v>Trd_2w_gsl50</v>
      </c>
      <c r="K75" t="str">
        <f t="shared" si="9"/>
        <v>\I:</v>
      </c>
      <c r="L75" t="str">
        <f t="shared" si="3"/>
        <v>\I:</v>
      </c>
      <c r="M75" s="380" t="str">
        <f t="shared" si="10"/>
        <v/>
      </c>
      <c r="N75" s="380" t="str">
        <f t="shared" si="11"/>
        <v/>
      </c>
      <c r="O75" s="380" t="str">
        <f t="shared" si="12"/>
        <v/>
      </c>
      <c r="P75" s="380" t="str">
        <f t="shared" si="13"/>
        <v/>
      </c>
      <c r="T75" t="str">
        <f t="shared" si="14"/>
        <v>\I:</v>
      </c>
      <c r="U75" t="str">
        <f ca="1" t="shared" si="15"/>
        <v>Moped -- 00%</v>
      </c>
      <c r="V75" s="383" t="s">
        <v>84</v>
      </c>
      <c r="W75" s="383" t="s">
        <v>85</v>
      </c>
    </row>
    <row r="76" spans="2:23">
      <c r="B76" s="85">
        <v>0.0160765354439701</v>
      </c>
      <c r="C76" s="391">
        <v>1805.25285406622</v>
      </c>
      <c r="D76" s="86">
        <v>1805.25285406622</v>
      </c>
      <c r="E76" s="86">
        <v>1805.25285406622</v>
      </c>
      <c r="F76" s="86">
        <v>1805.25285406622</v>
      </c>
      <c r="I76" s="379">
        <f>$I$69/$I$7*(1+B76)</f>
        <v>1.12327647266291</v>
      </c>
      <c r="J76" t="str">
        <f t="shared" si="1"/>
        <v>Trd_2w_gsl50</v>
      </c>
      <c r="K76" s="392" t="str">
        <f>IFERROR(IF(VALUE(C76)&gt;202,J76&amp;"_"&amp;TEXT(B76*100,"00"),"\I:"),"\I:")</f>
        <v>Trd_2w_gsl50_02</v>
      </c>
      <c r="L76" t="str">
        <f t="shared" si="3"/>
        <v>Trd_2w</v>
      </c>
      <c r="M76" s="380">
        <f t="shared" si="10"/>
        <v>1805.25285406622</v>
      </c>
      <c r="N76" s="380">
        <f t="shared" si="11"/>
        <v>1805.25285406622</v>
      </c>
      <c r="O76" s="380">
        <f t="shared" si="12"/>
        <v>1805.25285406622</v>
      </c>
      <c r="P76" s="380">
        <f t="shared" si="13"/>
        <v>1805.25285406622</v>
      </c>
      <c r="T76" t="str">
        <f t="shared" si="14"/>
        <v>Trd_2w_gsl50_02</v>
      </c>
      <c r="U76" t="str">
        <f ca="1" t="shared" si="15"/>
        <v>Moped -- 02%</v>
      </c>
      <c r="V76" s="383" t="s">
        <v>84</v>
      </c>
      <c r="W76" s="383" t="s">
        <v>85</v>
      </c>
    </row>
    <row r="77" spans="2:23">
      <c r="B77" s="85">
        <v>0.0660765354439701</v>
      </c>
      <c r="C77" s="391">
        <v>1855.26242344421</v>
      </c>
      <c r="D77" s="86">
        <v>1855.26242344421</v>
      </c>
      <c r="E77" s="86">
        <v>1855.26242344421</v>
      </c>
      <c r="F77" s="86">
        <v>1855.26242344421</v>
      </c>
      <c r="I77" s="379">
        <f t="shared" ref="I77:I83" si="18">$I$69/$I$7*(1+B77)</f>
        <v>1.17855166274355</v>
      </c>
      <c r="J77" t="str">
        <f t="shared" ref="J77:J140" si="19">IFERROR(VLOOKUP(C77,$R$1:$S$8,2,FALSE),J76)</f>
        <v>Trd_2w_gsl50</v>
      </c>
      <c r="K77" s="392" t="str">
        <f t="shared" ref="K77:K79" si="20">IFERROR(IF(VALUE(C77)&gt;202,J77&amp;"_"&amp;TEXT(B77*100,"00"),"\I:"),"\I:")</f>
        <v>Trd_2w_gsl50_07</v>
      </c>
      <c r="L77" t="str">
        <f t="shared" ref="L77:L140" si="21">LEFT(K77,6)</f>
        <v>Trd_2w</v>
      </c>
      <c r="M77" s="380">
        <f t="shared" si="10"/>
        <v>1855.26242344421</v>
      </c>
      <c r="N77" s="380">
        <f t="shared" si="11"/>
        <v>1855.26242344421</v>
      </c>
      <c r="O77" s="380">
        <f t="shared" si="12"/>
        <v>1855.26242344421</v>
      </c>
      <c r="P77" s="380">
        <f t="shared" si="13"/>
        <v>1855.26242344421</v>
      </c>
      <c r="T77" t="str">
        <f t="shared" si="14"/>
        <v>Trd_2w_gsl50_07</v>
      </c>
      <c r="U77" t="str">
        <f ca="1" t="shared" si="15"/>
        <v>Moped -- 07%</v>
      </c>
      <c r="V77" s="383" t="s">
        <v>84</v>
      </c>
      <c r="W77" s="383" t="s">
        <v>85</v>
      </c>
    </row>
    <row r="78" spans="2:23">
      <c r="B78" s="85">
        <v>0.11607653544397</v>
      </c>
      <c r="C78" s="391">
        <v>1930.07157147807</v>
      </c>
      <c r="D78" s="86">
        <v>1905.2719928222</v>
      </c>
      <c r="E78" s="86">
        <v>1905.2719928222</v>
      </c>
      <c r="F78" s="86">
        <v>1905.2719928222</v>
      </c>
      <c r="I78" s="379">
        <f t="shared" si="18"/>
        <v>1.23382685282419</v>
      </c>
      <c r="J78" t="str">
        <f t="shared" si="19"/>
        <v>Trd_2w_gsl50</v>
      </c>
      <c r="K78" s="392" t="str">
        <f t="shared" si="20"/>
        <v>Trd_2w_gsl50_12</v>
      </c>
      <c r="L78" t="str">
        <f t="shared" si="21"/>
        <v>Trd_2w</v>
      </c>
      <c r="M78" s="380">
        <f t="shared" si="10"/>
        <v>1930.07157147807</v>
      </c>
      <c r="N78" s="380">
        <f t="shared" si="11"/>
        <v>1905.2719928222</v>
      </c>
      <c r="O78" s="380">
        <f t="shared" si="12"/>
        <v>1905.2719928222</v>
      </c>
      <c r="P78" s="380">
        <f t="shared" si="13"/>
        <v>1905.2719928222</v>
      </c>
      <c r="T78" t="str">
        <f t="shared" si="14"/>
        <v>Trd_2w_gsl50_12</v>
      </c>
      <c r="U78" t="str">
        <f ca="1" t="shared" si="15"/>
        <v>Moped -- 12%</v>
      </c>
      <c r="V78" s="383" t="s">
        <v>84</v>
      </c>
      <c r="W78" s="383" t="s">
        <v>85</v>
      </c>
    </row>
    <row r="79" spans="2:23">
      <c r="B79" s="85">
        <v>0.16607653544397</v>
      </c>
      <c r="C79" s="391">
        <v>1973.42862531562</v>
      </c>
      <c r="D79" s="86">
        <v>1955.28156220019</v>
      </c>
      <c r="E79" s="86">
        <v>1955.28156220019</v>
      </c>
      <c r="F79" s="86">
        <v>1955.28156220019</v>
      </c>
      <c r="I79" s="379">
        <f t="shared" si="18"/>
        <v>1.28910204290483</v>
      </c>
      <c r="J79" t="str">
        <f t="shared" si="19"/>
        <v>Trd_2w_gsl50</v>
      </c>
      <c r="K79" s="392" t="str">
        <f t="shared" si="20"/>
        <v>Trd_2w_gsl50_17</v>
      </c>
      <c r="L79" t="str">
        <f t="shared" si="21"/>
        <v>Trd_2w</v>
      </c>
      <c r="M79" s="380">
        <f t="shared" si="10"/>
        <v>1973.42862531562</v>
      </c>
      <c r="N79" s="380">
        <f t="shared" si="11"/>
        <v>1955.28156220019</v>
      </c>
      <c r="O79" s="380">
        <f t="shared" si="12"/>
        <v>1955.28156220019</v>
      </c>
      <c r="P79" s="380">
        <f t="shared" si="13"/>
        <v>1955.28156220019</v>
      </c>
      <c r="T79" t="str">
        <f t="shared" si="14"/>
        <v>Trd_2w_gsl50_17</v>
      </c>
      <c r="U79" t="str">
        <f ca="1" t="shared" si="15"/>
        <v>Moped -- 17%</v>
      </c>
      <c r="V79" s="383" t="s">
        <v>84</v>
      </c>
      <c r="W79" s="383" t="s">
        <v>85</v>
      </c>
    </row>
    <row r="80" spans="2:23">
      <c r="B80" s="85">
        <v>0.21607653544397</v>
      </c>
      <c r="C80" s="86">
        <v>2156.95281711207</v>
      </c>
      <c r="D80" s="86">
        <v>2005.29113157818</v>
      </c>
      <c r="E80" s="86">
        <v>2005.29113157818</v>
      </c>
      <c r="F80" s="86">
        <v>2005.29113157818</v>
      </c>
      <c r="I80" s="379">
        <f t="shared" si="18"/>
        <v>1.34437723298548</v>
      </c>
      <c r="J80" t="str">
        <f t="shared" si="19"/>
        <v>Trd_2w_gsl50</v>
      </c>
      <c r="K80" t="str">
        <f t="shared" si="9"/>
        <v>Trd_2w_gsl50_22</v>
      </c>
      <c r="L80" t="str">
        <f t="shared" si="21"/>
        <v>Trd_2w</v>
      </c>
      <c r="M80" s="380">
        <f t="shared" si="10"/>
        <v>2156.95281711207</v>
      </c>
      <c r="N80" s="380">
        <f t="shared" si="11"/>
        <v>2005.29113157818</v>
      </c>
      <c r="O80" s="380">
        <f t="shared" si="12"/>
        <v>2005.29113157818</v>
      </c>
      <c r="P80" s="380">
        <f t="shared" si="13"/>
        <v>2005.29113157818</v>
      </c>
      <c r="T80" t="str">
        <f t="shared" si="14"/>
        <v>Trd_2w_gsl50_22</v>
      </c>
      <c r="U80" t="str">
        <f ca="1" t="shared" si="15"/>
        <v>Moped -- 22%</v>
      </c>
      <c r="V80" s="383" t="s">
        <v>84</v>
      </c>
      <c r="W80" s="383" t="s">
        <v>85</v>
      </c>
    </row>
    <row r="81" spans="2:23">
      <c r="B81" s="85">
        <v>0.26607653544397</v>
      </c>
      <c r="C81" s="86">
        <v>2219.97570250033</v>
      </c>
      <c r="D81" s="86">
        <v>2055.30070095617</v>
      </c>
      <c r="E81" s="86">
        <v>2055.30070095617</v>
      </c>
      <c r="F81" s="86">
        <v>2055.30070095617</v>
      </c>
      <c r="I81" s="379">
        <f t="shared" si="18"/>
        <v>1.39965242306612</v>
      </c>
      <c r="J81" t="str">
        <f t="shared" si="19"/>
        <v>Trd_2w_gsl50</v>
      </c>
      <c r="K81" t="str">
        <f t="shared" si="9"/>
        <v>Trd_2w_gsl50_27</v>
      </c>
      <c r="L81" t="str">
        <f t="shared" si="21"/>
        <v>Trd_2w</v>
      </c>
      <c r="M81" s="380">
        <f t="shared" si="10"/>
        <v>2219.97570250033</v>
      </c>
      <c r="N81" s="380">
        <f t="shared" si="11"/>
        <v>2055.30070095617</v>
      </c>
      <c r="O81" s="380">
        <f t="shared" si="12"/>
        <v>2055.30070095617</v>
      </c>
      <c r="P81" s="380">
        <f t="shared" si="13"/>
        <v>2055.30070095617</v>
      </c>
      <c r="T81" t="str">
        <f t="shared" si="14"/>
        <v>Trd_2w_gsl50_27</v>
      </c>
      <c r="U81" t="str">
        <f ca="1" t="shared" si="15"/>
        <v>Moped -- 27%</v>
      </c>
      <c r="V81" s="383" t="s">
        <v>84</v>
      </c>
      <c r="W81" s="383" t="s">
        <v>85</v>
      </c>
    </row>
    <row r="82" spans="2:23">
      <c r="B82" s="85">
        <v>0.31607653544397</v>
      </c>
      <c r="C82" s="86">
        <v>2702.03615725509</v>
      </c>
      <c r="D82" s="86">
        <v>2108.19123307624</v>
      </c>
      <c r="E82" s="86">
        <v>2105.31027033416</v>
      </c>
      <c r="F82" s="86">
        <v>2105.31027033416</v>
      </c>
      <c r="I82" s="379">
        <f t="shared" si="18"/>
        <v>1.45492761314676</v>
      </c>
      <c r="J82" t="str">
        <f t="shared" si="19"/>
        <v>Trd_2w_gsl50</v>
      </c>
      <c r="K82" t="str">
        <f t="shared" si="9"/>
        <v>Trd_2w_gsl50_32</v>
      </c>
      <c r="L82" t="str">
        <f t="shared" si="21"/>
        <v>Trd_2w</v>
      </c>
      <c r="M82" s="380">
        <f t="shared" si="10"/>
        <v>2702.03615725509</v>
      </c>
      <c r="N82" s="380">
        <f t="shared" si="11"/>
        <v>2108.19123307624</v>
      </c>
      <c r="O82" s="380">
        <f t="shared" si="12"/>
        <v>2105.31027033416</v>
      </c>
      <c r="P82" s="380">
        <f t="shared" si="13"/>
        <v>2105.31027033416</v>
      </c>
      <c r="T82" t="str">
        <f t="shared" si="14"/>
        <v>Trd_2w_gsl50_32</v>
      </c>
      <c r="U82" t="str">
        <f ca="1" t="shared" si="15"/>
        <v>Moped -- 32%</v>
      </c>
      <c r="V82" s="383" t="s">
        <v>84</v>
      </c>
      <c r="W82" s="383" t="s">
        <v>85</v>
      </c>
    </row>
    <row r="83" spans="2:23">
      <c r="B83" s="85">
        <v>0.36607653544397</v>
      </c>
      <c r="C83" s="86">
        <v>3948.33856366138</v>
      </c>
      <c r="D83" s="86">
        <v>2302.49977920015</v>
      </c>
      <c r="E83" s="86">
        <v>2155.31983971215</v>
      </c>
      <c r="F83" s="86">
        <v>2155.31983971215</v>
      </c>
      <c r="I83" s="379">
        <f t="shared" si="18"/>
        <v>1.5102028032274</v>
      </c>
      <c r="J83" t="str">
        <f t="shared" si="19"/>
        <v>Trd_2w_gsl50</v>
      </c>
      <c r="K83" t="str">
        <f t="shared" si="9"/>
        <v>Trd_2w_gsl50_37</v>
      </c>
      <c r="L83" t="str">
        <f t="shared" si="21"/>
        <v>Trd_2w</v>
      </c>
      <c r="M83" s="380">
        <f t="shared" si="10"/>
        <v>3948.33856366138</v>
      </c>
      <c r="N83" s="380">
        <f t="shared" si="11"/>
        <v>2302.49977920015</v>
      </c>
      <c r="O83" s="380">
        <f t="shared" si="12"/>
        <v>2155.31983971215</v>
      </c>
      <c r="P83" s="380">
        <f t="shared" si="13"/>
        <v>2155.31983971215</v>
      </c>
      <c r="T83" t="str">
        <f t="shared" si="14"/>
        <v>Trd_2w_gsl50_37</v>
      </c>
      <c r="U83" t="str">
        <f ca="1" t="shared" si="15"/>
        <v>Moped -- 37%</v>
      </c>
      <c r="V83" s="383" t="s">
        <v>84</v>
      </c>
      <c r="W83" s="383" t="s">
        <v>85</v>
      </c>
    </row>
    <row r="84" spans="10:23">
      <c r="J84" t="str">
        <f t="shared" si="19"/>
        <v>Trd_2w_gsl50</v>
      </c>
      <c r="K84" t="str">
        <f t="shared" ref="K84:K93" si="22">IFERROR(IF(VALUE(C84)&gt;2020,J84&amp;"_"&amp;TEXT(B84*100,"00"),"\I:"),"\I:")</f>
        <v>\I:</v>
      </c>
      <c r="L84" t="str">
        <f t="shared" si="21"/>
        <v>\I:</v>
      </c>
      <c r="M84" s="380" t="str">
        <f t="shared" ref="M84:M147" si="23">IF($K84="\I:","",C84)</f>
        <v/>
      </c>
      <c r="N84" s="380" t="str">
        <f t="shared" ref="N84:N147" si="24">IF($K84="\I:","",D84)</f>
        <v/>
      </c>
      <c r="O84" s="380" t="str">
        <f t="shared" ref="O84:O147" si="25">IF($K84="\I:","",E84)</f>
        <v/>
      </c>
      <c r="P84" s="380" t="str">
        <f t="shared" ref="P84:P147" si="26">IF($K84="\I:","",F84)</f>
        <v/>
      </c>
      <c r="T84" t="str">
        <f t="shared" si="14"/>
        <v>\I:</v>
      </c>
      <c r="U84" t="str">
        <f ca="1" t="shared" si="15"/>
        <v>Moped -- 00%</v>
      </c>
      <c r="V84" s="383" t="s">
        <v>84</v>
      </c>
      <c r="W84" s="383" t="s">
        <v>85</v>
      </c>
    </row>
    <row r="85" spans="10:23">
      <c r="J85" t="str">
        <f t="shared" si="19"/>
        <v>Trd_2w_gsl50</v>
      </c>
      <c r="K85" t="str">
        <f t="shared" si="22"/>
        <v>\I:</v>
      </c>
      <c r="L85" t="str">
        <f t="shared" si="21"/>
        <v>\I:</v>
      </c>
      <c r="M85" s="380" t="str">
        <f t="shared" si="23"/>
        <v/>
      </c>
      <c r="N85" s="380" t="str">
        <f t="shared" si="24"/>
        <v/>
      </c>
      <c r="O85" s="380" t="str">
        <f t="shared" si="25"/>
        <v/>
      </c>
      <c r="P85" s="380" t="str">
        <f t="shared" si="26"/>
        <v/>
      </c>
      <c r="T85" t="str">
        <f t="shared" si="14"/>
        <v>\I:</v>
      </c>
      <c r="U85" t="str">
        <f ca="1" t="shared" si="15"/>
        <v>Moped -- 00%</v>
      </c>
      <c r="V85" s="383" t="s">
        <v>84</v>
      </c>
      <c r="W85" s="383" t="s">
        <v>85</v>
      </c>
    </row>
    <row r="86" spans="10:23">
      <c r="J86" t="str">
        <f t="shared" si="19"/>
        <v>Trd_2w_gsl50</v>
      </c>
      <c r="K86" t="str">
        <f t="shared" si="22"/>
        <v>\I:</v>
      </c>
      <c r="L86" t="str">
        <f t="shared" si="21"/>
        <v>\I:</v>
      </c>
      <c r="M86" s="380" t="str">
        <f t="shared" si="23"/>
        <v/>
      </c>
      <c r="N86" s="380" t="str">
        <f t="shared" si="24"/>
        <v/>
      </c>
      <c r="O86" s="380" t="str">
        <f t="shared" si="25"/>
        <v/>
      </c>
      <c r="P86" s="380" t="str">
        <f t="shared" si="26"/>
        <v/>
      </c>
      <c r="T86" t="str">
        <f t="shared" si="14"/>
        <v>\I:</v>
      </c>
      <c r="U86" t="str">
        <f ca="1" t="shared" si="15"/>
        <v>Moped -- 00%</v>
      </c>
      <c r="V86" s="383" t="s">
        <v>84</v>
      </c>
      <c r="W86" s="383" t="s">
        <v>85</v>
      </c>
    </row>
    <row r="87" spans="2:23">
      <c r="B87" s="372">
        <v>2020</v>
      </c>
      <c r="C87" s="372"/>
      <c r="D87" s="372"/>
      <c r="J87" t="str">
        <f t="shared" si="19"/>
        <v>Trd_2w_gsl50</v>
      </c>
      <c r="K87" t="str">
        <f t="shared" si="22"/>
        <v>\I:</v>
      </c>
      <c r="L87" t="str">
        <f t="shared" si="21"/>
        <v>\I:</v>
      </c>
      <c r="M87" s="380" t="str">
        <f t="shared" si="23"/>
        <v/>
      </c>
      <c r="N87" s="380" t="str">
        <f t="shared" si="24"/>
        <v/>
      </c>
      <c r="O87" s="380" t="str">
        <f t="shared" si="25"/>
        <v/>
      </c>
      <c r="P87" s="380" t="str">
        <f t="shared" si="26"/>
        <v/>
      </c>
      <c r="T87" t="str">
        <f t="shared" si="14"/>
        <v>\I:</v>
      </c>
      <c r="U87" t="str">
        <f ca="1" t="shared" si="15"/>
        <v>Moped -- 202000%</v>
      </c>
      <c r="V87" s="383" t="s">
        <v>84</v>
      </c>
      <c r="W87" s="383" t="s">
        <v>85</v>
      </c>
    </row>
    <row r="88" spans="2:23">
      <c r="B88" s="45" t="s">
        <v>144</v>
      </c>
      <c r="C88" s="46" t="s">
        <v>26</v>
      </c>
      <c r="D88" s="74">
        <v>0.049</v>
      </c>
      <c r="G88" s="77">
        <f>D88/3.6/100*10^9/10^6</f>
        <v>0.136111111111111</v>
      </c>
      <c r="H88" s="77"/>
      <c r="I88" s="373">
        <f>1/G88</f>
        <v>7.3469387755102</v>
      </c>
      <c r="J88" t="str">
        <f t="shared" si="19"/>
        <v>Trd_2w_gsl50</v>
      </c>
      <c r="K88" t="str">
        <f t="shared" si="22"/>
        <v>\I:</v>
      </c>
      <c r="L88" t="str">
        <f t="shared" si="21"/>
        <v>\I:</v>
      </c>
      <c r="M88" s="380" t="str">
        <f t="shared" si="23"/>
        <v/>
      </c>
      <c r="N88" s="380" t="str">
        <f t="shared" si="24"/>
        <v/>
      </c>
      <c r="O88" s="380" t="str">
        <f t="shared" si="25"/>
        <v/>
      </c>
      <c r="P88" s="380" t="str">
        <f t="shared" si="26"/>
        <v/>
      </c>
      <c r="T88" t="str">
        <f t="shared" ref="T88:T151" si="27">K88</f>
        <v>\I:</v>
      </c>
      <c r="U88" t="str">
        <f ca="1" t="shared" ref="U88:U151" si="28">OFFSET($S$1,MATCH(J88,$S$1:$S$11,0)-1,-1)&amp;" -- "&amp;TEXT(B88,"00%")</f>
        <v>Moped -- Energy consumption of Battery electric motorcycle (equivalent to 50-250 cc motorcycle)</v>
      </c>
      <c r="V88" s="383" t="s">
        <v>84</v>
      </c>
      <c r="W88" s="383" t="s">
        <v>85</v>
      </c>
    </row>
    <row r="89" spans="9:23">
      <c r="I89" s="385" t="s">
        <v>70</v>
      </c>
      <c r="J89" t="str">
        <f t="shared" si="19"/>
        <v>Trd_2w_gsl50</v>
      </c>
      <c r="K89" t="str">
        <f t="shared" si="22"/>
        <v>\I:</v>
      </c>
      <c r="L89" t="str">
        <f t="shared" si="21"/>
        <v>\I:</v>
      </c>
      <c r="M89" s="380" t="str">
        <f t="shared" si="23"/>
        <v/>
      </c>
      <c r="N89" s="380" t="str">
        <f t="shared" si="24"/>
        <v/>
      </c>
      <c r="O89" s="380" t="str">
        <f t="shared" si="25"/>
        <v/>
      </c>
      <c r="P89" s="380" t="str">
        <f t="shared" si="26"/>
        <v/>
      </c>
      <c r="T89" t="str">
        <f t="shared" si="27"/>
        <v>\I:</v>
      </c>
      <c r="U89" t="str">
        <f ca="1" t="shared" si="28"/>
        <v>Moped -- 00%</v>
      </c>
      <c r="V89" s="383" t="s">
        <v>84</v>
      </c>
      <c r="W89" s="383" t="s">
        <v>85</v>
      </c>
    </row>
    <row r="90" ht="15" customHeight="1" spans="2:23">
      <c r="B90" s="389" t="s">
        <v>27</v>
      </c>
      <c r="C90" s="389" t="s">
        <v>134</v>
      </c>
      <c r="D90" s="389"/>
      <c r="E90" s="389"/>
      <c r="F90" s="389"/>
      <c r="J90" t="str">
        <f t="shared" si="19"/>
        <v>Trd_2w_elc150</v>
      </c>
      <c r="K90" t="str">
        <f t="shared" si="22"/>
        <v>\I:</v>
      </c>
      <c r="L90" t="str">
        <f t="shared" si="21"/>
        <v>\I:</v>
      </c>
      <c r="M90" s="380" t="str">
        <f t="shared" si="23"/>
        <v/>
      </c>
      <c r="N90" s="380" t="str">
        <f t="shared" si="24"/>
        <v/>
      </c>
      <c r="O90" s="380" t="str">
        <f t="shared" si="25"/>
        <v/>
      </c>
      <c r="P90" s="380" t="str">
        <f t="shared" si="26"/>
        <v/>
      </c>
      <c r="T90" t="str">
        <f t="shared" si="27"/>
        <v>\I:</v>
      </c>
      <c r="U90" t="str">
        <f ca="1" t="shared" si="28"/>
        <v>Battery electric motorcycle (equivalent to 50-250 cc motorcycle) -- Electric range (km)</v>
      </c>
      <c r="V90" s="383" t="s">
        <v>84</v>
      </c>
      <c r="W90" s="383" t="s">
        <v>85</v>
      </c>
    </row>
    <row r="91" spans="2:23">
      <c r="B91" s="389"/>
      <c r="C91" s="389"/>
      <c r="D91" s="389"/>
      <c r="E91" s="389"/>
      <c r="F91" s="389"/>
      <c r="J91" t="str">
        <f t="shared" si="19"/>
        <v>Trd_2w_elc150</v>
      </c>
      <c r="K91" t="str">
        <f t="shared" si="22"/>
        <v>\I:</v>
      </c>
      <c r="L91" t="str">
        <f t="shared" si="21"/>
        <v>\I:</v>
      </c>
      <c r="M91" s="380" t="str">
        <f t="shared" si="23"/>
        <v/>
      </c>
      <c r="N91" s="380" t="str">
        <f t="shared" si="24"/>
        <v/>
      </c>
      <c r="O91" s="380" t="str">
        <f t="shared" si="25"/>
        <v/>
      </c>
      <c r="P91" s="380" t="str">
        <f t="shared" si="26"/>
        <v/>
      </c>
      <c r="T91" t="str">
        <f t="shared" si="27"/>
        <v>\I:</v>
      </c>
      <c r="U91" t="str">
        <f ca="1" t="shared" si="28"/>
        <v>Battery electric motorcycle (equivalent to 50-250 cc motorcycle) -- 00%</v>
      </c>
      <c r="V91" s="383" t="s">
        <v>84</v>
      </c>
      <c r="W91" s="383" t="s">
        <v>85</v>
      </c>
    </row>
    <row r="92" spans="2:23">
      <c r="B92" s="389"/>
      <c r="C92" s="389"/>
      <c r="D92" s="389"/>
      <c r="E92" s="389"/>
      <c r="F92" s="389"/>
      <c r="J92" t="str">
        <f t="shared" si="19"/>
        <v>Trd_2w_elc150</v>
      </c>
      <c r="K92" t="str">
        <f t="shared" si="22"/>
        <v>\I:</v>
      </c>
      <c r="L92" t="str">
        <f t="shared" si="21"/>
        <v>\I:</v>
      </c>
      <c r="M92" s="380" t="str">
        <f t="shared" si="23"/>
        <v/>
      </c>
      <c r="N92" s="380" t="str">
        <f t="shared" si="24"/>
        <v/>
      </c>
      <c r="O92" s="380" t="str">
        <f t="shared" si="25"/>
        <v/>
      </c>
      <c r="P92" s="380" t="str">
        <f t="shared" si="26"/>
        <v/>
      </c>
      <c r="T92" t="str">
        <f t="shared" si="27"/>
        <v>\I:</v>
      </c>
      <c r="U92" t="str">
        <f ca="1" t="shared" si="28"/>
        <v>Battery electric motorcycle (equivalent to 50-250 cc motorcycle) -- 00%</v>
      </c>
      <c r="V92" s="383" t="s">
        <v>84</v>
      </c>
      <c r="W92" s="383" t="s">
        <v>85</v>
      </c>
    </row>
    <row r="93" spans="2:23">
      <c r="B93" s="49"/>
      <c r="C93" s="50">
        <v>2020</v>
      </c>
      <c r="D93" s="50">
        <v>2030</v>
      </c>
      <c r="E93" s="50">
        <v>2040</v>
      </c>
      <c r="F93" s="50">
        <v>2050</v>
      </c>
      <c r="J93" t="str">
        <f t="shared" si="19"/>
        <v>Trd_2w_elc150</v>
      </c>
      <c r="K93" t="str">
        <f t="shared" si="22"/>
        <v>\I:</v>
      </c>
      <c r="L93" t="str">
        <f t="shared" si="21"/>
        <v>\I:</v>
      </c>
      <c r="M93" s="380" t="str">
        <f t="shared" si="23"/>
        <v/>
      </c>
      <c r="N93" s="380" t="str">
        <f t="shared" si="24"/>
        <v/>
      </c>
      <c r="O93" s="380" t="str">
        <f t="shared" si="25"/>
        <v/>
      </c>
      <c r="P93" s="380" t="str">
        <f t="shared" si="26"/>
        <v/>
      </c>
      <c r="T93" t="str">
        <f t="shared" si="27"/>
        <v>\I:</v>
      </c>
      <c r="U93" t="str">
        <f ca="1" t="shared" si="28"/>
        <v>Battery electric motorcycle (equivalent to 50-250 cc motorcycle) -- 00%</v>
      </c>
      <c r="V93" s="383" t="s">
        <v>84</v>
      </c>
      <c r="W93" s="383" t="s">
        <v>85</v>
      </c>
    </row>
    <row r="94" spans="2:23">
      <c r="B94" s="66">
        <v>120</v>
      </c>
      <c r="C94" s="86">
        <v>5018.464761349</v>
      </c>
      <c r="D94" s="86">
        <v>3932.02158644446</v>
      </c>
      <c r="E94" s="86">
        <v>3377.5952597276</v>
      </c>
      <c r="F94" s="86">
        <v>3216.18278317439</v>
      </c>
      <c r="I94" s="77">
        <f>$I$88</f>
        <v>7.3469387755102</v>
      </c>
      <c r="J94" t="str">
        <f t="shared" si="19"/>
        <v>Trd_2w_elc150</v>
      </c>
      <c r="K94" t="str">
        <f>IFERROR(IF(VALUE(C94)&gt;2020,J94&amp;"_"&amp;TEXT(B94,"00"),"\I:"),"\I:")</f>
        <v>Trd_2w_elc150_120</v>
      </c>
      <c r="L94" t="str">
        <f t="shared" si="21"/>
        <v>Trd_2w</v>
      </c>
      <c r="M94" s="380">
        <f t="shared" si="23"/>
        <v>5018.464761349</v>
      </c>
      <c r="N94" s="380">
        <f t="shared" si="24"/>
        <v>3932.02158644446</v>
      </c>
      <c r="O94" s="380">
        <f t="shared" si="25"/>
        <v>3377.5952597276</v>
      </c>
      <c r="P94" s="380">
        <f t="shared" si="26"/>
        <v>3216.18278317439</v>
      </c>
      <c r="Q94" s="43">
        <v>0.05</v>
      </c>
      <c r="T94" t="str">
        <f t="shared" si="27"/>
        <v>Trd_2w_elc150_120</v>
      </c>
      <c r="U94" t="str">
        <f ca="1" t="shared" si="28"/>
        <v>Battery electric motorcycle (equivalent to 50-250 cc motorcycle) -- 12000%</v>
      </c>
      <c r="V94" s="383" t="s">
        <v>84</v>
      </c>
      <c r="W94" s="383" t="s">
        <v>85</v>
      </c>
    </row>
    <row r="95" spans="2:23">
      <c r="B95" s="66">
        <v>131.428571428571</v>
      </c>
      <c r="C95" s="86">
        <v>5255.17880196333</v>
      </c>
      <c r="D95" s="86">
        <v>4065.26484849646</v>
      </c>
      <c r="E95" s="86">
        <v>3458.03601447322</v>
      </c>
      <c r="F95" s="86">
        <v>3281.25092110542</v>
      </c>
      <c r="I95" s="77">
        <f t="shared" ref="I95:I101" si="29">$I$88</f>
        <v>7.3469387755102</v>
      </c>
      <c r="J95" t="str">
        <f t="shared" si="19"/>
        <v>Trd_2w_elc150</v>
      </c>
      <c r="K95" t="str">
        <f t="shared" ref="K95:K155" si="30">IFERROR(IF(VALUE(C95)&gt;2020,J95&amp;"_"&amp;TEXT(B95,"00"),"\I:"),"\I:")</f>
        <v>Trd_2w_elc150_131</v>
      </c>
      <c r="L95" t="str">
        <f t="shared" si="21"/>
        <v>Trd_2w</v>
      </c>
      <c r="M95" s="380">
        <f t="shared" si="23"/>
        <v>5255.17880196333</v>
      </c>
      <c r="N95" s="380">
        <f t="shared" si="24"/>
        <v>4065.26484849646</v>
      </c>
      <c r="O95" s="380">
        <f t="shared" si="25"/>
        <v>3458.03601447322</v>
      </c>
      <c r="P95" s="380">
        <f t="shared" si="26"/>
        <v>3281.25092110542</v>
      </c>
      <c r="Q95" s="43">
        <v>0.075</v>
      </c>
      <c r="T95" t="str">
        <f t="shared" si="27"/>
        <v>Trd_2w_elc150_131</v>
      </c>
      <c r="U95" t="str">
        <f ca="1" t="shared" si="28"/>
        <v>Battery electric motorcycle (equivalent to 50-250 cc motorcycle) -- 13143%</v>
      </c>
      <c r="V95" s="383" t="s">
        <v>84</v>
      </c>
      <c r="W95" s="383" t="s">
        <v>85</v>
      </c>
    </row>
    <row r="96" spans="2:23">
      <c r="B96" s="66">
        <v>142.857142857143</v>
      </c>
      <c r="C96" s="86">
        <v>5368.6042797577</v>
      </c>
      <c r="D96" s="86">
        <v>4129.11057822971</v>
      </c>
      <c r="E96" s="86">
        <v>3496.58054278884</v>
      </c>
      <c r="F96" s="86">
        <v>3312.42940386404</v>
      </c>
      <c r="I96" s="77">
        <f t="shared" si="29"/>
        <v>7.3469387755102</v>
      </c>
      <c r="J96" t="str">
        <f t="shared" si="19"/>
        <v>Trd_2w_elc150</v>
      </c>
      <c r="K96" t="str">
        <f t="shared" si="30"/>
        <v>Trd_2w_elc150_143</v>
      </c>
      <c r="L96" t="str">
        <f t="shared" si="21"/>
        <v>Trd_2w</v>
      </c>
      <c r="M96" s="380">
        <f t="shared" si="23"/>
        <v>5368.6042797577</v>
      </c>
      <c r="N96" s="380">
        <f t="shared" si="24"/>
        <v>4129.11057822971</v>
      </c>
      <c r="O96" s="380">
        <f t="shared" si="25"/>
        <v>3496.58054278884</v>
      </c>
      <c r="P96" s="380">
        <f t="shared" si="26"/>
        <v>3312.42940386404</v>
      </c>
      <c r="Q96" s="43">
        <v>0.1</v>
      </c>
      <c r="T96" t="str">
        <f t="shared" si="27"/>
        <v>Trd_2w_elc150_143</v>
      </c>
      <c r="U96" t="str">
        <f ca="1" t="shared" si="28"/>
        <v>Battery electric motorcycle (equivalent to 50-250 cc motorcycle) -- 14286%</v>
      </c>
      <c r="V96" s="383" t="s">
        <v>84</v>
      </c>
      <c r="W96" s="383" t="s">
        <v>85</v>
      </c>
    </row>
    <row r="97" spans="2:23">
      <c r="B97" s="66">
        <v>154.285714285714</v>
      </c>
      <c r="C97" s="86">
        <v>5409.04292836265</v>
      </c>
      <c r="D97" s="86">
        <v>4151.87296883025</v>
      </c>
      <c r="E97" s="86">
        <v>3510.32250505788</v>
      </c>
      <c r="F97" s="86">
        <v>3323.54521076059</v>
      </c>
      <c r="I97" s="77">
        <f t="shared" si="29"/>
        <v>7.3469387755102</v>
      </c>
      <c r="J97" t="str">
        <f t="shared" si="19"/>
        <v>Trd_2w_elc150</v>
      </c>
      <c r="K97" t="str">
        <f t="shared" si="30"/>
        <v>Trd_2w_elc150_154</v>
      </c>
      <c r="L97" t="str">
        <f t="shared" si="21"/>
        <v>Trd_2w</v>
      </c>
      <c r="M97" s="380">
        <f t="shared" si="23"/>
        <v>5409.04292836265</v>
      </c>
      <c r="N97" s="380">
        <f t="shared" si="24"/>
        <v>4151.87296883025</v>
      </c>
      <c r="O97" s="380">
        <f t="shared" si="25"/>
        <v>3510.32250505788</v>
      </c>
      <c r="P97" s="380">
        <f t="shared" si="26"/>
        <v>3323.54521076059</v>
      </c>
      <c r="Q97" s="43">
        <v>0.125</v>
      </c>
      <c r="T97" t="str">
        <f t="shared" si="27"/>
        <v>Trd_2w_elc150_154</v>
      </c>
      <c r="U97" t="str">
        <f ca="1" t="shared" si="28"/>
        <v>Battery electric motorcycle (equivalent to 50-250 cc motorcycle) -- 15429%</v>
      </c>
      <c r="V97" s="383" t="s">
        <v>84</v>
      </c>
      <c r="W97" s="383" t="s">
        <v>85</v>
      </c>
    </row>
    <row r="98" spans="2:23">
      <c r="B98" s="66">
        <v>165.714285714286</v>
      </c>
      <c r="C98" s="86">
        <v>5536.27672519285</v>
      </c>
      <c r="D98" s="86">
        <v>4223.4912221832</v>
      </c>
      <c r="E98" s="86">
        <v>3553.55941073366</v>
      </c>
      <c r="F98" s="86">
        <v>3358.51933489852</v>
      </c>
      <c r="I98" s="77">
        <f t="shared" si="29"/>
        <v>7.3469387755102</v>
      </c>
      <c r="J98" t="str">
        <f t="shared" si="19"/>
        <v>Trd_2w_elc150</v>
      </c>
      <c r="K98" t="str">
        <f t="shared" si="30"/>
        <v>Trd_2w_elc150_166</v>
      </c>
      <c r="L98" t="str">
        <f t="shared" si="21"/>
        <v>Trd_2w</v>
      </c>
      <c r="M98" s="380">
        <f t="shared" si="23"/>
        <v>5536.27672519285</v>
      </c>
      <c r="N98" s="380">
        <f t="shared" si="24"/>
        <v>4223.4912221832</v>
      </c>
      <c r="O98" s="380">
        <f t="shared" si="25"/>
        <v>3553.55941073366</v>
      </c>
      <c r="P98" s="380">
        <f t="shared" si="26"/>
        <v>3358.51933489852</v>
      </c>
      <c r="Q98" s="43">
        <v>0.15</v>
      </c>
      <c r="T98" t="str">
        <f t="shared" si="27"/>
        <v>Trd_2w_elc150_166</v>
      </c>
      <c r="U98" t="str">
        <f ca="1" t="shared" si="28"/>
        <v>Battery electric motorcycle (equivalent to 50-250 cc motorcycle) -- 16571%</v>
      </c>
      <c r="V98" s="383" t="s">
        <v>84</v>
      </c>
      <c r="W98" s="383" t="s">
        <v>85</v>
      </c>
    </row>
    <row r="99" spans="2:23">
      <c r="B99" s="66">
        <v>177.142857142857</v>
      </c>
      <c r="C99" s="86">
        <v>5651.67481999234</v>
      </c>
      <c r="D99" s="86">
        <v>4288.44731243355</v>
      </c>
      <c r="E99" s="86">
        <v>3592.77427867215</v>
      </c>
      <c r="F99" s="86">
        <v>3390.2400521399</v>
      </c>
      <c r="I99" s="77">
        <f t="shared" si="29"/>
        <v>7.3469387755102</v>
      </c>
      <c r="J99" t="str">
        <f t="shared" si="19"/>
        <v>Trd_2w_elc150</v>
      </c>
      <c r="K99" t="str">
        <f t="shared" si="30"/>
        <v>Trd_2w_elc150_177</v>
      </c>
      <c r="L99" t="str">
        <f t="shared" si="21"/>
        <v>Trd_2w</v>
      </c>
      <c r="M99" s="380">
        <f t="shared" si="23"/>
        <v>5651.67481999234</v>
      </c>
      <c r="N99" s="380">
        <f t="shared" si="24"/>
        <v>4288.44731243355</v>
      </c>
      <c r="O99" s="380">
        <f t="shared" si="25"/>
        <v>3592.77427867215</v>
      </c>
      <c r="P99" s="380">
        <f t="shared" si="26"/>
        <v>3390.2400521399</v>
      </c>
      <c r="Q99" s="43">
        <v>0.175</v>
      </c>
      <c r="T99" t="str">
        <f t="shared" si="27"/>
        <v>Trd_2w_elc150_177</v>
      </c>
      <c r="U99" t="str">
        <f ca="1" t="shared" si="28"/>
        <v>Battery electric motorcycle (equivalent to 50-250 cc motorcycle) -- 17714%</v>
      </c>
      <c r="V99" s="383" t="s">
        <v>84</v>
      </c>
      <c r="W99" s="383" t="s">
        <v>85</v>
      </c>
    </row>
    <row r="100" spans="2:23">
      <c r="B100" s="66">
        <v>188.571428571428</v>
      </c>
      <c r="C100" s="86">
        <v>5820.33357393005</v>
      </c>
      <c r="D100" s="86">
        <v>4383.38313664559</v>
      </c>
      <c r="E100" s="86">
        <v>3650.08831642841</v>
      </c>
      <c r="F100" s="86">
        <v>3436.60110041577</v>
      </c>
      <c r="I100" s="77">
        <f t="shared" si="29"/>
        <v>7.3469387755102</v>
      </c>
      <c r="J100" t="str">
        <f t="shared" si="19"/>
        <v>Trd_2w_elc150</v>
      </c>
      <c r="K100" t="str">
        <f t="shared" si="30"/>
        <v>Trd_2w_elc150_189</v>
      </c>
      <c r="L100" t="str">
        <f t="shared" si="21"/>
        <v>Trd_2w</v>
      </c>
      <c r="M100" s="380">
        <f t="shared" si="23"/>
        <v>5820.33357393005</v>
      </c>
      <c r="N100" s="380">
        <f t="shared" si="24"/>
        <v>4383.38313664559</v>
      </c>
      <c r="O100" s="380">
        <f t="shared" si="25"/>
        <v>3650.08831642841</v>
      </c>
      <c r="P100" s="380">
        <f t="shared" si="26"/>
        <v>3436.60110041577</v>
      </c>
      <c r="Q100" s="43">
        <v>0.2</v>
      </c>
      <c r="T100" t="str">
        <f t="shared" si="27"/>
        <v>Trd_2w_elc150_189</v>
      </c>
      <c r="U100" t="str">
        <f ca="1" t="shared" si="28"/>
        <v>Battery electric motorcycle (equivalent to 50-250 cc motorcycle) -- 18857%</v>
      </c>
      <c r="V100" s="383" t="s">
        <v>84</v>
      </c>
      <c r="W100" s="383" t="s">
        <v>85</v>
      </c>
    </row>
    <row r="101" spans="2:23">
      <c r="B101" s="66">
        <v>200</v>
      </c>
      <c r="C101" s="86">
        <v>5985.04709385752</v>
      </c>
      <c r="D101" s="86">
        <v>4476.09823982344</v>
      </c>
      <c r="E101" s="86">
        <v>3706.06167493891</v>
      </c>
      <c r="F101" s="86">
        <v>3481.87767972611</v>
      </c>
      <c r="I101" s="77">
        <f t="shared" si="29"/>
        <v>7.3469387755102</v>
      </c>
      <c r="J101" t="str">
        <f t="shared" si="19"/>
        <v>Trd_2w_elc150</v>
      </c>
      <c r="K101" t="str">
        <f t="shared" si="30"/>
        <v>Trd_2w_elc150_200</v>
      </c>
      <c r="L101" t="str">
        <f t="shared" si="21"/>
        <v>Trd_2w</v>
      </c>
      <c r="M101" s="380">
        <f t="shared" si="23"/>
        <v>5985.04709385752</v>
      </c>
      <c r="N101" s="380">
        <f t="shared" si="24"/>
        <v>4476.09823982344</v>
      </c>
      <c r="O101" s="380">
        <f t="shared" si="25"/>
        <v>3706.06167493891</v>
      </c>
      <c r="P101" s="380">
        <f t="shared" si="26"/>
        <v>3481.87767972611</v>
      </c>
      <c r="T101" t="str">
        <f t="shared" si="27"/>
        <v>Trd_2w_elc150_200</v>
      </c>
      <c r="U101" t="str">
        <f ca="1" t="shared" si="28"/>
        <v>Battery electric motorcycle (equivalent to 50-250 cc motorcycle) -- 20000%</v>
      </c>
      <c r="V101" s="383" t="s">
        <v>84</v>
      </c>
      <c r="W101" s="383" t="s">
        <v>85</v>
      </c>
    </row>
    <row r="102" spans="10:23">
      <c r="J102" t="str">
        <f t="shared" si="19"/>
        <v>Trd_2w_elc150</v>
      </c>
      <c r="K102" t="str">
        <f t="shared" si="30"/>
        <v>\I:</v>
      </c>
      <c r="L102" t="str">
        <f t="shared" si="21"/>
        <v>\I:</v>
      </c>
      <c r="M102" s="380" t="str">
        <f t="shared" si="23"/>
        <v/>
      </c>
      <c r="N102" s="380" t="str">
        <f t="shared" si="24"/>
        <v/>
      </c>
      <c r="O102" s="380" t="str">
        <f t="shared" si="25"/>
        <v/>
      </c>
      <c r="P102" s="380" t="str">
        <f t="shared" si="26"/>
        <v/>
      </c>
      <c r="T102" t="str">
        <f t="shared" si="27"/>
        <v>\I:</v>
      </c>
      <c r="U102" t="str">
        <f ca="1" t="shared" si="28"/>
        <v>Battery electric motorcycle (equivalent to 50-250 cc motorcycle) -- 00%</v>
      </c>
      <c r="V102" s="383" t="s">
        <v>84</v>
      </c>
      <c r="W102" s="383" t="s">
        <v>85</v>
      </c>
    </row>
    <row r="103" spans="10:23">
      <c r="J103" t="str">
        <f t="shared" si="19"/>
        <v>Trd_2w_elc150</v>
      </c>
      <c r="K103" t="str">
        <f t="shared" si="30"/>
        <v>\I:</v>
      </c>
      <c r="L103" t="str">
        <f t="shared" si="21"/>
        <v>\I:</v>
      </c>
      <c r="M103" s="380" t="str">
        <f t="shared" si="23"/>
        <v/>
      </c>
      <c r="N103" s="380" t="str">
        <f t="shared" si="24"/>
        <v/>
      </c>
      <c r="O103" s="380" t="str">
        <f t="shared" si="25"/>
        <v/>
      </c>
      <c r="P103" s="380" t="str">
        <f t="shared" si="26"/>
        <v/>
      </c>
      <c r="T103" t="str">
        <f t="shared" si="27"/>
        <v>\I:</v>
      </c>
      <c r="U103" t="str">
        <f ca="1" t="shared" si="28"/>
        <v>Battery electric motorcycle (equivalent to 50-250 cc motorcycle) -- 00%</v>
      </c>
      <c r="V103" s="383" t="s">
        <v>84</v>
      </c>
      <c r="W103" s="383" t="s">
        <v>85</v>
      </c>
    </row>
    <row r="104" spans="10:23">
      <c r="J104" t="str">
        <f t="shared" si="19"/>
        <v>Trd_2w_elc150</v>
      </c>
      <c r="K104" t="str">
        <f t="shared" si="30"/>
        <v>\I:</v>
      </c>
      <c r="L104" t="str">
        <f t="shared" si="21"/>
        <v>\I:</v>
      </c>
      <c r="M104" s="380" t="str">
        <f t="shared" si="23"/>
        <v/>
      </c>
      <c r="N104" s="380" t="str">
        <f t="shared" si="24"/>
        <v/>
      </c>
      <c r="O104" s="380" t="str">
        <f t="shared" si="25"/>
        <v/>
      </c>
      <c r="P104" s="380" t="str">
        <f t="shared" si="26"/>
        <v/>
      </c>
      <c r="T104" t="str">
        <f t="shared" si="27"/>
        <v>\I:</v>
      </c>
      <c r="U104" t="str">
        <f ca="1" t="shared" si="28"/>
        <v>Battery electric motorcycle (equivalent to 50-250 cc motorcycle) -- 00%</v>
      </c>
      <c r="V104" s="383" t="s">
        <v>84</v>
      </c>
      <c r="W104" s="383" t="s">
        <v>85</v>
      </c>
    </row>
    <row r="105" spans="2:23">
      <c r="B105" s="372">
        <v>2020</v>
      </c>
      <c r="C105" s="372"/>
      <c r="D105" s="372"/>
      <c r="J105" t="str">
        <f t="shared" si="19"/>
        <v>Trd_2w_elc150</v>
      </c>
      <c r="K105" t="str">
        <f t="shared" si="30"/>
        <v>\I:</v>
      </c>
      <c r="L105" t="str">
        <f t="shared" si="21"/>
        <v>\I:</v>
      </c>
      <c r="M105" s="380" t="str">
        <f t="shared" si="23"/>
        <v/>
      </c>
      <c r="N105" s="380" t="str">
        <f t="shared" si="24"/>
        <v/>
      </c>
      <c r="O105" s="380" t="str">
        <f t="shared" si="25"/>
        <v/>
      </c>
      <c r="P105" s="380" t="str">
        <f t="shared" si="26"/>
        <v/>
      </c>
      <c r="T105" t="str">
        <f t="shared" si="27"/>
        <v>\I:</v>
      </c>
      <c r="U105" t="str">
        <f ca="1" t="shared" si="28"/>
        <v>Battery electric motorcycle (equivalent to 50-250 cc motorcycle) -- 202000%</v>
      </c>
      <c r="V105" s="383" t="s">
        <v>84</v>
      </c>
      <c r="W105" s="383" t="s">
        <v>85</v>
      </c>
    </row>
    <row r="106" spans="2:23">
      <c r="B106" s="45" t="s">
        <v>145</v>
      </c>
      <c r="C106" s="46" t="s">
        <v>26</v>
      </c>
      <c r="D106" s="74">
        <v>0.0574</v>
      </c>
      <c r="G106" s="77">
        <f>D106/3.6/100*10^9/10^6</f>
        <v>0.159444444444444</v>
      </c>
      <c r="H106" s="77"/>
      <c r="I106" s="373">
        <f>1/G106</f>
        <v>6.27177700348432</v>
      </c>
      <c r="J106" t="str">
        <f t="shared" si="19"/>
        <v>Trd_2w_elc150</v>
      </c>
      <c r="K106" t="str">
        <f t="shared" si="30"/>
        <v>\I:</v>
      </c>
      <c r="L106" t="str">
        <f t="shared" si="21"/>
        <v>\I:</v>
      </c>
      <c r="M106" s="380" t="str">
        <f t="shared" si="23"/>
        <v/>
      </c>
      <c r="N106" s="380" t="str">
        <f t="shared" si="24"/>
        <v/>
      </c>
      <c r="O106" s="380" t="str">
        <f t="shared" si="25"/>
        <v/>
      </c>
      <c r="P106" s="380" t="str">
        <f t="shared" si="26"/>
        <v/>
      </c>
      <c r="T106" t="str">
        <f t="shared" si="27"/>
        <v>\I:</v>
      </c>
      <c r="U106" t="str">
        <f ca="1" t="shared" si="28"/>
        <v>Battery electric motorcycle (equivalent to 50-250 cc motorcycle) -- Energy consumption of Battery electric motorcycle (equivalent to 250-750 cc motorcycle) </v>
      </c>
      <c r="V106" s="383" t="s">
        <v>84</v>
      </c>
      <c r="W106" s="383" t="s">
        <v>85</v>
      </c>
    </row>
    <row r="107" spans="9:23">
      <c r="I107" s="385" t="s">
        <v>70</v>
      </c>
      <c r="J107" t="str">
        <f t="shared" si="19"/>
        <v>Trd_2w_elc150</v>
      </c>
      <c r="K107" t="str">
        <f t="shared" si="30"/>
        <v>\I:</v>
      </c>
      <c r="L107" t="str">
        <f t="shared" si="21"/>
        <v>\I:</v>
      </c>
      <c r="M107" s="380" t="str">
        <f t="shared" si="23"/>
        <v/>
      </c>
      <c r="N107" s="380" t="str">
        <f t="shared" si="24"/>
        <v/>
      </c>
      <c r="O107" s="380" t="str">
        <f t="shared" si="25"/>
        <v/>
      </c>
      <c r="P107" s="380" t="str">
        <f t="shared" si="26"/>
        <v/>
      </c>
      <c r="T107" t="str">
        <f t="shared" si="27"/>
        <v>\I:</v>
      </c>
      <c r="U107" t="str">
        <f ca="1" t="shared" si="28"/>
        <v>Battery electric motorcycle (equivalent to 50-250 cc motorcycle) -- 00%</v>
      </c>
      <c r="V107" s="383" t="s">
        <v>84</v>
      </c>
      <c r="W107" s="383" t="s">
        <v>85</v>
      </c>
    </row>
    <row r="108" ht="15" customHeight="1" spans="2:23">
      <c r="B108" s="389" t="s">
        <v>27</v>
      </c>
      <c r="C108" s="389" t="s">
        <v>136</v>
      </c>
      <c r="D108" s="389"/>
      <c r="E108" s="389"/>
      <c r="F108" s="389"/>
      <c r="J108" t="str">
        <f t="shared" si="19"/>
        <v>Trd_2w_elc500</v>
      </c>
      <c r="K108" t="str">
        <f t="shared" si="30"/>
        <v>\I:</v>
      </c>
      <c r="L108" t="str">
        <f t="shared" si="21"/>
        <v>\I:</v>
      </c>
      <c r="M108" s="380" t="str">
        <f t="shared" si="23"/>
        <v/>
      </c>
      <c r="N108" s="380" t="str">
        <f t="shared" si="24"/>
        <v/>
      </c>
      <c r="O108" s="380" t="str">
        <f t="shared" si="25"/>
        <v/>
      </c>
      <c r="P108" s="380" t="str">
        <f t="shared" si="26"/>
        <v/>
      </c>
      <c r="T108" t="str">
        <f t="shared" si="27"/>
        <v>\I:</v>
      </c>
      <c r="U108" t="str">
        <f ca="1" t="shared" si="28"/>
        <v>Battery electric motorcycle (equivalent to 250-750 cc motorcycle) -- Electric range (km)</v>
      </c>
      <c r="V108" s="383" t="s">
        <v>84</v>
      </c>
      <c r="W108" s="383" t="s">
        <v>85</v>
      </c>
    </row>
    <row r="109" spans="2:23">
      <c r="B109" s="389"/>
      <c r="C109" s="389"/>
      <c r="D109" s="389"/>
      <c r="E109" s="389"/>
      <c r="F109" s="389"/>
      <c r="J109" t="str">
        <f t="shared" si="19"/>
        <v>Trd_2w_elc500</v>
      </c>
      <c r="K109" t="str">
        <f t="shared" si="30"/>
        <v>\I:</v>
      </c>
      <c r="L109" t="str">
        <f t="shared" si="21"/>
        <v>\I:</v>
      </c>
      <c r="M109" s="380" t="str">
        <f t="shared" si="23"/>
        <v/>
      </c>
      <c r="N109" s="380" t="str">
        <f t="shared" si="24"/>
        <v/>
      </c>
      <c r="O109" s="380" t="str">
        <f t="shared" si="25"/>
        <v/>
      </c>
      <c r="P109" s="380" t="str">
        <f t="shared" si="26"/>
        <v/>
      </c>
      <c r="T109" t="str">
        <f t="shared" si="27"/>
        <v>\I:</v>
      </c>
      <c r="U109" t="str">
        <f ca="1" t="shared" si="28"/>
        <v>Battery electric motorcycle (equivalent to 250-750 cc motorcycle) -- 00%</v>
      </c>
      <c r="V109" s="383" t="s">
        <v>84</v>
      </c>
      <c r="W109" s="383" t="s">
        <v>85</v>
      </c>
    </row>
    <row r="110" spans="2:23">
      <c r="B110" s="389"/>
      <c r="C110" s="389"/>
      <c r="D110" s="389"/>
      <c r="E110" s="389"/>
      <c r="F110" s="389"/>
      <c r="J110" t="str">
        <f t="shared" si="19"/>
        <v>Trd_2w_elc500</v>
      </c>
      <c r="K110" t="str">
        <f t="shared" si="30"/>
        <v>\I:</v>
      </c>
      <c r="L110" t="str">
        <f t="shared" si="21"/>
        <v>\I:</v>
      </c>
      <c r="M110" s="380" t="str">
        <f t="shared" si="23"/>
        <v/>
      </c>
      <c r="N110" s="380" t="str">
        <f t="shared" si="24"/>
        <v/>
      </c>
      <c r="O110" s="380" t="str">
        <f t="shared" si="25"/>
        <v/>
      </c>
      <c r="P110" s="380" t="str">
        <f t="shared" si="26"/>
        <v/>
      </c>
      <c r="T110" t="str">
        <f t="shared" si="27"/>
        <v>\I:</v>
      </c>
      <c r="U110" t="str">
        <f ca="1" t="shared" si="28"/>
        <v>Battery electric motorcycle (equivalent to 250-750 cc motorcycle) -- 00%</v>
      </c>
      <c r="V110" s="383" t="s">
        <v>84</v>
      </c>
      <c r="W110" s="383" t="s">
        <v>85</v>
      </c>
    </row>
    <row r="111" spans="2:23">
      <c r="B111" s="49"/>
      <c r="C111" s="50">
        <v>2020</v>
      </c>
      <c r="D111" s="50">
        <v>2030</v>
      </c>
      <c r="E111" s="50">
        <v>2040</v>
      </c>
      <c r="F111" s="50">
        <v>2050</v>
      </c>
      <c r="J111" t="str">
        <f t="shared" si="19"/>
        <v>Trd_2w_elc500</v>
      </c>
      <c r="K111" t="str">
        <f t="shared" si="30"/>
        <v>\I:</v>
      </c>
      <c r="L111" t="str">
        <f t="shared" si="21"/>
        <v>\I:</v>
      </c>
      <c r="M111" s="380" t="str">
        <f t="shared" si="23"/>
        <v/>
      </c>
      <c r="N111" s="380" t="str">
        <f t="shared" si="24"/>
        <v/>
      </c>
      <c r="O111" s="380" t="str">
        <f t="shared" si="25"/>
        <v/>
      </c>
      <c r="P111" s="380" t="str">
        <f t="shared" si="26"/>
        <v/>
      </c>
      <c r="T111" t="str">
        <f t="shared" si="27"/>
        <v>\I:</v>
      </c>
      <c r="U111" t="str">
        <f ca="1" t="shared" si="28"/>
        <v>Battery electric motorcycle (equivalent to 250-750 cc motorcycle) -- 00%</v>
      </c>
      <c r="V111" s="383" t="s">
        <v>84</v>
      </c>
      <c r="W111" s="383" t="s">
        <v>85</v>
      </c>
    </row>
    <row r="112" spans="2:23">
      <c r="B112" s="66">
        <v>120</v>
      </c>
      <c r="C112" s="86">
        <v>9005.08390897976</v>
      </c>
      <c r="D112" s="86">
        <v>7694.21261537352</v>
      </c>
      <c r="E112" s="86">
        <v>7025.25765030914</v>
      </c>
      <c r="F112" s="86">
        <v>6830.50196788507</v>
      </c>
      <c r="I112" s="77">
        <f>$I$106</f>
        <v>6.27177700348432</v>
      </c>
      <c r="J112" t="str">
        <f t="shared" si="19"/>
        <v>Trd_2w_elc500</v>
      </c>
      <c r="K112" t="str">
        <f t="shared" si="30"/>
        <v>Trd_2w_elc500_120</v>
      </c>
      <c r="L112" t="str">
        <f t="shared" si="21"/>
        <v>Trd_2w</v>
      </c>
      <c r="M112" s="380">
        <f t="shared" si="23"/>
        <v>9005.08390897976</v>
      </c>
      <c r="N112" s="380">
        <f t="shared" si="24"/>
        <v>7694.21261537352</v>
      </c>
      <c r="O112" s="380">
        <f t="shared" si="25"/>
        <v>7025.25765030914</v>
      </c>
      <c r="P112" s="380">
        <f t="shared" si="26"/>
        <v>6830.50196788507</v>
      </c>
      <c r="Q112" s="43">
        <v>0.05</v>
      </c>
      <c r="T112" t="str">
        <f t="shared" si="27"/>
        <v>Trd_2w_elc500_120</v>
      </c>
      <c r="U112" t="str">
        <f ca="1" t="shared" si="28"/>
        <v>Battery electric motorcycle (equivalent to 250-750 cc motorcycle) -- 12000%</v>
      </c>
      <c r="V112" s="383" t="s">
        <v>84</v>
      </c>
      <c r="W112" s="383" t="s">
        <v>85</v>
      </c>
    </row>
    <row r="113" spans="2:23">
      <c r="B113" s="66">
        <v>131.428571428571</v>
      </c>
      <c r="C113" s="86">
        <v>9279.25190789782</v>
      </c>
      <c r="D113" s="86">
        <v>7848.53822458243</v>
      </c>
      <c r="E113" s="86">
        <v>7118.42610243319</v>
      </c>
      <c r="F113" s="86">
        <v>6905.86547874222</v>
      </c>
      <c r="I113" s="77">
        <f t="shared" ref="I113:I119" si="31">$I$106</f>
        <v>6.27177700348432</v>
      </c>
      <c r="J113" t="str">
        <f t="shared" si="19"/>
        <v>Trd_2w_elc500</v>
      </c>
      <c r="K113" t="str">
        <f t="shared" si="30"/>
        <v>Trd_2w_elc500_131</v>
      </c>
      <c r="L113" t="str">
        <f t="shared" si="21"/>
        <v>Trd_2w</v>
      </c>
      <c r="M113" s="380">
        <f t="shared" si="23"/>
        <v>9279.25190789782</v>
      </c>
      <c r="N113" s="380">
        <f t="shared" si="24"/>
        <v>7848.53822458243</v>
      </c>
      <c r="O113" s="380">
        <f t="shared" si="25"/>
        <v>7118.42610243319</v>
      </c>
      <c r="P113" s="380">
        <f t="shared" si="26"/>
        <v>6905.86547874222</v>
      </c>
      <c r="Q113" s="43">
        <v>0.075</v>
      </c>
      <c r="T113" t="str">
        <f t="shared" si="27"/>
        <v>Trd_2w_elc500_131</v>
      </c>
      <c r="U113" t="str">
        <f ca="1" t="shared" si="28"/>
        <v>Battery electric motorcycle (equivalent to 250-750 cc motorcycle) -- 13143%</v>
      </c>
      <c r="V113" s="383" t="s">
        <v>84</v>
      </c>
      <c r="W113" s="383" t="s">
        <v>85</v>
      </c>
    </row>
    <row r="114" spans="2:23">
      <c r="B114" s="66">
        <v>142.857142857143</v>
      </c>
      <c r="C114" s="86">
        <v>9403.70974951194</v>
      </c>
      <c r="D114" s="86">
        <v>7918.59392876279</v>
      </c>
      <c r="E114" s="86">
        <v>7160.71967609476</v>
      </c>
      <c r="F114" s="86">
        <v>6940.07654617079</v>
      </c>
      <c r="I114" s="77">
        <f t="shared" si="31"/>
        <v>6.27177700348432</v>
      </c>
      <c r="J114" t="str">
        <f t="shared" si="19"/>
        <v>Trd_2w_elc500</v>
      </c>
      <c r="K114" t="str">
        <f t="shared" si="30"/>
        <v>Trd_2w_elc500_143</v>
      </c>
      <c r="L114" t="str">
        <f t="shared" si="21"/>
        <v>Trd_2w</v>
      </c>
      <c r="M114" s="380">
        <f t="shared" si="23"/>
        <v>9403.70974951194</v>
      </c>
      <c r="N114" s="380">
        <f t="shared" si="24"/>
        <v>7918.59392876279</v>
      </c>
      <c r="O114" s="380">
        <f t="shared" si="25"/>
        <v>7160.71967609476</v>
      </c>
      <c r="P114" s="380">
        <f t="shared" si="26"/>
        <v>6940.07654617079</v>
      </c>
      <c r="Q114" s="43">
        <v>0.1</v>
      </c>
      <c r="T114" t="str">
        <f t="shared" si="27"/>
        <v>Trd_2w_elc500_143</v>
      </c>
      <c r="U114" t="str">
        <f ca="1" t="shared" si="28"/>
        <v>Battery electric motorcycle (equivalent to 250-750 cc motorcycle) -- 14286%</v>
      </c>
      <c r="V114" s="383" t="s">
        <v>84</v>
      </c>
      <c r="W114" s="383" t="s">
        <v>85</v>
      </c>
    </row>
    <row r="115" spans="2:23">
      <c r="B115" s="66">
        <v>154.285714285714</v>
      </c>
      <c r="C115" s="86">
        <v>9440.07059619241</v>
      </c>
      <c r="D115" s="86">
        <v>7939.06097757031</v>
      </c>
      <c r="E115" s="86">
        <v>7173.07590955931</v>
      </c>
      <c r="F115" s="86">
        <v>6950.07144373138</v>
      </c>
      <c r="I115" s="77">
        <f t="shared" si="31"/>
        <v>6.27177700348432</v>
      </c>
      <c r="J115" t="str">
        <f t="shared" si="19"/>
        <v>Trd_2w_elc500</v>
      </c>
      <c r="K115" t="str">
        <f t="shared" si="30"/>
        <v>Trd_2w_elc500_154</v>
      </c>
      <c r="L115" t="str">
        <f t="shared" si="21"/>
        <v>Trd_2w</v>
      </c>
      <c r="M115" s="380">
        <f t="shared" si="23"/>
        <v>9440.07059619241</v>
      </c>
      <c r="N115" s="380">
        <f t="shared" si="24"/>
        <v>7939.06097757031</v>
      </c>
      <c r="O115" s="380">
        <f t="shared" si="25"/>
        <v>7173.07590955931</v>
      </c>
      <c r="P115" s="380">
        <f t="shared" si="26"/>
        <v>6950.07144373138</v>
      </c>
      <c r="Q115" s="43">
        <v>0.125</v>
      </c>
      <c r="T115" t="str">
        <f t="shared" si="27"/>
        <v>Trd_2w_elc500_154</v>
      </c>
      <c r="U115" t="str">
        <f ca="1" t="shared" si="28"/>
        <v>Battery electric motorcycle (equivalent to 250-750 cc motorcycle) -- 15429%</v>
      </c>
      <c r="V115" s="383" t="s">
        <v>84</v>
      </c>
      <c r="W115" s="383" t="s">
        <v>85</v>
      </c>
    </row>
    <row r="116" spans="2:23">
      <c r="B116" s="66">
        <v>165.714285714286</v>
      </c>
      <c r="C116" s="86">
        <v>9579.35639854656</v>
      </c>
      <c r="D116" s="86">
        <v>8017.46314845562</v>
      </c>
      <c r="E116" s="86">
        <v>7220.40835776407</v>
      </c>
      <c r="F116" s="86">
        <v>6988.3584324368</v>
      </c>
      <c r="I116" s="77">
        <f t="shared" si="31"/>
        <v>6.27177700348432</v>
      </c>
      <c r="J116" t="str">
        <f t="shared" si="19"/>
        <v>Trd_2w_elc500</v>
      </c>
      <c r="K116" t="str">
        <f t="shared" si="30"/>
        <v>Trd_2w_elc500_166</v>
      </c>
      <c r="L116" t="str">
        <f t="shared" si="21"/>
        <v>Trd_2w</v>
      </c>
      <c r="M116" s="380">
        <f t="shared" si="23"/>
        <v>9579.35639854656</v>
      </c>
      <c r="N116" s="380">
        <f t="shared" si="24"/>
        <v>8017.46314845562</v>
      </c>
      <c r="O116" s="380">
        <f t="shared" si="25"/>
        <v>7220.40835776407</v>
      </c>
      <c r="P116" s="380">
        <f t="shared" si="26"/>
        <v>6988.3584324368</v>
      </c>
      <c r="Q116" s="43">
        <v>0.15</v>
      </c>
      <c r="T116" t="str">
        <f t="shared" si="27"/>
        <v>Trd_2w_elc500_166</v>
      </c>
      <c r="U116" t="str">
        <f ca="1" t="shared" si="28"/>
        <v>Battery electric motorcycle (equivalent to 250-750 cc motorcycle) -- 16571%</v>
      </c>
      <c r="V116" s="383" t="s">
        <v>84</v>
      </c>
      <c r="W116" s="383" t="s">
        <v>85</v>
      </c>
    </row>
    <row r="117" spans="2:23">
      <c r="B117" s="66">
        <v>177.142857142857</v>
      </c>
      <c r="C117" s="86">
        <v>9703.54056974434</v>
      </c>
      <c r="D117" s="86">
        <v>8087.36480710955</v>
      </c>
      <c r="E117" s="86">
        <v>7262.60893206328</v>
      </c>
      <c r="F117" s="86">
        <v>7022.49427313039</v>
      </c>
      <c r="I117" s="77">
        <f t="shared" si="31"/>
        <v>6.27177700348432</v>
      </c>
      <c r="J117" t="str">
        <f t="shared" si="19"/>
        <v>Trd_2w_elc500</v>
      </c>
      <c r="K117" t="str">
        <f t="shared" si="30"/>
        <v>Trd_2w_elc500_177</v>
      </c>
      <c r="L117" t="str">
        <f t="shared" si="21"/>
        <v>Trd_2w</v>
      </c>
      <c r="M117" s="380">
        <f t="shared" si="23"/>
        <v>9703.54056974434</v>
      </c>
      <c r="N117" s="380">
        <f t="shared" si="24"/>
        <v>8087.36480710955</v>
      </c>
      <c r="O117" s="380">
        <f t="shared" si="25"/>
        <v>7262.60893206328</v>
      </c>
      <c r="P117" s="380">
        <f t="shared" si="26"/>
        <v>7022.49427313039</v>
      </c>
      <c r="Q117" s="43">
        <v>0.175</v>
      </c>
      <c r="T117" t="str">
        <f t="shared" si="27"/>
        <v>Trd_2w_elc500_177</v>
      </c>
      <c r="U117" t="str">
        <f ca="1" t="shared" si="28"/>
        <v>Battery electric motorcycle (equivalent to 250-750 cc motorcycle) -- 17714%</v>
      </c>
      <c r="V117" s="383" t="s">
        <v>84</v>
      </c>
      <c r="W117" s="383" t="s">
        <v>85</v>
      </c>
    </row>
    <row r="118" ht="15" customHeight="1" spans="2:23">
      <c r="B118" s="66">
        <v>188.571428571428</v>
      </c>
      <c r="C118" s="86">
        <v>9889.67377155065</v>
      </c>
      <c r="D118" s="86">
        <v>8192.13677129253</v>
      </c>
      <c r="E118" s="86">
        <v>7325.86118020902</v>
      </c>
      <c r="F118" s="86">
        <v>7073.65871110478</v>
      </c>
      <c r="I118" s="77">
        <f t="shared" si="31"/>
        <v>6.27177700348432</v>
      </c>
      <c r="J118" t="str">
        <f t="shared" si="19"/>
        <v>Trd_2w_elc500</v>
      </c>
      <c r="K118" t="str">
        <f t="shared" si="30"/>
        <v>Trd_2w_elc500_189</v>
      </c>
      <c r="L118" t="str">
        <f t="shared" si="21"/>
        <v>Trd_2w</v>
      </c>
      <c r="M118" s="380">
        <f t="shared" si="23"/>
        <v>9889.67377155065</v>
      </c>
      <c r="N118" s="380">
        <f t="shared" si="24"/>
        <v>8192.13677129253</v>
      </c>
      <c r="O118" s="380">
        <f t="shared" si="25"/>
        <v>7325.86118020902</v>
      </c>
      <c r="P118" s="380">
        <f t="shared" si="26"/>
        <v>7073.65871110478</v>
      </c>
      <c r="Q118" s="43">
        <v>0.2</v>
      </c>
      <c r="T118" t="str">
        <f t="shared" si="27"/>
        <v>Trd_2w_elc500_189</v>
      </c>
      <c r="U118" t="str">
        <f ca="1" t="shared" si="28"/>
        <v>Battery electric motorcycle (equivalent to 250-750 cc motorcycle) -- 18857%</v>
      </c>
      <c r="V118" s="383" t="s">
        <v>84</v>
      </c>
      <c r="W118" s="383" t="s">
        <v>85</v>
      </c>
    </row>
    <row r="119" spans="2:23">
      <c r="B119" s="66">
        <v>200</v>
      </c>
      <c r="C119" s="86">
        <v>10069.7447589828</v>
      </c>
      <c r="D119" s="86">
        <v>8293.4963936627</v>
      </c>
      <c r="E119" s="86">
        <v>7387.05335157005</v>
      </c>
      <c r="F119" s="86">
        <v>7123.15676291956</v>
      </c>
      <c r="I119" s="77">
        <f t="shared" si="31"/>
        <v>6.27177700348432</v>
      </c>
      <c r="J119" t="str">
        <f t="shared" si="19"/>
        <v>Trd_2w_elc500</v>
      </c>
      <c r="K119" t="str">
        <f t="shared" si="30"/>
        <v>Trd_2w_elc500_200</v>
      </c>
      <c r="L119" t="str">
        <f t="shared" si="21"/>
        <v>Trd_2w</v>
      </c>
      <c r="M119" s="380">
        <f t="shared" si="23"/>
        <v>10069.7447589828</v>
      </c>
      <c r="N119" s="380">
        <f t="shared" si="24"/>
        <v>8293.4963936627</v>
      </c>
      <c r="O119" s="380">
        <f t="shared" si="25"/>
        <v>7387.05335157005</v>
      </c>
      <c r="P119" s="380">
        <f t="shared" si="26"/>
        <v>7123.15676291956</v>
      </c>
      <c r="T119" t="str">
        <f t="shared" si="27"/>
        <v>Trd_2w_elc500_200</v>
      </c>
      <c r="U119" t="str">
        <f ca="1" t="shared" si="28"/>
        <v>Battery electric motorcycle (equivalent to 250-750 cc motorcycle) -- 20000%</v>
      </c>
      <c r="V119" s="383" t="s">
        <v>84</v>
      </c>
      <c r="W119" s="383" t="s">
        <v>85</v>
      </c>
    </row>
    <row r="120" spans="10:23">
      <c r="J120" t="str">
        <f t="shared" si="19"/>
        <v>Trd_2w_elc500</v>
      </c>
      <c r="K120" t="str">
        <f t="shared" si="30"/>
        <v>\I:</v>
      </c>
      <c r="L120" t="str">
        <f t="shared" si="21"/>
        <v>\I:</v>
      </c>
      <c r="M120" s="380" t="str">
        <f t="shared" si="23"/>
        <v/>
      </c>
      <c r="N120" s="380" t="str">
        <f t="shared" si="24"/>
        <v/>
      </c>
      <c r="O120" s="380" t="str">
        <f t="shared" si="25"/>
        <v/>
      </c>
      <c r="P120" s="380" t="str">
        <f t="shared" si="26"/>
        <v/>
      </c>
      <c r="T120" t="str">
        <f t="shared" si="27"/>
        <v>\I:</v>
      </c>
      <c r="U120" t="str">
        <f ca="1" t="shared" si="28"/>
        <v>Battery electric motorcycle (equivalent to 250-750 cc motorcycle) -- 00%</v>
      </c>
      <c r="V120" s="383" t="s">
        <v>84</v>
      </c>
      <c r="W120" s="383" t="s">
        <v>85</v>
      </c>
    </row>
    <row r="121" spans="10:23">
      <c r="J121" t="str">
        <f t="shared" si="19"/>
        <v>Trd_2w_elc500</v>
      </c>
      <c r="K121" t="str">
        <f t="shared" si="30"/>
        <v>\I:</v>
      </c>
      <c r="L121" t="str">
        <f t="shared" si="21"/>
        <v>\I:</v>
      </c>
      <c r="M121" s="380" t="str">
        <f t="shared" si="23"/>
        <v/>
      </c>
      <c r="N121" s="380" t="str">
        <f t="shared" si="24"/>
        <v/>
      </c>
      <c r="O121" s="380" t="str">
        <f t="shared" si="25"/>
        <v/>
      </c>
      <c r="P121" s="380" t="str">
        <f t="shared" si="26"/>
        <v/>
      </c>
      <c r="T121" t="str">
        <f t="shared" si="27"/>
        <v>\I:</v>
      </c>
      <c r="U121" t="str">
        <f ca="1" t="shared" si="28"/>
        <v>Battery electric motorcycle (equivalent to 250-750 cc motorcycle) -- 00%</v>
      </c>
      <c r="V121" s="383" t="s">
        <v>84</v>
      </c>
      <c r="W121" s="383" t="s">
        <v>85</v>
      </c>
    </row>
    <row r="122" spans="10:23">
      <c r="J122" t="str">
        <f t="shared" si="19"/>
        <v>Trd_2w_elc500</v>
      </c>
      <c r="K122" t="str">
        <f t="shared" si="30"/>
        <v>\I:</v>
      </c>
      <c r="L122" t="str">
        <f t="shared" si="21"/>
        <v>\I:</v>
      </c>
      <c r="M122" s="380" t="str">
        <f t="shared" si="23"/>
        <v/>
      </c>
      <c r="N122" s="380" t="str">
        <f t="shared" si="24"/>
        <v/>
      </c>
      <c r="O122" s="380" t="str">
        <f t="shared" si="25"/>
        <v/>
      </c>
      <c r="P122" s="380" t="str">
        <f t="shared" si="26"/>
        <v/>
      </c>
      <c r="T122" t="str">
        <f t="shared" si="27"/>
        <v>\I:</v>
      </c>
      <c r="U122" t="str">
        <f ca="1" t="shared" si="28"/>
        <v>Battery electric motorcycle (equivalent to 250-750 cc motorcycle) -- 00%</v>
      </c>
      <c r="V122" s="383" t="s">
        <v>84</v>
      </c>
      <c r="W122" s="383" t="s">
        <v>85</v>
      </c>
    </row>
    <row r="123" spans="2:23">
      <c r="B123" s="372">
        <v>2020</v>
      </c>
      <c r="C123" s="372"/>
      <c r="D123" s="372"/>
      <c r="J123" t="str">
        <f t="shared" si="19"/>
        <v>Trd_2w_elc500</v>
      </c>
      <c r="K123" t="str">
        <f t="shared" si="30"/>
        <v>\I:</v>
      </c>
      <c r="L123" t="str">
        <f t="shared" si="21"/>
        <v>\I:</v>
      </c>
      <c r="M123" s="380" t="str">
        <f t="shared" si="23"/>
        <v/>
      </c>
      <c r="N123" s="380" t="str">
        <f t="shared" si="24"/>
        <v/>
      </c>
      <c r="O123" s="380" t="str">
        <f t="shared" si="25"/>
        <v/>
      </c>
      <c r="P123" s="380" t="str">
        <f t="shared" si="26"/>
        <v/>
      </c>
      <c r="T123" t="str">
        <f t="shared" si="27"/>
        <v>\I:</v>
      </c>
      <c r="U123" t="str">
        <f ca="1" t="shared" si="28"/>
        <v>Battery electric motorcycle (equivalent to 250-750 cc motorcycle) -- 202000%</v>
      </c>
      <c r="V123" s="383" t="s">
        <v>84</v>
      </c>
      <c r="W123" s="383" t="s">
        <v>85</v>
      </c>
    </row>
    <row r="124" spans="2:23">
      <c r="B124" s="45" t="s">
        <v>146</v>
      </c>
      <c r="C124" s="46" t="s">
        <v>26</v>
      </c>
      <c r="D124" s="74">
        <v>0.063</v>
      </c>
      <c r="G124" s="77">
        <f>D124/3.6/100*10^9/10^6</f>
        <v>0.175</v>
      </c>
      <c r="H124" s="77"/>
      <c r="I124" s="373">
        <f>1/G124</f>
        <v>5.71428571428572</v>
      </c>
      <c r="J124" t="str">
        <f t="shared" si="19"/>
        <v>Trd_2w_elc500</v>
      </c>
      <c r="K124" t="str">
        <f t="shared" si="30"/>
        <v>\I:</v>
      </c>
      <c r="L124" t="str">
        <f t="shared" si="21"/>
        <v>\I:</v>
      </c>
      <c r="M124" s="380" t="str">
        <f t="shared" si="23"/>
        <v/>
      </c>
      <c r="N124" s="380" t="str">
        <f t="shared" si="24"/>
        <v/>
      </c>
      <c r="O124" s="380" t="str">
        <f t="shared" si="25"/>
        <v/>
      </c>
      <c r="P124" s="380" t="str">
        <f t="shared" si="26"/>
        <v/>
      </c>
      <c r="T124" t="str">
        <f t="shared" si="27"/>
        <v>\I:</v>
      </c>
      <c r="U124" t="str">
        <f ca="1" t="shared" si="28"/>
        <v>Battery electric motorcycle (equivalent to 250-750 cc motorcycle) -- Energy consumption of Battery electric motorcycle (equivalent to &gt;750 cc motorcycle)</v>
      </c>
      <c r="V124" s="383" t="s">
        <v>84</v>
      </c>
      <c r="W124" s="383" t="s">
        <v>85</v>
      </c>
    </row>
    <row r="125" spans="9:23">
      <c r="I125" s="385" t="s">
        <v>70</v>
      </c>
      <c r="J125" t="str">
        <f t="shared" si="19"/>
        <v>Trd_2w_elc500</v>
      </c>
      <c r="K125" t="str">
        <f t="shared" si="30"/>
        <v>\I:</v>
      </c>
      <c r="L125" t="str">
        <f t="shared" si="21"/>
        <v>\I:</v>
      </c>
      <c r="M125" s="380" t="str">
        <f t="shared" si="23"/>
        <v/>
      </c>
      <c r="N125" s="380" t="str">
        <f t="shared" si="24"/>
        <v/>
      </c>
      <c r="O125" s="380" t="str">
        <f t="shared" si="25"/>
        <v/>
      </c>
      <c r="P125" s="380" t="str">
        <f t="shared" si="26"/>
        <v/>
      </c>
      <c r="T125" t="str">
        <f t="shared" si="27"/>
        <v>\I:</v>
      </c>
      <c r="U125" t="str">
        <f ca="1" t="shared" si="28"/>
        <v>Battery electric motorcycle (equivalent to 250-750 cc motorcycle) -- 00%</v>
      </c>
      <c r="V125" s="383" t="s">
        <v>84</v>
      </c>
      <c r="W125" s="383" t="s">
        <v>85</v>
      </c>
    </row>
    <row r="126" ht="15" customHeight="1" spans="2:23">
      <c r="B126" s="389" t="s">
        <v>27</v>
      </c>
      <c r="C126" s="389" t="s">
        <v>137</v>
      </c>
      <c r="D126" s="389"/>
      <c r="E126" s="389"/>
      <c r="F126" s="389"/>
      <c r="J126" t="str">
        <f t="shared" si="19"/>
        <v>Trd_3w_elc</v>
      </c>
      <c r="K126" t="str">
        <f t="shared" si="30"/>
        <v>\I:</v>
      </c>
      <c r="L126" t="str">
        <f t="shared" si="21"/>
        <v>\I:</v>
      </c>
      <c r="M126" s="380" t="str">
        <f t="shared" si="23"/>
        <v/>
      </c>
      <c r="N126" s="380" t="str">
        <f t="shared" si="24"/>
        <v/>
      </c>
      <c r="O126" s="380" t="str">
        <f t="shared" si="25"/>
        <v/>
      </c>
      <c r="P126" s="380" t="str">
        <f t="shared" si="26"/>
        <v/>
      </c>
      <c r="T126" t="str">
        <f t="shared" si="27"/>
        <v>\I:</v>
      </c>
      <c r="U126" t="str">
        <f ca="1" t="shared" si="28"/>
        <v>Battery electric motorcycle (equivalent to &gt;750 cc motorcycle) -- Electric range (km)</v>
      </c>
      <c r="V126" s="383" t="s">
        <v>84</v>
      </c>
      <c r="W126" s="383" t="s">
        <v>85</v>
      </c>
    </row>
    <row r="127" spans="2:23">
      <c r="B127" s="389"/>
      <c r="C127" s="389"/>
      <c r="D127" s="389"/>
      <c r="E127" s="389"/>
      <c r="F127" s="389"/>
      <c r="J127" t="str">
        <f t="shared" si="19"/>
        <v>Trd_3w_elc</v>
      </c>
      <c r="K127" t="str">
        <f t="shared" si="30"/>
        <v>\I:</v>
      </c>
      <c r="L127" t="str">
        <f t="shared" si="21"/>
        <v>\I:</v>
      </c>
      <c r="M127" s="380" t="str">
        <f t="shared" si="23"/>
        <v/>
      </c>
      <c r="N127" s="380" t="str">
        <f t="shared" si="24"/>
        <v/>
      </c>
      <c r="O127" s="380" t="str">
        <f t="shared" si="25"/>
        <v/>
      </c>
      <c r="P127" s="380" t="str">
        <f t="shared" si="26"/>
        <v/>
      </c>
      <c r="T127" t="str">
        <f t="shared" si="27"/>
        <v>\I:</v>
      </c>
      <c r="U127" t="str">
        <f ca="1" t="shared" si="28"/>
        <v>Battery electric motorcycle (equivalent to &gt;750 cc motorcycle) -- 00%</v>
      </c>
      <c r="V127" s="383" t="s">
        <v>84</v>
      </c>
      <c r="W127" s="383" t="s">
        <v>85</v>
      </c>
    </row>
    <row r="128" spans="2:23">
      <c r="B128" s="389"/>
      <c r="C128" s="389"/>
      <c r="D128" s="389"/>
      <c r="E128" s="389"/>
      <c r="F128" s="389"/>
      <c r="J128" t="str">
        <f t="shared" si="19"/>
        <v>Trd_3w_elc</v>
      </c>
      <c r="K128" t="str">
        <f t="shared" si="30"/>
        <v>\I:</v>
      </c>
      <c r="L128" t="str">
        <f t="shared" si="21"/>
        <v>\I:</v>
      </c>
      <c r="M128" s="380" t="str">
        <f t="shared" si="23"/>
        <v/>
      </c>
      <c r="N128" s="380" t="str">
        <f t="shared" si="24"/>
        <v/>
      </c>
      <c r="O128" s="380" t="str">
        <f t="shared" si="25"/>
        <v/>
      </c>
      <c r="P128" s="380" t="str">
        <f t="shared" si="26"/>
        <v/>
      </c>
      <c r="T128" t="str">
        <f t="shared" si="27"/>
        <v>\I:</v>
      </c>
      <c r="U128" t="str">
        <f ca="1" t="shared" si="28"/>
        <v>Battery electric motorcycle (equivalent to &gt;750 cc motorcycle) -- 00%</v>
      </c>
      <c r="V128" s="383" t="s">
        <v>84</v>
      </c>
      <c r="W128" s="383" t="s">
        <v>85</v>
      </c>
    </row>
    <row r="129" spans="2:23">
      <c r="B129" s="49"/>
      <c r="C129" s="50">
        <v>2020</v>
      </c>
      <c r="D129" s="50">
        <v>2030</v>
      </c>
      <c r="E129" s="50">
        <v>2040</v>
      </c>
      <c r="F129" s="50">
        <v>2050</v>
      </c>
      <c r="J129" t="str">
        <f t="shared" si="19"/>
        <v>Trd_3w_elc</v>
      </c>
      <c r="K129" t="str">
        <f t="shared" si="30"/>
        <v>\I:</v>
      </c>
      <c r="L129" t="str">
        <f t="shared" si="21"/>
        <v>\I:</v>
      </c>
      <c r="M129" s="380" t="str">
        <f t="shared" si="23"/>
        <v/>
      </c>
      <c r="N129" s="380" t="str">
        <f t="shared" si="24"/>
        <v/>
      </c>
      <c r="O129" s="380" t="str">
        <f t="shared" si="25"/>
        <v/>
      </c>
      <c r="P129" s="380" t="str">
        <f t="shared" si="26"/>
        <v/>
      </c>
      <c r="T129" t="str">
        <f t="shared" si="27"/>
        <v>\I:</v>
      </c>
      <c r="U129" t="str">
        <f ca="1" t="shared" si="28"/>
        <v>Battery electric motorcycle (equivalent to &gt;750 cc motorcycle) -- 00%</v>
      </c>
      <c r="V129" s="383" t="s">
        <v>84</v>
      </c>
      <c r="W129" s="383" t="s">
        <v>85</v>
      </c>
    </row>
    <row r="130" spans="2:23">
      <c r="B130" s="66">
        <v>120</v>
      </c>
      <c r="C130" s="86">
        <v>14416.9866551673</v>
      </c>
      <c r="D130" s="86">
        <v>12950.2883690462</v>
      </c>
      <c r="E130" s="86">
        <v>12201.8128279785</v>
      </c>
      <c r="F130" s="86">
        <v>11983.9059846316</v>
      </c>
      <c r="I130" s="393">
        <f>$I$124/$I$49</f>
        <v>9.73530650437647</v>
      </c>
      <c r="J130" t="str">
        <f t="shared" si="19"/>
        <v>Trd_3w_elc</v>
      </c>
      <c r="K130" t="str">
        <f t="shared" si="30"/>
        <v>Trd_3w_elc_120</v>
      </c>
      <c r="L130" t="str">
        <f t="shared" si="21"/>
        <v>Trd_3w</v>
      </c>
      <c r="M130" s="380">
        <f t="shared" si="23"/>
        <v>14416.9866551673</v>
      </c>
      <c r="N130" s="380">
        <f t="shared" si="24"/>
        <v>12950.2883690462</v>
      </c>
      <c r="O130" s="380">
        <f t="shared" si="25"/>
        <v>12201.8128279785</v>
      </c>
      <c r="P130" s="380">
        <f t="shared" si="26"/>
        <v>11983.9059846316</v>
      </c>
      <c r="Q130" s="43">
        <v>0.05</v>
      </c>
      <c r="T130" t="str">
        <f t="shared" si="27"/>
        <v>Trd_3w_elc_120</v>
      </c>
      <c r="U130" t="str">
        <f ca="1" t="shared" si="28"/>
        <v>Battery electric motorcycle (equivalent to &gt;750 cc motorcycle) -- 12000%</v>
      </c>
      <c r="V130" s="383" t="s">
        <v>84</v>
      </c>
      <c r="W130" s="383" t="s">
        <v>85</v>
      </c>
    </row>
    <row r="131" spans="2:23">
      <c r="B131" s="66">
        <v>131.428571428571</v>
      </c>
      <c r="C131" s="86">
        <v>14724.8839894236</v>
      </c>
      <c r="D131" s="86">
        <v>13123.5997834724</v>
      </c>
      <c r="E131" s="86">
        <v>12306.4432668297</v>
      </c>
      <c r="F131" s="86">
        <v>12068.5410411833</v>
      </c>
      <c r="I131" s="393">
        <f t="shared" ref="I131:I137" si="32">$I$124/$I$49</f>
        <v>9.73530650437647</v>
      </c>
      <c r="J131" t="str">
        <f t="shared" si="19"/>
        <v>Trd_3w_elc</v>
      </c>
      <c r="K131" t="str">
        <f t="shared" si="30"/>
        <v>Trd_3w_elc_131</v>
      </c>
      <c r="L131" t="str">
        <f t="shared" si="21"/>
        <v>Trd_3w</v>
      </c>
      <c r="M131" s="380">
        <f t="shared" si="23"/>
        <v>14724.8839894236</v>
      </c>
      <c r="N131" s="380">
        <f t="shared" si="24"/>
        <v>13123.5997834724</v>
      </c>
      <c r="O131" s="380">
        <f t="shared" si="25"/>
        <v>12306.4432668297</v>
      </c>
      <c r="P131" s="380">
        <f t="shared" si="26"/>
        <v>12068.5410411833</v>
      </c>
      <c r="Q131" s="43">
        <v>0.05</v>
      </c>
      <c r="T131" t="str">
        <f t="shared" si="27"/>
        <v>Trd_3w_elc_131</v>
      </c>
      <c r="U131" t="str">
        <f ca="1" t="shared" si="28"/>
        <v>Battery electric motorcycle (equivalent to &gt;750 cc motorcycle) -- 13143%</v>
      </c>
      <c r="V131" s="383" t="s">
        <v>84</v>
      </c>
      <c r="W131" s="383" t="s">
        <v>85</v>
      </c>
    </row>
    <row r="132" spans="2:23">
      <c r="B132" s="66">
        <v>142.857142857143</v>
      </c>
      <c r="C132" s="86">
        <v>14865.3695454917</v>
      </c>
      <c r="D132" s="86">
        <v>13202.6772801563</v>
      </c>
      <c r="E132" s="86">
        <v>12354.1834183292</v>
      </c>
      <c r="F132" s="86">
        <v>12107.1578191144</v>
      </c>
      <c r="I132" s="393">
        <f t="shared" si="32"/>
        <v>9.73530650437647</v>
      </c>
      <c r="J132" t="str">
        <f t="shared" si="19"/>
        <v>Trd_3w_elc</v>
      </c>
      <c r="K132" t="str">
        <f t="shared" si="30"/>
        <v>Trd_3w_elc_143</v>
      </c>
      <c r="L132" t="str">
        <f t="shared" si="21"/>
        <v>Trd_3w</v>
      </c>
      <c r="M132" s="380">
        <f t="shared" si="23"/>
        <v>14865.3695454917</v>
      </c>
      <c r="N132" s="380">
        <f t="shared" si="24"/>
        <v>13202.6772801563</v>
      </c>
      <c r="O132" s="380">
        <f t="shared" si="25"/>
        <v>12354.1834183292</v>
      </c>
      <c r="P132" s="380">
        <f t="shared" si="26"/>
        <v>12107.1578191144</v>
      </c>
      <c r="Q132" s="43">
        <v>0.05</v>
      </c>
      <c r="T132" t="str">
        <f t="shared" si="27"/>
        <v>Trd_3w_elc_143</v>
      </c>
      <c r="U132" t="str">
        <f ca="1" t="shared" si="28"/>
        <v>Battery electric motorcycle (equivalent to &gt;750 cc motorcycle) -- 14286%</v>
      </c>
      <c r="V132" s="383" t="s">
        <v>84</v>
      </c>
      <c r="W132" s="383" t="s">
        <v>85</v>
      </c>
    </row>
    <row r="133" spans="2:23">
      <c r="B133" s="66">
        <v>154.285714285714</v>
      </c>
      <c r="C133" s="86">
        <v>14907.2890658627</v>
      </c>
      <c r="D133" s="86">
        <v>13226.2732342593</v>
      </c>
      <c r="E133" s="86">
        <v>12368.4286141294</v>
      </c>
      <c r="F133" s="86">
        <v>12118.6806891833</v>
      </c>
      <c r="I133" s="393">
        <f t="shared" si="32"/>
        <v>9.73530650437647</v>
      </c>
      <c r="J133" t="str">
        <f t="shared" si="19"/>
        <v>Trd_3w_elc</v>
      </c>
      <c r="K133" t="str">
        <f t="shared" si="30"/>
        <v>Trd_3w_elc_154</v>
      </c>
      <c r="L133" t="str">
        <f t="shared" si="21"/>
        <v>Trd_3w</v>
      </c>
      <c r="M133" s="380">
        <f t="shared" si="23"/>
        <v>14907.2890658627</v>
      </c>
      <c r="N133" s="380">
        <f t="shared" si="24"/>
        <v>13226.2732342593</v>
      </c>
      <c r="O133" s="380">
        <f t="shared" si="25"/>
        <v>12368.4286141294</v>
      </c>
      <c r="P133" s="380">
        <f t="shared" si="26"/>
        <v>12118.6806891833</v>
      </c>
      <c r="Q133" s="43">
        <v>0.05</v>
      </c>
      <c r="T133" t="str">
        <f t="shared" si="27"/>
        <v>Trd_3w_elc_154</v>
      </c>
      <c r="U133" t="str">
        <f ca="1" t="shared" si="28"/>
        <v>Battery electric motorcycle (equivalent to &gt;750 cc motorcycle) -- 15429%</v>
      </c>
      <c r="V133" s="383" t="s">
        <v>84</v>
      </c>
      <c r="W133" s="383" t="s">
        <v>85</v>
      </c>
    </row>
    <row r="134" spans="2:23">
      <c r="B134" s="66">
        <v>165.714285714286</v>
      </c>
      <c r="C134" s="86">
        <v>15064.5475025229</v>
      </c>
      <c r="D134" s="86">
        <v>13314.7919677972</v>
      </c>
      <c r="E134" s="86">
        <v>12421.8685676795</v>
      </c>
      <c r="F134" s="86">
        <v>12161.9080094592</v>
      </c>
      <c r="I134" s="393">
        <f t="shared" si="32"/>
        <v>9.73530650437647</v>
      </c>
      <c r="J134" t="str">
        <f t="shared" si="19"/>
        <v>Trd_3w_elc</v>
      </c>
      <c r="K134" t="str">
        <f t="shared" si="30"/>
        <v>Trd_3w_elc_166</v>
      </c>
      <c r="L134" t="str">
        <f t="shared" si="21"/>
        <v>Trd_3w</v>
      </c>
      <c r="M134" s="380">
        <f t="shared" si="23"/>
        <v>15064.5475025229</v>
      </c>
      <c r="N134" s="380">
        <f t="shared" si="24"/>
        <v>13314.7919677972</v>
      </c>
      <c r="O134" s="380">
        <f t="shared" si="25"/>
        <v>12421.8685676795</v>
      </c>
      <c r="P134" s="380">
        <f t="shared" si="26"/>
        <v>12161.9080094592</v>
      </c>
      <c r="Q134" s="43">
        <v>0.15</v>
      </c>
      <c r="T134" t="str">
        <f t="shared" si="27"/>
        <v>Trd_3w_elc_166</v>
      </c>
      <c r="U134" t="str">
        <f ca="1" t="shared" si="28"/>
        <v>Battery electric motorcycle (equivalent to &gt;750 cc motorcycle) -- 16571%</v>
      </c>
      <c r="V134" s="383" t="s">
        <v>84</v>
      </c>
      <c r="W134" s="383" t="s">
        <v>85</v>
      </c>
    </row>
    <row r="135" spans="2:23">
      <c r="B135" s="66">
        <v>177.142857142857</v>
      </c>
      <c r="C135" s="86">
        <v>15204.9907882267</v>
      </c>
      <c r="D135" s="86">
        <v>13393.8456710415</v>
      </c>
      <c r="E135" s="86">
        <v>12469.5943547585</v>
      </c>
      <c r="F135" s="86">
        <v>12200.5131680799</v>
      </c>
      <c r="I135" s="393">
        <f t="shared" si="32"/>
        <v>9.73530650437647</v>
      </c>
      <c r="J135" t="str">
        <f t="shared" si="19"/>
        <v>Trd_3w_elc</v>
      </c>
      <c r="K135" t="str">
        <f t="shared" si="30"/>
        <v>Trd_3w_elc_177</v>
      </c>
      <c r="L135" t="str">
        <f t="shared" si="21"/>
        <v>Trd_3w</v>
      </c>
      <c r="M135" s="380">
        <f t="shared" si="23"/>
        <v>15204.9907882267</v>
      </c>
      <c r="N135" s="380">
        <f t="shared" si="24"/>
        <v>13393.8456710415</v>
      </c>
      <c r="O135" s="380">
        <f t="shared" si="25"/>
        <v>12469.5943547585</v>
      </c>
      <c r="P135" s="380">
        <f t="shared" si="26"/>
        <v>12200.5131680799</v>
      </c>
      <c r="Q135" s="43">
        <v>0.175</v>
      </c>
      <c r="T135" t="str">
        <f t="shared" si="27"/>
        <v>Trd_3w_elc_177</v>
      </c>
      <c r="U135" t="str">
        <f ca="1" t="shared" si="28"/>
        <v>Battery electric motorcycle (equivalent to &gt;750 cc motorcycle) -- 17714%</v>
      </c>
      <c r="V135" s="383" t="s">
        <v>84</v>
      </c>
      <c r="W135" s="383" t="s">
        <v>85</v>
      </c>
    </row>
    <row r="136" ht="15" customHeight="1" spans="2:23">
      <c r="B136" s="66">
        <v>188.571428571428</v>
      </c>
      <c r="C136" s="86">
        <v>15414.9772774338</v>
      </c>
      <c r="D136" s="86">
        <v>13512.0443412014</v>
      </c>
      <c r="E136" s="86">
        <v>12540.9524864281</v>
      </c>
      <c r="F136" s="86">
        <v>12258.2344160799</v>
      </c>
      <c r="I136" s="393">
        <f t="shared" si="32"/>
        <v>9.73530650437647</v>
      </c>
      <c r="J136" t="str">
        <f t="shared" si="19"/>
        <v>Trd_3w_elc</v>
      </c>
      <c r="K136" t="str">
        <f t="shared" si="30"/>
        <v>Trd_3w_elc_189</v>
      </c>
      <c r="L136" t="str">
        <f t="shared" si="21"/>
        <v>Trd_3w</v>
      </c>
      <c r="M136" s="380">
        <f t="shared" si="23"/>
        <v>15414.9772774338</v>
      </c>
      <c r="N136" s="380">
        <f t="shared" si="24"/>
        <v>13512.0443412014</v>
      </c>
      <c r="O136" s="380">
        <f t="shared" si="25"/>
        <v>12540.9524864281</v>
      </c>
      <c r="P136" s="380">
        <f t="shared" si="26"/>
        <v>12258.2344160799</v>
      </c>
      <c r="Q136" s="43">
        <v>0.2</v>
      </c>
      <c r="T136" t="str">
        <f t="shared" si="27"/>
        <v>Trd_3w_elc_189</v>
      </c>
      <c r="U136" t="str">
        <f ca="1" t="shared" si="28"/>
        <v>Battery electric motorcycle (equivalent to &gt;750 cc motorcycle) -- 18857%</v>
      </c>
      <c r="V136" s="383" t="s">
        <v>84</v>
      </c>
      <c r="W136" s="383" t="s">
        <v>85</v>
      </c>
    </row>
    <row r="137" spans="2:23">
      <c r="B137" s="66">
        <v>200</v>
      </c>
      <c r="C137" s="86">
        <v>15618.3104112851</v>
      </c>
      <c r="D137" s="86">
        <v>13626.4979239601</v>
      </c>
      <c r="E137" s="86">
        <v>12610.0496583125</v>
      </c>
      <c r="F137" s="86">
        <v>12314.1267846316</v>
      </c>
      <c r="I137" s="393">
        <f t="shared" si="32"/>
        <v>9.73530650437647</v>
      </c>
      <c r="J137" t="str">
        <f t="shared" si="19"/>
        <v>Trd_3w_elc</v>
      </c>
      <c r="K137" t="str">
        <f t="shared" si="30"/>
        <v>Trd_3w_elc_200</v>
      </c>
      <c r="L137" t="str">
        <f t="shared" si="21"/>
        <v>Trd_3w</v>
      </c>
      <c r="M137" s="380">
        <f t="shared" si="23"/>
        <v>15618.3104112851</v>
      </c>
      <c r="N137" s="380">
        <f t="shared" si="24"/>
        <v>13626.4979239601</v>
      </c>
      <c r="O137" s="380">
        <f t="shared" si="25"/>
        <v>12610.0496583125</v>
      </c>
      <c r="P137" s="380">
        <f t="shared" si="26"/>
        <v>12314.1267846316</v>
      </c>
      <c r="T137" t="str">
        <f t="shared" si="27"/>
        <v>Trd_3w_elc_200</v>
      </c>
      <c r="U137" t="str">
        <f ca="1" t="shared" si="28"/>
        <v>Battery electric motorcycle (equivalent to &gt;750 cc motorcycle) -- 20000%</v>
      </c>
      <c r="V137" s="383" t="s">
        <v>84</v>
      </c>
      <c r="W137" s="383" t="s">
        <v>85</v>
      </c>
    </row>
    <row r="138" spans="10:23">
      <c r="J138" t="str">
        <f t="shared" si="19"/>
        <v>Trd_3w_elc</v>
      </c>
      <c r="K138" t="str">
        <f t="shared" si="30"/>
        <v>\I:</v>
      </c>
      <c r="L138" t="str">
        <f t="shared" si="21"/>
        <v>\I:</v>
      </c>
      <c r="M138" s="380" t="str">
        <f t="shared" si="23"/>
        <v/>
      </c>
      <c r="N138" s="380" t="str">
        <f t="shared" si="24"/>
        <v/>
      </c>
      <c r="O138" s="380" t="str">
        <f t="shared" si="25"/>
        <v/>
      </c>
      <c r="P138" s="380" t="str">
        <f t="shared" si="26"/>
        <v/>
      </c>
      <c r="T138" t="str">
        <f t="shared" si="27"/>
        <v>\I:</v>
      </c>
      <c r="U138" t="str">
        <f ca="1" t="shared" si="28"/>
        <v>Battery electric motorcycle (equivalent to &gt;750 cc motorcycle) -- 00%</v>
      </c>
      <c r="V138" s="383" t="s">
        <v>84</v>
      </c>
      <c r="W138" s="383" t="s">
        <v>85</v>
      </c>
    </row>
    <row r="139" spans="10:23">
      <c r="J139" t="str">
        <f t="shared" si="19"/>
        <v>Trd_3w_elc</v>
      </c>
      <c r="K139" t="str">
        <f t="shared" si="30"/>
        <v>\I:</v>
      </c>
      <c r="L139" t="str">
        <f t="shared" si="21"/>
        <v>\I:</v>
      </c>
      <c r="M139" s="380" t="str">
        <f t="shared" si="23"/>
        <v/>
      </c>
      <c r="N139" s="380" t="str">
        <f t="shared" si="24"/>
        <v/>
      </c>
      <c r="O139" s="380" t="str">
        <f t="shared" si="25"/>
        <v/>
      </c>
      <c r="P139" s="380" t="str">
        <f t="shared" si="26"/>
        <v/>
      </c>
      <c r="T139" t="str">
        <f t="shared" si="27"/>
        <v>\I:</v>
      </c>
      <c r="U139" t="str">
        <f ca="1" t="shared" si="28"/>
        <v>Battery electric motorcycle (equivalent to &gt;750 cc motorcycle) -- 00%</v>
      </c>
      <c r="V139" s="383" t="s">
        <v>84</v>
      </c>
      <c r="W139" s="383" t="s">
        <v>85</v>
      </c>
    </row>
    <row r="140" spans="10:23">
      <c r="J140" t="str">
        <f t="shared" si="19"/>
        <v>Trd_3w_elc</v>
      </c>
      <c r="K140" t="str">
        <f t="shared" si="30"/>
        <v>\I:</v>
      </c>
      <c r="L140" t="str">
        <f t="shared" si="21"/>
        <v>\I:</v>
      </c>
      <c r="M140" s="380" t="str">
        <f t="shared" si="23"/>
        <v/>
      </c>
      <c r="N140" s="380" t="str">
        <f t="shared" si="24"/>
        <v/>
      </c>
      <c r="O140" s="380" t="str">
        <f t="shared" si="25"/>
        <v/>
      </c>
      <c r="P140" s="380" t="str">
        <f t="shared" si="26"/>
        <v/>
      </c>
      <c r="T140" t="str">
        <f t="shared" si="27"/>
        <v>\I:</v>
      </c>
      <c r="U140" t="str">
        <f ca="1" t="shared" si="28"/>
        <v>Battery electric motorcycle (equivalent to &gt;750 cc motorcycle) -- 00%</v>
      </c>
      <c r="V140" s="383" t="s">
        <v>84</v>
      </c>
      <c r="W140" s="383" t="s">
        <v>85</v>
      </c>
    </row>
    <row r="141" spans="2:23">
      <c r="B141" s="372">
        <v>2020</v>
      </c>
      <c r="C141" s="372"/>
      <c r="D141" s="372"/>
      <c r="J141" t="str">
        <f t="shared" ref="J141:J155" si="33">IFERROR(VLOOKUP(C141,$R$1:$S$8,2,FALSE),J140)</f>
        <v>Trd_3w_elc</v>
      </c>
      <c r="K141" t="str">
        <f t="shared" si="30"/>
        <v>\I:</v>
      </c>
      <c r="L141" t="str">
        <f t="shared" ref="L141:L155" si="34">LEFT(K141,6)</f>
        <v>\I:</v>
      </c>
      <c r="M141" s="380" t="str">
        <f t="shared" si="23"/>
        <v/>
      </c>
      <c r="N141" s="380" t="str">
        <f t="shared" si="24"/>
        <v/>
      </c>
      <c r="O141" s="380" t="str">
        <f t="shared" si="25"/>
        <v/>
      </c>
      <c r="P141" s="380" t="str">
        <f t="shared" si="26"/>
        <v/>
      </c>
      <c r="T141" t="str">
        <f t="shared" si="27"/>
        <v>\I:</v>
      </c>
      <c r="U141" t="str">
        <f ca="1" t="shared" si="28"/>
        <v>Battery electric motorcycle (equivalent to &gt;750 cc motorcycle) -- 202000%</v>
      </c>
      <c r="V141" s="383" t="s">
        <v>84</v>
      </c>
      <c r="W141" s="383" t="s">
        <v>85</v>
      </c>
    </row>
    <row r="142" spans="2:23">
      <c r="B142" s="45" t="s">
        <v>147</v>
      </c>
      <c r="C142" s="46" t="s">
        <v>26</v>
      </c>
      <c r="D142" s="74">
        <v>0.0448</v>
      </c>
      <c r="G142" s="77">
        <f>D142/3.6/100*10^9/10^6</f>
        <v>0.124444444444444</v>
      </c>
      <c r="H142" s="77"/>
      <c r="I142" s="373">
        <f>1/G142</f>
        <v>8.03571428571429</v>
      </c>
      <c r="J142" t="str">
        <f t="shared" si="33"/>
        <v>Trd_3w_elc</v>
      </c>
      <c r="K142" t="str">
        <f t="shared" si="30"/>
        <v>\I:</v>
      </c>
      <c r="L142" t="str">
        <f t="shared" si="34"/>
        <v>\I:</v>
      </c>
      <c r="M142" s="380" t="str">
        <f t="shared" si="23"/>
        <v/>
      </c>
      <c r="N142" s="380" t="str">
        <f t="shared" si="24"/>
        <v/>
      </c>
      <c r="O142" s="380" t="str">
        <f t="shared" si="25"/>
        <v/>
      </c>
      <c r="P142" s="380" t="str">
        <f t="shared" si="26"/>
        <v/>
      </c>
      <c r="T142" t="str">
        <f t="shared" si="27"/>
        <v>\I:</v>
      </c>
      <c r="U142" t="str">
        <f ca="1" t="shared" si="28"/>
        <v>Battery electric motorcycle (equivalent to &gt;750 cc motorcycle) -- Energy consumption of Battery electric moped </v>
      </c>
      <c r="V142" s="383" t="s">
        <v>84</v>
      </c>
      <c r="W142" s="383" t="s">
        <v>85</v>
      </c>
    </row>
    <row r="143" spans="9:23">
      <c r="I143" s="385" t="s">
        <v>70</v>
      </c>
      <c r="J143" t="str">
        <f t="shared" si="33"/>
        <v>Trd_3w_elc</v>
      </c>
      <c r="K143" t="str">
        <f t="shared" si="30"/>
        <v>\I:</v>
      </c>
      <c r="L143" t="str">
        <f t="shared" si="34"/>
        <v>\I:</v>
      </c>
      <c r="M143" s="380" t="str">
        <f t="shared" si="23"/>
        <v/>
      </c>
      <c r="N143" s="380" t="str">
        <f t="shared" si="24"/>
        <v/>
      </c>
      <c r="O143" s="380" t="str">
        <f t="shared" si="25"/>
        <v/>
      </c>
      <c r="P143" s="380" t="str">
        <f t="shared" si="26"/>
        <v/>
      </c>
      <c r="T143" t="str">
        <f t="shared" si="27"/>
        <v>\I:</v>
      </c>
      <c r="U143" t="str">
        <f ca="1" t="shared" si="28"/>
        <v>Battery electric motorcycle (equivalent to &gt;750 cc motorcycle) -- 00%</v>
      </c>
      <c r="V143" s="383" t="s">
        <v>84</v>
      </c>
      <c r="W143" s="383" t="s">
        <v>85</v>
      </c>
    </row>
    <row r="144" ht="15" customHeight="1" spans="2:23">
      <c r="B144" s="389" t="s">
        <v>27</v>
      </c>
      <c r="C144" s="389" t="s">
        <v>139</v>
      </c>
      <c r="D144" s="389"/>
      <c r="E144" s="389"/>
      <c r="F144" s="389"/>
      <c r="J144" t="str">
        <f t="shared" si="33"/>
        <v>Trd_2w_elc50</v>
      </c>
      <c r="K144" t="str">
        <f t="shared" si="30"/>
        <v>\I:</v>
      </c>
      <c r="L144" t="str">
        <f t="shared" si="34"/>
        <v>\I:</v>
      </c>
      <c r="M144" s="380" t="str">
        <f t="shared" si="23"/>
        <v/>
      </c>
      <c r="N144" s="380" t="str">
        <f t="shared" si="24"/>
        <v/>
      </c>
      <c r="O144" s="380" t="str">
        <f t="shared" si="25"/>
        <v/>
      </c>
      <c r="P144" s="380" t="str">
        <f t="shared" si="26"/>
        <v/>
      </c>
      <c r="T144" t="str">
        <f t="shared" si="27"/>
        <v>\I:</v>
      </c>
      <c r="U144" t="str">
        <f ca="1" t="shared" si="28"/>
        <v>Battery electric moped -- Electric range (km)</v>
      </c>
      <c r="V144" s="383" t="s">
        <v>84</v>
      </c>
      <c r="W144" s="383" t="s">
        <v>85</v>
      </c>
    </row>
    <row r="145" spans="2:23">
      <c r="B145" s="389"/>
      <c r="C145" s="389"/>
      <c r="D145" s="389"/>
      <c r="E145" s="389"/>
      <c r="F145" s="389"/>
      <c r="J145" t="str">
        <f t="shared" si="33"/>
        <v>Trd_2w_elc50</v>
      </c>
      <c r="K145" t="str">
        <f t="shared" si="30"/>
        <v>\I:</v>
      </c>
      <c r="L145" t="str">
        <f t="shared" si="34"/>
        <v>\I:</v>
      </c>
      <c r="M145" s="380" t="str">
        <f t="shared" si="23"/>
        <v/>
      </c>
      <c r="N145" s="380" t="str">
        <f t="shared" si="24"/>
        <v/>
      </c>
      <c r="O145" s="380" t="str">
        <f t="shared" si="25"/>
        <v/>
      </c>
      <c r="P145" s="380" t="str">
        <f t="shared" si="26"/>
        <v/>
      </c>
      <c r="T145" t="str">
        <f t="shared" si="27"/>
        <v>\I:</v>
      </c>
      <c r="U145" t="str">
        <f ca="1" t="shared" si="28"/>
        <v>Battery electric moped -- 00%</v>
      </c>
      <c r="V145" s="383" t="s">
        <v>84</v>
      </c>
      <c r="W145" s="383" t="s">
        <v>85</v>
      </c>
    </row>
    <row r="146" spans="2:23">
      <c r="B146" s="389"/>
      <c r="C146" s="389"/>
      <c r="D146" s="389"/>
      <c r="E146" s="389"/>
      <c r="F146" s="389"/>
      <c r="J146" t="str">
        <f t="shared" si="33"/>
        <v>Trd_2w_elc50</v>
      </c>
      <c r="K146" t="str">
        <f t="shared" si="30"/>
        <v>\I:</v>
      </c>
      <c r="L146" t="str">
        <f t="shared" si="34"/>
        <v>\I:</v>
      </c>
      <c r="M146" s="380" t="str">
        <f t="shared" si="23"/>
        <v/>
      </c>
      <c r="N146" s="380" t="str">
        <f t="shared" si="24"/>
        <v/>
      </c>
      <c r="O146" s="380" t="str">
        <f t="shared" si="25"/>
        <v/>
      </c>
      <c r="P146" s="380" t="str">
        <f t="shared" si="26"/>
        <v/>
      </c>
      <c r="T146" t="str">
        <f t="shared" si="27"/>
        <v>\I:</v>
      </c>
      <c r="U146" t="str">
        <f ca="1" t="shared" si="28"/>
        <v>Battery electric moped -- 00%</v>
      </c>
      <c r="V146" s="383" t="s">
        <v>84</v>
      </c>
      <c r="W146" s="383" t="s">
        <v>85</v>
      </c>
    </row>
    <row r="147" spans="2:23">
      <c r="B147" s="49"/>
      <c r="C147" s="50">
        <v>2020</v>
      </c>
      <c r="D147" s="50">
        <v>2030</v>
      </c>
      <c r="E147" s="50">
        <v>2040</v>
      </c>
      <c r="F147" s="50">
        <v>2050</v>
      </c>
      <c r="J147" t="str">
        <f t="shared" si="33"/>
        <v>Trd_2w_elc50</v>
      </c>
      <c r="K147" t="str">
        <f t="shared" si="30"/>
        <v>\I:</v>
      </c>
      <c r="L147" t="str">
        <f t="shared" si="34"/>
        <v>\I:</v>
      </c>
      <c r="M147" s="380" t="str">
        <f t="shared" si="23"/>
        <v/>
      </c>
      <c r="N147" s="380" t="str">
        <f t="shared" si="24"/>
        <v/>
      </c>
      <c r="O147" s="380" t="str">
        <f t="shared" si="25"/>
        <v/>
      </c>
      <c r="P147" s="380" t="str">
        <f t="shared" si="26"/>
        <v/>
      </c>
      <c r="T147" t="str">
        <f t="shared" si="27"/>
        <v>\I:</v>
      </c>
      <c r="U147" t="str">
        <f ca="1" t="shared" si="28"/>
        <v>Battery electric moped -- 00%</v>
      </c>
      <c r="V147" s="383" t="s">
        <v>84</v>
      </c>
      <c r="W147" s="383" t="s">
        <v>85</v>
      </c>
    </row>
    <row r="148" spans="2:23">
      <c r="B148" s="66">
        <v>100</v>
      </c>
      <c r="C148" s="86">
        <v>4598.92933933434</v>
      </c>
      <c r="D148" s="86">
        <v>3005.76958807794</v>
      </c>
      <c r="E148" s="86">
        <v>2743.99155568645</v>
      </c>
      <c r="F148" s="86">
        <v>2561.52116348593</v>
      </c>
      <c r="I148" s="77">
        <f>$I$142</f>
        <v>8.03571428571429</v>
      </c>
      <c r="J148" t="str">
        <f t="shared" si="33"/>
        <v>Trd_2w_elc50</v>
      </c>
      <c r="K148" t="str">
        <f t="shared" si="30"/>
        <v>Trd_2w_elc50_100</v>
      </c>
      <c r="L148" t="str">
        <f t="shared" si="34"/>
        <v>Trd_2w</v>
      </c>
      <c r="M148" s="380">
        <f t="shared" ref="M148:M155" si="35">IF($K148="\I:","",C148)</f>
        <v>4598.92933933434</v>
      </c>
      <c r="N148" s="380">
        <f t="shared" ref="N148:N155" si="36">IF($K148="\I:","",D148)</f>
        <v>3005.76958807794</v>
      </c>
      <c r="O148" s="380">
        <f t="shared" ref="O148:O155" si="37">IF($K148="\I:","",E148)</f>
        <v>2743.99155568645</v>
      </c>
      <c r="P148" s="380">
        <f t="shared" ref="P148:P155" si="38">IF($K148="\I:","",F148)</f>
        <v>2561.52116348593</v>
      </c>
      <c r="Q148" s="43">
        <v>0.05</v>
      </c>
      <c r="T148" t="str">
        <f t="shared" si="27"/>
        <v>Trd_2w_elc50_100</v>
      </c>
      <c r="U148" t="str">
        <f ca="1" t="shared" si="28"/>
        <v>Battery electric moped -- 10000%</v>
      </c>
      <c r="V148" s="383" t="s">
        <v>84</v>
      </c>
      <c r="W148" s="383" t="s">
        <v>85</v>
      </c>
    </row>
    <row r="149" spans="2:23">
      <c r="B149" s="66">
        <v>108.571428571429</v>
      </c>
      <c r="C149" s="86">
        <v>4826.14686048914</v>
      </c>
      <c r="D149" s="86">
        <v>3104.152506899</v>
      </c>
      <c r="E149" s="86">
        <v>2821.20517954116</v>
      </c>
      <c r="F149" s="86">
        <v>2623.9788908285</v>
      </c>
      <c r="I149" s="77">
        <f t="shared" ref="I149:I155" si="39">$I$142</f>
        <v>8.03571428571429</v>
      </c>
      <c r="J149" t="str">
        <f t="shared" si="33"/>
        <v>Trd_2w_elc50</v>
      </c>
      <c r="K149" t="str">
        <f t="shared" si="30"/>
        <v>Trd_2w_elc50_109</v>
      </c>
      <c r="L149" t="str">
        <f t="shared" si="34"/>
        <v>Trd_2w</v>
      </c>
      <c r="M149" s="380">
        <f t="shared" si="35"/>
        <v>4826.14686048914</v>
      </c>
      <c r="N149" s="380">
        <f t="shared" si="36"/>
        <v>3104.152506899</v>
      </c>
      <c r="O149" s="380">
        <f t="shared" si="37"/>
        <v>2821.20517954116</v>
      </c>
      <c r="P149" s="380">
        <f t="shared" si="38"/>
        <v>2623.9788908285</v>
      </c>
      <c r="Q149" s="43">
        <v>0.075</v>
      </c>
      <c r="T149" t="str">
        <f t="shared" si="27"/>
        <v>Trd_2w_elc50_109</v>
      </c>
      <c r="U149" t="str">
        <f ca="1" t="shared" si="28"/>
        <v>Battery electric moped -- 10857%</v>
      </c>
      <c r="V149" s="383" t="s">
        <v>84</v>
      </c>
      <c r="W149" s="383" t="s">
        <v>85</v>
      </c>
    </row>
    <row r="150" spans="2:23">
      <c r="B150" s="66">
        <v>117.142857142857</v>
      </c>
      <c r="C150" s="86">
        <v>4915.29569075295</v>
      </c>
      <c r="D150" s="86">
        <v>3142.75306061625</v>
      </c>
      <c r="E150" s="86">
        <v>2851.49995703936</v>
      </c>
      <c r="F150" s="86">
        <v>2648.48419000273</v>
      </c>
      <c r="I150" s="77">
        <f t="shared" si="39"/>
        <v>8.03571428571429</v>
      </c>
      <c r="J150" t="str">
        <f t="shared" si="33"/>
        <v>Trd_2w_elc50</v>
      </c>
      <c r="K150" t="str">
        <f t="shared" si="30"/>
        <v>Trd_2w_elc50_117</v>
      </c>
      <c r="L150" t="str">
        <f t="shared" si="34"/>
        <v>Trd_2w</v>
      </c>
      <c r="M150" s="380">
        <f t="shared" si="35"/>
        <v>4915.29569075295</v>
      </c>
      <c r="N150" s="380">
        <f t="shared" si="36"/>
        <v>3142.75306061625</v>
      </c>
      <c r="O150" s="380">
        <f t="shared" si="37"/>
        <v>2851.49995703936</v>
      </c>
      <c r="P150" s="380">
        <f t="shared" si="38"/>
        <v>2648.48419000273</v>
      </c>
      <c r="Q150" s="43">
        <v>0.1</v>
      </c>
      <c r="T150" t="str">
        <f t="shared" si="27"/>
        <v>Trd_2w_elc50_117</v>
      </c>
      <c r="U150" t="str">
        <f ca="1" t="shared" si="28"/>
        <v>Battery electric moped -- 11714%</v>
      </c>
      <c r="V150" s="383" t="s">
        <v>84</v>
      </c>
      <c r="W150" s="383" t="s">
        <v>85</v>
      </c>
    </row>
    <row r="151" spans="2:23">
      <c r="B151" s="66">
        <v>125.714285714286</v>
      </c>
      <c r="C151" s="86">
        <v>4925.63516312727</v>
      </c>
      <c r="D151" s="86">
        <v>3147.22994895693</v>
      </c>
      <c r="E151" s="86">
        <v>2855.0135422889</v>
      </c>
      <c r="F151" s="86">
        <v>2651.32631213812</v>
      </c>
      <c r="I151" s="77">
        <f t="shared" si="39"/>
        <v>8.03571428571429</v>
      </c>
      <c r="J151" t="str">
        <f t="shared" si="33"/>
        <v>Trd_2w_elc50</v>
      </c>
      <c r="K151" t="str">
        <f t="shared" si="30"/>
        <v>Trd_2w_elc50_126</v>
      </c>
      <c r="L151" t="str">
        <f t="shared" si="34"/>
        <v>Trd_2w</v>
      </c>
      <c r="M151" s="380">
        <f t="shared" si="35"/>
        <v>4925.63516312727</v>
      </c>
      <c r="N151" s="380">
        <f t="shared" si="36"/>
        <v>3147.22994895693</v>
      </c>
      <c r="O151" s="380">
        <f t="shared" si="37"/>
        <v>2855.0135422889</v>
      </c>
      <c r="P151" s="380">
        <f t="shared" si="38"/>
        <v>2651.32631213812</v>
      </c>
      <c r="Q151" s="43">
        <v>0.125</v>
      </c>
      <c r="T151" t="str">
        <f t="shared" si="27"/>
        <v>Trd_2w_elc50_126</v>
      </c>
      <c r="U151" t="str">
        <f ca="1" t="shared" si="28"/>
        <v>Battery electric moped -- 12571%</v>
      </c>
      <c r="V151" s="383" t="s">
        <v>84</v>
      </c>
      <c r="W151" s="383" t="s">
        <v>85</v>
      </c>
    </row>
    <row r="152" spans="2:23">
      <c r="B152" s="66">
        <v>134.285714285714</v>
      </c>
      <c r="C152" s="86">
        <v>5031.68195257476</v>
      </c>
      <c r="D152" s="86">
        <v>3193.1471503436</v>
      </c>
      <c r="E152" s="86">
        <v>2891.0506263561</v>
      </c>
      <c r="F152" s="86">
        <v>2680.47653535684</v>
      </c>
      <c r="I152" s="77">
        <f t="shared" si="39"/>
        <v>8.03571428571429</v>
      </c>
      <c r="J152" t="str">
        <f t="shared" si="33"/>
        <v>Trd_2w_elc50</v>
      </c>
      <c r="K152" t="str">
        <f t="shared" si="30"/>
        <v>Trd_2w_elc50_134</v>
      </c>
      <c r="L152" t="str">
        <f t="shared" si="34"/>
        <v>Trd_2w</v>
      </c>
      <c r="M152" s="380">
        <f t="shared" si="35"/>
        <v>5031.68195257476</v>
      </c>
      <c r="N152" s="380">
        <f t="shared" si="36"/>
        <v>3193.1471503436</v>
      </c>
      <c r="O152" s="380">
        <f t="shared" si="37"/>
        <v>2891.0506263561</v>
      </c>
      <c r="P152" s="380">
        <f t="shared" si="38"/>
        <v>2680.47653535684</v>
      </c>
      <c r="Q152" s="43">
        <v>0.15</v>
      </c>
      <c r="T152" t="str">
        <f t="shared" ref="T152:T155" si="40">K152</f>
        <v>Trd_2w_elc50_134</v>
      </c>
      <c r="U152" t="str">
        <f ca="1" t="shared" ref="U152:U155" si="41">OFFSET($S$1,MATCH(J152,$S$1:$S$11,0)-1,-1)&amp;" -- "&amp;TEXT(B152,"00%")</f>
        <v>Battery electric moped -- 13429%</v>
      </c>
      <c r="V152" s="383" t="s">
        <v>84</v>
      </c>
      <c r="W152" s="383" t="s">
        <v>85</v>
      </c>
    </row>
    <row r="153" spans="2:23">
      <c r="B153" s="66">
        <v>142.857142857143</v>
      </c>
      <c r="C153" s="86">
        <v>5124.86263948367</v>
      </c>
      <c r="D153" s="86">
        <v>3233.49345774656</v>
      </c>
      <c r="E153" s="86">
        <v>2922.71551941954</v>
      </c>
      <c r="F153" s="86">
        <v>2706.09011439322</v>
      </c>
      <c r="I153" s="77">
        <f t="shared" si="39"/>
        <v>8.03571428571429</v>
      </c>
      <c r="J153" t="str">
        <f t="shared" si="33"/>
        <v>Trd_2w_elc50</v>
      </c>
      <c r="K153" t="str">
        <f t="shared" si="30"/>
        <v>Trd_2w_elc50_143</v>
      </c>
      <c r="L153" t="str">
        <f t="shared" si="34"/>
        <v>Trd_2w</v>
      </c>
      <c r="M153" s="380">
        <f t="shared" si="35"/>
        <v>5124.86263948367</v>
      </c>
      <c r="N153" s="380">
        <f t="shared" si="36"/>
        <v>3233.49345774656</v>
      </c>
      <c r="O153" s="380">
        <f t="shared" si="37"/>
        <v>2922.71551941954</v>
      </c>
      <c r="P153" s="380">
        <f t="shared" si="38"/>
        <v>2706.09011439322</v>
      </c>
      <c r="Q153" s="43">
        <v>0.175</v>
      </c>
      <c r="T153" t="str">
        <f t="shared" si="40"/>
        <v>Trd_2w_elc50_143</v>
      </c>
      <c r="U153" t="str">
        <f ca="1" t="shared" si="41"/>
        <v>Battery electric moped -- 14286%</v>
      </c>
      <c r="V153" s="383" t="s">
        <v>84</v>
      </c>
      <c r="W153" s="383" t="s">
        <v>85</v>
      </c>
    </row>
    <row r="154" spans="2:23">
      <c r="B154" s="66">
        <v>151.428571428571</v>
      </c>
      <c r="C154" s="86">
        <v>5274.35193764196</v>
      </c>
      <c r="D154" s="86">
        <v>3298.22083180899</v>
      </c>
      <c r="E154" s="86">
        <v>2973.51534497716</v>
      </c>
      <c r="F154" s="86">
        <v>2747.18184788961</v>
      </c>
      <c r="I154" s="77">
        <f t="shared" si="39"/>
        <v>8.03571428571429</v>
      </c>
      <c r="J154" t="str">
        <f t="shared" si="33"/>
        <v>Trd_2w_elc50</v>
      </c>
      <c r="K154" t="str">
        <f t="shared" si="30"/>
        <v>Trd_2w_elc50_151</v>
      </c>
      <c r="L154" t="str">
        <f t="shared" si="34"/>
        <v>Trd_2w</v>
      </c>
      <c r="M154" s="380">
        <f t="shared" si="35"/>
        <v>5274.35193764196</v>
      </c>
      <c r="N154" s="380">
        <f t="shared" si="36"/>
        <v>3298.22083180899</v>
      </c>
      <c r="O154" s="380">
        <f t="shared" si="37"/>
        <v>2973.51534497716</v>
      </c>
      <c r="P154" s="380">
        <f t="shared" si="38"/>
        <v>2747.18184788961</v>
      </c>
      <c r="Q154" s="43">
        <v>0.2</v>
      </c>
      <c r="T154" t="str">
        <f t="shared" si="40"/>
        <v>Trd_2w_elc50_151</v>
      </c>
      <c r="U154" t="str">
        <f ca="1" t="shared" si="41"/>
        <v>Battery electric moped -- 15143%</v>
      </c>
      <c r="V154" s="383" t="s">
        <v>84</v>
      </c>
      <c r="W154" s="383" t="s">
        <v>85</v>
      </c>
    </row>
    <row r="155" spans="2:23">
      <c r="B155" s="66">
        <v>160</v>
      </c>
      <c r="C155" s="86">
        <v>5418.44153445629</v>
      </c>
      <c r="D155" s="86">
        <v>3360.61018908344</v>
      </c>
      <c r="E155" s="86">
        <v>3022.48023057777</v>
      </c>
      <c r="F155" s="86">
        <v>2786.78930731876</v>
      </c>
      <c r="I155" s="77">
        <f t="shared" si="39"/>
        <v>8.03571428571429</v>
      </c>
      <c r="J155" t="str">
        <f t="shared" si="33"/>
        <v>Trd_2w_elc50</v>
      </c>
      <c r="K155" t="str">
        <f t="shared" si="30"/>
        <v>Trd_2w_elc50_160</v>
      </c>
      <c r="L155" t="str">
        <f t="shared" si="34"/>
        <v>Trd_2w</v>
      </c>
      <c r="M155" s="380">
        <f t="shared" si="35"/>
        <v>5418.44153445629</v>
      </c>
      <c r="N155" s="380">
        <f t="shared" si="36"/>
        <v>3360.61018908344</v>
      </c>
      <c r="O155" s="380">
        <f t="shared" si="37"/>
        <v>3022.48023057777</v>
      </c>
      <c r="P155" s="380">
        <f t="shared" si="38"/>
        <v>2786.78930731876</v>
      </c>
      <c r="T155" t="str">
        <f t="shared" si="40"/>
        <v>Trd_2w_elc50_160</v>
      </c>
      <c r="U155" t="str">
        <f ca="1" t="shared" si="41"/>
        <v>Battery electric moped -- 16000%</v>
      </c>
      <c r="V155" s="383" t="s">
        <v>84</v>
      </c>
      <c r="W155" s="383"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219"/>
  <sheetViews>
    <sheetView showGridLines="0" zoomScale="70" zoomScaleNormal="70" topLeftCell="B1" workbookViewId="0">
      <selection activeCell="Z22" sqref="Z22"/>
    </sheetView>
  </sheetViews>
  <sheetFormatPr defaultColWidth="9" defaultRowHeight="14.5"/>
  <cols>
    <col min="1" max="1" width="7.63636363636364" customWidth="1"/>
    <col min="2" max="2" width="38.2727272727273" customWidth="1"/>
    <col min="3" max="6" width="13.7272727272727" customWidth="1"/>
    <col min="10" max="10" width="15.7272727272727" customWidth="1"/>
    <col min="11" max="11" width="25" customWidth="1"/>
    <col min="12" max="12" width="11.0909090909091" customWidth="1"/>
    <col min="13" max="16" width="7" customWidth="1"/>
    <col min="18" max="18" width="21" customWidth="1"/>
    <col min="19" max="19" width="15.7272727272727" customWidth="1"/>
  </cols>
  <sheetData>
    <row r="1" ht="15.5" spans="2:19">
      <c r="B1" s="364" t="s">
        <v>10</v>
      </c>
      <c r="C1" s="365"/>
      <c r="D1" s="365"/>
      <c r="E1" s="365"/>
      <c r="F1" s="366"/>
      <c r="Q1" t="s">
        <v>51</v>
      </c>
      <c r="R1" t="s">
        <v>148</v>
      </c>
      <c r="S1" t="str">
        <f>"Trd_bus_"&amp;Q1</f>
        <v>Trd_bus_dsl</v>
      </c>
    </row>
    <row r="2" spans="2:19">
      <c r="B2" s="367" t="s">
        <v>9</v>
      </c>
      <c r="C2" s="368"/>
      <c r="D2" s="368"/>
      <c r="E2" s="368"/>
      <c r="F2" s="368"/>
      <c r="Q2" t="s">
        <v>54</v>
      </c>
      <c r="R2" t="s">
        <v>149</v>
      </c>
      <c r="S2" t="str">
        <f t="shared" ref="S2:S6" si="0">"Trd_bus_"&amp;Q2</f>
        <v>Trd_bus_dsl-hyb</v>
      </c>
    </row>
    <row r="3" ht="18.5" spans="2:19">
      <c r="B3" s="369" t="s">
        <v>150</v>
      </c>
      <c r="C3" s="370"/>
      <c r="D3" s="370"/>
      <c r="E3" s="370"/>
      <c r="F3" s="371"/>
      <c r="Q3" t="s">
        <v>59</v>
      </c>
      <c r="R3" t="s">
        <v>151</v>
      </c>
      <c r="S3" t="str">
        <f t="shared" si="0"/>
        <v>Trd_bus_cng</v>
      </c>
    </row>
    <row r="4" spans="9:19">
      <c r="I4" s="375">
        <v>0.038</v>
      </c>
      <c r="J4" s="375" t="s">
        <v>50</v>
      </c>
      <c r="Q4" t="s">
        <v>61</v>
      </c>
      <c r="R4" t="s">
        <v>152</v>
      </c>
      <c r="S4" t="str">
        <f>"\I:Trd_bus_"&amp;Q4</f>
        <v>\I:Trd_bus_lpg</v>
      </c>
    </row>
    <row r="5" ht="15" customHeight="1" spans="2:19">
      <c r="B5" s="43" t="s">
        <v>153</v>
      </c>
      <c r="I5" s="376">
        <f>1.406/26.137</f>
        <v>0.053793472854574</v>
      </c>
      <c r="J5" s="375" t="s">
        <v>53</v>
      </c>
      <c r="Q5" t="s">
        <v>66</v>
      </c>
      <c r="R5" t="s">
        <v>154</v>
      </c>
      <c r="S5" t="str">
        <f t="shared" si="0"/>
        <v>Trd_bus_elc</v>
      </c>
    </row>
    <row r="6" spans="2:19">
      <c r="B6" s="372">
        <v>2015</v>
      </c>
      <c r="C6" s="372"/>
      <c r="D6" s="372"/>
      <c r="Q6" t="s">
        <v>68</v>
      </c>
      <c r="R6" t="s">
        <v>155</v>
      </c>
      <c r="S6" t="str">
        <f t="shared" si="0"/>
        <v>Trd_bus_hh2</v>
      </c>
    </row>
    <row r="7" spans="2:19">
      <c r="B7" s="45" t="s">
        <v>12</v>
      </c>
      <c r="C7" s="46" t="s">
        <v>13</v>
      </c>
      <c r="D7" s="47">
        <v>36.5156473019872</v>
      </c>
      <c r="G7" s="373">
        <f>D7*$I$4/100*10^9/10^6</f>
        <v>13.8759459747551</v>
      </c>
      <c r="H7" s="373"/>
      <c r="I7" s="377">
        <f>1/G7</f>
        <v>0.0720671586513327</v>
      </c>
      <c r="R7" t="s">
        <v>156</v>
      </c>
      <c r="S7" t="str">
        <f>"\I:Trd_bus_"&amp;Q7</f>
        <v>\I:Trd_bus_</v>
      </c>
    </row>
    <row r="8" spans="2:19">
      <c r="B8" s="45" t="s">
        <v>14</v>
      </c>
      <c r="C8" s="46" t="s">
        <v>15</v>
      </c>
      <c r="D8" s="68">
        <v>275816.550231559</v>
      </c>
      <c r="I8" s="43" t="s">
        <v>70</v>
      </c>
      <c r="R8" t="s">
        <v>157</v>
      </c>
      <c r="S8" t="str">
        <f>"\I:Trd_bus_"&amp;Q8</f>
        <v>\I:Trd_bus_</v>
      </c>
    </row>
    <row r="9" spans="18:19">
      <c r="R9" t="s">
        <v>158</v>
      </c>
      <c r="S9" t="str">
        <f>"\I:Trd_bus_"&amp;Q9</f>
        <v>\I:Trd_bus_</v>
      </c>
    </row>
    <row r="11" ht="15.25" spans="11:23">
      <c r="K11" s="378" t="s">
        <v>71</v>
      </c>
      <c r="S11" s="378" t="s">
        <v>72</v>
      </c>
      <c r="T11" s="382"/>
      <c r="U11" s="382"/>
      <c r="V11" s="382"/>
      <c r="W11" s="382"/>
    </row>
    <row r="12" spans="9:23">
      <c r="I12" t="s">
        <v>73</v>
      </c>
      <c r="J12" t="s">
        <v>74</v>
      </c>
      <c r="K12" t="s">
        <v>75</v>
      </c>
      <c r="L12" t="s">
        <v>76</v>
      </c>
      <c r="M12">
        <f>C16</f>
        <v>2020</v>
      </c>
      <c r="N12">
        <f>D16</f>
        <v>2030</v>
      </c>
      <c r="O12">
        <f>E16</f>
        <v>2040</v>
      </c>
      <c r="P12">
        <f>F16</f>
        <v>2050</v>
      </c>
      <c r="Q12" t="s">
        <v>77</v>
      </c>
      <c r="S12" s="382" t="s">
        <v>78</v>
      </c>
      <c r="T12" s="382" t="s">
        <v>79</v>
      </c>
      <c r="U12" s="382" t="s">
        <v>80</v>
      </c>
      <c r="V12" s="382" t="s">
        <v>81</v>
      </c>
      <c r="W12" s="382" t="s">
        <v>82</v>
      </c>
    </row>
    <row r="13" spans="2:23">
      <c r="B13" s="374" t="s">
        <v>119</v>
      </c>
      <c r="C13" s="374" t="s">
        <v>148</v>
      </c>
      <c r="D13" s="374"/>
      <c r="E13" s="374"/>
      <c r="F13" s="374"/>
      <c r="J13" t="str">
        <f>IFERROR(VLOOKUP(C13,$R$1:$S$9,2,FALSE),J12)</f>
        <v>Trd_bus_dsl</v>
      </c>
      <c r="K13" t="str">
        <f>IFERROR(IF(VALUE(C13)&gt;2020,J13&amp;"_"&amp;TEXT(B13*100,"00"),"\I:"),"\I:")</f>
        <v>\I:</v>
      </c>
      <c r="L13" t="str">
        <f>LEFT(K13,7)</f>
        <v>\I:</v>
      </c>
      <c r="M13" t="str">
        <f>IF($K13="\I:","",C13)</f>
        <v/>
      </c>
      <c r="N13" t="str">
        <f>IF($K13="\I:","",D13)</f>
        <v/>
      </c>
      <c r="O13" t="str">
        <f>IF($K13="\I:","",E13)</f>
        <v/>
      </c>
      <c r="P13" t="str">
        <f>IF($K13="\I:","",F13)</f>
        <v/>
      </c>
      <c r="S13" t="s">
        <v>83</v>
      </c>
      <c r="T13" t="str">
        <f>K13</f>
        <v>\I:</v>
      </c>
      <c r="U13" t="str">
        <f ca="1">OFFSET($S$1,MATCH(J13,$S$1:$S$12,0)-1,-1)&amp;" -- "&amp;TEXT(B13,"00%")</f>
        <v>Diesel bus -- Reduction of specific energy consumption relative to 2015 diesel vehicle(%)</v>
      </c>
      <c r="V13" s="383" t="s">
        <v>84</v>
      </c>
      <c r="W13" s="383" t="s">
        <v>85</v>
      </c>
    </row>
    <row r="14" spans="2:23">
      <c r="B14" s="374"/>
      <c r="C14" s="374"/>
      <c r="D14" s="374"/>
      <c r="E14" s="374"/>
      <c r="F14" s="374"/>
      <c r="J14" t="str">
        <f t="shared" ref="J14:J77" si="1">IFERROR(VLOOKUP(C14,$R$1:$S$9,2,FALSE),J13)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S14" t="s">
        <v>83</v>
      </c>
      <c r="T14" t="str">
        <f t="shared" ref="T14:T23" si="8">K14</f>
        <v>\I:</v>
      </c>
      <c r="U14" t="str">
        <f ca="1" t="shared" ref="U14:U23" si="9">OFFSET($S$1,MATCH(J14,$S$1:$S$12,0)-1,-1)&amp;" -- "&amp;TEXT(B14,"00%")</f>
        <v>Diesel bus -- 00%</v>
      </c>
      <c r="V14" s="383" t="s">
        <v>84</v>
      </c>
      <c r="W14" s="383" t="s">
        <v>85</v>
      </c>
    </row>
    <row r="15" spans="2:23">
      <c r="B15" s="374"/>
      <c r="C15" s="374"/>
      <c r="D15" s="374"/>
      <c r="E15" s="374"/>
      <c r="F15" s="374"/>
      <c r="J15" t="str">
        <f t="shared" si="1"/>
        <v>Trd_bus_dsl</v>
      </c>
      <c r="K15" t="str">
        <f t="shared" si="2"/>
        <v>\I:</v>
      </c>
      <c r="L15" t="str">
        <f t="shared" si="3"/>
        <v>\I:</v>
      </c>
      <c r="M15" t="str">
        <f t="shared" si="4"/>
        <v/>
      </c>
      <c r="N15" t="str">
        <f t="shared" si="5"/>
        <v/>
      </c>
      <c r="O15" t="str">
        <f t="shared" si="6"/>
        <v/>
      </c>
      <c r="P15" t="str">
        <f t="shared" si="7"/>
        <v/>
      </c>
      <c r="S15" t="s">
        <v>83</v>
      </c>
      <c r="T15" t="str">
        <f t="shared" si="8"/>
        <v>\I:</v>
      </c>
      <c r="U15" t="str">
        <f ca="1" t="shared" si="9"/>
        <v>Diesel bus -- 00%</v>
      </c>
      <c r="V15" s="383" t="s">
        <v>84</v>
      </c>
      <c r="W15" s="383" t="s">
        <v>85</v>
      </c>
    </row>
    <row r="16" spans="2:23">
      <c r="B16" s="49"/>
      <c r="C16" s="50">
        <v>2020</v>
      </c>
      <c r="D16" s="50">
        <v>2030</v>
      </c>
      <c r="E16" s="50">
        <v>2040</v>
      </c>
      <c r="F16" s="50">
        <v>2050</v>
      </c>
      <c r="J16" t="str">
        <f t="shared" si="1"/>
        <v>Trd_bus_dsl</v>
      </c>
      <c r="K16" t="str">
        <f t="shared" si="2"/>
        <v>\I:</v>
      </c>
      <c r="L16" t="str">
        <f t="shared" si="3"/>
        <v>\I:</v>
      </c>
      <c r="M16" t="str">
        <f t="shared" si="4"/>
        <v/>
      </c>
      <c r="N16" t="str">
        <f t="shared" si="5"/>
        <v/>
      </c>
      <c r="O16" t="str">
        <f t="shared" si="6"/>
        <v/>
      </c>
      <c r="P16" t="str">
        <f t="shared" si="7"/>
        <v/>
      </c>
      <c r="S16" t="s">
        <v>83</v>
      </c>
      <c r="T16" t="str">
        <f t="shared" si="8"/>
        <v>\I:</v>
      </c>
      <c r="U16" t="str">
        <f ca="1" t="shared" si="9"/>
        <v>Diesel bus -- 00%</v>
      </c>
      <c r="V16" s="383" t="s">
        <v>84</v>
      </c>
      <c r="W16" s="383" t="s">
        <v>85</v>
      </c>
    </row>
    <row r="17" spans="2:23">
      <c r="B17" s="85">
        <v>0.0409380868944008</v>
      </c>
      <c r="C17" s="86">
        <v>277035.545225282</v>
      </c>
      <c r="D17" s="86">
        <v>277035.545225282</v>
      </c>
      <c r="E17" s="86">
        <v>277035.545225282</v>
      </c>
      <c r="F17" s="86">
        <v>277035.545225282</v>
      </c>
      <c r="I17" s="379">
        <f>(1+B17)</f>
        <v>1.0409380868944</v>
      </c>
      <c r="J17" t="str">
        <f t="shared" si="1"/>
        <v>Trd_bus_dsl</v>
      </c>
      <c r="K17" t="str">
        <f t="shared" si="2"/>
        <v>Trd_bus_dsl_04</v>
      </c>
      <c r="L17" t="str">
        <f t="shared" si="3"/>
        <v>Trd_bus</v>
      </c>
      <c r="M17" s="380">
        <f t="shared" si="4"/>
        <v>277035.545225282</v>
      </c>
      <c r="N17" s="380">
        <f t="shared" si="5"/>
        <v>277035.545225282</v>
      </c>
      <c r="O17" s="380">
        <f t="shared" si="6"/>
        <v>277035.545225282</v>
      </c>
      <c r="P17" s="380">
        <f t="shared" si="7"/>
        <v>277035.545225282</v>
      </c>
      <c r="S17" t="s">
        <v>83</v>
      </c>
      <c r="T17" t="str">
        <f t="shared" si="8"/>
        <v>Trd_bus_dsl_04</v>
      </c>
      <c r="U17" t="str">
        <f ca="1" t="shared" si="9"/>
        <v>Diesel bus -- 04%</v>
      </c>
      <c r="V17" s="383" t="s">
        <v>84</v>
      </c>
      <c r="W17" s="383" t="s">
        <v>85</v>
      </c>
    </row>
    <row r="18" spans="2:23">
      <c r="B18" s="85">
        <v>0.0609380868944008</v>
      </c>
      <c r="C18" s="86">
        <v>278399.905207018</v>
      </c>
      <c r="D18" s="86">
        <v>277922.612863842</v>
      </c>
      <c r="E18" s="86">
        <v>277922.612863842</v>
      </c>
      <c r="F18" s="86">
        <v>277922.612863842</v>
      </c>
      <c r="I18" s="379">
        <f t="shared" ref="I18:I23" si="10">(1+B18)</f>
        <v>1.0609380868944</v>
      </c>
      <c r="J18" t="str">
        <f t="shared" si="1"/>
        <v>Trd_bus_dsl</v>
      </c>
      <c r="K18" t="str">
        <f t="shared" si="2"/>
        <v>Trd_bus_dsl_06</v>
      </c>
      <c r="L18" t="str">
        <f t="shared" si="3"/>
        <v>Trd_bus</v>
      </c>
      <c r="M18" s="380">
        <f t="shared" si="4"/>
        <v>278399.905207018</v>
      </c>
      <c r="N18" s="380">
        <f t="shared" si="5"/>
        <v>277922.612863842</v>
      </c>
      <c r="O18" s="380">
        <f t="shared" si="6"/>
        <v>277922.612863842</v>
      </c>
      <c r="P18" s="380">
        <f t="shared" si="7"/>
        <v>277922.612863842</v>
      </c>
      <c r="S18" t="s">
        <v>83</v>
      </c>
      <c r="T18" t="str">
        <f t="shared" si="8"/>
        <v>Trd_bus_dsl_06</v>
      </c>
      <c r="U18" t="str">
        <f ca="1" t="shared" si="9"/>
        <v>Diesel bus -- 06%</v>
      </c>
      <c r="V18" s="383" t="s">
        <v>84</v>
      </c>
      <c r="W18" s="383" t="s">
        <v>85</v>
      </c>
    </row>
    <row r="19" spans="2:23">
      <c r="B19" s="85">
        <v>0.0809380868944008</v>
      </c>
      <c r="C19" s="86">
        <v>280340.227892535</v>
      </c>
      <c r="D19" s="86">
        <v>280036.119387962</v>
      </c>
      <c r="E19" s="86">
        <v>280036.119387962</v>
      </c>
      <c r="F19" s="86">
        <v>280036.119387962</v>
      </c>
      <c r="I19" s="379">
        <f t="shared" si="10"/>
        <v>1.0809380868944</v>
      </c>
      <c r="J19" t="str">
        <f t="shared" si="1"/>
        <v>Trd_bus_dsl</v>
      </c>
      <c r="K19" t="str">
        <f t="shared" si="2"/>
        <v>Trd_bus_dsl_08</v>
      </c>
      <c r="L19" t="str">
        <f t="shared" si="3"/>
        <v>Trd_bus</v>
      </c>
      <c r="M19" s="380">
        <f t="shared" si="4"/>
        <v>280340.227892535</v>
      </c>
      <c r="N19" s="380">
        <f t="shared" si="5"/>
        <v>280036.119387962</v>
      </c>
      <c r="O19" s="380">
        <f t="shared" si="6"/>
        <v>280036.119387962</v>
      </c>
      <c r="P19" s="380">
        <f t="shared" si="7"/>
        <v>280036.119387962</v>
      </c>
      <c r="S19" t="s">
        <v>83</v>
      </c>
      <c r="T19" t="str">
        <f t="shared" si="8"/>
        <v>Trd_bus_dsl_08</v>
      </c>
      <c r="U19" t="str">
        <f ca="1" t="shared" si="9"/>
        <v>Diesel bus -- 08%</v>
      </c>
      <c r="V19" s="383" t="s">
        <v>84</v>
      </c>
      <c r="W19" s="383" t="s">
        <v>85</v>
      </c>
    </row>
    <row r="20" spans="2:23">
      <c r="B20" s="85">
        <v>0.110938086894401</v>
      </c>
      <c r="C20" s="86">
        <v>282100.178960952</v>
      </c>
      <c r="D20" s="86">
        <v>281836.46388557</v>
      </c>
      <c r="E20" s="86">
        <v>281836.46388557</v>
      </c>
      <c r="F20" s="86">
        <v>281836.46388557</v>
      </c>
      <c r="I20" s="379">
        <f t="shared" si="10"/>
        <v>1.1109380868944</v>
      </c>
      <c r="J20" t="str">
        <f t="shared" si="1"/>
        <v>Trd_bus_dsl</v>
      </c>
      <c r="K20" t="str">
        <f t="shared" si="2"/>
        <v>Trd_bus_dsl_11</v>
      </c>
      <c r="L20" t="str">
        <f t="shared" si="3"/>
        <v>Trd_bus</v>
      </c>
      <c r="M20" s="380">
        <f t="shared" si="4"/>
        <v>282100.178960952</v>
      </c>
      <c r="N20" s="380">
        <f t="shared" si="5"/>
        <v>281836.46388557</v>
      </c>
      <c r="O20" s="380">
        <f t="shared" si="6"/>
        <v>281836.46388557</v>
      </c>
      <c r="P20" s="380">
        <f t="shared" si="7"/>
        <v>281836.46388557</v>
      </c>
      <c r="S20" t="s">
        <v>83</v>
      </c>
      <c r="T20" t="str">
        <f t="shared" si="8"/>
        <v>Trd_bus_dsl_11</v>
      </c>
      <c r="U20" t="str">
        <f ca="1" t="shared" si="9"/>
        <v>Diesel bus -- 11%</v>
      </c>
      <c r="V20" s="383" t="s">
        <v>84</v>
      </c>
      <c r="W20" s="383" t="s">
        <v>85</v>
      </c>
    </row>
    <row r="21" spans="2:23">
      <c r="B21" s="85">
        <v>0.140938086894401</v>
      </c>
      <c r="C21" s="86">
        <v>284796.605674726</v>
      </c>
      <c r="D21" s="86">
        <v>284536.980631981</v>
      </c>
      <c r="E21" s="86">
        <v>284536.980631981</v>
      </c>
      <c r="F21" s="86">
        <v>284536.980631981</v>
      </c>
      <c r="I21" s="379">
        <f t="shared" si="10"/>
        <v>1.1409380868944</v>
      </c>
      <c r="J21" t="str">
        <f t="shared" si="1"/>
        <v>Trd_bus_dsl</v>
      </c>
      <c r="K21" t="str">
        <f t="shared" si="2"/>
        <v>Trd_bus_dsl_14</v>
      </c>
      <c r="L21" t="str">
        <f t="shared" si="3"/>
        <v>Trd_bus</v>
      </c>
      <c r="M21" s="380">
        <f t="shared" si="4"/>
        <v>284796.605674726</v>
      </c>
      <c r="N21" s="380">
        <f t="shared" si="5"/>
        <v>284536.980631981</v>
      </c>
      <c r="O21" s="380">
        <f t="shared" si="6"/>
        <v>284536.980631981</v>
      </c>
      <c r="P21" s="380">
        <f t="shared" si="7"/>
        <v>284536.980631981</v>
      </c>
      <c r="S21" t="s">
        <v>83</v>
      </c>
      <c r="T21" t="str">
        <f t="shared" si="8"/>
        <v>Trd_bus_dsl_14</v>
      </c>
      <c r="U21" t="str">
        <f ca="1" t="shared" si="9"/>
        <v>Diesel bus -- 14%</v>
      </c>
      <c r="V21" s="383" t="s">
        <v>84</v>
      </c>
      <c r="W21" s="383" t="s">
        <v>85</v>
      </c>
    </row>
    <row r="22" spans="2:23">
      <c r="B22" s="85">
        <v>0.170938086894401</v>
      </c>
      <c r="C22" s="86">
        <v>312906.877352837</v>
      </c>
      <c r="D22" s="86">
        <v>289153.080385683</v>
      </c>
      <c r="E22" s="86">
        <v>289037.841876</v>
      </c>
      <c r="F22" s="86">
        <v>289037.841876</v>
      </c>
      <c r="I22" s="379">
        <f t="shared" si="10"/>
        <v>1.1709380868944</v>
      </c>
      <c r="J22" t="str">
        <f t="shared" si="1"/>
        <v>Trd_bus_dsl</v>
      </c>
      <c r="K22" t="str">
        <f t="shared" si="2"/>
        <v>Trd_bus_dsl_17</v>
      </c>
      <c r="L22" t="str">
        <f t="shared" si="3"/>
        <v>Trd_bus</v>
      </c>
      <c r="M22" s="380">
        <f t="shared" si="4"/>
        <v>312906.877352837</v>
      </c>
      <c r="N22" s="380">
        <f t="shared" si="5"/>
        <v>289153.080385683</v>
      </c>
      <c r="O22" s="380">
        <f t="shared" si="6"/>
        <v>289037.841876</v>
      </c>
      <c r="P22" s="380">
        <f t="shared" si="7"/>
        <v>289037.841876</v>
      </c>
      <c r="S22" t="s">
        <v>83</v>
      </c>
      <c r="T22" t="str">
        <f t="shared" si="8"/>
        <v>Trd_bus_dsl_17</v>
      </c>
      <c r="U22" t="str">
        <f ca="1" t="shared" si="9"/>
        <v>Diesel bus -- 17%</v>
      </c>
      <c r="V22" s="383" t="s">
        <v>84</v>
      </c>
      <c r="W22" s="383" t="s">
        <v>85</v>
      </c>
    </row>
    <row r="23" spans="2:23">
      <c r="B23" s="85">
        <v>0.210938086894401</v>
      </c>
      <c r="C23" s="86">
        <v>374217.896441724</v>
      </c>
      <c r="D23" s="86">
        <v>299784.837414464</v>
      </c>
      <c r="E23" s="86">
        <v>293128.62465112</v>
      </c>
      <c r="F23" s="86">
        <v>293128.62465112</v>
      </c>
      <c r="I23" s="379">
        <f t="shared" si="10"/>
        <v>1.2109380868944</v>
      </c>
      <c r="J23" t="str">
        <f t="shared" si="1"/>
        <v>Trd_bus_dsl</v>
      </c>
      <c r="K23" t="str">
        <f t="shared" si="2"/>
        <v>Trd_bus_dsl_21</v>
      </c>
      <c r="L23" t="str">
        <f t="shared" si="3"/>
        <v>Trd_bus</v>
      </c>
      <c r="M23" s="380">
        <f t="shared" si="4"/>
        <v>374217.896441724</v>
      </c>
      <c r="N23" s="380">
        <f t="shared" si="5"/>
        <v>299784.837414464</v>
      </c>
      <c r="O23" s="380">
        <f t="shared" si="6"/>
        <v>293128.62465112</v>
      </c>
      <c r="P23" s="380">
        <f t="shared" si="7"/>
        <v>293128.62465112</v>
      </c>
      <c r="S23" t="s">
        <v>83</v>
      </c>
      <c r="T23" t="str">
        <f t="shared" si="8"/>
        <v>Trd_bus_dsl_21</v>
      </c>
      <c r="U23" t="str">
        <f ca="1" t="shared" si="9"/>
        <v>Diesel bus -- 21%</v>
      </c>
      <c r="V23" s="383" t="s">
        <v>84</v>
      </c>
      <c r="W23" s="383" t="s">
        <v>85</v>
      </c>
    </row>
    <row r="24" spans="10:23">
      <c r="J24" t="str">
        <f t="shared" si="1"/>
        <v>Trd_bus_dsl</v>
      </c>
      <c r="K24" t="str">
        <f t="shared" ref="K24:K87" si="11">IFERROR(IF(VALUE(C24)&gt;2020,J24&amp;"_"&amp;TEXT(B24*100,"00"),"\I:"),"\I:")</f>
        <v>\I:</v>
      </c>
      <c r="L24" t="str">
        <f t="shared" si="3"/>
        <v>\I:</v>
      </c>
      <c r="M24" s="380" t="str">
        <f t="shared" ref="M24:M87" si="12">IF($K24="\I:","",C24)</f>
        <v/>
      </c>
      <c r="N24" s="380" t="str">
        <f t="shared" ref="N24:N87" si="13">IF($K24="\I:","",D24)</f>
        <v/>
      </c>
      <c r="O24" s="380" t="str">
        <f t="shared" ref="O24:O87" si="14">IF($K24="\I:","",E24)</f>
        <v/>
      </c>
      <c r="P24" s="380" t="str">
        <f t="shared" ref="P24:P87" si="15">IF($K24="\I:","",F24)</f>
        <v/>
      </c>
      <c r="S24" t="s">
        <v>83</v>
      </c>
      <c r="T24" t="str">
        <f t="shared" ref="T24:T87" si="16">K24</f>
        <v>\I:</v>
      </c>
      <c r="U24" t="str">
        <f ca="1" t="shared" ref="U24:U87" si="17">OFFSET($S$1,MATCH(J24,$S$1:$S$12,0)-1,-1)&amp;" -- "&amp;TEXT(B24,"00%")</f>
        <v>Diesel bus -- 00%</v>
      </c>
      <c r="V24" s="383" t="s">
        <v>84</v>
      </c>
      <c r="W24" s="383" t="s">
        <v>85</v>
      </c>
    </row>
    <row r="25" spans="10:23">
      <c r="J25" t="str">
        <f t="shared" si="1"/>
        <v>Trd_bus_dsl</v>
      </c>
      <c r="K25" t="str">
        <f t="shared" si="11"/>
        <v>\I:</v>
      </c>
      <c r="L25" t="str">
        <f t="shared" si="3"/>
        <v>\I:</v>
      </c>
      <c r="M25" s="380" t="str">
        <f t="shared" si="12"/>
        <v/>
      </c>
      <c r="N25" s="380" t="str">
        <f t="shared" si="13"/>
        <v/>
      </c>
      <c r="O25" s="380" t="str">
        <f t="shared" si="14"/>
        <v/>
      </c>
      <c r="P25" s="380" t="str">
        <f t="shared" si="15"/>
        <v/>
      </c>
      <c r="S25" t="s">
        <v>83</v>
      </c>
      <c r="T25" t="str">
        <f t="shared" si="16"/>
        <v>\I:</v>
      </c>
      <c r="U25" t="str">
        <f ca="1" t="shared" si="17"/>
        <v>Diesel bus -- 00%</v>
      </c>
      <c r="V25" s="383" t="s">
        <v>84</v>
      </c>
      <c r="W25" s="383" t="s">
        <v>85</v>
      </c>
    </row>
    <row r="26" spans="10:23">
      <c r="J26" t="str">
        <f t="shared" si="1"/>
        <v>Trd_bus_dsl</v>
      </c>
      <c r="K26" t="str">
        <f t="shared" si="11"/>
        <v>\I:</v>
      </c>
      <c r="L26" t="str">
        <f t="shared" si="3"/>
        <v>\I:</v>
      </c>
      <c r="M26" s="380" t="str">
        <f t="shared" si="12"/>
        <v/>
      </c>
      <c r="N26" s="380" t="str">
        <f t="shared" si="13"/>
        <v/>
      </c>
      <c r="O26" s="380" t="str">
        <f t="shared" si="14"/>
        <v/>
      </c>
      <c r="P26" s="380" t="str">
        <f t="shared" si="15"/>
        <v/>
      </c>
      <c r="S26" t="s">
        <v>83</v>
      </c>
      <c r="T26" t="str">
        <f t="shared" si="16"/>
        <v>\I:</v>
      </c>
      <c r="U26" t="str">
        <f ca="1" t="shared" si="17"/>
        <v>Diesel bus -- 00%</v>
      </c>
      <c r="V26" s="383" t="s">
        <v>84</v>
      </c>
      <c r="W26" s="383" t="s">
        <v>85</v>
      </c>
    </row>
    <row r="27" ht="15" customHeight="1" spans="2:23">
      <c r="B27" s="374" t="s">
        <v>21</v>
      </c>
      <c r="C27" s="374" t="s">
        <v>149</v>
      </c>
      <c r="D27" s="374"/>
      <c r="E27" s="374"/>
      <c r="F27" s="374"/>
      <c r="J27" t="str">
        <f t="shared" si="1"/>
        <v>Trd_bus_dsl-hyb</v>
      </c>
      <c r="K27" t="str">
        <f t="shared" si="11"/>
        <v>\I:</v>
      </c>
      <c r="L27" t="str">
        <f t="shared" si="3"/>
        <v>\I:</v>
      </c>
      <c r="M27" s="380" t="str">
        <f t="shared" si="12"/>
        <v/>
      </c>
      <c r="N27" s="380" t="str">
        <f t="shared" si="13"/>
        <v/>
      </c>
      <c r="O27" s="380" t="str">
        <f t="shared" si="14"/>
        <v/>
      </c>
      <c r="P27" s="380" t="str">
        <f t="shared" si="15"/>
        <v/>
      </c>
      <c r="S27" t="s">
        <v>83</v>
      </c>
      <c r="T27" t="str">
        <f t="shared" si="16"/>
        <v>\I:</v>
      </c>
      <c r="U27" t="str">
        <f ca="1" t="shared" si="17"/>
        <v>Hybrid diesel bus -- Reduction of specific energy consumption relative to 2015 diesel vehicle (%)</v>
      </c>
      <c r="V27" s="383" t="s">
        <v>84</v>
      </c>
      <c r="W27" s="383" t="s">
        <v>85</v>
      </c>
    </row>
    <row r="28" spans="2:23">
      <c r="B28" s="374"/>
      <c r="C28" s="374"/>
      <c r="D28" s="374"/>
      <c r="E28" s="374"/>
      <c r="F28" s="374"/>
      <c r="J28" t="str">
        <f t="shared" si="1"/>
        <v>Trd_bus_dsl-hyb</v>
      </c>
      <c r="K28" t="str">
        <f t="shared" si="11"/>
        <v>\I:</v>
      </c>
      <c r="L28" t="str">
        <f t="shared" si="3"/>
        <v>\I:</v>
      </c>
      <c r="M28" s="380" t="str">
        <f t="shared" si="12"/>
        <v/>
      </c>
      <c r="N28" s="380" t="str">
        <f t="shared" si="13"/>
        <v/>
      </c>
      <c r="O28" s="380" t="str">
        <f t="shared" si="14"/>
        <v/>
      </c>
      <c r="P28" s="380" t="str">
        <f t="shared" si="15"/>
        <v/>
      </c>
      <c r="S28" t="s">
        <v>83</v>
      </c>
      <c r="T28" t="str">
        <f t="shared" si="16"/>
        <v>\I:</v>
      </c>
      <c r="U28" t="str">
        <f ca="1" t="shared" si="17"/>
        <v>Hybrid diesel bus -- 00%</v>
      </c>
      <c r="V28" s="383" t="s">
        <v>84</v>
      </c>
      <c r="W28" s="383" t="s">
        <v>85</v>
      </c>
    </row>
    <row r="29" spans="2:23">
      <c r="B29" s="374"/>
      <c r="C29" s="374"/>
      <c r="D29" s="374"/>
      <c r="E29" s="374"/>
      <c r="F29" s="374"/>
      <c r="J29" t="str">
        <f t="shared" si="1"/>
        <v>Trd_bus_dsl-hyb</v>
      </c>
      <c r="K29" t="str">
        <f t="shared" si="11"/>
        <v>\I:</v>
      </c>
      <c r="L29" t="str">
        <f t="shared" si="3"/>
        <v>\I:</v>
      </c>
      <c r="M29" s="380" t="str">
        <f t="shared" si="12"/>
        <v/>
      </c>
      <c r="N29" s="380" t="str">
        <f t="shared" si="13"/>
        <v/>
      </c>
      <c r="O29" s="380" t="str">
        <f t="shared" si="14"/>
        <v/>
      </c>
      <c r="P29" s="380" t="str">
        <f t="shared" si="15"/>
        <v/>
      </c>
      <c r="S29" t="s">
        <v>83</v>
      </c>
      <c r="T29" t="str">
        <f t="shared" si="16"/>
        <v>\I:</v>
      </c>
      <c r="U29" t="str">
        <f ca="1" t="shared" si="17"/>
        <v>Hybrid diesel bus -- 00%</v>
      </c>
      <c r="V29" s="383" t="s">
        <v>84</v>
      </c>
      <c r="W29" s="383" t="s">
        <v>85</v>
      </c>
    </row>
    <row r="30" spans="2:23">
      <c r="B30" s="49"/>
      <c r="C30" s="50">
        <v>2020</v>
      </c>
      <c r="D30" s="50">
        <v>2030</v>
      </c>
      <c r="E30" s="50">
        <v>2040</v>
      </c>
      <c r="F30" s="50">
        <v>2050</v>
      </c>
      <c r="J30" t="str">
        <f t="shared" si="1"/>
        <v>Trd_bus_dsl-hyb</v>
      </c>
      <c r="K30" t="str">
        <f t="shared" si="11"/>
        <v>\I:</v>
      </c>
      <c r="L30" t="str">
        <f t="shared" si="3"/>
        <v>\I:</v>
      </c>
      <c r="M30" s="380" t="str">
        <f t="shared" si="12"/>
        <v/>
      </c>
      <c r="N30" s="380" t="str">
        <f t="shared" si="13"/>
        <v/>
      </c>
      <c r="O30" s="380" t="str">
        <f t="shared" si="14"/>
        <v/>
      </c>
      <c r="P30" s="380" t="str">
        <f t="shared" si="15"/>
        <v/>
      </c>
      <c r="S30" t="s">
        <v>83</v>
      </c>
      <c r="T30" t="str">
        <f t="shared" si="16"/>
        <v>\I:</v>
      </c>
      <c r="U30" t="str">
        <f ca="1" t="shared" si="17"/>
        <v>Hybrid diesel bus -- 00%</v>
      </c>
      <c r="V30" s="383" t="s">
        <v>84</v>
      </c>
      <c r="W30" s="383" t="s">
        <v>85</v>
      </c>
    </row>
    <row r="31" spans="2:23">
      <c r="B31" s="85">
        <v>0.335</v>
      </c>
      <c r="C31" s="86">
        <v>293729.977982756</v>
      </c>
      <c r="D31" s="86">
        <v>293729.977982756</v>
      </c>
      <c r="E31" s="86">
        <v>293729.977982756</v>
      </c>
      <c r="F31" s="86">
        <v>293729.977982756</v>
      </c>
      <c r="I31" s="379">
        <f t="shared" ref="I31:I38" si="18">(1+B31)</f>
        <v>1.335</v>
      </c>
      <c r="J31" t="str">
        <f t="shared" si="1"/>
        <v>Trd_bus_dsl-hyb</v>
      </c>
      <c r="K31" t="str">
        <f t="shared" si="11"/>
        <v>Trd_bus_dsl-hyb_34</v>
      </c>
      <c r="L31" t="str">
        <f t="shared" si="3"/>
        <v>Trd_bus</v>
      </c>
      <c r="M31" s="380">
        <f t="shared" si="12"/>
        <v>293729.977982756</v>
      </c>
      <c r="N31" s="380">
        <f t="shared" si="13"/>
        <v>293729.977982756</v>
      </c>
      <c r="O31" s="380">
        <f t="shared" si="14"/>
        <v>293729.977982756</v>
      </c>
      <c r="P31" s="380">
        <f t="shared" si="15"/>
        <v>293729.977982756</v>
      </c>
      <c r="S31" t="s">
        <v>83</v>
      </c>
      <c r="T31" t="str">
        <f t="shared" si="16"/>
        <v>Trd_bus_dsl-hyb_34</v>
      </c>
      <c r="U31" t="str">
        <f ca="1" t="shared" si="17"/>
        <v>Hybrid diesel bus -- 34%</v>
      </c>
      <c r="V31" s="383" t="s">
        <v>84</v>
      </c>
      <c r="W31" s="383" t="s">
        <v>85</v>
      </c>
    </row>
    <row r="32" spans="2:23">
      <c r="B32" s="85">
        <v>0.356</v>
      </c>
      <c r="C32" s="86">
        <v>294730.169370315</v>
      </c>
      <c r="D32" s="86">
        <v>294730.169370315</v>
      </c>
      <c r="E32" s="86">
        <v>294730.169370315</v>
      </c>
      <c r="F32" s="86">
        <v>294730.169370315</v>
      </c>
      <c r="I32" s="379">
        <f t="shared" si="18"/>
        <v>1.356</v>
      </c>
      <c r="J32" t="str">
        <f t="shared" si="1"/>
        <v>Trd_bus_dsl-hyb</v>
      </c>
      <c r="K32" t="str">
        <f t="shared" si="11"/>
        <v>Trd_bus_dsl-hyb_36</v>
      </c>
      <c r="L32" t="str">
        <f t="shared" si="3"/>
        <v>Trd_bus</v>
      </c>
      <c r="M32" s="380">
        <f t="shared" si="12"/>
        <v>294730.169370315</v>
      </c>
      <c r="N32" s="380">
        <f t="shared" si="13"/>
        <v>294730.169370315</v>
      </c>
      <c r="O32" s="380">
        <f t="shared" si="14"/>
        <v>294730.169370315</v>
      </c>
      <c r="P32" s="380">
        <f t="shared" si="15"/>
        <v>294730.169370315</v>
      </c>
      <c r="S32" t="s">
        <v>83</v>
      </c>
      <c r="T32" t="str">
        <f t="shared" si="16"/>
        <v>Trd_bus_dsl-hyb_36</v>
      </c>
      <c r="U32" t="str">
        <f ca="1" t="shared" si="17"/>
        <v>Hybrid diesel bus -- 36%</v>
      </c>
      <c r="V32" s="383" t="s">
        <v>84</v>
      </c>
      <c r="W32" s="383" t="s">
        <v>85</v>
      </c>
    </row>
    <row r="33" spans="2:23">
      <c r="B33" s="85">
        <v>0.37</v>
      </c>
      <c r="C33" s="86">
        <v>295837.202769739</v>
      </c>
      <c r="D33" s="86">
        <v>295617.237008875</v>
      </c>
      <c r="E33" s="86">
        <v>295617.237008875</v>
      </c>
      <c r="F33" s="86">
        <v>295617.237008875</v>
      </c>
      <c r="I33" s="379">
        <f t="shared" si="18"/>
        <v>1.37</v>
      </c>
      <c r="J33" t="str">
        <f t="shared" si="1"/>
        <v>Trd_bus_dsl-hyb</v>
      </c>
      <c r="K33" t="str">
        <f t="shared" si="11"/>
        <v>Trd_bus_dsl-hyb_37</v>
      </c>
      <c r="L33" t="str">
        <f t="shared" si="3"/>
        <v>Trd_bus</v>
      </c>
      <c r="M33" s="380">
        <f t="shared" si="12"/>
        <v>295837.202769739</v>
      </c>
      <c r="N33" s="380">
        <f t="shared" si="13"/>
        <v>295617.237008875</v>
      </c>
      <c r="O33" s="380">
        <f t="shared" si="14"/>
        <v>295617.237008875</v>
      </c>
      <c r="P33" s="380">
        <f t="shared" si="15"/>
        <v>295617.237008875</v>
      </c>
      <c r="S33" t="s">
        <v>83</v>
      </c>
      <c r="T33" t="str">
        <f t="shared" si="16"/>
        <v>Trd_bus_dsl-hyb_37</v>
      </c>
      <c r="U33" t="str">
        <f ca="1" t="shared" si="17"/>
        <v>Hybrid diesel bus -- 37%</v>
      </c>
      <c r="V33" s="383" t="s">
        <v>84</v>
      </c>
      <c r="W33" s="383" t="s">
        <v>85</v>
      </c>
    </row>
    <row r="34" spans="2:23">
      <c r="B34" s="85">
        <v>0.384</v>
      </c>
      <c r="C34" s="86">
        <v>298043.332712174</v>
      </c>
      <c r="D34" s="86">
        <v>297730.743532995</v>
      </c>
      <c r="E34" s="86">
        <v>297730.743532995</v>
      </c>
      <c r="F34" s="86">
        <v>297730.743532995</v>
      </c>
      <c r="I34" s="379">
        <f t="shared" si="18"/>
        <v>1.384</v>
      </c>
      <c r="J34" t="str">
        <f t="shared" si="1"/>
        <v>Trd_bus_dsl-hyb</v>
      </c>
      <c r="K34" t="str">
        <f t="shared" si="11"/>
        <v>Trd_bus_dsl-hyb_38</v>
      </c>
      <c r="L34" t="str">
        <f t="shared" si="3"/>
        <v>Trd_bus</v>
      </c>
      <c r="M34" s="380">
        <f t="shared" si="12"/>
        <v>298043.332712174</v>
      </c>
      <c r="N34" s="380">
        <f t="shared" si="13"/>
        <v>297730.743532995</v>
      </c>
      <c r="O34" s="380">
        <f t="shared" si="14"/>
        <v>297730.743532995</v>
      </c>
      <c r="P34" s="380">
        <f t="shared" si="15"/>
        <v>297730.743532995</v>
      </c>
      <c r="S34" t="s">
        <v>83</v>
      </c>
      <c r="T34" t="str">
        <f t="shared" si="16"/>
        <v>Trd_bus_dsl-hyb_38</v>
      </c>
      <c r="U34" t="str">
        <f ca="1" t="shared" si="17"/>
        <v>Hybrid diesel bus -- 38%</v>
      </c>
      <c r="V34" s="383" t="s">
        <v>84</v>
      </c>
      <c r="W34" s="383" t="s">
        <v>85</v>
      </c>
    </row>
    <row r="35" spans="2:23">
      <c r="B35" s="85">
        <v>0.405</v>
      </c>
      <c r="C35" s="86">
        <v>301248.963386945</v>
      </c>
      <c r="D35" s="86">
        <v>299531.088030602</v>
      </c>
      <c r="E35" s="86">
        <v>299531.088030602</v>
      </c>
      <c r="F35" s="86">
        <v>299531.088030602</v>
      </c>
      <c r="I35" s="379">
        <f t="shared" si="18"/>
        <v>1.405</v>
      </c>
      <c r="J35" t="str">
        <f t="shared" si="1"/>
        <v>Trd_bus_dsl-hyb</v>
      </c>
      <c r="K35" t="str">
        <f t="shared" si="11"/>
        <v>Trd_bus_dsl-hyb_41</v>
      </c>
      <c r="L35" t="str">
        <f t="shared" si="3"/>
        <v>Trd_bus</v>
      </c>
      <c r="M35" s="380">
        <f t="shared" si="12"/>
        <v>301248.963386945</v>
      </c>
      <c r="N35" s="380">
        <f t="shared" si="13"/>
        <v>299531.088030602</v>
      </c>
      <c r="O35" s="380">
        <f t="shared" si="14"/>
        <v>299531.088030602</v>
      </c>
      <c r="P35" s="380">
        <f t="shared" si="15"/>
        <v>299531.088030602</v>
      </c>
      <c r="S35" t="s">
        <v>83</v>
      </c>
      <c r="T35" t="str">
        <f t="shared" si="16"/>
        <v>Trd_bus_dsl-hyb_41</v>
      </c>
      <c r="U35" t="str">
        <f ca="1" t="shared" si="17"/>
        <v>Hybrid diesel bus -- 41%</v>
      </c>
      <c r="V35" s="383" t="s">
        <v>84</v>
      </c>
      <c r="W35" s="383" t="s">
        <v>85</v>
      </c>
    </row>
    <row r="36" spans="2:23">
      <c r="B36" s="85">
        <v>0.426</v>
      </c>
      <c r="C36" s="86">
        <v>306597.98392569</v>
      </c>
      <c r="D36" s="86">
        <v>302231.604777014</v>
      </c>
      <c r="E36" s="86">
        <v>302231.604777014</v>
      </c>
      <c r="F36" s="86">
        <v>302231.604777014</v>
      </c>
      <c r="I36" s="379">
        <f t="shared" si="18"/>
        <v>1.426</v>
      </c>
      <c r="J36" t="str">
        <f t="shared" si="1"/>
        <v>Trd_bus_dsl-hyb</v>
      </c>
      <c r="K36" t="str">
        <f t="shared" si="11"/>
        <v>Trd_bus_dsl-hyb_43</v>
      </c>
      <c r="L36" t="str">
        <f t="shared" si="3"/>
        <v>Trd_bus</v>
      </c>
      <c r="M36" s="380">
        <f t="shared" si="12"/>
        <v>306597.98392569</v>
      </c>
      <c r="N36" s="380">
        <f t="shared" si="13"/>
        <v>302231.604777014</v>
      </c>
      <c r="O36" s="380">
        <f t="shared" si="14"/>
        <v>302231.604777014</v>
      </c>
      <c r="P36" s="380">
        <f t="shared" si="15"/>
        <v>302231.604777014</v>
      </c>
      <c r="S36" t="s">
        <v>83</v>
      </c>
      <c r="T36" t="str">
        <f t="shared" si="16"/>
        <v>Trd_bus_dsl-hyb_43</v>
      </c>
      <c r="U36" t="str">
        <f ca="1" t="shared" si="17"/>
        <v>Hybrid diesel bus -- 43%</v>
      </c>
      <c r="V36" s="383" t="s">
        <v>84</v>
      </c>
      <c r="W36" s="383" t="s">
        <v>85</v>
      </c>
    </row>
    <row r="37" spans="2:23">
      <c r="B37" s="85">
        <v>0.447</v>
      </c>
      <c r="C37" s="86">
        <v>330411.842030686</v>
      </c>
      <c r="D37" s="86">
        <v>306846.788864293</v>
      </c>
      <c r="E37" s="86">
        <v>306732.466021033</v>
      </c>
      <c r="F37" s="86">
        <v>306732.466021033</v>
      </c>
      <c r="I37" s="379">
        <f t="shared" si="18"/>
        <v>1.447</v>
      </c>
      <c r="J37" t="str">
        <f t="shared" si="1"/>
        <v>Trd_bus_dsl-hyb</v>
      </c>
      <c r="K37" t="str">
        <f t="shared" si="11"/>
        <v>Trd_bus_dsl-hyb_45</v>
      </c>
      <c r="L37" t="str">
        <f t="shared" si="3"/>
        <v>Trd_bus</v>
      </c>
      <c r="M37" s="380">
        <f t="shared" si="12"/>
        <v>330411.842030686</v>
      </c>
      <c r="N37" s="380">
        <f t="shared" si="13"/>
        <v>306846.788864293</v>
      </c>
      <c r="O37" s="380">
        <f t="shared" si="14"/>
        <v>306732.466021033</v>
      </c>
      <c r="P37" s="380">
        <f t="shared" si="15"/>
        <v>306732.466021033</v>
      </c>
      <c r="S37" t="s">
        <v>83</v>
      </c>
      <c r="T37" t="str">
        <f t="shared" si="16"/>
        <v>Trd_bus_dsl-hyb_45</v>
      </c>
      <c r="U37" t="str">
        <f ca="1" t="shared" si="17"/>
        <v>Hybrid diesel bus -- 45%</v>
      </c>
      <c r="V37" s="383" t="s">
        <v>84</v>
      </c>
      <c r="W37" s="383" t="s">
        <v>85</v>
      </c>
    </row>
    <row r="38" spans="2:23">
      <c r="B38" s="85">
        <v>0.475</v>
      </c>
      <c r="C38" s="86">
        <v>368539.537336585</v>
      </c>
      <c r="D38" s="86">
        <v>315560.890261571</v>
      </c>
      <c r="E38" s="86">
        <v>310823.248796153</v>
      </c>
      <c r="F38" s="86">
        <v>310823.248796153</v>
      </c>
      <c r="I38" s="379">
        <f t="shared" si="18"/>
        <v>1.475</v>
      </c>
      <c r="J38" t="str">
        <f t="shared" si="1"/>
        <v>Trd_bus_dsl-hyb</v>
      </c>
      <c r="K38" t="str">
        <f t="shared" si="11"/>
        <v>Trd_bus_dsl-hyb_48</v>
      </c>
      <c r="L38" t="str">
        <f t="shared" si="3"/>
        <v>Trd_bus</v>
      </c>
      <c r="M38" s="380">
        <f t="shared" si="12"/>
        <v>368539.537336585</v>
      </c>
      <c r="N38" s="380">
        <f t="shared" si="13"/>
        <v>315560.890261571</v>
      </c>
      <c r="O38" s="380">
        <f t="shared" si="14"/>
        <v>310823.248796153</v>
      </c>
      <c r="P38" s="380">
        <f t="shared" si="15"/>
        <v>310823.248796153</v>
      </c>
      <c r="S38" t="s">
        <v>83</v>
      </c>
      <c r="T38" t="str">
        <f t="shared" si="16"/>
        <v>Trd_bus_dsl-hyb_48</v>
      </c>
      <c r="U38" t="str">
        <f ca="1" t="shared" si="17"/>
        <v>Hybrid diesel bus -- 48%</v>
      </c>
      <c r="V38" s="383" t="s">
        <v>84</v>
      </c>
      <c r="W38" s="383" t="s">
        <v>85</v>
      </c>
    </row>
    <row r="39" spans="10:23">
      <c r="J39" t="str">
        <f t="shared" si="1"/>
        <v>Trd_bus_dsl-hyb</v>
      </c>
      <c r="K39" t="str">
        <f t="shared" si="11"/>
        <v>\I:</v>
      </c>
      <c r="L39" t="str">
        <f t="shared" si="3"/>
        <v>\I:</v>
      </c>
      <c r="M39" s="380" t="str">
        <f t="shared" si="12"/>
        <v/>
      </c>
      <c r="N39" s="380" t="str">
        <f t="shared" si="13"/>
        <v/>
      </c>
      <c r="O39" s="380" t="str">
        <f t="shared" si="14"/>
        <v/>
      </c>
      <c r="P39" s="380" t="str">
        <f t="shared" si="15"/>
        <v/>
      </c>
      <c r="S39" t="s">
        <v>83</v>
      </c>
      <c r="T39" t="str">
        <f t="shared" si="16"/>
        <v>\I:</v>
      </c>
      <c r="U39" t="str">
        <f ca="1" t="shared" si="17"/>
        <v>Hybrid diesel bus -- 00%</v>
      </c>
      <c r="V39" s="383" t="s">
        <v>84</v>
      </c>
      <c r="W39" s="383" t="s">
        <v>85</v>
      </c>
    </row>
    <row r="40" spans="10:23">
      <c r="J40" t="str">
        <f t="shared" si="1"/>
        <v>Trd_bus_dsl-hyb</v>
      </c>
      <c r="K40" t="str">
        <f t="shared" si="11"/>
        <v>\I:</v>
      </c>
      <c r="L40" t="str">
        <f t="shared" si="3"/>
        <v>\I:</v>
      </c>
      <c r="M40" s="380" t="str">
        <f t="shared" si="12"/>
        <v/>
      </c>
      <c r="N40" s="380" t="str">
        <f t="shared" si="13"/>
        <v/>
      </c>
      <c r="O40" s="380" t="str">
        <f t="shared" si="14"/>
        <v/>
      </c>
      <c r="P40" s="380" t="str">
        <f t="shared" si="15"/>
        <v/>
      </c>
      <c r="S40" t="s">
        <v>83</v>
      </c>
      <c r="T40" t="str">
        <f t="shared" si="16"/>
        <v>\I:</v>
      </c>
      <c r="U40" t="str">
        <f ca="1" t="shared" si="17"/>
        <v>Hybrid diesel bus -- 00%</v>
      </c>
      <c r="V40" s="383" t="s">
        <v>84</v>
      </c>
      <c r="W40" s="383" t="s">
        <v>85</v>
      </c>
    </row>
    <row r="41" spans="10:23">
      <c r="J41" t="str">
        <f t="shared" si="1"/>
        <v>Trd_bus_dsl-hyb</v>
      </c>
      <c r="K41" t="str">
        <f t="shared" si="11"/>
        <v>\I:</v>
      </c>
      <c r="L41" t="str">
        <f t="shared" si="3"/>
        <v>\I:</v>
      </c>
      <c r="M41" s="380" t="str">
        <f t="shared" si="12"/>
        <v/>
      </c>
      <c r="N41" s="380" t="str">
        <f t="shared" si="13"/>
        <v/>
      </c>
      <c r="O41" s="380" t="str">
        <f t="shared" si="14"/>
        <v/>
      </c>
      <c r="P41" s="380" t="str">
        <f t="shared" si="15"/>
        <v/>
      </c>
      <c r="S41" t="s">
        <v>83</v>
      </c>
      <c r="T41" t="str">
        <f t="shared" si="16"/>
        <v>\I:</v>
      </c>
      <c r="U41" t="str">
        <f ca="1" t="shared" si="17"/>
        <v>Hybrid diesel bus -- 00%</v>
      </c>
      <c r="V41" s="383" t="s">
        <v>84</v>
      </c>
      <c r="W41" s="383" t="s">
        <v>85</v>
      </c>
    </row>
    <row r="42" spans="10:23">
      <c r="J42" t="str">
        <f t="shared" si="1"/>
        <v>Trd_bus_dsl-hyb</v>
      </c>
      <c r="K42" t="str">
        <f t="shared" si="11"/>
        <v>\I:</v>
      </c>
      <c r="L42" t="str">
        <f t="shared" si="3"/>
        <v>\I:</v>
      </c>
      <c r="M42" s="380" t="str">
        <f t="shared" si="12"/>
        <v/>
      </c>
      <c r="N42" s="380" t="str">
        <f t="shared" si="13"/>
        <v/>
      </c>
      <c r="O42" s="380" t="str">
        <f t="shared" si="14"/>
        <v/>
      </c>
      <c r="P42" s="380" t="str">
        <f t="shared" si="15"/>
        <v/>
      </c>
      <c r="S42" t="s">
        <v>83</v>
      </c>
      <c r="T42" t="str">
        <f t="shared" si="16"/>
        <v>\I:</v>
      </c>
      <c r="U42" t="str">
        <f ca="1" t="shared" si="17"/>
        <v>Hybrid diesel bus -- 00%</v>
      </c>
      <c r="V42" s="383" t="s">
        <v>84</v>
      </c>
      <c r="W42" s="383" t="s">
        <v>85</v>
      </c>
    </row>
    <row r="43" spans="2:23">
      <c r="B43" s="43" t="s">
        <v>159</v>
      </c>
      <c r="J43" t="str">
        <f t="shared" si="1"/>
        <v>Trd_bus_dsl-hyb</v>
      </c>
      <c r="K43" t="str">
        <f t="shared" si="11"/>
        <v>\I:</v>
      </c>
      <c r="L43" t="str">
        <f t="shared" si="3"/>
        <v>\I:</v>
      </c>
      <c r="M43" s="380" t="str">
        <f t="shared" si="12"/>
        <v/>
      </c>
      <c r="N43" s="380" t="str">
        <f t="shared" si="13"/>
        <v/>
      </c>
      <c r="O43" s="380" t="str">
        <f t="shared" si="14"/>
        <v/>
      </c>
      <c r="P43" s="380" t="str">
        <f t="shared" si="15"/>
        <v/>
      </c>
      <c r="S43" t="s">
        <v>83</v>
      </c>
      <c r="T43" t="str">
        <f t="shared" si="16"/>
        <v>\I:</v>
      </c>
      <c r="U43" t="str">
        <f ca="1" t="shared" si="17"/>
        <v>Hybrid diesel bus -- Reference values for CNG bus</v>
      </c>
      <c r="V43" s="383" t="s">
        <v>84</v>
      </c>
      <c r="W43" s="383" t="s">
        <v>85</v>
      </c>
    </row>
    <row r="44" spans="2:23">
      <c r="B44" s="372">
        <v>2015</v>
      </c>
      <c r="C44" s="372"/>
      <c r="D44" s="372"/>
      <c r="J44" t="str">
        <f t="shared" si="1"/>
        <v>Trd_bus_dsl-hyb</v>
      </c>
      <c r="K44" t="str">
        <f t="shared" si="11"/>
        <v>\I:</v>
      </c>
      <c r="L44" t="str">
        <f t="shared" si="3"/>
        <v>\I:</v>
      </c>
      <c r="M44" s="380" t="str">
        <f t="shared" si="12"/>
        <v/>
      </c>
      <c r="N44" s="380" t="str">
        <f t="shared" si="13"/>
        <v/>
      </c>
      <c r="O44" s="380" t="str">
        <f t="shared" si="14"/>
        <v/>
      </c>
      <c r="P44" s="380" t="str">
        <f t="shared" si="15"/>
        <v/>
      </c>
      <c r="S44" t="s">
        <v>83</v>
      </c>
      <c r="T44" t="str">
        <f t="shared" si="16"/>
        <v>\I:</v>
      </c>
      <c r="U44" t="str">
        <f ca="1" t="shared" si="17"/>
        <v>Hybrid diesel bus -- 201500%</v>
      </c>
      <c r="V44" s="383" t="s">
        <v>84</v>
      </c>
      <c r="W44" s="383" t="s">
        <v>85</v>
      </c>
    </row>
    <row r="45" spans="2:23">
      <c r="B45" s="45" t="s">
        <v>12</v>
      </c>
      <c r="C45" s="46" t="s">
        <v>88</v>
      </c>
      <c r="D45" s="47">
        <v>30.3656435458631</v>
      </c>
      <c r="G45" s="373">
        <f>D45*$I$5/100*10^9/10^6</f>
        <v>16.3347342179606</v>
      </c>
      <c r="H45" s="373"/>
      <c r="I45" s="381">
        <f>1/G45</f>
        <v>0.0612192391168794</v>
      </c>
      <c r="J45" t="str">
        <f t="shared" si="1"/>
        <v>Trd_bus_dsl-hyb</v>
      </c>
      <c r="K45" t="str">
        <f t="shared" si="11"/>
        <v>\I:</v>
      </c>
      <c r="L45" t="str">
        <f t="shared" si="3"/>
        <v>\I:</v>
      </c>
      <c r="M45" s="380" t="str">
        <f t="shared" si="12"/>
        <v/>
      </c>
      <c r="N45" s="380" t="str">
        <f t="shared" si="13"/>
        <v/>
      </c>
      <c r="O45" s="380" t="str">
        <f t="shared" si="14"/>
        <v/>
      </c>
      <c r="P45" s="380" t="str">
        <f t="shared" si="15"/>
        <v/>
      </c>
      <c r="S45" t="s">
        <v>83</v>
      </c>
      <c r="T45" t="str">
        <f t="shared" si="16"/>
        <v>\I:</v>
      </c>
      <c r="U45" t="str">
        <f ca="1" t="shared" si="17"/>
        <v>Hybrid diesel bus -- Energy consumption</v>
      </c>
      <c r="V45" s="383" t="s">
        <v>84</v>
      </c>
      <c r="W45" s="383" t="s">
        <v>85</v>
      </c>
    </row>
    <row r="46" spans="2:23">
      <c r="B46" s="45" t="s">
        <v>14</v>
      </c>
      <c r="C46" s="46" t="s">
        <v>15</v>
      </c>
      <c r="D46" s="68">
        <v>300008.80878602</v>
      </c>
      <c r="I46" s="43" t="s">
        <v>70</v>
      </c>
      <c r="J46" t="str">
        <f t="shared" si="1"/>
        <v>Trd_bus_dsl-hyb</v>
      </c>
      <c r="K46" t="str">
        <f t="shared" si="11"/>
        <v>\I:</v>
      </c>
      <c r="L46" t="str">
        <f t="shared" si="3"/>
        <v>\I:</v>
      </c>
      <c r="M46" s="380" t="str">
        <f t="shared" si="12"/>
        <v/>
      </c>
      <c r="N46" s="380" t="str">
        <f t="shared" si="13"/>
        <v/>
      </c>
      <c r="O46" s="380" t="str">
        <f t="shared" si="14"/>
        <v/>
      </c>
      <c r="P46" s="380" t="str">
        <f t="shared" si="15"/>
        <v/>
      </c>
      <c r="S46" t="s">
        <v>83</v>
      </c>
      <c r="T46" t="str">
        <f t="shared" si="16"/>
        <v>\I:</v>
      </c>
      <c r="U46" t="str">
        <f ca="1" t="shared" si="17"/>
        <v>Hybrid diesel bus -- Capital cost</v>
      </c>
      <c r="V46" s="383" t="s">
        <v>84</v>
      </c>
      <c r="W46" s="383" t="s">
        <v>85</v>
      </c>
    </row>
    <row r="47" spans="10:23">
      <c r="J47" t="str">
        <f t="shared" si="1"/>
        <v>Trd_bus_dsl-hyb</v>
      </c>
      <c r="K47" t="str">
        <f t="shared" si="11"/>
        <v>\I:</v>
      </c>
      <c r="L47" t="str">
        <f t="shared" si="3"/>
        <v>\I:</v>
      </c>
      <c r="M47" s="380" t="str">
        <f t="shared" si="12"/>
        <v/>
      </c>
      <c r="N47" s="380" t="str">
        <f t="shared" si="13"/>
        <v/>
      </c>
      <c r="O47" s="380" t="str">
        <f t="shared" si="14"/>
        <v/>
      </c>
      <c r="P47" s="380" t="str">
        <f t="shared" si="15"/>
        <v/>
      </c>
      <c r="S47" t="s">
        <v>83</v>
      </c>
      <c r="T47" t="str">
        <f t="shared" si="16"/>
        <v>\I:</v>
      </c>
      <c r="U47" t="str">
        <f ca="1" t="shared" si="17"/>
        <v>Hybrid diesel bus -- 00%</v>
      </c>
      <c r="V47" s="383" t="s">
        <v>84</v>
      </c>
      <c r="W47" s="383" t="s">
        <v>85</v>
      </c>
    </row>
    <row r="48" ht="15" customHeight="1" spans="2:23">
      <c r="B48" s="374" t="s">
        <v>89</v>
      </c>
      <c r="C48" s="374" t="s">
        <v>151</v>
      </c>
      <c r="D48" s="374"/>
      <c r="E48" s="374"/>
      <c r="F48" s="374"/>
      <c r="J48" t="str">
        <f t="shared" si="1"/>
        <v>Trd_bus_cng</v>
      </c>
      <c r="K48" t="str">
        <f t="shared" si="11"/>
        <v>\I:</v>
      </c>
      <c r="L48" t="str">
        <f t="shared" si="3"/>
        <v>\I:</v>
      </c>
      <c r="M48" s="380" t="str">
        <f t="shared" si="12"/>
        <v/>
      </c>
      <c r="N48" s="380" t="str">
        <f t="shared" si="13"/>
        <v/>
      </c>
      <c r="O48" s="380" t="str">
        <f t="shared" si="14"/>
        <v/>
      </c>
      <c r="P48" s="380" t="str">
        <f t="shared" si="15"/>
        <v/>
      </c>
      <c r="S48" t="s">
        <v>83</v>
      </c>
      <c r="T48" t="str">
        <f t="shared" si="16"/>
        <v>\I:</v>
      </c>
      <c r="U48" t="str">
        <f ca="1" t="shared" si="17"/>
        <v>CNG bus -- Reduction of specific energy consumption relative to 2015 CNG vehicle (%)</v>
      </c>
      <c r="V48" s="383" t="s">
        <v>84</v>
      </c>
      <c r="W48" s="383" t="s">
        <v>85</v>
      </c>
    </row>
    <row r="49" spans="2:23">
      <c r="B49" s="374"/>
      <c r="C49" s="374"/>
      <c r="D49" s="374"/>
      <c r="E49" s="374"/>
      <c r="F49" s="374"/>
      <c r="J49" t="str">
        <f t="shared" si="1"/>
        <v>Trd_bus_cng</v>
      </c>
      <c r="K49" t="str">
        <f t="shared" si="11"/>
        <v>\I:</v>
      </c>
      <c r="L49" t="str">
        <f t="shared" si="3"/>
        <v>\I:</v>
      </c>
      <c r="M49" s="380" t="str">
        <f t="shared" si="12"/>
        <v/>
      </c>
      <c r="N49" s="380" t="str">
        <f t="shared" si="13"/>
        <v/>
      </c>
      <c r="O49" s="380" t="str">
        <f t="shared" si="14"/>
        <v/>
      </c>
      <c r="P49" s="380" t="str">
        <f t="shared" si="15"/>
        <v/>
      </c>
      <c r="S49" t="s">
        <v>83</v>
      </c>
      <c r="T49" t="str">
        <f t="shared" si="16"/>
        <v>\I:</v>
      </c>
      <c r="U49" t="str">
        <f ca="1" t="shared" si="17"/>
        <v>CNG bus -- 00%</v>
      </c>
      <c r="V49" s="383" t="s">
        <v>84</v>
      </c>
      <c r="W49" s="383" t="s">
        <v>85</v>
      </c>
    </row>
    <row r="50" spans="2:23">
      <c r="B50" s="374"/>
      <c r="C50" s="374"/>
      <c r="D50" s="374"/>
      <c r="E50" s="374"/>
      <c r="F50" s="374"/>
      <c r="J50" t="str">
        <f t="shared" si="1"/>
        <v>Trd_bus_cng</v>
      </c>
      <c r="K50" t="str">
        <f t="shared" si="11"/>
        <v>\I:</v>
      </c>
      <c r="L50" t="str">
        <f t="shared" si="3"/>
        <v>\I:</v>
      </c>
      <c r="M50" s="380" t="str">
        <f t="shared" si="12"/>
        <v/>
      </c>
      <c r="N50" s="380" t="str">
        <f t="shared" si="13"/>
        <v/>
      </c>
      <c r="O50" s="380" t="str">
        <f t="shared" si="14"/>
        <v/>
      </c>
      <c r="P50" s="380" t="str">
        <f t="shared" si="15"/>
        <v/>
      </c>
      <c r="S50" t="s">
        <v>83</v>
      </c>
      <c r="T50" t="str">
        <f t="shared" si="16"/>
        <v>\I:</v>
      </c>
      <c r="U50" t="str">
        <f ca="1" t="shared" si="17"/>
        <v>CNG bus -- 00%</v>
      </c>
      <c r="V50" s="383" t="s">
        <v>84</v>
      </c>
      <c r="W50" s="383" t="s">
        <v>85</v>
      </c>
    </row>
    <row r="51" spans="2:23">
      <c r="B51" s="49"/>
      <c r="C51" s="50">
        <v>2020</v>
      </c>
      <c r="D51" s="50">
        <v>2030</v>
      </c>
      <c r="E51" s="50">
        <v>2040</v>
      </c>
      <c r="F51" s="50">
        <v>2050</v>
      </c>
      <c r="J51" t="str">
        <f t="shared" si="1"/>
        <v>Trd_bus_cng</v>
      </c>
      <c r="K51" t="str">
        <f t="shared" si="11"/>
        <v>\I:</v>
      </c>
      <c r="L51" t="str">
        <f t="shared" si="3"/>
        <v>\I:</v>
      </c>
      <c r="M51" s="380" t="str">
        <f t="shared" si="12"/>
        <v/>
      </c>
      <c r="N51" s="380" t="str">
        <f t="shared" si="13"/>
        <v/>
      </c>
      <c r="O51" s="380" t="str">
        <f t="shared" si="14"/>
        <v/>
      </c>
      <c r="P51" s="380" t="str">
        <f t="shared" si="15"/>
        <v/>
      </c>
      <c r="S51" t="s">
        <v>83</v>
      </c>
      <c r="T51" t="str">
        <f t="shared" si="16"/>
        <v>\I:</v>
      </c>
      <c r="U51" t="str">
        <f ca="1" t="shared" si="17"/>
        <v>CNG bus -- 00%</v>
      </c>
      <c r="V51" s="383" t="s">
        <v>84</v>
      </c>
      <c r="W51" s="383" t="s">
        <v>85</v>
      </c>
    </row>
    <row r="52" spans="2:23">
      <c r="B52" s="85">
        <v>0.0409380868944008</v>
      </c>
      <c r="C52" s="86">
        <v>301227.803779743</v>
      </c>
      <c r="D52" s="86">
        <v>301227.803779743</v>
      </c>
      <c r="E52" s="86">
        <v>301227.803779743</v>
      </c>
      <c r="F52" s="86">
        <v>301227.803779743</v>
      </c>
      <c r="I52" s="379">
        <f>(1+B52)*$I$45/$I$7</f>
        <v>0.884250730013717</v>
      </c>
      <c r="J52" t="str">
        <f t="shared" si="1"/>
        <v>Trd_bus_cng</v>
      </c>
      <c r="K52" t="str">
        <f t="shared" si="11"/>
        <v>Trd_bus_cng_04</v>
      </c>
      <c r="L52" t="str">
        <f t="shared" si="3"/>
        <v>Trd_bus</v>
      </c>
      <c r="M52" s="380">
        <f t="shared" si="12"/>
        <v>301227.803779743</v>
      </c>
      <c r="N52" s="380">
        <f t="shared" si="13"/>
        <v>301227.803779743</v>
      </c>
      <c r="O52" s="380">
        <f t="shared" si="14"/>
        <v>301227.803779743</v>
      </c>
      <c r="P52" s="380">
        <f t="shared" si="15"/>
        <v>301227.803779743</v>
      </c>
      <c r="S52" t="s">
        <v>83</v>
      </c>
      <c r="T52" t="str">
        <f t="shared" si="16"/>
        <v>Trd_bus_cng_04</v>
      </c>
      <c r="U52" t="str">
        <f ca="1" t="shared" si="17"/>
        <v>CNG bus -- 04%</v>
      </c>
      <c r="V52" s="383" t="s">
        <v>84</v>
      </c>
      <c r="W52" s="383" t="s">
        <v>85</v>
      </c>
    </row>
    <row r="53" spans="2:23">
      <c r="B53" s="85">
        <v>0.0609380868944008</v>
      </c>
      <c r="C53" s="86">
        <v>302592.163761478</v>
      </c>
      <c r="D53" s="86">
        <v>302114.871418302</v>
      </c>
      <c r="E53" s="86">
        <v>302114.871418302</v>
      </c>
      <c r="F53" s="86">
        <v>302114.871418302</v>
      </c>
      <c r="I53" s="379">
        <f t="shared" ref="I53:I58" si="19">(1+B53)*$I$45/$I$7</f>
        <v>0.901240227105746</v>
      </c>
      <c r="J53" t="str">
        <f t="shared" si="1"/>
        <v>Trd_bus_cng</v>
      </c>
      <c r="K53" t="str">
        <f t="shared" si="11"/>
        <v>Trd_bus_cng_06</v>
      </c>
      <c r="L53" t="str">
        <f t="shared" si="3"/>
        <v>Trd_bus</v>
      </c>
      <c r="M53" s="380">
        <f t="shared" si="12"/>
        <v>302592.163761478</v>
      </c>
      <c r="N53" s="380">
        <f t="shared" si="13"/>
        <v>302114.871418302</v>
      </c>
      <c r="O53" s="380">
        <f t="shared" si="14"/>
        <v>302114.871418302</v>
      </c>
      <c r="P53" s="380">
        <f t="shared" si="15"/>
        <v>302114.871418302</v>
      </c>
      <c r="S53" t="s">
        <v>83</v>
      </c>
      <c r="T53" t="str">
        <f t="shared" si="16"/>
        <v>Trd_bus_cng_06</v>
      </c>
      <c r="U53" t="str">
        <f ca="1" t="shared" si="17"/>
        <v>CNG bus -- 06%</v>
      </c>
      <c r="V53" s="383" t="s">
        <v>84</v>
      </c>
      <c r="W53" s="383" t="s">
        <v>85</v>
      </c>
    </row>
    <row r="54" spans="2:23">
      <c r="B54" s="85">
        <v>0.0809380868944008</v>
      </c>
      <c r="C54" s="86">
        <v>304532.486446996</v>
      </c>
      <c r="D54" s="86">
        <v>304228.377942422</v>
      </c>
      <c r="E54" s="86">
        <v>304228.377942422</v>
      </c>
      <c r="F54" s="86">
        <v>304228.377942422</v>
      </c>
      <c r="I54" s="379">
        <f t="shared" si="19"/>
        <v>0.918229724197775</v>
      </c>
      <c r="J54" t="str">
        <f t="shared" si="1"/>
        <v>Trd_bus_cng</v>
      </c>
      <c r="K54" t="str">
        <f t="shared" si="11"/>
        <v>Trd_bus_cng_08</v>
      </c>
      <c r="L54" t="str">
        <f t="shared" si="3"/>
        <v>Trd_bus</v>
      </c>
      <c r="M54" s="380">
        <f t="shared" si="12"/>
        <v>304532.486446996</v>
      </c>
      <c r="N54" s="380">
        <f t="shared" si="13"/>
        <v>304228.377942422</v>
      </c>
      <c r="O54" s="380">
        <f t="shared" si="14"/>
        <v>304228.377942422</v>
      </c>
      <c r="P54" s="380">
        <f t="shared" si="15"/>
        <v>304228.377942422</v>
      </c>
      <c r="S54" t="s">
        <v>83</v>
      </c>
      <c r="T54" t="str">
        <f t="shared" si="16"/>
        <v>Trd_bus_cng_08</v>
      </c>
      <c r="U54" t="str">
        <f ca="1" t="shared" si="17"/>
        <v>CNG bus -- 08%</v>
      </c>
      <c r="V54" s="383" t="s">
        <v>84</v>
      </c>
      <c r="W54" s="383" t="s">
        <v>85</v>
      </c>
    </row>
    <row r="55" spans="2:23">
      <c r="B55" s="85">
        <v>0.110938086894401</v>
      </c>
      <c r="C55" s="86">
        <v>306292.437515412</v>
      </c>
      <c r="D55" s="86">
        <v>306028.72244003</v>
      </c>
      <c r="E55" s="86">
        <v>306028.72244003</v>
      </c>
      <c r="F55" s="86">
        <v>306028.72244003</v>
      </c>
      <c r="I55" s="379">
        <f t="shared" si="19"/>
        <v>0.943713969835818</v>
      </c>
      <c r="J55" t="str">
        <f t="shared" si="1"/>
        <v>Trd_bus_cng</v>
      </c>
      <c r="K55" t="str">
        <f t="shared" si="11"/>
        <v>Trd_bus_cng_11</v>
      </c>
      <c r="L55" t="str">
        <f t="shared" si="3"/>
        <v>Trd_bus</v>
      </c>
      <c r="M55" s="380">
        <f t="shared" si="12"/>
        <v>306292.437515412</v>
      </c>
      <c r="N55" s="380">
        <f t="shared" si="13"/>
        <v>306028.72244003</v>
      </c>
      <c r="O55" s="380">
        <f t="shared" si="14"/>
        <v>306028.72244003</v>
      </c>
      <c r="P55" s="380">
        <f t="shared" si="15"/>
        <v>306028.72244003</v>
      </c>
      <c r="S55" t="s">
        <v>83</v>
      </c>
      <c r="T55" t="str">
        <f t="shared" si="16"/>
        <v>Trd_bus_cng_11</v>
      </c>
      <c r="U55" t="str">
        <f ca="1" t="shared" si="17"/>
        <v>CNG bus -- 11%</v>
      </c>
      <c r="V55" s="383" t="s">
        <v>84</v>
      </c>
      <c r="W55" s="383" t="s">
        <v>85</v>
      </c>
    </row>
    <row r="56" spans="2:23">
      <c r="B56" s="85">
        <v>0.140938086894401</v>
      </c>
      <c r="C56" s="86">
        <v>308988.864229186</v>
      </c>
      <c r="D56" s="86">
        <v>308729.239186441</v>
      </c>
      <c r="E56" s="86">
        <v>308729.239186441</v>
      </c>
      <c r="F56" s="86">
        <v>308729.239186441</v>
      </c>
      <c r="I56" s="379">
        <f t="shared" si="19"/>
        <v>0.969198215473861</v>
      </c>
      <c r="J56" t="str">
        <f t="shared" si="1"/>
        <v>Trd_bus_cng</v>
      </c>
      <c r="K56" t="str">
        <f t="shared" si="11"/>
        <v>Trd_bus_cng_14</v>
      </c>
      <c r="L56" t="str">
        <f t="shared" si="3"/>
        <v>Trd_bus</v>
      </c>
      <c r="M56" s="380">
        <f t="shared" si="12"/>
        <v>308988.864229186</v>
      </c>
      <c r="N56" s="380">
        <f t="shared" si="13"/>
        <v>308729.239186441</v>
      </c>
      <c r="O56" s="380">
        <f t="shared" si="14"/>
        <v>308729.239186441</v>
      </c>
      <c r="P56" s="380">
        <f t="shared" si="15"/>
        <v>308729.239186441</v>
      </c>
      <c r="S56" t="s">
        <v>83</v>
      </c>
      <c r="T56" t="str">
        <f t="shared" si="16"/>
        <v>Trd_bus_cng_14</v>
      </c>
      <c r="U56" t="str">
        <f ca="1" t="shared" si="17"/>
        <v>CNG bus -- 14%</v>
      </c>
      <c r="V56" s="383" t="s">
        <v>84</v>
      </c>
      <c r="W56" s="383" t="s">
        <v>85</v>
      </c>
    </row>
    <row r="57" spans="2:23">
      <c r="B57" s="85">
        <v>0.170938086894401</v>
      </c>
      <c r="C57" s="86">
        <v>337099.135907297</v>
      </c>
      <c r="D57" s="86">
        <v>313345.338940144</v>
      </c>
      <c r="E57" s="86">
        <v>313230.10043046</v>
      </c>
      <c r="F57" s="86">
        <v>313230.10043046</v>
      </c>
      <c r="I57" s="379">
        <f t="shared" si="19"/>
        <v>0.994682461111904</v>
      </c>
      <c r="J57" t="str">
        <f t="shared" si="1"/>
        <v>Trd_bus_cng</v>
      </c>
      <c r="K57" t="str">
        <f t="shared" si="11"/>
        <v>Trd_bus_cng_17</v>
      </c>
      <c r="L57" t="str">
        <f t="shared" si="3"/>
        <v>Trd_bus</v>
      </c>
      <c r="M57" s="380">
        <f t="shared" si="12"/>
        <v>337099.135907297</v>
      </c>
      <c r="N57" s="380">
        <f t="shared" si="13"/>
        <v>313345.338940144</v>
      </c>
      <c r="O57" s="380">
        <f t="shared" si="14"/>
        <v>313230.10043046</v>
      </c>
      <c r="P57" s="380">
        <f t="shared" si="15"/>
        <v>313230.10043046</v>
      </c>
      <c r="S57" t="s">
        <v>83</v>
      </c>
      <c r="T57" t="str">
        <f t="shared" si="16"/>
        <v>Trd_bus_cng_17</v>
      </c>
      <c r="U57" t="str">
        <f ca="1" t="shared" si="17"/>
        <v>CNG bus -- 17%</v>
      </c>
      <c r="V57" s="383" t="s">
        <v>84</v>
      </c>
      <c r="W57" s="383" t="s">
        <v>85</v>
      </c>
    </row>
    <row r="58" spans="2:23">
      <c r="B58" s="85">
        <v>0.210938086894401</v>
      </c>
      <c r="C58" s="86">
        <v>398410.154996184</v>
      </c>
      <c r="D58" s="86">
        <v>323977.095968925</v>
      </c>
      <c r="E58" s="86">
        <v>317320.88320558</v>
      </c>
      <c r="F58" s="86">
        <v>317320.88320558</v>
      </c>
      <c r="I58" s="379">
        <f t="shared" si="19"/>
        <v>1.02866145529596</v>
      </c>
      <c r="J58" t="str">
        <f t="shared" si="1"/>
        <v>Trd_bus_cng</v>
      </c>
      <c r="K58" t="str">
        <f t="shared" si="11"/>
        <v>Trd_bus_cng_21</v>
      </c>
      <c r="L58" t="str">
        <f t="shared" si="3"/>
        <v>Trd_bus</v>
      </c>
      <c r="M58" s="380">
        <f t="shared" si="12"/>
        <v>398410.154996184</v>
      </c>
      <c r="N58" s="380">
        <f t="shared" si="13"/>
        <v>323977.095968925</v>
      </c>
      <c r="O58" s="380">
        <f t="shared" si="14"/>
        <v>317320.88320558</v>
      </c>
      <c r="P58" s="380">
        <f t="shared" si="15"/>
        <v>317320.88320558</v>
      </c>
      <c r="S58" t="s">
        <v>83</v>
      </c>
      <c r="T58" t="str">
        <f t="shared" si="16"/>
        <v>Trd_bus_cng_21</v>
      </c>
      <c r="U58" t="str">
        <f ca="1" t="shared" si="17"/>
        <v>CNG bus -- 21%</v>
      </c>
      <c r="V58" s="383" t="s">
        <v>84</v>
      </c>
      <c r="W58" s="383" t="s">
        <v>85</v>
      </c>
    </row>
    <row r="59" spans="10:23">
      <c r="J59" t="str">
        <f t="shared" si="1"/>
        <v>Trd_bus_cng</v>
      </c>
      <c r="K59" t="str">
        <f t="shared" si="11"/>
        <v>\I:</v>
      </c>
      <c r="L59" t="str">
        <f t="shared" si="3"/>
        <v>\I:</v>
      </c>
      <c r="M59" s="380" t="str">
        <f t="shared" si="12"/>
        <v/>
      </c>
      <c r="N59" s="380" t="str">
        <f t="shared" si="13"/>
        <v/>
      </c>
      <c r="O59" s="380" t="str">
        <f t="shared" si="14"/>
        <v/>
      </c>
      <c r="P59" s="380" t="str">
        <f t="shared" si="15"/>
        <v/>
      </c>
      <c r="S59" t="s">
        <v>83</v>
      </c>
      <c r="T59" t="str">
        <f t="shared" si="16"/>
        <v>\I:</v>
      </c>
      <c r="U59" t="str">
        <f ca="1" t="shared" si="17"/>
        <v>CNG bus -- 00%</v>
      </c>
      <c r="V59" s="383" t="s">
        <v>84</v>
      </c>
      <c r="W59" s="383" t="s">
        <v>85</v>
      </c>
    </row>
    <row r="60" spans="10:23">
      <c r="J60" t="str">
        <f t="shared" si="1"/>
        <v>Trd_bus_cng</v>
      </c>
      <c r="K60" t="str">
        <f t="shared" si="11"/>
        <v>\I:</v>
      </c>
      <c r="L60" t="str">
        <f t="shared" si="3"/>
        <v>\I:</v>
      </c>
      <c r="M60" s="380" t="str">
        <f t="shared" si="12"/>
        <v/>
      </c>
      <c r="N60" s="380" t="str">
        <f t="shared" si="13"/>
        <v/>
      </c>
      <c r="O60" s="380" t="str">
        <f t="shared" si="14"/>
        <v/>
      </c>
      <c r="P60" s="380" t="str">
        <f t="shared" si="15"/>
        <v/>
      </c>
      <c r="S60" t="s">
        <v>83</v>
      </c>
      <c r="T60" t="str">
        <f t="shared" si="16"/>
        <v>\I:</v>
      </c>
      <c r="U60" t="str">
        <f ca="1" t="shared" si="17"/>
        <v>CNG bus -- 00%</v>
      </c>
      <c r="V60" s="383" t="s">
        <v>84</v>
      </c>
      <c r="W60" s="383" t="s">
        <v>85</v>
      </c>
    </row>
    <row r="61" spans="10:23">
      <c r="J61" t="str">
        <f t="shared" si="1"/>
        <v>Trd_bus_cng</v>
      </c>
      <c r="K61" t="str">
        <f t="shared" si="11"/>
        <v>\I:</v>
      </c>
      <c r="L61" t="str">
        <f t="shared" si="3"/>
        <v>\I:</v>
      </c>
      <c r="M61" s="380" t="str">
        <f t="shared" si="12"/>
        <v/>
      </c>
      <c r="N61" s="380" t="str">
        <f t="shared" si="13"/>
        <v/>
      </c>
      <c r="O61" s="380" t="str">
        <f t="shared" si="14"/>
        <v/>
      </c>
      <c r="P61" s="380" t="str">
        <f t="shared" si="15"/>
        <v/>
      </c>
      <c r="S61" t="s">
        <v>83</v>
      </c>
      <c r="T61" t="str">
        <f t="shared" si="16"/>
        <v>\I:</v>
      </c>
      <c r="U61" t="str">
        <f ca="1" t="shared" si="17"/>
        <v>CNG bus -- 00%</v>
      </c>
      <c r="V61" s="383" t="s">
        <v>84</v>
      </c>
      <c r="W61" s="383" t="s">
        <v>85</v>
      </c>
    </row>
    <row r="62" spans="10:23">
      <c r="J62" t="str">
        <f t="shared" si="1"/>
        <v>Trd_bus_cng</v>
      </c>
      <c r="K62" t="str">
        <f t="shared" si="11"/>
        <v>\I:</v>
      </c>
      <c r="L62" t="str">
        <f t="shared" si="3"/>
        <v>\I:</v>
      </c>
      <c r="M62" s="380" t="str">
        <f t="shared" si="12"/>
        <v/>
      </c>
      <c r="N62" s="380" t="str">
        <f t="shared" si="13"/>
        <v/>
      </c>
      <c r="O62" s="380" t="str">
        <f t="shared" si="14"/>
        <v/>
      </c>
      <c r="P62" s="380" t="str">
        <f t="shared" si="15"/>
        <v/>
      </c>
      <c r="S62" t="s">
        <v>83</v>
      </c>
      <c r="T62" t="str">
        <f t="shared" si="16"/>
        <v>\I:</v>
      </c>
      <c r="U62" t="str">
        <f ca="1" t="shared" si="17"/>
        <v>CNG bus -- 00%</v>
      </c>
      <c r="V62" s="383" t="s">
        <v>84</v>
      </c>
      <c r="W62" s="383" t="s">
        <v>85</v>
      </c>
    </row>
    <row r="63" spans="2:23">
      <c r="B63" s="43" t="s">
        <v>160</v>
      </c>
      <c r="J63" t="str">
        <f t="shared" si="1"/>
        <v>Trd_bus_cng</v>
      </c>
      <c r="K63" t="str">
        <f t="shared" si="11"/>
        <v>\I:</v>
      </c>
      <c r="L63" t="str">
        <f t="shared" si="3"/>
        <v>\I:</v>
      </c>
      <c r="M63" s="380" t="str">
        <f t="shared" si="12"/>
        <v/>
      </c>
      <c r="N63" s="380" t="str">
        <f t="shared" si="13"/>
        <v/>
      </c>
      <c r="O63" s="380" t="str">
        <f t="shared" si="14"/>
        <v/>
      </c>
      <c r="P63" s="380" t="str">
        <f t="shared" si="15"/>
        <v/>
      </c>
      <c r="S63" t="s">
        <v>83</v>
      </c>
      <c r="T63" t="str">
        <f t="shared" si="16"/>
        <v>\I:</v>
      </c>
      <c r="U63" t="str">
        <f ca="1" t="shared" si="17"/>
        <v>CNG bus -- Reference values for LPG bus</v>
      </c>
      <c r="V63" s="383" t="s">
        <v>84</v>
      </c>
      <c r="W63" s="383" t="s">
        <v>85</v>
      </c>
    </row>
    <row r="64" spans="2:23">
      <c r="B64" s="372">
        <v>2015</v>
      </c>
      <c r="C64" s="372"/>
      <c r="D64" s="372"/>
      <c r="J64" t="str">
        <f t="shared" si="1"/>
        <v>Trd_bus_cng</v>
      </c>
      <c r="K64" t="str">
        <f t="shared" si="11"/>
        <v>\I:</v>
      </c>
      <c r="L64" t="str">
        <f t="shared" si="3"/>
        <v>\I:</v>
      </c>
      <c r="M64" s="380" t="str">
        <f t="shared" si="12"/>
        <v/>
      </c>
      <c r="N64" s="380" t="str">
        <f t="shared" si="13"/>
        <v/>
      </c>
      <c r="O64" s="380" t="str">
        <f t="shared" si="14"/>
        <v/>
      </c>
      <c r="P64" s="380" t="str">
        <f t="shared" si="15"/>
        <v/>
      </c>
      <c r="S64" t="s">
        <v>83</v>
      </c>
      <c r="T64" t="str">
        <f t="shared" si="16"/>
        <v>\I:</v>
      </c>
      <c r="U64" t="str">
        <f ca="1" t="shared" si="17"/>
        <v>CNG bus -- 201500%</v>
      </c>
      <c r="V64" s="383" t="s">
        <v>84</v>
      </c>
      <c r="W64" s="383" t="s">
        <v>85</v>
      </c>
    </row>
    <row r="65" spans="2:23">
      <c r="B65" s="45" t="s">
        <v>12</v>
      </c>
      <c r="C65" s="46" t="s">
        <v>13</v>
      </c>
      <c r="D65" s="47">
        <v>44.5875272319002</v>
      </c>
      <c r="J65" t="str">
        <f t="shared" si="1"/>
        <v>Trd_bus_cng</v>
      </c>
      <c r="K65" t="str">
        <f t="shared" si="11"/>
        <v>\I:</v>
      </c>
      <c r="L65" t="str">
        <f t="shared" si="3"/>
        <v>\I:</v>
      </c>
      <c r="M65" s="380" t="str">
        <f t="shared" si="12"/>
        <v/>
      </c>
      <c r="N65" s="380" t="str">
        <f t="shared" si="13"/>
        <v/>
      </c>
      <c r="O65" s="380" t="str">
        <f t="shared" si="14"/>
        <v/>
      </c>
      <c r="P65" s="380" t="str">
        <f t="shared" si="15"/>
        <v/>
      </c>
      <c r="S65" t="s">
        <v>83</v>
      </c>
      <c r="T65" t="str">
        <f t="shared" si="16"/>
        <v>\I:</v>
      </c>
      <c r="U65" t="str">
        <f ca="1" t="shared" si="17"/>
        <v>CNG bus -- Energy consumption</v>
      </c>
      <c r="V65" s="383" t="s">
        <v>84</v>
      </c>
      <c r="W65" s="383" t="s">
        <v>85</v>
      </c>
    </row>
    <row r="66" spans="2:23">
      <c r="B66" s="45" t="s">
        <v>14</v>
      </c>
      <c r="C66" s="46" t="s">
        <v>15</v>
      </c>
      <c r="D66" s="68">
        <v>293034.342145544</v>
      </c>
      <c r="J66" t="str">
        <f t="shared" si="1"/>
        <v>Trd_bus_cng</v>
      </c>
      <c r="K66" t="str">
        <f t="shared" si="11"/>
        <v>\I:</v>
      </c>
      <c r="L66" t="str">
        <f t="shared" si="3"/>
        <v>\I:</v>
      </c>
      <c r="M66" s="380" t="str">
        <f t="shared" si="12"/>
        <v/>
      </c>
      <c r="N66" s="380" t="str">
        <f t="shared" si="13"/>
        <v/>
      </c>
      <c r="O66" s="380" t="str">
        <f t="shared" si="14"/>
        <v/>
      </c>
      <c r="P66" s="380" t="str">
        <f t="shared" si="15"/>
        <v/>
      </c>
      <c r="S66" t="s">
        <v>83</v>
      </c>
      <c r="T66" t="str">
        <f t="shared" si="16"/>
        <v>\I:</v>
      </c>
      <c r="U66" t="str">
        <f ca="1" t="shared" si="17"/>
        <v>CNG bus -- Capital cost</v>
      </c>
      <c r="V66" s="383" t="s">
        <v>84</v>
      </c>
      <c r="W66" s="383" t="s">
        <v>85</v>
      </c>
    </row>
    <row r="67" spans="10:23">
      <c r="J67" t="str">
        <f t="shared" si="1"/>
        <v>Trd_bus_cng</v>
      </c>
      <c r="K67" t="str">
        <f t="shared" si="11"/>
        <v>\I:</v>
      </c>
      <c r="L67" t="str">
        <f t="shared" si="3"/>
        <v>\I:</v>
      </c>
      <c r="M67" s="380" t="str">
        <f t="shared" si="12"/>
        <v/>
      </c>
      <c r="N67" s="380" t="str">
        <f t="shared" si="13"/>
        <v/>
      </c>
      <c r="O67" s="380" t="str">
        <f t="shared" si="14"/>
        <v/>
      </c>
      <c r="P67" s="380" t="str">
        <f t="shared" si="15"/>
        <v/>
      </c>
      <c r="S67" t="s">
        <v>83</v>
      </c>
      <c r="T67" t="str">
        <f t="shared" si="16"/>
        <v>\I:</v>
      </c>
      <c r="U67" t="str">
        <f ca="1" t="shared" si="17"/>
        <v>CNG bus -- 00%</v>
      </c>
      <c r="V67" s="383" t="s">
        <v>84</v>
      </c>
      <c r="W67" s="383" t="s">
        <v>85</v>
      </c>
    </row>
    <row r="68" ht="15" customHeight="1" spans="2:23">
      <c r="B68" s="374" t="s">
        <v>91</v>
      </c>
      <c r="C68" s="374" t="s">
        <v>152</v>
      </c>
      <c r="D68" s="374"/>
      <c r="E68" s="374"/>
      <c r="F68" s="374"/>
      <c r="J68" t="str">
        <f t="shared" si="1"/>
        <v>\I:Trd_bus_lpg</v>
      </c>
      <c r="K68" t="str">
        <f t="shared" si="11"/>
        <v>\I:</v>
      </c>
      <c r="L68" t="str">
        <f t="shared" si="3"/>
        <v>\I:</v>
      </c>
      <c r="M68" s="380" t="str">
        <f t="shared" si="12"/>
        <v/>
      </c>
      <c r="N68" s="380" t="str">
        <f t="shared" si="13"/>
        <v/>
      </c>
      <c r="O68" s="380" t="str">
        <f t="shared" si="14"/>
        <v/>
      </c>
      <c r="P68" s="380" t="str">
        <f t="shared" si="15"/>
        <v/>
      </c>
      <c r="S68" t="s">
        <v>83</v>
      </c>
      <c r="T68" t="str">
        <f t="shared" si="16"/>
        <v>\I:</v>
      </c>
      <c r="U68" t="str">
        <f ca="1" t="shared" si="17"/>
        <v>LPG bus -- Reduction of specific energy consumption relative to 2015 LPG vehicle (%)</v>
      </c>
      <c r="V68" s="383" t="s">
        <v>84</v>
      </c>
      <c r="W68" s="383" t="s">
        <v>85</v>
      </c>
    </row>
    <row r="69" spans="2:23">
      <c r="B69" s="374"/>
      <c r="C69" s="374"/>
      <c r="D69" s="374"/>
      <c r="E69" s="374"/>
      <c r="F69" s="374"/>
      <c r="J69" t="str">
        <f t="shared" si="1"/>
        <v>\I:Trd_bus_lpg</v>
      </c>
      <c r="K69" t="str">
        <f t="shared" si="11"/>
        <v>\I:</v>
      </c>
      <c r="L69" t="str">
        <f t="shared" si="3"/>
        <v>\I:</v>
      </c>
      <c r="M69" s="380" t="str">
        <f t="shared" si="12"/>
        <v/>
      </c>
      <c r="N69" s="380" t="str">
        <f t="shared" si="13"/>
        <v/>
      </c>
      <c r="O69" s="380" t="str">
        <f t="shared" si="14"/>
        <v/>
      </c>
      <c r="P69" s="380" t="str">
        <f t="shared" si="15"/>
        <v/>
      </c>
      <c r="S69" t="s">
        <v>83</v>
      </c>
      <c r="T69" t="str">
        <f t="shared" si="16"/>
        <v>\I:</v>
      </c>
      <c r="U69" t="str">
        <f ca="1" t="shared" si="17"/>
        <v>LPG bus -- 00%</v>
      </c>
      <c r="V69" s="383" t="s">
        <v>84</v>
      </c>
      <c r="W69" s="383" t="s">
        <v>85</v>
      </c>
    </row>
    <row r="70" spans="2:23">
      <c r="B70" s="374"/>
      <c r="C70" s="374"/>
      <c r="D70" s="374"/>
      <c r="E70" s="374"/>
      <c r="F70" s="374"/>
      <c r="J70" t="str">
        <f t="shared" si="1"/>
        <v>\I:Trd_bus_lpg</v>
      </c>
      <c r="K70" t="str">
        <f t="shared" si="11"/>
        <v>\I:</v>
      </c>
      <c r="L70" t="str">
        <f t="shared" si="3"/>
        <v>\I:</v>
      </c>
      <c r="M70" s="380" t="str">
        <f t="shared" si="12"/>
        <v/>
      </c>
      <c r="N70" s="380" t="str">
        <f t="shared" si="13"/>
        <v/>
      </c>
      <c r="O70" s="380" t="str">
        <f t="shared" si="14"/>
        <v/>
      </c>
      <c r="P70" s="380" t="str">
        <f t="shared" si="15"/>
        <v/>
      </c>
      <c r="S70" t="s">
        <v>83</v>
      </c>
      <c r="T70" t="str">
        <f t="shared" si="16"/>
        <v>\I:</v>
      </c>
      <c r="U70" t="str">
        <f ca="1" t="shared" si="17"/>
        <v>LPG bus -- 00%</v>
      </c>
      <c r="V70" s="383" t="s">
        <v>84</v>
      </c>
      <c r="W70" s="383" t="s">
        <v>85</v>
      </c>
    </row>
    <row r="71" spans="2:23">
      <c r="B71" s="49"/>
      <c r="C71" s="50">
        <v>2020</v>
      </c>
      <c r="D71" s="50">
        <v>2030</v>
      </c>
      <c r="E71" s="50">
        <v>2040</v>
      </c>
      <c r="F71" s="50">
        <v>2050</v>
      </c>
      <c r="J71" t="str">
        <f t="shared" si="1"/>
        <v>\I:Trd_bus_lpg</v>
      </c>
      <c r="K71" t="str">
        <f t="shared" si="11"/>
        <v>\I:</v>
      </c>
      <c r="L71" t="str">
        <f t="shared" si="3"/>
        <v>\I:</v>
      </c>
      <c r="M71" s="380" t="str">
        <f t="shared" si="12"/>
        <v/>
      </c>
      <c r="N71" s="380" t="str">
        <f t="shared" si="13"/>
        <v/>
      </c>
      <c r="O71" s="380" t="str">
        <f t="shared" si="14"/>
        <v/>
      </c>
      <c r="P71" s="380" t="str">
        <f t="shared" si="15"/>
        <v/>
      </c>
      <c r="S71" t="s">
        <v>83</v>
      </c>
      <c r="T71" t="str">
        <f t="shared" si="16"/>
        <v>\I:</v>
      </c>
      <c r="U71" t="str">
        <f ca="1" t="shared" si="17"/>
        <v>LPG bus -- 00%</v>
      </c>
      <c r="V71" s="383" t="s">
        <v>84</v>
      </c>
      <c r="W71" s="383" t="s">
        <v>85</v>
      </c>
    </row>
    <row r="72" spans="2:23">
      <c r="B72" s="85">
        <v>0.0409380868944008</v>
      </c>
      <c r="C72" s="86">
        <v>294253.337139267</v>
      </c>
      <c r="D72" s="86">
        <v>294253.337139267</v>
      </c>
      <c r="E72" s="86">
        <v>294253.337139267</v>
      </c>
      <c r="F72" s="86">
        <v>294253.337139267</v>
      </c>
      <c r="J72" t="str">
        <f t="shared" si="1"/>
        <v>\I:Trd_bus_lpg</v>
      </c>
      <c r="K72" t="str">
        <f t="shared" si="11"/>
        <v>\I:Trd_bus_lpg_04</v>
      </c>
      <c r="L72" t="str">
        <f t="shared" si="3"/>
        <v>\I:Trd_</v>
      </c>
      <c r="M72" s="380">
        <f t="shared" si="12"/>
        <v>294253.337139267</v>
      </c>
      <c r="N72" s="380">
        <f t="shared" si="13"/>
        <v>294253.337139267</v>
      </c>
      <c r="O72" s="380">
        <f t="shared" si="14"/>
        <v>294253.337139267</v>
      </c>
      <c r="P72" s="380">
        <f t="shared" si="15"/>
        <v>294253.337139267</v>
      </c>
      <c r="S72" t="s">
        <v>83</v>
      </c>
      <c r="T72" t="str">
        <f t="shared" si="16"/>
        <v>\I:Trd_bus_lpg_04</v>
      </c>
      <c r="U72" t="str">
        <f ca="1" t="shared" si="17"/>
        <v>LPG bus -- 04%</v>
      </c>
      <c r="V72" s="383" t="s">
        <v>84</v>
      </c>
      <c r="W72" s="383" t="s">
        <v>85</v>
      </c>
    </row>
    <row r="73" spans="2:23">
      <c r="B73" s="85">
        <v>0.0609380868944008</v>
      </c>
      <c r="C73" s="86">
        <v>295617.697121002</v>
      </c>
      <c r="D73" s="86">
        <v>295140.404777826</v>
      </c>
      <c r="E73" s="86">
        <v>295140.404777826</v>
      </c>
      <c r="F73" s="86">
        <v>295140.404777826</v>
      </c>
      <c r="J73" t="str">
        <f t="shared" si="1"/>
        <v>\I:Trd_bus_lpg</v>
      </c>
      <c r="K73" t="str">
        <f t="shared" si="11"/>
        <v>\I:Trd_bus_lpg_06</v>
      </c>
      <c r="L73" t="str">
        <f t="shared" si="3"/>
        <v>\I:Trd_</v>
      </c>
      <c r="M73" s="380">
        <f t="shared" si="12"/>
        <v>295617.697121002</v>
      </c>
      <c r="N73" s="380">
        <f t="shared" si="13"/>
        <v>295140.404777826</v>
      </c>
      <c r="O73" s="380">
        <f t="shared" si="14"/>
        <v>295140.404777826</v>
      </c>
      <c r="P73" s="380">
        <f t="shared" si="15"/>
        <v>295140.404777826</v>
      </c>
      <c r="S73" t="s">
        <v>83</v>
      </c>
      <c r="T73" t="str">
        <f t="shared" si="16"/>
        <v>\I:Trd_bus_lpg_06</v>
      </c>
      <c r="U73" t="str">
        <f ca="1" t="shared" si="17"/>
        <v>LPG bus -- 06%</v>
      </c>
      <c r="V73" s="383" t="s">
        <v>84</v>
      </c>
      <c r="W73" s="383" t="s">
        <v>85</v>
      </c>
    </row>
    <row r="74" spans="2:23">
      <c r="B74" s="85">
        <v>0.0809380868944008</v>
      </c>
      <c r="C74" s="86">
        <v>297558.01980652</v>
      </c>
      <c r="D74" s="86">
        <v>297253.911301946</v>
      </c>
      <c r="E74" s="86">
        <v>297253.911301946</v>
      </c>
      <c r="F74" s="86">
        <v>297253.911301946</v>
      </c>
      <c r="J74" t="str">
        <f t="shared" si="1"/>
        <v>\I:Trd_bus_lpg</v>
      </c>
      <c r="K74" t="str">
        <f t="shared" si="11"/>
        <v>\I:Trd_bus_lpg_08</v>
      </c>
      <c r="L74" t="str">
        <f t="shared" si="3"/>
        <v>\I:Trd_</v>
      </c>
      <c r="M74" s="380">
        <f t="shared" si="12"/>
        <v>297558.01980652</v>
      </c>
      <c r="N74" s="380">
        <f t="shared" si="13"/>
        <v>297253.911301946</v>
      </c>
      <c r="O74" s="380">
        <f t="shared" si="14"/>
        <v>297253.911301946</v>
      </c>
      <c r="P74" s="380">
        <f t="shared" si="15"/>
        <v>297253.911301946</v>
      </c>
      <c r="S74" t="s">
        <v>83</v>
      </c>
      <c r="T74" t="str">
        <f t="shared" si="16"/>
        <v>\I:Trd_bus_lpg_08</v>
      </c>
      <c r="U74" t="str">
        <f ca="1" t="shared" si="17"/>
        <v>LPG bus -- 08%</v>
      </c>
      <c r="V74" s="383" t="s">
        <v>84</v>
      </c>
      <c r="W74" s="383" t="s">
        <v>85</v>
      </c>
    </row>
    <row r="75" spans="2:23">
      <c r="B75" s="85">
        <v>0.110938086894401</v>
      </c>
      <c r="C75" s="86">
        <v>299317.970874936</v>
      </c>
      <c r="D75" s="86">
        <v>299054.255799554</v>
      </c>
      <c r="E75" s="86">
        <v>299054.255799554</v>
      </c>
      <c r="F75" s="86">
        <v>299054.255799554</v>
      </c>
      <c r="J75" t="str">
        <f t="shared" si="1"/>
        <v>\I:Trd_bus_lpg</v>
      </c>
      <c r="K75" t="str">
        <f t="shared" si="11"/>
        <v>\I:Trd_bus_lpg_11</v>
      </c>
      <c r="L75" t="str">
        <f t="shared" si="3"/>
        <v>\I:Trd_</v>
      </c>
      <c r="M75" s="380">
        <f t="shared" si="12"/>
        <v>299317.970874936</v>
      </c>
      <c r="N75" s="380">
        <f t="shared" si="13"/>
        <v>299054.255799554</v>
      </c>
      <c r="O75" s="380">
        <f t="shared" si="14"/>
        <v>299054.255799554</v>
      </c>
      <c r="P75" s="380">
        <f t="shared" si="15"/>
        <v>299054.255799554</v>
      </c>
      <c r="S75" t="s">
        <v>83</v>
      </c>
      <c r="T75" t="str">
        <f t="shared" si="16"/>
        <v>\I:Trd_bus_lpg_11</v>
      </c>
      <c r="U75" t="str">
        <f ca="1" t="shared" si="17"/>
        <v>LPG bus -- 11%</v>
      </c>
      <c r="V75" s="383" t="s">
        <v>84</v>
      </c>
      <c r="W75" s="383" t="s">
        <v>85</v>
      </c>
    </row>
    <row r="76" spans="2:23">
      <c r="B76" s="85">
        <v>0.140938086894401</v>
      </c>
      <c r="C76" s="86">
        <v>302014.39758871</v>
      </c>
      <c r="D76" s="86">
        <v>301754.772545965</v>
      </c>
      <c r="E76" s="86">
        <v>301754.772545965</v>
      </c>
      <c r="F76" s="86">
        <v>301754.772545965</v>
      </c>
      <c r="J76" t="str">
        <f t="shared" si="1"/>
        <v>\I:Trd_bus_lpg</v>
      </c>
      <c r="K76" t="str">
        <f t="shared" si="11"/>
        <v>\I:Trd_bus_lpg_14</v>
      </c>
      <c r="L76" t="str">
        <f t="shared" si="3"/>
        <v>\I:Trd_</v>
      </c>
      <c r="M76" s="380">
        <f t="shared" si="12"/>
        <v>302014.39758871</v>
      </c>
      <c r="N76" s="380">
        <f t="shared" si="13"/>
        <v>301754.772545965</v>
      </c>
      <c r="O76" s="380">
        <f t="shared" si="14"/>
        <v>301754.772545965</v>
      </c>
      <c r="P76" s="380">
        <f t="shared" si="15"/>
        <v>301754.772545965</v>
      </c>
      <c r="S76" t="s">
        <v>83</v>
      </c>
      <c r="T76" t="str">
        <f t="shared" si="16"/>
        <v>\I:Trd_bus_lpg_14</v>
      </c>
      <c r="U76" t="str">
        <f ca="1" t="shared" si="17"/>
        <v>LPG bus -- 14%</v>
      </c>
      <c r="V76" s="383" t="s">
        <v>84</v>
      </c>
      <c r="W76" s="383" t="s">
        <v>85</v>
      </c>
    </row>
    <row r="77" spans="2:23">
      <c r="B77" s="85">
        <v>0.170938086894401</v>
      </c>
      <c r="C77" s="86">
        <v>330124.669266821</v>
      </c>
      <c r="D77" s="86">
        <v>306370.872299667</v>
      </c>
      <c r="E77" s="86">
        <v>306255.633789984</v>
      </c>
      <c r="F77" s="86">
        <v>306255.633789984</v>
      </c>
      <c r="J77" t="str">
        <f t="shared" si="1"/>
        <v>\I:Trd_bus_lpg</v>
      </c>
      <c r="K77" t="str">
        <f t="shared" si="11"/>
        <v>\I:Trd_bus_lpg_17</v>
      </c>
      <c r="L77" t="str">
        <f t="shared" si="3"/>
        <v>\I:Trd_</v>
      </c>
      <c r="M77" s="380">
        <f t="shared" si="12"/>
        <v>330124.669266821</v>
      </c>
      <c r="N77" s="380">
        <f t="shared" si="13"/>
        <v>306370.872299667</v>
      </c>
      <c r="O77" s="380">
        <f t="shared" si="14"/>
        <v>306255.633789984</v>
      </c>
      <c r="P77" s="380">
        <f t="shared" si="15"/>
        <v>306255.633789984</v>
      </c>
      <c r="S77" t="s">
        <v>83</v>
      </c>
      <c r="T77" t="str">
        <f t="shared" si="16"/>
        <v>\I:Trd_bus_lpg_17</v>
      </c>
      <c r="U77" t="str">
        <f ca="1" t="shared" si="17"/>
        <v>LPG bus -- 17%</v>
      </c>
      <c r="V77" s="383" t="s">
        <v>84</v>
      </c>
      <c r="W77" s="383" t="s">
        <v>85</v>
      </c>
    </row>
    <row r="78" spans="2:23">
      <c r="B78" s="85">
        <v>0.210938086894401</v>
      </c>
      <c r="C78" s="86">
        <v>391435.688355708</v>
      </c>
      <c r="D78" s="86">
        <v>317002.629328449</v>
      </c>
      <c r="E78" s="86">
        <v>310346.416565104</v>
      </c>
      <c r="F78" s="86">
        <v>310346.416565104</v>
      </c>
      <c r="J78" t="str">
        <f t="shared" ref="J78:J141" si="20">IFERROR(VLOOKUP(C78,$R$1:$S$9,2,FALSE),J77)</f>
        <v>\I:Trd_bus_lpg</v>
      </c>
      <c r="K78" t="str">
        <f t="shared" si="11"/>
        <v>\I:Trd_bus_lpg_21</v>
      </c>
      <c r="L78" t="str">
        <f t="shared" ref="L78:L141" si="21">LEFT(K78,7)</f>
        <v>\I:Trd_</v>
      </c>
      <c r="M78" s="380">
        <f t="shared" si="12"/>
        <v>391435.688355708</v>
      </c>
      <c r="N78" s="380">
        <f t="shared" si="13"/>
        <v>317002.629328449</v>
      </c>
      <c r="O78" s="380">
        <f t="shared" si="14"/>
        <v>310346.416565104</v>
      </c>
      <c r="P78" s="380">
        <f t="shared" si="15"/>
        <v>310346.416565104</v>
      </c>
      <c r="S78" t="s">
        <v>83</v>
      </c>
      <c r="T78" t="str">
        <f t="shared" si="16"/>
        <v>\I:Trd_bus_lpg_21</v>
      </c>
      <c r="U78" t="str">
        <f ca="1" t="shared" si="17"/>
        <v>LPG bus -- 21%</v>
      </c>
      <c r="V78" s="383" t="s">
        <v>84</v>
      </c>
      <c r="W78" s="383" t="s">
        <v>85</v>
      </c>
    </row>
    <row r="79" spans="10:23">
      <c r="J79" t="str">
        <f t="shared" si="20"/>
        <v>\I:Trd_bus_lpg</v>
      </c>
      <c r="K79" t="str">
        <f t="shared" si="11"/>
        <v>\I:</v>
      </c>
      <c r="L79" t="str">
        <f t="shared" si="21"/>
        <v>\I:</v>
      </c>
      <c r="M79" s="380" t="str">
        <f t="shared" si="12"/>
        <v/>
      </c>
      <c r="N79" s="380" t="str">
        <f t="shared" si="13"/>
        <v/>
      </c>
      <c r="O79" s="380" t="str">
        <f t="shared" si="14"/>
        <v/>
      </c>
      <c r="P79" s="380" t="str">
        <f t="shared" si="15"/>
        <v/>
      </c>
      <c r="S79" t="s">
        <v>83</v>
      </c>
      <c r="T79" t="str">
        <f t="shared" si="16"/>
        <v>\I:</v>
      </c>
      <c r="U79" t="str">
        <f ca="1" t="shared" si="17"/>
        <v>LPG bus -- 00%</v>
      </c>
      <c r="V79" s="383" t="s">
        <v>84</v>
      </c>
      <c r="W79" s="383" t="s">
        <v>85</v>
      </c>
    </row>
    <row r="80" spans="10:23">
      <c r="J80" t="str">
        <f t="shared" si="20"/>
        <v>\I:Trd_bus_lpg</v>
      </c>
      <c r="K80" t="str">
        <f t="shared" si="11"/>
        <v>\I:</v>
      </c>
      <c r="L80" t="str">
        <f t="shared" si="21"/>
        <v>\I:</v>
      </c>
      <c r="M80" s="380" t="str">
        <f t="shared" si="12"/>
        <v/>
      </c>
      <c r="N80" s="380" t="str">
        <f t="shared" si="13"/>
        <v/>
      </c>
      <c r="O80" s="380" t="str">
        <f t="shared" si="14"/>
        <v/>
      </c>
      <c r="P80" s="380" t="str">
        <f t="shared" si="15"/>
        <v/>
      </c>
      <c r="S80" t="s">
        <v>83</v>
      </c>
      <c r="T80" t="str">
        <f t="shared" si="16"/>
        <v>\I:</v>
      </c>
      <c r="U80" t="str">
        <f ca="1" t="shared" si="17"/>
        <v>LPG bus -- 00%</v>
      </c>
      <c r="V80" s="383" t="s">
        <v>84</v>
      </c>
      <c r="W80" s="383" t="s">
        <v>85</v>
      </c>
    </row>
    <row r="81" spans="10:23">
      <c r="J81" t="str">
        <f t="shared" si="20"/>
        <v>\I:Trd_bus_lpg</v>
      </c>
      <c r="K81" t="str">
        <f t="shared" si="11"/>
        <v>\I:</v>
      </c>
      <c r="L81" t="str">
        <f t="shared" si="21"/>
        <v>\I:</v>
      </c>
      <c r="M81" s="380" t="str">
        <f t="shared" si="12"/>
        <v/>
      </c>
      <c r="N81" s="380" t="str">
        <f t="shared" si="13"/>
        <v/>
      </c>
      <c r="O81" s="380" t="str">
        <f t="shared" si="14"/>
        <v/>
      </c>
      <c r="P81" s="380" t="str">
        <f t="shared" si="15"/>
        <v/>
      </c>
      <c r="S81" t="s">
        <v>83</v>
      </c>
      <c r="T81" t="str">
        <f t="shared" si="16"/>
        <v>\I:</v>
      </c>
      <c r="U81" t="str">
        <f ca="1" t="shared" si="17"/>
        <v>LPG bus -- 00%</v>
      </c>
      <c r="V81" s="383" t="s">
        <v>84</v>
      </c>
      <c r="W81" s="383" t="s">
        <v>85</v>
      </c>
    </row>
    <row r="82" spans="2:23">
      <c r="B82" s="372">
        <v>2020</v>
      </c>
      <c r="C82" s="372"/>
      <c r="D82" s="372"/>
      <c r="J82" t="str">
        <f t="shared" si="20"/>
        <v>\I:Trd_bus_lpg</v>
      </c>
      <c r="K82" t="str">
        <f t="shared" si="11"/>
        <v>\I:</v>
      </c>
      <c r="L82" t="str">
        <f t="shared" si="21"/>
        <v>\I:</v>
      </c>
      <c r="M82" s="380" t="str">
        <f t="shared" si="12"/>
        <v/>
      </c>
      <c r="N82" s="380" t="str">
        <f t="shared" si="13"/>
        <v/>
      </c>
      <c r="O82" s="380" t="str">
        <f t="shared" si="14"/>
        <v/>
      </c>
      <c r="P82" s="380" t="str">
        <f t="shared" si="15"/>
        <v/>
      </c>
      <c r="S82" t="s">
        <v>83</v>
      </c>
      <c r="T82" t="str">
        <f t="shared" si="16"/>
        <v>\I:</v>
      </c>
      <c r="U82" t="str">
        <f ca="1" t="shared" si="17"/>
        <v>LPG bus -- 202000%</v>
      </c>
      <c r="V82" s="383" t="s">
        <v>84</v>
      </c>
      <c r="W82" s="383" t="s">
        <v>85</v>
      </c>
    </row>
    <row r="83" spans="2:23">
      <c r="B83" s="45" t="s">
        <v>161</v>
      </c>
      <c r="C83" s="46" t="s">
        <v>26</v>
      </c>
      <c r="D83" s="74">
        <v>1.15</v>
      </c>
      <c r="G83" s="77">
        <f>D83/3.6/100*10^9/10^6</f>
        <v>3.19444444444444</v>
      </c>
      <c r="H83" s="77"/>
      <c r="I83" s="384">
        <f>1/G83-0.1</f>
        <v>0.21304347826087</v>
      </c>
      <c r="J83" t="str">
        <f t="shared" si="20"/>
        <v>\I:Trd_bus_lpg</v>
      </c>
      <c r="K83" t="str">
        <f t="shared" si="11"/>
        <v>\I:</v>
      </c>
      <c r="L83" t="str">
        <f t="shared" si="21"/>
        <v>\I:</v>
      </c>
      <c r="M83" s="380" t="str">
        <f t="shared" si="12"/>
        <v/>
      </c>
      <c r="N83" s="380" t="str">
        <f t="shared" si="13"/>
        <v/>
      </c>
      <c r="O83" s="380" t="str">
        <f t="shared" si="14"/>
        <v/>
      </c>
      <c r="P83" s="380" t="str">
        <f t="shared" si="15"/>
        <v/>
      </c>
      <c r="S83" t="s">
        <v>83</v>
      </c>
      <c r="T83" t="str">
        <f t="shared" si="16"/>
        <v>\I:</v>
      </c>
      <c r="U83" t="str">
        <f ca="1" t="shared" si="17"/>
        <v>LPG bus -- Energy consumption of Battery electric bus </v>
      </c>
      <c r="V83" s="383" t="s">
        <v>84</v>
      </c>
      <c r="W83" s="383" t="s">
        <v>85</v>
      </c>
    </row>
    <row r="84" spans="9:23">
      <c r="I84" s="385" t="s">
        <v>70</v>
      </c>
      <c r="J84" t="str">
        <f t="shared" si="20"/>
        <v>\I:Trd_bus_lpg</v>
      </c>
      <c r="K84" t="str">
        <f t="shared" si="11"/>
        <v>\I:</v>
      </c>
      <c r="L84" t="str">
        <f t="shared" si="21"/>
        <v>\I:</v>
      </c>
      <c r="M84" s="380" t="str">
        <f t="shared" si="12"/>
        <v/>
      </c>
      <c r="N84" s="380" t="str">
        <f t="shared" si="13"/>
        <v/>
      </c>
      <c r="O84" s="380" t="str">
        <f t="shared" si="14"/>
        <v/>
      </c>
      <c r="P84" s="380" t="str">
        <f t="shared" si="15"/>
        <v/>
      </c>
      <c r="S84" t="s">
        <v>83</v>
      </c>
      <c r="T84" t="str">
        <f t="shared" si="16"/>
        <v>\I:</v>
      </c>
      <c r="U84" t="str">
        <f ca="1" t="shared" si="17"/>
        <v>LPG bus -- 00%</v>
      </c>
      <c r="V84" s="383" t="s">
        <v>84</v>
      </c>
      <c r="W84" s="383" t="s">
        <v>85</v>
      </c>
    </row>
    <row r="85" ht="15" customHeight="1" spans="2:23">
      <c r="B85" s="374" t="s">
        <v>27</v>
      </c>
      <c r="C85" s="374" t="s">
        <v>154</v>
      </c>
      <c r="D85" s="374"/>
      <c r="E85" s="374"/>
      <c r="F85" s="374"/>
      <c r="J85" t="str">
        <f t="shared" si="20"/>
        <v>Trd_bus_elc</v>
      </c>
      <c r="K85" t="str">
        <f t="shared" si="11"/>
        <v>\I:</v>
      </c>
      <c r="L85" t="str">
        <f t="shared" si="21"/>
        <v>\I:</v>
      </c>
      <c r="M85" s="380" t="str">
        <f t="shared" si="12"/>
        <v/>
      </c>
      <c r="N85" s="380" t="str">
        <f t="shared" si="13"/>
        <v/>
      </c>
      <c r="O85" s="380" t="str">
        <f t="shared" si="14"/>
        <v/>
      </c>
      <c r="P85" s="380" t="str">
        <f t="shared" si="15"/>
        <v/>
      </c>
      <c r="S85" t="s">
        <v>83</v>
      </c>
      <c r="T85" t="str">
        <f t="shared" si="16"/>
        <v>\I:</v>
      </c>
      <c r="U85" t="str">
        <f ca="1" t="shared" si="17"/>
        <v>Battery electric bus -- Electric range (km)</v>
      </c>
      <c r="V85" s="383" t="s">
        <v>84</v>
      </c>
      <c r="W85" s="383" t="s">
        <v>85</v>
      </c>
    </row>
    <row r="86" spans="2:23">
      <c r="B86" s="374"/>
      <c r="C86" s="374"/>
      <c r="D86" s="374"/>
      <c r="E86" s="374"/>
      <c r="F86" s="374"/>
      <c r="J86" t="str">
        <f t="shared" si="20"/>
        <v>Trd_bus_elc</v>
      </c>
      <c r="K86" t="str">
        <f t="shared" si="11"/>
        <v>\I:</v>
      </c>
      <c r="L86" t="str">
        <f t="shared" si="21"/>
        <v>\I:</v>
      </c>
      <c r="M86" s="380" t="str">
        <f t="shared" si="12"/>
        <v/>
      </c>
      <c r="N86" s="380" t="str">
        <f t="shared" si="13"/>
        <v/>
      </c>
      <c r="O86" s="380" t="str">
        <f t="shared" si="14"/>
        <v/>
      </c>
      <c r="P86" s="380" t="str">
        <f t="shared" si="15"/>
        <v/>
      </c>
      <c r="S86" t="s">
        <v>83</v>
      </c>
      <c r="T86" t="str">
        <f t="shared" si="16"/>
        <v>\I:</v>
      </c>
      <c r="U86" t="str">
        <f ca="1" t="shared" si="17"/>
        <v>Battery electric bus -- 00%</v>
      </c>
      <c r="V86" s="383" t="s">
        <v>84</v>
      </c>
      <c r="W86" s="383" t="s">
        <v>85</v>
      </c>
    </row>
    <row r="87" spans="2:23">
      <c r="B87" s="374"/>
      <c r="C87" s="374"/>
      <c r="D87" s="374"/>
      <c r="E87" s="374"/>
      <c r="F87" s="374"/>
      <c r="J87" t="str">
        <f t="shared" si="20"/>
        <v>Trd_bus_elc</v>
      </c>
      <c r="K87" t="str">
        <f t="shared" si="11"/>
        <v>\I:</v>
      </c>
      <c r="L87" t="str">
        <f t="shared" si="21"/>
        <v>\I:</v>
      </c>
      <c r="M87" s="380" t="str">
        <f t="shared" si="12"/>
        <v/>
      </c>
      <c r="N87" s="380" t="str">
        <f t="shared" si="13"/>
        <v/>
      </c>
      <c r="O87" s="380" t="str">
        <f t="shared" si="14"/>
        <v/>
      </c>
      <c r="P87" s="380" t="str">
        <f t="shared" si="15"/>
        <v/>
      </c>
      <c r="S87" t="s">
        <v>83</v>
      </c>
      <c r="T87" t="str">
        <f t="shared" si="16"/>
        <v>\I:</v>
      </c>
      <c r="U87" t="str">
        <f ca="1" t="shared" si="17"/>
        <v>Battery electric bus -- 00%</v>
      </c>
      <c r="V87" s="383" t="s">
        <v>84</v>
      </c>
      <c r="W87" s="383" t="s">
        <v>85</v>
      </c>
    </row>
    <row r="88" spans="2:23">
      <c r="B88" s="49"/>
      <c r="C88" s="50">
        <v>2020</v>
      </c>
      <c r="D88" s="50">
        <v>2030</v>
      </c>
      <c r="E88" s="50">
        <v>2040</v>
      </c>
      <c r="F88" s="50">
        <v>2050</v>
      </c>
      <c r="J88" t="str">
        <f t="shared" si="20"/>
        <v>Trd_bus_elc</v>
      </c>
      <c r="K88" t="str">
        <f t="shared" ref="K88:K151" si="22">IFERROR(IF(VALUE(C88)&gt;2020,J88&amp;"_"&amp;TEXT(B88*100,"00"),"\I:"),"\I:")</f>
        <v>\I:</v>
      </c>
      <c r="L88" t="str">
        <f t="shared" si="21"/>
        <v>\I:</v>
      </c>
      <c r="M88" s="380" t="str">
        <f t="shared" ref="M88:M151" si="23">IF($K88="\I:","",C88)</f>
        <v/>
      </c>
      <c r="N88" s="380" t="str">
        <f t="shared" ref="N88:N151" si="24">IF($K88="\I:","",D88)</f>
        <v/>
      </c>
      <c r="O88" s="380" t="str">
        <f t="shared" ref="O88:O151" si="25">IF($K88="\I:","",E88)</f>
        <v/>
      </c>
      <c r="P88" s="380" t="str">
        <f t="shared" ref="P88:P151" si="26">IF($K88="\I:","",F88)</f>
        <v/>
      </c>
      <c r="S88" t="s">
        <v>83</v>
      </c>
      <c r="T88" t="str">
        <f t="shared" ref="T88:T151" si="27">K88</f>
        <v>\I:</v>
      </c>
      <c r="U88" t="str">
        <f ca="1" t="shared" ref="U88:U151" si="28">OFFSET($S$1,MATCH(J88,$S$1:$S$12,0)-1,-1)&amp;" -- "&amp;TEXT(B88,"00%")</f>
        <v>Battery electric bus -- 00%</v>
      </c>
      <c r="V88" s="383" t="s">
        <v>84</v>
      </c>
      <c r="W88" s="383" t="s">
        <v>85</v>
      </c>
    </row>
    <row r="89" spans="2:23">
      <c r="B89" s="66">
        <v>120</v>
      </c>
      <c r="C89" s="86">
        <v>414282.581831388</v>
      </c>
      <c r="D89" s="86">
        <v>303169.459903534</v>
      </c>
      <c r="E89" s="86">
        <v>289801.053326816</v>
      </c>
      <c r="F89" s="86">
        <v>284257.075106368</v>
      </c>
      <c r="I89" s="386">
        <f>$I$83/$I$7</f>
        <v>2.95617979462175</v>
      </c>
      <c r="J89" t="str">
        <f t="shared" si="20"/>
        <v>Trd_bus_elc</v>
      </c>
      <c r="K89" t="str">
        <f>IFERROR(IF(VALUE(C89)&gt;2020,J89&amp;"_"&amp;TEXT(B89,"00"),"\I:"),"\I:")</f>
        <v>Trd_bus_elc_120</v>
      </c>
      <c r="L89" t="str">
        <f t="shared" si="21"/>
        <v>Trd_bus</v>
      </c>
      <c r="M89" s="380">
        <f t="shared" si="23"/>
        <v>414282.581831388</v>
      </c>
      <c r="N89" s="380">
        <f t="shared" si="24"/>
        <v>303169.459903534</v>
      </c>
      <c r="O89" s="380">
        <f t="shared" si="25"/>
        <v>289801.053326816</v>
      </c>
      <c r="P89" s="380">
        <f t="shared" si="26"/>
        <v>284257.075106368</v>
      </c>
      <c r="Q89" s="43">
        <v>0.05</v>
      </c>
      <c r="S89" t="s">
        <v>83</v>
      </c>
      <c r="T89" t="str">
        <f t="shared" si="27"/>
        <v>Trd_bus_elc_120</v>
      </c>
      <c r="U89" t="str">
        <f ca="1" t="shared" si="28"/>
        <v>Battery electric bus -- 12000%</v>
      </c>
      <c r="V89" s="383" t="s">
        <v>84</v>
      </c>
      <c r="W89" s="383" t="s">
        <v>85</v>
      </c>
    </row>
    <row r="90" spans="2:23">
      <c r="B90" s="66">
        <v>134.285714285714</v>
      </c>
      <c r="C90" s="86">
        <v>418677.39136009</v>
      </c>
      <c r="D90" s="86">
        <v>306294.576352111</v>
      </c>
      <c r="E90" s="86">
        <v>291398.806588617</v>
      </c>
      <c r="F90" s="86">
        <v>285221.419427949</v>
      </c>
      <c r="I90" s="386">
        <f t="shared" ref="I90:I96" si="29">$I$83/$I$7</f>
        <v>2.95617979462175</v>
      </c>
      <c r="J90" t="str">
        <f t="shared" si="20"/>
        <v>Trd_bus_elc</v>
      </c>
      <c r="K90" t="str">
        <f t="shared" ref="K90:K96" si="30">IFERROR(IF(VALUE(C90)&gt;2020,J90&amp;"_"&amp;TEXT(B90,"00"),"\I:"),"\I:")</f>
        <v>Trd_bus_elc_134</v>
      </c>
      <c r="L90" t="str">
        <f t="shared" si="21"/>
        <v>Trd_bus</v>
      </c>
      <c r="M90" s="380">
        <f t="shared" si="23"/>
        <v>418677.39136009</v>
      </c>
      <c r="N90" s="380">
        <f t="shared" si="24"/>
        <v>306294.576352111</v>
      </c>
      <c r="O90" s="380">
        <f t="shared" si="25"/>
        <v>291398.806588617</v>
      </c>
      <c r="P90" s="380">
        <f t="shared" si="26"/>
        <v>285221.419427949</v>
      </c>
      <c r="Q90" s="43">
        <v>0.05</v>
      </c>
      <c r="S90" t="s">
        <v>83</v>
      </c>
      <c r="T90" t="str">
        <f t="shared" si="27"/>
        <v>Trd_bus_elc_134</v>
      </c>
      <c r="U90" t="str">
        <f ca="1" t="shared" si="28"/>
        <v>Battery electric bus -- 13429%</v>
      </c>
      <c r="V90" s="383" t="s">
        <v>84</v>
      </c>
      <c r="W90" s="383" t="s">
        <v>85</v>
      </c>
    </row>
    <row r="91" spans="2:23">
      <c r="B91" s="66">
        <v>148.571428571429</v>
      </c>
      <c r="C91" s="86">
        <v>421065.599852614</v>
      </c>
      <c r="D91" s="86">
        <v>307992.813691836</v>
      </c>
      <c r="E91" s="86">
        <v>292267.050794396</v>
      </c>
      <c r="F91" s="86">
        <v>285745.45927165</v>
      </c>
      <c r="I91" s="386">
        <f t="shared" si="29"/>
        <v>2.95617979462175</v>
      </c>
      <c r="J91" t="str">
        <f t="shared" si="20"/>
        <v>Trd_bus_elc</v>
      </c>
      <c r="K91" t="str">
        <f t="shared" si="30"/>
        <v>Trd_bus_elc_149</v>
      </c>
      <c r="L91" t="str">
        <f t="shared" si="21"/>
        <v>Trd_bus</v>
      </c>
      <c r="M91" s="380">
        <f t="shared" si="23"/>
        <v>421065.599852614</v>
      </c>
      <c r="N91" s="380">
        <f t="shared" si="24"/>
        <v>307992.813691836</v>
      </c>
      <c r="O91" s="380">
        <f t="shared" si="25"/>
        <v>292267.050794396</v>
      </c>
      <c r="P91" s="380">
        <f t="shared" si="26"/>
        <v>285745.45927165</v>
      </c>
      <c r="Q91" s="43">
        <v>0.05</v>
      </c>
      <c r="S91" t="s">
        <v>83</v>
      </c>
      <c r="T91" t="str">
        <f t="shared" si="27"/>
        <v>Trd_bus_elc_149</v>
      </c>
      <c r="U91" t="str">
        <f ca="1" t="shared" si="28"/>
        <v>Battery electric bus -- 14857%</v>
      </c>
      <c r="V91" s="383" t="s">
        <v>84</v>
      </c>
      <c r="W91" s="383" t="s">
        <v>85</v>
      </c>
    </row>
    <row r="92" spans="2:23">
      <c r="B92" s="66">
        <v>162.857142857143</v>
      </c>
      <c r="C92" s="86">
        <v>423484.304232436</v>
      </c>
      <c r="D92" s="86">
        <v>309712.736430754</v>
      </c>
      <c r="E92" s="86">
        <v>293146.38192057</v>
      </c>
      <c r="F92" s="86">
        <v>286276.1907673</v>
      </c>
      <c r="I92" s="386">
        <f t="shared" si="29"/>
        <v>2.95617979462175</v>
      </c>
      <c r="J92" t="str">
        <f t="shared" si="20"/>
        <v>Trd_bus_elc</v>
      </c>
      <c r="K92" t="str">
        <f t="shared" si="30"/>
        <v>Trd_bus_elc_163</v>
      </c>
      <c r="L92" t="str">
        <f t="shared" si="21"/>
        <v>Trd_bus</v>
      </c>
      <c r="M92" s="380">
        <f t="shared" si="23"/>
        <v>423484.304232436</v>
      </c>
      <c r="N92" s="380">
        <f t="shared" si="24"/>
        <v>309712.736430754</v>
      </c>
      <c r="O92" s="380">
        <f t="shared" si="25"/>
        <v>293146.38192057</v>
      </c>
      <c r="P92" s="380">
        <f t="shared" si="26"/>
        <v>286276.1907673</v>
      </c>
      <c r="Q92" s="43">
        <v>0.05</v>
      </c>
      <c r="S92" t="s">
        <v>83</v>
      </c>
      <c r="T92" t="str">
        <f t="shared" si="27"/>
        <v>Trd_bus_elc_163</v>
      </c>
      <c r="U92" t="str">
        <f ca="1" t="shared" si="28"/>
        <v>Battery electric bus -- 16286%</v>
      </c>
      <c r="V92" s="383" t="s">
        <v>84</v>
      </c>
      <c r="W92" s="383" t="s">
        <v>85</v>
      </c>
    </row>
    <row r="93" spans="2:23">
      <c r="B93" s="66">
        <v>177.142857142857</v>
      </c>
      <c r="C93" s="86">
        <v>426045.337290405</v>
      </c>
      <c r="D93" s="86">
        <v>311533.868036695</v>
      </c>
      <c r="E93" s="86">
        <v>294077.457293741</v>
      </c>
      <c r="F93" s="86">
        <v>286838.153161962</v>
      </c>
      <c r="I93" s="386">
        <f t="shared" si="29"/>
        <v>2.95617979462175</v>
      </c>
      <c r="J93" t="str">
        <f t="shared" si="20"/>
        <v>Trd_bus_elc</v>
      </c>
      <c r="K93" t="str">
        <f t="shared" si="30"/>
        <v>Trd_bus_elc_177</v>
      </c>
      <c r="L93" t="str">
        <f t="shared" si="21"/>
        <v>Trd_bus</v>
      </c>
      <c r="M93" s="380">
        <f t="shared" si="23"/>
        <v>426045.337290405</v>
      </c>
      <c r="N93" s="380">
        <f t="shared" si="24"/>
        <v>311533.868036695</v>
      </c>
      <c r="O93" s="380">
        <f t="shared" si="25"/>
        <v>294077.457293741</v>
      </c>
      <c r="P93" s="380">
        <f t="shared" si="26"/>
        <v>286838.153161962</v>
      </c>
      <c r="Q93" s="43">
        <v>0.15</v>
      </c>
      <c r="S93" t="s">
        <v>83</v>
      </c>
      <c r="T93" t="str">
        <f t="shared" si="27"/>
        <v>Trd_bus_elc_177</v>
      </c>
      <c r="U93" t="str">
        <f ca="1" t="shared" si="28"/>
        <v>Battery electric bus -- 17714%</v>
      </c>
      <c r="V93" s="383" t="s">
        <v>84</v>
      </c>
      <c r="W93" s="383" t="s">
        <v>85</v>
      </c>
    </row>
    <row r="94" spans="2:23">
      <c r="B94" s="66">
        <v>191.428571428571</v>
      </c>
      <c r="C94" s="86">
        <v>429934.421537582</v>
      </c>
      <c r="D94" s="86">
        <v>314299.366989808</v>
      </c>
      <c r="E94" s="86">
        <v>295873.386780209</v>
      </c>
      <c r="F94" s="86">
        <v>287922.109266851</v>
      </c>
      <c r="I94" s="386">
        <f t="shared" si="29"/>
        <v>2.95617979462175</v>
      </c>
      <c r="J94" t="str">
        <f t="shared" si="20"/>
        <v>Trd_bus_elc</v>
      </c>
      <c r="K94" t="str">
        <f t="shared" si="30"/>
        <v>Trd_bus_elc_191</v>
      </c>
      <c r="L94" t="str">
        <f t="shared" si="21"/>
        <v>Trd_bus</v>
      </c>
      <c r="M94" s="380">
        <f t="shared" si="23"/>
        <v>429934.421537582</v>
      </c>
      <c r="N94" s="380">
        <f t="shared" si="24"/>
        <v>314299.366989808</v>
      </c>
      <c r="O94" s="380">
        <f t="shared" si="25"/>
        <v>295873.386780209</v>
      </c>
      <c r="P94" s="380">
        <f t="shared" si="26"/>
        <v>287922.109266851</v>
      </c>
      <c r="Q94" s="43">
        <v>0.175</v>
      </c>
      <c r="S94" t="s">
        <v>83</v>
      </c>
      <c r="T94" t="str">
        <f t="shared" si="27"/>
        <v>Trd_bus_elc_191</v>
      </c>
      <c r="U94" t="str">
        <f ca="1" t="shared" si="28"/>
        <v>Battery electric bus -- 19143%</v>
      </c>
      <c r="V94" s="383" t="s">
        <v>84</v>
      </c>
      <c r="W94" s="383" t="s">
        <v>85</v>
      </c>
    </row>
    <row r="95" spans="2:23">
      <c r="B95" s="66">
        <v>205.714285714286</v>
      </c>
      <c r="C95" s="86">
        <v>434837.321877915</v>
      </c>
      <c r="D95" s="86">
        <v>317785.783044756</v>
      </c>
      <c r="E95" s="86">
        <v>297678.678035306</v>
      </c>
      <c r="F95" s="86">
        <v>289011.715786377</v>
      </c>
      <c r="I95" s="386">
        <f t="shared" si="29"/>
        <v>2.95617979462175</v>
      </c>
      <c r="J95" t="str">
        <f t="shared" si="20"/>
        <v>Trd_bus_elc</v>
      </c>
      <c r="K95" t="str">
        <f t="shared" si="30"/>
        <v>Trd_bus_elc_206</v>
      </c>
      <c r="L95" t="str">
        <f t="shared" si="21"/>
        <v>Trd_bus</v>
      </c>
      <c r="M95" s="380">
        <f t="shared" si="23"/>
        <v>434837.321877915</v>
      </c>
      <c r="N95" s="380">
        <f t="shared" si="24"/>
        <v>317785.783044756</v>
      </c>
      <c r="O95" s="380">
        <f t="shared" si="25"/>
        <v>297678.678035306</v>
      </c>
      <c r="P95" s="380">
        <f t="shared" si="26"/>
        <v>289011.715786377</v>
      </c>
      <c r="Q95" s="43">
        <v>0.2</v>
      </c>
      <c r="S95" t="s">
        <v>83</v>
      </c>
      <c r="T95" t="str">
        <f t="shared" si="27"/>
        <v>Trd_bus_elc_206</v>
      </c>
      <c r="U95" t="str">
        <f ca="1" t="shared" si="28"/>
        <v>Battery electric bus -- 20571%</v>
      </c>
      <c r="V95" s="383" t="s">
        <v>84</v>
      </c>
      <c r="W95" s="383" t="s">
        <v>85</v>
      </c>
    </row>
    <row r="96" spans="2:23">
      <c r="B96" s="66">
        <v>220</v>
      </c>
      <c r="C96" s="86">
        <v>439775.623723911</v>
      </c>
      <c r="D96" s="86">
        <v>321297.372847721</v>
      </c>
      <c r="E96" s="86">
        <v>299069.166215671</v>
      </c>
      <c r="F96" s="86">
        <v>289850.96262944</v>
      </c>
      <c r="I96" s="386">
        <f t="shared" si="29"/>
        <v>2.95617979462175</v>
      </c>
      <c r="J96" t="str">
        <f t="shared" si="20"/>
        <v>Trd_bus_elc</v>
      </c>
      <c r="K96" t="str">
        <f t="shared" si="30"/>
        <v>Trd_bus_elc_220</v>
      </c>
      <c r="L96" t="str">
        <f t="shared" si="21"/>
        <v>Trd_bus</v>
      </c>
      <c r="M96" s="380">
        <f t="shared" si="23"/>
        <v>439775.623723911</v>
      </c>
      <c r="N96" s="380">
        <f t="shared" si="24"/>
        <v>321297.372847721</v>
      </c>
      <c r="O96" s="380">
        <f t="shared" si="25"/>
        <v>299069.166215671</v>
      </c>
      <c r="P96" s="380">
        <f t="shared" si="26"/>
        <v>289850.96262944</v>
      </c>
      <c r="S96" t="s">
        <v>83</v>
      </c>
      <c r="T96" t="str">
        <f t="shared" si="27"/>
        <v>Trd_bus_elc_220</v>
      </c>
      <c r="U96" t="str">
        <f ca="1" t="shared" si="28"/>
        <v>Battery electric bus -- 22000%</v>
      </c>
      <c r="V96" s="383" t="s">
        <v>84</v>
      </c>
      <c r="W96" s="383" t="s">
        <v>85</v>
      </c>
    </row>
    <row r="97" spans="10:23">
      <c r="J97" t="str">
        <f t="shared" si="20"/>
        <v>Trd_bus_elc</v>
      </c>
      <c r="K97" t="str">
        <f t="shared" si="22"/>
        <v>\I:</v>
      </c>
      <c r="L97" t="str">
        <f t="shared" si="21"/>
        <v>\I:</v>
      </c>
      <c r="M97" s="380" t="str">
        <f t="shared" si="23"/>
        <v/>
      </c>
      <c r="N97" s="380" t="str">
        <f t="shared" si="24"/>
        <v/>
      </c>
      <c r="O97" s="380" t="str">
        <f t="shared" si="25"/>
        <v/>
      </c>
      <c r="P97" s="380" t="str">
        <f t="shared" si="26"/>
        <v/>
      </c>
      <c r="S97" t="s">
        <v>83</v>
      </c>
      <c r="T97" t="str">
        <f t="shared" si="27"/>
        <v>\I:</v>
      </c>
      <c r="U97" t="str">
        <f ca="1" t="shared" si="28"/>
        <v>Battery electric bus -- 00%</v>
      </c>
      <c r="V97" s="383" t="s">
        <v>84</v>
      </c>
      <c r="W97" s="383" t="s">
        <v>85</v>
      </c>
    </row>
    <row r="98" spans="10:23">
      <c r="J98" t="str">
        <f t="shared" si="20"/>
        <v>Trd_bus_elc</v>
      </c>
      <c r="K98" t="str">
        <f t="shared" si="22"/>
        <v>\I:</v>
      </c>
      <c r="L98" t="str">
        <f t="shared" si="21"/>
        <v>\I:</v>
      </c>
      <c r="M98" s="380" t="str">
        <f t="shared" si="23"/>
        <v/>
      </c>
      <c r="N98" s="380" t="str">
        <f t="shared" si="24"/>
        <v/>
      </c>
      <c r="O98" s="380" t="str">
        <f t="shared" si="25"/>
        <v/>
      </c>
      <c r="P98" s="380" t="str">
        <f t="shared" si="26"/>
        <v/>
      </c>
      <c r="S98" t="s">
        <v>83</v>
      </c>
      <c r="T98" t="str">
        <f t="shared" si="27"/>
        <v>\I:</v>
      </c>
      <c r="U98" t="str">
        <f ca="1" t="shared" si="28"/>
        <v>Battery electric bus -- 00%</v>
      </c>
      <c r="V98" s="383" t="s">
        <v>84</v>
      </c>
      <c r="W98" s="383" t="s">
        <v>85</v>
      </c>
    </row>
    <row r="99" ht="15.75" customHeight="1" spans="10:23">
      <c r="J99" t="str">
        <f t="shared" si="20"/>
        <v>Trd_bus_elc</v>
      </c>
      <c r="K99" t="str">
        <f t="shared" si="22"/>
        <v>\I:</v>
      </c>
      <c r="L99" t="str">
        <f t="shared" si="21"/>
        <v>\I:</v>
      </c>
      <c r="M99" s="380" t="str">
        <f t="shared" si="23"/>
        <v/>
      </c>
      <c r="N99" s="380" t="str">
        <f t="shared" si="24"/>
        <v/>
      </c>
      <c r="O99" s="380" t="str">
        <f t="shared" si="25"/>
        <v/>
      </c>
      <c r="P99" s="380" t="str">
        <f t="shared" si="26"/>
        <v/>
      </c>
      <c r="S99" t="s">
        <v>83</v>
      </c>
      <c r="T99" t="str">
        <f t="shared" si="27"/>
        <v>\I:</v>
      </c>
      <c r="U99" t="str">
        <f ca="1" t="shared" si="28"/>
        <v>Battery electric bus -- 00%</v>
      </c>
      <c r="V99" s="383" t="s">
        <v>84</v>
      </c>
      <c r="W99" s="383" t="s">
        <v>85</v>
      </c>
    </row>
    <row r="100" ht="20.25" customHeight="1" spans="2:23">
      <c r="B100" s="374" t="s">
        <v>29</v>
      </c>
      <c r="C100" s="374" t="s">
        <v>155</v>
      </c>
      <c r="D100" s="374"/>
      <c r="E100" s="374"/>
      <c r="F100" s="374"/>
      <c r="J100" t="str">
        <f t="shared" si="20"/>
        <v>Trd_bus_hh2</v>
      </c>
      <c r="K100" t="str">
        <f t="shared" si="22"/>
        <v>\I:</v>
      </c>
      <c r="L100" t="str">
        <f t="shared" si="21"/>
        <v>\I:</v>
      </c>
      <c r="M100" s="380" t="str">
        <f t="shared" si="23"/>
        <v/>
      </c>
      <c r="N100" s="380" t="str">
        <f t="shared" si="24"/>
        <v/>
      </c>
      <c r="O100" s="380" t="str">
        <f t="shared" si="25"/>
        <v/>
      </c>
      <c r="P100" s="380" t="str">
        <f t="shared" si="26"/>
        <v/>
      </c>
      <c r="S100" t="s">
        <v>83</v>
      </c>
      <c r="T100" t="str">
        <f t="shared" si="27"/>
        <v>\I:</v>
      </c>
      <c r="U100" t="str">
        <f ca="1" t="shared" si="28"/>
        <v>Hydrogen fuel cell bus -- Energy consumption (kg H2/100km)</v>
      </c>
      <c r="V100" s="383" t="s">
        <v>84</v>
      </c>
      <c r="W100" s="383" t="s">
        <v>85</v>
      </c>
    </row>
    <row r="101" ht="20.25" customHeight="1" spans="2:23">
      <c r="B101" s="374"/>
      <c r="C101" s="374"/>
      <c r="D101" s="374"/>
      <c r="E101" s="374"/>
      <c r="F101" s="374"/>
      <c r="J101" t="str">
        <f t="shared" si="20"/>
        <v>Trd_bus_hh2</v>
      </c>
      <c r="K101" t="str">
        <f t="shared" si="22"/>
        <v>\I:</v>
      </c>
      <c r="L101" t="str">
        <f t="shared" si="21"/>
        <v>\I:</v>
      </c>
      <c r="M101" s="380" t="str">
        <f t="shared" si="23"/>
        <v/>
      </c>
      <c r="N101" s="380" t="str">
        <f t="shared" si="24"/>
        <v/>
      </c>
      <c r="O101" s="380" t="str">
        <f t="shared" si="25"/>
        <v/>
      </c>
      <c r="P101" s="380" t="str">
        <f t="shared" si="26"/>
        <v/>
      </c>
      <c r="S101" t="s">
        <v>83</v>
      </c>
      <c r="T101" t="str">
        <f t="shared" si="27"/>
        <v>\I:</v>
      </c>
      <c r="U101" t="str">
        <f ca="1" t="shared" si="28"/>
        <v>Hydrogen fuel cell bus -- 00%</v>
      </c>
      <c r="V101" s="383" t="s">
        <v>84</v>
      </c>
      <c r="W101" s="383" t="s">
        <v>85</v>
      </c>
    </row>
    <row r="102" spans="2:23">
      <c r="B102" s="374"/>
      <c r="C102" s="374"/>
      <c r="D102" s="374"/>
      <c r="E102" s="374"/>
      <c r="F102" s="374"/>
      <c r="J102" t="str">
        <f t="shared" si="20"/>
        <v>Trd_bus_hh2</v>
      </c>
      <c r="K102" t="str">
        <f t="shared" si="22"/>
        <v>\I:</v>
      </c>
      <c r="L102" t="str">
        <f t="shared" si="21"/>
        <v>\I:</v>
      </c>
      <c r="M102" s="380" t="str">
        <f t="shared" si="23"/>
        <v/>
      </c>
      <c r="N102" s="380" t="str">
        <f t="shared" si="24"/>
        <v/>
      </c>
      <c r="O102" s="380" t="str">
        <f t="shared" si="25"/>
        <v/>
      </c>
      <c r="P102" s="380" t="str">
        <f t="shared" si="26"/>
        <v/>
      </c>
      <c r="S102" t="s">
        <v>83</v>
      </c>
      <c r="T102" t="str">
        <f t="shared" si="27"/>
        <v>\I:</v>
      </c>
      <c r="U102" t="str">
        <f ca="1" t="shared" si="28"/>
        <v>Hydrogen fuel cell bus -- 00%</v>
      </c>
      <c r="V102" s="383" t="s">
        <v>84</v>
      </c>
      <c r="W102" s="383" t="s">
        <v>85</v>
      </c>
    </row>
    <row r="103" spans="2:23">
      <c r="B103" s="49"/>
      <c r="C103" s="50">
        <v>2020</v>
      </c>
      <c r="D103" s="50">
        <v>2030</v>
      </c>
      <c r="E103" s="50">
        <v>2040</v>
      </c>
      <c r="F103" s="50">
        <v>2050</v>
      </c>
      <c r="J103" t="str">
        <f t="shared" si="20"/>
        <v>Trd_bus_hh2</v>
      </c>
      <c r="K103" t="str">
        <f t="shared" si="22"/>
        <v>\I:</v>
      </c>
      <c r="L103" t="str">
        <f t="shared" si="21"/>
        <v>\I:</v>
      </c>
      <c r="M103" s="380" t="str">
        <f t="shared" si="23"/>
        <v/>
      </c>
      <c r="N103" s="380" t="str">
        <f t="shared" si="24"/>
        <v/>
      </c>
      <c r="O103" s="380" t="str">
        <f t="shared" si="25"/>
        <v/>
      </c>
      <c r="P103" s="380" t="str">
        <f t="shared" si="26"/>
        <v/>
      </c>
      <c r="S103" t="s">
        <v>83</v>
      </c>
      <c r="T103" t="str">
        <f t="shared" si="27"/>
        <v>\I:</v>
      </c>
      <c r="U103" t="str">
        <f ca="1" t="shared" si="28"/>
        <v>Hydrogen fuel cell bus -- 00%</v>
      </c>
      <c r="V103" s="383" t="s">
        <v>84</v>
      </c>
      <c r="W103" s="383" t="s">
        <v>85</v>
      </c>
    </row>
    <row r="104" spans="2:23">
      <c r="B104" s="67">
        <v>9</v>
      </c>
      <c r="C104" s="86">
        <v>598114.464021425</v>
      </c>
      <c r="D104" s="86">
        <v>388321.426107765</v>
      </c>
      <c r="E104" s="86">
        <v>330842.322103657</v>
      </c>
      <c r="F104" s="86">
        <v>315835.594304073</v>
      </c>
      <c r="G104" s="77">
        <f>B104*0.12/100*10^9/10^6</f>
        <v>10.8</v>
      </c>
      <c r="H104" s="77"/>
      <c r="I104" s="373">
        <f>1/G104/$I$7</f>
        <v>1.28480981247733</v>
      </c>
      <c r="J104" t="str">
        <f t="shared" si="20"/>
        <v>Trd_bus_hh2</v>
      </c>
      <c r="K104" t="str">
        <f>IFERROR(IF(VALUE(C104)&gt;2020,J104&amp;"_"&amp;TEXT(B104,"0.0"),"\I:"),"\I:")</f>
        <v>Trd_bus_hh2_9.0</v>
      </c>
      <c r="L104" t="str">
        <f t="shared" si="21"/>
        <v>Trd_bus</v>
      </c>
      <c r="M104" s="380">
        <f t="shared" si="23"/>
        <v>598114.464021425</v>
      </c>
      <c r="N104" s="380">
        <f t="shared" si="24"/>
        <v>388321.426107765</v>
      </c>
      <c r="O104" s="380">
        <f t="shared" si="25"/>
        <v>330842.322103657</v>
      </c>
      <c r="P104" s="380">
        <f t="shared" si="26"/>
        <v>315835.594304073</v>
      </c>
      <c r="S104" t="s">
        <v>83</v>
      </c>
      <c r="T104" t="str">
        <f t="shared" si="27"/>
        <v>Trd_bus_hh2_9.0</v>
      </c>
      <c r="U104" t="str">
        <f ca="1" t="shared" si="28"/>
        <v>Hydrogen fuel cell bus -- 900%</v>
      </c>
      <c r="V104" s="383" t="s">
        <v>84</v>
      </c>
      <c r="W104" s="383" t="s">
        <v>85</v>
      </c>
    </row>
    <row r="105" spans="2:23">
      <c r="B105" s="67">
        <v>8.72761097353185</v>
      </c>
      <c r="C105" s="86">
        <v>598869.167854178</v>
      </c>
      <c r="D105" s="86">
        <v>388841.77453982</v>
      </c>
      <c r="E105" s="86">
        <v>331297.792486932</v>
      </c>
      <c r="F105" s="86">
        <v>316226.186638567</v>
      </c>
      <c r="G105" s="77">
        <f t="shared" ref="G105:G111" si="31">B105*0.12/100*10^9/10^6</f>
        <v>10.4731331682382</v>
      </c>
      <c r="H105" s="77"/>
      <c r="I105" s="373">
        <f t="shared" ref="I105:I111" si="32">1/G105/$I$7</f>
        <v>1.3249087691195</v>
      </c>
      <c r="J105" t="str">
        <f t="shared" si="20"/>
        <v>Trd_bus_hh2</v>
      </c>
      <c r="K105" t="str">
        <f t="shared" ref="K105:K111" si="33">IFERROR(IF(VALUE(C105)&gt;2020,J105&amp;"_"&amp;TEXT(B105,"0.0"),"\I:"),"\I:")</f>
        <v>Trd_bus_hh2_8.7</v>
      </c>
      <c r="L105" t="str">
        <f t="shared" si="21"/>
        <v>Trd_bus</v>
      </c>
      <c r="M105" s="380">
        <f t="shared" si="23"/>
        <v>598869.167854178</v>
      </c>
      <c r="N105" s="380">
        <f t="shared" si="24"/>
        <v>388841.77453982</v>
      </c>
      <c r="O105" s="380">
        <f t="shared" si="25"/>
        <v>331297.792486932</v>
      </c>
      <c r="P105" s="380">
        <f t="shared" si="26"/>
        <v>316226.186638567</v>
      </c>
      <c r="S105" t="s">
        <v>83</v>
      </c>
      <c r="T105" t="str">
        <f t="shared" si="27"/>
        <v>Trd_bus_hh2_8.7</v>
      </c>
      <c r="U105" t="str">
        <f ca="1" t="shared" si="28"/>
        <v>Hydrogen fuel cell bus -- 873%</v>
      </c>
      <c r="V105" s="383" t="s">
        <v>84</v>
      </c>
      <c r="W105" s="383" t="s">
        <v>85</v>
      </c>
    </row>
    <row r="106" spans="2:23">
      <c r="B106" s="67">
        <v>8.45522194706371</v>
      </c>
      <c r="C106" s="86">
        <v>599623.87168693</v>
      </c>
      <c r="D106" s="86">
        <v>389362.122971876</v>
      </c>
      <c r="E106" s="86">
        <v>331753.262870207</v>
      </c>
      <c r="F106" s="86">
        <v>316616.778973062</v>
      </c>
      <c r="G106" s="77">
        <f t="shared" si="31"/>
        <v>10.1462663364765</v>
      </c>
      <c r="H106" s="77"/>
      <c r="I106" s="373">
        <f t="shared" si="32"/>
        <v>1.36759133996614</v>
      </c>
      <c r="J106" t="str">
        <f t="shared" si="20"/>
        <v>Trd_bus_hh2</v>
      </c>
      <c r="K106" t="str">
        <f t="shared" si="33"/>
        <v>Trd_bus_hh2_8.5</v>
      </c>
      <c r="L106" t="str">
        <f t="shared" si="21"/>
        <v>Trd_bus</v>
      </c>
      <c r="M106" s="380">
        <f t="shared" si="23"/>
        <v>599623.87168693</v>
      </c>
      <c r="N106" s="380">
        <f t="shared" si="24"/>
        <v>389362.122971876</v>
      </c>
      <c r="O106" s="380">
        <f t="shared" si="25"/>
        <v>331753.262870207</v>
      </c>
      <c r="P106" s="380">
        <f t="shared" si="26"/>
        <v>316616.778973062</v>
      </c>
      <c r="S106" t="s">
        <v>83</v>
      </c>
      <c r="T106" t="str">
        <f t="shared" si="27"/>
        <v>Trd_bus_hh2_8.5</v>
      </c>
      <c r="U106" t="str">
        <f ca="1" t="shared" si="28"/>
        <v>Hydrogen fuel cell bus -- 846%</v>
      </c>
      <c r="V106" s="383" t="s">
        <v>84</v>
      </c>
      <c r="W106" s="383" t="s">
        <v>85</v>
      </c>
    </row>
    <row r="107" spans="2:23">
      <c r="B107" s="67">
        <v>8.18283292059556</v>
      </c>
      <c r="C107" s="86">
        <v>600378.575519683</v>
      </c>
      <c r="D107" s="86">
        <v>389882.471403932</v>
      </c>
      <c r="E107" s="86">
        <v>332208.733253483</v>
      </c>
      <c r="F107" s="86">
        <v>317007.371307557</v>
      </c>
      <c r="G107" s="77">
        <f t="shared" si="31"/>
        <v>9.81939950471467</v>
      </c>
      <c r="H107" s="77"/>
      <c r="I107" s="373">
        <f t="shared" si="32"/>
        <v>1.41311553400926</v>
      </c>
      <c r="J107" t="str">
        <f t="shared" si="20"/>
        <v>Trd_bus_hh2</v>
      </c>
      <c r="K107" t="str">
        <f t="shared" si="33"/>
        <v>Trd_bus_hh2_8.2</v>
      </c>
      <c r="L107" t="str">
        <f t="shared" si="21"/>
        <v>Trd_bus</v>
      </c>
      <c r="M107" s="380">
        <f t="shared" si="23"/>
        <v>600378.575519683</v>
      </c>
      <c r="N107" s="380">
        <f t="shared" si="24"/>
        <v>389882.471403932</v>
      </c>
      <c r="O107" s="380">
        <f t="shared" si="25"/>
        <v>332208.733253483</v>
      </c>
      <c r="P107" s="380">
        <f t="shared" si="26"/>
        <v>317007.371307557</v>
      </c>
      <c r="S107" t="s">
        <v>83</v>
      </c>
      <c r="T107" t="str">
        <f t="shared" si="27"/>
        <v>Trd_bus_hh2_8.2</v>
      </c>
      <c r="U107" t="str">
        <f ca="1" t="shared" si="28"/>
        <v>Hydrogen fuel cell bus -- 818%</v>
      </c>
      <c r="V107" s="383" t="s">
        <v>84</v>
      </c>
      <c r="W107" s="383" t="s">
        <v>85</v>
      </c>
    </row>
    <row r="108" spans="2:23">
      <c r="B108" s="67">
        <v>7.91044389412742</v>
      </c>
      <c r="C108" s="86">
        <v>601133.279352436</v>
      </c>
      <c r="D108" s="86">
        <v>390402.819835988</v>
      </c>
      <c r="E108" s="86">
        <v>332664.203636758</v>
      </c>
      <c r="F108" s="86">
        <v>317397.963642052</v>
      </c>
      <c r="G108" s="77">
        <f t="shared" si="31"/>
        <v>9.4925326729529</v>
      </c>
      <c r="H108" s="77"/>
      <c r="I108" s="373">
        <f t="shared" si="32"/>
        <v>1.46177489747198</v>
      </c>
      <c r="J108" t="str">
        <f t="shared" si="20"/>
        <v>Trd_bus_hh2</v>
      </c>
      <c r="K108" t="str">
        <f t="shared" si="33"/>
        <v>Trd_bus_hh2_7.9</v>
      </c>
      <c r="L108" t="str">
        <f t="shared" si="21"/>
        <v>Trd_bus</v>
      </c>
      <c r="M108" s="380">
        <f t="shared" si="23"/>
        <v>601133.279352436</v>
      </c>
      <c r="N108" s="380">
        <f t="shared" si="24"/>
        <v>390402.819835988</v>
      </c>
      <c r="O108" s="380">
        <f t="shared" si="25"/>
        <v>332664.203636758</v>
      </c>
      <c r="P108" s="380">
        <f t="shared" si="26"/>
        <v>317397.963642052</v>
      </c>
      <c r="S108" t="s">
        <v>83</v>
      </c>
      <c r="T108" t="str">
        <f t="shared" si="27"/>
        <v>Trd_bus_hh2_7.9</v>
      </c>
      <c r="U108" t="str">
        <f ca="1" t="shared" si="28"/>
        <v>Hydrogen fuel cell bus -- 791%</v>
      </c>
      <c r="V108" s="383" t="s">
        <v>84</v>
      </c>
      <c r="W108" s="383" t="s">
        <v>85</v>
      </c>
    </row>
    <row r="109" spans="2:23">
      <c r="B109" s="67">
        <v>7.63805486765927</v>
      </c>
      <c r="C109" s="86">
        <v>601887.983185188</v>
      </c>
      <c r="D109" s="86">
        <v>390923.168268043</v>
      </c>
      <c r="E109" s="86">
        <v>333119.674020033</v>
      </c>
      <c r="F109" s="86">
        <v>317788.555976546</v>
      </c>
      <c r="G109" s="77">
        <f t="shared" si="31"/>
        <v>9.16566584119112</v>
      </c>
      <c r="H109" s="77"/>
      <c r="I109" s="373">
        <f t="shared" si="32"/>
        <v>1.51390485046877</v>
      </c>
      <c r="J109" t="str">
        <f t="shared" si="20"/>
        <v>Trd_bus_hh2</v>
      </c>
      <c r="K109" t="str">
        <f t="shared" si="33"/>
        <v>Trd_bus_hh2_7.6</v>
      </c>
      <c r="L109" t="str">
        <f t="shared" si="21"/>
        <v>Trd_bus</v>
      </c>
      <c r="M109" s="380">
        <f t="shared" si="23"/>
        <v>601887.983185188</v>
      </c>
      <c r="N109" s="380">
        <f t="shared" si="24"/>
        <v>390923.168268043</v>
      </c>
      <c r="O109" s="380">
        <f t="shared" si="25"/>
        <v>333119.674020033</v>
      </c>
      <c r="P109" s="380">
        <f t="shared" si="26"/>
        <v>317788.555976546</v>
      </c>
      <c r="S109" t="s">
        <v>83</v>
      </c>
      <c r="T109" t="str">
        <f t="shared" si="27"/>
        <v>Trd_bus_hh2_7.6</v>
      </c>
      <c r="U109" t="str">
        <f ca="1" t="shared" si="28"/>
        <v>Hydrogen fuel cell bus -- 764%</v>
      </c>
      <c r="V109" s="383" t="s">
        <v>84</v>
      </c>
      <c r="W109" s="383" t="s">
        <v>85</v>
      </c>
    </row>
    <row r="110" spans="2:23">
      <c r="B110" s="67">
        <v>7.36566584119112</v>
      </c>
      <c r="C110" s="86">
        <v>602642.687017941</v>
      </c>
      <c r="D110" s="86">
        <v>391443.516700099</v>
      </c>
      <c r="E110" s="86">
        <v>333575.144403309</v>
      </c>
      <c r="F110" s="86">
        <v>318179.148311041</v>
      </c>
      <c r="G110" s="77">
        <f t="shared" si="31"/>
        <v>8.83879900942934</v>
      </c>
      <c r="H110" s="77"/>
      <c r="I110" s="373">
        <f t="shared" si="32"/>
        <v>1.56989042967852</v>
      </c>
      <c r="J110" t="str">
        <f t="shared" si="20"/>
        <v>Trd_bus_hh2</v>
      </c>
      <c r="K110" t="str">
        <f t="shared" si="33"/>
        <v>Trd_bus_hh2_7.4</v>
      </c>
      <c r="L110" t="str">
        <f t="shared" si="21"/>
        <v>Trd_bus</v>
      </c>
      <c r="M110" s="380">
        <f t="shared" si="23"/>
        <v>602642.687017941</v>
      </c>
      <c r="N110" s="380">
        <f t="shared" si="24"/>
        <v>391443.516700099</v>
      </c>
      <c r="O110" s="380">
        <f t="shared" si="25"/>
        <v>333575.144403309</v>
      </c>
      <c r="P110" s="380">
        <f t="shared" si="26"/>
        <v>318179.148311041</v>
      </c>
      <c r="S110" t="s">
        <v>83</v>
      </c>
      <c r="T110" t="str">
        <f t="shared" si="27"/>
        <v>Trd_bus_hh2_7.4</v>
      </c>
      <c r="U110" t="str">
        <f ca="1" t="shared" si="28"/>
        <v>Hydrogen fuel cell bus -- 737%</v>
      </c>
      <c r="V110" s="383" t="s">
        <v>84</v>
      </c>
      <c r="W110" s="383" t="s">
        <v>85</v>
      </c>
    </row>
    <row r="111" spans="2:23">
      <c r="B111" s="67">
        <v>7.09327681472298</v>
      </c>
      <c r="C111" s="86">
        <v>603397.390850693</v>
      </c>
      <c r="D111" s="86">
        <v>391963.865132155</v>
      </c>
      <c r="E111" s="86">
        <v>334030.614786584</v>
      </c>
      <c r="F111" s="86">
        <v>318569.740645536</v>
      </c>
      <c r="G111" s="77">
        <f t="shared" si="31"/>
        <v>8.51193217766758</v>
      </c>
      <c r="H111" s="77"/>
      <c r="I111" s="373">
        <f t="shared" si="32"/>
        <v>1.63017581497664</v>
      </c>
      <c r="J111" t="str">
        <f t="shared" si="20"/>
        <v>Trd_bus_hh2</v>
      </c>
      <c r="K111" t="str">
        <f t="shared" si="33"/>
        <v>Trd_bus_hh2_7.1</v>
      </c>
      <c r="L111" t="str">
        <f t="shared" si="21"/>
        <v>Trd_bus</v>
      </c>
      <c r="M111" s="380">
        <f t="shared" si="23"/>
        <v>603397.390850693</v>
      </c>
      <c r="N111" s="380">
        <f t="shared" si="24"/>
        <v>391963.865132155</v>
      </c>
      <c r="O111" s="380">
        <f t="shared" si="25"/>
        <v>334030.614786584</v>
      </c>
      <c r="P111" s="380">
        <f t="shared" si="26"/>
        <v>318569.740645536</v>
      </c>
      <c r="S111" t="s">
        <v>83</v>
      </c>
      <c r="T111" t="str">
        <f t="shared" si="27"/>
        <v>Trd_bus_hh2_7.1</v>
      </c>
      <c r="U111" t="str">
        <f ca="1" t="shared" si="28"/>
        <v>Hydrogen fuel cell bus -- 709%</v>
      </c>
      <c r="V111" s="383" t="s">
        <v>84</v>
      </c>
      <c r="W111" s="383" t="s">
        <v>85</v>
      </c>
    </row>
    <row r="112" spans="10:23">
      <c r="J112" t="str">
        <f t="shared" si="20"/>
        <v>Trd_bus_hh2</v>
      </c>
      <c r="K112" t="str">
        <f t="shared" si="22"/>
        <v>\I:</v>
      </c>
      <c r="L112" t="str">
        <f t="shared" si="21"/>
        <v>\I:</v>
      </c>
      <c r="M112" s="380" t="str">
        <f t="shared" si="23"/>
        <v/>
      </c>
      <c r="N112" s="380" t="str">
        <f t="shared" si="24"/>
        <v/>
      </c>
      <c r="O112" s="380" t="str">
        <f t="shared" si="25"/>
        <v/>
      </c>
      <c r="P112" s="380" t="str">
        <f t="shared" si="26"/>
        <v/>
      </c>
      <c r="S112" t="s">
        <v>83</v>
      </c>
      <c r="T112" t="str">
        <f t="shared" si="27"/>
        <v>\I:</v>
      </c>
      <c r="U112" t="str">
        <f ca="1" t="shared" si="28"/>
        <v>Hydrogen fuel cell bus -- 00%</v>
      </c>
      <c r="V112" s="383" t="s">
        <v>84</v>
      </c>
      <c r="W112" s="383" t="s">
        <v>85</v>
      </c>
    </row>
    <row r="113" spans="10:23">
      <c r="J113" t="str">
        <f t="shared" si="20"/>
        <v>Trd_bus_hh2</v>
      </c>
      <c r="K113" t="str">
        <f t="shared" si="22"/>
        <v>\I:</v>
      </c>
      <c r="L113" t="str">
        <f t="shared" si="21"/>
        <v>\I:</v>
      </c>
      <c r="M113" s="380" t="str">
        <f t="shared" si="23"/>
        <v/>
      </c>
      <c r="N113" s="380" t="str">
        <f t="shared" si="24"/>
        <v/>
      </c>
      <c r="O113" s="380" t="str">
        <f t="shared" si="25"/>
        <v/>
      </c>
      <c r="P113" s="380" t="str">
        <f t="shared" si="26"/>
        <v/>
      </c>
      <c r="S113" t="s">
        <v>83</v>
      </c>
      <c r="T113" t="str">
        <f t="shared" si="27"/>
        <v>\I:</v>
      </c>
      <c r="U113" t="str">
        <f ca="1" t="shared" si="28"/>
        <v>Hydrogen fuel cell bus -- 00%</v>
      </c>
      <c r="V113" s="383" t="s">
        <v>84</v>
      </c>
      <c r="W113" s="383" t="s">
        <v>85</v>
      </c>
    </row>
    <row r="114" ht="18.5" spans="2:23">
      <c r="B114" s="369" t="s">
        <v>162</v>
      </c>
      <c r="C114" s="370"/>
      <c r="D114" s="370"/>
      <c r="E114" s="370"/>
      <c r="F114" s="371"/>
      <c r="J114" t="str">
        <f t="shared" si="20"/>
        <v>Trd_bus_hh2</v>
      </c>
      <c r="K114" t="str">
        <f t="shared" si="22"/>
        <v>\I:</v>
      </c>
      <c r="L114" t="str">
        <f t="shared" si="21"/>
        <v>\I:</v>
      </c>
      <c r="M114" s="380" t="str">
        <f t="shared" si="23"/>
        <v/>
      </c>
      <c r="N114" s="380" t="str">
        <f t="shared" si="24"/>
        <v/>
      </c>
      <c r="O114" s="380" t="str">
        <f t="shared" si="25"/>
        <v/>
      </c>
      <c r="P114" s="380" t="str">
        <f t="shared" si="26"/>
        <v/>
      </c>
      <c r="S114" t="s">
        <v>83</v>
      </c>
      <c r="T114" t="str">
        <f t="shared" si="27"/>
        <v>\I:</v>
      </c>
      <c r="U114" t="str">
        <f ca="1" t="shared" si="28"/>
        <v>Hydrogen fuel cell bus -- COACHES</v>
      </c>
      <c r="V114" s="383" t="s">
        <v>84</v>
      </c>
      <c r="W114" s="383" t="s">
        <v>85</v>
      </c>
    </row>
    <row r="115" spans="10:23">
      <c r="J115" t="str">
        <f t="shared" si="20"/>
        <v>Trd_bus_hh2</v>
      </c>
      <c r="K115" t="str">
        <f t="shared" si="22"/>
        <v>\I:</v>
      </c>
      <c r="L115" t="str">
        <f t="shared" si="21"/>
        <v>\I:</v>
      </c>
      <c r="M115" s="380" t="str">
        <f t="shared" si="23"/>
        <v/>
      </c>
      <c r="N115" s="380" t="str">
        <f t="shared" si="24"/>
        <v/>
      </c>
      <c r="O115" s="380" t="str">
        <f t="shared" si="25"/>
        <v/>
      </c>
      <c r="P115" s="380" t="str">
        <f t="shared" si="26"/>
        <v/>
      </c>
      <c r="S115" t="s">
        <v>83</v>
      </c>
      <c r="T115" t="str">
        <f t="shared" si="27"/>
        <v>\I:</v>
      </c>
      <c r="U115" t="str">
        <f ca="1" t="shared" si="28"/>
        <v>Hydrogen fuel cell bus -- 00%</v>
      </c>
      <c r="V115" s="383" t="s">
        <v>84</v>
      </c>
      <c r="W115" s="383" t="s">
        <v>85</v>
      </c>
    </row>
    <row r="116" spans="2:23">
      <c r="B116" s="43" t="s">
        <v>163</v>
      </c>
      <c r="J116" t="str">
        <f t="shared" si="20"/>
        <v>Trd_bus_hh2</v>
      </c>
      <c r="K116" t="str">
        <f t="shared" si="22"/>
        <v>\I:</v>
      </c>
      <c r="L116" t="str">
        <f t="shared" si="21"/>
        <v>\I:</v>
      </c>
      <c r="M116" s="380" t="str">
        <f t="shared" si="23"/>
        <v/>
      </c>
      <c r="N116" s="380" t="str">
        <f t="shared" si="24"/>
        <v/>
      </c>
      <c r="O116" s="380" t="str">
        <f t="shared" si="25"/>
        <v/>
      </c>
      <c r="P116" s="380" t="str">
        <f t="shared" si="26"/>
        <v/>
      </c>
      <c r="S116" t="s">
        <v>83</v>
      </c>
      <c r="T116" t="str">
        <f t="shared" si="27"/>
        <v>\I:</v>
      </c>
      <c r="U116" t="str">
        <f ca="1" t="shared" si="28"/>
        <v>Hydrogen fuel cell bus -- Reference values for diesel coach</v>
      </c>
      <c r="V116" s="383" t="s">
        <v>84</v>
      </c>
      <c r="W116" s="383" t="s">
        <v>85</v>
      </c>
    </row>
    <row r="117" spans="2:23">
      <c r="B117" s="372">
        <v>2015</v>
      </c>
      <c r="C117" s="372"/>
      <c r="D117" s="372"/>
      <c r="J117" t="str">
        <f t="shared" si="20"/>
        <v>Trd_bus_hh2</v>
      </c>
      <c r="K117" t="str">
        <f t="shared" si="22"/>
        <v>\I:</v>
      </c>
      <c r="L117" t="str">
        <f t="shared" si="21"/>
        <v>\I:</v>
      </c>
      <c r="M117" s="380" t="str">
        <f t="shared" si="23"/>
        <v/>
      </c>
      <c r="N117" s="380" t="str">
        <f t="shared" si="24"/>
        <v/>
      </c>
      <c r="O117" s="380" t="str">
        <f t="shared" si="25"/>
        <v/>
      </c>
      <c r="P117" s="380" t="str">
        <f t="shared" si="26"/>
        <v/>
      </c>
      <c r="S117" t="s">
        <v>83</v>
      </c>
      <c r="T117" t="str">
        <f t="shared" si="27"/>
        <v>\I:</v>
      </c>
      <c r="U117" t="str">
        <f ca="1" t="shared" si="28"/>
        <v>Hydrogen fuel cell bus -- 201500%</v>
      </c>
      <c r="V117" s="383" t="s">
        <v>84</v>
      </c>
      <c r="W117" s="383" t="s">
        <v>85</v>
      </c>
    </row>
    <row r="118" spans="2:23">
      <c r="B118" s="45" t="s">
        <v>12</v>
      </c>
      <c r="C118" s="46" t="s">
        <v>13</v>
      </c>
      <c r="D118" s="47">
        <v>26.3482912719114</v>
      </c>
      <c r="J118" t="str">
        <f t="shared" si="20"/>
        <v>Trd_bus_hh2</v>
      </c>
      <c r="K118" t="str">
        <f t="shared" si="22"/>
        <v>\I:</v>
      </c>
      <c r="L118" t="str">
        <f t="shared" si="21"/>
        <v>\I:</v>
      </c>
      <c r="M118" s="380" t="str">
        <f t="shared" si="23"/>
        <v/>
      </c>
      <c r="N118" s="380" t="str">
        <f t="shared" si="24"/>
        <v/>
      </c>
      <c r="O118" s="380" t="str">
        <f t="shared" si="25"/>
        <v/>
      </c>
      <c r="P118" s="380" t="str">
        <f t="shared" si="26"/>
        <v/>
      </c>
      <c r="S118" t="s">
        <v>83</v>
      </c>
      <c r="T118" t="str">
        <f t="shared" si="27"/>
        <v>\I:</v>
      </c>
      <c r="U118" t="str">
        <f ca="1" t="shared" si="28"/>
        <v>Hydrogen fuel cell bus -- Energy consumption</v>
      </c>
      <c r="V118" s="383" t="s">
        <v>84</v>
      </c>
      <c r="W118" s="383" t="s">
        <v>85</v>
      </c>
    </row>
    <row r="119" spans="2:23">
      <c r="B119" s="45" t="s">
        <v>14</v>
      </c>
      <c r="C119" s="46" t="s">
        <v>15</v>
      </c>
      <c r="D119" s="68">
        <v>295091.098544713</v>
      </c>
      <c r="J119" t="str">
        <f t="shared" si="20"/>
        <v>Trd_bus_hh2</v>
      </c>
      <c r="K119" t="str">
        <f t="shared" si="22"/>
        <v>\I:</v>
      </c>
      <c r="L119" t="str">
        <f t="shared" si="21"/>
        <v>\I:</v>
      </c>
      <c r="M119" s="380" t="str">
        <f t="shared" si="23"/>
        <v/>
      </c>
      <c r="N119" s="380" t="str">
        <f t="shared" si="24"/>
        <v/>
      </c>
      <c r="O119" s="380" t="str">
        <f t="shared" si="25"/>
        <v/>
      </c>
      <c r="P119" s="380" t="str">
        <f t="shared" si="26"/>
        <v/>
      </c>
      <c r="S119" t="s">
        <v>83</v>
      </c>
      <c r="T119" t="str">
        <f t="shared" si="27"/>
        <v>\I:</v>
      </c>
      <c r="U119" t="str">
        <f ca="1" t="shared" si="28"/>
        <v>Hydrogen fuel cell bus -- Capital cost</v>
      </c>
      <c r="V119" s="383" t="s">
        <v>84</v>
      </c>
      <c r="W119" s="383" t="s">
        <v>85</v>
      </c>
    </row>
    <row r="120" spans="10:23">
      <c r="J120" t="str">
        <f t="shared" si="20"/>
        <v>Trd_bus_hh2</v>
      </c>
      <c r="K120" t="str">
        <f t="shared" si="22"/>
        <v>\I:</v>
      </c>
      <c r="L120" t="str">
        <f t="shared" si="21"/>
        <v>\I:</v>
      </c>
      <c r="M120" s="380" t="str">
        <f t="shared" si="23"/>
        <v/>
      </c>
      <c r="N120" s="380" t="str">
        <f t="shared" si="24"/>
        <v/>
      </c>
      <c r="O120" s="380" t="str">
        <f t="shared" si="25"/>
        <v/>
      </c>
      <c r="P120" s="380" t="str">
        <f t="shared" si="26"/>
        <v/>
      </c>
      <c r="S120" t="s">
        <v>83</v>
      </c>
      <c r="T120" t="str">
        <f t="shared" si="27"/>
        <v>\I:</v>
      </c>
      <c r="U120" t="str">
        <f ca="1" t="shared" si="28"/>
        <v>Hydrogen fuel cell bus -- 00%</v>
      </c>
      <c r="V120" s="383" t="s">
        <v>84</v>
      </c>
      <c r="W120" s="383" t="s">
        <v>85</v>
      </c>
    </row>
    <row r="121" ht="15" customHeight="1" spans="2:23">
      <c r="B121" s="374" t="s">
        <v>21</v>
      </c>
      <c r="C121" s="374" t="s">
        <v>164</v>
      </c>
      <c r="D121" s="374"/>
      <c r="E121" s="374"/>
      <c r="F121" s="374"/>
      <c r="J121" t="str">
        <f t="shared" si="20"/>
        <v>\I:Trd_bus_</v>
      </c>
      <c r="K121" t="str">
        <f t="shared" si="22"/>
        <v>\I:</v>
      </c>
      <c r="L121" t="str">
        <f t="shared" si="21"/>
        <v>\I:</v>
      </c>
      <c r="M121" s="380" t="str">
        <f t="shared" si="23"/>
        <v/>
      </c>
      <c r="N121" s="380" t="str">
        <f t="shared" si="24"/>
        <v/>
      </c>
      <c r="O121" s="380" t="str">
        <f t="shared" si="25"/>
        <v/>
      </c>
      <c r="P121" s="380" t="str">
        <f t="shared" si="26"/>
        <v/>
      </c>
      <c r="S121" t="s">
        <v>83</v>
      </c>
      <c r="T121" t="str">
        <f t="shared" si="27"/>
        <v>\I:</v>
      </c>
      <c r="U121" t="str">
        <f ca="1" t="shared" si="28"/>
        <v>Hybrid diesel coach -- Reduction of specific energy consumption relative to 2015 diesel vehicle (%)</v>
      </c>
      <c r="V121" s="383" t="s">
        <v>84</v>
      </c>
      <c r="W121" s="383" t="s">
        <v>85</v>
      </c>
    </row>
    <row r="122" spans="2:23">
      <c r="B122" s="374"/>
      <c r="C122" s="374"/>
      <c r="D122" s="374"/>
      <c r="E122" s="374"/>
      <c r="F122" s="374"/>
      <c r="J122" t="str">
        <f t="shared" si="20"/>
        <v>\I:Trd_bus_</v>
      </c>
      <c r="K122" t="str">
        <f t="shared" si="22"/>
        <v>\I:</v>
      </c>
      <c r="L122" t="str">
        <f t="shared" si="21"/>
        <v>\I:</v>
      </c>
      <c r="M122" s="380" t="str">
        <f t="shared" si="23"/>
        <v/>
      </c>
      <c r="N122" s="380" t="str">
        <f t="shared" si="24"/>
        <v/>
      </c>
      <c r="O122" s="380" t="str">
        <f t="shared" si="25"/>
        <v/>
      </c>
      <c r="P122" s="380" t="str">
        <f t="shared" si="26"/>
        <v/>
      </c>
      <c r="S122" t="s">
        <v>83</v>
      </c>
      <c r="T122" t="str">
        <f t="shared" si="27"/>
        <v>\I:</v>
      </c>
      <c r="U122" t="str">
        <f ca="1" t="shared" si="28"/>
        <v>Hybrid diesel coach -- 00%</v>
      </c>
      <c r="V122" s="383" t="s">
        <v>84</v>
      </c>
      <c r="W122" s="383" t="s">
        <v>85</v>
      </c>
    </row>
    <row r="123" spans="2:23">
      <c r="B123" s="374"/>
      <c r="C123" s="374"/>
      <c r="D123" s="374"/>
      <c r="E123" s="374"/>
      <c r="F123" s="374"/>
      <c r="J123" t="str">
        <f t="shared" si="20"/>
        <v>\I:Trd_bus_</v>
      </c>
      <c r="K123" t="str">
        <f t="shared" si="22"/>
        <v>\I:</v>
      </c>
      <c r="L123" t="str">
        <f t="shared" si="21"/>
        <v>\I:</v>
      </c>
      <c r="M123" s="380" t="str">
        <f t="shared" si="23"/>
        <v/>
      </c>
      <c r="N123" s="380" t="str">
        <f t="shared" si="24"/>
        <v/>
      </c>
      <c r="O123" s="380" t="str">
        <f t="shared" si="25"/>
        <v/>
      </c>
      <c r="P123" s="380" t="str">
        <f t="shared" si="26"/>
        <v/>
      </c>
      <c r="S123" t="s">
        <v>83</v>
      </c>
      <c r="T123" t="str">
        <f t="shared" si="27"/>
        <v>\I:</v>
      </c>
      <c r="U123" t="str">
        <f ca="1" t="shared" si="28"/>
        <v>Hybrid diesel coach -- 00%</v>
      </c>
      <c r="V123" s="383" t="s">
        <v>84</v>
      </c>
      <c r="W123" s="383" t="s">
        <v>85</v>
      </c>
    </row>
    <row r="124" spans="2:23">
      <c r="B124" s="49"/>
      <c r="C124" s="50">
        <v>2020</v>
      </c>
      <c r="D124" s="50">
        <v>2030</v>
      </c>
      <c r="E124" s="50">
        <v>2040</v>
      </c>
      <c r="F124" s="50">
        <v>2050</v>
      </c>
      <c r="J124" t="str">
        <f t="shared" si="20"/>
        <v>\I:Trd_bus_</v>
      </c>
      <c r="K124" t="str">
        <f t="shared" si="22"/>
        <v>\I:</v>
      </c>
      <c r="L124" t="str">
        <f t="shared" si="21"/>
        <v>\I:</v>
      </c>
      <c r="M124" s="380" t="str">
        <f t="shared" si="23"/>
        <v/>
      </c>
      <c r="N124" s="380" t="str">
        <f t="shared" si="24"/>
        <v/>
      </c>
      <c r="O124" s="380" t="str">
        <f t="shared" si="25"/>
        <v/>
      </c>
      <c r="P124" s="380" t="str">
        <f t="shared" si="26"/>
        <v/>
      </c>
      <c r="S124" t="s">
        <v>83</v>
      </c>
      <c r="T124" t="str">
        <f t="shared" si="27"/>
        <v>\I:</v>
      </c>
      <c r="U124" t="str">
        <f ca="1" t="shared" si="28"/>
        <v>Hybrid diesel coach -- 00%</v>
      </c>
      <c r="V124" s="383" t="s">
        <v>84</v>
      </c>
      <c r="W124" s="383" t="s">
        <v>85</v>
      </c>
    </row>
    <row r="125" spans="2:23">
      <c r="B125" s="51">
        <v>0.0609380868944008</v>
      </c>
      <c r="C125" s="86">
        <v>295911.463573696</v>
      </c>
      <c r="D125" s="86">
        <v>295911.463573696</v>
      </c>
      <c r="E125" s="86">
        <v>295911.463573696</v>
      </c>
      <c r="F125" s="86">
        <v>295911.463573696</v>
      </c>
      <c r="J125" t="str">
        <f t="shared" si="20"/>
        <v>\I:Trd_bus_</v>
      </c>
      <c r="K125" t="str">
        <f t="shared" si="22"/>
        <v>\I:Trd_bus__06</v>
      </c>
      <c r="L125" t="str">
        <f t="shared" si="21"/>
        <v>\I:Trd_</v>
      </c>
      <c r="M125" s="380">
        <f t="shared" si="23"/>
        <v>295911.463573696</v>
      </c>
      <c r="N125" s="380">
        <f t="shared" si="24"/>
        <v>295911.463573696</v>
      </c>
      <c r="O125" s="380">
        <f t="shared" si="25"/>
        <v>295911.463573696</v>
      </c>
      <c r="P125" s="380">
        <f t="shared" si="26"/>
        <v>295911.463573696</v>
      </c>
      <c r="S125" t="s">
        <v>83</v>
      </c>
      <c r="T125" t="str">
        <f t="shared" si="27"/>
        <v>\I:Trd_bus__06</v>
      </c>
      <c r="U125" t="str">
        <f ca="1" t="shared" si="28"/>
        <v>Hybrid diesel coach -- 06%</v>
      </c>
      <c r="V125" s="383" t="s">
        <v>84</v>
      </c>
      <c r="W125" s="383" t="s">
        <v>85</v>
      </c>
    </row>
    <row r="126" spans="2:23">
      <c r="B126" s="51">
        <v>0.110938086894401</v>
      </c>
      <c r="C126" s="86">
        <v>297415.753257641</v>
      </c>
      <c r="D126" s="86">
        <v>296918.611737195</v>
      </c>
      <c r="E126" s="86">
        <v>296918.611737195</v>
      </c>
      <c r="F126" s="86">
        <v>296918.611737195</v>
      </c>
      <c r="J126" t="str">
        <f t="shared" si="20"/>
        <v>\I:Trd_bus_</v>
      </c>
      <c r="K126" t="str">
        <f t="shared" si="22"/>
        <v>\I:Trd_bus__11</v>
      </c>
      <c r="L126" t="str">
        <f t="shared" si="21"/>
        <v>\I:Trd_</v>
      </c>
      <c r="M126" s="380">
        <f t="shared" si="23"/>
        <v>297415.753257641</v>
      </c>
      <c r="N126" s="380">
        <f t="shared" si="24"/>
        <v>296918.611737195</v>
      </c>
      <c r="O126" s="380">
        <f t="shared" si="25"/>
        <v>296918.611737195</v>
      </c>
      <c r="P126" s="380">
        <f t="shared" si="26"/>
        <v>296918.611737195</v>
      </c>
      <c r="S126" t="s">
        <v>83</v>
      </c>
      <c r="T126" t="str">
        <f t="shared" si="27"/>
        <v>\I:Trd_bus__11</v>
      </c>
      <c r="U126" t="str">
        <f ca="1" t="shared" si="28"/>
        <v>Hybrid diesel coach -- 11%</v>
      </c>
      <c r="V126" s="383" t="s">
        <v>84</v>
      </c>
      <c r="W126" s="383" t="s">
        <v>85</v>
      </c>
    </row>
    <row r="127" spans="2:23">
      <c r="B127" s="51">
        <v>0.160938086894401</v>
      </c>
      <c r="C127" s="86">
        <v>298843.040992476</v>
      </c>
      <c r="D127" s="86">
        <v>298432.836564148</v>
      </c>
      <c r="E127" s="86">
        <v>298432.836564148</v>
      </c>
      <c r="F127" s="86">
        <v>298432.836564148</v>
      </c>
      <c r="J127" t="str">
        <f t="shared" si="20"/>
        <v>\I:Trd_bus_</v>
      </c>
      <c r="K127" t="str">
        <f t="shared" si="22"/>
        <v>\I:Trd_bus__16</v>
      </c>
      <c r="L127" t="str">
        <f t="shared" si="21"/>
        <v>\I:Trd_</v>
      </c>
      <c r="M127" s="380">
        <f t="shared" si="23"/>
        <v>298843.040992476</v>
      </c>
      <c r="N127" s="380">
        <f t="shared" si="24"/>
        <v>298432.836564148</v>
      </c>
      <c r="O127" s="380">
        <f t="shared" si="25"/>
        <v>298432.836564148</v>
      </c>
      <c r="P127" s="380">
        <f t="shared" si="26"/>
        <v>298432.836564148</v>
      </c>
      <c r="S127" t="s">
        <v>83</v>
      </c>
      <c r="T127" t="str">
        <f t="shared" si="27"/>
        <v>\I:Trd_bus__16</v>
      </c>
      <c r="U127" t="str">
        <f ca="1" t="shared" si="28"/>
        <v>Hybrid diesel coach -- 16%</v>
      </c>
      <c r="V127" s="383" t="s">
        <v>84</v>
      </c>
      <c r="W127" s="383" t="s">
        <v>85</v>
      </c>
    </row>
    <row r="128" spans="2:23">
      <c r="B128" s="51">
        <v>0.210938086894401</v>
      </c>
      <c r="C128" s="86">
        <v>303920.757291406</v>
      </c>
      <c r="D128" s="86">
        <v>300709.439858143</v>
      </c>
      <c r="E128" s="86">
        <v>300709.439858143</v>
      </c>
      <c r="F128" s="86">
        <v>300709.439858143</v>
      </c>
      <c r="J128" t="str">
        <f t="shared" si="20"/>
        <v>\I:Trd_bus_</v>
      </c>
      <c r="K128" t="str">
        <f t="shared" si="22"/>
        <v>\I:Trd_bus__21</v>
      </c>
      <c r="L128" t="str">
        <f t="shared" si="21"/>
        <v>\I:Trd_</v>
      </c>
      <c r="M128" s="380">
        <f t="shared" si="23"/>
        <v>303920.757291406</v>
      </c>
      <c r="N128" s="380">
        <f t="shared" si="24"/>
        <v>300709.439858143</v>
      </c>
      <c r="O128" s="380">
        <f t="shared" si="25"/>
        <v>300709.439858143</v>
      </c>
      <c r="P128" s="380">
        <f t="shared" si="26"/>
        <v>300709.439858143</v>
      </c>
      <c r="S128" t="s">
        <v>83</v>
      </c>
      <c r="T128" t="str">
        <f t="shared" si="27"/>
        <v>\I:Trd_bus__21</v>
      </c>
      <c r="U128" t="str">
        <f ca="1" t="shared" si="28"/>
        <v>Hybrid diesel coach -- 21%</v>
      </c>
      <c r="V128" s="383" t="s">
        <v>84</v>
      </c>
      <c r="W128" s="383" t="s">
        <v>85</v>
      </c>
    </row>
    <row r="129" spans="2:23">
      <c r="B129" s="51">
        <v>0.260938086894401</v>
      </c>
      <c r="C129" s="86">
        <v>309741.765477435</v>
      </c>
      <c r="D129" s="86">
        <v>304132.262193354</v>
      </c>
      <c r="E129" s="86">
        <v>304132.262193354</v>
      </c>
      <c r="F129" s="86">
        <v>304132.262193354</v>
      </c>
      <c r="J129" t="str">
        <f t="shared" si="20"/>
        <v>\I:Trd_bus_</v>
      </c>
      <c r="K129" t="str">
        <f t="shared" si="22"/>
        <v>\I:Trd_bus__26</v>
      </c>
      <c r="L129" t="str">
        <f t="shared" si="21"/>
        <v>\I:Trd_</v>
      </c>
      <c r="M129" s="380">
        <f t="shared" si="23"/>
        <v>309741.765477435</v>
      </c>
      <c r="N129" s="380">
        <f t="shared" si="24"/>
        <v>304132.262193354</v>
      </c>
      <c r="O129" s="380">
        <f t="shared" si="25"/>
        <v>304132.262193354</v>
      </c>
      <c r="P129" s="380">
        <f t="shared" si="26"/>
        <v>304132.262193354</v>
      </c>
      <c r="S129" t="s">
        <v>83</v>
      </c>
      <c r="T129" t="str">
        <f t="shared" si="27"/>
        <v>\I:Trd_bus__26</v>
      </c>
      <c r="U129" t="str">
        <f ca="1" t="shared" si="28"/>
        <v>Hybrid diesel coach -- 26%</v>
      </c>
      <c r="V129" s="383" t="s">
        <v>84</v>
      </c>
      <c r="W129" s="383" t="s">
        <v>85</v>
      </c>
    </row>
    <row r="130" spans="2:23">
      <c r="B130" s="51">
        <v>0.280938086894401</v>
      </c>
      <c r="C130" s="86">
        <v>335473.605243984</v>
      </c>
      <c r="D130" s="86">
        <v>309404.868466266</v>
      </c>
      <c r="E130" s="86">
        <v>309278.399321997</v>
      </c>
      <c r="F130" s="86">
        <v>309278.399321997</v>
      </c>
      <c r="J130" t="str">
        <f t="shared" si="20"/>
        <v>\I:Trd_bus_</v>
      </c>
      <c r="K130" t="str">
        <f t="shared" si="22"/>
        <v>\I:Trd_bus__28</v>
      </c>
      <c r="L130" t="str">
        <f t="shared" si="21"/>
        <v>\I:Trd_</v>
      </c>
      <c r="M130" s="380">
        <f t="shared" si="23"/>
        <v>335473.605243984</v>
      </c>
      <c r="N130" s="380">
        <f t="shared" si="24"/>
        <v>309404.868466266</v>
      </c>
      <c r="O130" s="380">
        <f t="shared" si="25"/>
        <v>309278.399321997</v>
      </c>
      <c r="P130" s="380">
        <f t="shared" si="26"/>
        <v>309278.399321997</v>
      </c>
      <c r="S130" t="s">
        <v>83</v>
      </c>
      <c r="T130" t="str">
        <f t="shared" si="27"/>
        <v>\I:Trd_bus__28</v>
      </c>
      <c r="U130" t="str">
        <f ca="1" t="shared" si="28"/>
        <v>Hybrid diesel coach -- 28%</v>
      </c>
      <c r="V130" s="383" t="s">
        <v>84</v>
      </c>
      <c r="W130" s="383" t="s">
        <v>85</v>
      </c>
    </row>
    <row r="131" spans="2:23">
      <c r="B131" s="51">
        <v>0.310938086894401</v>
      </c>
      <c r="C131" s="86">
        <v>420562.333159275</v>
      </c>
      <c r="D131" s="86">
        <v>325515.14335664</v>
      </c>
      <c r="E131" s="86">
        <v>317015.501851208</v>
      </c>
      <c r="F131" s="86">
        <v>317015.501851208</v>
      </c>
      <c r="J131" t="str">
        <f t="shared" si="20"/>
        <v>\I:Trd_bus_</v>
      </c>
      <c r="K131" t="str">
        <f t="shared" si="22"/>
        <v>\I:Trd_bus__31</v>
      </c>
      <c r="L131" t="str">
        <f t="shared" si="21"/>
        <v>\I:Trd_</v>
      </c>
      <c r="M131" s="380">
        <f t="shared" si="23"/>
        <v>420562.333159275</v>
      </c>
      <c r="N131" s="380">
        <f t="shared" si="24"/>
        <v>325515.14335664</v>
      </c>
      <c r="O131" s="380">
        <f t="shared" si="25"/>
        <v>317015.501851208</v>
      </c>
      <c r="P131" s="380">
        <f t="shared" si="26"/>
        <v>317015.501851208</v>
      </c>
      <c r="S131" t="s">
        <v>83</v>
      </c>
      <c r="T131" t="str">
        <f t="shared" si="27"/>
        <v>\I:Trd_bus__31</v>
      </c>
      <c r="U131" t="str">
        <f ca="1" t="shared" si="28"/>
        <v>Hybrid diesel coach -- 31%</v>
      </c>
      <c r="V131" s="383" t="s">
        <v>84</v>
      </c>
      <c r="W131" s="383" t="s">
        <v>85</v>
      </c>
    </row>
    <row r="132" spans="10:23">
      <c r="J132" t="str">
        <f t="shared" si="20"/>
        <v>\I:Trd_bus_</v>
      </c>
      <c r="K132" t="str">
        <f t="shared" si="22"/>
        <v>\I:</v>
      </c>
      <c r="L132" t="str">
        <f t="shared" si="21"/>
        <v>\I:</v>
      </c>
      <c r="M132" s="380" t="str">
        <f t="shared" si="23"/>
        <v/>
      </c>
      <c r="N132" s="380" t="str">
        <f t="shared" si="24"/>
        <v/>
      </c>
      <c r="O132" s="380" t="str">
        <f t="shared" si="25"/>
        <v/>
      </c>
      <c r="P132" s="380" t="str">
        <f t="shared" si="26"/>
        <v/>
      </c>
      <c r="S132" t="s">
        <v>83</v>
      </c>
      <c r="T132" t="str">
        <f t="shared" si="27"/>
        <v>\I:</v>
      </c>
      <c r="U132" t="str">
        <f ca="1" t="shared" si="28"/>
        <v>Hybrid diesel coach -- 00%</v>
      </c>
      <c r="V132" s="383" t="s">
        <v>84</v>
      </c>
      <c r="W132" s="383" t="s">
        <v>85</v>
      </c>
    </row>
    <row r="133" spans="10:23">
      <c r="J133" t="str">
        <f t="shared" si="20"/>
        <v>\I:Trd_bus_</v>
      </c>
      <c r="K133" t="str">
        <f t="shared" si="22"/>
        <v>\I:</v>
      </c>
      <c r="L133" t="str">
        <f t="shared" si="21"/>
        <v>\I:</v>
      </c>
      <c r="M133" s="380" t="str">
        <f t="shared" si="23"/>
        <v/>
      </c>
      <c r="N133" s="380" t="str">
        <f t="shared" si="24"/>
        <v/>
      </c>
      <c r="O133" s="380" t="str">
        <f t="shared" si="25"/>
        <v/>
      </c>
      <c r="P133" s="380" t="str">
        <f t="shared" si="26"/>
        <v/>
      </c>
      <c r="S133" t="s">
        <v>83</v>
      </c>
      <c r="T133" t="str">
        <f t="shared" si="27"/>
        <v>\I:</v>
      </c>
      <c r="U133" t="str">
        <f ca="1" t="shared" si="28"/>
        <v>Hybrid diesel coach -- 00%</v>
      </c>
      <c r="V133" s="383" t="s">
        <v>84</v>
      </c>
      <c r="W133" s="383" t="s">
        <v>85</v>
      </c>
    </row>
    <row r="134" spans="10:23">
      <c r="J134" t="str">
        <f t="shared" si="20"/>
        <v>\I:Trd_bus_</v>
      </c>
      <c r="K134" t="str">
        <f t="shared" si="22"/>
        <v>\I:</v>
      </c>
      <c r="L134" t="str">
        <f t="shared" si="21"/>
        <v>\I:</v>
      </c>
      <c r="M134" s="380" t="str">
        <f t="shared" si="23"/>
        <v/>
      </c>
      <c r="N134" s="380" t="str">
        <f t="shared" si="24"/>
        <v/>
      </c>
      <c r="O134" s="380" t="str">
        <f t="shared" si="25"/>
        <v/>
      </c>
      <c r="P134" s="380" t="str">
        <f t="shared" si="26"/>
        <v/>
      </c>
      <c r="S134" t="s">
        <v>83</v>
      </c>
      <c r="T134" t="str">
        <f t="shared" si="27"/>
        <v>\I:</v>
      </c>
      <c r="U134" t="str">
        <f ca="1" t="shared" si="28"/>
        <v>Hybrid diesel coach -- 00%</v>
      </c>
      <c r="V134" s="383" t="s">
        <v>84</v>
      </c>
      <c r="W134" s="383" t="s">
        <v>85</v>
      </c>
    </row>
    <row r="135" ht="15" customHeight="1" spans="2:23">
      <c r="B135" s="374" t="s">
        <v>21</v>
      </c>
      <c r="C135" s="374" t="s">
        <v>156</v>
      </c>
      <c r="D135" s="374"/>
      <c r="E135" s="374"/>
      <c r="F135" s="374"/>
      <c r="J135" t="str">
        <f t="shared" si="20"/>
        <v>\I:Trd_bus_</v>
      </c>
      <c r="K135" t="str">
        <f t="shared" si="22"/>
        <v>\I:</v>
      </c>
      <c r="L135" t="str">
        <f t="shared" si="21"/>
        <v>\I:</v>
      </c>
      <c r="M135" s="380" t="str">
        <f t="shared" si="23"/>
        <v/>
      </c>
      <c r="N135" s="380" t="str">
        <f t="shared" si="24"/>
        <v/>
      </c>
      <c r="O135" s="380" t="str">
        <f t="shared" si="25"/>
        <v/>
      </c>
      <c r="P135" s="380" t="str">
        <f t="shared" si="26"/>
        <v/>
      </c>
      <c r="S135" t="s">
        <v>83</v>
      </c>
      <c r="T135" t="str">
        <f t="shared" si="27"/>
        <v>\I:</v>
      </c>
      <c r="U135" t="str">
        <f ca="1" t="shared" si="28"/>
        <v>Hybrid diesel coach -- Reduction of specific energy consumption relative to 2015 diesel vehicle (%)</v>
      </c>
      <c r="V135" s="383" t="s">
        <v>84</v>
      </c>
      <c r="W135" s="383" t="s">
        <v>85</v>
      </c>
    </row>
    <row r="136" spans="2:23">
      <c r="B136" s="374"/>
      <c r="C136" s="374"/>
      <c r="D136" s="374"/>
      <c r="E136" s="374"/>
      <c r="F136" s="374"/>
      <c r="J136" t="str">
        <f t="shared" si="20"/>
        <v>\I:Trd_bus_</v>
      </c>
      <c r="K136" t="str">
        <f t="shared" si="22"/>
        <v>\I:</v>
      </c>
      <c r="L136" t="str">
        <f t="shared" si="21"/>
        <v>\I:</v>
      </c>
      <c r="M136" s="380" t="str">
        <f t="shared" si="23"/>
        <v/>
      </c>
      <c r="N136" s="380" t="str">
        <f t="shared" si="24"/>
        <v/>
      </c>
      <c r="O136" s="380" t="str">
        <f t="shared" si="25"/>
        <v/>
      </c>
      <c r="P136" s="380" t="str">
        <f t="shared" si="26"/>
        <v/>
      </c>
      <c r="S136" t="s">
        <v>83</v>
      </c>
      <c r="T136" t="str">
        <f t="shared" si="27"/>
        <v>\I:</v>
      </c>
      <c r="U136" t="str">
        <f ca="1" t="shared" si="28"/>
        <v>Hybrid diesel coach -- 00%</v>
      </c>
      <c r="V136" s="383" t="s">
        <v>84</v>
      </c>
      <c r="W136" s="383" t="s">
        <v>85</v>
      </c>
    </row>
    <row r="137" spans="2:23">
      <c r="B137" s="374"/>
      <c r="C137" s="374"/>
      <c r="D137" s="374"/>
      <c r="E137" s="374"/>
      <c r="F137" s="374"/>
      <c r="J137" t="str">
        <f t="shared" si="20"/>
        <v>\I:Trd_bus_</v>
      </c>
      <c r="K137" t="str">
        <f t="shared" si="22"/>
        <v>\I:</v>
      </c>
      <c r="L137" t="str">
        <f t="shared" si="21"/>
        <v>\I:</v>
      </c>
      <c r="M137" s="380" t="str">
        <f t="shared" si="23"/>
        <v/>
      </c>
      <c r="N137" s="380" t="str">
        <f t="shared" si="24"/>
        <v/>
      </c>
      <c r="O137" s="380" t="str">
        <f t="shared" si="25"/>
        <v/>
      </c>
      <c r="P137" s="380" t="str">
        <f t="shared" si="26"/>
        <v/>
      </c>
      <c r="S137" t="s">
        <v>83</v>
      </c>
      <c r="T137" t="str">
        <f t="shared" si="27"/>
        <v>\I:</v>
      </c>
      <c r="U137" t="str">
        <f ca="1" t="shared" si="28"/>
        <v>Hybrid diesel coach -- 00%</v>
      </c>
      <c r="V137" s="383" t="s">
        <v>84</v>
      </c>
      <c r="W137" s="383" t="s">
        <v>85</v>
      </c>
    </row>
    <row r="138" spans="2:23">
      <c r="B138" s="49"/>
      <c r="C138" s="50">
        <v>2020</v>
      </c>
      <c r="D138" s="50">
        <v>2030</v>
      </c>
      <c r="E138" s="50">
        <v>2040</v>
      </c>
      <c r="F138" s="50">
        <v>2050</v>
      </c>
      <c r="J138" t="str">
        <f t="shared" si="20"/>
        <v>\I:Trd_bus_</v>
      </c>
      <c r="K138" t="str">
        <f t="shared" si="22"/>
        <v>\I:</v>
      </c>
      <c r="L138" t="str">
        <f t="shared" si="21"/>
        <v>\I:</v>
      </c>
      <c r="M138" s="380" t="str">
        <f t="shared" si="23"/>
        <v/>
      </c>
      <c r="N138" s="380" t="str">
        <f t="shared" si="24"/>
        <v/>
      </c>
      <c r="O138" s="380" t="str">
        <f t="shared" si="25"/>
        <v/>
      </c>
      <c r="P138" s="380" t="str">
        <f t="shared" si="26"/>
        <v/>
      </c>
      <c r="S138" t="s">
        <v>83</v>
      </c>
      <c r="T138" t="str">
        <f t="shared" si="27"/>
        <v>\I:</v>
      </c>
      <c r="U138" t="str">
        <f ca="1" t="shared" si="28"/>
        <v>Hybrid diesel coach -- 00%</v>
      </c>
      <c r="V138" s="383" t="s">
        <v>84</v>
      </c>
      <c r="W138" s="383" t="s">
        <v>85</v>
      </c>
    </row>
    <row r="139" spans="2:23">
      <c r="B139" s="51">
        <v>0.164</v>
      </c>
      <c r="C139" s="86">
        <v>321832.916726531</v>
      </c>
      <c r="D139" s="86">
        <v>321832.916726531</v>
      </c>
      <c r="E139" s="86">
        <v>321832.916726531</v>
      </c>
      <c r="F139" s="86">
        <v>321832.916726531</v>
      </c>
      <c r="J139" t="str">
        <f t="shared" si="20"/>
        <v>\I:Trd_bus_</v>
      </c>
      <c r="K139" t="str">
        <f t="shared" si="22"/>
        <v>\I:Trd_bus__16</v>
      </c>
      <c r="L139" t="str">
        <f t="shared" si="21"/>
        <v>\I:Trd_</v>
      </c>
      <c r="M139" s="380">
        <f t="shared" si="23"/>
        <v>321832.916726531</v>
      </c>
      <c r="N139" s="380">
        <f t="shared" si="24"/>
        <v>321832.916726531</v>
      </c>
      <c r="O139" s="380">
        <f t="shared" si="25"/>
        <v>321832.916726531</v>
      </c>
      <c r="P139" s="380">
        <f t="shared" si="26"/>
        <v>321832.916726531</v>
      </c>
      <c r="S139" t="s">
        <v>83</v>
      </c>
      <c r="T139" t="str">
        <f t="shared" si="27"/>
        <v>\I:Trd_bus__16</v>
      </c>
      <c r="U139" t="str">
        <f ca="1" t="shared" si="28"/>
        <v>Hybrid diesel coach -- 16%</v>
      </c>
      <c r="V139" s="383" t="s">
        <v>84</v>
      </c>
      <c r="W139" s="383" t="s">
        <v>85</v>
      </c>
    </row>
    <row r="140" spans="2:23">
      <c r="B140" s="51">
        <v>0.208</v>
      </c>
      <c r="C140" s="86">
        <v>322833.108114091</v>
      </c>
      <c r="D140" s="86">
        <v>322833.108114091</v>
      </c>
      <c r="E140" s="86">
        <v>322833.108114091</v>
      </c>
      <c r="F140" s="86">
        <v>322833.108114091</v>
      </c>
      <c r="J140" t="str">
        <f t="shared" si="20"/>
        <v>\I:Trd_bus_</v>
      </c>
      <c r="K140" t="str">
        <f t="shared" si="22"/>
        <v>\I:Trd_bus__21</v>
      </c>
      <c r="L140" t="str">
        <f t="shared" si="21"/>
        <v>\I:Trd_</v>
      </c>
      <c r="M140" s="380">
        <f t="shared" si="23"/>
        <v>322833.108114091</v>
      </c>
      <c r="N140" s="380">
        <f t="shared" si="24"/>
        <v>322833.108114091</v>
      </c>
      <c r="O140" s="380">
        <f t="shared" si="25"/>
        <v>322833.108114091</v>
      </c>
      <c r="P140" s="380">
        <f t="shared" si="26"/>
        <v>322833.108114091</v>
      </c>
      <c r="S140" t="s">
        <v>83</v>
      </c>
      <c r="T140" t="str">
        <f t="shared" si="27"/>
        <v>\I:Trd_bus__21</v>
      </c>
      <c r="U140" t="str">
        <f ca="1" t="shared" si="28"/>
        <v>Hybrid diesel coach -- 21%</v>
      </c>
      <c r="V140" s="383" t="s">
        <v>84</v>
      </c>
      <c r="W140" s="383" t="s">
        <v>85</v>
      </c>
    </row>
    <row r="141" spans="2:23">
      <c r="B141" s="51">
        <v>0.252</v>
      </c>
      <c r="C141" s="86">
        <v>325072.21883208</v>
      </c>
      <c r="D141" s="86">
        <v>323840.25627759</v>
      </c>
      <c r="E141" s="86">
        <v>323840.25627759</v>
      </c>
      <c r="F141" s="86">
        <v>323840.25627759</v>
      </c>
      <c r="J141" t="str">
        <f t="shared" si="20"/>
        <v>\I:Trd_bus_</v>
      </c>
      <c r="K141" t="str">
        <f t="shared" si="22"/>
        <v>\I:Trd_bus__25</v>
      </c>
      <c r="L141" t="str">
        <f t="shared" si="21"/>
        <v>\I:Trd_</v>
      </c>
      <c r="M141" s="380">
        <f t="shared" si="23"/>
        <v>325072.21883208</v>
      </c>
      <c r="N141" s="380">
        <f t="shared" si="24"/>
        <v>323840.25627759</v>
      </c>
      <c r="O141" s="380">
        <f t="shared" si="25"/>
        <v>323840.25627759</v>
      </c>
      <c r="P141" s="380">
        <f t="shared" si="26"/>
        <v>323840.25627759</v>
      </c>
      <c r="S141" t="s">
        <v>83</v>
      </c>
      <c r="T141" t="str">
        <f t="shared" si="27"/>
        <v>\I:Trd_bus__25</v>
      </c>
      <c r="U141" t="str">
        <f ca="1" t="shared" si="28"/>
        <v>Hybrid diesel coach -- 25%</v>
      </c>
      <c r="V141" s="383" t="s">
        <v>84</v>
      </c>
      <c r="W141" s="383" t="s">
        <v>85</v>
      </c>
    </row>
    <row r="142" spans="2:23">
      <c r="B142" s="51">
        <v>0.296</v>
      </c>
      <c r="C142" s="86">
        <v>327717.496433645</v>
      </c>
      <c r="D142" s="86">
        <v>325354.481104544</v>
      </c>
      <c r="E142" s="86">
        <v>325354.481104544</v>
      </c>
      <c r="F142" s="86">
        <v>325354.481104544</v>
      </c>
      <c r="J142" t="str">
        <f t="shared" ref="J142:J205" si="34">IFERROR(VLOOKUP(C142,$R$1:$S$9,2,FALSE),J141)</f>
        <v>\I:Trd_bus_</v>
      </c>
      <c r="K142" t="str">
        <f t="shared" si="22"/>
        <v>\I:Trd_bus__30</v>
      </c>
      <c r="L142" t="str">
        <f t="shared" ref="L142:L205" si="35">LEFT(K142,7)</f>
        <v>\I:Trd_</v>
      </c>
      <c r="M142" s="380">
        <f t="shared" si="23"/>
        <v>327717.496433645</v>
      </c>
      <c r="N142" s="380">
        <f t="shared" si="24"/>
        <v>325354.481104544</v>
      </c>
      <c r="O142" s="380">
        <f t="shared" si="25"/>
        <v>325354.481104544</v>
      </c>
      <c r="P142" s="380">
        <f t="shared" si="26"/>
        <v>325354.481104544</v>
      </c>
      <c r="S142" t="s">
        <v>83</v>
      </c>
      <c r="T142" t="str">
        <f t="shared" si="27"/>
        <v>\I:Trd_bus__30</v>
      </c>
      <c r="U142" t="str">
        <f ca="1" t="shared" si="28"/>
        <v>Hybrid diesel coach -- 30%</v>
      </c>
      <c r="V142" s="383" t="s">
        <v>84</v>
      </c>
      <c r="W142" s="383" t="s">
        <v>85</v>
      </c>
    </row>
    <row r="143" spans="2:23">
      <c r="B143" s="51">
        <v>0.34</v>
      </c>
      <c r="C143" s="86">
        <v>341195.768621874</v>
      </c>
      <c r="D143" s="86">
        <v>327631.084398538</v>
      </c>
      <c r="E143" s="86">
        <v>327631.084398538</v>
      </c>
      <c r="F143" s="86">
        <v>327631.084398538</v>
      </c>
      <c r="J143" t="str">
        <f t="shared" si="34"/>
        <v>\I:Trd_bus_</v>
      </c>
      <c r="K143" t="str">
        <f t="shared" si="22"/>
        <v>\I:Trd_bus__34</v>
      </c>
      <c r="L143" t="str">
        <f t="shared" si="35"/>
        <v>\I:Trd_</v>
      </c>
      <c r="M143" s="380">
        <f t="shared" si="23"/>
        <v>341195.768621874</v>
      </c>
      <c r="N143" s="380">
        <f t="shared" si="24"/>
        <v>327631.084398538</v>
      </c>
      <c r="O143" s="380">
        <f t="shared" si="25"/>
        <v>327631.084398538</v>
      </c>
      <c r="P143" s="380">
        <f t="shared" si="26"/>
        <v>327631.084398538</v>
      </c>
      <c r="S143" t="s">
        <v>83</v>
      </c>
      <c r="T143" t="str">
        <f t="shared" si="27"/>
        <v>\I:Trd_bus__34</v>
      </c>
      <c r="U143" t="str">
        <f ca="1" t="shared" si="28"/>
        <v>Hybrid diesel coach -- 34%</v>
      </c>
      <c r="V143" s="383" t="s">
        <v>84</v>
      </c>
      <c r="W143" s="383" t="s">
        <v>85</v>
      </c>
    </row>
    <row r="144" spans="2:23">
      <c r="B144" s="51">
        <v>0.384</v>
      </c>
      <c r="C144" s="86">
        <v>357695.810307068</v>
      </c>
      <c r="D144" s="86">
        <v>331053.906733749</v>
      </c>
      <c r="E144" s="86">
        <v>331053.906733749</v>
      </c>
      <c r="F144" s="86">
        <v>331053.906733749</v>
      </c>
      <c r="J144" t="str">
        <f t="shared" si="34"/>
        <v>\I:Trd_bus_</v>
      </c>
      <c r="K144" t="str">
        <f t="shared" si="22"/>
        <v>\I:Trd_bus__38</v>
      </c>
      <c r="L144" t="str">
        <f t="shared" si="35"/>
        <v>\I:Trd_</v>
      </c>
      <c r="M144" s="380">
        <f t="shared" si="23"/>
        <v>357695.810307068</v>
      </c>
      <c r="N144" s="380">
        <f t="shared" si="24"/>
        <v>331053.906733749</v>
      </c>
      <c r="O144" s="380">
        <f t="shared" si="25"/>
        <v>331053.906733749</v>
      </c>
      <c r="P144" s="380">
        <f t="shared" si="26"/>
        <v>331053.906733749</v>
      </c>
      <c r="S144" t="s">
        <v>83</v>
      </c>
      <c r="T144" t="str">
        <f t="shared" si="27"/>
        <v>\I:Trd_bus__38</v>
      </c>
      <c r="U144" t="str">
        <f ca="1" t="shared" si="28"/>
        <v>Hybrid diesel coach -- 38%</v>
      </c>
      <c r="V144" s="383" t="s">
        <v>84</v>
      </c>
      <c r="W144" s="383" t="s">
        <v>85</v>
      </c>
    </row>
    <row r="145" spans="2:23">
      <c r="B145" s="51">
        <v>0.4016</v>
      </c>
      <c r="C145" s="86">
        <v>367686.550041485</v>
      </c>
      <c r="D145" s="86">
        <v>336352.059139705</v>
      </c>
      <c r="E145" s="86">
        <v>336200.043862392</v>
      </c>
      <c r="F145" s="86">
        <v>336200.043862392</v>
      </c>
      <c r="J145" t="str">
        <f t="shared" si="34"/>
        <v>\I:Trd_bus_</v>
      </c>
      <c r="K145" t="str">
        <f t="shared" si="22"/>
        <v>\I:Trd_bus__40</v>
      </c>
      <c r="L145" t="str">
        <f t="shared" si="35"/>
        <v>\I:Trd_</v>
      </c>
      <c r="M145" s="380">
        <f t="shared" si="23"/>
        <v>367686.550041485</v>
      </c>
      <c r="N145" s="380">
        <f t="shared" si="24"/>
        <v>336352.059139705</v>
      </c>
      <c r="O145" s="380">
        <f t="shared" si="25"/>
        <v>336200.043862392</v>
      </c>
      <c r="P145" s="380">
        <f t="shared" si="26"/>
        <v>336200.043862392</v>
      </c>
      <c r="S145" t="s">
        <v>83</v>
      </c>
      <c r="T145" t="str">
        <f t="shared" si="27"/>
        <v>\I:Trd_bus__40</v>
      </c>
      <c r="U145" t="str">
        <f ca="1" t="shared" si="28"/>
        <v>Hybrid diesel coach -- 40%</v>
      </c>
      <c r="V145" s="383" t="s">
        <v>84</v>
      </c>
      <c r="W145" s="383" t="s">
        <v>85</v>
      </c>
    </row>
    <row r="146" spans="2:23">
      <c r="B146" s="51">
        <v>0.428</v>
      </c>
      <c r="C146" s="86">
        <v>424470.664466407</v>
      </c>
      <c r="D146" s="86">
        <v>350547.740111951</v>
      </c>
      <c r="E146" s="86">
        <v>343937.146391603</v>
      </c>
      <c r="F146" s="86">
        <v>343937.146391603</v>
      </c>
      <c r="J146" t="str">
        <f t="shared" si="34"/>
        <v>\I:Trd_bus_</v>
      </c>
      <c r="K146" t="str">
        <f t="shared" si="22"/>
        <v>\I:Trd_bus__43</v>
      </c>
      <c r="L146" t="str">
        <f t="shared" si="35"/>
        <v>\I:Trd_</v>
      </c>
      <c r="M146" s="380">
        <f t="shared" si="23"/>
        <v>424470.664466407</v>
      </c>
      <c r="N146" s="380">
        <f t="shared" si="24"/>
        <v>350547.740111951</v>
      </c>
      <c r="O146" s="380">
        <f t="shared" si="25"/>
        <v>343937.146391603</v>
      </c>
      <c r="P146" s="380">
        <f t="shared" si="26"/>
        <v>343937.146391603</v>
      </c>
      <c r="S146" t="s">
        <v>83</v>
      </c>
      <c r="T146" t="str">
        <f t="shared" si="27"/>
        <v>\I:Trd_bus__43</v>
      </c>
      <c r="U146" t="str">
        <f ca="1" t="shared" si="28"/>
        <v>Hybrid diesel coach -- 43%</v>
      </c>
      <c r="V146" s="383" t="s">
        <v>84</v>
      </c>
      <c r="W146" s="383" t="s">
        <v>85</v>
      </c>
    </row>
    <row r="147" spans="10:23">
      <c r="J147" t="str">
        <f t="shared" si="34"/>
        <v>\I:Trd_bus_</v>
      </c>
      <c r="K147" t="str">
        <f t="shared" si="22"/>
        <v>\I:</v>
      </c>
      <c r="L147" t="str">
        <f t="shared" si="35"/>
        <v>\I:</v>
      </c>
      <c r="M147" s="380" t="str">
        <f t="shared" si="23"/>
        <v/>
      </c>
      <c r="N147" s="380" t="str">
        <f t="shared" si="24"/>
        <v/>
      </c>
      <c r="O147" s="380" t="str">
        <f t="shared" si="25"/>
        <v/>
      </c>
      <c r="P147" s="380" t="str">
        <f t="shared" si="26"/>
        <v/>
      </c>
      <c r="S147" t="s">
        <v>83</v>
      </c>
      <c r="T147" t="str">
        <f t="shared" si="27"/>
        <v>\I:</v>
      </c>
      <c r="U147" t="str">
        <f ca="1" t="shared" si="28"/>
        <v>Hybrid diesel coach -- 00%</v>
      </c>
      <c r="V147" s="383" t="s">
        <v>84</v>
      </c>
      <c r="W147" s="383" t="s">
        <v>85</v>
      </c>
    </row>
    <row r="148" spans="10:23">
      <c r="J148" t="str">
        <f t="shared" si="34"/>
        <v>\I:Trd_bus_</v>
      </c>
      <c r="K148" t="str">
        <f t="shared" si="22"/>
        <v>\I:</v>
      </c>
      <c r="L148" t="str">
        <f t="shared" si="35"/>
        <v>\I:</v>
      </c>
      <c r="M148" s="380" t="str">
        <f t="shared" si="23"/>
        <v/>
      </c>
      <c r="N148" s="380" t="str">
        <f t="shared" si="24"/>
        <v/>
      </c>
      <c r="O148" s="380" t="str">
        <f t="shared" si="25"/>
        <v/>
      </c>
      <c r="P148" s="380" t="str">
        <f t="shared" si="26"/>
        <v/>
      </c>
      <c r="S148" t="s">
        <v>83</v>
      </c>
      <c r="T148" t="str">
        <f t="shared" si="27"/>
        <v>\I:</v>
      </c>
      <c r="U148" t="str">
        <f ca="1" t="shared" si="28"/>
        <v>Hybrid diesel coach -- 00%</v>
      </c>
      <c r="V148" s="383" t="s">
        <v>84</v>
      </c>
      <c r="W148" s="383" t="s">
        <v>85</v>
      </c>
    </row>
    <row r="149" spans="10:23">
      <c r="J149" t="str">
        <f t="shared" si="34"/>
        <v>\I:Trd_bus_</v>
      </c>
      <c r="K149" t="str">
        <f t="shared" si="22"/>
        <v>\I:</v>
      </c>
      <c r="L149" t="str">
        <f t="shared" si="35"/>
        <v>\I:</v>
      </c>
      <c r="M149" s="380" t="str">
        <f t="shared" si="23"/>
        <v/>
      </c>
      <c r="N149" s="380" t="str">
        <f t="shared" si="24"/>
        <v/>
      </c>
      <c r="O149" s="380" t="str">
        <f t="shared" si="25"/>
        <v/>
      </c>
      <c r="P149" s="380" t="str">
        <f t="shared" si="26"/>
        <v/>
      </c>
      <c r="S149" t="s">
        <v>83</v>
      </c>
      <c r="T149" t="str">
        <f t="shared" si="27"/>
        <v>\I:</v>
      </c>
      <c r="U149" t="str">
        <f ca="1" t="shared" si="28"/>
        <v>Hybrid diesel coach -- 00%</v>
      </c>
      <c r="V149" s="383" t="s">
        <v>84</v>
      </c>
      <c r="W149" s="383" t="s">
        <v>85</v>
      </c>
    </row>
    <row r="150" spans="10:23">
      <c r="J150" t="str">
        <f t="shared" si="34"/>
        <v>\I:Trd_bus_</v>
      </c>
      <c r="K150" t="str">
        <f t="shared" si="22"/>
        <v>\I:</v>
      </c>
      <c r="L150" t="str">
        <f t="shared" si="35"/>
        <v>\I:</v>
      </c>
      <c r="M150" s="380" t="str">
        <f t="shared" si="23"/>
        <v/>
      </c>
      <c r="N150" s="380" t="str">
        <f t="shared" si="24"/>
        <v/>
      </c>
      <c r="O150" s="380" t="str">
        <f t="shared" si="25"/>
        <v/>
      </c>
      <c r="P150" s="380" t="str">
        <f t="shared" si="26"/>
        <v/>
      </c>
      <c r="S150" t="s">
        <v>83</v>
      </c>
      <c r="T150" t="str">
        <f t="shared" si="27"/>
        <v>\I:</v>
      </c>
      <c r="U150" t="str">
        <f ca="1" t="shared" si="28"/>
        <v>Hybrid diesel coach -- 00%</v>
      </c>
      <c r="V150" s="383" t="s">
        <v>84</v>
      </c>
      <c r="W150" s="383" t="s">
        <v>85</v>
      </c>
    </row>
    <row r="151" spans="2:23">
      <c r="B151" s="43" t="s">
        <v>165</v>
      </c>
      <c r="J151" t="str">
        <f t="shared" si="34"/>
        <v>\I:Trd_bus_</v>
      </c>
      <c r="K151" t="str">
        <f t="shared" si="22"/>
        <v>\I:</v>
      </c>
      <c r="L151" t="str">
        <f t="shared" si="35"/>
        <v>\I:</v>
      </c>
      <c r="M151" s="380" t="str">
        <f t="shared" si="23"/>
        <v/>
      </c>
      <c r="N151" s="380" t="str">
        <f t="shared" si="24"/>
        <v/>
      </c>
      <c r="O151" s="380" t="str">
        <f t="shared" si="25"/>
        <v/>
      </c>
      <c r="P151" s="380" t="str">
        <f t="shared" si="26"/>
        <v/>
      </c>
      <c r="S151" t="s">
        <v>83</v>
      </c>
      <c r="T151" t="str">
        <f t="shared" si="27"/>
        <v>\I:</v>
      </c>
      <c r="U151" t="str">
        <f ca="1" t="shared" si="28"/>
        <v>Hybrid diesel coach -- Reference values for LNG coach</v>
      </c>
      <c r="V151" s="383" t="s">
        <v>84</v>
      </c>
      <c r="W151" s="383" t="s">
        <v>85</v>
      </c>
    </row>
    <row r="152" spans="2:23">
      <c r="B152" s="372">
        <v>2015</v>
      </c>
      <c r="C152" s="372"/>
      <c r="D152" s="372"/>
      <c r="J152" t="str">
        <f t="shared" si="34"/>
        <v>\I:Trd_bus_</v>
      </c>
      <c r="K152" t="str">
        <f t="shared" ref="K152:K215" si="36">IFERROR(IF(VALUE(C152)&gt;2020,J152&amp;"_"&amp;TEXT(B152*100,"00"),"\I:"),"\I:")</f>
        <v>\I:</v>
      </c>
      <c r="L152" t="str">
        <f t="shared" si="35"/>
        <v>\I:</v>
      </c>
      <c r="M152" s="380" t="str">
        <f t="shared" ref="M152:M215" si="37">IF($K152="\I:","",C152)</f>
        <v/>
      </c>
      <c r="N152" s="380" t="str">
        <f t="shared" ref="N152:N215" si="38">IF($K152="\I:","",D152)</f>
        <v/>
      </c>
      <c r="O152" s="380" t="str">
        <f t="shared" ref="O152:O215" si="39">IF($K152="\I:","",E152)</f>
        <v/>
      </c>
      <c r="P152" s="380" t="str">
        <f t="shared" ref="P152:P215" si="40">IF($K152="\I:","",F152)</f>
        <v/>
      </c>
      <c r="S152" t="s">
        <v>83</v>
      </c>
      <c r="T152" t="str">
        <f t="shared" ref="T152:T215" si="41">K152</f>
        <v>\I:</v>
      </c>
      <c r="U152" t="str">
        <f ca="1" t="shared" ref="U152:U215" si="42">OFFSET($S$1,MATCH(J152,$S$1:$S$12,0)-1,-1)&amp;" -- "&amp;TEXT(B152,"00%")</f>
        <v>Hybrid diesel coach -- 201500%</v>
      </c>
      <c r="V152" s="383" t="s">
        <v>84</v>
      </c>
      <c r="W152" s="383" t="s">
        <v>85</v>
      </c>
    </row>
    <row r="153" spans="2:23">
      <c r="B153" s="45" t="s">
        <v>12</v>
      </c>
      <c r="C153" s="46" t="s">
        <v>88</v>
      </c>
      <c r="D153" s="47">
        <v>21.9255423798406</v>
      </c>
      <c r="J153" t="str">
        <f t="shared" si="34"/>
        <v>\I:Trd_bus_</v>
      </c>
      <c r="K153" t="str">
        <f t="shared" si="36"/>
        <v>\I:</v>
      </c>
      <c r="L153" t="str">
        <f t="shared" si="35"/>
        <v>\I:</v>
      </c>
      <c r="M153" s="380" t="str">
        <f t="shared" si="37"/>
        <v/>
      </c>
      <c r="N153" s="380" t="str">
        <f t="shared" si="38"/>
        <v/>
      </c>
      <c r="O153" s="380" t="str">
        <f t="shared" si="39"/>
        <v/>
      </c>
      <c r="P153" s="380" t="str">
        <f t="shared" si="40"/>
        <v/>
      </c>
      <c r="S153" t="s">
        <v>83</v>
      </c>
      <c r="T153" t="str">
        <f t="shared" si="41"/>
        <v>\I:</v>
      </c>
      <c r="U153" t="str">
        <f ca="1" t="shared" si="42"/>
        <v>Hybrid diesel coach -- Energy consumption</v>
      </c>
      <c r="V153" s="383" t="s">
        <v>84</v>
      </c>
      <c r="W153" s="383" t="s">
        <v>85</v>
      </c>
    </row>
    <row r="154" spans="2:23">
      <c r="B154" s="45" t="s">
        <v>14</v>
      </c>
      <c r="C154" s="46" t="s">
        <v>15</v>
      </c>
      <c r="D154" s="68">
        <v>321393.556544713</v>
      </c>
      <c r="J154" t="str">
        <f t="shared" si="34"/>
        <v>\I:Trd_bus_</v>
      </c>
      <c r="K154" t="str">
        <f t="shared" si="36"/>
        <v>\I:</v>
      </c>
      <c r="L154" t="str">
        <f t="shared" si="35"/>
        <v>\I:</v>
      </c>
      <c r="M154" s="380" t="str">
        <f t="shared" si="37"/>
        <v/>
      </c>
      <c r="N154" s="380" t="str">
        <f t="shared" si="38"/>
        <v/>
      </c>
      <c r="O154" s="380" t="str">
        <f t="shared" si="39"/>
        <v/>
      </c>
      <c r="P154" s="380" t="str">
        <f t="shared" si="40"/>
        <v/>
      </c>
      <c r="S154" t="s">
        <v>83</v>
      </c>
      <c r="T154" t="str">
        <f t="shared" si="41"/>
        <v>\I:</v>
      </c>
      <c r="U154" t="str">
        <f ca="1" t="shared" si="42"/>
        <v>Hybrid diesel coach -- Capital cost</v>
      </c>
      <c r="V154" s="383" t="s">
        <v>84</v>
      </c>
      <c r="W154" s="383" t="s">
        <v>85</v>
      </c>
    </row>
    <row r="155" spans="10:23">
      <c r="J155" t="str">
        <f t="shared" si="34"/>
        <v>\I:Trd_bus_</v>
      </c>
      <c r="K155" t="str">
        <f t="shared" si="36"/>
        <v>\I:</v>
      </c>
      <c r="L155" t="str">
        <f t="shared" si="35"/>
        <v>\I:</v>
      </c>
      <c r="M155" s="380" t="str">
        <f t="shared" si="37"/>
        <v/>
      </c>
      <c r="N155" s="380" t="str">
        <f t="shared" si="38"/>
        <v/>
      </c>
      <c r="O155" s="380" t="str">
        <f t="shared" si="39"/>
        <v/>
      </c>
      <c r="P155" s="380" t="str">
        <f t="shared" si="40"/>
        <v/>
      </c>
      <c r="S155" t="s">
        <v>83</v>
      </c>
      <c r="T155" t="str">
        <f t="shared" si="41"/>
        <v>\I:</v>
      </c>
      <c r="U155" t="str">
        <f ca="1" t="shared" si="42"/>
        <v>Hybrid diesel coach -- 00%</v>
      </c>
      <c r="V155" s="383" t="s">
        <v>84</v>
      </c>
      <c r="W155" s="383" t="s">
        <v>85</v>
      </c>
    </row>
    <row r="156" ht="15" customHeight="1" spans="2:23">
      <c r="B156" s="374" t="s">
        <v>121</v>
      </c>
      <c r="C156" s="374" t="s">
        <v>166</v>
      </c>
      <c r="D156" s="374"/>
      <c r="E156" s="374"/>
      <c r="F156" s="374"/>
      <c r="J156" t="str">
        <f t="shared" si="34"/>
        <v>\I:Trd_bus_</v>
      </c>
      <c r="K156" t="str">
        <f t="shared" si="36"/>
        <v>\I:</v>
      </c>
      <c r="L156" t="str">
        <f t="shared" si="35"/>
        <v>\I:</v>
      </c>
      <c r="M156" s="380" t="str">
        <f t="shared" si="37"/>
        <v/>
      </c>
      <c r="N156" s="380" t="str">
        <f t="shared" si="38"/>
        <v/>
      </c>
      <c r="O156" s="380" t="str">
        <f t="shared" si="39"/>
        <v/>
      </c>
      <c r="P156" s="380" t="str">
        <f t="shared" si="40"/>
        <v/>
      </c>
      <c r="S156" t="s">
        <v>83</v>
      </c>
      <c r="T156" t="str">
        <f t="shared" si="41"/>
        <v>\I:</v>
      </c>
      <c r="U156" t="str">
        <f ca="1" t="shared" si="42"/>
        <v>Hybrid diesel coach -- Reduction of specific energy consumption relative to 2015 LNG vehicle (%)</v>
      </c>
      <c r="V156" s="383" t="s">
        <v>84</v>
      </c>
      <c r="W156" s="383" t="s">
        <v>85</v>
      </c>
    </row>
    <row r="157" spans="2:23">
      <c r="B157" s="374"/>
      <c r="C157" s="374"/>
      <c r="D157" s="374"/>
      <c r="E157" s="374"/>
      <c r="F157" s="374"/>
      <c r="J157" t="str">
        <f t="shared" si="34"/>
        <v>\I:Trd_bus_</v>
      </c>
      <c r="K157" t="str">
        <f t="shared" si="36"/>
        <v>\I:</v>
      </c>
      <c r="L157" t="str">
        <f t="shared" si="35"/>
        <v>\I:</v>
      </c>
      <c r="M157" s="380" t="str">
        <f t="shared" si="37"/>
        <v/>
      </c>
      <c r="N157" s="380" t="str">
        <f t="shared" si="38"/>
        <v/>
      </c>
      <c r="O157" s="380" t="str">
        <f t="shared" si="39"/>
        <v/>
      </c>
      <c r="P157" s="380" t="str">
        <f t="shared" si="40"/>
        <v/>
      </c>
      <c r="S157" t="s">
        <v>83</v>
      </c>
      <c r="T157" t="str">
        <f t="shared" si="41"/>
        <v>\I:</v>
      </c>
      <c r="U157" t="str">
        <f ca="1" t="shared" si="42"/>
        <v>Hybrid diesel coach -- 00%</v>
      </c>
      <c r="V157" s="383" t="s">
        <v>84</v>
      </c>
      <c r="W157" s="383" t="s">
        <v>85</v>
      </c>
    </row>
    <row r="158" spans="2:23">
      <c r="B158" s="374"/>
      <c r="C158" s="374"/>
      <c r="D158" s="374"/>
      <c r="E158" s="374"/>
      <c r="F158" s="374"/>
      <c r="J158" t="str">
        <f t="shared" si="34"/>
        <v>\I:Trd_bus_</v>
      </c>
      <c r="K158" t="str">
        <f t="shared" si="36"/>
        <v>\I:</v>
      </c>
      <c r="L158" t="str">
        <f t="shared" si="35"/>
        <v>\I:</v>
      </c>
      <c r="M158" s="380" t="str">
        <f t="shared" si="37"/>
        <v/>
      </c>
      <c r="N158" s="380" t="str">
        <f t="shared" si="38"/>
        <v/>
      </c>
      <c r="O158" s="380" t="str">
        <f t="shared" si="39"/>
        <v/>
      </c>
      <c r="P158" s="380" t="str">
        <f t="shared" si="40"/>
        <v/>
      </c>
      <c r="S158" t="s">
        <v>83</v>
      </c>
      <c r="T158" t="str">
        <f t="shared" si="41"/>
        <v>\I:</v>
      </c>
      <c r="U158" t="str">
        <f ca="1" t="shared" si="42"/>
        <v>Hybrid diesel coach -- 00%</v>
      </c>
      <c r="V158" s="383" t="s">
        <v>84</v>
      </c>
      <c r="W158" s="383" t="s">
        <v>85</v>
      </c>
    </row>
    <row r="159" spans="2:23">
      <c r="B159" s="49"/>
      <c r="C159" s="50">
        <v>2020</v>
      </c>
      <c r="D159" s="50">
        <v>2030</v>
      </c>
      <c r="E159" s="50">
        <v>2040</v>
      </c>
      <c r="F159" s="50">
        <v>2050</v>
      </c>
      <c r="J159" t="str">
        <f t="shared" si="34"/>
        <v>\I:Trd_bus_</v>
      </c>
      <c r="K159" t="str">
        <f t="shared" si="36"/>
        <v>\I:</v>
      </c>
      <c r="L159" t="str">
        <f t="shared" si="35"/>
        <v>\I:</v>
      </c>
      <c r="M159" s="380" t="str">
        <f t="shared" si="37"/>
        <v/>
      </c>
      <c r="N159" s="380" t="str">
        <f t="shared" si="38"/>
        <v/>
      </c>
      <c r="O159" s="380" t="str">
        <f t="shared" si="39"/>
        <v/>
      </c>
      <c r="P159" s="380" t="str">
        <f t="shared" si="40"/>
        <v/>
      </c>
      <c r="S159" t="s">
        <v>83</v>
      </c>
      <c r="T159" t="str">
        <f t="shared" si="41"/>
        <v>\I:</v>
      </c>
      <c r="U159" t="str">
        <f ca="1" t="shared" si="42"/>
        <v>Hybrid diesel coach -- 00%</v>
      </c>
      <c r="V159" s="383" t="s">
        <v>84</v>
      </c>
      <c r="W159" s="383" t="s">
        <v>85</v>
      </c>
    </row>
    <row r="160" spans="2:23">
      <c r="B160" s="51">
        <v>0.0410104025682651</v>
      </c>
      <c r="C160" s="86">
        <v>322213.921573696</v>
      </c>
      <c r="D160" s="86">
        <v>322213.921573696</v>
      </c>
      <c r="E160" s="86">
        <v>322213.921573696</v>
      </c>
      <c r="F160" s="86">
        <v>322213.921573696</v>
      </c>
      <c r="J160" t="str">
        <f t="shared" si="34"/>
        <v>\I:Trd_bus_</v>
      </c>
      <c r="K160" t="str">
        <f t="shared" si="36"/>
        <v>\I:Trd_bus__04</v>
      </c>
      <c r="L160" t="str">
        <f t="shared" si="35"/>
        <v>\I:Trd_</v>
      </c>
      <c r="M160" s="380">
        <f t="shared" si="37"/>
        <v>322213.921573696</v>
      </c>
      <c r="N160" s="380">
        <f t="shared" si="38"/>
        <v>322213.921573696</v>
      </c>
      <c r="O160" s="380">
        <f t="shared" si="39"/>
        <v>322213.921573696</v>
      </c>
      <c r="P160" s="380">
        <f t="shared" si="40"/>
        <v>322213.921573696</v>
      </c>
      <c r="S160" t="s">
        <v>83</v>
      </c>
      <c r="T160" t="str">
        <f t="shared" si="41"/>
        <v>\I:Trd_bus__04</v>
      </c>
      <c r="U160" t="str">
        <f ca="1" t="shared" si="42"/>
        <v>Hybrid diesel coach -- 04%</v>
      </c>
      <c r="V160" s="383" t="s">
        <v>84</v>
      </c>
      <c r="W160" s="383" t="s">
        <v>85</v>
      </c>
    </row>
    <row r="161" spans="2:23">
      <c r="B161" s="51">
        <v>0.0910104025682651</v>
      </c>
      <c r="C161" s="86">
        <v>323718.211257641</v>
      </c>
      <c r="D161" s="86">
        <v>323221.069737195</v>
      </c>
      <c r="E161" s="86">
        <v>323221.069737195</v>
      </c>
      <c r="F161" s="86">
        <v>323221.069737195</v>
      </c>
      <c r="J161" t="str">
        <f t="shared" si="34"/>
        <v>\I:Trd_bus_</v>
      </c>
      <c r="K161" t="str">
        <f t="shared" si="36"/>
        <v>\I:Trd_bus__09</v>
      </c>
      <c r="L161" t="str">
        <f t="shared" si="35"/>
        <v>\I:Trd_</v>
      </c>
      <c r="M161" s="380">
        <f t="shared" si="37"/>
        <v>323718.211257641</v>
      </c>
      <c r="N161" s="380">
        <f t="shared" si="38"/>
        <v>323221.069737195</v>
      </c>
      <c r="O161" s="380">
        <f t="shared" si="39"/>
        <v>323221.069737195</v>
      </c>
      <c r="P161" s="380">
        <f t="shared" si="40"/>
        <v>323221.069737195</v>
      </c>
      <c r="S161" t="s">
        <v>83</v>
      </c>
      <c r="T161" t="str">
        <f t="shared" si="41"/>
        <v>\I:Trd_bus__09</v>
      </c>
      <c r="U161" t="str">
        <f ca="1" t="shared" si="42"/>
        <v>Hybrid diesel coach -- 09%</v>
      </c>
      <c r="V161" s="383" t="s">
        <v>84</v>
      </c>
      <c r="W161" s="383" t="s">
        <v>85</v>
      </c>
    </row>
    <row r="162" spans="2:23">
      <c r="B162" s="51">
        <v>0.141010402568265</v>
      </c>
      <c r="C162" s="86">
        <v>325145.498992476</v>
      </c>
      <c r="D162" s="86">
        <v>324735.294564148</v>
      </c>
      <c r="E162" s="86">
        <v>324735.294564148</v>
      </c>
      <c r="F162" s="86">
        <v>324735.294564148</v>
      </c>
      <c r="J162" t="str">
        <f t="shared" si="34"/>
        <v>\I:Trd_bus_</v>
      </c>
      <c r="K162" t="str">
        <f t="shared" si="36"/>
        <v>\I:Trd_bus__14</v>
      </c>
      <c r="L162" t="str">
        <f t="shared" si="35"/>
        <v>\I:Trd_</v>
      </c>
      <c r="M162" s="380">
        <f t="shared" si="37"/>
        <v>325145.498992476</v>
      </c>
      <c r="N162" s="380">
        <f t="shared" si="38"/>
        <v>324735.294564148</v>
      </c>
      <c r="O162" s="380">
        <f t="shared" si="39"/>
        <v>324735.294564148</v>
      </c>
      <c r="P162" s="380">
        <f t="shared" si="40"/>
        <v>324735.294564148</v>
      </c>
      <c r="S162" t="s">
        <v>83</v>
      </c>
      <c r="T162" t="str">
        <f t="shared" si="41"/>
        <v>\I:Trd_bus__14</v>
      </c>
      <c r="U162" t="str">
        <f ca="1" t="shared" si="42"/>
        <v>Hybrid diesel coach -- 14%</v>
      </c>
      <c r="V162" s="383" t="s">
        <v>84</v>
      </c>
      <c r="W162" s="383" t="s">
        <v>85</v>
      </c>
    </row>
    <row r="163" spans="2:23">
      <c r="B163" s="51">
        <v>0.191010402568265</v>
      </c>
      <c r="C163" s="86">
        <v>330223.215291406</v>
      </c>
      <c r="D163" s="86">
        <v>327011.897858143</v>
      </c>
      <c r="E163" s="86">
        <v>327011.897858143</v>
      </c>
      <c r="F163" s="86">
        <v>327011.897858143</v>
      </c>
      <c r="J163" t="str">
        <f t="shared" si="34"/>
        <v>\I:Trd_bus_</v>
      </c>
      <c r="K163" t="str">
        <f t="shared" si="36"/>
        <v>\I:Trd_bus__19</v>
      </c>
      <c r="L163" t="str">
        <f t="shared" si="35"/>
        <v>\I:Trd_</v>
      </c>
      <c r="M163" s="380">
        <f t="shared" si="37"/>
        <v>330223.215291406</v>
      </c>
      <c r="N163" s="380">
        <f t="shared" si="38"/>
        <v>327011.897858143</v>
      </c>
      <c r="O163" s="380">
        <f t="shared" si="39"/>
        <v>327011.897858143</v>
      </c>
      <c r="P163" s="380">
        <f t="shared" si="40"/>
        <v>327011.897858143</v>
      </c>
      <c r="S163" t="s">
        <v>83</v>
      </c>
      <c r="T163" t="str">
        <f t="shared" si="41"/>
        <v>\I:Trd_bus__19</v>
      </c>
      <c r="U163" t="str">
        <f ca="1" t="shared" si="42"/>
        <v>Hybrid diesel coach -- 19%</v>
      </c>
      <c r="V163" s="383" t="s">
        <v>84</v>
      </c>
      <c r="W163" s="383" t="s">
        <v>85</v>
      </c>
    </row>
    <row r="164" spans="2:23">
      <c r="B164" s="51">
        <v>0.241010402568265</v>
      </c>
      <c r="C164" s="86">
        <v>336044.223477435</v>
      </c>
      <c r="D164" s="86">
        <v>330434.720193354</v>
      </c>
      <c r="E164" s="86">
        <v>330434.720193354</v>
      </c>
      <c r="F164" s="86">
        <v>330434.720193354</v>
      </c>
      <c r="J164" t="str">
        <f t="shared" si="34"/>
        <v>\I:Trd_bus_</v>
      </c>
      <c r="K164" t="str">
        <f t="shared" si="36"/>
        <v>\I:Trd_bus__24</v>
      </c>
      <c r="L164" t="str">
        <f t="shared" si="35"/>
        <v>\I:Trd_</v>
      </c>
      <c r="M164" s="380">
        <f t="shared" si="37"/>
        <v>336044.223477435</v>
      </c>
      <c r="N164" s="380">
        <f t="shared" si="38"/>
        <v>330434.720193354</v>
      </c>
      <c r="O164" s="380">
        <f t="shared" si="39"/>
        <v>330434.720193354</v>
      </c>
      <c r="P164" s="380">
        <f t="shared" si="40"/>
        <v>330434.720193354</v>
      </c>
      <c r="S164" t="s">
        <v>83</v>
      </c>
      <c r="T164" t="str">
        <f t="shared" si="41"/>
        <v>\I:Trd_bus__24</v>
      </c>
      <c r="U164" t="str">
        <f ca="1" t="shared" si="42"/>
        <v>Hybrid diesel coach -- 24%</v>
      </c>
      <c r="V164" s="383" t="s">
        <v>84</v>
      </c>
      <c r="W164" s="383" t="s">
        <v>85</v>
      </c>
    </row>
    <row r="165" spans="2:23">
      <c r="B165" s="51">
        <v>0.261010402568265</v>
      </c>
      <c r="C165" s="86">
        <v>361776.063243984</v>
      </c>
      <c r="D165" s="86">
        <v>335707.326466266</v>
      </c>
      <c r="E165" s="86">
        <v>335580.857321997</v>
      </c>
      <c r="F165" s="86">
        <v>335580.857321997</v>
      </c>
      <c r="J165" t="str">
        <f t="shared" si="34"/>
        <v>\I:Trd_bus_</v>
      </c>
      <c r="K165" t="str">
        <f t="shared" si="36"/>
        <v>\I:Trd_bus__26</v>
      </c>
      <c r="L165" t="str">
        <f t="shared" si="35"/>
        <v>\I:Trd_</v>
      </c>
      <c r="M165" s="380">
        <f t="shared" si="37"/>
        <v>361776.063243984</v>
      </c>
      <c r="N165" s="380">
        <f t="shared" si="38"/>
        <v>335707.326466266</v>
      </c>
      <c r="O165" s="380">
        <f t="shared" si="39"/>
        <v>335580.857321997</v>
      </c>
      <c r="P165" s="380">
        <f t="shared" si="40"/>
        <v>335580.857321997</v>
      </c>
      <c r="S165" t="s">
        <v>83</v>
      </c>
      <c r="T165" t="str">
        <f t="shared" si="41"/>
        <v>\I:Trd_bus__26</v>
      </c>
      <c r="U165" t="str">
        <f ca="1" t="shared" si="42"/>
        <v>Hybrid diesel coach -- 26%</v>
      </c>
      <c r="V165" s="383" t="s">
        <v>84</v>
      </c>
      <c r="W165" s="383" t="s">
        <v>85</v>
      </c>
    </row>
    <row r="166" spans="2:23">
      <c r="B166" s="51">
        <v>0.291010402568265</v>
      </c>
      <c r="C166" s="86">
        <v>446864.791159275</v>
      </c>
      <c r="D166" s="86">
        <v>351817.60135664</v>
      </c>
      <c r="E166" s="86">
        <v>343317.959851208</v>
      </c>
      <c r="F166" s="86">
        <v>343317.959851208</v>
      </c>
      <c r="J166" t="str">
        <f t="shared" si="34"/>
        <v>\I:Trd_bus_</v>
      </c>
      <c r="K166" t="str">
        <f t="shared" si="36"/>
        <v>\I:Trd_bus__29</v>
      </c>
      <c r="L166" t="str">
        <f t="shared" si="35"/>
        <v>\I:Trd_</v>
      </c>
      <c r="M166" s="380">
        <f t="shared" si="37"/>
        <v>446864.791159275</v>
      </c>
      <c r="N166" s="380">
        <f t="shared" si="38"/>
        <v>351817.60135664</v>
      </c>
      <c r="O166" s="380">
        <f t="shared" si="39"/>
        <v>343317.959851208</v>
      </c>
      <c r="P166" s="380">
        <f t="shared" si="40"/>
        <v>343317.959851208</v>
      </c>
      <c r="S166" t="s">
        <v>83</v>
      </c>
      <c r="T166" t="str">
        <f t="shared" si="41"/>
        <v>\I:Trd_bus__29</v>
      </c>
      <c r="U166" t="str">
        <f ca="1" t="shared" si="42"/>
        <v>Hybrid diesel coach -- 29%</v>
      </c>
      <c r="V166" s="383" t="s">
        <v>84</v>
      </c>
      <c r="W166" s="383" t="s">
        <v>85</v>
      </c>
    </row>
    <row r="167" spans="10:23">
      <c r="J167" t="str">
        <f t="shared" si="34"/>
        <v>\I:Trd_bus_</v>
      </c>
      <c r="K167" t="str">
        <f t="shared" si="36"/>
        <v>\I:</v>
      </c>
      <c r="L167" t="str">
        <f t="shared" si="35"/>
        <v>\I:</v>
      </c>
      <c r="M167" s="380" t="str">
        <f t="shared" si="37"/>
        <v/>
      </c>
      <c r="N167" s="380" t="str">
        <f t="shared" si="38"/>
        <v/>
      </c>
      <c r="O167" s="380" t="str">
        <f t="shared" si="39"/>
        <v/>
      </c>
      <c r="P167" s="380" t="str">
        <f t="shared" si="40"/>
        <v/>
      </c>
      <c r="S167" t="s">
        <v>83</v>
      </c>
      <c r="T167" t="str">
        <f t="shared" si="41"/>
        <v>\I:</v>
      </c>
      <c r="U167" t="str">
        <f ca="1" t="shared" si="42"/>
        <v>Hybrid diesel coach -- 00%</v>
      </c>
      <c r="V167" s="383" t="s">
        <v>84</v>
      </c>
      <c r="W167" s="383" t="s">
        <v>85</v>
      </c>
    </row>
    <row r="168" spans="10:23">
      <c r="J168" t="str">
        <f t="shared" si="34"/>
        <v>\I:Trd_bus_</v>
      </c>
      <c r="K168" t="str">
        <f t="shared" si="36"/>
        <v>\I:</v>
      </c>
      <c r="L168" t="str">
        <f t="shared" si="35"/>
        <v>\I:</v>
      </c>
      <c r="M168" s="380" t="str">
        <f t="shared" si="37"/>
        <v/>
      </c>
      <c r="N168" s="380" t="str">
        <f t="shared" si="38"/>
        <v/>
      </c>
      <c r="O168" s="380" t="str">
        <f t="shared" si="39"/>
        <v/>
      </c>
      <c r="P168" s="380" t="str">
        <f t="shared" si="40"/>
        <v/>
      </c>
      <c r="S168" t="s">
        <v>83</v>
      </c>
      <c r="T168" t="str">
        <f t="shared" si="41"/>
        <v>\I:</v>
      </c>
      <c r="U168" t="str">
        <f ca="1" t="shared" si="42"/>
        <v>Hybrid diesel coach -- 00%</v>
      </c>
      <c r="V168" s="383" t="s">
        <v>84</v>
      </c>
      <c r="W168" s="383" t="s">
        <v>85</v>
      </c>
    </row>
    <row r="169" spans="10:23">
      <c r="J169" t="str">
        <f t="shared" si="34"/>
        <v>\I:Trd_bus_</v>
      </c>
      <c r="K169" t="str">
        <f t="shared" si="36"/>
        <v>\I:</v>
      </c>
      <c r="L169" t="str">
        <f t="shared" si="35"/>
        <v>\I:</v>
      </c>
      <c r="M169" s="380" t="str">
        <f t="shared" si="37"/>
        <v/>
      </c>
      <c r="N169" s="380" t="str">
        <f t="shared" si="38"/>
        <v/>
      </c>
      <c r="O169" s="380" t="str">
        <f t="shared" si="39"/>
        <v/>
      </c>
      <c r="P169" s="380" t="str">
        <f t="shared" si="40"/>
        <v/>
      </c>
      <c r="S169" t="s">
        <v>83</v>
      </c>
      <c r="T169" t="str">
        <f t="shared" si="41"/>
        <v>\I:</v>
      </c>
      <c r="U169" t="str">
        <f ca="1" t="shared" si="42"/>
        <v>Hybrid diesel coach -- 00%</v>
      </c>
      <c r="V169" s="383" t="s">
        <v>84</v>
      </c>
      <c r="W169" s="383" t="s">
        <v>85</v>
      </c>
    </row>
    <row r="170" spans="10:23">
      <c r="J170" t="str">
        <f t="shared" si="34"/>
        <v>\I:Trd_bus_</v>
      </c>
      <c r="K170" t="str">
        <f t="shared" si="36"/>
        <v>\I:</v>
      </c>
      <c r="L170" t="str">
        <f t="shared" si="35"/>
        <v>\I:</v>
      </c>
      <c r="M170" s="380" t="str">
        <f t="shared" si="37"/>
        <v/>
      </c>
      <c r="N170" s="380" t="str">
        <f t="shared" si="38"/>
        <v/>
      </c>
      <c r="O170" s="380" t="str">
        <f t="shared" si="39"/>
        <v/>
      </c>
      <c r="P170" s="380" t="str">
        <f t="shared" si="40"/>
        <v/>
      </c>
      <c r="S170" t="s">
        <v>83</v>
      </c>
      <c r="T170" t="str">
        <f t="shared" si="41"/>
        <v>\I:</v>
      </c>
      <c r="U170" t="str">
        <f ca="1" t="shared" si="42"/>
        <v>Hybrid diesel coach -- 00%</v>
      </c>
      <c r="V170" s="383" t="s">
        <v>84</v>
      </c>
      <c r="W170" s="383" t="s">
        <v>85</v>
      </c>
    </row>
    <row r="171" spans="2:23">
      <c r="B171" s="43" t="s">
        <v>167</v>
      </c>
      <c r="J171" t="str">
        <f t="shared" si="34"/>
        <v>\I:Trd_bus_</v>
      </c>
      <c r="K171" t="str">
        <f t="shared" si="36"/>
        <v>\I:</v>
      </c>
      <c r="L171" t="str">
        <f t="shared" si="35"/>
        <v>\I:</v>
      </c>
      <c r="M171" s="380" t="str">
        <f t="shared" si="37"/>
        <v/>
      </c>
      <c r="N171" s="380" t="str">
        <f t="shared" si="38"/>
        <v/>
      </c>
      <c r="O171" s="380" t="str">
        <f t="shared" si="39"/>
        <v/>
      </c>
      <c r="P171" s="380" t="str">
        <f t="shared" si="40"/>
        <v/>
      </c>
      <c r="S171" t="s">
        <v>83</v>
      </c>
      <c r="T171" t="str">
        <f t="shared" si="41"/>
        <v>\I:</v>
      </c>
      <c r="U171" t="str">
        <f ca="1" t="shared" si="42"/>
        <v>Hybrid diesel coach -- Reference values for LPG coach</v>
      </c>
      <c r="V171" s="383" t="s">
        <v>84</v>
      </c>
      <c r="W171" s="383" t="s">
        <v>85</v>
      </c>
    </row>
    <row r="172" spans="2:23">
      <c r="B172" s="372">
        <v>2015</v>
      </c>
      <c r="C172" s="372"/>
      <c r="D172" s="372"/>
      <c r="J172" t="str">
        <f t="shared" si="34"/>
        <v>\I:Trd_bus_</v>
      </c>
      <c r="K172" t="str">
        <f t="shared" si="36"/>
        <v>\I:</v>
      </c>
      <c r="L172" t="str">
        <f t="shared" si="35"/>
        <v>\I:</v>
      </c>
      <c r="M172" s="380" t="str">
        <f t="shared" si="37"/>
        <v/>
      </c>
      <c r="N172" s="380" t="str">
        <f t="shared" si="38"/>
        <v/>
      </c>
      <c r="O172" s="380" t="str">
        <f t="shared" si="39"/>
        <v/>
      </c>
      <c r="P172" s="380" t="str">
        <f t="shared" si="40"/>
        <v/>
      </c>
      <c r="S172" t="s">
        <v>83</v>
      </c>
      <c r="T172" t="str">
        <f t="shared" si="41"/>
        <v>\I:</v>
      </c>
      <c r="U172" t="str">
        <f ca="1" t="shared" si="42"/>
        <v>Hybrid diesel coach -- 201500%</v>
      </c>
      <c r="V172" s="383" t="s">
        <v>84</v>
      </c>
      <c r="W172" s="383" t="s">
        <v>85</v>
      </c>
    </row>
    <row r="173" spans="2:23">
      <c r="B173" s="45" t="s">
        <v>12</v>
      </c>
      <c r="C173" s="46" t="s">
        <v>13</v>
      </c>
      <c r="D173" s="47">
        <v>32.1825557678347</v>
      </c>
      <c r="J173" t="str">
        <f t="shared" si="34"/>
        <v>\I:Trd_bus_</v>
      </c>
      <c r="K173" t="str">
        <f t="shared" si="36"/>
        <v>\I:</v>
      </c>
      <c r="L173" t="str">
        <f t="shared" si="35"/>
        <v>\I:</v>
      </c>
      <c r="M173" s="380" t="str">
        <f t="shared" si="37"/>
        <v/>
      </c>
      <c r="N173" s="380" t="str">
        <f t="shared" si="38"/>
        <v/>
      </c>
      <c r="O173" s="380" t="str">
        <f t="shared" si="39"/>
        <v/>
      </c>
      <c r="P173" s="380" t="str">
        <f t="shared" si="40"/>
        <v/>
      </c>
      <c r="S173" t="s">
        <v>83</v>
      </c>
      <c r="T173" t="str">
        <f t="shared" si="41"/>
        <v>\I:</v>
      </c>
      <c r="U173" t="str">
        <f ca="1" t="shared" si="42"/>
        <v>Hybrid diesel coach -- Energy consumption</v>
      </c>
      <c r="V173" s="383" t="s">
        <v>84</v>
      </c>
      <c r="W173" s="383" t="s">
        <v>85</v>
      </c>
    </row>
    <row r="174" spans="2:23">
      <c r="B174" s="45" t="s">
        <v>14</v>
      </c>
      <c r="C174" s="46" t="s">
        <v>15</v>
      </c>
      <c r="D174" s="68">
        <v>314033.258144713</v>
      </c>
      <c r="J174" t="str">
        <f t="shared" si="34"/>
        <v>\I:Trd_bus_</v>
      </c>
      <c r="K174" t="str">
        <f t="shared" si="36"/>
        <v>\I:</v>
      </c>
      <c r="L174" t="str">
        <f t="shared" si="35"/>
        <v>\I:</v>
      </c>
      <c r="M174" s="380" t="str">
        <f t="shared" si="37"/>
        <v/>
      </c>
      <c r="N174" s="380" t="str">
        <f t="shared" si="38"/>
        <v/>
      </c>
      <c r="O174" s="380" t="str">
        <f t="shared" si="39"/>
        <v/>
      </c>
      <c r="P174" s="380" t="str">
        <f t="shared" si="40"/>
        <v/>
      </c>
      <c r="S174" t="s">
        <v>83</v>
      </c>
      <c r="T174" t="str">
        <f t="shared" si="41"/>
        <v>\I:</v>
      </c>
      <c r="U174" t="str">
        <f ca="1" t="shared" si="42"/>
        <v>Hybrid diesel coach -- Capital cost</v>
      </c>
      <c r="V174" s="383" t="s">
        <v>84</v>
      </c>
      <c r="W174" s="383" t="s">
        <v>85</v>
      </c>
    </row>
    <row r="175" spans="10:23">
      <c r="J175" t="str">
        <f t="shared" si="34"/>
        <v>\I:Trd_bus_</v>
      </c>
      <c r="K175" t="str">
        <f t="shared" si="36"/>
        <v>\I:</v>
      </c>
      <c r="L175" t="str">
        <f t="shared" si="35"/>
        <v>\I:</v>
      </c>
      <c r="M175" s="380" t="str">
        <f t="shared" si="37"/>
        <v/>
      </c>
      <c r="N175" s="380" t="str">
        <f t="shared" si="38"/>
        <v/>
      </c>
      <c r="O175" s="380" t="str">
        <f t="shared" si="39"/>
        <v/>
      </c>
      <c r="P175" s="380" t="str">
        <f t="shared" si="40"/>
        <v/>
      </c>
      <c r="S175" t="s">
        <v>83</v>
      </c>
      <c r="T175" t="str">
        <f t="shared" si="41"/>
        <v>\I:</v>
      </c>
      <c r="U175" t="str">
        <f ca="1" t="shared" si="42"/>
        <v>Hybrid diesel coach -- 00%</v>
      </c>
      <c r="V175" s="383" t="s">
        <v>84</v>
      </c>
      <c r="W175" s="383" t="s">
        <v>85</v>
      </c>
    </row>
    <row r="176" ht="15" customHeight="1" spans="2:23">
      <c r="B176" s="374" t="s">
        <v>91</v>
      </c>
      <c r="C176" s="374" t="s">
        <v>168</v>
      </c>
      <c r="D176" s="374"/>
      <c r="E176" s="374"/>
      <c r="F176" s="374"/>
      <c r="J176" t="str">
        <f t="shared" si="34"/>
        <v>\I:Trd_bus_</v>
      </c>
      <c r="K176" t="str">
        <f t="shared" si="36"/>
        <v>\I:</v>
      </c>
      <c r="L176" t="str">
        <f t="shared" si="35"/>
        <v>\I:</v>
      </c>
      <c r="M176" s="380" t="str">
        <f t="shared" si="37"/>
        <v/>
      </c>
      <c r="N176" s="380" t="str">
        <f t="shared" si="38"/>
        <v/>
      </c>
      <c r="O176" s="380" t="str">
        <f t="shared" si="39"/>
        <v/>
      </c>
      <c r="P176" s="380" t="str">
        <f t="shared" si="40"/>
        <v/>
      </c>
      <c r="S176" t="s">
        <v>83</v>
      </c>
      <c r="T176" t="str">
        <f t="shared" si="41"/>
        <v>\I:</v>
      </c>
      <c r="U176" t="str">
        <f ca="1" t="shared" si="42"/>
        <v>Hybrid diesel coach -- Reduction of specific energy consumption relative to 2015 LPG vehicle (%)</v>
      </c>
      <c r="V176" s="383" t="s">
        <v>84</v>
      </c>
      <c r="W176" s="383" t="s">
        <v>85</v>
      </c>
    </row>
    <row r="177" spans="2:23">
      <c r="B177" s="374"/>
      <c r="C177" s="374"/>
      <c r="D177" s="374"/>
      <c r="E177" s="374"/>
      <c r="F177" s="374"/>
      <c r="J177" t="str">
        <f t="shared" si="34"/>
        <v>\I:Trd_bus_</v>
      </c>
      <c r="K177" t="str">
        <f t="shared" si="36"/>
        <v>\I:</v>
      </c>
      <c r="L177" t="str">
        <f t="shared" si="35"/>
        <v>\I:</v>
      </c>
      <c r="M177" s="380" t="str">
        <f t="shared" si="37"/>
        <v/>
      </c>
      <c r="N177" s="380" t="str">
        <f t="shared" si="38"/>
        <v/>
      </c>
      <c r="O177" s="380" t="str">
        <f t="shared" si="39"/>
        <v/>
      </c>
      <c r="P177" s="380" t="str">
        <f t="shared" si="40"/>
        <v/>
      </c>
      <c r="S177" t="s">
        <v>83</v>
      </c>
      <c r="T177" t="str">
        <f t="shared" si="41"/>
        <v>\I:</v>
      </c>
      <c r="U177" t="str">
        <f ca="1" t="shared" si="42"/>
        <v>Hybrid diesel coach -- 00%</v>
      </c>
      <c r="V177" s="383" t="s">
        <v>84</v>
      </c>
      <c r="W177" s="383" t="s">
        <v>85</v>
      </c>
    </row>
    <row r="178" spans="2:23">
      <c r="B178" s="374"/>
      <c r="C178" s="374"/>
      <c r="D178" s="374"/>
      <c r="E178" s="374"/>
      <c r="F178" s="374"/>
      <c r="J178" t="str">
        <f t="shared" si="34"/>
        <v>\I:Trd_bus_</v>
      </c>
      <c r="K178" t="str">
        <f t="shared" si="36"/>
        <v>\I:</v>
      </c>
      <c r="L178" t="str">
        <f t="shared" si="35"/>
        <v>\I:</v>
      </c>
      <c r="M178" s="380" t="str">
        <f t="shared" si="37"/>
        <v/>
      </c>
      <c r="N178" s="380" t="str">
        <f t="shared" si="38"/>
        <v/>
      </c>
      <c r="O178" s="380" t="str">
        <f t="shared" si="39"/>
        <v/>
      </c>
      <c r="P178" s="380" t="str">
        <f t="shared" si="40"/>
        <v/>
      </c>
      <c r="S178" t="s">
        <v>83</v>
      </c>
      <c r="T178" t="str">
        <f t="shared" si="41"/>
        <v>\I:</v>
      </c>
      <c r="U178" t="str">
        <f ca="1" t="shared" si="42"/>
        <v>Hybrid diesel coach -- 00%</v>
      </c>
      <c r="V178" s="383" t="s">
        <v>84</v>
      </c>
      <c r="W178" s="383" t="s">
        <v>85</v>
      </c>
    </row>
    <row r="179" spans="2:23">
      <c r="B179" s="49"/>
      <c r="C179" s="50">
        <v>2020</v>
      </c>
      <c r="D179" s="50">
        <v>2030</v>
      </c>
      <c r="E179" s="50">
        <v>2040</v>
      </c>
      <c r="F179" s="50">
        <v>2050</v>
      </c>
      <c r="J179" t="str">
        <f t="shared" si="34"/>
        <v>\I:Trd_bus_</v>
      </c>
      <c r="K179" t="str">
        <f t="shared" si="36"/>
        <v>\I:</v>
      </c>
      <c r="L179" t="str">
        <f t="shared" si="35"/>
        <v>\I:</v>
      </c>
      <c r="M179" s="380" t="str">
        <f t="shared" si="37"/>
        <v/>
      </c>
      <c r="N179" s="380" t="str">
        <f t="shared" si="38"/>
        <v/>
      </c>
      <c r="O179" s="380" t="str">
        <f t="shared" si="39"/>
        <v/>
      </c>
      <c r="P179" s="380" t="str">
        <f t="shared" si="40"/>
        <v/>
      </c>
      <c r="S179" t="s">
        <v>83</v>
      </c>
      <c r="T179" t="str">
        <f t="shared" si="41"/>
        <v>\I:</v>
      </c>
      <c r="U179" t="str">
        <f ca="1" t="shared" si="42"/>
        <v>Hybrid diesel coach -- 00%</v>
      </c>
      <c r="V179" s="383" t="s">
        <v>84</v>
      </c>
      <c r="W179" s="383" t="s">
        <v>85</v>
      </c>
    </row>
    <row r="180" spans="2:23">
      <c r="B180" s="51">
        <v>0.0410104025682651</v>
      </c>
      <c r="C180" s="86">
        <v>314853.623173696</v>
      </c>
      <c r="D180" s="86">
        <v>314853.623173696</v>
      </c>
      <c r="E180" s="86">
        <v>314853.623173696</v>
      </c>
      <c r="F180" s="86">
        <v>314853.623173696</v>
      </c>
      <c r="J180" t="str">
        <f t="shared" si="34"/>
        <v>\I:Trd_bus_</v>
      </c>
      <c r="K180" t="str">
        <f t="shared" si="36"/>
        <v>\I:Trd_bus__04</v>
      </c>
      <c r="L180" t="str">
        <f t="shared" si="35"/>
        <v>\I:Trd_</v>
      </c>
      <c r="M180" s="380">
        <f t="shared" si="37"/>
        <v>314853.623173696</v>
      </c>
      <c r="N180" s="380">
        <f t="shared" si="38"/>
        <v>314853.623173696</v>
      </c>
      <c r="O180" s="380">
        <f t="shared" si="39"/>
        <v>314853.623173696</v>
      </c>
      <c r="P180" s="380">
        <f t="shared" si="40"/>
        <v>314853.623173696</v>
      </c>
      <c r="S180" t="s">
        <v>83</v>
      </c>
      <c r="T180" t="str">
        <f t="shared" si="41"/>
        <v>\I:Trd_bus__04</v>
      </c>
      <c r="U180" t="str">
        <f ca="1" t="shared" si="42"/>
        <v>Hybrid diesel coach -- 04%</v>
      </c>
      <c r="V180" s="383" t="s">
        <v>84</v>
      </c>
      <c r="W180" s="383" t="s">
        <v>85</v>
      </c>
    </row>
    <row r="181" spans="2:23">
      <c r="B181" s="51">
        <v>0.0910104025682651</v>
      </c>
      <c r="C181" s="86">
        <v>316357.912857641</v>
      </c>
      <c r="D181" s="86">
        <v>315860.771337195</v>
      </c>
      <c r="E181" s="86">
        <v>315860.771337195</v>
      </c>
      <c r="F181" s="86">
        <v>315860.771337195</v>
      </c>
      <c r="J181" t="str">
        <f t="shared" si="34"/>
        <v>\I:Trd_bus_</v>
      </c>
      <c r="K181" t="str">
        <f t="shared" si="36"/>
        <v>\I:Trd_bus__09</v>
      </c>
      <c r="L181" t="str">
        <f t="shared" si="35"/>
        <v>\I:Trd_</v>
      </c>
      <c r="M181" s="380">
        <f t="shared" si="37"/>
        <v>316357.912857641</v>
      </c>
      <c r="N181" s="380">
        <f t="shared" si="38"/>
        <v>315860.771337195</v>
      </c>
      <c r="O181" s="380">
        <f t="shared" si="39"/>
        <v>315860.771337195</v>
      </c>
      <c r="P181" s="380">
        <f t="shared" si="40"/>
        <v>315860.771337195</v>
      </c>
      <c r="S181" t="s">
        <v>83</v>
      </c>
      <c r="T181" t="str">
        <f t="shared" si="41"/>
        <v>\I:Trd_bus__09</v>
      </c>
      <c r="U181" t="str">
        <f ca="1" t="shared" si="42"/>
        <v>Hybrid diesel coach -- 09%</v>
      </c>
      <c r="V181" s="383" t="s">
        <v>84</v>
      </c>
      <c r="W181" s="383" t="s">
        <v>85</v>
      </c>
    </row>
    <row r="182" spans="2:23">
      <c r="B182" s="51">
        <v>0.141010402568265</v>
      </c>
      <c r="C182" s="86">
        <v>317785.200592476</v>
      </c>
      <c r="D182" s="86">
        <v>317374.996164148</v>
      </c>
      <c r="E182" s="86">
        <v>317374.996164148</v>
      </c>
      <c r="F182" s="86">
        <v>317374.996164148</v>
      </c>
      <c r="J182" t="str">
        <f t="shared" si="34"/>
        <v>\I:Trd_bus_</v>
      </c>
      <c r="K182" t="str">
        <f t="shared" si="36"/>
        <v>\I:Trd_bus__14</v>
      </c>
      <c r="L182" t="str">
        <f t="shared" si="35"/>
        <v>\I:Trd_</v>
      </c>
      <c r="M182" s="380">
        <f t="shared" si="37"/>
        <v>317785.200592476</v>
      </c>
      <c r="N182" s="380">
        <f t="shared" si="38"/>
        <v>317374.996164148</v>
      </c>
      <c r="O182" s="380">
        <f t="shared" si="39"/>
        <v>317374.996164148</v>
      </c>
      <c r="P182" s="380">
        <f t="shared" si="40"/>
        <v>317374.996164148</v>
      </c>
      <c r="S182" t="s">
        <v>83</v>
      </c>
      <c r="T182" t="str">
        <f t="shared" si="41"/>
        <v>\I:Trd_bus__14</v>
      </c>
      <c r="U182" t="str">
        <f ca="1" t="shared" si="42"/>
        <v>Hybrid diesel coach -- 14%</v>
      </c>
      <c r="V182" s="383" t="s">
        <v>84</v>
      </c>
      <c r="W182" s="383" t="s">
        <v>85</v>
      </c>
    </row>
    <row r="183" spans="2:23">
      <c r="B183" s="51">
        <v>0.191010402568265</v>
      </c>
      <c r="C183" s="86">
        <v>322862.916891406</v>
      </c>
      <c r="D183" s="86">
        <v>319651.599458143</v>
      </c>
      <c r="E183" s="86">
        <v>319651.599458143</v>
      </c>
      <c r="F183" s="86">
        <v>319651.599458143</v>
      </c>
      <c r="J183" t="str">
        <f t="shared" si="34"/>
        <v>\I:Trd_bus_</v>
      </c>
      <c r="K183" t="str">
        <f t="shared" si="36"/>
        <v>\I:Trd_bus__19</v>
      </c>
      <c r="L183" t="str">
        <f t="shared" si="35"/>
        <v>\I:Trd_</v>
      </c>
      <c r="M183" s="380">
        <f t="shared" si="37"/>
        <v>322862.916891406</v>
      </c>
      <c r="N183" s="380">
        <f t="shared" si="38"/>
        <v>319651.599458143</v>
      </c>
      <c r="O183" s="380">
        <f t="shared" si="39"/>
        <v>319651.599458143</v>
      </c>
      <c r="P183" s="380">
        <f t="shared" si="40"/>
        <v>319651.599458143</v>
      </c>
      <c r="S183" t="s">
        <v>83</v>
      </c>
      <c r="T183" t="str">
        <f t="shared" si="41"/>
        <v>\I:Trd_bus__19</v>
      </c>
      <c r="U183" t="str">
        <f ca="1" t="shared" si="42"/>
        <v>Hybrid diesel coach -- 19%</v>
      </c>
      <c r="V183" s="383" t="s">
        <v>84</v>
      </c>
      <c r="W183" s="383" t="s">
        <v>85</v>
      </c>
    </row>
    <row r="184" spans="2:23">
      <c r="B184" s="51">
        <v>0.241010402568265</v>
      </c>
      <c r="C184" s="86">
        <v>328683.925077435</v>
      </c>
      <c r="D184" s="86">
        <v>323074.421793354</v>
      </c>
      <c r="E184" s="86">
        <v>323074.421793354</v>
      </c>
      <c r="F184" s="86">
        <v>323074.421793354</v>
      </c>
      <c r="J184" t="str">
        <f t="shared" si="34"/>
        <v>\I:Trd_bus_</v>
      </c>
      <c r="K184" t="str">
        <f t="shared" si="36"/>
        <v>\I:Trd_bus__24</v>
      </c>
      <c r="L184" t="str">
        <f t="shared" si="35"/>
        <v>\I:Trd_</v>
      </c>
      <c r="M184" s="380">
        <f t="shared" si="37"/>
        <v>328683.925077435</v>
      </c>
      <c r="N184" s="380">
        <f t="shared" si="38"/>
        <v>323074.421793354</v>
      </c>
      <c r="O184" s="380">
        <f t="shared" si="39"/>
        <v>323074.421793354</v>
      </c>
      <c r="P184" s="380">
        <f t="shared" si="40"/>
        <v>323074.421793354</v>
      </c>
      <c r="S184" t="s">
        <v>83</v>
      </c>
      <c r="T184" t="str">
        <f t="shared" si="41"/>
        <v>\I:Trd_bus__24</v>
      </c>
      <c r="U184" t="str">
        <f ca="1" t="shared" si="42"/>
        <v>Hybrid diesel coach -- 24%</v>
      </c>
      <c r="V184" s="383" t="s">
        <v>84</v>
      </c>
      <c r="W184" s="383" t="s">
        <v>85</v>
      </c>
    </row>
    <row r="185" spans="2:23">
      <c r="B185" s="51">
        <v>0.261010402568265</v>
      </c>
      <c r="C185" s="86">
        <v>354415.764843984</v>
      </c>
      <c r="D185" s="86">
        <v>328347.028066266</v>
      </c>
      <c r="E185" s="86">
        <v>328220.558921997</v>
      </c>
      <c r="F185" s="86">
        <v>328220.558921997</v>
      </c>
      <c r="J185" t="str">
        <f t="shared" si="34"/>
        <v>\I:Trd_bus_</v>
      </c>
      <c r="K185" t="str">
        <f t="shared" si="36"/>
        <v>\I:Trd_bus__26</v>
      </c>
      <c r="L185" t="str">
        <f t="shared" si="35"/>
        <v>\I:Trd_</v>
      </c>
      <c r="M185" s="380">
        <f t="shared" si="37"/>
        <v>354415.764843984</v>
      </c>
      <c r="N185" s="380">
        <f t="shared" si="38"/>
        <v>328347.028066266</v>
      </c>
      <c r="O185" s="380">
        <f t="shared" si="39"/>
        <v>328220.558921997</v>
      </c>
      <c r="P185" s="380">
        <f t="shared" si="40"/>
        <v>328220.558921997</v>
      </c>
      <c r="S185" t="s">
        <v>83</v>
      </c>
      <c r="T185" t="str">
        <f t="shared" si="41"/>
        <v>\I:Trd_bus__26</v>
      </c>
      <c r="U185" t="str">
        <f ca="1" t="shared" si="42"/>
        <v>Hybrid diesel coach -- 26%</v>
      </c>
      <c r="V185" s="383" t="s">
        <v>84</v>
      </c>
      <c r="W185" s="383" t="s">
        <v>85</v>
      </c>
    </row>
    <row r="186" spans="2:23">
      <c r="B186" s="51">
        <v>0.291010402568265</v>
      </c>
      <c r="C186" s="86">
        <v>439504.492759275</v>
      </c>
      <c r="D186" s="86">
        <v>344457.30295664</v>
      </c>
      <c r="E186" s="86">
        <v>335957.661451208</v>
      </c>
      <c r="F186" s="86">
        <v>335957.661451208</v>
      </c>
      <c r="J186" t="str">
        <f t="shared" si="34"/>
        <v>\I:Trd_bus_</v>
      </c>
      <c r="K186" t="str">
        <f t="shared" si="36"/>
        <v>\I:Trd_bus__29</v>
      </c>
      <c r="L186" t="str">
        <f t="shared" si="35"/>
        <v>\I:Trd_</v>
      </c>
      <c r="M186" s="380">
        <f t="shared" si="37"/>
        <v>439504.492759275</v>
      </c>
      <c r="N186" s="380">
        <f t="shared" si="38"/>
        <v>344457.30295664</v>
      </c>
      <c r="O186" s="380">
        <f t="shared" si="39"/>
        <v>335957.661451208</v>
      </c>
      <c r="P186" s="380">
        <f t="shared" si="40"/>
        <v>335957.661451208</v>
      </c>
      <c r="S186" t="s">
        <v>83</v>
      </c>
      <c r="T186" t="str">
        <f t="shared" si="41"/>
        <v>\I:Trd_bus__29</v>
      </c>
      <c r="U186" t="str">
        <f ca="1" t="shared" si="42"/>
        <v>Hybrid diesel coach -- 29%</v>
      </c>
      <c r="V186" s="383" t="s">
        <v>84</v>
      </c>
      <c r="W186" s="383" t="s">
        <v>85</v>
      </c>
    </row>
    <row r="187" spans="10:23">
      <c r="J187" t="str">
        <f t="shared" si="34"/>
        <v>\I:Trd_bus_</v>
      </c>
      <c r="K187" t="str">
        <f t="shared" si="36"/>
        <v>\I:</v>
      </c>
      <c r="L187" t="str">
        <f t="shared" si="35"/>
        <v>\I:</v>
      </c>
      <c r="M187" s="380" t="str">
        <f t="shared" si="37"/>
        <v/>
      </c>
      <c r="N187" s="380" t="str">
        <f t="shared" si="38"/>
        <v/>
      </c>
      <c r="O187" s="380" t="str">
        <f t="shared" si="39"/>
        <v/>
      </c>
      <c r="P187" s="380" t="str">
        <f t="shared" si="40"/>
        <v/>
      </c>
      <c r="S187" t="s">
        <v>83</v>
      </c>
      <c r="T187" t="str">
        <f t="shared" si="41"/>
        <v>\I:</v>
      </c>
      <c r="U187" t="str">
        <f ca="1" t="shared" si="42"/>
        <v>Hybrid diesel coach -- 00%</v>
      </c>
      <c r="V187" s="383" t="s">
        <v>84</v>
      </c>
      <c r="W187" s="383" t="s">
        <v>85</v>
      </c>
    </row>
    <row r="188" spans="10:23">
      <c r="J188" t="str">
        <f t="shared" si="34"/>
        <v>\I:Trd_bus_</v>
      </c>
      <c r="K188" t="str">
        <f t="shared" si="36"/>
        <v>\I:</v>
      </c>
      <c r="L188" t="str">
        <f t="shared" si="35"/>
        <v>\I:</v>
      </c>
      <c r="M188" s="380" t="str">
        <f t="shared" si="37"/>
        <v/>
      </c>
      <c r="N188" s="380" t="str">
        <f t="shared" si="38"/>
        <v/>
      </c>
      <c r="O188" s="380" t="str">
        <f t="shared" si="39"/>
        <v/>
      </c>
      <c r="P188" s="380" t="str">
        <f t="shared" si="40"/>
        <v/>
      </c>
      <c r="S188" t="s">
        <v>83</v>
      </c>
      <c r="T188" t="str">
        <f t="shared" si="41"/>
        <v>\I:</v>
      </c>
      <c r="U188" t="str">
        <f ca="1" t="shared" si="42"/>
        <v>Hybrid diesel coach -- 00%</v>
      </c>
      <c r="V188" s="383" t="s">
        <v>84</v>
      </c>
      <c r="W188" s="383" t="s">
        <v>85</v>
      </c>
    </row>
    <row r="189" spans="10:23">
      <c r="J189" t="str">
        <f t="shared" si="34"/>
        <v>\I:Trd_bus_</v>
      </c>
      <c r="K189" t="str">
        <f t="shared" si="36"/>
        <v>\I:</v>
      </c>
      <c r="L189" t="str">
        <f t="shared" si="35"/>
        <v>\I:</v>
      </c>
      <c r="M189" s="380" t="str">
        <f t="shared" si="37"/>
        <v/>
      </c>
      <c r="N189" s="380" t="str">
        <f t="shared" si="38"/>
        <v/>
      </c>
      <c r="O189" s="380" t="str">
        <f t="shared" si="39"/>
        <v/>
      </c>
      <c r="P189" s="380" t="str">
        <f t="shared" si="40"/>
        <v/>
      </c>
      <c r="S189" t="s">
        <v>83</v>
      </c>
      <c r="T189" t="str">
        <f t="shared" si="41"/>
        <v>\I:</v>
      </c>
      <c r="U189" t="str">
        <f ca="1" t="shared" si="42"/>
        <v>Hybrid diesel coach -- 00%</v>
      </c>
      <c r="V189" s="383" t="s">
        <v>84</v>
      </c>
      <c r="W189" s="383" t="s">
        <v>85</v>
      </c>
    </row>
    <row r="190" spans="2:23">
      <c r="B190" s="372">
        <v>2020</v>
      </c>
      <c r="C190" s="372"/>
      <c r="D190" s="372"/>
      <c r="J190" t="str">
        <f t="shared" si="34"/>
        <v>\I:Trd_bus_</v>
      </c>
      <c r="K190" t="str">
        <f t="shared" si="36"/>
        <v>\I:</v>
      </c>
      <c r="L190" t="str">
        <f t="shared" si="35"/>
        <v>\I:</v>
      </c>
      <c r="M190" s="380" t="str">
        <f t="shared" si="37"/>
        <v/>
      </c>
      <c r="N190" s="380" t="str">
        <f t="shared" si="38"/>
        <v/>
      </c>
      <c r="O190" s="380" t="str">
        <f t="shared" si="39"/>
        <v/>
      </c>
      <c r="P190" s="380" t="str">
        <f t="shared" si="40"/>
        <v/>
      </c>
      <c r="S190" t="s">
        <v>83</v>
      </c>
      <c r="T190" t="str">
        <f t="shared" si="41"/>
        <v>\I:</v>
      </c>
      <c r="U190" t="str">
        <f ca="1" t="shared" si="42"/>
        <v>Hybrid diesel coach -- 202000%</v>
      </c>
      <c r="V190" s="383" t="s">
        <v>84</v>
      </c>
      <c r="W190" s="383" t="s">
        <v>85</v>
      </c>
    </row>
    <row r="191" spans="2:23">
      <c r="B191" s="45" t="s">
        <v>169</v>
      </c>
      <c r="C191" s="46" t="s">
        <v>26</v>
      </c>
      <c r="D191" s="74">
        <v>1.15</v>
      </c>
      <c r="J191" t="str">
        <f t="shared" si="34"/>
        <v>\I:Trd_bus_</v>
      </c>
      <c r="K191" t="str">
        <f t="shared" si="36"/>
        <v>\I:</v>
      </c>
      <c r="L191" t="str">
        <f t="shared" si="35"/>
        <v>\I:</v>
      </c>
      <c r="M191" s="380" t="str">
        <f t="shared" si="37"/>
        <v/>
      </c>
      <c r="N191" s="380" t="str">
        <f t="shared" si="38"/>
        <v/>
      </c>
      <c r="O191" s="380" t="str">
        <f t="shared" si="39"/>
        <v/>
      </c>
      <c r="P191" s="380" t="str">
        <f t="shared" si="40"/>
        <v/>
      </c>
      <c r="S191" t="s">
        <v>83</v>
      </c>
      <c r="T191" t="str">
        <f t="shared" si="41"/>
        <v>\I:</v>
      </c>
      <c r="U191" t="str">
        <f ca="1" t="shared" si="42"/>
        <v>Hybrid diesel coach -- Energy consumption of Battery electric coach</v>
      </c>
      <c r="V191" s="383" t="s">
        <v>84</v>
      </c>
      <c r="W191" s="383" t="s">
        <v>85</v>
      </c>
    </row>
    <row r="192" spans="10:23">
      <c r="J192" t="str">
        <f t="shared" si="34"/>
        <v>\I:Trd_bus_</v>
      </c>
      <c r="K192" t="str">
        <f t="shared" si="36"/>
        <v>\I:</v>
      </c>
      <c r="L192" t="str">
        <f t="shared" si="35"/>
        <v>\I:</v>
      </c>
      <c r="M192" s="380" t="str">
        <f t="shared" si="37"/>
        <v/>
      </c>
      <c r="N192" s="380" t="str">
        <f t="shared" si="38"/>
        <v/>
      </c>
      <c r="O192" s="380" t="str">
        <f t="shared" si="39"/>
        <v/>
      </c>
      <c r="P192" s="380" t="str">
        <f t="shared" si="40"/>
        <v/>
      </c>
      <c r="S192" t="s">
        <v>83</v>
      </c>
      <c r="T192" t="str">
        <f t="shared" si="41"/>
        <v>\I:</v>
      </c>
      <c r="U192" t="str">
        <f ca="1" t="shared" si="42"/>
        <v>Hybrid diesel coach -- 00%</v>
      </c>
      <c r="V192" s="383" t="s">
        <v>84</v>
      </c>
      <c r="W192" s="383" t="s">
        <v>85</v>
      </c>
    </row>
    <row r="193" ht="15" customHeight="1" spans="2:23">
      <c r="B193" s="374" t="s">
        <v>27</v>
      </c>
      <c r="C193" s="374" t="s">
        <v>157</v>
      </c>
      <c r="D193" s="374"/>
      <c r="E193" s="374"/>
      <c r="F193" s="374"/>
      <c r="J193" t="str">
        <f t="shared" si="34"/>
        <v>\I:Trd_bus_</v>
      </c>
      <c r="K193" t="str">
        <f t="shared" si="36"/>
        <v>\I:</v>
      </c>
      <c r="L193" t="str">
        <f t="shared" si="35"/>
        <v>\I:</v>
      </c>
      <c r="M193" s="380" t="str">
        <f t="shared" si="37"/>
        <v/>
      </c>
      <c r="N193" s="380" t="str">
        <f t="shared" si="38"/>
        <v/>
      </c>
      <c r="O193" s="380" t="str">
        <f t="shared" si="39"/>
        <v/>
      </c>
      <c r="P193" s="380" t="str">
        <f t="shared" si="40"/>
        <v/>
      </c>
      <c r="S193" t="s">
        <v>83</v>
      </c>
      <c r="T193" t="str">
        <f t="shared" si="41"/>
        <v>\I:</v>
      </c>
      <c r="U193" t="str">
        <f ca="1" t="shared" si="42"/>
        <v>Hybrid diesel coach -- Electric range (km)</v>
      </c>
      <c r="V193" s="383" t="s">
        <v>84</v>
      </c>
      <c r="W193" s="383" t="s">
        <v>85</v>
      </c>
    </row>
    <row r="194" spans="2:23">
      <c r="B194" s="374"/>
      <c r="C194" s="374"/>
      <c r="D194" s="374"/>
      <c r="E194" s="374"/>
      <c r="F194" s="374"/>
      <c r="J194" t="str">
        <f t="shared" si="34"/>
        <v>\I:Trd_bus_</v>
      </c>
      <c r="K194" t="str">
        <f t="shared" si="36"/>
        <v>\I:</v>
      </c>
      <c r="L194" t="str">
        <f t="shared" si="35"/>
        <v>\I:</v>
      </c>
      <c r="M194" s="380" t="str">
        <f t="shared" si="37"/>
        <v/>
      </c>
      <c r="N194" s="380" t="str">
        <f t="shared" si="38"/>
        <v/>
      </c>
      <c r="O194" s="380" t="str">
        <f t="shared" si="39"/>
        <v/>
      </c>
      <c r="P194" s="380" t="str">
        <f t="shared" si="40"/>
        <v/>
      </c>
      <c r="S194" t="s">
        <v>83</v>
      </c>
      <c r="T194" t="str">
        <f t="shared" si="41"/>
        <v>\I:</v>
      </c>
      <c r="U194" t="str">
        <f ca="1" t="shared" si="42"/>
        <v>Hybrid diesel coach -- 00%</v>
      </c>
      <c r="V194" s="383" t="s">
        <v>84</v>
      </c>
      <c r="W194" s="383" t="s">
        <v>85</v>
      </c>
    </row>
    <row r="195" spans="2:23">
      <c r="B195" s="374"/>
      <c r="C195" s="374"/>
      <c r="D195" s="374"/>
      <c r="E195" s="374"/>
      <c r="F195" s="374"/>
      <c r="J195" t="str">
        <f t="shared" si="34"/>
        <v>\I:Trd_bus_</v>
      </c>
      <c r="K195" t="str">
        <f t="shared" si="36"/>
        <v>\I:</v>
      </c>
      <c r="L195" t="str">
        <f t="shared" si="35"/>
        <v>\I:</v>
      </c>
      <c r="M195" s="380" t="str">
        <f t="shared" si="37"/>
        <v/>
      </c>
      <c r="N195" s="380" t="str">
        <f t="shared" si="38"/>
        <v/>
      </c>
      <c r="O195" s="380" t="str">
        <f t="shared" si="39"/>
        <v/>
      </c>
      <c r="P195" s="380" t="str">
        <f t="shared" si="40"/>
        <v/>
      </c>
      <c r="S195" t="s">
        <v>83</v>
      </c>
      <c r="T195" t="str">
        <f t="shared" si="41"/>
        <v>\I:</v>
      </c>
      <c r="U195" t="str">
        <f ca="1" t="shared" si="42"/>
        <v>Hybrid diesel coach -- 00%</v>
      </c>
      <c r="V195" s="383" t="s">
        <v>84</v>
      </c>
      <c r="W195" s="383" t="s">
        <v>85</v>
      </c>
    </row>
    <row r="196" spans="2:23">
      <c r="B196" s="49"/>
      <c r="C196" s="50">
        <v>2020</v>
      </c>
      <c r="D196" s="50">
        <v>2030</v>
      </c>
      <c r="E196" s="50">
        <v>2040</v>
      </c>
      <c r="F196" s="50">
        <v>2050</v>
      </c>
      <c r="J196" t="str">
        <f t="shared" si="34"/>
        <v>\I:Trd_bus_</v>
      </c>
      <c r="K196" t="str">
        <f t="shared" si="36"/>
        <v>\I:</v>
      </c>
      <c r="L196" t="str">
        <f t="shared" si="35"/>
        <v>\I:</v>
      </c>
      <c r="M196" s="380" t="str">
        <f t="shared" si="37"/>
        <v/>
      </c>
      <c r="N196" s="380" t="str">
        <f t="shared" si="38"/>
        <v/>
      </c>
      <c r="O196" s="380" t="str">
        <f t="shared" si="39"/>
        <v/>
      </c>
      <c r="P196" s="380" t="str">
        <f t="shared" si="40"/>
        <v/>
      </c>
      <c r="S196" t="s">
        <v>83</v>
      </c>
      <c r="T196" t="str">
        <f t="shared" si="41"/>
        <v>\I:</v>
      </c>
      <c r="U196" t="str">
        <f ca="1" t="shared" si="42"/>
        <v>Hybrid diesel coach -- 00%</v>
      </c>
      <c r="V196" s="383" t="s">
        <v>84</v>
      </c>
      <c r="W196" s="383" t="s">
        <v>85</v>
      </c>
    </row>
    <row r="197" spans="2:23">
      <c r="B197" s="79">
        <v>120</v>
      </c>
      <c r="C197" s="86">
        <v>432403.149196547</v>
      </c>
      <c r="D197" s="86">
        <v>321623.420926528</v>
      </c>
      <c r="E197" s="86">
        <v>308656.066547112</v>
      </c>
      <c r="F197" s="86">
        <v>303278.407673277</v>
      </c>
      <c r="J197" t="str">
        <f t="shared" si="34"/>
        <v>\I:Trd_bus_</v>
      </c>
      <c r="K197" t="str">
        <f t="shared" si="36"/>
        <v>\I:Trd_bus__12000</v>
      </c>
      <c r="L197" t="str">
        <f t="shared" si="35"/>
        <v>\I:Trd_</v>
      </c>
      <c r="M197" s="380">
        <f t="shared" si="37"/>
        <v>432403.149196547</v>
      </c>
      <c r="N197" s="380">
        <f t="shared" si="38"/>
        <v>321623.420926528</v>
      </c>
      <c r="O197" s="380">
        <f t="shared" si="39"/>
        <v>308656.066547112</v>
      </c>
      <c r="P197" s="380">
        <f t="shared" si="40"/>
        <v>303278.407673277</v>
      </c>
      <c r="S197" t="s">
        <v>83</v>
      </c>
      <c r="T197" t="str">
        <f t="shared" si="41"/>
        <v>\I:Trd_bus__12000</v>
      </c>
      <c r="U197" t="str">
        <f ca="1" t="shared" si="42"/>
        <v>Hybrid diesel coach -- 12000%</v>
      </c>
      <c r="V197" s="383" t="s">
        <v>84</v>
      </c>
      <c r="W197" s="383" t="s">
        <v>85</v>
      </c>
    </row>
    <row r="198" spans="2:23">
      <c r="B198" s="79">
        <v>134.285714285714</v>
      </c>
      <c r="C198" s="86">
        <v>436722.073356786</v>
      </c>
      <c r="D198" s="86">
        <v>324694.575852623</v>
      </c>
      <c r="E198" s="86">
        <v>310226.231333419</v>
      </c>
      <c r="F198" s="86">
        <v>304226.100619255</v>
      </c>
      <c r="J198" t="str">
        <f t="shared" si="34"/>
        <v>\I:Trd_bus_</v>
      </c>
      <c r="K198" t="str">
        <f t="shared" si="36"/>
        <v>\I:Trd_bus__13429</v>
      </c>
      <c r="L198" t="str">
        <f t="shared" si="35"/>
        <v>\I:Trd_</v>
      </c>
      <c r="M198" s="380">
        <f t="shared" si="37"/>
        <v>436722.073356786</v>
      </c>
      <c r="N198" s="380">
        <f t="shared" si="38"/>
        <v>324694.575852623</v>
      </c>
      <c r="O198" s="380">
        <f t="shared" si="39"/>
        <v>310226.231333419</v>
      </c>
      <c r="P198" s="380">
        <f t="shared" si="40"/>
        <v>304226.100619255</v>
      </c>
      <c r="S198" t="s">
        <v>83</v>
      </c>
      <c r="T198" t="str">
        <f t="shared" si="41"/>
        <v>\I:Trd_bus__13429</v>
      </c>
      <c r="U198" t="str">
        <f ca="1" t="shared" si="42"/>
        <v>Hybrid diesel coach -- 13429%</v>
      </c>
      <c r="V198" s="383" t="s">
        <v>84</v>
      </c>
      <c r="W198" s="383" t="s">
        <v>85</v>
      </c>
    </row>
    <row r="199" spans="2:23">
      <c r="B199" s="79">
        <v>148.571428571429</v>
      </c>
      <c r="C199" s="86">
        <v>439101.341331762</v>
      </c>
      <c r="D199" s="86">
        <v>326386.455656653</v>
      </c>
      <c r="E199" s="86">
        <v>311091.225172832</v>
      </c>
      <c r="F199" s="86">
        <v>304748.178662957</v>
      </c>
      <c r="J199" t="str">
        <f t="shared" si="34"/>
        <v>\I:Trd_bus_</v>
      </c>
      <c r="K199" t="str">
        <f t="shared" si="36"/>
        <v>\I:Trd_bus__14857</v>
      </c>
      <c r="L199" t="str">
        <f t="shared" si="35"/>
        <v>\I:Trd_</v>
      </c>
      <c r="M199" s="380">
        <f t="shared" si="37"/>
        <v>439101.341331762</v>
      </c>
      <c r="N199" s="380">
        <f t="shared" si="38"/>
        <v>326386.455656653</v>
      </c>
      <c r="O199" s="380">
        <f t="shared" si="39"/>
        <v>311091.225172832</v>
      </c>
      <c r="P199" s="380">
        <f t="shared" si="40"/>
        <v>304748.178662957</v>
      </c>
      <c r="S199" t="s">
        <v>83</v>
      </c>
      <c r="T199" t="str">
        <f t="shared" si="41"/>
        <v>\I:Trd_bus__14857</v>
      </c>
      <c r="U199" t="str">
        <f ca="1" t="shared" si="42"/>
        <v>Hybrid diesel coach -- 14857%</v>
      </c>
      <c r="V199" s="383" t="s">
        <v>84</v>
      </c>
      <c r="W199" s="383" t="s">
        <v>85</v>
      </c>
    </row>
    <row r="200" spans="2:23">
      <c r="B200" s="79">
        <v>162.857142857143</v>
      </c>
      <c r="C200" s="86">
        <v>441517.145494916</v>
      </c>
      <c r="D200" s="86">
        <v>328104.316073016</v>
      </c>
      <c r="E200" s="86">
        <v>311969.501911868</v>
      </c>
      <c r="F200" s="86">
        <v>305278.273769826</v>
      </c>
      <c r="J200" t="str">
        <f t="shared" si="34"/>
        <v>\I:Trd_bus_</v>
      </c>
      <c r="K200" t="str">
        <f t="shared" si="36"/>
        <v>\I:Trd_bus__16286</v>
      </c>
      <c r="L200" t="str">
        <f t="shared" si="35"/>
        <v>\I:Trd_</v>
      </c>
      <c r="M200" s="380">
        <f t="shared" si="37"/>
        <v>441517.145494916</v>
      </c>
      <c r="N200" s="380">
        <f t="shared" si="38"/>
        <v>328104.316073016</v>
      </c>
      <c r="O200" s="380">
        <f t="shared" si="39"/>
        <v>311969.501911868</v>
      </c>
      <c r="P200" s="380">
        <f t="shared" si="40"/>
        <v>305278.273769826</v>
      </c>
      <c r="S200" t="s">
        <v>83</v>
      </c>
      <c r="T200" t="str">
        <f t="shared" si="41"/>
        <v>\I:Trd_bus__16286</v>
      </c>
      <c r="U200" t="str">
        <f ca="1" t="shared" si="42"/>
        <v>Hybrid diesel coach -- 16286%</v>
      </c>
      <c r="V200" s="383" t="s">
        <v>84</v>
      </c>
      <c r="W200" s="383" t="s">
        <v>85</v>
      </c>
    </row>
    <row r="201" spans="2:23">
      <c r="B201" s="79">
        <v>177.142857142857</v>
      </c>
      <c r="C201" s="86">
        <v>444078.767318675</v>
      </c>
      <c r="D201" s="86">
        <v>329925.866345942</v>
      </c>
      <c r="E201" s="86">
        <v>312900.791333556</v>
      </c>
      <c r="F201" s="86">
        <v>305840.365356196</v>
      </c>
      <c r="J201" t="str">
        <f t="shared" si="34"/>
        <v>\I:Trd_bus_</v>
      </c>
      <c r="K201" t="str">
        <f t="shared" si="36"/>
        <v>\I:Trd_bus__17714</v>
      </c>
      <c r="L201" t="str">
        <f t="shared" si="35"/>
        <v>\I:Trd_</v>
      </c>
      <c r="M201" s="380">
        <f t="shared" si="37"/>
        <v>444078.767318675</v>
      </c>
      <c r="N201" s="380">
        <f t="shared" si="38"/>
        <v>329925.866345942</v>
      </c>
      <c r="O201" s="380">
        <f t="shared" si="39"/>
        <v>312900.791333556</v>
      </c>
      <c r="P201" s="380">
        <f t="shared" si="40"/>
        <v>305840.365356196</v>
      </c>
      <c r="S201" t="s">
        <v>83</v>
      </c>
      <c r="T201" t="str">
        <f t="shared" si="41"/>
        <v>\I:Trd_bus__17714</v>
      </c>
      <c r="U201" t="str">
        <f ca="1" t="shared" si="42"/>
        <v>Hybrid diesel coach -- 17714%</v>
      </c>
      <c r="V201" s="383" t="s">
        <v>84</v>
      </c>
      <c r="W201" s="383" t="s">
        <v>85</v>
      </c>
    </row>
    <row r="202" spans="2:23">
      <c r="B202" s="79">
        <v>350</v>
      </c>
      <c r="C202" s="86">
        <v>488912.15374367</v>
      </c>
      <c r="D202" s="86">
        <v>365809.482166322</v>
      </c>
      <c r="E202" s="86">
        <v>330905.629479526</v>
      </c>
      <c r="F202" s="86">
        <v>316707.414632298</v>
      </c>
      <c r="J202" t="str">
        <f t="shared" si="34"/>
        <v>\I:Trd_bus_</v>
      </c>
      <c r="K202" t="str">
        <f t="shared" si="36"/>
        <v>\I:Trd_bus__35000</v>
      </c>
      <c r="L202" t="str">
        <f t="shared" si="35"/>
        <v>\I:Trd_</v>
      </c>
      <c r="M202" s="380">
        <f t="shared" si="37"/>
        <v>488912.15374367</v>
      </c>
      <c r="N202" s="380">
        <f t="shared" si="38"/>
        <v>365809.482166322</v>
      </c>
      <c r="O202" s="380">
        <f t="shared" si="39"/>
        <v>330905.629479526</v>
      </c>
      <c r="P202" s="380">
        <f t="shared" si="40"/>
        <v>316707.414632298</v>
      </c>
      <c r="S202" t="s">
        <v>83</v>
      </c>
      <c r="T202" t="str">
        <f t="shared" si="41"/>
        <v>\I:Trd_bus__35000</v>
      </c>
      <c r="U202" t="str">
        <f ca="1" t="shared" si="42"/>
        <v>Hybrid diesel coach -- 35000%</v>
      </c>
      <c r="V202" s="383" t="s">
        <v>84</v>
      </c>
      <c r="W202" s="383" t="s">
        <v>85</v>
      </c>
    </row>
    <row r="203" spans="2:23">
      <c r="B203" s="79">
        <v>500</v>
      </c>
      <c r="C203" s="86">
        <v>530094.963307474</v>
      </c>
      <c r="D203" s="86">
        <v>398620.776220214</v>
      </c>
      <c r="E203" s="86">
        <v>348984.265806477</v>
      </c>
      <c r="F203" s="86">
        <v>327038.150254399</v>
      </c>
      <c r="J203" t="str">
        <f t="shared" si="34"/>
        <v>\I:Trd_bus_</v>
      </c>
      <c r="K203" t="str">
        <f t="shared" si="36"/>
        <v>\I:Trd_bus__50000</v>
      </c>
      <c r="L203" t="str">
        <f t="shared" si="35"/>
        <v>\I:Trd_</v>
      </c>
      <c r="M203" s="380">
        <f t="shared" si="37"/>
        <v>530094.963307474</v>
      </c>
      <c r="N203" s="380">
        <f t="shared" si="38"/>
        <v>398620.776220214</v>
      </c>
      <c r="O203" s="380">
        <f t="shared" si="39"/>
        <v>348984.265806477</v>
      </c>
      <c r="P203" s="380">
        <f t="shared" si="40"/>
        <v>327038.150254399</v>
      </c>
      <c r="S203" t="s">
        <v>83</v>
      </c>
      <c r="T203" t="str">
        <f t="shared" si="41"/>
        <v>\I:Trd_bus__50000</v>
      </c>
      <c r="U203" t="str">
        <f ca="1" t="shared" si="42"/>
        <v>Hybrid diesel coach -- 50000%</v>
      </c>
      <c r="V203" s="383" t="s">
        <v>84</v>
      </c>
      <c r="W203" s="383" t="s">
        <v>85</v>
      </c>
    </row>
    <row r="204" spans="2:23">
      <c r="B204" s="79">
        <v>600</v>
      </c>
      <c r="C204" s="86">
        <v>565928.361387453</v>
      </c>
      <c r="D204" s="86">
        <v>427615.94590543</v>
      </c>
      <c r="E204" s="86">
        <v>362846.01604123</v>
      </c>
      <c r="F204" s="86">
        <v>335985.441563159</v>
      </c>
      <c r="J204" t="str">
        <f t="shared" si="34"/>
        <v>\I:Trd_bus_</v>
      </c>
      <c r="K204" t="str">
        <f t="shared" si="36"/>
        <v>\I:Trd_bus__60000</v>
      </c>
      <c r="L204" t="str">
        <f t="shared" si="35"/>
        <v>\I:Trd_</v>
      </c>
      <c r="M204" s="380">
        <f t="shared" si="37"/>
        <v>565928.361387453</v>
      </c>
      <c r="N204" s="380">
        <f t="shared" si="38"/>
        <v>427615.94590543</v>
      </c>
      <c r="O204" s="380">
        <f t="shared" si="39"/>
        <v>362846.01604123</v>
      </c>
      <c r="P204" s="380">
        <f t="shared" si="40"/>
        <v>335985.441563159</v>
      </c>
      <c r="S204" t="s">
        <v>83</v>
      </c>
      <c r="T204" t="str">
        <f t="shared" si="41"/>
        <v>\I:Trd_bus__60000</v>
      </c>
      <c r="U204" t="str">
        <f ca="1" t="shared" si="42"/>
        <v>Hybrid diesel coach -- 60000%</v>
      </c>
      <c r="V204" s="383" t="s">
        <v>84</v>
      </c>
      <c r="W204" s="383" t="s">
        <v>85</v>
      </c>
    </row>
    <row r="205" spans="2:23">
      <c r="B205" s="380"/>
      <c r="J205" t="str">
        <f t="shared" si="34"/>
        <v>\I:Trd_bus_</v>
      </c>
      <c r="K205" t="str">
        <f t="shared" si="36"/>
        <v>\I:</v>
      </c>
      <c r="L205" t="str">
        <f t="shared" si="35"/>
        <v>\I:</v>
      </c>
      <c r="M205" s="380" t="str">
        <f t="shared" si="37"/>
        <v/>
      </c>
      <c r="N205" s="380" t="str">
        <f t="shared" si="38"/>
        <v/>
      </c>
      <c r="O205" s="380" t="str">
        <f t="shared" si="39"/>
        <v/>
      </c>
      <c r="P205" s="380" t="str">
        <f t="shared" si="40"/>
        <v/>
      </c>
      <c r="S205" t="s">
        <v>83</v>
      </c>
      <c r="T205" t="str">
        <f t="shared" si="41"/>
        <v>\I:</v>
      </c>
      <c r="U205" t="str">
        <f ca="1" t="shared" si="42"/>
        <v>Hybrid diesel coach -- 00%</v>
      </c>
      <c r="V205" s="383" t="s">
        <v>84</v>
      </c>
      <c r="W205" s="383" t="s">
        <v>85</v>
      </c>
    </row>
    <row r="206" spans="10:23">
      <c r="J206" t="str">
        <f t="shared" ref="J206:J219" si="43">IFERROR(VLOOKUP(C206,$R$1:$S$9,2,FALSE),J205)</f>
        <v>\I:Trd_bus_</v>
      </c>
      <c r="K206" t="str">
        <f t="shared" si="36"/>
        <v>\I:</v>
      </c>
      <c r="L206" t="str">
        <f t="shared" ref="L206:L219" si="44">LEFT(K206,7)</f>
        <v>\I:</v>
      </c>
      <c r="M206" s="380" t="str">
        <f t="shared" si="37"/>
        <v/>
      </c>
      <c r="N206" s="380" t="str">
        <f t="shared" si="38"/>
        <v/>
      </c>
      <c r="O206" s="380" t="str">
        <f t="shared" si="39"/>
        <v/>
      </c>
      <c r="P206" s="380" t="str">
        <f t="shared" si="40"/>
        <v/>
      </c>
      <c r="S206" t="s">
        <v>83</v>
      </c>
      <c r="T206" t="str">
        <f t="shared" si="41"/>
        <v>\I:</v>
      </c>
      <c r="U206" t="str">
        <f ca="1" t="shared" si="42"/>
        <v>Hybrid diesel coach -- 00%</v>
      </c>
      <c r="V206" s="383" t="s">
        <v>84</v>
      </c>
      <c r="W206" s="383" t="s">
        <v>85</v>
      </c>
    </row>
    <row r="207" spans="10:23">
      <c r="J207" t="str">
        <f t="shared" si="43"/>
        <v>\I:Trd_bus_</v>
      </c>
      <c r="K207" t="str">
        <f t="shared" si="36"/>
        <v>\I:</v>
      </c>
      <c r="L207" t="str">
        <f t="shared" si="44"/>
        <v>\I:</v>
      </c>
      <c r="M207" s="380" t="str">
        <f t="shared" si="37"/>
        <v/>
      </c>
      <c r="N207" s="380" t="str">
        <f t="shared" si="38"/>
        <v/>
      </c>
      <c r="O207" s="380" t="str">
        <f t="shared" si="39"/>
        <v/>
      </c>
      <c r="P207" s="380" t="str">
        <f t="shared" si="40"/>
        <v/>
      </c>
      <c r="S207" t="s">
        <v>83</v>
      </c>
      <c r="T207" t="str">
        <f t="shared" si="41"/>
        <v>\I:</v>
      </c>
      <c r="U207" t="str">
        <f ca="1" t="shared" si="42"/>
        <v>Hybrid diesel coach -- 00%</v>
      </c>
      <c r="V207" s="383" t="s">
        <v>84</v>
      </c>
      <c r="W207" s="383" t="s">
        <v>85</v>
      </c>
    </row>
    <row r="208" ht="21.75" customHeight="1" spans="2:23">
      <c r="B208" s="374" t="s">
        <v>29</v>
      </c>
      <c r="C208" s="374" t="s">
        <v>170</v>
      </c>
      <c r="D208" s="374"/>
      <c r="E208" s="374"/>
      <c r="F208" s="374"/>
      <c r="J208" t="str">
        <f t="shared" si="43"/>
        <v>\I:Trd_bus_</v>
      </c>
      <c r="K208" t="str">
        <f t="shared" si="36"/>
        <v>\I:</v>
      </c>
      <c r="L208" t="str">
        <f t="shared" si="44"/>
        <v>\I:</v>
      </c>
      <c r="M208" s="380" t="str">
        <f t="shared" si="37"/>
        <v/>
      </c>
      <c r="N208" s="380" t="str">
        <f t="shared" si="38"/>
        <v/>
      </c>
      <c r="O208" s="380" t="str">
        <f t="shared" si="39"/>
        <v/>
      </c>
      <c r="P208" s="380" t="str">
        <f t="shared" si="40"/>
        <v/>
      </c>
      <c r="S208" t="s">
        <v>83</v>
      </c>
      <c r="T208" t="str">
        <f t="shared" si="41"/>
        <v>\I:</v>
      </c>
      <c r="U208" t="str">
        <f ca="1" t="shared" si="42"/>
        <v>Hybrid diesel coach -- Energy consumption (kg H2/100km)</v>
      </c>
      <c r="V208" s="383" t="s">
        <v>84</v>
      </c>
      <c r="W208" s="383" t="s">
        <v>85</v>
      </c>
    </row>
    <row r="209" ht="21.75" customHeight="1" spans="2:23">
      <c r="B209" s="374"/>
      <c r="C209" s="374"/>
      <c r="D209" s="374"/>
      <c r="E209" s="374"/>
      <c r="F209" s="374"/>
      <c r="J209" t="str">
        <f t="shared" si="43"/>
        <v>\I:Trd_bus_</v>
      </c>
      <c r="K209" t="str">
        <f t="shared" si="36"/>
        <v>\I:</v>
      </c>
      <c r="L209" t="str">
        <f t="shared" si="44"/>
        <v>\I:</v>
      </c>
      <c r="M209" s="380" t="str">
        <f t="shared" si="37"/>
        <v/>
      </c>
      <c r="N209" s="380" t="str">
        <f t="shared" si="38"/>
        <v/>
      </c>
      <c r="O209" s="380" t="str">
        <f t="shared" si="39"/>
        <v/>
      </c>
      <c r="P209" s="380" t="str">
        <f t="shared" si="40"/>
        <v/>
      </c>
      <c r="S209" t="s">
        <v>83</v>
      </c>
      <c r="T209" t="str">
        <f t="shared" si="41"/>
        <v>\I:</v>
      </c>
      <c r="U209" t="str">
        <f ca="1" t="shared" si="42"/>
        <v>Hybrid diesel coach -- 00%</v>
      </c>
      <c r="V209" s="383" t="s">
        <v>84</v>
      </c>
      <c r="W209" s="383" t="s">
        <v>85</v>
      </c>
    </row>
    <row r="210" spans="2:23">
      <c r="B210" s="374"/>
      <c r="C210" s="374"/>
      <c r="D210" s="374"/>
      <c r="E210" s="374"/>
      <c r="F210" s="374"/>
      <c r="J210" t="str">
        <f t="shared" si="43"/>
        <v>\I:Trd_bus_</v>
      </c>
      <c r="K210" t="str">
        <f t="shared" si="36"/>
        <v>\I:</v>
      </c>
      <c r="L210" t="str">
        <f t="shared" si="44"/>
        <v>\I:</v>
      </c>
      <c r="M210" s="380" t="str">
        <f t="shared" si="37"/>
        <v/>
      </c>
      <c r="N210" s="380" t="str">
        <f t="shared" si="38"/>
        <v/>
      </c>
      <c r="O210" s="380" t="str">
        <f t="shared" si="39"/>
        <v/>
      </c>
      <c r="P210" s="380" t="str">
        <f t="shared" si="40"/>
        <v/>
      </c>
      <c r="S210" t="s">
        <v>83</v>
      </c>
      <c r="T210" t="str">
        <f t="shared" si="41"/>
        <v>\I:</v>
      </c>
      <c r="U210" t="str">
        <f ca="1" t="shared" si="42"/>
        <v>Hybrid diesel coach -- 00%</v>
      </c>
      <c r="V210" s="383" t="s">
        <v>84</v>
      </c>
      <c r="W210" s="383" t="s">
        <v>85</v>
      </c>
    </row>
    <row r="211" spans="2:23">
      <c r="B211" s="49"/>
      <c r="C211" s="50">
        <v>2020</v>
      </c>
      <c r="D211" s="50">
        <v>2030</v>
      </c>
      <c r="E211" s="50">
        <v>2040</v>
      </c>
      <c r="F211" s="50">
        <v>2050</v>
      </c>
      <c r="J211" t="str">
        <f t="shared" si="43"/>
        <v>\I:Trd_bus_</v>
      </c>
      <c r="K211" t="str">
        <f t="shared" si="36"/>
        <v>\I:</v>
      </c>
      <c r="L211" t="str">
        <f t="shared" si="44"/>
        <v>\I:</v>
      </c>
      <c r="M211" s="380" t="str">
        <f t="shared" si="37"/>
        <v/>
      </c>
      <c r="N211" s="380" t="str">
        <f t="shared" si="38"/>
        <v/>
      </c>
      <c r="O211" s="380" t="str">
        <f t="shared" si="39"/>
        <v/>
      </c>
      <c r="P211" s="380" t="str">
        <f t="shared" si="40"/>
        <v/>
      </c>
      <c r="S211" t="s">
        <v>83</v>
      </c>
      <c r="T211" t="str">
        <f t="shared" si="41"/>
        <v>\I:</v>
      </c>
      <c r="U211" t="str">
        <f ca="1" t="shared" si="42"/>
        <v>Hybrid diesel coach -- 00%</v>
      </c>
      <c r="V211" s="383" t="s">
        <v>84</v>
      </c>
      <c r="W211" s="383" t="s">
        <v>85</v>
      </c>
    </row>
    <row r="212" spans="2:23">
      <c r="B212" s="67">
        <v>6.65217391304348</v>
      </c>
      <c r="C212" s="86">
        <v>645414.917881523</v>
      </c>
      <c r="D212" s="86">
        <v>417379.007105806</v>
      </c>
      <c r="E212" s="86">
        <v>354901.720144819</v>
      </c>
      <c r="F212" s="86">
        <v>338590.059493097</v>
      </c>
      <c r="J212" t="str">
        <f t="shared" si="43"/>
        <v>\I:Trd_bus_</v>
      </c>
      <c r="K212" t="str">
        <f t="shared" si="36"/>
        <v>\I:Trd_bus__665</v>
      </c>
      <c r="L212" t="str">
        <f t="shared" si="44"/>
        <v>\I:Trd_</v>
      </c>
      <c r="M212" s="380">
        <f t="shared" si="37"/>
        <v>645414.917881523</v>
      </c>
      <c r="N212" s="380">
        <f t="shared" si="38"/>
        <v>417379.007105806</v>
      </c>
      <c r="O212" s="380">
        <f t="shared" si="39"/>
        <v>354901.720144819</v>
      </c>
      <c r="P212" s="380">
        <f t="shared" si="40"/>
        <v>338590.059493097</v>
      </c>
      <c r="S212" t="s">
        <v>83</v>
      </c>
      <c r="T212" t="str">
        <f t="shared" si="41"/>
        <v>\I:Trd_bus__665</v>
      </c>
      <c r="U212" t="str">
        <f ca="1" t="shared" si="42"/>
        <v>Hybrid diesel coach -- 665%</v>
      </c>
      <c r="V212" s="383" t="s">
        <v>84</v>
      </c>
      <c r="W212" s="383" t="s">
        <v>85</v>
      </c>
    </row>
    <row r="213" spans="2:23">
      <c r="B213" s="67">
        <v>6.45084289348007</v>
      </c>
      <c r="C213" s="86">
        <v>646209.342968632</v>
      </c>
      <c r="D213" s="86">
        <v>417926.742297443</v>
      </c>
      <c r="E213" s="86">
        <v>355381.16265353</v>
      </c>
      <c r="F213" s="86">
        <v>339001.209318881</v>
      </c>
      <c r="J213" t="str">
        <f t="shared" si="43"/>
        <v>\I:Trd_bus_</v>
      </c>
      <c r="K213" t="str">
        <f t="shared" si="36"/>
        <v>\I:Trd_bus__645</v>
      </c>
      <c r="L213" t="str">
        <f t="shared" si="44"/>
        <v>\I:Trd_</v>
      </c>
      <c r="M213" s="380">
        <f t="shared" si="37"/>
        <v>646209.342968632</v>
      </c>
      <c r="N213" s="380">
        <f t="shared" si="38"/>
        <v>417926.742297443</v>
      </c>
      <c r="O213" s="380">
        <f t="shared" si="39"/>
        <v>355381.16265353</v>
      </c>
      <c r="P213" s="380">
        <f t="shared" si="40"/>
        <v>339001.209318881</v>
      </c>
      <c r="S213" t="s">
        <v>83</v>
      </c>
      <c r="T213" t="str">
        <f t="shared" si="41"/>
        <v>\I:Trd_bus__645</v>
      </c>
      <c r="U213" t="str">
        <f ca="1" t="shared" si="42"/>
        <v>Hybrid diesel coach -- 645%</v>
      </c>
      <c r="V213" s="383" t="s">
        <v>84</v>
      </c>
      <c r="W213" s="383" t="s">
        <v>85</v>
      </c>
    </row>
    <row r="214" spans="2:23">
      <c r="B214" s="67">
        <v>6.24951187391665</v>
      </c>
      <c r="C214" s="86">
        <v>647003.76805574</v>
      </c>
      <c r="D214" s="86">
        <v>418474.477489081</v>
      </c>
      <c r="E214" s="86">
        <v>355860.605162241</v>
      </c>
      <c r="F214" s="86">
        <v>339412.359144665</v>
      </c>
      <c r="J214" t="str">
        <f t="shared" si="43"/>
        <v>\I:Trd_bus_</v>
      </c>
      <c r="K214" t="str">
        <f t="shared" si="36"/>
        <v>\I:Trd_bus__625</v>
      </c>
      <c r="L214" t="str">
        <f t="shared" si="44"/>
        <v>\I:Trd_</v>
      </c>
      <c r="M214" s="380">
        <f t="shared" si="37"/>
        <v>647003.76805574</v>
      </c>
      <c r="N214" s="380">
        <f t="shared" si="38"/>
        <v>418474.477489081</v>
      </c>
      <c r="O214" s="380">
        <f t="shared" si="39"/>
        <v>355860.605162241</v>
      </c>
      <c r="P214" s="380">
        <f t="shared" si="40"/>
        <v>339412.359144665</v>
      </c>
      <c r="S214" t="s">
        <v>83</v>
      </c>
      <c r="T214" t="str">
        <f t="shared" si="41"/>
        <v>\I:Trd_bus__625</v>
      </c>
      <c r="U214" t="str">
        <f ca="1" t="shared" si="42"/>
        <v>Hybrid diesel coach -- 625%</v>
      </c>
      <c r="V214" s="383" t="s">
        <v>84</v>
      </c>
      <c r="W214" s="383" t="s">
        <v>85</v>
      </c>
    </row>
    <row r="215" spans="2:23">
      <c r="B215" s="67">
        <v>6.04818085435324</v>
      </c>
      <c r="C215" s="86">
        <v>647798.193142848</v>
      </c>
      <c r="D215" s="86">
        <v>419022.212680718</v>
      </c>
      <c r="E215" s="86">
        <v>356340.047670951</v>
      </c>
      <c r="F215" s="86">
        <v>339823.508970449</v>
      </c>
      <c r="J215" t="str">
        <f t="shared" si="43"/>
        <v>\I:Trd_bus_</v>
      </c>
      <c r="K215" t="str">
        <f t="shared" si="36"/>
        <v>\I:Trd_bus__605</v>
      </c>
      <c r="L215" t="str">
        <f t="shared" si="44"/>
        <v>\I:Trd_</v>
      </c>
      <c r="M215" s="380">
        <f t="shared" si="37"/>
        <v>647798.193142848</v>
      </c>
      <c r="N215" s="380">
        <f t="shared" si="38"/>
        <v>419022.212680718</v>
      </c>
      <c r="O215" s="380">
        <f t="shared" si="39"/>
        <v>356340.047670951</v>
      </c>
      <c r="P215" s="380">
        <f t="shared" si="40"/>
        <v>339823.508970449</v>
      </c>
      <c r="S215" t="s">
        <v>83</v>
      </c>
      <c r="T215" t="str">
        <f t="shared" si="41"/>
        <v>\I:Trd_bus__605</v>
      </c>
      <c r="U215" t="str">
        <f ca="1" t="shared" si="42"/>
        <v>Hybrid diesel coach -- 605%</v>
      </c>
      <c r="V215" s="383" t="s">
        <v>84</v>
      </c>
      <c r="W215" s="383" t="s">
        <v>85</v>
      </c>
    </row>
    <row r="216" spans="2:23">
      <c r="B216" s="67">
        <v>5.84684983478983</v>
      </c>
      <c r="C216" s="86">
        <v>648592.618229956</v>
      </c>
      <c r="D216" s="86">
        <v>419569.947872356</v>
      </c>
      <c r="E216" s="86">
        <v>356819.490179662</v>
      </c>
      <c r="F216" s="86">
        <v>340234.658796233</v>
      </c>
      <c r="J216" t="str">
        <f t="shared" si="43"/>
        <v>\I:Trd_bus_</v>
      </c>
      <c r="K216" t="str">
        <f t="shared" ref="K216:K219" si="45">IFERROR(IF(VALUE(C216)&gt;2020,J216&amp;"_"&amp;TEXT(B216*100,"00"),"\I:"),"\I:")</f>
        <v>\I:Trd_bus__585</v>
      </c>
      <c r="L216" t="str">
        <f t="shared" si="44"/>
        <v>\I:Trd_</v>
      </c>
      <c r="M216" s="380">
        <f t="shared" ref="M216:M219" si="46">IF($K216="\I:","",C216)</f>
        <v>648592.618229956</v>
      </c>
      <c r="N216" s="380">
        <f t="shared" ref="N216:N219" si="47">IF($K216="\I:","",D216)</f>
        <v>419569.947872356</v>
      </c>
      <c r="O216" s="380">
        <f t="shared" ref="O216:O219" si="48">IF($K216="\I:","",E216)</f>
        <v>356819.490179662</v>
      </c>
      <c r="P216" s="380">
        <f t="shared" ref="P216:P219" si="49">IF($K216="\I:","",F216)</f>
        <v>340234.658796233</v>
      </c>
      <c r="S216" t="s">
        <v>83</v>
      </c>
      <c r="T216" t="str">
        <f t="shared" ref="T216:T219" si="50">K216</f>
        <v>\I:Trd_bus__585</v>
      </c>
      <c r="U216" t="str">
        <f ca="1" t="shared" ref="U216:U219" si="51">OFFSET($S$1,MATCH(J216,$S$1:$S$12,0)-1,-1)&amp;" -- "&amp;TEXT(B216,"00%")</f>
        <v>Hybrid diesel coach -- 585%</v>
      </c>
      <c r="V216" s="383" t="s">
        <v>84</v>
      </c>
      <c r="W216" s="383" t="s">
        <v>85</v>
      </c>
    </row>
    <row r="217" spans="2:23">
      <c r="B217" s="67">
        <v>5.64551881522642</v>
      </c>
      <c r="C217" s="86">
        <v>649387.043317064</v>
      </c>
      <c r="D217" s="86">
        <v>420117.683063994</v>
      </c>
      <c r="E217" s="86">
        <v>357298.932688373</v>
      </c>
      <c r="F217" s="86">
        <v>340645.808622017</v>
      </c>
      <c r="J217" t="str">
        <f t="shared" si="43"/>
        <v>\I:Trd_bus_</v>
      </c>
      <c r="K217" t="str">
        <f t="shared" si="45"/>
        <v>\I:Trd_bus__565</v>
      </c>
      <c r="L217" t="str">
        <f t="shared" si="44"/>
        <v>\I:Trd_</v>
      </c>
      <c r="M217" s="380">
        <f t="shared" si="46"/>
        <v>649387.043317064</v>
      </c>
      <c r="N217" s="380">
        <f t="shared" si="47"/>
        <v>420117.683063994</v>
      </c>
      <c r="O217" s="380">
        <f t="shared" si="48"/>
        <v>357298.932688373</v>
      </c>
      <c r="P217" s="380">
        <f t="shared" si="49"/>
        <v>340645.808622017</v>
      </c>
      <c r="S217" t="s">
        <v>83</v>
      </c>
      <c r="T217" t="str">
        <f t="shared" si="50"/>
        <v>\I:Trd_bus__565</v>
      </c>
      <c r="U217" t="str">
        <f ca="1" t="shared" si="51"/>
        <v>Hybrid diesel coach -- 565%</v>
      </c>
      <c r="V217" s="383" t="s">
        <v>84</v>
      </c>
      <c r="W217" s="383" t="s">
        <v>85</v>
      </c>
    </row>
    <row r="218" spans="2:23">
      <c r="B218" s="67">
        <v>5.44418779566301</v>
      </c>
      <c r="C218" s="86">
        <v>650181.468404172</v>
      </c>
      <c r="D218" s="86">
        <v>420665.418255631</v>
      </c>
      <c r="E218" s="86">
        <v>357778.375197084</v>
      </c>
      <c r="F218" s="86">
        <v>341056.958447801</v>
      </c>
      <c r="J218" t="str">
        <f t="shared" si="43"/>
        <v>\I:Trd_bus_</v>
      </c>
      <c r="K218" t="str">
        <f t="shared" si="45"/>
        <v>\I:Trd_bus__544</v>
      </c>
      <c r="L218" t="str">
        <f t="shared" si="44"/>
        <v>\I:Trd_</v>
      </c>
      <c r="M218" s="380">
        <f t="shared" si="46"/>
        <v>650181.468404172</v>
      </c>
      <c r="N218" s="380">
        <f t="shared" si="47"/>
        <v>420665.418255631</v>
      </c>
      <c r="O218" s="380">
        <f t="shared" si="48"/>
        <v>357778.375197084</v>
      </c>
      <c r="P218" s="380">
        <f t="shared" si="49"/>
        <v>341056.958447801</v>
      </c>
      <c r="S218" t="s">
        <v>83</v>
      </c>
      <c r="T218" t="str">
        <f t="shared" si="50"/>
        <v>\I:Trd_bus__544</v>
      </c>
      <c r="U218" t="str">
        <f ca="1" t="shared" si="51"/>
        <v>Hybrid diesel coach -- 544%</v>
      </c>
      <c r="V218" s="383" t="s">
        <v>84</v>
      </c>
      <c r="W218" s="383" t="s">
        <v>85</v>
      </c>
    </row>
    <row r="219" spans="2:23">
      <c r="B219" s="67">
        <v>5.24285677609959</v>
      </c>
      <c r="C219" s="86">
        <v>650975.89349128</v>
      </c>
      <c r="D219" s="86">
        <v>421213.153447269</v>
      </c>
      <c r="E219" s="86">
        <v>358257.817705795</v>
      </c>
      <c r="F219" s="86">
        <v>341468.108273585</v>
      </c>
      <c r="J219" t="str">
        <f t="shared" si="43"/>
        <v>\I:Trd_bus_</v>
      </c>
      <c r="K219" t="str">
        <f t="shared" si="45"/>
        <v>\I:Trd_bus__524</v>
      </c>
      <c r="L219" t="str">
        <f t="shared" si="44"/>
        <v>\I:Trd_</v>
      </c>
      <c r="M219" s="380">
        <f t="shared" si="46"/>
        <v>650975.89349128</v>
      </c>
      <c r="N219" s="380">
        <f t="shared" si="47"/>
        <v>421213.153447269</v>
      </c>
      <c r="O219" s="380">
        <f t="shared" si="48"/>
        <v>358257.817705795</v>
      </c>
      <c r="P219" s="380">
        <f t="shared" si="49"/>
        <v>341468.108273585</v>
      </c>
      <c r="S219" t="s">
        <v>83</v>
      </c>
      <c r="T219" t="str">
        <f t="shared" si="50"/>
        <v>\I:Trd_bus__524</v>
      </c>
      <c r="U219" t="str">
        <f ca="1" t="shared" si="51"/>
        <v>Hybrid diesel coach -- 524%</v>
      </c>
      <c r="V219" s="383" t="s">
        <v>84</v>
      </c>
      <c r="W219" s="383" t="s">
        <v>85</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T403"/>
  <sheetViews>
    <sheetView zoomScale="57" zoomScaleNormal="57" topLeftCell="B1" workbookViewId="0">
      <selection activeCell="C36" sqref="C36"/>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27.9090909090909" style="175" customWidth="1"/>
    <col min="5" max="5" width="29.6363636363636" style="175" customWidth="1"/>
    <col min="6" max="6" width="11.8181818181818" style="175" customWidth="1"/>
    <col min="7" max="7" width="13.2727272727273" style="175" customWidth="1"/>
    <col min="8" max="8" width="13" style="175" customWidth="1"/>
    <col min="9" max="9" width="16.2727272727273"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2.8181818181818"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6" width="17.9090909090909" style="175" customWidth="1"/>
    <col min="47"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58" width="17.8181818181818" style="175" customWidth="1"/>
    <col min="59" max="59" width="22.7272727272727" style="175" customWidth="1"/>
    <col min="60" max="60" width="21.9090909090909" style="175" customWidth="1"/>
    <col min="61" max="16384" width="9.09090909090909" style="175"/>
  </cols>
  <sheetData>
    <row r="1" ht="12.65" customHeight="1" spans="1:58">
      <c r="A1" s="175" t="s">
        <v>171</v>
      </c>
      <c r="BF1" s="175" t="s">
        <v>172</v>
      </c>
    </row>
    <row r="3" ht="14.5" customHeight="1" spans="16:60">
      <c r="P3" s="207"/>
      <c r="Q3" s="207"/>
      <c r="U3" s="207" t="s">
        <v>72</v>
      </c>
      <c r="V3" s="207"/>
      <c r="W3" s="207"/>
      <c r="X3" s="207"/>
      <c r="Y3" s="207"/>
      <c r="Z3" s="207"/>
      <c r="AA3" s="207"/>
      <c r="AB3" s="207"/>
      <c r="AC3" s="207"/>
      <c r="AD3" s="175" t="s">
        <v>173</v>
      </c>
      <c r="AU3" s="207"/>
      <c r="AV3" s="207"/>
      <c r="AW3" s="207"/>
      <c r="AX3" s="207"/>
      <c r="AY3" s="207"/>
      <c r="AZ3" s="207" t="s">
        <v>174</v>
      </c>
      <c r="BA3" s="207"/>
      <c r="BB3" s="207"/>
      <c r="BC3" s="207"/>
      <c r="BD3" s="207"/>
      <c r="BE3" s="207"/>
      <c r="BF3" s="207"/>
      <c r="BG3" s="207"/>
      <c r="BH3" s="207"/>
    </row>
    <row r="4" ht="14.5" customHeight="1" spans="16:72">
      <c r="P4" s="207"/>
      <c r="Q4" s="207"/>
      <c r="U4" s="207" t="s">
        <v>78</v>
      </c>
      <c r="V4" s="207" t="s">
        <v>79</v>
      </c>
      <c r="W4" s="207" t="s">
        <v>80</v>
      </c>
      <c r="X4" s="207" t="s">
        <v>81</v>
      </c>
      <c r="Y4" s="207" t="s">
        <v>82</v>
      </c>
      <c r="Z4" s="207" t="s">
        <v>175</v>
      </c>
      <c r="AA4" s="207" t="s">
        <v>176</v>
      </c>
      <c r="AB4" s="207" t="s">
        <v>177</v>
      </c>
      <c r="AC4" s="207"/>
      <c r="AD4" s="175" t="s">
        <v>178</v>
      </c>
      <c r="AE4" s="175" t="s">
        <v>179</v>
      </c>
      <c r="AF4" s="175" t="s">
        <v>180</v>
      </c>
      <c r="AG4" s="175" t="s">
        <v>181</v>
      </c>
      <c r="AH4" s="175" t="s">
        <v>182</v>
      </c>
      <c r="AI4" s="175" t="s">
        <v>183</v>
      </c>
      <c r="AJ4" s="175" t="s">
        <v>184</v>
      </c>
      <c r="AK4" s="175" t="s">
        <v>185</v>
      </c>
      <c r="AL4" s="175" t="s">
        <v>186</v>
      </c>
      <c r="AN4" s="222" t="s">
        <v>187</v>
      </c>
      <c r="AO4" s="222" t="s">
        <v>188</v>
      </c>
      <c r="AP4" s="222" t="s">
        <v>189</v>
      </c>
      <c r="AQ4" s="222" t="s">
        <v>190</v>
      </c>
      <c r="AU4" s="207" t="s">
        <v>79</v>
      </c>
      <c r="AV4" s="207" t="s">
        <v>191</v>
      </c>
      <c r="AW4" s="207" t="s">
        <v>76</v>
      </c>
      <c r="AX4" s="207" t="s">
        <v>192</v>
      </c>
      <c r="AY4" s="207" t="s">
        <v>193</v>
      </c>
      <c r="AZ4" s="207" t="s">
        <v>194</v>
      </c>
      <c r="BA4" s="207" t="s">
        <v>195</v>
      </c>
      <c r="BB4" s="175" t="s">
        <v>196</v>
      </c>
      <c r="BC4" s="207" t="s">
        <v>197</v>
      </c>
      <c r="BD4" s="207" t="s">
        <v>198</v>
      </c>
      <c r="BE4" s="207" t="s">
        <v>199</v>
      </c>
      <c r="BF4" s="175" t="s">
        <v>200</v>
      </c>
      <c r="BG4" s="207" t="s">
        <v>201</v>
      </c>
      <c r="BH4" s="323" t="s">
        <v>202</v>
      </c>
      <c r="BI4" s="207" t="s">
        <v>203</v>
      </c>
      <c r="BJ4" s="175" t="s">
        <v>204</v>
      </c>
      <c r="BK4" s="175" t="s">
        <v>73</v>
      </c>
      <c r="BR4" s="323" t="s">
        <v>205</v>
      </c>
      <c r="BS4" s="207" t="s">
        <v>206</v>
      </c>
      <c r="BT4" s="207" t="s">
        <v>205</v>
      </c>
    </row>
    <row r="5" ht="14.5" customHeight="1" spans="2:72">
      <c r="B5" s="322"/>
      <c r="C5" s="322"/>
      <c r="D5" s="322"/>
      <c r="E5" s="322"/>
      <c r="F5" s="322"/>
      <c r="G5" s="322"/>
      <c r="H5" s="322"/>
      <c r="I5" s="322"/>
      <c r="J5" s="322"/>
      <c r="P5" s="207"/>
      <c r="Q5" s="207"/>
      <c r="U5" s="207" t="s">
        <v>207</v>
      </c>
      <c r="V5" s="207" t="str">
        <f>AU5</f>
        <v>Tra_BEV_Batt_VtoG</v>
      </c>
      <c r="W5" s="207" t="s">
        <v>208</v>
      </c>
      <c r="X5" s="207" t="s">
        <v>209</v>
      </c>
      <c r="Y5" s="207" t="s">
        <v>210</v>
      </c>
      <c r="Z5" s="207" t="s">
        <v>211</v>
      </c>
      <c r="AA5" s="207"/>
      <c r="AB5" s="207"/>
      <c r="AC5" s="207"/>
      <c r="AD5" s="175" t="s">
        <v>212</v>
      </c>
      <c r="AE5" s="175" t="s">
        <v>213</v>
      </c>
      <c r="AI5" s="175" t="s">
        <v>214</v>
      </c>
      <c r="AL5" s="175" t="s">
        <v>215</v>
      </c>
      <c r="AU5" s="205" t="s">
        <v>216</v>
      </c>
      <c r="AV5" s="207" t="s">
        <v>217</v>
      </c>
      <c r="AW5" s="207" t="s">
        <v>218</v>
      </c>
      <c r="AX5" s="209"/>
      <c r="AY5" s="340">
        <v>50</v>
      </c>
      <c r="AZ5" s="207">
        <v>2030</v>
      </c>
      <c r="BA5" s="207">
        <f>0.95^2</f>
        <v>0.9025</v>
      </c>
      <c r="BB5" s="175">
        <v>12</v>
      </c>
      <c r="BC5" s="341">
        <v>31.54</v>
      </c>
      <c r="BD5" s="207">
        <v>1</v>
      </c>
      <c r="BE5" s="207">
        <f>AY5</f>
        <v>50</v>
      </c>
      <c r="BF5" s="175">
        <v>0.1</v>
      </c>
      <c r="BG5" s="175">
        <v>0.1</v>
      </c>
      <c r="BH5" s="322">
        <v>5</v>
      </c>
      <c r="BI5" s="175">
        <v>5</v>
      </c>
      <c r="BJ5" s="175">
        <v>1</v>
      </c>
      <c r="BK5" s="175">
        <v>1</v>
      </c>
      <c r="BR5" s="338">
        <v>1</v>
      </c>
      <c r="BS5" s="207" t="s">
        <v>219</v>
      </c>
      <c r="BT5" s="341">
        <f>24/6</f>
        <v>4</v>
      </c>
    </row>
    <row r="6" ht="14.5" customHeight="1" spans="2:71">
      <c r="B6" s="330" t="s">
        <v>76</v>
      </c>
      <c r="C6" s="331" t="s">
        <v>220</v>
      </c>
      <c r="D6" s="331" t="s">
        <v>213</v>
      </c>
      <c r="E6" s="331" t="s">
        <v>221</v>
      </c>
      <c r="F6" s="331" t="s">
        <v>222</v>
      </c>
      <c r="G6" s="331" t="s">
        <v>223</v>
      </c>
      <c r="H6" s="331" t="s">
        <v>224</v>
      </c>
      <c r="I6" s="331" t="s">
        <v>225</v>
      </c>
      <c r="J6" s="331" t="s">
        <v>226</v>
      </c>
      <c r="P6" s="207"/>
      <c r="Q6" s="207"/>
      <c r="V6" s="207" t="str">
        <f t="shared" ref="V6:V12" si="0">C22</f>
        <v>Tra_EV_Batt-LFP_virgin_pack</v>
      </c>
      <c r="W6" s="207" t="str">
        <f>_xlfn.TEXTJOIN("; ",TRUE,AO6:AQ6)</f>
        <v>Lithium Iron Phosphate; High safety, long cycle life, lower energy density; EVs, energy storage systems</v>
      </c>
      <c r="X6" s="207" t="s">
        <v>209</v>
      </c>
      <c r="Y6" s="207" t="s">
        <v>227</v>
      </c>
      <c r="Z6" s="207" t="s">
        <v>211</v>
      </c>
      <c r="AA6" s="207"/>
      <c r="AB6" s="207"/>
      <c r="AC6" s="207"/>
      <c r="AE6" s="175" t="s">
        <v>221</v>
      </c>
      <c r="AI6" s="175" t="s">
        <v>214</v>
      </c>
      <c r="AL6" s="175" t="s">
        <v>215</v>
      </c>
      <c r="AN6" s="223" t="s">
        <v>228</v>
      </c>
      <c r="AO6" s="223" t="s">
        <v>229</v>
      </c>
      <c r="AP6" s="223" t="s">
        <v>230</v>
      </c>
      <c r="AQ6" s="223" t="s">
        <v>231</v>
      </c>
      <c r="BS6" s="175" t="s">
        <v>232</v>
      </c>
    </row>
    <row r="7" ht="14.5" customHeight="1" spans="2:43">
      <c r="B7" s="332" t="s">
        <v>233</v>
      </c>
      <c r="C7" s="331" t="s">
        <v>234</v>
      </c>
      <c r="D7" s="331">
        <v>0.095</v>
      </c>
      <c r="E7" s="331">
        <v>0</v>
      </c>
      <c r="F7" s="331">
        <v>0</v>
      </c>
      <c r="G7" s="331">
        <v>0</v>
      </c>
      <c r="H7" s="331">
        <v>3.528</v>
      </c>
      <c r="I7" s="331">
        <v>0.946</v>
      </c>
      <c r="J7" s="331">
        <v>1.085</v>
      </c>
      <c r="P7" s="207"/>
      <c r="Q7" s="207"/>
      <c r="U7" s="207"/>
      <c r="V7" s="207" t="str">
        <f t="shared" si="0"/>
        <v>Tra_EV_Batt-LMO_virgin_pack</v>
      </c>
      <c r="W7" s="207" t="str">
        <f t="shared" ref="W7:W12" si="1">_xlfn.TEXTJOIN("; ",TRUE,AO7:AQ7)</f>
        <v>Lithium Manganese Oxide; Good thermal stability, fast charging, moderate energy density; Power tools, medical devices, hybrid EVs</v>
      </c>
      <c r="X7" s="207" t="s">
        <v>209</v>
      </c>
      <c r="Y7" s="207" t="s">
        <v>227</v>
      </c>
      <c r="Z7" s="207" t="s">
        <v>211</v>
      </c>
      <c r="AA7" s="207"/>
      <c r="AB7" s="207"/>
      <c r="AC7" s="207"/>
      <c r="AE7" s="175" t="s">
        <v>222</v>
      </c>
      <c r="AI7" s="175" t="s">
        <v>214</v>
      </c>
      <c r="AL7" s="175" t="s">
        <v>215</v>
      </c>
      <c r="AN7" s="223" t="s">
        <v>235</v>
      </c>
      <c r="AO7" s="223" t="s">
        <v>236</v>
      </c>
      <c r="AP7" s="223" t="s">
        <v>237</v>
      </c>
      <c r="AQ7" s="223" t="s">
        <v>238</v>
      </c>
    </row>
    <row r="8" ht="18" customHeight="1" spans="2:43">
      <c r="B8" s="331" t="s">
        <v>239</v>
      </c>
      <c r="C8" s="331" t="s">
        <v>240</v>
      </c>
      <c r="D8" s="331">
        <v>0.106</v>
      </c>
      <c r="E8" s="331">
        <v>0</v>
      </c>
      <c r="F8" s="331">
        <v>0</v>
      </c>
      <c r="G8" s="331">
        <v>1.396</v>
      </c>
      <c r="H8" s="331">
        <v>3.369</v>
      </c>
      <c r="I8" s="331">
        <v>0.863</v>
      </c>
      <c r="J8" s="331">
        <v>0.911</v>
      </c>
      <c r="P8" s="208"/>
      <c r="Q8" s="208"/>
      <c r="U8" s="209"/>
      <c r="V8" s="207" t="str">
        <f t="shared" si="0"/>
        <v>Tra_EV_Batt-NCA_virgin_pack</v>
      </c>
      <c r="W8" s="207" t="str">
        <f t="shared" si="1"/>
        <v>Nickel Cobalt Aluminum Oxide; High energy density, long cycle life, higher cost; Premium EVs, energy storage</v>
      </c>
      <c r="X8" s="207" t="s">
        <v>209</v>
      </c>
      <c r="Y8" s="207" t="s">
        <v>227</v>
      </c>
      <c r="Z8" s="207" t="s">
        <v>211</v>
      </c>
      <c r="AA8" s="219"/>
      <c r="AB8" s="219"/>
      <c r="AC8" s="219"/>
      <c r="AE8" s="175" t="s">
        <v>223</v>
      </c>
      <c r="AI8" s="175" t="s">
        <v>214</v>
      </c>
      <c r="AL8" s="175" t="s">
        <v>215</v>
      </c>
      <c r="AN8" s="223" t="s">
        <v>241</v>
      </c>
      <c r="AO8" s="223" t="s">
        <v>242</v>
      </c>
      <c r="AP8" s="223" t="s">
        <v>243</v>
      </c>
      <c r="AQ8" s="223" t="s">
        <v>244</v>
      </c>
    </row>
    <row r="9" ht="18" spans="2:59">
      <c r="B9" s="331" t="s">
        <v>245</v>
      </c>
      <c r="C9" s="331" t="s">
        <v>246</v>
      </c>
      <c r="D9" s="331">
        <v>0.102</v>
      </c>
      <c r="E9" s="331">
        <v>0.672</v>
      </c>
      <c r="F9" s="331">
        <v>0.127</v>
      </c>
      <c r="G9" s="331">
        <v>0</v>
      </c>
      <c r="H9" s="331">
        <v>2.92</v>
      </c>
      <c r="I9" s="331">
        <v>0.564</v>
      </c>
      <c r="J9" s="331">
        <v>0.978</v>
      </c>
      <c r="P9" s="208"/>
      <c r="Q9" s="208"/>
      <c r="U9" s="209"/>
      <c r="V9" s="207" t="str">
        <f t="shared" si="0"/>
        <v>Tra_EV_Batt-NMC 111_virgin_pack</v>
      </c>
      <c r="W9" s="207" t="str">
        <f t="shared" si="1"/>
        <v>Nickel Manganese Cobalt (1:1:1); Balanced energy density, safety, and cost; Consumer electronics, EVs</v>
      </c>
      <c r="X9" s="207" t="s">
        <v>209</v>
      </c>
      <c r="Y9" s="207" t="s">
        <v>227</v>
      </c>
      <c r="Z9" s="207" t="s">
        <v>211</v>
      </c>
      <c r="AA9" s="219"/>
      <c r="AB9" s="219"/>
      <c r="AC9" s="219"/>
      <c r="AE9" s="175" t="s">
        <v>224</v>
      </c>
      <c r="AI9" s="175" t="s">
        <v>214</v>
      </c>
      <c r="AL9" s="175" t="s">
        <v>215</v>
      </c>
      <c r="AN9" s="223" t="s">
        <v>247</v>
      </c>
      <c r="AO9" s="223" t="s">
        <v>248</v>
      </c>
      <c r="AP9" s="223" t="s">
        <v>249</v>
      </c>
      <c r="AQ9" s="223" t="s">
        <v>250</v>
      </c>
      <c r="AU9" s="205"/>
      <c r="AV9" s="205"/>
      <c r="AW9" s="205"/>
      <c r="AX9" s="205"/>
      <c r="AY9" s="205"/>
      <c r="AZ9" s="205" t="s">
        <v>251</v>
      </c>
      <c r="BA9" s="205"/>
      <c r="BB9" s="205"/>
      <c r="BC9" s="205"/>
      <c r="BD9" s="205"/>
      <c r="BE9" s="205"/>
      <c r="BF9" s="205"/>
      <c r="BG9" s="205"/>
    </row>
    <row r="10" ht="14.5" spans="2:59">
      <c r="B10" s="331" t="s">
        <v>252</v>
      </c>
      <c r="C10" s="331" t="s">
        <v>253</v>
      </c>
      <c r="D10" s="331">
        <v>0.141</v>
      </c>
      <c r="E10" s="331">
        <v>0.351</v>
      </c>
      <c r="F10" s="331">
        <v>0.352</v>
      </c>
      <c r="G10" s="331">
        <v>0.328</v>
      </c>
      <c r="H10" s="331">
        <v>3.11</v>
      </c>
      <c r="I10" s="331">
        <v>0.677</v>
      </c>
      <c r="J10" s="331">
        <v>0.978</v>
      </c>
      <c r="P10" s="209"/>
      <c r="Q10" s="209"/>
      <c r="U10" s="209"/>
      <c r="V10" s="207" t="str">
        <f t="shared" si="0"/>
        <v>Tra_EV_Batt-NMC532_virgin_pack</v>
      </c>
      <c r="W10" s="207" t="str">
        <f t="shared" si="1"/>
        <v>Nickel Manganese Cobalt (5:3:2); Higher energy density, better thermal stability; Modern EV batteries</v>
      </c>
      <c r="X10" s="207" t="s">
        <v>209</v>
      </c>
      <c r="Y10" s="207" t="s">
        <v>227</v>
      </c>
      <c r="Z10" s="207" t="s">
        <v>211</v>
      </c>
      <c r="AA10" s="209"/>
      <c r="AB10" s="209"/>
      <c r="AC10" s="209"/>
      <c r="AE10" s="175" t="s">
        <v>225</v>
      </c>
      <c r="AI10" s="175" t="s">
        <v>214</v>
      </c>
      <c r="AL10" s="175" t="s">
        <v>215</v>
      </c>
      <c r="AN10" s="223" t="s">
        <v>254</v>
      </c>
      <c r="AO10" s="223" t="s">
        <v>255</v>
      </c>
      <c r="AP10" s="223" t="s">
        <v>256</v>
      </c>
      <c r="AQ10" s="223" t="s">
        <v>257</v>
      </c>
      <c r="AU10" s="205" t="s">
        <v>79</v>
      </c>
      <c r="AV10" s="205" t="s">
        <v>191</v>
      </c>
      <c r="AW10" s="205" t="s">
        <v>76</v>
      </c>
      <c r="AX10" s="205" t="s">
        <v>192</v>
      </c>
      <c r="AY10" s="205" t="s">
        <v>206</v>
      </c>
      <c r="AZ10" s="205" t="s">
        <v>258</v>
      </c>
      <c r="BA10" s="205">
        <v>2030</v>
      </c>
      <c r="BB10" s="205">
        <v>0</v>
      </c>
      <c r="BC10" s="205" t="s">
        <v>195</v>
      </c>
      <c r="BD10" s="342" t="s">
        <v>196</v>
      </c>
      <c r="BE10" s="205" t="s">
        <v>205</v>
      </c>
      <c r="BF10" s="205" t="s">
        <v>197</v>
      </c>
      <c r="BG10" s="205" t="s">
        <v>198</v>
      </c>
    </row>
    <row r="11" ht="14.5" spans="2:59">
      <c r="B11" s="331" t="s">
        <v>259</v>
      </c>
      <c r="C11" s="331" t="s">
        <v>260</v>
      </c>
      <c r="D11" s="331">
        <v>0.136</v>
      </c>
      <c r="E11" s="331">
        <v>0.508</v>
      </c>
      <c r="F11" s="331">
        <v>0.204</v>
      </c>
      <c r="G11" s="331">
        <v>0.285</v>
      </c>
      <c r="H11" s="331">
        <v>3.07</v>
      </c>
      <c r="I11" s="331">
        <v>0.661</v>
      </c>
      <c r="J11" s="331">
        <v>0.981</v>
      </c>
      <c r="V11" s="207" t="str">
        <f t="shared" si="0"/>
        <v>Tra_EV_Batt-NMC 622_virgin_pack</v>
      </c>
      <c r="W11" s="207" t="str">
        <f t="shared" si="1"/>
        <v>Nickel Manganese Cobalt (6:2:2); Improved energy density, cost efficiency; Long-range EVs</v>
      </c>
      <c r="X11" s="207" t="s">
        <v>209</v>
      </c>
      <c r="Y11" s="207" t="s">
        <v>227</v>
      </c>
      <c r="Z11" s="207" t="s">
        <v>211</v>
      </c>
      <c r="AE11" s="175" t="s">
        <v>226</v>
      </c>
      <c r="AI11" s="175" t="s">
        <v>214</v>
      </c>
      <c r="AL11" s="175" t="s">
        <v>215</v>
      </c>
      <c r="AN11" s="223" t="s">
        <v>261</v>
      </c>
      <c r="AO11" s="223" t="s">
        <v>262</v>
      </c>
      <c r="AP11" s="223" t="s">
        <v>263</v>
      </c>
      <c r="AQ11" s="223" t="s">
        <v>264</v>
      </c>
      <c r="AU11" s="205">
        <f>BN11</f>
        <v>0</v>
      </c>
      <c r="AV11" s="205" t="s">
        <v>265</v>
      </c>
      <c r="AW11" s="205" t="s">
        <v>218</v>
      </c>
      <c r="AX11" s="339"/>
      <c r="AY11" s="205" t="s">
        <v>219</v>
      </c>
      <c r="AZ11" s="205"/>
      <c r="BA11" s="205"/>
      <c r="BB11" s="205"/>
      <c r="BC11" s="205">
        <f>0.95^2</f>
        <v>0.9025</v>
      </c>
      <c r="BD11" s="342">
        <v>12</v>
      </c>
      <c r="BE11" s="343">
        <f>24/6</f>
        <v>4</v>
      </c>
      <c r="BF11" s="343">
        <v>1.314</v>
      </c>
      <c r="BG11" s="205">
        <v>1</v>
      </c>
    </row>
    <row r="12" ht="14.5" spans="2:59">
      <c r="B12" s="331" t="s">
        <v>266</v>
      </c>
      <c r="C12" s="331" t="s">
        <v>267</v>
      </c>
      <c r="D12" s="331">
        <v>0.118</v>
      </c>
      <c r="E12" s="331">
        <v>0.531</v>
      </c>
      <c r="F12" s="331">
        <v>0.178</v>
      </c>
      <c r="G12" s="331">
        <v>0.166</v>
      </c>
      <c r="H12" s="331">
        <v>3.017</v>
      </c>
      <c r="I12" s="331">
        <v>0.605</v>
      </c>
      <c r="J12" s="331">
        <v>0.96</v>
      </c>
      <c r="V12" s="207" t="str">
        <f t="shared" si="0"/>
        <v>Tra_EV_Batt-NMC 811_virgin_pack</v>
      </c>
      <c r="W12" s="207" t="str">
        <f t="shared" si="1"/>
        <v>Nickel Manganese Cobalt (8:1:1); Highest energy density, reduced cobalt content, lower cost; Long-range EVs</v>
      </c>
      <c r="X12" s="207" t="s">
        <v>209</v>
      </c>
      <c r="Y12" s="207" t="s">
        <v>227</v>
      </c>
      <c r="Z12" s="207" t="s">
        <v>211</v>
      </c>
      <c r="AE12" s="175" t="s">
        <v>268</v>
      </c>
      <c r="AI12" s="175" t="s">
        <v>214</v>
      </c>
      <c r="AL12" s="175" t="s">
        <v>215</v>
      </c>
      <c r="AN12" s="223" t="s">
        <v>269</v>
      </c>
      <c r="AO12" s="223" t="s">
        <v>270</v>
      </c>
      <c r="AP12" s="223" t="s">
        <v>271</v>
      </c>
      <c r="AQ12" s="223" t="s">
        <v>264</v>
      </c>
      <c r="AU12" s="205"/>
      <c r="AV12" s="205"/>
      <c r="AW12" s="205"/>
      <c r="AX12" s="339"/>
      <c r="AY12" s="205" t="s">
        <v>232</v>
      </c>
      <c r="AZ12" s="205"/>
      <c r="BA12" s="205"/>
      <c r="BB12" s="205"/>
      <c r="BC12" s="205"/>
      <c r="BD12" s="342"/>
      <c r="BE12" s="344">
        <v>1</v>
      </c>
      <c r="BF12" s="205"/>
      <c r="BG12" s="205"/>
    </row>
    <row r="13" ht="14.5" spans="2:59">
      <c r="B13" s="331" t="s">
        <v>272</v>
      </c>
      <c r="C13" s="331" t="s">
        <v>273</v>
      </c>
      <c r="D13" s="331">
        <v>0.1</v>
      </c>
      <c r="E13" s="331">
        <v>0.6</v>
      </c>
      <c r="F13" s="331">
        <v>0.075</v>
      </c>
      <c r="G13" s="331">
        <v>0.07</v>
      </c>
      <c r="H13" s="331">
        <v>2.921</v>
      </c>
      <c r="I13" s="331">
        <v>0.549</v>
      </c>
      <c r="J13" s="331">
        <v>0.961</v>
      </c>
      <c r="U13" s="213" t="s">
        <v>274</v>
      </c>
      <c r="V13" s="214" t="s">
        <v>275</v>
      </c>
      <c r="W13" s="214"/>
      <c r="X13" s="214" t="s">
        <v>215</v>
      </c>
      <c r="Y13" s="214" t="s">
        <v>276</v>
      </c>
      <c r="Z13" s="214"/>
      <c r="AA13" s="214"/>
      <c r="AE13" s="175" t="s">
        <v>277</v>
      </c>
      <c r="AI13" s="175" t="s">
        <v>214</v>
      </c>
      <c r="AL13" s="175" t="s">
        <v>215</v>
      </c>
      <c r="AU13" s="205"/>
      <c r="AV13" s="205"/>
      <c r="AW13" s="205" t="s">
        <v>217</v>
      </c>
      <c r="AX13" s="339"/>
      <c r="AY13" s="205"/>
      <c r="AZ13" s="205"/>
      <c r="BA13" s="205"/>
      <c r="BB13" s="205"/>
      <c r="BC13" s="205"/>
      <c r="BD13" s="342"/>
      <c r="BE13" s="205"/>
      <c r="BF13" s="205"/>
      <c r="BG13" s="205"/>
    </row>
    <row r="14" ht="14.5" spans="21:59">
      <c r="U14" s="214"/>
      <c r="V14" s="214" t="s">
        <v>278</v>
      </c>
      <c r="W14" s="214"/>
      <c r="X14" s="214" t="s">
        <v>215</v>
      </c>
      <c r="Y14" s="214" t="s">
        <v>276</v>
      </c>
      <c r="Z14" s="214"/>
      <c r="AA14" s="214"/>
      <c r="AE14" s="175" t="s">
        <v>279</v>
      </c>
      <c r="AI14" s="175" t="s">
        <v>214</v>
      </c>
      <c r="AL14" s="175" t="s">
        <v>215</v>
      </c>
      <c r="AN14"/>
      <c r="AO14"/>
      <c r="AP14"/>
      <c r="AQ14"/>
      <c r="AU14" s="339"/>
      <c r="AV14" s="339"/>
      <c r="AW14" s="339"/>
      <c r="AX14" s="206"/>
      <c r="AY14" s="206"/>
      <c r="AZ14" s="206"/>
      <c r="BA14" s="206"/>
      <c r="BB14" s="206"/>
      <c r="BC14" s="206"/>
      <c r="BD14" s="342"/>
      <c r="BE14" s="206"/>
      <c r="BF14" s="206"/>
      <c r="BG14" s="206"/>
    </row>
    <row r="15" ht="14.5" spans="21:59">
      <c r="U15" s="214"/>
      <c r="V15" s="214" t="s">
        <v>280</v>
      </c>
      <c r="W15" s="214"/>
      <c r="X15" s="214" t="s">
        <v>215</v>
      </c>
      <c r="Y15" s="214" t="s">
        <v>276</v>
      </c>
      <c r="Z15" s="214"/>
      <c r="AA15" s="214"/>
      <c r="AE15" s="175" t="s">
        <v>281</v>
      </c>
      <c r="AI15" s="175" t="s">
        <v>214</v>
      </c>
      <c r="AL15" s="175" t="s">
        <v>215</v>
      </c>
      <c r="AN15"/>
      <c r="AO15"/>
      <c r="AP15"/>
      <c r="AQ15"/>
      <c r="AU15" s="339"/>
      <c r="AV15" s="339"/>
      <c r="AW15" s="339"/>
      <c r="AX15" s="206"/>
      <c r="AY15" s="206"/>
      <c r="AZ15" s="206"/>
      <c r="BA15" s="206"/>
      <c r="BB15" s="206"/>
      <c r="BC15" s="206"/>
      <c r="BD15" s="342"/>
      <c r="BE15" s="206"/>
      <c r="BF15" s="206"/>
      <c r="BG15" s="206"/>
    </row>
    <row r="16" ht="14.5" spans="3:59">
      <c r="C16" s="175" t="s">
        <v>282</v>
      </c>
      <c r="U16" s="214"/>
      <c r="V16" s="214" t="s">
        <v>283</v>
      </c>
      <c r="W16" s="214"/>
      <c r="X16" s="214" t="s">
        <v>215</v>
      </c>
      <c r="Y16" s="214" t="s">
        <v>276</v>
      </c>
      <c r="Z16" s="214"/>
      <c r="AA16" s="214"/>
      <c r="AE16" s="175" t="s">
        <v>284</v>
      </c>
      <c r="AI16" s="175" t="s">
        <v>214</v>
      </c>
      <c r="AL16" s="175" t="s">
        <v>215</v>
      </c>
      <c r="AU16" s="339"/>
      <c r="AV16" s="339"/>
      <c r="AW16" s="339"/>
      <c r="AX16" s="206"/>
      <c r="AY16" s="206"/>
      <c r="AZ16" s="206"/>
      <c r="BA16" s="206"/>
      <c r="BB16" s="206"/>
      <c r="BC16" s="339"/>
      <c r="BD16" s="342"/>
      <c r="BE16" s="339"/>
      <c r="BF16" s="339"/>
      <c r="BG16" s="339"/>
    </row>
    <row r="17" spans="21:38">
      <c r="U17" s="214"/>
      <c r="V17" s="214" t="s">
        <v>285</v>
      </c>
      <c r="W17" s="214"/>
      <c r="X17" s="214" t="s">
        <v>215</v>
      </c>
      <c r="Y17" s="214" t="s">
        <v>276</v>
      </c>
      <c r="Z17" s="214"/>
      <c r="AA17" s="214"/>
      <c r="AE17" s="175" t="s">
        <v>286</v>
      </c>
      <c r="AI17" s="175" t="s">
        <v>214</v>
      </c>
      <c r="AL17" s="175" t="s">
        <v>215</v>
      </c>
    </row>
    <row r="18" spans="21:38">
      <c r="U18" s="214"/>
      <c r="V18" s="214" t="s">
        <v>287</v>
      </c>
      <c r="W18" s="214"/>
      <c r="X18" s="214" t="s">
        <v>215</v>
      </c>
      <c r="Y18" s="214" t="s">
        <v>276</v>
      </c>
      <c r="Z18" s="214"/>
      <c r="AA18" s="214"/>
      <c r="AE18" s="175" t="s">
        <v>288</v>
      </c>
      <c r="AI18" s="175" t="s">
        <v>214</v>
      </c>
      <c r="AL18" s="175" t="s">
        <v>215</v>
      </c>
    </row>
    <row r="19" spans="21:38">
      <c r="U19" s="214"/>
      <c r="V19" s="214" t="s">
        <v>289</v>
      </c>
      <c r="W19" s="214"/>
      <c r="X19" s="214" t="s">
        <v>215</v>
      </c>
      <c r="Y19" s="214" t="s">
        <v>276</v>
      </c>
      <c r="Z19" s="214"/>
      <c r="AA19" s="214"/>
      <c r="AE19" s="175" t="s">
        <v>290</v>
      </c>
      <c r="AI19" s="175" t="s">
        <v>214</v>
      </c>
      <c r="AL19" s="175" t="s">
        <v>291</v>
      </c>
    </row>
    <row r="20" spans="1:38">
      <c r="A20" s="322"/>
      <c r="B20" s="322"/>
      <c r="C20" s="322" t="s">
        <v>292</v>
      </c>
      <c r="D20" s="322"/>
      <c r="E20" s="322"/>
      <c r="F20" s="322"/>
      <c r="G20" s="322"/>
      <c r="H20" s="322"/>
      <c r="I20" s="322"/>
      <c r="J20" s="322"/>
      <c r="K20" s="322"/>
      <c r="L20" s="322"/>
      <c r="M20" s="322"/>
      <c r="N20" s="322"/>
      <c r="O20" s="322"/>
      <c r="P20" s="322"/>
      <c r="Q20" s="322"/>
      <c r="R20" s="322"/>
      <c r="S20" s="322"/>
      <c r="U20" s="214"/>
      <c r="V20" s="214"/>
      <c r="W20" s="214"/>
      <c r="X20" s="214"/>
      <c r="Y20" s="214"/>
      <c r="Z20" s="214"/>
      <c r="AA20" s="214"/>
      <c r="AE20" s="175" t="s">
        <v>293</v>
      </c>
      <c r="AI20" s="175" t="s">
        <v>214</v>
      </c>
      <c r="AL20" s="175" t="s">
        <v>291</v>
      </c>
    </row>
    <row r="21" ht="14.5" spans="1:38">
      <c r="A21" s="322"/>
      <c r="B21" s="323" t="s">
        <v>192</v>
      </c>
      <c r="C21" s="322" t="s">
        <v>220</v>
      </c>
      <c r="D21" s="324" t="s">
        <v>233</v>
      </c>
      <c r="E21" s="322" t="s">
        <v>239</v>
      </c>
      <c r="F21" s="322" t="s">
        <v>245</v>
      </c>
      <c r="G21" s="322" t="s">
        <v>252</v>
      </c>
      <c r="H21" s="322" t="s">
        <v>259</v>
      </c>
      <c r="I21" s="322" t="s">
        <v>266</v>
      </c>
      <c r="J21" s="322" t="s">
        <v>272</v>
      </c>
      <c r="K21" s="336" t="s">
        <v>196</v>
      </c>
      <c r="L21" s="323" t="s">
        <v>191</v>
      </c>
      <c r="M21" s="323" t="s">
        <v>76</v>
      </c>
      <c r="N21" s="322" t="s">
        <v>195</v>
      </c>
      <c r="O21" s="322" t="s">
        <v>294</v>
      </c>
      <c r="P21" s="323" t="s">
        <v>295</v>
      </c>
      <c r="Q21" s="323" t="s">
        <v>296</v>
      </c>
      <c r="R21" s="322" t="s">
        <v>198</v>
      </c>
      <c r="S21" s="322" t="s">
        <v>297</v>
      </c>
      <c r="U21" s="214"/>
      <c r="V21" s="214" t="s">
        <v>174</v>
      </c>
      <c r="W21" s="214"/>
      <c r="X21" s="214"/>
      <c r="Y21" s="214"/>
      <c r="Z21" s="214"/>
      <c r="AA21" s="214"/>
      <c r="AB21" s="197"/>
      <c r="AE21" s="175" t="s">
        <v>298</v>
      </c>
      <c r="AI21" s="175" t="s">
        <v>214</v>
      </c>
      <c r="AL21" s="175" t="s">
        <v>291</v>
      </c>
    </row>
    <row r="22" ht="14.5" spans="1:38">
      <c r="A22" s="333"/>
      <c r="B22" s="324"/>
      <c r="C22" s="322" t="s">
        <v>299</v>
      </c>
      <c r="D22" s="322">
        <v>1</v>
      </c>
      <c r="E22" s="322">
        <v>0</v>
      </c>
      <c r="F22" s="322">
        <v>0</v>
      </c>
      <c r="G22" s="322">
        <v>0</v>
      </c>
      <c r="H22" s="322">
        <v>0</v>
      </c>
      <c r="I22" s="322">
        <v>0</v>
      </c>
      <c r="J22" s="322">
        <v>0</v>
      </c>
      <c r="K22" s="337">
        <v>12</v>
      </c>
      <c r="L22" s="322" t="s">
        <v>265</v>
      </c>
      <c r="M22" s="322" t="s">
        <v>217</v>
      </c>
      <c r="N22" s="322">
        <v>0.9</v>
      </c>
      <c r="O22" s="322">
        <v>1.314</v>
      </c>
      <c r="P22" s="338">
        <v>1</v>
      </c>
      <c r="Q22" s="322">
        <v>1</v>
      </c>
      <c r="R22" s="322">
        <v>1</v>
      </c>
      <c r="S22" s="337">
        <v>4000</v>
      </c>
      <c r="U22" s="214"/>
      <c r="V22" s="214" t="s">
        <v>220</v>
      </c>
      <c r="W22" s="214" t="s">
        <v>300</v>
      </c>
      <c r="X22" s="214" t="s">
        <v>301</v>
      </c>
      <c r="Y22" s="214" t="s">
        <v>183</v>
      </c>
      <c r="AA22" s="214"/>
      <c r="AB22" s="197"/>
      <c r="AE22" s="175" t="s">
        <v>302</v>
      </c>
      <c r="AI22" s="175" t="s">
        <v>214</v>
      </c>
      <c r="AL22" s="175" t="s">
        <v>291</v>
      </c>
    </row>
    <row r="23" ht="14.5" spans="1:38">
      <c r="A23" s="333"/>
      <c r="B23" s="324"/>
      <c r="C23" s="322" t="s">
        <v>303</v>
      </c>
      <c r="D23" s="322">
        <v>0</v>
      </c>
      <c r="E23" s="322">
        <v>1</v>
      </c>
      <c r="F23" s="322">
        <v>0</v>
      </c>
      <c r="G23" s="322">
        <v>0</v>
      </c>
      <c r="H23" s="322">
        <v>0</v>
      </c>
      <c r="I23" s="322">
        <v>0</v>
      </c>
      <c r="J23" s="322">
        <v>0</v>
      </c>
      <c r="K23" s="337">
        <v>6</v>
      </c>
      <c r="L23" s="322" t="s">
        <v>265</v>
      </c>
      <c r="M23" s="322" t="s">
        <v>217</v>
      </c>
      <c r="N23" s="322">
        <v>0.9</v>
      </c>
      <c r="O23" s="322">
        <v>1.314</v>
      </c>
      <c r="P23" s="338">
        <v>1</v>
      </c>
      <c r="Q23" s="322">
        <v>1</v>
      </c>
      <c r="R23" s="322">
        <v>1</v>
      </c>
      <c r="S23" s="337">
        <v>800</v>
      </c>
      <c r="U23" s="214"/>
      <c r="V23" s="214" t="str">
        <f>V13</f>
        <v>MINBatMaterials_LI</v>
      </c>
      <c r="W23" s="214" t="str">
        <f t="shared" ref="W23:W29" si="2">AE5</f>
        <v>m_lithium</v>
      </c>
      <c r="X23" s="214">
        <v>12.85</v>
      </c>
      <c r="Y23" s="214" t="s">
        <v>304</v>
      </c>
      <c r="AB23" s="220"/>
      <c r="AE23" s="175" t="s">
        <v>305</v>
      </c>
      <c r="AI23" s="175" t="s">
        <v>214</v>
      </c>
      <c r="AL23" s="175" t="s">
        <v>291</v>
      </c>
    </row>
    <row r="24" ht="14.5" spans="1:38">
      <c r="A24" s="333"/>
      <c r="B24" s="324"/>
      <c r="C24" s="322" t="s">
        <v>306</v>
      </c>
      <c r="D24" s="322">
        <v>0</v>
      </c>
      <c r="E24" s="322">
        <v>0</v>
      </c>
      <c r="F24" s="322">
        <v>1</v>
      </c>
      <c r="G24" s="322">
        <v>0</v>
      </c>
      <c r="H24" s="322">
        <v>0</v>
      </c>
      <c r="I24" s="322">
        <v>0</v>
      </c>
      <c r="J24" s="322">
        <v>0</v>
      </c>
      <c r="K24" s="336">
        <v>9</v>
      </c>
      <c r="L24" s="322" t="s">
        <v>265</v>
      </c>
      <c r="M24" s="322" t="s">
        <v>217</v>
      </c>
      <c r="N24" s="322">
        <v>0.9</v>
      </c>
      <c r="O24" s="322">
        <v>1.314</v>
      </c>
      <c r="P24" s="338">
        <v>1</v>
      </c>
      <c r="Q24" s="322">
        <v>1</v>
      </c>
      <c r="R24" s="322">
        <v>1</v>
      </c>
      <c r="S24" s="337">
        <v>2000</v>
      </c>
      <c r="U24" s="214"/>
      <c r="V24" s="214" t="str">
        <f t="shared" ref="V24:V29" si="3">V14</f>
        <v>MINBatMaterials_NI</v>
      </c>
      <c r="W24" s="214" t="str">
        <f t="shared" si="2"/>
        <v>m_nickel</v>
      </c>
      <c r="X24" s="214">
        <v>20</v>
      </c>
      <c r="Y24" s="214" t="s">
        <v>304</v>
      </c>
      <c r="AB24" s="220"/>
      <c r="AE24" s="175" t="s">
        <v>307</v>
      </c>
      <c r="AI24" s="175" t="s">
        <v>214</v>
      </c>
      <c r="AL24" s="175" t="s">
        <v>291</v>
      </c>
    </row>
    <row r="25" ht="14.5" spans="1:38">
      <c r="A25" s="333"/>
      <c r="B25" s="324"/>
      <c r="C25" s="322" t="s">
        <v>308</v>
      </c>
      <c r="D25" s="322">
        <v>0</v>
      </c>
      <c r="E25" s="322">
        <v>0</v>
      </c>
      <c r="F25" s="322">
        <v>0</v>
      </c>
      <c r="G25" s="322">
        <v>1</v>
      </c>
      <c r="H25" s="322">
        <v>0</v>
      </c>
      <c r="I25" s="322">
        <v>0</v>
      </c>
      <c r="J25" s="322">
        <v>0</v>
      </c>
      <c r="K25" s="336">
        <v>9</v>
      </c>
      <c r="L25" s="322" t="s">
        <v>265</v>
      </c>
      <c r="M25" s="322" t="s">
        <v>217</v>
      </c>
      <c r="N25" s="322">
        <v>0.9</v>
      </c>
      <c r="O25" s="322">
        <v>1.314</v>
      </c>
      <c r="P25" s="338">
        <v>1</v>
      </c>
      <c r="Q25" s="322">
        <v>1</v>
      </c>
      <c r="R25" s="322">
        <v>1</v>
      </c>
      <c r="S25" s="337">
        <v>2000</v>
      </c>
      <c r="U25" s="214"/>
      <c r="V25" s="214" t="str">
        <f t="shared" si="3"/>
        <v>MINBatMaterials_COB</v>
      </c>
      <c r="W25" s="214" t="str">
        <f t="shared" si="2"/>
        <v>m_cobalt</v>
      </c>
      <c r="X25" s="214">
        <v>29.3</v>
      </c>
      <c r="Y25" s="214" t="s">
        <v>304</v>
      </c>
      <c r="AB25" s="220"/>
      <c r="AE25" s="175" t="s">
        <v>309</v>
      </c>
      <c r="AI25" s="175" t="s">
        <v>214</v>
      </c>
      <c r="AL25" s="175" t="s">
        <v>291</v>
      </c>
    </row>
    <row r="26" ht="14.5" spans="1:38">
      <c r="A26" s="333"/>
      <c r="B26" s="324"/>
      <c r="C26" s="322" t="s">
        <v>310</v>
      </c>
      <c r="D26" s="322">
        <v>0</v>
      </c>
      <c r="E26" s="322">
        <v>0</v>
      </c>
      <c r="F26" s="322">
        <v>0</v>
      </c>
      <c r="G26" s="322">
        <v>0</v>
      </c>
      <c r="H26" s="322">
        <v>1</v>
      </c>
      <c r="I26" s="322">
        <v>0</v>
      </c>
      <c r="J26" s="322">
        <v>0</v>
      </c>
      <c r="K26" s="336">
        <v>9</v>
      </c>
      <c r="L26" s="322" t="s">
        <v>265</v>
      </c>
      <c r="M26" s="322" t="s">
        <v>217</v>
      </c>
      <c r="N26" s="322">
        <v>0.9</v>
      </c>
      <c r="O26" s="322">
        <v>1.314</v>
      </c>
      <c r="P26" s="338">
        <v>1</v>
      </c>
      <c r="Q26" s="322">
        <v>1</v>
      </c>
      <c r="R26" s="322">
        <v>1</v>
      </c>
      <c r="S26" s="337">
        <v>2000</v>
      </c>
      <c r="U26" s="214"/>
      <c r="V26" s="214" t="str">
        <f t="shared" si="3"/>
        <v>MINBatMaterials_MN</v>
      </c>
      <c r="W26" s="214" t="str">
        <f t="shared" si="2"/>
        <v>m_manganese</v>
      </c>
      <c r="X26" s="215">
        <v>2</v>
      </c>
      <c r="Y26" s="214" t="s">
        <v>304</v>
      </c>
      <c r="AB26" s="221"/>
      <c r="AE26" s="175" t="s">
        <v>233</v>
      </c>
      <c r="AL26" s="175" t="s">
        <v>291</v>
      </c>
    </row>
    <row r="27" ht="14.5" spans="1:38">
      <c r="A27" s="333"/>
      <c r="B27" s="324"/>
      <c r="C27" s="322" t="s">
        <v>311</v>
      </c>
      <c r="D27" s="322">
        <v>0</v>
      </c>
      <c r="E27" s="322">
        <v>0</v>
      </c>
      <c r="F27" s="322">
        <v>0</v>
      </c>
      <c r="G27" s="322">
        <v>0</v>
      </c>
      <c r="H27" s="322">
        <v>0</v>
      </c>
      <c r="I27" s="322">
        <v>1</v>
      </c>
      <c r="J27" s="322">
        <v>0</v>
      </c>
      <c r="K27" s="336">
        <v>9</v>
      </c>
      <c r="L27" s="322" t="s">
        <v>265</v>
      </c>
      <c r="M27" s="322" t="s">
        <v>217</v>
      </c>
      <c r="N27" s="322">
        <v>0.9</v>
      </c>
      <c r="O27" s="322">
        <v>1.314</v>
      </c>
      <c r="P27" s="338">
        <v>1</v>
      </c>
      <c r="Q27" s="322">
        <v>1</v>
      </c>
      <c r="R27" s="322">
        <v>1</v>
      </c>
      <c r="S27" s="337">
        <v>2000</v>
      </c>
      <c r="U27" s="214"/>
      <c r="V27" s="214" t="str">
        <f t="shared" si="3"/>
        <v>MINBatMaterials_AL</v>
      </c>
      <c r="W27" s="214" t="str">
        <f t="shared" si="2"/>
        <v>m_aluminum</v>
      </c>
      <c r="X27" s="214">
        <v>2.5</v>
      </c>
      <c r="Y27" s="214" t="s">
        <v>304</v>
      </c>
      <c r="AB27" s="221"/>
      <c r="AE27" s="175" t="s">
        <v>239</v>
      </c>
      <c r="AL27" s="175" t="s">
        <v>291</v>
      </c>
    </row>
    <row r="28" ht="14.5" spans="1:38">
      <c r="A28" s="333"/>
      <c r="B28" s="324"/>
      <c r="C28" s="322" t="s">
        <v>312</v>
      </c>
      <c r="D28" s="322">
        <v>0</v>
      </c>
      <c r="E28" s="322">
        <v>0</v>
      </c>
      <c r="F28" s="322">
        <v>0</v>
      </c>
      <c r="G28" s="322">
        <v>0</v>
      </c>
      <c r="H28" s="322">
        <v>0</v>
      </c>
      <c r="I28" s="322">
        <v>0</v>
      </c>
      <c r="J28" s="322">
        <v>1</v>
      </c>
      <c r="K28" s="336">
        <v>9</v>
      </c>
      <c r="L28" s="322" t="s">
        <v>265</v>
      </c>
      <c r="M28" s="322" t="s">
        <v>217</v>
      </c>
      <c r="N28" s="322">
        <v>0.9</v>
      </c>
      <c r="O28" s="322">
        <v>1.314</v>
      </c>
      <c r="P28" s="338">
        <v>1</v>
      </c>
      <c r="Q28" s="322">
        <v>1</v>
      </c>
      <c r="R28" s="322">
        <v>1</v>
      </c>
      <c r="S28" s="337">
        <v>2000</v>
      </c>
      <c r="U28" s="214"/>
      <c r="V28" s="214" t="str">
        <f t="shared" si="3"/>
        <v>MINBatMaterials_COP</v>
      </c>
      <c r="W28" s="214" t="str">
        <f t="shared" si="2"/>
        <v>m_copper</v>
      </c>
      <c r="X28" s="214">
        <v>8</v>
      </c>
      <c r="Y28" s="214" t="s">
        <v>304</v>
      </c>
      <c r="AB28" s="220"/>
      <c r="AE28" s="175" t="s">
        <v>245</v>
      </c>
      <c r="AL28" s="175" t="s">
        <v>291</v>
      </c>
    </row>
    <row r="29" spans="11:38">
      <c r="K29" s="197"/>
      <c r="U29" s="214"/>
      <c r="V29" s="214" t="str">
        <f t="shared" si="3"/>
        <v>MINBatMaterials_GR</v>
      </c>
      <c r="W29" s="214" t="str">
        <f t="shared" si="2"/>
        <v>m_graphite</v>
      </c>
      <c r="X29" s="214">
        <v>1</v>
      </c>
      <c r="Y29" s="214" t="s">
        <v>304</v>
      </c>
      <c r="AB29" s="220"/>
      <c r="AE29" s="175" t="s">
        <v>252</v>
      </c>
      <c r="AL29" s="175" t="s">
        <v>291</v>
      </c>
    </row>
    <row r="30" spans="11:38">
      <c r="K30" s="197"/>
      <c r="AB30" s="197"/>
      <c r="AE30" s="175" t="s">
        <v>259</v>
      </c>
      <c r="AL30" s="175" t="s">
        <v>291</v>
      </c>
    </row>
    <row r="31" spans="11:38">
      <c r="K31" s="197"/>
      <c r="AB31" s="197"/>
      <c r="AE31" s="175" t="s">
        <v>266</v>
      </c>
      <c r="AL31" s="175" t="s">
        <v>291</v>
      </c>
    </row>
    <row r="32" ht="14.5" spans="28:38">
      <c r="AB32" s="197"/>
      <c r="AD32" s="207"/>
      <c r="AE32" s="207" t="s">
        <v>272</v>
      </c>
      <c r="AF32" s="207"/>
      <c r="AG32" s="207"/>
      <c r="AH32" s="207"/>
      <c r="AL32" s="175" t="s">
        <v>291</v>
      </c>
    </row>
    <row r="33" spans="22:28">
      <c r="V33" s="216" t="s">
        <v>220</v>
      </c>
      <c r="W33" s="216" t="s">
        <v>191</v>
      </c>
      <c r="X33" s="216" t="s">
        <v>76</v>
      </c>
      <c r="Y33" s="216" t="s">
        <v>73</v>
      </c>
      <c r="AB33" s="197"/>
    </row>
    <row r="34" spans="14:25">
      <c r="N34" s="210" t="s">
        <v>313</v>
      </c>
      <c r="O34" s="210">
        <v>0.6</v>
      </c>
      <c r="V34" s="216" t="str">
        <f t="shared" ref="V34:V39" si="4">"Tra_bat_recy_"&amp;N34</f>
        <v>Tra_bat_recy_lithium</v>
      </c>
      <c r="W34" s="216" t="s">
        <v>314</v>
      </c>
      <c r="X34" s="216" t="s">
        <v>213</v>
      </c>
      <c r="Y34" s="216">
        <f t="shared" ref="Y34:Y39" si="5">O34</f>
        <v>0.6</v>
      </c>
    </row>
    <row r="35" spans="14:25">
      <c r="N35" s="210" t="s">
        <v>315</v>
      </c>
      <c r="O35" s="210">
        <v>0.56</v>
      </c>
      <c r="V35" s="216" t="str">
        <f t="shared" si="4"/>
        <v>Tra_bat_recy_nickel</v>
      </c>
      <c r="W35" s="216" t="s">
        <v>316</v>
      </c>
      <c r="X35" s="216" t="s">
        <v>221</v>
      </c>
      <c r="Y35" s="216">
        <f t="shared" si="5"/>
        <v>0.56</v>
      </c>
    </row>
    <row r="36" spans="14:25">
      <c r="N36" s="210" t="s">
        <v>317</v>
      </c>
      <c r="O36" s="210">
        <v>0.65</v>
      </c>
      <c r="V36" s="216" t="str">
        <f t="shared" si="4"/>
        <v>Tra_bat_recy_cobalt</v>
      </c>
      <c r="W36" s="216" t="s">
        <v>318</v>
      </c>
      <c r="X36" s="216" t="s">
        <v>222</v>
      </c>
      <c r="Y36" s="216">
        <f t="shared" si="5"/>
        <v>0.65</v>
      </c>
    </row>
    <row r="37" ht="14.5" spans="2:34">
      <c r="B37" s="197"/>
      <c r="C37" s="197"/>
      <c r="D37" s="204">
        <v>1</v>
      </c>
      <c r="G37" s="175" t="s">
        <v>319</v>
      </c>
      <c r="H37" s="175" t="s">
        <v>320</v>
      </c>
      <c r="I37" s="175" t="s">
        <v>321</v>
      </c>
      <c r="J37" s="175" t="s">
        <v>322</v>
      </c>
      <c r="K37" s="175" t="s">
        <v>323</v>
      </c>
      <c r="L37" s="175" t="s">
        <v>324</v>
      </c>
      <c r="M37" s="175" t="s">
        <v>325</v>
      </c>
      <c r="N37" s="210" t="s">
        <v>326</v>
      </c>
      <c r="O37" s="210">
        <v>0.61</v>
      </c>
      <c r="V37" s="216" t="str">
        <f t="shared" si="4"/>
        <v>Tra_bat_recy_manganese</v>
      </c>
      <c r="W37" s="216" t="s">
        <v>327</v>
      </c>
      <c r="X37" s="216" t="s">
        <v>223</v>
      </c>
      <c r="Y37" s="216">
        <f t="shared" si="5"/>
        <v>0.61</v>
      </c>
      <c r="AD37" s="207" t="s">
        <v>78</v>
      </c>
      <c r="AE37" s="207" t="s">
        <v>79</v>
      </c>
      <c r="AF37" s="207" t="s">
        <v>80</v>
      </c>
      <c r="AG37" s="207" t="s">
        <v>81</v>
      </c>
      <c r="AH37" s="207" t="s">
        <v>82</v>
      </c>
    </row>
    <row r="38" spans="2:34">
      <c r="B38" s="197"/>
      <c r="C38" s="334">
        <f>SUM(G38:M38)</f>
        <v>5.654</v>
      </c>
      <c r="F38" s="175" t="s">
        <v>228</v>
      </c>
      <c r="G38" s="175">
        <v>0.095</v>
      </c>
      <c r="H38" s="175">
        <v>0</v>
      </c>
      <c r="I38" s="175">
        <v>0</v>
      </c>
      <c r="J38" s="175">
        <v>0</v>
      </c>
      <c r="K38" s="175">
        <v>3.528</v>
      </c>
      <c r="L38" s="175">
        <v>0.946</v>
      </c>
      <c r="M38" s="175">
        <v>1.085</v>
      </c>
      <c r="N38" s="210" t="s">
        <v>328</v>
      </c>
      <c r="O38" s="210">
        <v>0.52</v>
      </c>
      <c r="V38" s="216" t="str">
        <f t="shared" si="4"/>
        <v>Tra_bat_recy_aluminum</v>
      </c>
      <c r="W38" s="216" t="s">
        <v>329</v>
      </c>
      <c r="X38" s="216" t="s">
        <v>224</v>
      </c>
      <c r="Y38" s="216">
        <f t="shared" si="5"/>
        <v>0.52</v>
      </c>
      <c r="AD38" s="175" t="s">
        <v>330</v>
      </c>
      <c r="AE38" s="175" t="str">
        <f t="shared" ref="AE38:AE43" si="6">V34</f>
        <v>Tra_bat_recy_lithium</v>
      </c>
      <c r="AG38" s="175" t="s">
        <v>215</v>
      </c>
      <c r="AH38" s="175" t="s">
        <v>276</v>
      </c>
    </row>
    <row r="39" spans="3:34">
      <c r="C39" s="334">
        <f t="shared" ref="C39:C44" si="7">SUM(G39:M39)</f>
        <v>6.645</v>
      </c>
      <c r="F39" s="175" t="s">
        <v>235</v>
      </c>
      <c r="G39" s="175">
        <v>0.106</v>
      </c>
      <c r="H39" s="175">
        <v>0</v>
      </c>
      <c r="I39" s="175">
        <v>0</v>
      </c>
      <c r="J39" s="175">
        <v>1.396</v>
      </c>
      <c r="K39" s="175">
        <v>3.369</v>
      </c>
      <c r="L39" s="175">
        <v>0.863</v>
      </c>
      <c r="M39" s="175">
        <v>0.911</v>
      </c>
      <c r="N39" s="210" t="s">
        <v>331</v>
      </c>
      <c r="O39" s="210">
        <v>0.55</v>
      </c>
      <c r="V39" s="216" t="str">
        <f t="shared" si="4"/>
        <v>Tra_bat_recy_copper</v>
      </c>
      <c r="W39" s="216" t="s">
        <v>332</v>
      </c>
      <c r="X39" s="216" t="s">
        <v>225</v>
      </c>
      <c r="Y39" s="216">
        <f t="shared" si="5"/>
        <v>0.55</v>
      </c>
      <c r="AE39" s="175" t="str">
        <f t="shared" si="6"/>
        <v>Tra_bat_recy_nickel</v>
      </c>
      <c r="AG39" s="175" t="s">
        <v>215</v>
      </c>
      <c r="AH39" s="175" t="s">
        <v>276</v>
      </c>
    </row>
    <row r="40" spans="3:34">
      <c r="C40" s="334">
        <f t="shared" si="7"/>
        <v>5.363</v>
      </c>
      <c r="F40" s="175" t="s">
        <v>241</v>
      </c>
      <c r="G40" s="175">
        <v>0.102</v>
      </c>
      <c r="H40" s="175">
        <v>0.672</v>
      </c>
      <c r="I40" s="175">
        <v>0.127</v>
      </c>
      <c r="J40" s="175">
        <v>0</v>
      </c>
      <c r="K40" s="175">
        <v>2.92</v>
      </c>
      <c r="L40" s="175">
        <v>0.564</v>
      </c>
      <c r="M40" s="175">
        <v>0.978</v>
      </c>
      <c r="AE40" s="175" t="str">
        <f t="shared" si="6"/>
        <v>Tra_bat_recy_cobalt</v>
      </c>
      <c r="AG40" s="175" t="s">
        <v>215</v>
      </c>
      <c r="AH40" s="175" t="s">
        <v>276</v>
      </c>
    </row>
    <row r="41" spans="3:34">
      <c r="C41" s="334">
        <f t="shared" si="7"/>
        <v>5.937</v>
      </c>
      <c r="F41" s="175" t="s">
        <v>333</v>
      </c>
      <c r="G41" s="175">
        <v>0.141</v>
      </c>
      <c r="H41" s="175">
        <v>0.351</v>
      </c>
      <c r="I41" s="175">
        <v>0.352</v>
      </c>
      <c r="J41" s="175">
        <v>0.328</v>
      </c>
      <c r="K41" s="175">
        <v>3.11</v>
      </c>
      <c r="L41" s="175">
        <v>0.677</v>
      </c>
      <c r="M41" s="175">
        <v>0.978</v>
      </c>
      <c r="AE41" s="175" t="str">
        <f t="shared" si="6"/>
        <v>Tra_bat_recy_manganese</v>
      </c>
      <c r="AG41" s="175" t="s">
        <v>215</v>
      </c>
      <c r="AH41" s="175" t="s">
        <v>276</v>
      </c>
    </row>
    <row r="42" ht="14.5" spans="3:34">
      <c r="C42" s="334">
        <f t="shared" si="7"/>
        <v>5.845</v>
      </c>
      <c r="F42" s="175" t="s">
        <v>334</v>
      </c>
      <c r="G42" s="175">
        <v>0.136</v>
      </c>
      <c r="H42" s="175">
        <v>0.508</v>
      </c>
      <c r="I42" s="175">
        <v>0.204</v>
      </c>
      <c r="J42" s="175">
        <v>0.285</v>
      </c>
      <c r="K42" s="175">
        <v>3.07</v>
      </c>
      <c r="L42" s="175">
        <v>0.661</v>
      </c>
      <c r="M42" s="175">
        <v>0.981</v>
      </c>
      <c r="U42" s="207" t="s">
        <v>72</v>
      </c>
      <c r="V42" s="207"/>
      <c r="W42" s="207"/>
      <c r="X42" s="207"/>
      <c r="Y42" s="207"/>
      <c r="Z42" s="207"/>
      <c r="AA42" s="207"/>
      <c r="AB42" s="207"/>
      <c r="AE42" s="175" t="str">
        <f t="shared" si="6"/>
        <v>Tra_bat_recy_aluminum</v>
      </c>
      <c r="AG42" s="175" t="s">
        <v>215</v>
      </c>
      <c r="AH42" s="175" t="s">
        <v>276</v>
      </c>
    </row>
    <row r="43" ht="14.5" spans="3:34">
      <c r="C43" s="334">
        <f t="shared" si="7"/>
        <v>5.575</v>
      </c>
      <c r="F43" s="175" t="s">
        <v>335</v>
      </c>
      <c r="G43" s="175">
        <v>0.118</v>
      </c>
      <c r="H43" s="175">
        <v>0.531</v>
      </c>
      <c r="I43" s="175">
        <v>0.178</v>
      </c>
      <c r="J43" s="175">
        <v>0.166</v>
      </c>
      <c r="K43" s="175">
        <v>3.017</v>
      </c>
      <c r="L43" s="175">
        <v>0.605</v>
      </c>
      <c r="M43" s="175">
        <v>0.96</v>
      </c>
      <c r="U43" s="207" t="s">
        <v>78</v>
      </c>
      <c r="V43" s="207" t="s">
        <v>79</v>
      </c>
      <c r="W43" s="207" t="s">
        <v>80</v>
      </c>
      <c r="X43" s="207" t="s">
        <v>81</v>
      </c>
      <c r="Y43" s="207" t="s">
        <v>82</v>
      </c>
      <c r="Z43" s="207" t="s">
        <v>175</v>
      </c>
      <c r="AA43" s="207" t="s">
        <v>176</v>
      </c>
      <c r="AB43" s="207" t="s">
        <v>177</v>
      </c>
      <c r="AE43" s="175" t="str">
        <f t="shared" si="6"/>
        <v>Tra_bat_recy_copper</v>
      </c>
      <c r="AG43" s="175" t="s">
        <v>215</v>
      </c>
      <c r="AH43" s="175" t="s">
        <v>276</v>
      </c>
    </row>
    <row r="44" ht="14.5" spans="3:28">
      <c r="C44" s="334">
        <f t="shared" si="7"/>
        <v>5.276</v>
      </c>
      <c r="F44" s="175" t="s">
        <v>336</v>
      </c>
      <c r="G44" s="175">
        <v>0.1</v>
      </c>
      <c r="H44" s="175">
        <v>0.6</v>
      </c>
      <c r="I44" s="175">
        <v>0.075</v>
      </c>
      <c r="J44" s="175">
        <v>0.07</v>
      </c>
      <c r="K44" s="175">
        <v>2.921</v>
      </c>
      <c r="L44" s="175">
        <v>0.549</v>
      </c>
      <c r="M44" s="175">
        <v>0.961</v>
      </c>
      <c r="U44" s="213" t="s">
        <v>337</v>
      </c>
      <c r="V44" s="207" t="str">
        <f>C7</f>
        <v>Tra_EV_Batt-LFP_virgin</v>
      </c>
      <c r="W44" s="207" t="str">
        <f t="shared" ref="W44:W50" si="8">_xlfn.TEXTJOIN("; ",TRUE,AO45:AQ45)</f>
        <v/>
      </c>
      <c r="X44" s="207" t="s">
        <v>227</v>
      </c>
      <c r="Y44" s="207" t="s">
        <v>227</v>
      </c>
      <c r="Z44" s="207" t="s">
        <v>211</v>
      </c>
      <c r="AA44" s="207"/>
      <c r="AB44" s="207"/>
    </row>
    <row r="45" ht="14.5" spans="22:28">
      <c r="V45" s="207" t="str">
        <f t="shared" ref="V45:V50" si="9">C8</f>
        <v>Tra_EV_Batt-LMO_virgin</v>
      </c>
      <c r="W45" s="207" t="str">
        <f t="shared" si="8"/>
        <v/>
      </c>
      <c r="X45" s="207" t="s">
        <v>227</v>
      </c>
      <c r="Y45" s="207" t="s">
        <v>227</v>
      </c>
      <c r="Z45" s="207" t="s">
        <v>211</v>
      </c>
      <c r="AA45" s="207"/>
      <c r="AB45" s="207"/>
    </row>
    <row r="46" ht="14.5" spans="21:28">
      <c r="U46" s="207"/>
      <c r="V46" s="207" t="str">
        <f t="shared" si="9"/>
        <v>Tra_EV_Batt-NCA_virgin</v>
      </c>
      <c r="W46" s="207" t="str">
        <f t="shared" si="8"/>
        <v/>
      </c>
      <c r="X46" s="207" t="s">
        <v>227</v>
      </c>
      <c r="Y46" s="207" t="s">
        <v>227</v>
      </c>
      <c r="Z46" s="207" t="s">
        <v>211</v>
      </c>
      <c r="AA46" s="207"/>
      <c r="AB46" s="207"/>
    </row>
    <row r="47" ht="18" spans="21:28">
      <c r="U47" s="209"/>
      <c r="V47" s="207" t="str">
        <f t="shared" si="9"/>
        <v>Tra_EV_Batt-NMC 111_virgin</v>
      </c>
      <c r="W47" s="207" t="str">
        <f t="shared" si="8"/>
        <v/>
      </c>
      <c r="X47" s="207" t="s">
        <v>227</v>
      </c>
      <c r="Y47" s="207" t="s">
        <v>227</v>
      </c>
      <c r="Z47" s="207" t="s">
        <v>211</v>
      </c>
      <c r="AA47" s="219"/>
      <c r="AB47" s="219"/>
    </row>
    <row r="48" ht="18" spans="21:28">
      <c r="U48" s="209"/>
      <c r="V48" s="207" t="str">
        <f t="shared" si="9"/>
        <v>Tra_EV_Batt-NMC532_virgin</v>
      </c>
      <c r="W48" s="207" t="str">
        <f t="shared" si="8"/>
        <v/>
      </c>
      <c r="X48" s="207" t="s">
        <v>227</v>
      </c>
      <c r="Y48" s="207" t="s">
        <v>227</v>
      </c>
      <c r="Z48" s="207" t="s">
        <v>211</v>
      </c>
      <c r="AA48" s="219"/>
      <c r="AB48" s="219"/>
    </row>
    <row r="49" ht="14.5" spans="21:28">
      <c r="U49" s="209"/>
      <c r="V49" s="207" t="str">
        <f t="shared" si="9"/>
        <v>Tra_EV_Batt-NMC 622_virgin</v>
      </c>
      <c r="W49" s="207" t="str">
        <f t="shared" si="8"/>
        <v/>
      </c>
      <c r="X49" s="207" t="s">
        <v>227</v>
      </c>
      <c r="Y49" s="207" t="s">
        <v>227</v>
      </c>
      <c r="Z49" s="207" t="s">
        <v>211</v>
      </c>
      <c r="AA49" s="209"/>
      <c r="AB49" s="209"/>
    </row>
    <row r="50" ht="14.5" spans="22:26">
      <c r="V50" s="207" t="str">
        <f t="shared" si="9"/>
        <v>Tra_EV_Batt-NMC 811_virgin</v>
      </c>
      <c r="W50" s="207" t="str">
        <f t="shared" si="8"/>
        <v/>
      </c>
      <c r="X50" s="207" t="s">
        <v>227</v>
      </c>
      <c r="Y50" s="207" t="s">
        <v>227</v>
      </c>
      <c r="Z50" s="207" t="s">
        <v>211</v>
      </c>
    </row>
    <row r="59" ht="14.5" spans="2:28">
      <c r="B59" s="197"/>
      <c r="C59" s="197" t="s">
        <v>292</v>
      </c>
      <c r="D59" s="197"/>
      <c r="E59" s="197"/>
      <c r="F59" s="197"/>
      <c r="G59" s="197"/>
      <c r="H59" s="197"/>
      <c r="I59" s="197"/>
      <c r="J59" s="197"/>
      <c r="W59" s="207" t="s">
        <v>72</v>
      </c>
      <c r="X59" s="207"/>
      <c r="Y59" s="207"/>
      <c r="Z59" s="207"/>
      <c r="AA59" s="207"/>
      <c r="AB59" s="207"/>
    </row>
    <row r="60" ht="14.5" spans="1:28">
      <c r="A60" s="175" t="s">
        <v>194</v>
      </c>
      <c r="B60" s="205" t="s">
        <v>192</v>
      </c>
      <c r="C60" s="197" t="s">
        <v>220</v>
      </c>
      <c r="D60" s="197" t="s">
        <v>338</v>
      </c>
      <c r="E60" s="197" t="s">
        <v>339</v>
      </c>
      <c r="F60" s="197" t="s">
        <v>340</v>
      </c>
      <c r="G60" s="197" t="s">
        <v>341</v>
      </c>
      <c r="H60" s="197" t="s">
        <v>342</v>
      </c>
      <c r="I60" s="197" t="s">
        <v>343</v>
      </c>
      <c r="J60" s="197" t="s">
        <v>344</v>
      </c>
      <c r="K60" s="229" t="s">
        <v>196</v>
      </c>
      <c r="L60" s="207" t="s">
        <v>191</v>
      </c>
      <c r="M60" s="207" t="s">
        <v>76</v>
      </c>
      <c r="N60" s="175" t="s">
        <v>195</v>
      </c>
      <c r="O60" s="175" t="s">
        <v>294</v>
      </c>
      <c r="P60" s="207" t="s">
        <v>295</v>
      </c>
      <c r="Q60" s="207" t="s">
        <v>296</v>
      </c>
      <c r="R60" s="175" t="s">
        <v>198</v>
      </c>
      <c r="S60" s="175" t="s">
        <v>297</v>
      </c>
      <c r="T60" s="175" t="s">
        <v>345</v>
      </c>
      <c r="U60" s="175" t="s">
        <v>346</v>
      </c>
      <c r="W60" s="207" t="s">
        <v>78</v>
      </c>
      <c r="X60" s="207" t="s">
        <v>79</v>
      </c>
      <c r="Y60" s="207" t="s">
        <v>80</v>
      </c>
      <c r="Z60" s="207" t="s">
        <v>81</v>
      </c>
      <c r="AA60" s="207" t="s">
        <v>82</v>
      </c>
      <c r="AB60" s="207" t="s">
        <v>175</v>
      </c>
    </row>
    <row r="61" ht="14.5" spans="1:28">
      <c r="A61" s="335">
        <v>2020</v>
      </c>
      <c r="B61" s="206"/>
      <c r="C61" s="197" t="s">
        <v>347</v>
      </c>
      <c r="D61" s="175">
        <v>1</v>
      </c>
      <c r="E61" s="175">
        <v>0</v>
      </c>
      <c r="F61" s="175">
        <v>0</v>
      </c>
      <c r="G61" s="175">
        <v>0</v>
      </c>
      <c r="H61" s="175">
        <v>0</v>
      </c>
      <c r="I61" s="175">
        <v>0</v>
      </c>
      <c r="J61" s="175">
        <v>0</v>
      </c>
      <c r="K61" s="229">
        <f t="shared" ref="K61:K67" si="10">ROUND(K22*80%,0)</f>
        <v>10</v>
      </c>
      <c r="L61" s="175" t="s">
        <v>218</v>
      </c>
      <c r="M61" s="175" t="s">
        <v>218</v>
      </c>
      <c r="N61" s="175">
        <v>0.9</v>
      </c>
      <c r="O61" s="175">
        <v>1.314</v>
      </c>
      <c r="P61" s="305">
        <v>1</v>
      </c>
      <c r="Q61" s="175">
        <v>1</v>
      </c>
      <c r="R61" s="175">
        <v>1</v>
      </c>
      <c r="S61" s="175">
        <v>2000</v>
      </c>
      <c r="T61" s="175">
        <v>1</v>
      </c>
      <c r="U61" s="175" t="str">
        <f>C22</f>
        <v>Tra_EV_Batt-LFP_virgin_pack</v>
      </c>
      <c r="W61" s="207" t="s">
        <v>207</v>
      </c>
      <c r="X61" s="207" t="str">
        <f>C61</f>
        <v>Util_Rep_Batt-LFP</v>
      </c>
      <c r="Y61" s="207" t="str">
        <f>"Repurposed: "&amp;W6</f>
        <v>Repurposed: Lithium Iron Phosphate; High safety, long cycle life, lower energy density; EVs, energy storage systems</v>
      </c>
      <c r="Z61" s="207" t="s">
        <v>209</v>
      </c>
      <c r="AA61" s="207" t="s">
        <v>227</v>
      </c>
      <c r="AB61" s="207" t="s">
        <v>211</v>
      </c>
    </row>
    <row r="62" ht="14.5" spans="1:28">
      <c r="A62" s="335">
        <v>2020</v>
      </c>
      <c r="B62" s="206"/>
      <c r="C62" s="197" t="s">
        <v>348</v>
      </c>
      <c r="D62" s="175">
        <v>0</v>
      </c>
      <c r="E62" s="175">
        <v>1</v>
      </c>
      <c r="F62" s="175">
        <v>0</v>
      </c>
      <c r="G62" s="175">
        <v>0</v>
      </c>
      <c r="H62" s="175">
        <v>0</v>
      </c>
      <c r="I62" s="175">
        <v>0</v>
      </c>
      <c r="J62" s="175">
        <v>0</v>
      </c>
      <c r="K62" s="229">
        <f t="shared" si="10"/>
        <v>5</v>
      </c>
      <c r="L62" s="175" t="s">
        <v>218</v>
      </c>
      <c r="M62" s="175" t="s">
        <v>218</v>
      </c>
      <c r="N62" s="175">
        <v>0.9</v>
      </c>
      <c r="O62" s="175">
        <v>1.314</v>
      </c>
      <c r="P62" s="305">
        <v>1</v>
      </c>
      <c r="Q62" s="175">
        <v>1</v>
      </c>
      <c r="R62" s="175">
        <v>1</v>
      </c>
      <c r="S62" s="229">
        <v>500</v>
      </c>
      <c r="T62" s="175">
        <v>1</v>
      </c>
      <c r="U62" s="175" t="str">
        <f t="shared" ref="U62:U67" si="11">C23</f>
        <v>Tra_EV_Batt-LMO_virgin_pack</v>
      </c>
      <c r="X62" s="207" t="str">
        <f t="shared" ref="X62:X67" si="12">C62</f>
        <v>Util_Rep_Batt-LMO</v>
      </c>
      <c r="Y62" s="207" t="str">
        <f t="shared" ref="Y62:Y67" si="13">"Repurposed: "&amp;W7</f>
        <v>Repurposed: Lithium Manganese Oxide; Good thermal stability, fast charging, moderate energy density; Power tools, medical devices, hybrid EVs</v>
      </c>
      <c r="Z62" s="207" t="s">
        <v>209</v>
      </c>
      <c r="AA62" s="207" t="s">
        <v>227</v>
      </c>
      <c r="AB62" s="207" t="s">
        <v>211</v>
      </c>
    </row>
    <row r="63" ht="14.5" spans="1:28">
      <c r="A63" s="335">
        <v>2020</v>
      </c>
      <c r="B63" s="206"/>
      <c r="C63" s="197" t="s">
        <v>349</v>
      </c>
      <c r="D63" s="175">
        <v>0</v>
      </c>
      <c r="E63" s="175">
        <v>0</v>
      </c>
      <c r="F63" s="175">
        <v>1</v>
      </c>
      <c r="G63" s="175">
        <v>0</v>
      </c>
      <c r="H63" s="175">
        <v>0</v>
      </c>
      <c r="I63" s="175">
        <v>0</v>
      </c>
      <c r="J63" s="175">
        <v>0</v>
      </c>
      <c r="K63" s="229">
        <f t="shared" si="10"/>
        <v>7</v>
      </c>
      <c r="L63" s="175" t="s">
        <v>218</v>
      </c>
      <c r="M63" s="175" t="s">
        <v>218</v>
      </c>
      <c r="N63" s="175">
        <v>0.9</v>
      </c>
      <c r="O63" s="175">
        <v>1.314</v>
      </c>
      <c r="P63" s="305">
        <v>1</v>
      </c>
      <c r="Q63" s="175">
        <v>1</v>
      </c>
      <c r="R63" s="175">
        <v>1</v>
      </c>
      <c r="S63" s="175">
        <v>1000</v>
      </c>
      <c r="T63" s="175">
        <v>1</v>
      </c>
      <c r="U63" s="175" t="str">
        <f t="shared" si="11"/>
        <v>Tra_EV_Batt-NCA_virgin_pack</v>
      </c>
      <c r="W63" s="207"/>
      <c r="X63" s="207" t="str">
        <f t="shared" si="12"/>
        <v>Util_Rep_Batt-NCA</v>
      </c>
      <c r="Y63" s="207" t="str">
        <f t="shared" si="13"/>
        <v>Repurposed: Nickel Cobalt Aluminum Oxide; High energy density, long cycle life, higher cost; Premium EVs, energy storage</v>
      </c>
      <c r="Z63" s="207" t="s">
        <v>209</v>
      </c>
      <c r="AA63" s="207" t="s">
        <v>227</v>
      </c>
      <c r="AB63" s="207" t="s">
        <v>211</v>
      </c>
    </row>
    <row r="64" ht="14.5" spans="1:28">
      <c r="A64" s="335">
        <v>2020</v>
      </c>
      <c r="B64" s="206"/>
      <c r="C64" s="197" t="s">
        <v>350</v>
      </c>
      <c r="D64" s="175">
        <v>0</v>
      </c>
      <c r="E64" s="175">
        <v>0</v>
      </c>
      <c r="F64" s="175">
        <v>0</v>
      </c>
      <c r="G64" s="175">
        <v>1</v>
      </c>
      <c r="H64" s="175">
        <v>0</v>
      </c>
      <c r="I64" s="175">
        <v>0</v>
      </c>
      <c r="J64" s="175">
        <v>0</v>
      </c>
      <c r="K64" s="229">
        <f t="shared" si="10"/>
        <v>7</v>
      </c>
      <c r="L64" s="175" t="s">
        <v>218</v>
      </c>
      <c r="M64" s="175" t="s">
        <v>218</v>
      </c>
      <c r="N64" s="175">
        <v>0.9</v>
      </c>
      <c r="O64" s="175">
        <v>1.314</v>
      </c>
      <c r="P64" s="305">
        <v>1</v>
      </c>
      <c r="Q64" s="175">
        <v>1</v>
      </c>
      <c r="R64" s="175">
        <v>1</v>
      </c>
      <c r="S64" s="175">
        <v>1000</v>
      </c>
      <c r="T64" s="175">
        <v>1</v>
      </c>
      <c r="U64" s="175" t="str">
        <f t="shared" si="11"/>
        <v>Tra_EV_Batt-NMC 111_virgin_pack</v>
      </c>
      <c r="W64" s="209"/>
      <c r="X64" s="207" t="str">
        <f t="shared" si="12"/>
        <v>Util_Rep_Batt-NMC 111</v>
      </c>
      <c r="Y64" s="207" t="str">
        <f t="shared" si="13"/>
        <v>Repurposed: Nickel Manganese Cobalt (1:1:1); Balanced energy density, safety, and cost; Consumer electronics, EVs</v>
      </c>
      <c r="Z64" s="207" t="s">
        <v>209</v>
      </c>
      <c r="AA64" s="207" t="s">
        <v>227</v>
      </c>
      <c r="AB64" s="207" t="s">
        <v>211</v>
      </c>
    </row>
    <row r="65" ht="14.5" spans="1:28">
      <c r="A65" s="335">
        <v>2020</v>
      </c>
      <c r="B65" s="206"/>
      <c r="C65" s="197" t="s">
        <v>351</v>
      </c>
      <c r="D65" s="175">
        <v>0</v>
      </c>
      <c r="E65" s="175">
        <v>0</v>
      </c>
      <c r="F65" s="175">
        <v>0</v>
      </c>
      <c r="G65" s="175">
        <v>0</v>
      </c>
      <c r="H65" s="175">
        <v>1</v>
      </c>
      <c r="I65" s="175">
        <v>0</v>
      </c>
      <c r="J65" s="175">
        <v>0</v>
      </c>
      <c r="K65" s="229">
        <f t="shared" si="10"/>
        <v>7</v>
      </c>
      <c r="L65" s="175" t="s">
        <v>218</v>
      </c>
      <c r="M65" s="175" t="s">
        <v>218</v>
      </c>
      <c r="N65" s="175">
        <v>0.9</v>
      </c>
      <c r="O65" s="175">
        <v>1.314</v>
      </c>
      <c r="P65" s="305">
        <v>1</v>
      </c>
      <c r="Q65" s="175">
        <v>1</v>
      </c>
      <c r="R65" s="175">
        <v>1</v>
      </c>
      <c r="S65" s="175">
        <v>1000</v>
      </c>
      <c r="T65" s="175">
        <v>1</v>
      </c>
      <c r="U65" s="175" t="str">
        <f t="shared" si="11"/>
        <v>Tra_EV_Batt-NMC532_virgin_pack</v>
      </c>
      <c r="W65" s="209"/>
      <c r="X65" s="207" t="str">
        <f t="shared" si="12"/>
        <v>Util_Rep_Batt-NMC532</v>
      </c>
      <c r="Y65" s="207" t="str">
        <f t="shared" si="13"/>
        <v>Repurposed: Nickel Manganese Cobalt (5:3:2); Higher energy density, better thermal stability; Modern EV batteries</v>
      </c>
      <c r="Z65" s="207" t="s">
        <v>209</v>
      </c>
      <c r="AA65" s="207" t="s">
        <v>227</v>
      </c>
      <c r="AB65" s="207" t="s">
        <v>211</v>
      </c>
    </row>
    <row r="66" ht="14.5" spans="1:28">
      <c r="A66" s="335">
        <v>2020</v>
      </c>
      <c r="B66" s="206"/>
      <c r="C66" s="197" t="s">
        <v>352</v>
      </c>
      <c r="D66" s="175">
        <v>0</v>
      </c>
      <c r="E66" s="175">
        <v>0</v>
      </c>
      <c r="F66" s="175">
        <v>0</v>
      </c>
      <c r="G66" s="175">
        <v>0</v>
      </c>
      <c r="H66" s="175">
        <v>0</v>
      </c>
      <c r="I66" s="175">
        <v>1</v>
      </c>
      <c r="J66" s="175">
        <v>0</v>
      </c>
      <c r="K66" s="229">
        <f t="shared" si="10"/>
        <v>7</v>
      </c>
      <c r="L66" s="175" t="s">
        <v>218</v>
      </c>
      <c r="M66" s="175" t="s">
        <v>218</v>
      </c>
      <c r="N66" s="175">
        <v>0.9</v>
      </c>
      <c r="O66" s="175">
        <v>1.314</v>
      </c>
      <c r="P66" s="305">
        <v>1</v>
      </c>
      <c r="Q66" s="175">
        <v>1</v>
      </c>
      <c r="R66" s="175">
        <v>1</v>
      </c>
      <c r="S66" s="175">
        <v>1000</v>
      </c>
      <c r="T66" s="175">
        <v>1</v>
      </c>
      <c r="U66" s="175" t="str">
        <f t="shared" si="11"/>
        <v>Tra_EV_Batt-NMC 622_virgin_pack</v>
      </c>
      <c r="W66" s="209"/>
      <c r="X66" s="207" t="str">
        <f t="shared" si="12"/>
        <v>Util_Rep_Batt-NMC 622</v>
      </c>
      <c r="Y66" s="207" t="str">
        <f t="shared" si="13"/>
        <v>Repurposed: Nickel Manganese Cobalt (6:2:2); Improved energy density, cost efficiency; Long-range EVs</v>
      </c>
      <c r="Z66" s="207" t="s">
        <v>209</v>
      </c>
      <c r="AA66" s="207" t="s">
        <v>227</v>
      </c>
      <c r="AB66" s="207" t="s">
        <v>211</v>
      </c>
    </row>
    <row r="67" ht="14.5" spans="1:28">
      <c r="A67" s="335">
        <v>2020</v>
      </c>
      <c r="B67" s="206"/>
      <c r="C67" s="197" t="s">
        <v>353</v>
      </c>
      <c r="D67" s="175">
        <v>0</v>
      </c>
      <c r="E67" s="175">
        <v>0</v>
      </c>
      <c r="F67" s="175">
        <v>0</v>
      </c>
      <c r="G67" s="175">
        <v>0</v>
      </c>
      <c r="H67" s="175">
        <v>0</v>
      </c>
      <c r="I67" s="175">
        <v>0</v>
      </c>
      <c r="J67" s="175">
        <v>1</v>
      </c>
      <c r="K67" s="229">
        <f t="shared" si="10"/>
        <v>7</v>
      </c>
      <c r="L67" s="175" t="s">
        <v>218</v>
      </c>
      <c r="M67" s="175" t="s">
        <v>218</v>
      </c>
      <c r="N67" s="175">
        <v>0.9</v>
      </c>
      <c r="O67" s="175">
        <v>1.314</v>
      </c>
      <c r="P67" s="305">
        <v>1</v>
      </c>
      <c r="Q67" s="175">
        <v>1</v>
      </c>
      <c r="R67" s="175">
        <v>1</v>
      </c>
      <c r="S67" s="175">
        <v>1000</v>
      </c>
      <c r="T67" s="175">
        <v>1</v>
      </c>
      <c r="U67" s="175" t="str">
        <f t="shared" si="11"/>
        <v>Tra_EV_Batt-NMC 811_virgin_pack</v>
      </c>
      <c r="X67" s="207" t="str">
        <f t="shared" si="12"/>
        <v>Util_Rep_Batt-NMC 811</v>
      </c>
      <c r="Y67" s="207" t="str">
        <f t="shared" si="13"/>
        <v>Repurposed: Nickel Manganese Cobalt (8:1:1); Highest energy density, reduced cobalt content, lower cost; Long-range EVs</v>
      </c>
      <c r="Z67" s="207" t="s">
        <v>209</v>
      </c>
      <c r="AA67" s="207" t="s">
        <v>227</v>
      </c>
      <c r="AB67" s="207" t="s">
        <v>211</v>
      </c>
    </row>
    <row r="68" ht="14.5" spans="24:28">
      <c r="X68" s="207"/>
      <c r="Y68" s="207"/>
      <c r="Z68" s="207"/>
      <c r="AA68" s="207"/>
      <c r="AB68" s="207"/>
    </row>
    <row r="71" spans="3:3">
      <c r="C71" s="175" t="s">
        <v>354</v>
      </c>
    </row>
    <row r="72" spans="3:10">
      <c r="C72" s="175" t="s">
        <v>220</v>
      </c>
      <c r="D72" s="345" t="s">
        <v>355</v>
      </c>
      <c r="E72" s="345" t="s">
        <v>356</v>
      </c>
      <c r="F72" s="345" t="s">
        <v>357</v>
      </c>
      <c r="G72" s="345" t="s">
        <v>358</v>
      </c>
      <c r="H72" s="345" t="s">
        <v>359</v>
      </c>
      <c r="I72" s="345" t="s">
        <v>360</v>
      </c>
      <c r="J72" s="345" t="s">
        <v>361</v>
      </c>
    </row>
    <row r="73" spans="3:18">
      <c r="C73" s="175" t="str">
        <f>C61</f>
        <v>Util_Rep_Batt-LFP</v>
      </c>
      <c r="D73" s="175">
        <v>1</v>
      </c>
      <c r="E73" s="175">
        <v>0</v>
      </c>
      <c r="F73" s="175">
        <v>0</v>
      </c>
      <c r="G73" s="175">
        <v>0</v>
      </c>
      <c r="H73" s="175">
        <v>0</v>
      </c>
      <c r="I73" s="175">
        <v>0</v>
      </c>
      <c r="J73" s="175">
        <v>0</v>
      </c>
      <c r="L73" s="197"/>
      <c r="M73" s="197"/>
      <c r="N73" s="197"/>
      <c r="O73" s="197"/>
      <c r="P73" s="197"/>
      <c r="Q73" s="197"/>
      <c r="R73" s="197"/>
    </row>
    <row r="74" spans="3:18">
      <c r="C74" s="175" t="str">
        <f t="shared" ref="C74:C79" si="14">C62</f>
        <v>Util_Rep_Batt-LMO</v>
      </c>
      <c r="D74" s="175">
        <v>0</v>
      </c>
      <c r="E74" s="175">
        <v>1</v>
      </c>
      <c r="F74" s="175">
        <v>0</v>
      </c>
      <c r="G74" s="175">
        <v>0</v>
      </c>
      <c r="H74" s="175">
        <v>0</v>
      </c>
      <c r="I74" s="175">
        <v>0</v>
      </c>
      <c r="J74" s="175">
        <v>0</v>
      </c>
      <c r="L74" s="197"/>
      <c r="M74" s="197"/>
      <c r="N74" s="197"/>
      <c r="O74" s="197"/>
      <c r="P74" s="197"/>
      <c r="Q74" s="197"/>
      <c r="R74" s="197"/>
    </row>
    <row r="75" spans="3:18">
      <c r="C75" s="175" t="str">
        <f t="shared" si="14"/>
        <v>Util_Rep_Batt-NCA</v>
      </c>
      <c r="D75" s="175">
        <v>0</v>
      </c>
      <c r="E75" s="175">
        <v>0</v>
      </c>
      <c r="F75" s="175">
        <v>1</v>
      </c>
      <c r="G75" s="175">
        <v>0</v>
      </c>
      <c r="H75" s="175">
        <v>0</v>
      </c>
      <c r="I75" s="175">
        <v>0</v>
      </c>
      <c r="J75" s="175">
        <v>0</v>
      </c>
      <c r="L75" s="197"/>
      <c r="M75" s="197"/>
      <c r="N75" s="197"/>
      <c r="O75" s="197"/>
      <c r="P75" s="197"/>
      <c r="Q75" s="197"/>
      <c r="R75" s="197"/>
    </row>
    <row r="76" spans="3:18">
      <c r="C76" s="175" t="str">
        <f t="shared" si="14"/>
        <v>Util_Rep_Batt-NMC 111</v>
      </c>
      <c r="D76" s="175">
        <v>0</v>
      </c>
      <c r="E76" s="175">
        <v>0</v>
      </c>
      <c r="F76" s="175">
        <v>0</v>
      </c>
      <c r="G76" s="175">
        <v>1</v>
      </c>
      <c r="H76" s="175">
        <v>0</v>
      </c>
      <c r="I76" s="175">
        <v>0</v>
      </c>
      <c r="J76" s="175">
        <v>0</v>
      </c>
      <c r="L76" s="197"/>
      <c r="M76" s="197"/>
      <c r="N76" s="197"/>
      <c r="O76" s="197"/>
      <c r="P76" s="197"/>
      <c r="Q76" s="197"/>
      <c r="R76" s="197"/>
    </row>
    <row r="77" spans="3:18">
      <c r="C77" s="175" t="str">
        <f t="shared" si="14"/>
        <v>Util_Rep_Batt-NMC532</v>
      </c>
      <c r="D77" s="175">
        <v>0</v>
      </c>
      <c r="E77" s="175">
        <v>0</v>
      </c>
      <c r="F77" s="175">
        <v>0</v>
      </c>
      <c r="G77" s="175">
        <v>0</v>
      </c>
      <c r="H77" s="175">
        <v>1</v>
      </c>
      <c r="I77" s="175">
        <v>0</v>
      </c>
      <c r="J77" s="175">
        <v>0</v>
      </c>
      <c r="L77" s="197"/>
      <c r="M77" s="197"/>
      <c r="N77" s="197"/>
      <c r="O77" s="197"/>
      <c r="P77" s="197"/>
      <c r="Q77" s="197"/>
      <c r="R77" s="197"/>
    </row>
    <row r="78" spans="3:18">
      <c r="C78" s="175" t="str">
        <f t="shared" si="14"/>
        <v>Util_Rep_Batt-NMC 622</v>
      </c>
      <c r="D78" s="175">
        <v>0</v>
      </c>
      <c r="E78" s="175">
        <v>0</v>
      </c>
      <c r="F78" s="175">
        <v>0</v>
      </c>
      <c r="G78" s="175">
        <v>0</v>
      </c>
      <c r="H78" s="175">
        <v>0</v>
      </c>
      <c r="I78" s="175">
        <v>1</v>
      </c>
      <c r="J78" s="175">
        <v>0</v>
      </c>
      <c r="L78" s="197"/>
      <c r="M78" s="197"/>
      <c r="N78" s="197"/>
      <c r="O78" s="197"/>
      <c r="P78" s="197"/>
      <c r="Q78" s="197"/>
      <c r="R78" s="197"/>
    </row>
    <row r="79" spans="3:18">
      <c r="C79" s="175" t="str">
        <f t="shared" si="14"/>
        <v>Util_Rep_Batt-NMC 811</v>
      </c>
      <c r="D79" s="175">
        <v>0</v>
      </c>
      <c r="E79" s="175">
        <v>0</v>
      </c>
      <c r="F79" s="175">
        <v>0</v>
      </c>
      <c r="G79" s="175">
        <v>0</v>
      </c>
      <c r="H79" s="175">
        <v>0</v>
      </c>
      <c r="I79" s="175">
        <v>0</v>
      </c>
      <c r="J79" s="175">
        <v>1</v>
      </c>
      <c r="L79" s="197"/>
      <c r="M79" s="197"/>
      <c r="N79" s="197"/>
      <c r="O79" s="197"/>
      <c r="P79" s="197"/>
      <c r="Q79" s="197"/>
      <c r="R79" s="197"/>
    </row>
    <row r="81" spans="3:12">
      <c r="C81" s="197"/>
      <c r="D81" s="197"/>
      <c r="E81" s="197"/>
      <c r="F81" s="197"/>
      <c r="G81" s="197"/>
      <c r="H81" s="197"/>
      <c r="I81" s="197"/>
      <c r="J81" s="197"/>
      <c r="K81" s="197"/>
      <c r="L81" s="197"/>
    </row>
    <row r="82" spans="3:12">
      <c r="C82" s="197"/>
      <c r="D82" s="197"/>
      <c r="E82" s="197"/>
      <c r="F82" s="197"/>
      <c r="G82" s="197"/>
      <c r="H82" s="197"/>
      <c r="I82" s="197"/>
      <c r="J82" s="197"/>
      <c r="K82" s="197"/>
      <c r="L82" s="197"/>
    </row>
    <row r="83" spans="3:12">
      <c r="C83" s="197"/>
      <c r="D83" s="197"/>
      <c r="E83" s="197"/>
      <c r="F83" s="197"/>
      <c r="G83" s="197"/>
      <c r="H83" s="197"/>
      <c r="I83" s="197"/>
      <c r="J83" s="197"/>
      <c r="K83" s="197"/>
      <c r="L83" s="197"/>
    </row>
    <row r="84" spans="3:12">
      <c r="C84" s="197"/>
      <c r="D84" s="197"/>
      <c r="E84" s="197"/>
      <c r="F84" s="197"/>
      <c r="G84" s="197"/>
      <c r="H84" s="197"/>
      <c r="I84" s="197"/>
      <c r="J84" s="197"/>
      <c r="K84" s="197"/>
      <c r="L84" s="197"/>
    </row>
    <row r="85" spans="3:12">
      <c r="C85" s="197"/>
      <c r="D85" s="197"/>
      <c r="E85" s="197"/>
      <c r="F85" s="197"/>
      <c r="G85" s="197"/>
      <c r="H85" s="197"/>
      <c r="I85" s="197"/>
      <c r="J85" s="197"/>
      <c r="K85" s="197"/>
      <c r="L85" s="197"/>
    </row>
    <row r="86" spans="3:12">
      <c r="C86" s="197"/>
      <c r="D86" s="197"/>
      <c r="E86" s="197"/>
      <c r="F86" s="197"/>
      <c r="G86" s="197"/>
      <c r="H86" s="197"/>
      <c r="I86" s="197"/>
      <c r="J86" s="197"/>
      <c r="K86" s="197"/>
      <c r="L86" s="197"/>
    </row>
    <row r="87" spans="3:12">
      <c r="C87" s="175" t="s">
        <v>362</v>
      </c>
      <c r="D87" s="197"/>
      <c r="E87" s="197"/>
      <c r="F87" s="197"/>
      <c r="G87" s="197"/>
      <c r="H87" s="197"/>
      <c r="I87" s="197"/>
      <c r="J87" s="197"/>
      <c r="K87" s="197"/>
      <c r="L87" s="197"/>
    </row>
    <row r="88" spans="2:12">
      <c r="B88" s="175" t="s">
        <v>194</v>
      </c>
      <c r="C88" s="175" t="s">
        <v>220</v>
      </c>
      <c r="E88" s="197"/>
      <c r="F88" s="197"/>
      <c r="G88" s="197"/>
      <c r="H88" s="197"/>
      <c r="I88" s="197"/>
      <c r="J88" s="197"/>
      <c r="K88" s="197"/>
      <c r="L88" s="197"/>
    </row>
    <row r="89" spans="2:12">
      <c r="B89" s="335">
        <v>2030</v>
      </c>
      <c r="C89" s="346" t="s">
        <v>363</v>
      </c>
      <c r="E89" s="197"/>
      <c r="F89" s="197"/>
      <c r="G89" s="197"/>
      <c r="H89" s="197"/>
      <c r="I89" s="197"/>
      <c r="J89" s="197"/>
      <c r="K89" s="197"/>
      <c r="L89" s="197"/>
    </row>
    <row r="90" spans="2:12">
      <c r="B90" s="335">
        <v>2030</v>
      </c>
      <c r="C90" s="346" t="s">
        <v>364</v>
      </c>
      <c r="E90" s="197"/>
      <c r="F90" s="197"/>
      <c r="G90" s="197"/>
      <c r="H90" s="197"/>
      <c r="I90" s="197"/>
      <c r="J90" s="197"/>
      <c r="K90" s="197"/>
      <c r="L90" s="197"/>
    </row>
    <row r="91" spans="2:12">
      <c r="B91" s="335">
        <v>2030</v>
      </c>
      <c r="C91" s="346" t="s">
        <v>365</v>
      </c>
      <c r="E91" s="197"/>
      <c r="F91" s="197"/>
      <c r="G91" s="197"/>
      <c r="H91" s="197"/>
      <c r="I91" s="197"/>
      <c r="J91" s="197"/>
      <c r="K91" s="197"/>
      <c r="L91" s="197"/>
    </row>
    <row r="92" spans="2:12">
      <c r="B92" s="335">
        <v>2030</v>
      </c>
      <c r="C92" s="346" t="s">
        <v>366</v>
      </c>
      <c r="E92" s="197"/>
      <c r="F92" s="197"/>
      <c r="G92" s="197"/>
      <c r="H92" s="197"/>
      <c r="I92" s="197"/>
      <c r="J92" s="197"/>
      <c r="K92" s="197"/>
      <c r="L92" s="197"/>
    </row>
    <row r="93" spans="2:12">
      <c r="B93" s="335">
        <v>2030</v>
      </c>
      <c r="C93" s="346" t="s">
        <v>367</v>
      </c>
      <c r="E93" s="197"/>
      <c r="F93" s="197"/>
      <c r="G93" s="197"/>
      <c r="H93" s="197"/>
      <c r="I93" s="197"/>
      <c r="J93" s="197"/>
      <c r="K93" s="197"/>
      <c r="L93" s="197"/>
    </row>
    <row r="94" spans="2:12">
      <c r="B94" s="335">
        <v>2030</v>
      </c>
      <c r="C94" s="346" t="s">
        <v>368</v>
      </c>
      <c r="E94" s="197"/>
      <c r="F94" s="197"/>
      <c r="G94" s="197"/>
      <c r="H94" s="197"/>
      <c r="I94" s="197"/>
      <c r="J94" s="197"/>
      <c r="K94" s="197"/>
      <c r="L94" s="197"/>
    </row>
    <row r="95" spans="2:12">
      <c r="B95" s="335">
        <v>2030</v>
      </c>
      <c r="C95" s="346" t="s">
        <v>369</v>
      </c>
      <c r="E95" s="197"/>
      <c r="F95" s="197"/>
      <c r="G95" s="197"/>
      <c r="H95" s="197"/>
      <c r="I95" s="197"/>
      <c r="J95" s="197"/>
      <c r="K95" s="197"/>
      <c r="L95" s="197"/>
    </row>
    <row r="96" ht="14.5" spans="2:12">
      <c r="B96" s="335">
        <v>2030</v>
      </c>
      <c r="C96" s="346" t="s">
        <v>370</v>
      </c>
      <c r="D96" s="205"/>
      <c r="E96" s="205"/>
      <c r="F96" s="205"/>
      <c r="G96" s="205"/>
      <c r="H96" s="205"/>
      <c r="I96" s="205"/>
      <c r="J96" s="205"/>
      <c r="K96" s="197"/>
      <c r="L96" s="197"/>
    </row>
    <row r="97" ht="14.5" spans="2:12">
      <c r="B97" s="335">
        <v>2030</v>
      </c>
      <c r="C97" s="346" t="s">
        <v>371</v>
      </c>
      <c r="D97" s="205"/>
      <c r="E97" s="205"/>
      <c r="F97" s="205"/>
      <c r="G97" s="205"/>
      <c r="H97" s="205"/>
      <c r="I97" s="205"/>
      <c r="J97" s="205"/>
      <c r="K97" s="197"/>
      <c r="L97" s="197"/>
    </row>
    <row r="98" ht="14.5" spans="2:12">
      <c r="B98" s="335">
        <v>2030</v>
      </c>
      <c r="C98" s="346" t="s">
        <v>372</v>
      </c>
      <c r="D98" s="205"/>
      <c r="E98" s="205"/>
      <c r="F98" s="205"/>
      <c r="G98" s="205"/>
      <c r="H98" s="205"/>
      <c r="I98" s="205"/>
      <c r="J98" s="205"/>
      <c r="K98" s="197"/>
      <c r="L98" s="197"/>
    </row>
    <row r="99" ht="14.5" spans="2:12">
      <c r="B99" s="335">
        <v>2030</v>
      </c>
      <c r="C99" s="346" t="s">
        <v>373</v>
      </c>
      <c r="D99" s="205"/>
      <c r="E99" s="205"/>
      <c r="F99" s="205"/>
      <c r="G99" s="205"/>
      <c r="H99" s="197"/>
      <c r="I99" s="197"/>
      <c r="J99" s="197"/>
      <c r="K99" s="197"/>
      <c r="L99" s="197"/>
    </row>
    <row r="100" ht="14.5" spans="2:12">
      <c r="B100" s="335">
        <v>2030</v>
      </c>
      <c r="C100" s="346" t="s">
        <v>374</v>
      </c>
      <c r="D100" s="205"/>
      <c r="E100" s="205"/>
      <c r="F100" s="205"/>
      <c r="G100" s="205"/>
      <c r="H100" s="197"/>
      <c r="I100" s="197"/>
      <c r="J100" s="197"/>
      <c r="K100" s="197"/>
      <c r="L100" s="197"/>
    </row>
    <row r="101" ht="14.5" spans="2:12">
      <c r="B101" s="335">
        <v>2030</v>
      </c>
      <c r="C101" s="346" t="s">
        <v>375</v>
      </c>
      <c r="D101" s="205"/>
      <c r="E101" s="205"/>
      <c r="F101" s="205"/>
      <c r="G101" s="205"/>
      <c r="H101" s="197"/>
      <c r="I101" s="197"/>
      <c r="J101" s="197"/>
      <c r="K101" s="197"/>
      <c r="L101" s="197"/>
    </row>
    <row r="102" ht="14.5" spans="2:12">
      <c r="B102" s="335">
        <v>2030</v>
      </c>
      <c r="C102" s="346" t="s">
        <v>376</v>
      </c>
      <c r="D102" s="205"/>
      <c r="E102" s="205"/>
      <c r="F102" s="205"/>
      <c r="G102" s="205"/>
      <c r="H102" s="197"/>
      <c r="I102" s="197"/>
      <c r="J102" s="197"/>
      <c r="K102" s="197"/>
      <c r="L102" s="197"/>
    </row>
    <row r="103" ht="14.5" spans="2:12">
      <c r="B103" s="335">
        <v>2030</v>
      </c>
      <c r="C103" s="346" t="s">
        <v>377</v>
      </c>
      <c r="D103" s="205"/>
      <c r="E103" s="205"/>
      <c r="F103" s="205"/>
      <c r="G103" s="205"/>
      <c r="H103" s="197"/>
      <c r="I103" s="197"/>
      <c r="J103" s="197"/>
      <c r="K103" s="197"/>
      <c r="L103" s="197"/>
    </row>
    <row r="104" ht="14.5" spans="2:12">
      <c r="B104" s="335">
        <v>2030</v>
      </c>
      <c r="C104" s="346" t="s">
        <v>378</v>
      </c>
      <c r="D104" s="205"/>
      <c r="E104" s="205"/>
      <c r="F104" s="205"/>
      <c r="G104" s="205"/>
      <c r="H104" s="197"/>
      <c r="I104" s="197"/>
      <c r="J104" s="197"/>
      <c r="K104" s="197"/>
      <c r="L104" s="197"/>
    </row>
    <row r="105" spans="2:12">
      <c r="B105" s="335">
        <v>2030</v>
      </c>
      <c r="C105" s="346" t="s">
        <v>379</v>
      </c>
      <c r="D105" s="197"/>
      <c r="E105" s="197"/>
      <c r="F105" s="197"/>
      <c r="G105" s="197"/>
      <c r="H105" s="197"/>
      <c r="I105" s="197"/>
      <c r="J105" s="197"/>
      <c r="K105" s="197"/>
      <c r="L105" s="197"/>
    </row>
    <row r="106" spans="2:12">
      <c r="B106" s="335">
        <v>2030</v>
      </c>
      <c r="C106" s="346" t="s">
        <v>380</v>
      </c>
      <c r="D106" s="197"/>
      <c r="E106" s="197"/>
      <c r="F106" s="197"/>
      <c r="G106" s="197"/>
      <c r="H106" s="197"/>
      <c r="I106" s="197"/>
      <c r="J106" s="197"/>
      <c r="K106" s="197"/>
      <c r="L106" s="197"/>
    </row>
    <row r="107" spans="2:12">
      <c r="B107" s="335">
        <v>2030</v>
      </c>
      <c r="C107" s="346" t="s">
        <v>381</v>
      </c>
      <c r="D107" s="197"/>
      <c r="E107" s="197"/>
      <c r="F107" s="197"/>
      <c r="G107" s="197"/>
      <c r="H107" s="197"/>
      <c r="I107" s="197"/>
      <c r="J107" s="197"/>
      <c r="K107" s="197"/>
      <c r="L107" s="197"/>
    </row>
    <row r="108" ht="14.5" spans="2:12">
      <c r="B108" s="335">
        <v>2030</v>
      </c>
      <c r="C108" s="346" t="s">
        <v>382</v>
      </c>
      <c r="D108" s="205"/>
      <c r="E108" s="205"/>
      <c r="F108" s="197"/>
      <c r="G108" s="197"/>
      <c r="H108" s="197"/>
      <c r="I108" s="197"/>
      <c r="J108" s="197"/>
      <c r="K108" s="197"/>
      <c r="L108" s="197"/>
    </row>
    <row r="109" spans="2:12">
      <c r="B109" s="335">
        <v>2030</v>
      </c>
      <c r="C109" s="347" t="s">
        <v>383</v>
      </c>
      <c r="D109" s="197"/>
      <c r="E109" s="197"/>
      <c r="F109" s="197"/>
      <c r="G109" s="197"/>
      <c r="H109" s="197"/>
      <c r="I109" s="197"/>
      <c r="J109" s="197"/>
      <c r="K109" s="197"/>
      <c r="L109" s="197"/>
    </row>
    <row r="110" ht="14.5" spans="3:12">
      <c r="C110" s="205"/>
      <c r="D110" s="197"/>
      <c r="E110" s="197"/>
      <c r="F110" s="197"/>
      <c r="G110" s="197"/>
      <c r="H110" s="197"/>
      <c r="I110" s="197"/>
      <c r="J110" s="197"/>
      <c r="K110" s="197"/>
      <c r="L110" s="197"/>
    </row>
    <row r="111" ht="14.5" spans="3:12">
      <c r="C111" s="205"/>
      <c r="D111" s="197"/>
      <c r="E111" s="197"/>
      <c r="F111" s="197"/>
      <c r="G111" s="197"/>
      <c r="H111" s="197"/>
      <c r="I111" s="197"/>
      <c r="J111" s="197"/>
      <c r="K111" s="197"/>
      <c r="L111" s="197"/>
    </row>
    <row r="112" ht="14.5" spans="3:12">
      <c r="C112" s="205"/>
      <c r="D112" s="197"/>
      <c r="E112" s="197"/>
      <c r="F112" s="197"/>
      <c r="G112" s="197"/>
      <c r="H112" s="197"/>
      <c r="I112" s="197"/>
      <c r="J112" s="197"/>
      <c r="K112" s="197"/>
      <c r="L112" s="197"/>
    </row>
    <row r="113" ht="14.5" spans="3:12">
      <c r="C113" s="205"/>
      <c r="D113" s="197"/>
      <c r="E113" s="197"/>
      <c r="F113" s="197"/>
      <c r="G113" s="197"/>
      <c r="H113" s="197"/>
      <c r="I113" s="197"/>
      <c r="J113" s="197"/>
      <c r="K113" s="197"/>
      <c r="L113" s="197"/>
    </row>
    <row r="114" ht="14.5" spans="3:12">
      <c r="C114" s="205"/>
      <c r="D114" s="197"/>
      <c r="E114" s="197"/>
      <c r="F114" s="197"/>
      <c r="G114" s="197"/>
      <c r="H114" s="197"/>
      <c r="I114" s="197"/>
      <c r="J114" s="197"/>
      <c r="K114" s="197"/>
      <c r="L114" s="197"/>
    </row>
    <row r="115" ht="14.5" spans="3:12">
      <c r="C115" s="205"/>
      <c r="D115" s="197"/>
      <c r="E115" s="197"/>
      <c r="F115" s="197"/>
      <c r="G115" s="197"/>
      <c r="H115" s="197"/>
      <c r="I115" s="197"/>
      <c r="J115" s="197"/>
      <c r="K115" s="197"/>
      <c r="L115" s="197"/>
    </row>
    <row r="116" spans="3:12">
      <c r="C116" s="197"/>
      <c r="D116" s="197"/>
      <c r="E116" s="197"/>
      <c r="F116" s="197"/>
      <c r="G116" s="197"/>
      <c r="H116" s="197"/>
      <c r="I116" s="197"/>
      <c r="J116" s="197"/>
      <c r="K116" s="197"/>
      <c r="L116" s="197"/>
    </row>
    <row r="117" spans="3:12">
      <c r="C117" s="197"/>
      <c r="D117" s="197"/>
      <c r="E117" s="197"/>
      <c r="F117" s="197"/>
      <c r="G117" s="197"/>
      <c r="H117" s="197"/>
      <c r="I117" s="197"/>
      <c r="J117" s="197"/>
      <c r="K117" s="197"/>
      <c r="L117" s="197"/>
    </row>
    <row r="118" spans="3:12">
      <c r="C118" s="197"/>
      <c r="D118" s="197"/>
      <c r="E118" s="197"/>
      <c r="F118" s="197"/>
      <c r="G118" s="197"/>
      <c r="H118" s="197"/>
      <c r="I118" s="197"/>
      <c r="J118" s="197"/>
      <c r="K118" s="197"/>
      <c r="L118" s="197"/>
    </row>
    <row r="119" spans="3:12">
      <c r="C119" s="197"/>
      <c r="D119" s="197"/>
      <c r="E119" s="197"/>
      <c r="F119" s="197"/>
      <c r="G119" s="197"/>
      <c r="H119" s="197"/>
      <c r="I119" s="197"/>
      <c r="J119" s="197"/>
      <c r="K119" s="197"/>
      <c r="L119" s="197"/>
    </row>
    <row r="123" ht="53" customHeight="1"/>
    <row r="124" spans="27:32">
      <c r="AA124" s="244" t="s">
        <v>384</v>
      </c>
      <c r="AB124" s="244"/>
      <c r="AC124" s="244"/>
      <c r="AD124" s="244"/>
      <c r="AE124" s="244"/>
      <c r="AF124" s="244"/>
    </row>
    <row r="125" ht="14.5" spans="2:4">
      <c r="B125"/>
      <c r="C125"/>
      <c r="D125"/>
    </row>
    <row r="126" ht="21" spans="2:34">
      <c r="B126" s="227"/>
      <c r="C126" s="228" t="s">
        <v>385</v>
      </c>
      <c r="D126" s="229"/>
      <c r="E126" s="229"/>
      <c r="F126" s="229"/>
      <c r="H126" s="216"/>
      <c r="I126" s="233"/>
      <c r="J126" s="234" t="s">
        <v>386</v>
      </c>
      <c r="K126" s="234"/>
      <c r="L126" s="234"/>
      <c r="M126" s="234"/>
      <c r="N126" s="234"/>
      <c r="O126" s="234"/>
      <c r="P126" s="234"/>
      <c r="Q126" s="234"/>
      <c r="R126" s="234"/>
      <c r="S126" s="216"/>
      <c r="T126" s="216"/>
      <c r="U126" s="216"/>
      <c r="AG126" s="197"/>
      <c r="AH126" s="197"/>
    </row>
    <row r="127" ht="14.5" spans="2:46">
      <c r="B127" s="227"/>
      <c r="C127" s="230" t="s">
        <v>387</v>
      </c>
      <c r="D127" s="229"/>
      <c r="E127" s="229"/>
      <c r="F127" s="229"/>
      <c r="H127" s="231" t="s">
        <v>388</v>
      </c>
      <c r="I127" s="235" t="s">
        <v>389</v>
      </c>
      <c r="J127" s="235" t="s">
        <v>390</v>
      </c>
      <c r="K127" s="235" t="s">
        <v>391</v>
      </c>
      <c r="L127" s="235" t="s">
        <v>392</v>
      </c>
      <c r="M127" s="236" t="s">
        <v>390</v>
      </c>
      <c r="N127" s="236" t="s">
        <v>391</v>
      </c>
      <c r="O127" s="236" t="s">
        <v>392</v>
      </c>
      <c r="P127" s="235" t="s">
        <v>390</v>
      </c>
      <c r="Q127" s="235" t="s">
        <v>391</v>
      </c>
      <c r="R127" s="235" t="s">
        <v>392</v>
      </c>
      <c r="S127" s="216"/>
      <c r="T127" s="243" t="s">
        <v>393</v>
      </c>
      <c r="U127" s="216"/>
      <c r="AA127" s="229"/>
      <c r="AB127" s="229"/>
      <c r="AC127" s="229" t="s">
        <v>387</v>
      </c>
      <c r="AD127" s="229"/>
      <c r="AE127" s="229"/>
      <c r="AF127" s="229"/>
      <c r="AG127" s="197"/>
      <c r="AH127" s="197"/>
      <c r="AI127" s="229"/>
      <c r="AJ127" s="229"/>
      <c r="AK127" s="229" t="s">
        <v>387</v>
      </c>
      <c r="AL127" s="229"/>
      <c r="AM127" s="229"/>
      <c r="AN127" s="229"/>
      <c r="AQ127" s="245" t="s">
        <v>387</v>
      </c>
      <c r="AR127" s="246"/>
      <c r="AS127" s="246"/>
      <c r="AT127" s="246"/>
    </row>
    <row r="128" ht="20" spans="1:46">
      <c r="A128" s="232"/>
      <c r="B128" s="229"/>
      <c r="C128" s="229"/>
      <c r="D128" s="230"/>
      <c r="E128" s="230"/>
      <c r="F128" s="230"/>
      <c r="H128" s="216" t="s">
        <v>394</v>
      </c>
      <c r="I128" s="235" t="s">
        <v>395</v>
      </c>
      <c r="J128" s="237" t="s">
        <v>396</v>
      </c>
      <c r="K128" s="238"/>
      <c r="L128" s="239"/>
      <c r="M128" s="240" t="s">
        <v>397</v>
      </c>
      <c r="N128" s="241"/>
      <c r="O128" s="242"/>
      <c r="P128" s="237" t="s">
        <v>398</v>
      </c>
      <c r="Q128" s="238"/>
      <c r="R128" s="239"/>
      <c r="S128" s="216"/>
      <c r="T128" s="216" t="s">
        <v>397</v>
      </c>
      <c r="U128" s="216"/>
      <c r="AA128" s="229"/>
      <c r="AB128" s="229"/>
      <c r="AC128" s="229"/>
      <c r="AD128" s="229"/>
      <c r="AE128" s="229"/>
      <c r="AF128" s="229"/>
      <c r="AG128" s="197"/>
      <c r="AH128" s="197"/>
      <c r="AI128" s="229"/>
      <c r="AJ128" s="229"/>
      <c r="AK128" s="229"/>
      <c r="AL128" s="229"/>
      <c r="AM128" s="229"/>
      <c r="AN128" s="229"/>
      <c r="AQ128" s="245" t="s">
        <v>220</v>
      </c>
      <c r="AR128" s="245">
        <v>2019</v>
      </c>
      <c r="AS128" s="246">
        <v>2050</v>
      </c>
      <c r="AT128" s="246">
        <v>0</v>
      </c>
    </row>
    <row r="129" ht="13" spans="2:46">
      <c r="B129" s="229" t="s">
        <v>399</v>
      </c>
      <c r="C129" s="230" t="s">
        <v>220</v>
      </c>
      <c r="D129" s="230" t="s">
        <v>400</v>
      </c>
      <c r="E129" s="230" t="s">
        <v>401</v>
      </c>
      <c r="F129" s="230" t="s">
        <v>402</v>
      </c>
      <c r="H129" s="216"/>
      <c r="I129" s="235" t="s">
        <v>403</v>
      </c>
      <c r="J129" s="237" t="s">
        <v>404</v>
      </c>
      <c r="K129" s="238"/>
      <c r="L129" s="239"/>
      <c r="M129" s="240" t="s">
        <v>404</v>
      </c>
      <c r="N129" s="241"/>
      <c r="O129" s="242"/>
      <c r="P129" s="237" t="s">
        <v>404</v>
      </c>
      <c r="Q129" s="238"/>
      <c r="R129" s="239"/>
      <c r="S129" s="216"/>
      <c r="T129" s="216" t="s">
        <v>404</v>
      </c>
      <c r="U129" s="216"/>
      <c r="AA129" s="229" t="s">
        <v>399</v>
      </c>
      <c r="AB129" s="229" t="s">
        <v>405</v>
      </c>
      <c r="AC129" s="229" t="s">
        <v>220</v>
      </c>
      <c r="AD129" s="229" t="s">
        <v>400</v>
      </c>
      <c r="AE129" s="229" t="s">
        <v>401</v>
      </c>
      <c r="AF129" s="229" t="s">
        <v>402</v>
      </c>
      <c r="AG129" s="197"/>
      <c r="AH129" s="197"/>
      <c r="AI129" s="229" t="s">
        <v>399</v>
      </c>
      <c r="AJ129" s="229" t="s">
        <v>405</v>
      </c>
      <c r="AK129" s="229" t="s">
        <v>220</v>
      </c>
      <c r="AL129" s="229" t="s">
        <v>400</v>
      </c>
      <c r="AM129" s="229" t="s">
        <v>401</v>
      </c>
      <c r="AN129" s="229" t="s">
        <v>402</v>
      </c>
      <c r="AQ129" s="245" t="s">
        <v>406</v>
      </c>
      <c r="AR129" s="246">
        <v>0.001</v>
      </c>
      <c r="AS129" s="246">
        <v>0.001</v>
      </c>
      <c r="AT129" s="246">
        <v>5</v>
      </c>
    </row>
    <row r="130" ht="13" spans="2:46">
      <c r="B130" s="229" t="s">
        <v>407</v>
      </c>
      <c r="C130" s="229"/>
      <c r="D130" s="229"/>
      <c r="E130" s="229"/>
      <c r="F130" s="229"/>
      <c r="H130" s="216">
        <v>0.2</v>
      </c>
      <c r="I130" s="235" t="s">
        <v>408</v>
      </c>
      <c r="J130" s="255">
        <v>21.35</v>
      </c>
      <c r="K130" s="255">
        <v>16.59</v>
      </c>
      <c r="L130" s="255">
        <v>12.62</v>
      </c>
      <c r="M130" s="256">
        <v>22.07</v>
      </c>
      <c r="N130" s="256">
        <v>17.16</v>
      </c>
      <c r="O130" s="256">
        <v>13.05</v>
      </c>
      <c r="P130" s="255">
        <v>23.72</v>
      </c>
      <c r="Q130" s="255">
        <v>18.45</v>
      </c>
      <c r="R130" s="255">
        <v>14.04</v>
      </c>
      <c r="S130" s="235"/>
      <c r="T130" s="258">
        <f>AVERAGE(M130:O130)</f>
        <v>17.4266666666667</v>
      </c>
      <c r="U130" s="216"/>
      <c r="AA130" s="229" t="s">
        <v>407</v>
      </c>
      <c r="AB130" s="229"/>
      <c r="AC130" s="229"/>
      <c r="AD130" s="229"/>
      <c r="AE130" s="229"/>
      <c r="AF130" s="229"/>
      <c r="AG130" s="197"/>
      <c r="AH130" s="197"/>
      <c r="AI130" s="229" t="s">
        <v>407</v>
      </c>
      <c r="AJ130" s="229"/>
      <c r="AK130" s="229"/>
      <c r="AL130" s="229"/>
      <c r="AM130" s="229"/>
      <c r="AN130" s="229"/>
      <c r="AQ130" s="245" t="s">
        <v>409</v>
      </c>
      <c r="AR130" s="246">
        <v>0.001</v>
      </c>
      <c r="AS130" s="246">
        <v>0.001</v>
      </c>
      <c r="AT130" s="246">
        <v>5</v>
      </c>
    </row>
    <row r="131" ht="13" spans="1:46">
      <c r="A131" s="247"/>
      <c r="B131" s="229" t="s">
        <v>410</v>
      </c>
      <c r="C131" s="230" t="s">
        <v>406</v>
      </c>
      <c r="D131" s="229" cm="1">
        <f t="array" ref="D131">D147-SUMPRODUCT(J143:P143,J155:P155)</f>
        <v>80.3831766666667</v>
      </c>
      <c r="E131" s="229" cm="1">
        <f t="array" ref="E131">E147-SUMPRODUCT(J143:P143,J155:P155)</f>
        <v>55.48673</v>
      </c>
      <c r="F131" s="229" cm="1">
        <f t="array" ref="F131">F147-SUMPRODUCT(J143:P143,J155:P155)</f>
        <v>106.82505</v>
      </c>
      <c r="H131" s="216">
        <f>H130</f>
        <v>0.2</v>
      </c>
      <c r="I131" s="235" t="s">
        <v>411</v>
      </c>
      <c r="J131" s="255">
        <v>21.47</v>
      </c>
      <c r="K131" s="255">
        <v>16.67</v>
      </c>
      <c r="L131" s="255">
        <v>12.68</v>
      </c>
      <c r="M131" s="256">
        <v>22.2</v>
      </c>
      <c r="N131" s="256">
        <v>17.25</v>
      </c>
      <c r="O131" s="256">
        <v>13.12</v>
      </c>
      <c r="P131" s="255">
        <v>23.87</v>
      </c>
      <c r="Q131" s="255">
        <v>18.55</v>
      </c>
      <c r="R131" s="255">
        <v>14.11</v>
      </c>
      <c r="S131" s="235"/>
      <c r="T131" s="258">
        <f t="shared" ref="T131:T137" si="15">AVERAGE(M131:O131)</f>
        <v>17.5233333333333</v>
      </c>
      <c r="U131" s="216"/>
      <c r="AA131" s="229" t="s">
        <v>410</v>
      </c>
      <c r="AB131" s="229">
        <v>2050</v>
      </c>
      <c r="AC131" s="229" t="s">
        <v>406</v>
      </c>
      <c r="AD131" s="229">
        <f>D131*0.313</f>
        <v>25.1599342966667</v>
      </c>
      <c r="AE131" s="229">
        <f>E131*0.313</f>
        <v>17.36734649</v>
      </c>
      <c r="AF131" s="229">
        <f>F131*0.313</f>
        <v>33.43624065</v>
      </c>
      <c r="AG131" s="197"/>
      <c r="AH131" s="197"/>
      <c r="AI131" s="229" t="s">
        <v>410</v>
      </c>
      <c r="AJ131" s="229">
        <v>0</v>
      </c>
      <c r="AK131" s="229" t="s">
        <v>406</v>
      </c>
      <c r="AL131" s="229">
        <v>5</v>
      </c>
      <c r="AM131" s="229">
        <v>5</v>
      </c>
      <c r="AN131" s="229">
        <v>5</v>
      </c>
      <c r="AQ131" s="245" t="s">
        <v>412</v>
      </c>
      <c r="AR131" s="246">
        <v>0.001</v>
      </c>
      <c r="AS131" s="246">
        <v>0.001</v>
      </c>
      <c r="AT131" s="246">
        <v>5</v>
      </c>
    </row>
    <row r="132" ht="13" spans="2:46">
      <c r="B132" s="229" t="s">
        <v>410</v>
      </c>
      <c r="C132" s="230" t="s">
        <v>409</v>
      </c>
      <c r="D132" s="229" cm="1">
        <f t="array" ref="D132">D148-SUMPRODUCT(J144:P144,J156:P156)</f>
        <v>95.4086</v>
      </c>
      <c r="E132" s="229" cm="1">
        <f t="array" ref="E132">E148-SUMPRODUCT(J144:P144,J156:P156)</f>
        <v>66.32565</v>
      </c>
      <c r="F132" s="229" cm="1">
        <f t="array" ref="F132">F148-SUMPRODUCT(J144:P144,J156:P156)</f>
        <v>126.26355</v>
      </c>
      <c r="H132" s="216">
        <f t="shared" ref="H132:H137" si="16">H131</f>
        <v>0.2</v>
      </c>
      <c r="I132" s="235" t="s">
        <v>413</v>
      </c>
      <c r="J132" s="255">
        <v>21.35</v>
      </c>
      <c r="K132" s="255">
        <v>16.59</v>
      </c>
      <c r="L132" s="255">
        <v>12.62</v>
      </c>
      <c r="M132" s="256">
        <v>22.07</v>
      </c>
      <c r="N132" s="256">
        <v>17.16</v>
      </c>
      <c r="O132" s="256">
        <v>13.05</v>
      </c>
      <c r="P132" s="255">
        <v>23.72</v>
      </c>
      <c r="Q132" s="255">
        <v>18.45</v>
      </c>
      <c r="R132" s="255">
        <v>14.04</v>
      </c>
      <c r="S132" s="235"/>
      <c r="T132" s="258">
        <f t="shared" si="15"/>
        <v>17.4266666666667</v>
      </c>
      <c r="U132" s="216"/>
      <c r="AA132" s="229" t="s">
        <v>410</v>
      </c>
      <c r="AB132" s="229">
        <v>2050</v>
      </c>
      <c r="AC132" s="229" t="s">
        <v>409</v>
      </c>
      <c r="AD132" s="229">
        <f t="shared" ref="AD132:AD144" si="17">D132*0.313</f>
        <v>29.8628918</v>
      </c>
      <c r="AE132" s="229">
        <f t="shared" ref="AE132:AE144" si="18">E132*0.313</f>
        <v>20.75992845</v>
      </c>
      <c r="AF132" s="229">
        <f t="shared" ref="AF132:AF144" si="19">F132*0.313</f>
        <v>39.52049115</v>
      </c>
      <c r="AG132" s="197"/>
      <c r="AH132" s="197"/>
      <c r="AI132" s="229" t="s">
        <v>410</v>
      </c>
      <c r="AJ132" s="229">
        <v>0</v>
      </c>
      <c r="AK132" s="229" t="s">
        <v>409</v>
      </c>
      <c r="AL132" s="229">
        <v>5</v>
      </c>
      <c r="AM132" s="229">
        <v>5</v>
      </c>
      <c r="AN132" s="229">
        <v>5</v>
      </c>
      <c r="AQ132" s="245" t="s">
        <v>414</v>
      </c>
      <c r="AR132" s="246">
        <v>0.001</v>
      </c>
      <c r="AS132" s="246">
        <v>0.001</v>
      </c>
      <c r="AT132" s="246">
        <v>5</v>
      </c>
    </row>
    <row r="133" ht="13" spans="2:46">
      <c r="B133" s="229" t="s">
        <v>410</v>
      </c>
      <c r="C133" s="230" t="s">
        <v>412</v>
      </c>
      <c r="D133" s="229" cm="1">
        <f t="array" ref="D133">D149-SUMPRODUCT(J145:P145,J157:P157)</f>
        <v>85.3476966666666</v>
      </c>
      <c r="E133" s="229" cm="1">
        <f t="array" ref="E133">E149-SUMPRODUCT(J145:P145,J157:P157)</f>
        <v>56.10147</v>
      </c>
      <c r="F133" s="229" cm="1">
        <f t="array" ref="F133">F149-SUMPRODUCT(J145:P145,J157:P157)</f>
        <v>116.32796</v>
      </c>
      <c r="H133" s="216">
        <f t="shared" si="16"/>
        <v>0.2</v>
      </c>
      <c r="I133" s="235" t="s">
        <v>241</v>
      </c>
      <c r="J133" s="255">
        <v>26.64</v>
      </c>
      <c r="K133" s="255">
        <v>20.72</v>
      </c>
      <c r="L133" s="255">
        <v>15.77</v>
      </c>
      <c r="M133" s="256">
        <v>27.52</v>
      </c>
      <c r="N133" s="256">
        <v>21.42</v>
      </c>
      <c r="O133" s="256">
        <v>16.29</v>
      </c>
      <c r="P133" s="255">
        <v>29.54</v>
      </c>
      <c r="Q133" s="255">
        <v>22.99</v>
      </c>
      <c r="R133" s="255">
        <v>17.49</v>
      </c>
      <c r="S133" s="235"/>
      <c r="T133" s="258">
        <f t="shared" si="15"/>
        <v>21.7433333333333</v>
      </c>
      <c r="U133" s="216"/>
      <c r="AA133" s="229" t="s">
        <v>410</v>
      </c>
      <c r="AB133" s="229">
        <v>2050</v>
      </c>
      <c r="AC133" s="229" t="s">
        <v>412</v>
      </c>
      <c r="AD133" s="229">
        <f t="shared" si="17"/>
        <v>26.7138290566667</v>
      </c>
      <c r="AE133" s="229">
        <f t="shared" si="18"/>
        <v>17.55976011</v>
      </c>
      <c r="AF133" s="229">
        <f t="shared" si="19"/>
        <v>36.41065148</v>
      </c>
      <c r="AG133" s="197"/>
      <c r="AH133" s="197"/>
      <c r="AI133" s="229" t="s">
        <v>410</v>
      </c>
      <c r="AJ133" s="229">
        <v>0</v>
      </c>
      <c r="AK133" s="229" t="s">
        <v>412</v>
      </c>
      <c r="AL133" s="229">
        <v>5</v>
      </c>
      <c r="AM133" s="229">
        <v>5</v>
      </c>
      <c r="AN133" s="229">
        <v>5</v>
      </c>
      <c r="AQ133" s="245" t="s">
        <v>415</v>
      </c>
      <c r="AR133" s="246">
        <v>0.001</v>
      </c>
      <c r="AS133" s="246">
        <v>0.001</v>
      </c>
      <c r="AT133" s="246">
        <v>5</v>
      </c>
    </row>
    <row r="134" ht="30" spans="1:46">
      <c r="A134" s="248"/>
      <c r="B134" s="229" t="s">
        <v>410</v>
      </c>
      <c r="C134" s="230" t="s">
        <v>414</v>
      </c>
      <c r="D134" s="229" cm="1">
        <f t="array" ref="D134">D150-SUMPRODUCT(J146:P146,J158:P158)</f>
        <v>85.52157</v>
      </c>
      <c r="E134" s="229" cm="1">
        <f t="array" ref="E134">E150-SUMPRODUCT(J146:P146,J158:P158)</f>
        <v>55.55951</v>
      </c>
      <c r="F134" s="229" cm="1">
        <f t="array" ref="F134">F150-SUMPRODUCT(J146:P146,J158:P158)</f>
        <v>117.30431</v>
      </c>
      <c r="H134" s="216">
        <f t="shared" si="16"/>
        <v>0.2</v>
      </c>
      <c r="I134" s="235" t="s">
        <v>247</v>
      </c>
      <c r="J134" s="255">
        <v>24.65</v>
      </c>
      <c r="K134" s="255">
        <v>19.18</v>
      </c>
      <c r="L134" s="255">
        <v>14.59</v>
      </c>
      <c r="M134" s="256">
        <v>25.48</v>
      </c>
      <c r="N134" s="256">
        <v>19.82</v>
      </c>
      <c r="O134" s="256">
        <v>15.08</v>
      </c>
      <c r="P134" s="255">
        <v>27.36</v>
      </c>
      <c r="Q134" s="255">
        <v>21.29</v>
      </c>
      <c r="R134" s="255">
        <v>16.2</v>
      </c>
      <c r="S134" s="235"/>
      <c r="T134" s="258">
        <f t="shared" si="15"/>
        <v>20.1266666666667</v>
      </c>
      <c r="U134" s="216"/>
      <c r="AA134" s="229" t="s">
        <v>410</v>
      </c>
      <c r="AB134" s="229">
        <v>2050</v>
      </c>
      <c r="AC134" s="229" t="s">
        <v>414</v>
      </c>
      <c r="AD134" s="229">
        <f t="shared" si="17"/>
        <v>26.76825141</v>
      </c>
      <c r="AE134" s="229">
        <f t="shared" si="18"/>
        <v>17.39012663</v>
      </c>
      <c r="AF134" s="229">
        <f t="shared" si="19"/>
        <v>36.71624903</v>
      </c>
      <c r="AG134" s="197"/>
      <c r="AH134" s="197"/>
      <c r="AI134" s="229" t="s">
        <v>410</v>
      </c>
      <c r="AJ134" s="229">
        <v>0</v>
      </c>
      <c r="AK134" s="229" t="s">
        <v>414</v>
      </c>
      <c r="AL134" s="229">
        <v>5</v>
      </c>
      <c r="AM134" s="229">
        <v>5</v>
      </c>
      <c r="AN134" s="229">
        <v>5</v>
      </c>
      <c r="AQ134" s="245" t="s">
        <v>416</v>
      </c>
      <c r="AR134" s="246">
        <v>0.001</v>
      </c>
      <c r="AS134" s="246">
        <v>0.001</v>
      </c>
      <c r="AT134" s="246">
        <v>5</v>
      </c>
    </row>
    <row r="135" ht="13" spans="2:46">
      <c r="B135" s="229" t="s">
        <v>410</v>
      </c>
      <c r="C135" s="230" t="s">
        <v>415</v>
      </c>
      <c r="D135" s="229" cm="1">
        <f t="array" ref="D135">D151-SUMPRODUCT(J147:P147,J159:P159)</f>
        <v>90.0929166666666</v>
      </c>
      <c r="E135" s="229" cm="1">
        <f t="array" ref="E135">E151-SUMPRODUCT(J147:P147,J159:P159)</f>
        <v>59.3677</v>
      </c>
      <c r="F135" s="229" cm="1">
        <f t="array" ref="F135">F151-SUMPRODUCT(J147:P147,J159:P159)</f>
        <v>122.66905</v>
      </c>
      <c r="H135" s="216">
        <f t="shared" si="16"/>
        <v>0.2</v>
      </c>
      <c r="I135" s="235" t="s">
        <v>254</v>
      </c>
      <c r="J135" s="255">
        <v>25.67</v>
      </c>
      <c r="K135" s="255">
        <v>19.97</v>
      </c>
      <c r="L135" s="255">
        <v>15.19</v>
      </c>
      <c r="M135" s="256">
        <v>26.53</v>
      </c>
      <c r="N135" s="256">
        <v>20.64</v>
      </c>
      <c r="O135" s="256">
        <v>15.7</v>
      </c>
      <c r="P135" s="255">
        <v>28.48</v>
      </c>
      <c r="Q135" s="255">
        <v>22.17</v>
      </c>
      <c r="R135" s="255">
        <v>16.86</v>
      </c>
      <c r="S135" s="235"/>
      <c r="T135" s="258">
        <f t="shared" si="15"/>
        <v>20.9566666666667</v>
      </c>
      <c r="U135" s="216"/>
      <c r="AA135" s="229" t="s">
        <v>410</v>
      </c>
      <c r="AB135" s="229">
        <v>2050</v>
      </c>
      <c r="AC135" s="229" t="s">
        <v>415</v>
      </c>
      <c r="AD135" s="229">
        <f t="shared" si="17"/>
        <v>28.1990829166667</v>
      </c>
      <c r="AE135" s="229">
        <f t="shared" si="18"/>
        <v>18.5820901</v>
      </c>
      <c r="AF135" s="229">
        <f t="shared" si="19"/>
        <v>38.39541265</v>
      </c>
      <c r="AG135" s="197"/>
      <c r="AH135" s="197"/>
      <c r="AI135" s="229" t="s">
        <v>410</v>
      </c>
      <c r="AJ135" s="229">
        <v>0</v>
      </c>
      <c r="AK135" s="229" t="s">
        <v>415</v>
      </c>
      <c r="AL135" s="229">
        <v>5</v>
      </c>
      <c r="AM135" s="229">
        <v>5</v>
      </c>
      <c r="AN135" s="229">
        <v>5</v>
      </c>
      <c r="AQ135" s="245" t="s">
        <v>417</v>
      </c>
      <c r="AR135" s="246">
        <v>0.001</v>
      </c>
      <c r="AS135" s="246">
        <v>0.001</v>
      </c>
      <c r="AT135" s="246">
        <v>5</v>
      </c>
    </row>
    <row r="136" ht="25" spans="1:46">
      <c r="A136" s="249"/>
      <c r="B136" s="229" t="s">
        <v>410</v>
      </c>
      <c r="C136" s="230" t="s">
        <v>416</v>
      </c>
      <c r="D136" s="229" cm="1">
        <f t="array" ref="D136">D152-SUMPRODUCT(J148:P148,J160:P160)</f>
        <v>86.9222166666667</v>
      </c>
      <c r="E136" s="229" cm="1">
        <f t="array" ref="E136">E152-SUMPRODUCT(J148:P148,J160:P160)</f>
        <v>57.33755</v>
      </c>
      <c r="F136" s="229" cm="1">
        <f t="array" ref="F136">F152-SUMPRODUCT(J148:P148,J160:P160)</f>
        <v>118.2723</v>
      </c>
      <c r="H136" s="216">
        <f t="shared" si="16"/>
        <v>0.2</v>
      </c>
      <c r="I136" s="235" t="s">
        <v>261</v>
      </c>
      <c r="J136" s="255">
        <v>25.92</v>
      </c>
      <c r="K136" s="255">
        <v>20.16</v>
      </c>
      <c r="L136" s="255">
        <v>15.34</v>
      </c>
      <c r="M136" s="256">
        <v>26.78</v>
      </c>
      <c r="N136" s="256">
        <v>20.84</v>
      </c>
      <c r="O136" s="256">
        <v>15.85</v>
      </c>
      <c r="P136" s="255">
        <v>28.75</v>
      </c>
      <c r="Q136" s="255">
        <v>22.38</v>
      </c>
      <c r="R136" s="255">
        <v>17.02</v>
      </c>
      <c r="S136" s="235"/>
      <c r="T136" s="258">
        <f t="shared" si="15"/>
        <v>21.1566666666667</v>
      </c>
      <c r="U136" s="216"/>
      <c r="AA136" s="229" t="s">
        <v>410</v>
      </c>
      <c r="AB136" s="229">
        <v>2050</v>
      </c>
      <c r="AC136" s="229" t="s">
        <v>416</v>
      </c>
      <c r="AD136" s="229">
        <f t="shared" si="17"/>
        <v>27.2066538166667</v>
      </c>
      <c r="AE136" s="229">
        <f t="shared" si="18"/>
        <v>17.94665315</v>
      </c>
      <c r="AF136" s="229">
        <f t="shared" si="19"/>
        <v>37.0192299</v>
      </c>
      <c r="AG136" s="197"/>
      <c r="AH136" s="197"/>
      <c r="AI136" s="229" t="s">
        <v>410</v>
      </c>
      <c r="AJ136" s="229">
        <v>0</v>
      </c>
      <c r="AK136" s="229" t="s">
        <v>416</v>
      </c>
      <c r="AL136" s="229">
        <v>5</v>
      </c>
      <c r="AM136" s="229">
        <v>5</v>
      </c>
      <c r="AN136" s="229">
        <v>5</v>
      </c>
      <c r="AQ136" s="246" t="s">
        <v>347</v>
      </c>
      <c r="AR136" s="246">
        <v>0.001</v>
      </c>
      <c r="AS136" s="246">
        <v>0.001</v>
      </c>
      <c r="AT136" s="246">
        <v>5</v>
      </c>
    </row>
    <row r="137" ht="13" spans="2:46">
      <c r="B137" s="229" t="s">
        <v>410</v>
      </c>
      <c r="C137" s="230" t="s">
        <v>417</v>
      </c>
      <c r="D137" s="229" cm="1">
        <f t="array" ref="D137">D153-SUMPRODUCT(J149:P149,J161:P161)</f>
        <v>89.5526666666667</v>
      </c>
      <c r="E137" s="229" cm="1">
        <f t="array" ref="E137">E153-SUMPRODUCT(J149:P149,J161:P161)</f>
        <v>59.98948</v>
      </c>
      <c r="F137" s="229" cm="1">
        <f t="array" ref="F137">F153-SUMPRODUCT(J149:P149,J161:P161)</f>
        <v>120.87452</v>
      </c>
      <c r="H137" s="216">
        <f t="shared" si="16"/>
        <v>0.2</v>
      </c>
      <c r="I137" s="235" t="s">
        <v>269</v>
      </c>
      <c r="J137" s="255">
        <v>27.36</v>
      </c>
      <c r="K137" s="255">
        <v>21.29</v>
      </c>
      <c r="L137" s="255">
        <v>16.19</v>
      </c>
      <c r="M137" s="256">
        <v>28.27</v>
      </c>
      <c r="N137" s="256">
        <v>22</v>
      </c>
      <c r="O137" s="256">
        <v>16.73</v>
      </c>
      <c r="P137" s="255">
        <v>30.33</v>
      </c>
      <c r="Q137" s="255">
        <v>23.61</v>
      </c>
      <c r="R137" s="255">
        <v>17.96</v>
      </c>
      <c r="S137" s="235"/>
      <c r="T137" s="258">
        <f t="shared" si="15"/>
        <v>22.3333333333333</v>
      </c>
      <c r="U137" s="216"/>
      <c r="AA137" s="229" t="s">
        <v>410</v>
      </c>
      <c r="AB137" s="229">
        <v>2050</v>
      </c>
      <c r="AC137" s="229" t="s">
        <v>417</v>
      </c>
      <c r="AD137" s="229">
        <f t="shared" si="17"/>
        <v>28.0299846666667</v>
      </c>
      <c r="AE137" s="229">
        <f t="shared" si="18"/>
        <v>18.77670724</v>
      </c>
      <c r="AF137" s="229">
        <f t="shared" si="19"/>
        <v>37.83372476</v>
      </c>
      <c r="AG137" s="197"/>
      <c r="AH137" s="197"/>
      <c r="AI137" s="229" t="s">
        <v>410</v>
      </c>
      <c r="AJ137" s="229">
        <v>0</v>
      </c>
      <c r="AK137" s="229" t="s">
        <v>417</v>
      </c>
      <c r="AL137" s="229">
        <v>5</v>
      </c>
      <c r="AM137" s="229">
        <v>5</v>
      </c>
      <c r="AN137" s="229">
        <v>5</v>
      </c>
      <c r="AQ137" s="246" t="s">
        <v>348</v>
      </c>
      <c r="AR137" s="246">
        <v>0.001</v>
      </c>
      <c r="AS137" s="246">
        <v>0.001</v>
      </c>
      <c r="AT137" s="246">
        <v>5</v>
      </c>
    </row>
    <row r="138" spans="2:46">
      <c r="B138" s="229" t="s">
        <v>410</v>
      </c>
      <c r="C138" s="229" t="s">
        <v>347</v>
      </c>
      <c r="D138" s="229">
        <f>C230*5</f>
        <v>17.8278133136821</v>
      </c>
      <c r="E138" s="229">
        <f>D230*5</f>
        <v>13.5373021370671</v>
      </c>
      <c r="F138" s="229">
        <f>E230*5</f>
        <v>22.1922988209285</v>
      </c>
      <c r="H138" s="216"/>
      <c r="I138" s="216"/>
      <c r="J138" s="216"/>
      <c r="K138" s="216"/>
      <c r="L138" s="216"/>
      <c r="M138" s="216"/>
      <c r="N138" s="216"/>
      <c r="O138" s="216"/>
      <c r="P138" s="216"/>
      <c r="Q138" s="216"/>
      <c r="R138" s="216"/>
      <c r="S138" s="216"/>
      <c r="T138" s="216"/>
      <c r="U138" s="216"/>
      <c r="AA138" s="229" t="s">
        <v>410</v>
      </c>
      <c r="AB138" s="229">
        <v>2050</v>
      </c>
      <c r="AC138" s="229" t="s">
        <v>347</v>
      </c>
      <c r="AD138" s="229">
        <f t="shared" si="17"/>
        <v>5.58010556718251</v>
      </c>
      <c r="AE138" s="229">
        <f t="shared" si="18"/>
        <v>4.23717556890199</v>
      </c>
      <c r="AF138" s="229">
        <f t="shared" si="19"/>
        <v>6.94618953095062</v>
      </c>
      <c r="AG138" s="197"/>
      <c r="AH138" s="197"/>
      <c r="AI138" s="229" t="s">
        <v>410</v>
      </c>
      <c r="AJ138" s="229">
        <v>0</v>
      </c>
      <c r="AK138" s="229" t="s">
        <v>347</v>
      </c>
      <c r="AL138" s="229">
        <v>5</v>
      </c>
      <c r="AM138" s="229">
        <v>5</v>
      </c>
      <c r="AN138" s="229">
        <v>5</v>
      </c>
      <c r="AQ138" s="246" t="s">
        <v>349</v>
      </c>
      <c r="AR138" s="246">
        <v>0.001</v>
      </c>
      <c r="AS138" s="246">
        <v>0.001</v>
      </c>
      <c r="AT138" s="246">
        <v>5</v>
      </c>
    </row>
    <row r="139" spans="2:46">
      <c r="B139" s="229" t="s">
        <v>410</v>
      </c>
      <c r="C139" s="229" t="s">
        <v>348</v>
      </c>
      <c r="D139" s="229">
        <f t="shared" ref="D139:D144" si="20">C231*5</f>
        <v>18.0043854089904</v>
      </c>
      <c r="E139" s="229">
        <f t="shared" ref="E139:E144" si="21">D231*5</f>
        <v>13.6713798820928</v>
      </c>
      <c r="F139" s="229">
        <f t="shared" ref="F139:F144" si="22">E231*5</f>
        <v>22.4120980103169</v>
      </c>
      <c r="H139" s="216"/>
      <c r="I139" s="216"/>
      <c r="J139" s="216"/>
      <c r="K139" s="216"/>
      <c r="L139" s="216"/>
      <c r="M139" s="216"/>
      <c r="N139" s="216"/>
      <c r="O139" s="216"/>
      <c r="P139" s="216"/>
      <c r="Q139" s="216"/>
      <c r="R139" s="216"/>
      <c r="S139" s="216"/>
      <c r="T139" s="216"/>
      <c r="U139" s="216"/>
      <c r="AA139" s="229" t="s">
        <v>410</v>
      </c>
      <c r="AB139" s="229">
        <v>2050</v>
      </c>
      <c r="AC139" s="229" t="s">
        <v>348</v>
      </c>
      <c r="AD139" s="229">
        <f t="shared" si="17"/>
        <v>5.63537263301401</v>
      </c>
      <c r="AE139" s="229">
        <f t="shared" si="18"/>
        <v>4.27914190309506</v>
      </c>
      <c r="AF139" s="229">
        <f t="shared" si="19"/>
        <v>7.01498667722919</v>
      </c>
      <c r="AG139" s="197"/>
      <c r="AH139" s="197"/>
      <c r="AI139" s="229" t="s">
        <v>410</v>
      </c>
      <c r="AJ139" s="229">
        <v>0</v>
      </c>
      <c r="AK139" s="229" t="s">
        <v>348</v>
      </c>
      <c r="AL139" s="229">
        <v>5</v>
      </c>
      <c r="AM139" s="229">
        <v>5</v>
      </c>
      <c r="AN139" s="229">
        <v>5</v>
      </c>
      <c r="AQ139" s="246" t="s">
        <v>350</v>
      </c>
      <c r="AR139" s="246">
        <v>0.001</v>
      </c>
      <c r="AS139" s="246">
        <v>0.001</v>
      </c>
      <c r="AT139" s="246">
        <v>5</v>
      </c>
    </row>
    <row r="140" ht="21" spans="2:46">
      <c r="B140" s="229" t="s">
        <v>410</v>
      </c>
      <c r="C140" s="229" t="s">
        <v>349</v>
      </c>
      <c r="D140" s="229">
        <f t="shared" si="20"/>
        <v>17.8278133136821</v>
      </c>
      <c r="E140" s="229">
        <f t="shared" si="21"/>
        <v>13.5373021370671</v>
      </c>
      <c r="F140" s="229">
        <f t="shared" si="22"/>
        <v>22.1922988209285</v>
      </c>
      <c r="H140" s="216"/>
      <c r="I140" s="216"/>
      <c r="J140" s="257" t="s">
        <v>418</v>
      </c>
      <c r="K140" s="257"/>
      <c r="L140" s="257"/>
      <c r="M140" s="257"/>
      <c r="N140" s="257"/>
      <c r="O140" s="257"/>
      <c r="P140" s="257"/>
      <c r="Q140" s="257"/>
      <c r="R140" s="257"/>
      <c r="S140" s="216"/>
      <c r="T140" s="216"/>
      <c r="U140" s="216"/>
      <c r="AA140" s="229" t="s">
        <v>410</v>
      </c>
      <c r="AB140" s="229">
        <v>2050</v>
      </c>
      <c r="AC140" s="229" t="s">
        <v>349</v>
      </c>
      <c r="AD140" s="229">
        <f t="shared" si="17"/>
        <v>5.58010556718251</v>
      </c>
      <c r="AE140" s="229">
        <f t="shared" si="18"/>
        <v>4.23717556890199</v>
      </c>
      <c r="AF140" s="229">
        <f t="shared" si="19"/>
        <v>6.94618953095062</v>
      </c>
      <c r="AG140" s="197"/>
      <c r="AH140" s="197"/>
      <c r="AI140" s="229" t="s">
        <v>410</v>
      </c>
      <c r="AJ140" s="229">
        <v>0</v>
      </c>
      <c r="AK140" s="229" t="s">
        <v>349</v>
      </c>
      <c r="AL140" s="229">
        <v>5</v>
      </c>
      <c r="AM140" s="229">
        <v>5</v>
      </c>
      <c r="AN140" s="229">
        <v>5</v>
      </c>
      <c r="AQ140" s="246" t="s">
        <v>351</v>
      </c>
      <c r="AR140" s="246">
        <v>0.001</v>
      </c>
      <c r="AS140" s="246">
        <v>0.001</v>
      </c>
      <c r="AT140" s="246">
        <v>5</v>
      </c>
    </row>
    <row r="141" ht="13" spans="2:46">
      <c r="B141" s="229" t="s">
        <v>410</v>
      </c>
      <c r="C141" s="229" t="s">
        <v>350</v>
      </c>
      <c r="D141" s="229">
        <f t="shared" si="20"/>
        <v>17.8322684844019</v>
      </c>
      <c r="E141" s="229">
        <f t="shared" si="21"/>
        <v>13.5406853352985</v>
      </c>
      <c r="F141" s="229">
        <f t="shared" si="22"/>
        <v>22.1978445099484</v>
      </c>
      <c r="H141" s="216"/>
      <c r="I141" s="216" t="s">
        <v>220</v>
      </c>
      <c r="J141" s="216" t="s">
        <v>213</v>
      </c>
      <c r="K141" s="216" t="s">
        <v>221</v>
      </c>
      <c r="L141" s="216" t="s">
        <v>222</v>
      </c>
      <c r="M141" s="216" t="s">
        <v>223</v>
      </c>
      <c r="N141" s="216" t="s">
        <v>224</v>
      </c>
      <c r="O141" s="216" t="s">
        <v>225</v>
      </c>
      <c r="P141" s="216" t="s">
        <v>226</v>
      </c>
      <c r="Q141" s="216"/>
      <c r="R141" s="259" t="s">
        <v>419</v>
      </c>
      <c r="S141" s="216"/>
      <c r="T141" s="216"/>
      <c r="U141" s="216"/>
      <c r="AA141" s="229" t="s">
        <v>410</v>
      </c>
      <c r="AB141" s="229">
        <v>2050</v>
      </c>
      <c r="AC141" s="229" t="s">
        <v>350</v>
      </c>
      <c r="AD141" s="229">
        <f t="shared" si="17"/>
        <v>5.58150003561778</v>
      </c>
      <c r="AE141" s="229">
        <f t="shared" si="18"/>
        <v>4.23823450994842</v>
      </c>
      <c r="AF141" s="229">
        <f t="shared" si="19"/>
        <v>6.94792533161385</v>
      </c>
      <c r="AG141" s="197"/>
      <c r="AH141" s="197"/>
      <c r="AI141" s="229" t="s">
        <v>410</v>
      </c>
      <c r="AJ141" s="229">
        <v>0</v>
      </c>
      <c r="AK141" s="229" t="s">
        <v>350</v>
      </c>
      <c r="AL141" s="229">
        <v>5</v>
      </c>
      <c r="AM141" s="229">
        <v>5</v>
      </c>
      <c r="AN141" s="229">
        <v>5</v>
      </c>
      <c r="AQ141" s="246" t="s">
        <v>352</v>
      </c>
      <c r="AR141" s="246">
        <v>0.001</v>
      </c>
      <c r="AS141" s="246">
        <v>0.001</v>
      </c>
      <c r="AT141" s="246">
        <v>5</v>
      </c>
    </row>
    <row r="142" ht="13" spans="2:46">
      <c r="B142" s="229" t="s">
        <v>410</v>
      </c>
      <c r="C142" s="229" t="s">
        <v>351</v>
      </c>
      <c r="D142" s="229">
        <f t="shared" si="20"/>
        <v>17.8292980840088</v>
      </c>
      <c r="E142" s="229">
        <f t="shared" si="21"/>
        <v>13.5384296241709</v>
      </c>
      <c r="F142" s="229">
        <f t="shared" si="22"/>
        <v>22.1941470154753</v>
      </c>
      <c r="H142" s="216"/>
      <c r="I142" s="216" t="s">
        <v>407</v>
      </c>
      <c r="J142" s="216"/>
      <c r="K142" s="216"/>
      <c r="L142" s="216"/>
      <c r="M142" s="216"/>
      <c r="N142" s="216"/>
      <c r="O142" s="216"/>
      <c r="P142" s="216"/>
      <c r="Q142" s="216"/>
      <c r="R142" s="259"/>
      <c r="S142" s="216"/>
      <c r="T142" s="216"/>
      <c r="U142" s="216"/>
      <c r="AA142" s="229" t="s">
        <v>410</v>
      </c>
      <c r="AB142" s="229">
        <v>2050</v>
      </c>
      <c r="AC142" s="229" t="s">
        <v>351</v>
      </c>
      <c r="AD142" s="229">
        <f t="shared" si="17"/>
        <v>5.58057030029476</v>
      </c>
      <c r="AE142" s="229">
        <f t="shared" si="18"/>
        <v>4.23752847236551</v>
      </c>
      <c r="AF142" s="229">
        <f t="shared" si="19"/>
        <v>6.94676801584377</v>
      </c>
      <c r="AG142" s="197"/>
      <c r="AH142" s="197"/>
      <c r="AI142" s="229" t="s">
        <v>410</v>
      </c>
      <c r="AJ142" s="229">
        <v>0</v>
      </c>
      <c r="AK142" s="229" t="s">
        <v>351</v>
      </c>
      <c r="AL142" s="229">
        <v>5</v>
      </c>
      <c r="AM142" s="229">
        <v>5</v>
      </c>
      <c r="AN142" s="229">
        <v>5</v>
      </c>
      <c r="AQ142" s="246" t="s">
        <v>353</v>
      </c>
      <c r="AR142" s="246">
        <v>0.001</v>
      </c>
      <c r="AS142" s="246">
        <v>0.001</v>
      </c>
      <c r="AT142" s="246">
        <v>5</v>
      </c>
    </row>
    <row r="143" ht="13" spans="2:40">
      <c r="B143" s="229" t="s">
        <v>410</v>
      </c>
      <c r="C143" s="229" t="s">
        <v>352</v>
      </c>
      <c r="D143" s="229">
        <f t="shared" si="20"/>
        <v>17.8278133136821</v>
      </c>
      <c r="E143" s="229">
        <f t="shared" si="21"/>
        <v>13.5373021370671</v>
      </c>
      <c r="F143" s="229">
        <f t="shared" si="22"/>
        <v>22.1922988209285</v>
      </c>
      <c r="H143" s="216"/>
      <c r="I143" s="216" t="s">
        <v>406</v>
      </c>
      <c r="J143" s="216">
        <v>0.095</v>
      </c>
      <c r="K143" s="216">
        <v>0</v>
      </c>
      <c r="L143" s="216">
        <v>0</v>
      </c>
      <c r="M143" s="216">
        <v>0</v>
      </c>
      <c r="N143" s="216">
        <v>3.528</v>
      </c>
      <c r="O143" s="216">
        <v>0.946</v>
      </c>
      <c r="P143" s="216">
        <v>1.085</v>
      </c>
      <c r="Q143" s="216"/>
      <c r="R143" s="259">
        <f t="shared" ref="R143:R149" si="23">SUM(J143:P143)</f>
        <v>5.654</v>
      </c>
      <c r="S143" s="216"/>
      <c r="T143" s="216"/>
      <c r="U143" s="216"/>
      <c r="AA143" s="229" t="s">
        <v>410</v>
      </c>
      <c r="AB143" s="229">
        <v>2050</v>
      </c>
      <c r="AC143" s="229" t="s">
        <v>352</v>
      </c>
      <c r="AD143" s="229">
        <f t="shared" si="17"/>
        <v>5.58010556718251</v>
      </c>
      <c r="AE143" s="229">
        <f t="shared" si="18"/>
        <v>4.23717556890199</v>
      </c>
      <c r="AF143" s="229">
        <f t="shared" si="19"/>
        <v>6.94618953095062</v>
      </c>
      <c r="AG143" s="197"/>
      <c r="AH143" s="197"/>
      <c r="AI143" s="229" t="s">
        <v>410</v>
      </c>
      <c r="AJ143" s="229">
        <v>0</v>
      </c>
      <c r="AK143" s="229" t="s">
        <v>352</v>
      </c>
      <c r="AL143" s="229">
        <v>5</v>
      </c>
      <c r="AM143" s="229">
        <v>5</v>
      </c>
      <c r="AN143" s="229">
        <v>5</v>
      </c>
    </row>
    <row r="144" ht="13" spans="2:40">
      <c r="B144" s="229" t="s">
        <v>410</v>
      </c>
      <c r="C144" s="229" t="s">
        <v>353</v>
      </c>
      <c r="D144" s="229">
        <f t="shared" si="20"/>
        <v>17.8248445099484</v>
      </c>
      <c r="E144" s="229">
        <f t="shared" si="21"/>
        <v>13.5350478997789</v>
      </c>
      <c r="F144" s="229">
        <f t="shared" si="22"/>
        <v>22.1886031687546</v>
      </c>
      <c r="H144" s="216"/>
      <c r="I144" s="216" t="s">
        <v>409</v>
      </c>
      <c r="J144" s="216">
        <v>0.106</v>
      </c>
      <c r="K144" s="216">
        <v>0</v>
      </c>
      <c r="L144" s="216">
        <v>0</v>
      </c>
      <c r="M144" s="216">
        <v>1.396</v>
      </c>
      <c r="N144" s="216">
        <v>3.369</v>
      </c>
      <c r="O144" s="216">
        <v>0.863</v>
      </c>
      <c r="P144" s="216">
        <v>0.911</v>
      </c>
      <c r="Q144" s="216"/>
      <c r="R144" s="259">
        <f t="shared" si="23"/>
        <v>6.645</v>
      </c>
      <c r="S144" s="216"/>
      <c r="T144" s="216"/>
      <c r="U144" s="216"/>
      <c r="AA144" s="229" t="s">
        <v>410</v>
      </c>
      <c r="AB144" s="229">
        <v>2050</v>
      </c>
      <c r="AC144" s="229" t="s">
        <v>353</v>
      </c>
      <c r="AD144" s="229">
        <f t="shared" si="17"/>
        <v>5.57917633161385</v>
      </c>
      <c r="AE144" s="229">
        <f t="shared" si="18"/>
        <v>4.2364699926308</v>
      </c>
      <c r="AF144" s="229">
        <f t="shared" si="19"/>
        <v>6.94503279182019</v>
      </c>
      <c r="AG144" s="197"/>
      <c r="AH144" s="197"/>
      <c r="AI144" s="229" t="s">
        <v>410</v>
      </c>
      <c r="AJ144" s="229">
        <v>0</v>
      </c>
      <c r="AK144" s="229" t="s">
        <v>353</v>
      </c>
      <c r="AL144" s="229">
        <v>5</v>
      </c>
      <c r="AM144" s="229">
        <v>5</v>
      </c>
      <c r="AN144" s="229">
        <v>5</v>
      </c>
    </row>
    <row r="145" ht="13" spans="2:34">
      <c r="B145" s="229"/>
      <c r="C145" s="229"/>
      <c r="D145" s="229"/>
      <c r="E145" s="229"/>
      <c r="F145" s="229"/>
      <c r="H145" s="216"/>
      <c r="I145" s="216" t="s">
        <v>412</v>
      </c>
      <c r="J145" s="216">
        <v>0.102</v>
      </c>
      <c r="K145" s="216">
        <v>0.672</v>
      </c>
      <c r="L145" s="216">
        <v>0.127</v>
      </c>
      <c r="M145" s="216">
        <v>0</v>
      </c>
      <c r="N145" s="216">
        <v>2.92</v>
      </c>
      <c r="O145" s="216">
        <v>0.564</v>
      </c>
      <c r="P145" s="216">
        <v>0.978</v>
      </c>
      <c r="Q145" s="216"/>
      <c r="R145" s="259">
        <f t="shared" si="23"/>
        <v>5.363</v>
      </c>
      <c r="S145" s="216"/>
      <c r="T145" s="216"/>
      <c r="U145" s="216"/>
      <c r="AG145" s="197"/>
      <c r="AH145" s="197"/>
    </row>
    <row r="146" ht="13" spans="2:34">
      <c r="B146" s="229"/>
      <c r="C146" s="229"/>
      <c r="D146" s="229"/>
      <c r="E146" s="229"/>
      <c r="F146" s="229"/>
      <c r="H146" s="216"/>
      <c r="I146" s="216" t="s">
        <v>414</v>
      </c>
      <c r="J146" s="216">
        <v>0.141</v>
      </c>
      <c r="K146" s="216">
        <v>0.351</v>
      </c>
      <c r="L146" s="216">
        <v>0.352</v>
      </c>
      <c r="M146" s="216">
        <v>0.328</v>
      </c>
      <c r="N146" s="216">
        <v>3.11</v>
      </c>
      <c r="O146" s="216">
        <v>0.677</v>
      </c>
      <c r="P146" s="216">
        <v>0.978</v>
      </c>
      <c r="Q146" s="216"/>
      <c r="R146" s="259">
        <f t="shared" si="23"/>
        <v>5.937</v>
      </c>
      <c r="S146" s="216"/>
      <c r="T146" s="216"/>
      <c r="U146" s="216"/>
      <c r="AG146" s="197"/>
      <c r="AH146" s="197"/>
    </row>
    <row r="147" ht="13" spans="2:21">
      <c r="B147" s="229"/>
      <c r="C147" s="229"/>
      <c r="D147" s="230">
        <f>T131*R143</f>
        <v>99.0769266666667</v>
      </c>
      <c r="E147" s="250">
        <f>O131*R143</f>
        <v>74.18048</v>
      </c>
      <c r="F147" s="251">
        <f>M131*R143</f>
        <v>125.5188</v>
      </c>
      <c r="H147" s="216"/>
      <c r="I147" s="216" t="s">
        <v>415</v>
      </c>
      <c r="J147" s="216">
        <v>0.136</v>
      </c>
      <c r="K147" s="216">
        <v>0.508</v>
      </c>
      <c r="L147" s="216">
        <v>0.204</v>
      </c>
      <c r="M147" s="216">
        <v>0.285</v>
      </c>
      <c r="N147" s="216">
        <v>3.07</v>
      </c>
      <c r="O147" s="216">
        <v>0.661</v>
      </c>
      <c r="P147" s="216">
        <v>0.981</v>
      </c>
      <c r="Q147" s="216"/>
      <c r="R147" s="259">
        <f t="shared" si="23"/>
        <v>5.845</v>
      </c>
      <c r="S147" s="216"/>
      <c r="T147" s="216"/>
      <c r="U147" s="216"/>
    </row>
    <row r="148" ht="13" spans="2:21">
      <c r="B148" s="229"/>
      <c r="C148" s="229"/>
      <c r="D148" s="230">
        <f t="shared" ref="D148:D153" si="24">T132*R144</f>
        <v>115.8002</v>
      </c>
      <c r="E148" s="250">
        <f t="shared" ref="E148:E153" si="25">O132*R144</f>
        <v>86.71725</v>
      </c>
      <c r="F148" s="251">
        <f t="shared" ref="F148:F153" si="26">M132*R144</f>
        <v>146.65515</v>
      </c>
      <c r="H148" s="216"/>
      <c r="I148" s="216" t="s">
        <v>416</v>
      </c>
      <c r="J148" s="216">
        <v>0.118</v>
      </c>
      <c r="K148" s="216">
        <v>0.531</v>
      </c>
      <c r="L148" s="216">
        <v>0.178</v>
      </c>
      <c r="M148" s="216">
        <v>0.166</v>
      </c>
      <c r="N148" s="216">
        <v>3.017</v>
      </c>
      <c r="O148" s="216">
        <v>0.605</v>
      </c>
      <c r="P148" s="216">
        <v>0.96</v>
      </c>
      <c r="Q148" s="216"/>
      <c r="R148" s="259">
        <f t="shared" si="23"/>
        <v>5.575</v>
      </c>
      <c r="S148" s="216"/>
      <c r="T148" s="216"/>
      <c r="U148" s="216"/>
    </row>
    <row r="149" ht="13" spans="2:21">
      <c r="B149" s="229"/>
      <c r="C149" s="229"/>
      <c r="D149" s="230">
        <f t="shared" si="24"/>
        <v>116.609496666667</v>
      </c>
      <c r="E149" s="250">
        <f t="shared" si="25"/>
        <v>87.36327</v>
      </c>
      <c r="F149" s="251">
        <f t="shared" si="26"/>
        <v>147.58976</v>
      </c>
      <c r="H149" s="216"/>
      <c r="I149" s="216" t="s">
        <v>417</v>
      </c>
      <c r="J149" s="216">
        <v>0.1</v>
      </c>
      <c r="K149" s="216">
        <v>0.6</v>
      </c>
      <c r="L149" s="216">
        <v>0.075</v>
      </c>
      <c r="M149" s="216">
        <v>0.07</v>
      </c>
      <c r="N149" s="216">
        <v>2.921</v>
      </c>
      <c r="O149" s="216">
        <v>0.549</v>
      </c>
      <c r="P149" s="216">
        <v>0.961</v>
      </c>
      <c r="Q149" s="216"/>
      <c r="R149" s="259">
        <f t="shared" si="23"/>
        <v>5.276</v>
      </c>
      <c r="S149" s="216"/>
      <c r="T149" s="216"/>
      <c r="U149" s="216"/>
    </row>
    <row r="150" ht="14.5" spans="2:6">
      <c r="B150" s="227"/>
      <c r="C150" s="227"/>
      <c r="D150" s="230">
        <f t="shared" si="24"/>
        <v>119.49202</v>
      </c>
      <c r="E150" s="250">
        <f t="shared" si="25"/>
        <v>89.52996</v>
      </c>
      <c r="F150" s="251">
        <f t="shared" si="26"/>
        <v>151.27476</v>
      </c>
    </row>
    <row r="151" customFormat="1" ht="14.5" spans="2:43">
      <c r="B151" s="227"/>
      <c r="C151" s="227"/>
      <c r="D151" s="230">
        <f t="shared" si="24"/>
        <v>122.491716666667</v>
      </c>
      <c r="E151" s="250">
        <f t="shared" si="25"/>
        <v>91.7665</v>
      </c>
      <c r="F151" s="251">
        <f t="shared" si="26"/>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18">
      <c r="B152" s="227"/>
      <c r="C152" s="227"/>
      <c r="D152" s="230">
        <f t="shared" si="24"/>
        <v>117.948416666667</v>
      </c>
      <c r="E152" s="250">
        <f t="shared" si="25"/>
        <v>88.36375</v>
      </c>
      <c r="F152" s="251">
        <f t="shared" si="26"/>
        <v>149.2985</v>
      </c>
      <c r="J152" s="257" t="s">
        <v>420</v>
      </c>
      <c r="K152" s="257"/>
      <c r="L152" s="257"/>
      <c r="M152" s="257"/>
      <c r="N152" s="257"/>
      <c r="O152" s="257"/>
      <c r="P152" s="257"/>
      <c r="Q152" s="257"/>
      <c r="R152" s="257"/>
    </row>
    <row r="153" customFormat="1" ht="14.5" spans="2:10">
      <c r="B153" s="227"/>
      <c r="C153" s="227"/>
      <c r="D153" s="230">
        <f t="shared" si="24"/>
        <v>117.830666666667</v>
      </c>
      <c r="E153" s="250">
        <f t="shared" si="25"/>
        <v>88.26748</v>
      </c>
      <c r="F153" s="251">
        <f t="shared" si="26"/>
        <v>149.15252</v>
      </c>
      <c r="I153" t="s">
        <v>220</v>
      </c>
      <c r="J153" t="s">
        <v>421</v>
      </c>
    </row>
    <row r="154" customFormat="1" ht="14.5" spans="2:16">
      <c r="B154" s="199"/>
      <c r="C154" s="199"/>
      <c r="D154" s="199"/>
      <c r="E154" s="199"/>
      <c r="I154" t="s">
        <v>300</v>
      </c>
      <c r="J154" t="s">
        <v>213</v>
      </c>
      <c r="K154" t="s">
        <v>221</v>
      </c>
      <c r="L154" t="s">
        <v>222</v>
      </c>
      <c r="M154" t="s">
        <v>223</v>
      </c>
      <c r="N154" t="s">
        <v>224</v>
      </c>
      <c r="O154" t="s">
        <v>225</v>
      </c>
      <c r="P154" t="s">
        <v>226</v>
      </c>
    </row>
    <row r="155" customFormat="1" ht="14.5" spans="2:16">
      <c r="B155" s="199"/>
      <c r="C155" s="199"/>
      <c r="D155" s="199"/>
      <c r="E155" s="199"/>
      <c r="I155" t="s">
        <v>301</v>
      </c>
      <c r="J155">
        <v>12.85</v>
      </c>
      <c r="K155">
        <v>20</v>
      </c>
      <c r="L155">
        <v>29.3</v>
      </c>
      <c r="M155">
        <v>2</v>
      </c>
      <c r="N155">
        <v>2.5</v>
      </c>
      <c r="O155">
        <v>8</v>
      </c>
      <c r="P155">
        <v>1</v>
      </c>
    </row>
    <row r="156" customFormat="1" ht="14.5" spans="2:43">
      <c r="B156" s="199"/>
      <c r="C156" s="199"/>
      <c r="D156" s="199"/>
      <c r="E156" s="199"/>
      <c r="J156">
        <f>J155</f>
        <v>12.85</v>
      </c>
      <c r="K156">
        <f t="shared" ref="K156:P156" si="27">K155</f>
        <v>20</v>
      </c>
      <c r="L156">
        <f t="shared" si="27"/>
        <v>29.3</v>
      </c>
      <c r="M156">
        <f t="shared" si="27"/>
        <v>2</v>
      </c>
      <c r="N156">
        <f t="shared" si="27"/>
        <v>2.5</v>
      </c>
      <c r="O156">
        <f t="shared" si="27"/>
        <v>8</v>
      </c>
      <c r="P156">
        <f t="shared" si="27"/>
        <v>1</v>
      </c>
      <c r="T156" s="199"/>
      <c r="U156" s="199"/>
      <c r="V156" s="199"/>
      <c r="W156" s="199"/>
      <c r="Y156" s="175"/>
      <c r="Z156" s="348" t="s">
        <v>72</v>
      </c>
      <c r="AA156" s="348"/>
      <c r="AB156" s="348"/>
      <c r="AC156" s="348"/>
      <c r="AD156" s="348"/>
      <c r="AE156" s="348"/>
      <c r="AF156" s="348"/>
      <c r="AG156" s="348"/>
      <c r="AI156" s="245" t="s">
        <v>173</v>
      </c>
      <c r="AJ156" s="245"/>
      <c r="AK156" s="245"/>
      <c r="AL156" s="245"/>
      <c r="AM156" s="245"/>
      <c r="AN156" s="245"/>
      <c r="AO156" s="245"/>
      <c r="AP156" s="245"/>
      <c r="AQ156" s="245"/>
    </row>
    <row r="157" customFormat="1" ht="14.5" spans="10:43">
      <c r="J157">
        <f t="shared" ref="J157:P157" si="28">J156</f>
        <v>12.85</v>
      </c>
      <c r="K157">
        <f t="shared" si="28"/>
        <v>20</v>
      </c>
      <c r="L157">
        <f t="shared" si="28"/>
        <v>29.3</v>
      </c>
      <c r="M157">
        <f t="shared" si="28"/>
        <v>2</v>
      </c>
      <c r="N157">
        <f t="shared" si="28"/>
        <v>2.5</v>
      </c>
      <c r="O157">
        <f t="shared" si="28"/>
        <v>8</v>
      </c>
      <c r="P157">
        <f t="shared" si="28"/>
        <v>1</v>
      </c>
      <c r="T157" s="199"/>
      <c r="U157" s="199"/>
      <c r="V157" s="199"/>
      <c r="W157" s="199"/>
      <c r="Y157" s="175"/>
      <c r="Z157" s="348" t="s">
        <v>78</v>
      </c>
      <c r="AA157" s="348" t="s">
        <v>79</v>
      </c>
      <c r="AB157" s="348" t="s">
        <v>80</v>
      </c>
      <c r="AC157" s="348" t="s">
        <v>81</v>
      </c>
      <c r="AD157" s="348" t="s">
        <v>82</v>
      </c>
      <c r="AE157" s="348" t="s">
        <v>175</v>
      </c>
      <c r="AF157" s="348" t="s">
        <v>176</v>
      </c>
      <c r="AG157" s="348" t="s">
        <v>177</v>
      </c>
      <c r="AI157" s="245" t="s">
        <v>178</v>
      </c>
      <c r="AJ157" s="245" t="s">
        <v>179</v>
      </c>
      <c r="AK157" s="245" t="s">
        <v>180</v>
      </c>
      <c r="AL157" s="245" t="s">
        <v>181</v>
      </c>
      <c r="AM157" s="245" t="s">
        <v>182</v>
      </c>
      <c r="AN157" s="245" t="s">
        <v>183</v>
      </c>
      <c r="AO157" s="245" t="s">
        <v>184</v>
      </c>
      <c r="AP157" s="245" t="s">
        <v>185</v>
      </c>
      <c r="AQ157" s="245" t="s">
        <v>186</v>
      </c>
    </row>
    <row r="158" customFormat="1" ht="16" spans="10:43">
      <c r="J158">
        <f t="shared" ref="J158:P158" si="29">J157</f>
        <v>12.85</v>
      </c>
      <c r="K158">
        <f t="shared" si="29"/>
        <v>20</v>
      </c>
      <c r="L158">
        <f t="shared" si="29"/>
        <v>29.3</v>
      </c>
      <c r="M158">
        <f t="shared" si="29"/>
        <v>2</v>
      </c>
      <c r="N158">
        <f t="shared" si="29"/>
        <v>2.5</v>
      </c>
      <c r="O158">
        <f t="shared" si="29"/>
        <v>8</v>
      </c>
      <c r="P158">
        <f t="shared" si="29"/>
        <v>1</v>
      </c>
      <c r="T158" s="199"/>
      <c r="U158" s="199"/>
      <c r="V158" s="199"/>
      <c r="W158" s="199"/>
      <c r="Y158" s="175"/>
      <c r="Z158" s="349" t="s">
        <v>422</v>
      </c>
      <c r="AA158" s="348" t="s">
        <v>363</v>
      </c>
      <c r="AB158" s="348" t="s">
        <v>423</v>
      </c>
      <c r="AC158" s="348" t="s">
        <v>424</v>
      </c>
      <c r="AD158" s="348" t="s">
        <v>425</v>
      </c>
      <c r="AE158" s="348" t="s">
        <v>211</v>
      </c>
      <c r="AF158" s="348"/>
      <c r="AG158" s="348"/>
      <c r="AI158" s="245" t="s">
        <v>212</v>
      </c>
      <c r="AJ158" s="245" t="s">
        <v>355</v>
      </c>
      <c r="AK158" s="245"/>
      <c r="AL158" s="245"/>
      <c r="AM158" s="245"/>
      <c r="AN158" s="245"/>
      <c r="AO158" s="245"/>
      <c r="AP158" s="245"/>
      <c r="AQ158" s="245" t="s">
        <v>291</v>
      </c>
    </row>
    <row r="159" customFormat="1" ht="14.5" spans="10:43">
      <c r="J159">
        <f t="shared" ref="J159:P159" si="30">J158</f>
        <v>12.85</v>
      </c>
      <c r="K159">
        <f t="shared" si="30"/>
        <v>20</v>
      </c>
      <c r="L159">
        <f t="shared" si="30"/>
        <v>29.3</v>
      </c>
      <c r="M159">
        <f t="shared" si="30"/>
        <v>2</v>
      </c>
      <c r="N159">
        <f t="shared" si="30"/>
        <v>2.5</v>
      </c>
      <c r="O159">
        <f t="shared" si="30"/>
        <v>8</v>
      </c>
      <c r="P159">
        <f t="shared" si="30"/>
        <v>1</v>
      </c>
      <c r="T159" s="199"/>
      <c r="U159" s="199"/>
      <c r="V159" s="199"/>
      <c r="W159" s="199"/>
      <c r="Y159" s="175"/>
      <c r="Z159" s="246"/>
      <c r="AA159" s="348" t="s">
        <v>364</v>
      </c>
      <c r="AB159" s="348" t="s">
        <v>423</v>
      </c>
      <c r="AC159" s="348" t="s">
        <v>424</v>
      </c>
      <c r="AD159" s="348" t="s">
        <v>425</v>
      </c>
      <c r="AE159" s="348" t="s">
        <v>211</v>
      </c>
      <c r="AF159" s="246"/>
      <c r="AG159" s="246"/>
      <c r="AI159" s="245"/>
      <c r="AJ159" s="245" t="s">
        <v>356</v>
      </c>
      <c r="AK159" s="245"/>
      <c r="AL159" s="245"/>
      <c r="AM159" s="245"/>
      <c r="AN159" s="245"/>
      <c r="AO159" s="245"/>
      <c r="AP159" s="245"/>
      <c r="AQ159" s="245" t="s">
        <v>291</v>
      </c>
    </row>
    <row r="160" customFormat="1" ht="14.5" spans="2:43">
      <c r="B160" s="245" t="s">
        <v>354</v>
      </c>
      <c r="C160" s="245"/>
      <c r="D160" s="245"/>
      <c r="E160" s="198"/>
      <c r="F160" s="198"/>
      <c r="G160" s="198"/>
      <c r="H160" s="198"/>
      <c r="I160" s="198"/>
      <c r="J160">
        <f t="shared" ref="J160:P160" si="31">J159</f>
        <v>12.85</v>
      </c>
      <c r="K160">
        <f t="shared" si="31"/>
        <v>20</v>
      </c>
      <c r="L160">
        <f t="shared" si="31"/>
        <v>29.3</v>
      </c>
      <c r="M160">
        <f t="shared" si="31"/>
        <v>2</v>
      </c>
      <c r="N160">
        <f t="shared" si="31"/>
        <v>2.5</v>
      </c>
      <c r="O160">
        <f t="shared" si="31"/>
        <v>8</v>
      </c>
      <c r="P160">
        <f t="shared" si="31"/>
        <v>1</v>
      </c>
      <c r="Q160" s="226"/>
      <c r="R160" s="198"/>
      <c r="S160" s="198"/>
      <c r="T160" s="198"/>
      <c r="U160" s="198"/>
      <c r="V160" s="198"/>
      <c r="W160" s="197"/>
      <c r="Y160" s="175"/>
      <c r="Z160" s="246"/>
      <c r="AA160" s="348" t="s">
        <v>365</v>
      </c>
      <c r="AB160" s="348" t="s">
        <v>423</v>
      </c>
      <c r="AC160" s="348" t="s">
        <v>424</v>
      </c>
      <c r="AD160" s="348" t="s">
        <v>425</v>
      </c>
      <c r="AE160" s="348" t="s">
        <v>211</v>
      </c>
      <c r="AF160" s="246"/>
      <c r="AG160" s="246"/>
      <c r="AI160" s="245"/>
      <c r="AJ160" s="245" t="s">
        <v>357</v>
      </c>
      <c r="AK160" s="245"/>
      <c r="AL160" s="245"/>
      <c r="AM160" s="245"/>
      <c r="AN160" s="245"/>
      <c r="AO160" s="245"/>
      <c r="AP160" s="245"/>
      <c r="AQ160" s="245" t="s">
        <v>291</v>
      </c>
    </row>
    <row r="161" customFormat="1" ht="14.5" spans="2:43">
      <c r="B161" s="245" t="s">
        <v>220</v>
      </c>
      <c r="C161" s="245" t="s">
        <v>426</v>
      </c>
      <c r="D161" s="245" t="s">
        <v>427</v>
      </c>
      <c r="E161" s="198"/>
      <c r="F161" s="198"/>
      <c r="G161" s="198"/>
      <c r="H161" s="198"/>
      <c r="I161" s="198"/>
      <c r="J161">
        <f t="shared" ref="J161:P161" si="32">J160</f>
        <v>12.85</v>
      </c>
      <c r="K161">
        <f t="shared" si="32"/>
        <v>20</v>
      </c>
      <c r="L161">
        <f t="shared" si="32"/>
        <v>29.3</v>
      </c>
      <c r="M161">
        <f t="shared" si="32"/>
        <v>2</v>
      </c>
      <c r="N161">
        <f t="shared" si="32"/>
        <v>2.5</v>
      </c>
      <c r="O161">
        <f t="shared" si="32"/>
        <v>8</v>
      </c>
      <c r="P161">
        <f t="shared" si="32"/>
        <v>1</v>
      </c>
      <c r="U161" s="198"/>
      <c r="V161" s="198"/>
      <c r="W161" s="197"/>
      <c r="Y161" s="175"/>
      <c r="Z161" s="246"/>
      <c r="AA161" s="348" t="s">
        <v>366</v>
      </c>
      <c r="AB161" s="348" t="s">
        <v>423</v>
      </c>
      <c r="AC161" s="348" t="s">
        <v>424</v>
      </c>
      <c r="AD161" s="348" t="s">
        <v>425</v>
      </c>
      <c r="AE161" s="348" t="s">
        <v>211</v>
      </c>
      <c r="AF161" s="246"/>
      <c r="AG161" s="246"/>
      <c r="AI161" s="245"/>
      <c r="AJ161" s="245" t="s">
        <v>358</v>
      </c>
      <c r="AK161" s="245"/>
      <c r="AL161" s="245"/>
      <c r="AM161" s="245"/>
      <c r="AN161" s="245"/>
      <c r="AO161" s="245"/>
      <c r="AP161" s="245"/>
      <c r="AQ161" s="245" t="s">
        <v>291</v>
      </c>
    </row>
    <row r="162" customFormat="1" ht="14.5" spans="2:43">
      <c r="B162" s="245" t="s">
        <v>299</v>
      </c>
      <c r="C162" s="245" t="s">
        <v>428</v>
      </c>
      <c r="D162" s="245">
        <v>1</v>
      </c>
      <c r="E162" s="198"/>
      <c r="F162" s="198"/>
      <c r="G162" s="198"/>
      <c r="H162" s="198"/>
      <c r="I162" s="198"/>
      <c r="U162" s="198"/>
      <c r="V162" s="198"/>
      <c r="W162" s="197"/>
      <c r="Y162" s="175"/>
      <c r="Z162" s="246"/>
      <c r="AA162" s="348" t="s">
        <v>367</v>
      </c>
      <c r="AB162" s="348" t="s">
        <v>423</v>
      </c>
      <c r="AC162" s="348" t="s">
        <v>424</v>
      </c>
      <c r="AD162" s="348" t="s">
        <v>425</v>
      </c>
      <c r="AE162" s="348" t="s">
        <v>211</v>
      </c>
      <c r="AF162" s="246"/>
      <c r="AG162" s="246"/>
      <c r="AH162" s="205"/>
      <c r="AI162" s="245"/>
      <c r="AJ162" s="245" t="s">
        <v>359</v>
      </c>
      <c r="AK162" s="245"/>
      <c r="AL162" s="245"/>
      <c r="AM162" s="245"/>
      <c r="AN162" s="245"/>
      <c r="AO162" s="245"/>
      <c r="AP162" s="245"/>
      <c r="AQ162" s="245" t="s">
        <v>291</v>
      </c>
    </row>
    <row r="163" customFormat="1" ht="14.5" spans="2:43">
      <c r="B163" s="245" t="s">
        <v>303</v>
      </c>
      <c r="C163" s="245" t="s">
        <v>429</v>
      </c>
      <c r="D163" s="245">
        <v>1</v>
      </c>
      <c r="E163" s="198"/>
      <c r="F163" s="198"/>
      <c r="G163" s="198"/>
      <c r="H163" s="198"/>
      <c r="I163" s="198"/>
      <c r="U163" s="198"/>
      <c r="V163" s="198"/>
      <c r="W163" s="197"/>
      <c r="Y163" s="175"/>
      <c r="Z163" s="246"/>
      <c r="AA163" s="348" t="s">
        <v>368</v>
      </c>
      <c r="AB163" s="348" t="s">
        <v>423</v>
      </c>
      <c r="AC163" s="348" t="s">
        <v>424</v>
      </c>
      <c r="AD163" s="348" t="s">
        <v>425</v>
      </c>
      <c r="AE163" s="348" t="s">
        <v>211</v>
      </c>
      <c r="AF163" s="246"/>
      <c r="AG163" s="246"/>
      <c r="AH163" s="205"/>
      <c r="AI163" s="245"/>
      <c r="AJ163" s="245" t="s">
        <v>360</v>
      </c>
      <c r="AK163" s="245"/>
      <c r="AL163" s="245"/>
      <c r="AM163" s="245"/>
      <c r="AN163" s="245"/>
      <c r="AO163" s="245"/>
      <c r="AP163" s="245"/>
      <c r="AQ163" s="245" t="s">
        <v>291</v>
      </c>
    </row>
    <row r="164" customFormat="1" ht="14.5" spans="2:43">
      <c r="B164" s="245" t="s">
        <v>306</v>
      </c>
      <c r="C164" s="245" t="s">
        <v>430</v>
      </c>
      <c r="D164" s="245">
        <v>1</v>
      </c>
      <c r="E164" s="198"/>
      <c r="F164" s="198"/>
      <c r="G164" s="198"/>
      <c r="H164" s="198"/>
      <c r="I164" s="198"/>
      <c r="U164" s="198"/>
      <c r="V164" s="198"/>
      <c r="W164" s="197"/>
      <c r="Y164" s="175"/>
      <c r="Z164" s="246"/>
      <c r="AA164" s="348" t="s">
        <v>369</v>
      </c>
      <c r="AB164" s="348" t="s">
        <v>423</v>
      </c>
      <c r="AC164" s="348" t="s">
        <v>424</v>
      </c>
      <c r="AD164" s="348" t="s">
        <v>425</v>
      </c>
      <c r="AE164" s="348" t="s">
        <v>211</v>
      </c>
      <c r="AF164" s="246"/>
      <c r="AG164" s="246"/>
      <c r="AH164" s="205"/>
      <c r="AI164" s="245"/>
      <c r="AJ164" s="245" t="s">
        <v>361</v>
      </c>
      <c r="AK164" s="245"/>
      <c r="AL164" s="245"/>
      <c r="AM164" s="245"/>
      <c r="AN164" s="245"/>
      <c r="AO164" s="245"/>
      <c r="AP164" s="245"/>
      <c r="AQ164" s="245" t="s">
        <v>291</v>
      </c>
    </row>
    <row r="165" customFormat="1" ht="14.5" spans="2:43">
      <c r="B165" s="245" t="s">
        <v>308</v>
      </c>
      <c r="C165" s="245" t="s">
        <v>431</v>
      </c>
      <c r="D165" s="245">
        <v>1</v>
      </c>
      <c r="E165" s="198"/>
      <c r="F165" s="198"/>
      <c r="G165" s="198"/>
      <c r="H165" s="198"/>
      <c r="I165" s="198"/>
      <c r="U165" s="198"/>
      <c r="V165" s="198"/>
      <c r="W165" s="197"/>
      <c r="Y165" s="175"/>
      <c r="Z165" s="246"/>
      <c r="AA165" s="246" t="s">
        <v>370</v>
      </c>
      <c r="AB165" s="246" t="s">
        <v>432</v>
      </c>
      <c r="AC165" s="348" t="s">
        <v>424</v>
      </c>
      <c r="AD165" s="348" t="s">
        <v>425</v>
      </c>
      <c r="AE165" s="246" t="str">
        <f>AE164</f>
        <v>DAYNITE</v>
      </c>
      <c r="AF165" s="246"/>
      <c r="AG165" s="246"/>
      <c r="AH165" s="199"/>
      <c r="AI165" s="245"/>
      <c r="AJ165" s="245" t="s">
        <v>428</v>
      </c>
      <c r="AK165" s="245"/>
      <c r="AL165" s="245"/>
      <c r="AM165" s="245"/>
      <c r="AN165" s="245"/>
      <c r="AO165" s="245"/>
      <c r="AP165" s="245"/>
      <c r="AQ165" s="245" t="s">
        <v>291</v>
      </c>
    </row>
    <row r="166" s="199" customFormat="1" ht="14.5" spans="2:60">
      <c r="B166" s="245" t="s">
        <v>310</v>
      </c>
      <c r="C166" s="245" t="s">
        <v>433</v>
      </c>
      <c r="D166" s="245">
        <v>1</v>
      </c>
      <c r="E166" s="198"/>
      <c r="F166" s="198"/>
      <c r="G166" s="198"/>
      <c r="H166" s="198"/>
      <c r="I166" s="198"/>
      <c r="U166" s="198"/>
      <c r="V166" s="198"/>
      <c r="W166" s="197"/>
      <c r="Y166" s="175"/>
      <c r="Z166" s="246"/>
      <c r="AA166" s="246" t="s">
        <v>371</v>
      </c>
      <c r="AB166" s="246" t="s">
        <v>432</v>
      </c>
      <c r="AC166" s="348" t="s">
        <v>424</v>
      </c>
      <c r="AD166" s="348" t="s">
        <v>425</v>
      </c>
      <c r="AE166" s="246" t="str">
        <f t="shared" ref="AE166:AE172" si="33">AE165</f>
        <v>DAYNITE</v>
      </c>
      <c r="AF166" s="246"/>
      <c r="AG166" s="246"/>
      <c r="AI166" s="245"/>
      <c r="AJ166" s="245" t="s">
        <v>429</v>
      </c>
      <c r="AK166" s="245"/>
      <c r="AL166" s="245"/>
      <c r="AM166" s="245"/>
      <c r="AN166" s="245"/>
      <c r="AO166" s="245"/>
      <c r="AP166" s="245"/>
      <c r="AQ166" s="245" t="s">
        <v>291</v>
      </c>
      <c r="AR166" s="205"/>
      <c r="AS166" s="205"/>
      <c r="AT166" s="205"/>
      <c r="AU166" s="205"/>
      <c r="AV166" s="205"/>
      <c r="AW166" s="205"/>
      <c r="AX166" s="205"/>
      <c r="BA166" s="205"/>
      <c r="BB166" s="205"/>
      <c r="BC166" s="205"/>
      <c r="BD166" s="205"/>
      <c r="BE166" s="205"/>
      <c r="BF166" s="205"/>
      <c r="BG166" s="205"/>
      <c r="BH166" s="205"/>
    </row>
    <row r="167" s="199" customFormat="1" ht="14.5" spans="2:60">
      <c r="B167" s="245" t="s">
        <v>311</v>
      </c>
      <c r="C167" s="245" t="s">
        <v>434</v>
      </c>
      <c r="D167" s="245">
        <v>1</v>
      </c>
      <c r="E167" s="198"/>
      <c r="F167" s="198"/>
      <c r="G167" s="198"/>
      <c r="H167" s="198"/>
      <c r="I167" s="198"/>
      <c r="U167" s="198"/>
      <c r="V167" s="198"/>
      <c r="W167" s="197"/>
      <c r="Y167" s="175"/>
      <c r="Z167" s="246"/>
      <c r="AA167" s="246" t="s">
        <v>372</v>
      </c>
      <c r="AB167" s="246" t="s">
        <v>432</v>
      </c>
      <c r="AC167" s="348" t="s">
        <v>424</v>
      </c>
      <c r="AD167" s="348" t="s">
        <v>425</v>
      </c>
      <c r="AE167" s="246" t="str">
        <f t="shared" si="33"/>
        <v>DAYNITE</v>
      </c>
      <c r="AF167" s="246"/>
      <c r="AG167" s="246"/>
      <c r="AI167" s="245"/>
      <c r="AJ167" s="245" t="s">
        <v>430</v>
      </c>
      <c r="AK167" s="245"/>
      <c r="AL167" s="245"/>
      <c r="AM167" s="245"/>
      <c r="AN167" s="245"/>
      <c r="AO167" s="245"/>
      <c r="AP167" s="245"/>
      <c r="AQ167" s="245" t="s">
        <v>291</v>
      </c>
      <c r="AR167" s="205"/>
      <c r="AS167" s="205"/>
      <c r="AT167" s="205"/>
      <c r="AU167" s="205"/>
      <c r="AV167" s="205"/>
      <c r="AW167" s="205"/>
      <c r="AX167" s="205"/>
      <c r="BA167" s="205"/>
      <c r="BB167" s="205"/>
      <c r="BC167" s="205"/>
      <c r="BD167" s="205"/>
      <c r="BE167" s="205"/>
      <c r="BF167" s="205"/>
      <c r="BG167" s="205"/>
      <c r="BH167" s="205"/>
    </row>
    <row r="168" s="199" customFormat="1" ht="14.5" spans="2:60">
      <c r="B168" s="245" t="s">
        <v>312</v>
      </c>
      <c r="C168" s="245" t="s">
        <v>435</v>
      </c>
      <c r="D168" s="245">
        <v>1</v>
      </c>
      <c r="E168" s="198"/>
      <c r="F168" s="198"/>
      <c r="G168" s="198"/>
      <c r="H168" s="198"/>
      <c r="I168" s="198"/>
      <c r="U168" s="198"/>
      <c r="V168" s="198"/>
      <c r="W168" s="197"/>
      <c r="Y168" s="175"/>
      <c r="Z168" s="246"/>
      <c r="AA168" s="246" t="s">
        <v>373</v>
      </c>
      <c r="AB168" s="246" t="s">
        <v>432</v>
      </c>
      <c r="AC168" s="348" t="s">
        <v>424</v>
      </c>
      <c r="AD168" s="348" t="s">
        <v>425</v>
      </c>
      <c r="AE168" s="246" t="str">
        <f t="shared" si="33"/>
        <v>DAYNITE</v>
      </c>
      <c r="AF168" s="246"/>
      <c r="AG168" s="246"/>
      <c r="AH168" s="197"/>
      <c r="AI168" s="245"/>
      <c r="AJ168" s="245" t="s">
        <v>431</v>
      </c>
      <c r="AK168" s="245"/>
      <c r="AL168" s="245"/>
      <c r="AM168" s="245"/>
      <c r="AN168" s="245"/>
      <c r="AO168" s="245"/>
      <c r="AP168" s="245"/>
      <c r="AQ168" s="245" t="s">
        <v>291</v>
      </c>
      <c r="AR168" s="205"/>
      <c r="AS168" s="205"/>
      <c r="AT168" s="205"/>
      <c r="AU168" s="205"/>
      <c r="AV168" s="205"/>
      <c r="AW168" s="205"/>
      <c r="AX168" s="205"/>
      <c r="BA168" s="205"/>
      <c r="BB168" s="205"/>
      <c r="BC168" s="205"/>
      <c r="BD168" s="205"/>
      <c r="BE168" s="205"/>
      <c r="BF168" s="205"/>
      <c r="BG168" s="205"/>
      <c r="BH168" s="205"/>
    </row>
    <row r="169" s="199" customFormat="1" ht="14.5" spans="3:43">
      <c r="C169" s="252"/>
      <c r="D169" s="252"/>
      <c r="E169" s="252"/>
      <c r="F169" s="252"/>
      <c r="G169" s="252"/>
      <c r="H169" s="252"/>
      <c r="I169" s="252"/>
      <c r="J169" s="197"/>
      <c r="K169" s="197"/>
      <c r="P169" s="198"/>
      <c r="S169" s="197"/>
      <c r="T169" s="198"/>
      <c r="U169" s="198"/>
      <c r="V169" s="198"/>
      <c r="W169" s="197"/>
      <c r="Y169" s="175"/>
      <c r="Z169" s="246"/>
      <c r="AA169" s="246" t="s">
        <v>374</v>
      </c>
      <c r="AB169" s="246" t="s">
        <v>432</v>
      </c>
      <c r="AC169" s="348" t="s">
        <v>424</v>
      </c>
      <c r="AD169" s="348" t="s">
        <v>425</v>
      </c>
      <c r="AE169" s="246" t="str">
        <f t="shared" si="33"/>
        <v>DAYNITE</v>
      </c>
      <c r="AF169" s="246"/>
      <c r="AG169" s="246"/>
      <c r="AH169" s="197"/>
      <c r="AI169" s="245"/>
      <c r="AJ169" s="245" t="s">
        <v>433</v>
      </c>
      <c r="AK169" s="245"/>
      <c r="AL169" s="245"/>
      <c r="AM169" s="245"/>
      <c r="AN169" s="245"/>
      <c r="AO169" s="245"/>
      <c r="AP169" s="245"/>
      <c r="AQ169" s="245" t="s">
        <v>291</v>
      </c>
    </row>
    <row r="170" s="199" customFormat="1" ht="14.5" spans="10:43">
      <c r="J170" s="197"/>
      <c r="K170" s="197"/>
      <c r="P170" s="198"/>
      <c r="S170" s="197"/>
      <c r="T170" s="198"/>
      <c r="U170" s="198"/>
      <c r="V170" s="198"/>
      <c r="W170" s="197"/>
      <c r="Y170" s="175"/>
      <c r="Z170" s="246"/>
      <c r="AA170" s="246" t="s">
        <v>375</v>
      </c>
      <c r="AB170" s="246" t="s">
        <v>432</v>
      </c>
      <c r="AC170" s="348" t="s">
        <v>424</v>
      </c>
      <c r="AD170" s="348" t="s">
        <v>425</v>
      </c>
      <c r="AE170" s="246" t="str">
        <f t="shared" si="33"/>
        <v>DAYNITE</v>
      </c>
      <c r="AF170" s="246"/>
      <c r="AG170" s="246"/>
      <c r="AH170" s="197"/>
      <c r="AI170" s="245"/>
      <c r="AJ170" s="245" t="s">
        <v>434</v>
      </c>
      <c r="AK170" s="245"/>
      <c r="AL170" s="245"/>
      <c r="AM170" s="245"/>
      <c r="AN170" s="245"/>
      <c r="AO170" s="245"/>
      <c r="AP170" s="245"/>
      <c r="AQ170" s="245" t="s">
        <v>291</v>
      </c>
    </row>
    <row r="171" s="199" customFormat="1" ht="14.5" spans="10:43">
      <c r="J171" s="197"/>
      <c r="K171" s="197"/>
      <c r="P171" s="198"/>
      <c r="S171" s="197"/>
      <c r="T171" s="198"/>
      <c r="U171" s="198"/>
      <c r="V171" s="198"/>
      <c r="W171" s="197"/>
      <c r="Y171" s="175"/>
      <c r="Z171" s="246"/>
      <c r="AA171" s="246" t="s">
        <v>376</v>
      </c>
      <c r="AB171" s="246" t="s">
        <v>432</v>
      </c>
      <c r="AC171" s="348" t="s">
        <v>424</v>
      </c>
      <c r="AD171" s="348" t="s">
        <v>425</v>
      </c>
      <c r="AE171" s="246" t="str">
        <f t="shared" si="33"/>
        <v>DAYNITE</v>
      </c>
      <c r="AF171" s="246"/>
      <c r="AG171" s="246"/>
      <c r="AH171" s="197"/>
      <c r="AI171" s="245"/>
      <c r="AJ171" s="245" t="s">
        <v>435</v>
      </c>
      <c r="AK171" s="245"/>
      <c r="AL171" s="245"/>
      <c r="AM171" s="245"/>
      <c r="AN171" s="245"/>
      <c r="AO171" s="245"/>
      <c r="AP171" s="245"/>
      <c r="AQ171" s="245" t="s">
        <v>291</v>
      </c>
    </row>
    <row r="172" s="197" customFormat="1" ht="14.5" spans="2:43">
      <c r="B172" s="345"/>
      <c r="C172" s="345" t="s">
        <v>362</v>
      </c>
      <c r="D172" s="345"/>
      <c r="E172" s="245"/>
      <c r="P172" s="198"/>
      <c r="T172" s="198"/>
      <c r="U172" s="198"/>
      <c r="V172" s="198"/>
      <c r="Y172"/>
      <c r="Z172" s="246"/>
      <c r="AA172" s="246" t="s">
        <v>377</v>
      </c>
      <c r="AB172" s="246" t="s">
        <v>436</v>
      </c>
      <c r="AC172" s="348" t="s">
        <v>424</v>
      </c>
      <c r="AD172" s="348" t="s">
        <v>425</v>
      </c>
      <c r="AE172" s="246" t="str">
        <f t="shared" si="33"/>
        <v>DAYNITE</v>
      </c>
      <c r="AF172" s="246"/>
      <c r="AG172" s="246"/>
      <c r="AH172" s="205"/>
      <c r="AI172" s="245"/>
      <c r="AJ172" s="245" t="s">
        <v>428</v>
      </c>
      <c r="AK172" s="245"/>
      <c r="AL172" s="245"/>
      <c r="AM172" s="245"/>
      <c r="AN172" s="245"/>
      <c r="AO172" s="245"/>
      <c r="AP172" s="245"/>
      <c r="AQ172" s="245" t="s">
        <v>291</v>
      </c>
    </row>
    <row r="173" s="197" customFormat="1" ht="16" spans="2:43">
      <c r="B173" s="345" t="s">
        <v>220</v>
      </c>
      <c r="C173" s="345" t="s">
        <v>191</v>
      </c>
      <c r="D173" s="345" t="s">
        <v>76</v>
      </c>
      <c r="E173" s="245" t="s">
        <v>73</v>
      </c>
      <c r="F173" s="143" t="s">
        <v>437</v>
      </c>
      <c r="G173" s="197" t="s">
        <v>197</v>
      </c>
      <c r="P173" s="198"/>
      <c r="T173" s="198"/>
      <c r="U173" s="198"/>
      <c r="V173" s="198"/>
      <c r="Y173"/>
      <c r="Z173" s="246"/>
      <c r="AA173" s="246" t="s">
        <v>378</v>
      </c>
      <c r="AB173" s="246" t="s">
        <v>436</v>
      </c>
      <c r="AC173" s="348" t="s">
        <v>424</v>
      </c>
      <c r="AD173" s="348" t="s">
        <v>425</v>
      </c>
      <c r="AE173" s="246" t="str">
        <f t="shared" ref="AE173:AE178" si="34">AE172</f>
        <v>DAYNITE</v>
      </c>
      <c r="AF173" s="246"/>
      <c r="AG173" s="246"/>
      <c r="AH173" s="205"/>
      <c r="AI173" s="245"/>
      <c r="AJ173" s="245" t="s">
        <v>429</v>
      </c>
      <c r="AK173" s="245"/>
      <c r="AL173" s="245"/>
      <c r="AM173" s="245"/>
      <c r="AN173" s="245"/>
      <c r="AO173" s="245"/>
      <c r="AP173" s="245"/>
      <c r="AQ173" s="245" t="s">
        <v>291</v>
      </c>
    </row>
    <row r="174" s="197" customFormat="1" ht="14.5" spans="2:43">
      <c r="B174" s="345" t="s">
        <v>438</v>
      </c>
      <c r="C174" s="345" t="s">
        <v>428</v>
      </c>
      <c r="D174" s="345" t="s">
        <v>355</v>
      </c>
      <c r="E174" s="245">
        <v>1</v>
      </c>
      <c r="F174" s="197">
        <v>2</v>
      </c>
      <c r="G174" s="197">
        <v>1</v>
      </c>
      <c r="T174" s="198"/>
      <c r="U174" s="198"/>
      <c r="V174" s="198"/>
      <c r="Y174"/>
      <c r="Z174" s="246"/>
      <c r="AA174" s="246" t="s">
        <v>379</v>
      </c>
      <c r="AB174" s="246" t="s">
        <v>436</v>
      </c>
      <c r="AC174" s="348" t="s">
        <v>424</v>
      </c>
      <c r="AD174" s="348" t="s">
        <v>425</v>
      </c>
      <c r="AE174" s="246" t="str">
        <f t="shared" si="34"/>
        <v>DAYNITE</v>
      </c>
      <c r="AF174" s="246"/>
      <c r="AG174" s="246"/>
      <c r="AH174" s="205"/>
      <c r="AI174" s="245"/>
      <c r="AJ174" s="245" t="s">
        <v>430</v>
      </c>
      <c r="AK174" s="245"/>
      <c r="AL174" s="245"/>
      <c r="AM174" s="245"/>
      <c r="AN174" s="245"/>
      <c r="AO174" s="245"/>
      <c r="AP174" s="245"/>
      <c r="AQ174" s="245" t="s">
        <v>291</v>
      </c>
    </row>
    <row r="175" s="197" customFormat="1" ht="14.5" spans="2:43">
      <c r="B175" s="345" t="s">
        <v>439</v>
      </c>
      <c r="C175" s="345" t="s">
        <v>429</v>
      </c>
      <c r="D175" s="345" t="s">
        <v>356</v>
      </c>
      <c r="E175" s="245">
        <v>1</v>
      </c>
      <c r="F175" s="197">
        <v>2</v>
      </c>
      <c r="G175" s="197">
        <v>1</v>
      </c>
      <c r="T175" s="198"/>
      <c r="U175" s="198"/>
      <c r="V175" s="198"/>
      <c r="Y175"/>
      <c r="Z175" s="246"/>
      <c r="AA175" s="246" t="s">
        <v>380</v>
      </c>
      <c r="AB175" s="246" t="s">
        <v>436</v>
      </c>
      <c r="AC175" s="348" t="s">
        <v>424</v>
      </c>
      <c r="AD175" s="348" t="s">
        <v>425</v>
      </c>
      <c r="AE175" s="246" t="str">
        <f t="shared" si="34"/>
        <v>DAYNITE</v>
      </c>
      <c r="AF175" s="246"/>
      <c r="AG175" s="246"/>
      <c r="AI175" s="245"/>
      <c r="AJ175" s="245" t="s">
        <v>431</v>
      </c>
      <c r="AK175" s="245"/>
      <c r="AL175" s="245"/>
      <c r="AM175" s="245"/>
      <c r="AN175" s="245"/>
      <c r="AO175" s="245"/>
      <c r="AP175" s="245"/>
      <c r="AQ175" s="245" t="s">
        <v>291</v>
      </c>
    </row>
    <row r="176" s="197" customFormat="1" ht="14.5" spans="2:60">
      <c r="B176" s="345" t="s">
        <v>440</v>
      </c>
      <c r="C176" s="345" t="s">
        <v>430</v>
      </c>
      <c r="D176" s="345" t="s">
        <v>357</v>
      </c>
      <c r="E176" s="245">
        <v>1</v>
      </c>
      <c r="F176" s="197">
        <v>2</v>
      </c>
      <c r="G176" s="197">
        <v>1</v>
      </c>
      <c r="T176" s="198"/>
      <c r="U176" s="198"/>
      <c r="V176" s="198"/>
      <c r="Y176"/>
      <c r="Z176" s="246"/>
      <c r="AA176" s="246" t="s">
        <v>381</v>
      </c>
      <c r="AB176" s="246" t="s">
        <v>436</v>
      </c>
      <c r="AC176" s="348" t="s">
        <v>424</v>
      </c>
      <c r="AD176" s="348" t="s">
        <v>425</v>
      </c>
      <c r="AE176" s="246" t="str">
        <f t="shared" si="34"/>
        <v>DAYNITE</v>
      </c>
      <c r="AF176" s="246"/>
      <c r="AG176" s="246"/>
      <c r="AI176" s="245"/>
      <c r="AJ176" s="245" t="s">
        <v>433</v>
      </c>
      <c r="AK176" s="245"/>
      <c r="AL176" s="245"/>
      <c r="AM176" s="245"/>
      <c r="AN176" s="245"/>
      <c r="AO176" s="245"/>
      <c r="AP176" s="245"/>
      <c r="AQ176" s="245" t="s">
        <v>291</v>
      </c>
      <c r="AR176" s="205"/>
      <c r="AS176" s="205"/>
      <c r="AT176" s="205"/>
      <c r="AU176" s="205"/>
      <c r="AW176" s="205"/>
      <c r="AX176" s="205"/>
      <c r="BA176" s="205"/>
      <c r="BB176" s="205"/>
      <c r="BC176" s="205"/>
      <c r="BD176" s="205"/>
      <c r="BE176" s="205"/>
      <c r="BG176" s="205"/>
      <c r="BH176" s="205"/>
    </row>
    <row r="177" s="197" customFormat="1" ht="16" spans="2:60">
      <c r="B177" s="345" t="s">
        <v>441</v>
      </c>
      <c r="C177" s="345" t="s">
        <v>431</v>
      </c>
      <c r="D177" s="345" t="s">
        <v>358</v>
      </c>
      <c r="E177" s="245">
        <v>1</v>
      </c>
      <c r="F177" s="197">
        <v>2</v>
      </c>
      <c r="G177" s="197">
        <v>1</v>
      </c>
      <c r="T177" s="198"/>
      <c r="U177" s="198"/>
      <c r="V177" s="198"/>
      <c r="Y177"/>
      <c r="Z177" s="246"/>
      <c r="AA177" s="246" t="s">
        <v>382</v>
      </c>
      <c r="AB177" s="246" t="s">
        <v>436</v>
      </c>
      <c r="AC177" s="348" t="s">
        <v>424</v>
      </c>
      <c r="AD177" s="348" t="s">
        <v>425</v>
      </c>
      <c r="AE177" s="246" t="str">
        <f t="shared" si="34"/>
        <v>DAYNITE</v>
      </c>
      <c r="AF177" s="246"/>
      <c r="AG177" s="246"/>
      <c r="AI177" s="245"/>
      <c r="AJ177" s="245" t="s">
        <v>434</v>
      </c>
      <c r="AK177" s="245"/>
      <c r="AL177" s="245"/>
      <c r="AM177" s="245"/>
      <c r="AN177" s="245"/>
      <c r="AO177" s="245"/>
      <c r="AP177" s="245"/>
      <c r="AQ177" s="245" t="s">
        <v>291</v>
      </c>
      <c r="AR177" s="205"/>
      <c r="AS177" s="205"/>
      <c r="AT177" s="260"/>
      <c r="AU177" s="205"/>
      <c r="AV177" s="205"/>
      <c r="AW177" s="205"/>
      <c r="AX177" s="205"/>
      <c r="BA177" s="205"/>
      <c r="BB177" s="205"/>
      <c r="BC177" s="205"/>
      <c r="BD177" s="260"/>
      <c r="BE177" s="205"/>
      <c r="BF177" s="205"/>
      <c r="BG177" s="205"/>
      <c r="BH177" s="205"/>
    </row>
    <row r="178" s="197" customFormat="1" ht="14.5" spans="2:60">
      <c r="B178" s="345" t="s">
        <v>442</v>
      </c>
      <c r="C178" s="345" t="s">
        <v>433</v>
      </c>
      <c r="D178" s="345" t="s">
        <v>359</v>
      </c>
      <c r="E178" s="245">
        <v>1</v>
      </c>
      <c r="F178" s="197">
        <v>2</v>
      </c>
      <c r="G178" s="197">
        <v>1</v>
      </c>
      <c r="T178" s="198"/>
      <c r="U178" s="198"/>
      <c r="V178" s="198"/>
      <c r="Y178"/>
      <c r="Z178" s="246"/>
      <c r="AA178" s="246" t="s">
        <v>383</v>
      </c>
      <c r="AB178" s="246" t="s">
        <v>436</v>
      </c>
      <c r="AC178" s="348" t="s">
        <v>424</v>
      </c>
      <c r="AD178" s="348" t="s">
        <v>425</v>
      </c>
      <c r="AE178" s="246" t="str">
        <f t="shared" si="34"/>
        <v>DAYNITE</v>
      </c>
      <c r="AF178" s="246"/>
      <c r="AG178" s="246"/>
      <c r="AI178" s="245"/>
      <c r="AJ178" s="245" t="s">
        <v>435</v>
      </c>
      <c r="AK178" s="245"/>
      <c r="AL178" s="245"/>
      <c r="AM178" s="245"/>
      <c r="AN178" s="245"/>
      <c r="AO178" s="245"/>
      <c r="AP178" s="245"/>
      <c r="AQ178" s="245" t="s">
        <v>291</v>
      </c>
      <c r="AR178" s="205"/>
      <c r="AT178" s="263"/>
      <c r="AU178" s="205"/>
      <c r="AV178" s="205"/>
      <c r="AW178" s="205"/>
      <c r="AX178" s="205"/>
      <c r="BA178" s="205"/>
      <c r="BB178" s="205"/>
      <c r="BD178" s="263"/>
      <c r="BE178" s="205"/>
      <c r="BF178" s="205"/>
      <c r="BG178" s="205"/>
      <c r="BH178" s="205"/>
    </row>
    <row r="179" s="197" customFormat="1" ht="14.5" spans="2:43">
      <c r="B179" s="345" t="s">
        <v>443</v>
      </c>
      <c r="C179" s="345" t="s">
        <v>434</v>
      </c>
      <c r="D179" s="345" t="s">
        <v>360</v>
      </c>
      <c r="E179" s="245">
        <v>1</v>
      </c>
      <c r="F179" s="197">
        <v>2</v>
      </c>
      <c r="G179" s="197">
        <v>1</v>
      </c>
      <c r="T179" s="198"/>
      <c r="U179" s="198"/>
      <c r="V179" s="198"/>
      <c r="Y179"/>
      <c r="Z179" s="246"/>
      <c r="AA179" s="246" t="s">
        <v>407</v>
      </c>
      <c r="AB179" s="246"/>
      <c r="AC179" s="246"/>
      <c r="AD179" s="246"/>
      <c r="AE179" s="246"/>
      <c r="AF179" s="246"/>
      <c r="AG179" s="246"/>
      <c r="AI179" s="245"/>
      <c r="AJ179" s="245" t="s">
        <v>338</v>
      </c>
      <c r="AK179" s="245"/>
      <c r="AL179" s="245"/>
      <c r="AM179" s="245"/>
      <c r="AN179" s="245"/>
      <c r="AO179" s="245"/>
      <c r="AP179" s="245"/>
      <c r="AQ179" s="245" t="s">
        <v>291</v>
      </c>
    </row>
    <row r="180" s="197" customFormat="1" ht="14.5" spans="2:43">
      <c r="B180" s="345" t="s">
        <v>444</v>
      </c>
      <c r="C180" s="345" t="s">
        <v>435</v>
      </c>
      <c r="D180" s="345" t="s">
        <v>361</v>
      </c>
      <c r="E180" s="245">
        <v>1</v>
      </c>
      <c r="F180" s="197">
        <v>2</v>
      </c>
      <c r="G180" s="197">
        <v>1</v>
      </c>
      <c r="T180" s="198"/>
      <c r="U180" s="198"/>
      <c r="V180" s="198"/>
      <c r="Y180"/>
      <c r="Z180" s="246"/>
      <c r="AA180" s="246" t="s">
        <v>438</v>
      </c>
      <c r="AB180" s="246"/>
      <c r="AC180" s="348" t="s">
        <v>424</v>
      </c>
      <c r="AD180" s="348" t="s">
        <v>425</v>
      </c>
      <c r="AE180" s="246" t="s">
        <v>211</v>
      </c>
      <c r="AF180" s="246"/>
      <c r="AG180" s="246"/>
      <c r="AI180" s="245"/>
      <c r="AJ180" s="245" t="s">
        <v>339</v>
      </c>
      <c r="AK180" s="245"/>
      <c r="AL180" s="245"/>
      <c r="AM180" s="245"/>
      <c r="AN180" s="245"/>
      <c r="AO180" s="245"/>
      <c r="AP180" s="245"/>
      <c r="AQ180" s="245" t="s">
        <v>291</v>
      </c>
    </row>
    <row r="181" s="197" customFormat="1" ht="14.5" spans="2:43">
      <c r="B181" s="345" t="s">
        <v>445</v>
      </c>
      <c r="C181" s="345" t="s">
        <v>428</v>
      </c>
      <c r="D181" s="345" t="s">
        <v>338</v>
      </c>
      <c r="E181" s="245">
        <v>1</v>
      </c>
      <c r="F181" s="197">
        <v>0</v>
      </c>
      <c r="G181" s="197">
        <v>1</v>
      </c>
      <c r="T181" s="198"/>
      <c r="U181" s="198"/>
      <c r="V181" s="198"/>
      <c r="Y181"/>
      <c r="Z181" s="246"/>
      <c r="AA181" s="246" t="s">
        <v>439</v>
      </c>
      <c r="AB181" s="246"/>
      <c r="AC181" s="348" t="s">
        <v>424</v>
      </c>
      <c r="AD181" s="348" t="s">
        <v>425</v>
      </c>
      <c r="AE181" s="246" t="s">
        <v>211</v>
      </c>
      <c r="AF181" s="246"/>
      <c r="AG181" s="246"/>
      <c r="AI181" s="245"/>
      <c r="AJ181" s="245" t="s">
        <v>340</v>
      </c>
      <c r="AK181" s="245"/>
      <c r="AL181" s="245"/>
      <c r="AM181" s="245"/>
      <c r="AN181" s="245"/>
      <c r="AO181" s="245"/>
      <c r="AP181" s="245"/>
      <c r="AQ181" s="245" t="s">
        <v>291</v>
      </c>
    </row>
    <row r="182" s="197" customFormat="1" ht="14.5" spans="2:43">
      <c r="B182" s="345" t="s">
        <v>446</v>
      </c>
      <c r="C182" s="345" t="s">
        <v>429</v>
      </c>
      <c r="D182" s="345" t="s">
        <v>339</v>
      </c>
      <c r="E182" s="245">
        <v>1</v>
      </c>
      <c r="F182" s="197">
        <v>0</v>
      </c>
      <c r="G182" s="197">
        <v>1</v>
      </c>
      <c r="T182" s="198"/>
      <c r="U182" s="198"/>
      <c r="V182" s="198"/>
      <c r="Y182"/>
      <c r="Z182" s="246"/>
      <c r="AA182" s="246" t="s">
        <v>440</v>
      </c>
      <c r="AB182" s="246"/>
      <c r="AC182" s="348" t="s">
        <v>424</v>
      </c>
      <c r="AD182" s="348" t="s">
        <v>425</v>
      </c>
      <c r="AE182" s="246" t="s">
        <v>211</v>
      </c>
      <c r="AF182" s="246"/>
      <c r="AG182" s="246"/>
      <c r="AI182" s="245"/>
      <c r="AJ182" s="245" t="s">
        <v>341</v>
      </c>
      <c r="AK182" s="245"/>
      <c r="AL182" s="245"/>
      <c r="AM182" s="245"/>
      <c r="AN182" s="245"/>
      <c r="AO182" s="245"/>
      <c r="AP182" s="245"/>
      <c r="AQ182" s="245" t="s">
        <v>291</v>
      </c>
    </row>
    <row r="183" s="197" customFormat="1" ht="14.5" spans="2:43">
      <c r="B183" s="345" t="s">
        <v>447</v>
      </c>
      <c r="C183" s="345" t="s">
        <v>430</v>
      </c>
      <c r="D183" s="345" t="s">
        <v>340</v>
      </c>
      <c r="E183" s="245">
        <v>1</v>
      </c>
      <c r="F183" s="197">
        <v>0</v>
      </c>
      <c r="G183" s="197">
        <v>1</v>
      </c>
      <c r="Y183"/>
      <c r="Z183" s="246"/>
      <c r="AA183" s="246" t="s">
        <v>441</v>
      </c>
      <c r="AB183" s="246"/>
      <c r="AC183" s="348" t="s">
        <v>424</v>
      </c>
      <c r="AD183" s="348" t="s">
        <v>425</v>
      </c>
      <c r="AE183" s="246" t="s">
        <v>211</v>
      </c>
      <c r="AF183" s="246"/>
      <c r="AG183" s="246"/>
      <c r="AI183" s="245"/>
      <c r="AJ183" s="245" t="s">
        <v>342</v>
      </c>
      <c r="AK183" s="245"/>
      <c r="AL183" s="245"/>
      <c r="AM183" s="245"/>
      <c r="AN183" s="245"/>
      <c r="AO183" s="245"/>
      <c r="AP183" s="245"/>
      <c r="AQ183" s="245" t="s">
        <v>291</v>
      </c>
    </row>
    <row r="184" s="197" customFormat="1" ht="14.5" spans="2:43">
      <c r="B184" s="345" t="s">
        <v>448</v>
      </c>
      <c r="C184" s="345" t="s">
        <v>431</v>
      </c>
      <c r="D184" s="345" t="s">
        <v>341</v>
      </c>
      <c r="E184" s="245">
        <v>1</v>
      </c>
      <c r="F184" s="197">
        <v>0</v>
      </c>
      <c r="G184" s="197">
        <v>1</v>
      </c>
      <c r="Y184"/>
      <c r="Z184" s="246"/>
      <c r="AA184" s="246" t="s">
        <v>442</v>
      </c>
      <c r="AB184" s="246"/>
      <c r="AC184" s="348" t="s">
        <v>424</v>
      </c>
      <c r="AD184" s="348" t="s">
        <v>425</v>
      </c>
      <c r="AE184" s="246" t="s">
        <v>211</v>
      </c>
      <c r="AF184" s="246"/>
      <c r="AG184" s="246"/>
      <c r="AI184" s="245"/>
      <c r="AJ184" s="245" t="s">
        <v>343</v>
      </c>
      <c r="AK184" s="245"/>
      <c r="AL184" s="245"/>
      <c r="AM184" s="245"/>
      <c r="AN184" s="245"/>
      <c r="AO184" s="245"/>
      <c r="AP184" s="245"/>
      <c r="AQ184" s="245" t="s">
        <v>291</v>
      </c>
    </row>
    <row r="185" s="197" customFormat="1" ht="14.5" spans="2:43">
      <c r="B185" s="345" t="s">
        <v>449</v>
      </c>
      <c r="C185" s="345" t="s">
        <v>433</v>
      </c>
      <c r="D185" s="345" t="s">
        <v>342</v>
      </c>
      <c r="E185" s="245">
        <v>1</v>
      </c>
      <c r="F185" s="197">
        <v>0</v>
      </c>
      <c r="G185" s="197">
        <v>1</v>
      </c>
      <c r="Y185"/>
      <c r="Z185" s="246"/>
      <c r="AA185" s="246" t="s">
        <v>443</v>
      </c>
      <c r="AB185" s="246"/>
      <c r="AC185" s="348" t="s">
        <v>424</v>
      </c>
      <c r="AD185" s="348" t="s">
        <v>425</v>
      </c>
      <c r="AE185" s="246" t="s">
        <v>211</v>
      </c>
      <c r="AF185" s="246"/>
      <c r="AG185" s="246"/>
      <c r="AI185" s="350"/>
      <c r="AJ185" s="350" t="s">
        <v>344</v>
      </c>
      <c r="AK185" s="245"/>
      <c r="AL185" s="245"/>
      <c r="AM185" s="245"/>
      <c r="AN185" s="245"/>
      <c r="AO185" s="245"/>
      <c r="AP185" s="245"/>
      <c r="AQ185" s="350" t="s">
        <v>291</v>
      </c>
    </row>
    <row r="186" s="197" customFormat="1" ht="14.5" spans="2:43">
      <c r="B186" s="345" t="s">
        <v>450</v>
      </c>
      <c r="C186" s="345" t="s">
        <v>434</v>
      </c>
      <c r="D186" s="345" t="s">
        <v>343</v>
      </c>
      <c r="E186" s="245">
        <v>1</v>
      </c>
      <c r="F186" s="197">
        <v>0</v>
      </c>
      <c r="G186" s="197">
        <v>1</v>
      </c>
      <c r="Y186"/>
      <c r="Z186" s="246"/>
      <c r="AA186" s="246" t="s">
        <v>444</v>
      </c>
      <c r="AB186" s="246"/>
      <c r="AC186" s="348" t="s">
        <v>424</v>
      </c>
      <c r="AD186" s="348" t="s">
        <v>425</v>
      </c>
      <c r="AE186" s="246" t="s">
        <v>211</v>
      </c>
      <c r="AF186" s="246"/>
      <c r="AG186" s="246"/>
      <c r="AH186" s="198"/>
      <c r="AI186" s="198"/>
      <c r="AJ186" s="252"/>
      <c r="AK186" s="199"/>
      <c r="AL186" s="199"/>
      <c r="AM186"/>
      <c r="AN186"/>
      <c r="AO186"/>
      <c r="AP186"/>
      <c r="AQ186"/>
    </row>
    <row r="187" s="197" customFormat="1" ht="14.5" spans="2:43">
      <c r="B187" s="345" t="s">
        <v>451</v>
      </c>
      <c r="C187" s="345" t="s">
        <v>435</v>
      </c>
      <c r="D187" s="345" t="s">
        <v>344</v>
      </c>
      <c r="E187" s="245">
        <v>1</v>
      </c>
      <c r="F187" s="197">
        <v>0</v>
      </c>
      <c r="G187" s="197">
        <v>1</v>
      </c>
      <c r="Y187" s="199"/>
      <c r="Z187" s="246"/>
      <c r="AA187" s="246" t="s">
        <v>445</v>
      </c>
      <c r="AB187" s="246"/>
      <c r="AC187" s="348" t="s">
        <v>424</v>
      </c>
      <c r="AD187" s="348" t="s">
        <v>425</v>
      </c>
      <c r="AE187" s="246" t="s">
        <v>211</v>
      </c>
      <c r="AF187" s="246"/>
      <c r="AG187" s="246"/>
      <c r="AH187" s="198"/>
      <c r="AI187" s="198"/>
      <c r="AJ187" s="252"/>
      <c r="AK187" s="199"/>
      <c r="AL187" s="199"/>
      <c r="AM187" s="199"/>
      <c r="AN187" s="199"/>
      <c r="AO187" s="199"/>
      <c r="AP187" s="199"/>
      <c r="AQ187" s="199"/>
    </row>
    <row r="188" s="197" customFormat="1" ht="14.5" spans="25:43">
      <c r="Y188" s="199"/>
      <c r="Z188" s="246"/>
      <c r="AA188" s="246" t="s">
        <v>446</v>
      </c>
      <c r="AB188" s="246"/>
      <c r="AC188" s="348" t="s">
        <v>424</v>
      </c>
      <c r="AD188" s="348" t="s">
        <v>425</v>
      </c>
      <c r="AE188" s="246" t="s">
        <v>211</v>
      </c>
      <c r="AF188" s="246"/>
      <c r="AG188" s="246"/>
      <c r="AH188" s="226"/>
      <c r="AI188" s="198"/>
      <c r="AJ188" s="252"/>
      <c r="AK188" s="199"/>
      <c r="AL188" s="199"/>
      <c r="AM188" s="199"/>
      <c r="AN188" s="199"/>
      <c r="AO188" s="199"/>
      <c r="AP188" s="199"/>
      <c r="AQ188" s="199"/>
    </row>
    <row r="189" s="197" customFormat="1" ht="14.5" spans="25:43">
      <c r="Y189" s="199"/>
      <c r="Z189" s="246"/>
      <c r="AA189" s="246" t="s">
        <v>447</v>
      </c>
      <c r="AB189" s="246"/>
      <c r="AC189" s="348" t="s">
        <v>424</v>
      </c>
      <c r="AD189" s="348" t="s">
        <v>425</v>
      </c>
      <c r="AE189" s="246" t="s">
        <v>211</v>
      </c>
      <c r="AF189" s="246"/>
      <c r="AG189" s="246"/>
      <c r="AH189" s="198"/>
      <c r="AI189" s="198"/>
      <c r="AJ189" s="252"/>
      <c r="AK189" s="199"/>
      <c r="AL189" s="199"/>
      <c r="AM189" s="199"/>
      <c r="AN189" s="199"/>
      <c r="AO189" s="199"/>
      <c r="AP189" s="199"/>
      <c r="AQ189" s="199"/>
    </row>
    <row r="190" s="197" customFormat="1" ht="27.5" spans="1:43">
      <c r="A190" s="254"/>
      <c r="Y190" s="199"/>
      <c r="Z190" s="246"/>
      <c r="AA190" s="246" t="s">
        <v>448</v>
      </c>
      <c r="AB190" s="246"/>
      <c r="AC190" s="348" t="s">
        <v>424</v>
      </c>
      <c r="AD190" s="348" t="s">
        <v>425</v>
      </c>
      <c r="AE190" s="246" t="s">
        <v>211</v>
      </c>
      <c r="AF190" s="246"/>
      <c r="AG190" s="348"/>
      <c r="AH190" s="198"/>
      <c r="AI190" s="198"/>
      <c r="AJ190" s="252"/>
      <c r="AK190" s="199"/>
      <c r="AL190" s="199"/>
      <c r="AM190" s="199"/>
      <c r="AN190" s="199"/>
      <c r="AO190" s="199"/>
      <c r="AP190" s="199"/>
      <c r="AQ190" s="199"/>
    </row>
    <row r="191" s="197" customFormat="1" ht="14.5" spans="25:43">
      <c r="Y191" s="199"/>
      <c r="Z191" s="246"/>
      <c r="AA191" s="246" t="s">
        <v>449</v>
      </c>
      <c r="AB191" s="246"/>
      <c r="AC191" s="348" t="s">
        <v>424</v>
      </c>
      <c r="AD191" s="348" t="s">
        <v>425</v>
      </c>
      <c r="AE191" s="246" t="s">
        <v>211</v>
      </c>
      <c r="AF191" s="246"/>
      <c r="AG191" s="246"/>
      <c r="AH191" s="198"/>
      <c r="AI191" s="198"/>
      <c r="AJ191" s="252"/>
      <c r="AK191" s="199"/>
      <c r="AL191" s="199"/>
      <c r="AM191" s="199"/>
      <c r="AN191" s="199"/>
      <c r="AO191" s="199"/>
      <c r="AP191" s="199"/>
      <c r="AQ191" s="199"/>
    </row>
    <row r="192" s="197" customFormat="1" ht="14.5" spans="24:54">
      <c r="X192" s="205"/>
      <c r="Y192" s="199"/>
      <c r="Z192" s="246"/>
      <c r="AA192" s="246" t="s">
        <v>450</v>
      </c>
      <c r="AB192" s="246"/>
      <c r="AC192" s="348" t="s">
        <v>424</v>
      </c>
      <c r="AD192" s="348" t="s">
        <v>425</v>
      </c>
      <c r="AE192" s="246" t="s">
        <v>211</v>
      </c>
      <c r="AF192" s="246"/>
      <c r="AG192" s="246"/>
      <c r="AH192" s="198"/>
      <c r="AI192" s="198"/>
      <c r="AJ192" s="252"/>
      <c r="AK192" s="199"/>
      <c r="AL192" s="199"/>
      <c r="AM192" s="199"/>
      <c r="AN192" s="199"/>
      <c r="AO192" s="199"/>
      <c r="AP192" s="199"/>
      <c r="AQ192" s="199"/>
      <c r="AR192" s="205"/>
      <c r="BB192" s="205"/>
    </row>
    <row r="193" s="197" customFormat="1" ht="14.5" spans="26:36">
      <c r="Z193" s="246"/>
      <c r="AA193" s="246" t="s">
        <v>451</v>
      </c>
      <c r="AB193" s="246"/>
      <c r="AC193" s="348" t="s">
        <v>424</v>
      </c>
      <c r="AD193" s="348" t="s">
        <v>425</v>
      </c>
      <c r="AE193" s="246" t="s">
        <v>211</v>
      </c>
      <c r="AF193" s="246"/>
      <c r="AG193" s="246"/>
      <c r="AH193" s="198"/>
      <c r="AI193" s="198"/>
      <c r="AJ193" s="198"/>
    </row>
    <row r="194" s="197" customFormat="1" ht="23" spans="1:53">
      <c r="A194" s="264"/>
      <c r="W194" s="205"/>
      <c r="Z194" s="246"/>
      <c r="AA194" s="246"/>
      <c r="AB194" s="246"/>
      <c r="AC194" s="348"/>
      <c r="AD194" s="348"/>
      <c r="AE194" s="246"/>
      <c r="AF194" s="246"/>
      <c r="AG194" s="246"/>
      <c r="AH194" s="198"/>
      <c r="AI194" s="198"/>
      <c r="AJ194" s="198"/>
      <c r="BA194" s="205"/>
    </row>
    <row r="195" s="197" customFormat="1" ht="14.5" spans="26:36">
      <c r="Z195" s="246"/>
      <c r="AA195" s="246"/>
      <c r="AB195" s="246"/>
      <c r="AC195" s="348"/>
      <c r="AD195" s="348"/>
      <c r="AE195" s="246"/>
      <c r="AF195" s="246"/>
      <c r="AG195" s="246"/>
      <c r="AH195" s="198"/>
      <c r="AI195" s="198"/>
      <c r="AJ195" s="198"/>
    </row>
    <row r="196" s="197" customFormat="1" ht="14.5" spans="26:36">
      <c r="Z196" s="246"/>
      <c r="AA196" s="246"/>
      <c r="AB196" s="246"/>
      <c r="AC196" s="348"/>
      <c r="AD196" s="348"/>
      <c r="AE196" s="246"/>
      <c r="AF196" s="246"/>
      <c r="AG196" s="246"/>
      <c r="AH196" s="198"/>
      <c r="AI196" s="198"/>
      <c r="AJ196" s="198"/>
    </row>
    <row r="197" s="197" customFormat="1" ht="14.5" spans="26:36">
      <c r="Z197" s="246"/>
      <c r="AA197" s="246"/>
      <c r="AB197" s="246"/>
      <c r="AC197" s="348"/>
      <c r="AD197" s="348"/>
      <c r="AE197" s="246"/>
      <c r="AF197" s="246"/>
      <c r="AG197" s="246"/>
      <c r="AH197" s="198"/>
      <c r="AI197" s="198"/>
      <c r="AJ197" s="198"/>
    </row>
    <row r="198" s="197" customFormat="1" ht="14.5" spans="26:36">
      <c r="Z198" s="246"/>
      <c r="AA198" s="246"/>
      <c r="AB198" s="246"/>
      <c r="AC198" s="348"/>
      <c r="AD198" s="348"/>
      <c r="AE198" s="246"/>
      <c r="AF198" s="246"/>
      <c r="AG198" s="246"/>
      <c r="AH198" s="198"/>
      <c r="AI198" s="198"/>
      <c r="AJ198" s="198"/>
    </row>
    <row r="199" s="197" customFormat="1" ht="14.5" spans="26:36">
      <c r="Z199" s="246"/>
      <c r="AA199" s="246"/>
      <c r="AB199" s="246"/>
      <c r="AC199" s="348"/>
      <c r="AD199" s="348"/>
      <c r="AE199" s="246"/>
      <c r="AF199" s="246"/>
      <c r="AG199" s="246"/>
      <c r="AH199" s="198"/>
      <c r="AI199" s="198"/>
      <c r="AJ199" s="198"/>
    </row>
    <row r="200" s="197" customFormat="1" ht="14.5" spans="26:36">
      <c r="Z200" s="246"/>
      <c r="AA200" s="246"/>
      <c r="AB200" s="246"/>
      <c r="AC200" s="348"/>
      <c r="AD200" s="348"/>
      <c r="AE200" s="246"/>
      <c r="AF200" s="246"/>
      <c r="AG200" s="246"/>
      <c r="AH200" s="297"/>
      <c r="AI200" s="198"/>
      <c r="AJ200" s="198"/>
    </row>
    <row r="201" s="197" customFormat="1" spans="34:36">
      <c r="AH201" s="198"/>
      <c r="AI201" s="198"/>
      <c r="AJ201" s="198"/>
    </row>
    <row r="202" s="197" customFormat="1" spans="34:36">
      <c r="AH202" s="198"/>
      <c r="AI202" s="198"/>
      <c r="AJ202" s="198"/>
    </row>
    <row r="203" s="197" customFormat="1" spans="43:43">
      <c r="AQ203" s="198"/>
    </row>
    <row r="204" s="197" customFormat="1" spans="24:54">
      <c r="X204" s="284"/>
      <c r="AQ204" s="198"/>
      <c r="AR204" s="284"/>
      <c r="BB204" s="284"/>
    </row>
    <row r="205" s="197" customFormat="1" spans="43:43">
      <c r="AQ205" s="198"/>
    </row>
    <row r="206" spans="43:43">
      <c r="AQ206" s="198"/>
    </row>
    <row r="207" spans="43:43">
      <c r="AQ207" s="198"/>
    </row>
    <row r="208" spans="43:43">
      <c r="AQ208" s="198"/>
    </row>
    <row r="209" spans="43:43">
      <c r="AQ209" s="198"/>
    </row>
    <row r="211" ht="21" spans="2:33">
      <c r="B211" s="265" t="s">
        <v>452</v>
      </c>
      <c r="C211" s="266"/>
      <c r="D211" s="265"/>
      <c r="E211" s="265"/>
      <c r="I211" s="275"/>
      <c r="J211" s="234" t="s">
        <v>453</v>
      </c>
      <c r="K211" s="234"/>
      <c r="L211" s="234"/>
      <c r="M211" s="234"/>
      <c r="N211" s="234"/>
      <c r="O211" s="234"/>
      <c r="P211" s="234"/>
      <c r="Q211" s="234"/>
      <c r="R211" s="234"/>
      <c r="S211" s="234"/>
      <c r="T211" s="234"/>
      <c r="U211" s="234"/>
      <c r="V211" s="285"/>
      <c r="W211" s="286"/>
      <c r="X211" s="287"/>
      <c r="Y211" s="287"/>
      <c r="Z211" s="287"/>
      <c r="AA211" s="287"/>
      <c r="AB211" s="287"/>
      <c r="AC211" s="287"/>
      <c r="AD211" s="287"/>
      <c r="AE211" s="287"/>
      <c r="AF211" s="287"/>
      <c r="AG211" s="285"/>
    </row>
    <row r="212" ht="21" spans="2:64">
      <c r="B212" s="267" t="s">
        <v>387</v>
      </c>
      <c r="C212" s="265"/>
      <c r="D212" s="265"/>
      <c r="E212" s="265"/>
      <c r="I212" s="276"/>
      <c r="J212" s="277" t="s">
        <v>390</v>
      </c>
      <c r="K212" s="278"/>
      <c r="L212" s="278"/>
      <c r="M212" s="277" t="s">
        <v>391</v>
      </c>
      <c r="N212" s="278"/>
      <c r="O212" s="278"/>
      <c r="P212" s="277" t="s">
        <v>392</v>
      </c>
      <c r="Q212" s="278"/>
      <c r="R212" s="278"/>
      <c r="S212" s="243" t="s">
        <v>393</v>
      </c>
      <c r="T212" s="275"/>
      <c r="U212" s="275"/>
      <c r="V212" s="285"/>
      <c r="W212" s="288"/>
      <c r="X212" s="289"/>
      <c r="Y212" s="289"/>
      <c r="Z212" s="289"/>
      <c r="AA212" s="289"/>
      <c r="AB212" s="289"/>
      <c r="AC212" s="289"/>
      <c r="AD212" s="289"/>
      <c r="AE212" s="289"/>
      <c r="AF212" s="289"/>
      <c r="AG212" s="285"/>
      <c r="AH212" s="234" t="s">
        <v>454</v>
      </c>
      <c r="AI212" s="234"/>
      <c r="AJ212" s="234"/>
      <c r="AK212" s="234"/>
      <c r="AL212" s="234"/>
      <c r="AM212" s="234"/>
      <c r="AN212" s="234"/>
      <c r="AO212" s="306"/>
      <c r="AP212" s="306"/>
      <c r="AS212" s="245" t="s">
        <v>455</v>
      </c>
      <c r="AT212" s="354"/>
      <c r="AU212" s="354"/>
      <c r="AV212" s="245"/>
      <c r="AW212" s="245"/>
      <c r="AX212" s="245"/>
      <c r="AY212" s="245"/>
      <c r="AZ212" s="245"/>
      <c r="BA212" s="245"/>
      <c r="BB212" s="246"/>
      <c r="BC212" s="245" t="s">
        <v>455</v>
      </c>
      <c r="BD212" s="354"/>
      <c r="BE212" s="354"/>
      <c r="BF212" s="245"/>
      <c r="BG212" s="245"/>
      <c r="BH212" s="245"/>
      <c r="BI212" s="245"/>
      <c r="BJ212" s="245"/>
      <c r="BK212" s="245"/>
      <c r="BL212" s="245"/>
    </row>
    <row r="213" ht="13" spans="2:64">
      <c r="B213" s="265"/>
      <c r="C213" s="267"/>
      <c r="D213" s="267"/>
      <c r="E213" s="267"/>
      <c r="I213" s="276"/>
      <c r="J213" s="279" t="s">
        <v>456</v>
      </c>
      <c r="K213" s="280"/>
      <c r="L213" s="278"/>
      <c r="M213" s="279" t="s">
        <v>456</v>
      </c>
      <c r="N213" s="280"/>
      <c r="O213" s="278"/>
      <c r="P213" s="279" t="s">
        <v>456</v>
      </c>
      <c r="Q213" s="280"/>
      <c r="R213" s="278"/>
      <c r="S213" s="279" t="s">
        <v>456</v>
      </c>
      <c r="T213" s="280"/>
      <c r="U213" s="278"/>
      <c r="V213" s="285"/>
      <c r="W213" s="288"/>
      <c r="X213" s="290"/>
      <c r="Y213" s="290"/>
      <c r="Z213" s="290"/>
      <c r="AA213" s="351" t="s">
        <v>362</v>
      </c>
      <c r="AB213" s="351"/>
      <c r="AC213" s="351"/>
      <c r="AD213" s="352"/>
      <c r="AE213" s="290"/>
      <c r="AF213" s="290"/>
      <c r="AG213" s="285"/>
      <c r="AH213" s="233"/>
      <c r="AI213" s="233" t="s">
        <v>457</v>
      </c>
      <c r="AJ213" s="233" t="s">
        <v>458</v>
      </c>
      <c r="AK213" s="233" t="s">
        <v>459</v>
      </c>
      <c r="AL213" s="233" t="s">
        <v>460</v>
      </c>
      <c r="AM213" s="300" t="s">
        <v>461</v>
      </c>
      <c r="AN213" s="233" t="s">
        <v>462</v>
      </c>
      <c r="AO213" s="233" t="s">
        <v>325</v>
      </c>
      <c r="AP213" s="233" t="s">
        <v>463</v>
      </c>
      <c r="AQ213" s="303"/>
      <c r="AS213" s="245" t="s">
        <v>220</v>
      </c>
      <c r="AT213" s="245" t="s">
        <v>268</v>
      </c>
      <c r="AU213" s="245" t="s">
        <v>277</v>
      </c>
      <c r="AV213" s="245" t="s">
        <v>279</v>
      </c>
      <c r="AW213" s="245" t="s">
        <v>281</v>
      </c>
      <c r="AX213" s="245" t="s">
        <v>284</v>
      </c>
      <c r="AY213" s="245" t="s">
        <v>286</v>
      </c>
      <c r="AZ213" s="245" t="s">
        <v>288</v>
      </c>
      <c r="BA213" s="245" t="s">
        <v>399</v>
      </c>
      <c r="BB213" s="246"/>
      <c r="BC213" s="245" t="s">
        <v>220</v>
      </c>
      <c r="BD213" s="245" t="s">
        <v>268</v>
      </c>
      <c r="BE213" s="245" t="s">
        <v>277</v>
      </c>
      <c r="BF213" s="245" t="s">
        <v>279</v>
      </c>
      <c r="BG213" s="245" t="s">
        <v>281</v>
      </c>
      <c r="BH213" s="245" t="s">
        <v>284</v>
      </c>
      <c r="BI213" s="245" t="s">
        <v>286</v>
      </c>
      <c r="BJ213" s="245" t="s">
        <v>288</v>
      </c>
      <c r="BK213" s="245" t="s">
        <v>399</v>
      </c>
      <c r="BL213" s="245" t="s">
        <v>405</v>
      </c>
    </row>
    <row r="214" ht="14.5" spans="2:64">
      <c r="B214" s="267" t="s">
        <v>220</v>
      </c>
      <c r="C214" s="267" t="s">
        <v>400</v>
      </c>
      <c r="D214" s="267" t="s">
        <v>401</v>
      </c>
      <c r="E214" s="267" t="s">
        <v>402</v>
      </c>
      <c r="I214" s="276"/>
      <c r="J214" s="279" t="s">
        <v>464</v>
      </c>
      <c r="K214" s="279" t="s">
        <v>465</v>
      </c>
      <c r="L214" s="279" t="s">
        <v>466</v>
      </c>
      <c r="M214" s="277" t="s">
        <v>464</v>
      </c>
      <c r="N214" s="281" t="s">
        <v>465</v>
      </c>
      <c r="O214" s="277" t="s">
        <v>466</v>
      </c>
      <c r="P214" s="277" t="s">
        <v>464</v>
      </c>
      <c r="Q214" s="277" t="s">
        <v>465</v>
      </c>
      <c r="R214" s="277" t="s">
        <v>466</v>
      </c>
      <c r="S214" s="277" t="s">
        <v>464</v>
      </c>
      <c r="T214" s="277" t="s">
        <v>465</v>
      </c>
      <c r="U214" s="277" t="s">
        <v>466</v>
      </c>
      <c r="V214" s="285"/>
      <c r="W214" s="288"/>
      <c r="X214" s="290"/>
      <c r="Y214" s="290"/>
      <c r="Z214" s="290"/>
      <c r="AA214" s="353" t="str">
        <f>B214</f>
        <v>process</v>
      </c>
      <c r="AB214" s="354" t="s">
        <v>191</v>
      </c>
      <c r="AC214" s="354" t="s">
        <v>76</v>
      </c>
      <c r="AD214" s="355" t="s">
        <v>73</v>
      </c>
      <c r="AE214" s="289"/>
      <c r="AF214" s="289"/>
      <c r="AG214" s="285"/>
      <c r="AH214" s="301" t="s">
        <v>467</v>
      </c>
      <c r="AI214" s="233">
        <v>0</v>
      </c>
      <c r="AJ214" s="233">
        <v>0.98</v>
      </c>
      <c r="AK214" s="233">
        <v>0.9</v>
      </c>
      <c r="AL214" s="233">
        <v>0</v>
      </c>
      <c r="AM214" s="233">
        <v>0</v>
      </c>
      <c r="AN214" s="233">
        <v>0.9</v>
      </c>
      <c r="AO214" s="233">
        <v>0</v>
      </c>
      <c r="AP214" s="233">
        <v>0.9</v>
      </c>
      <c r="AQ214" s="303"/>
      <c r="AS214" s="361" t="s">
        <v>363</v>
      </c>
      <c r="AT214" s="351">
        <f>D263/AD215</f>
        <v>0</v>
      </c>
      <c r="AU214" s="351">
        <f>E263/AD215</f>
        <v>0</v>
      </c>
      <c r="AV214" s="351">
        <f>F263/AD215</f>
        <v>0</v>
      </c>
      <c r="AW214" s="351">
        <f>G263/AD215</f>
        <v>0</v>
      </c>
      <c r="AX214" s="351">
        <f>H263/AD215</f>
        <v>0</v>
      </c>
      <c r="AY214" s="351">
        <f>I263/AD215</f>
        <v>1</v>
      </c>
      <c r="AZ214" s="351">
        <f>J263/AD215</f>
        <v>0</v>
      </c>
      <c r="BA214" s="245" t="s">
        <v>304</v>
      </c>
      <c r="BB214" s="246"/>
      <c r="BC214" s="351" t="s">
        <v>363</v>
      </c>
      <c r="BD214" s="351">
        <v>5</v>
      </c>
      <c r="BE214" s="351">
        <v>5</v>
      </c>
      <c r="BF214" s="351">
        <v>5</v>
      </c>
      <c r="BG214" s="351">
        <v>5</v>
      </c>
      <c r="BH214" s="351">
        <v>5</v>
      </c>
      <c r="BI214" s="351">
        <v>5</v>
      </c>
      <c r="BJ214" s="351">
        <v>5</v>
      </c>
      <c r="BK214" s="245" t="s">
        <v>304</v>
      </c>
      <c r="BL214" s="245">
        <v>0</v>
      </c>
    </row>
    <row r="215" ht="20" spans="1:64">
      <c r="A215" s="268"/>
      <c r="B215" s="267" t="s">
        <v>407</v>
      </c>
      <c r="C215" s="267"/>
      <c r="D215" s="269"/>
      <c r="E215" s="269"/>
      <c r="I215" s="243" t="s">
        <v>408</v>
      </c>
      <c r="J215" s="282">
        <v>9.30880110537951</v>
      </c>
      <c r="K215" s="282">
        <v>5.20810707442889</v>
      </c>
      <c r="L215" s="282">
        <v>4.48241960206338</v>
      </c>
      <c r="M215" s="282">
        <v>7.447040899042</v>
      </c>
      <c r="N215" s="282">
        <v>4.16648563006632</v>
      </c>
      <c r="O215" s="282">
        <v>3.58593566691231</v>
      </c>
      <c r="P215" s="282">
        <v>5.67836868091378</v>
      </c>
      <c r="Q215" s="282">
        <v>3.17694532056006</v>
      </c>
      <c r="R215" s="282">
        <v>2.73427597641857</v>
      </c>
      <c r="S215" s="276">
        <f>AVERAGE(J215,M215,P215)</f>
        <v>7.4780702284451</v>
      </c>
      <c r="T215" s="276">
        <f>AVERAGE(K215,N215,Q215)</f>
        <v>4.18384600835176</v>
      </c>
      <c r="U215" s="276">
        <f>AVERAGE(L215,O215,R215)</f>
        <v>3.60087708179809</v>
      </c>
      <c r="V215" s="285"/>
      <c r="W215" s="289"/>
      <c r="X215" s="291"/>
      <c r="Y215" s="291"/>
      <c r="Z215" s="291"/>
      <c r="AA215" s="356" t="str">
        <f>B216</f>
        <v>PyroRecy-LFP</v>
      </c>
      <c r="AB215" s="345" t="s">
        <v>355</v>
      </c>
      <c r="AC215" s="245" t="s">
        <v>468</v>
      </c>
      <c r="AD215" s="357">
        <f>SUM(D263:J263)</f>
        <v>0.8514</v>
      </c>
      <c r="AE215" s="291"/>
      <c r="AF215" s="291"/>
      <c r="AG215" s="285"/>
      <c r="AH215" s="233"/>
      <c r="AI215" s="233">
        <f t="shared" ref="AI215:AN215" si="35">AI214</f>
        <v>0</v>
      </c>
      <c r="AJ215" s="233">
        <f t="shared" si="35"/>
        <v>0.98</v>
      </c>
      <c r="AK215" s="233">
        <f t="shared" si="35"/>
        <v>0.9</v>
      </c>
      <c r="AL215" s="233">
        <f t="shared" si="35"/>
        <v>0</v>
      </c>
      <c r="AM215" s="233">
        <f t="shared" si="35"/>
        <v>0</v>
      </c>
      <c r="AN215" s="233">
        <f t="shared" si="35"/>
        <v>0.9</v>
      </c>
      <c r="AO215" s="233">
        <v>0</v>
      </c>
      <c r="AP215" s="233">
        <f t="shared" ref="AP215:AP220" si="36">AP214</f>
        <v>0.9</v>
      </c>
      <c r="AQ215" s="303"/>
      <c r="AS215" s="361" t="s">
        <v>364</v>
      </c>
      <c r="AT215" s="351">
        <f t="shared" ref="AT215:AT234" si="37">D264/AD216</f>
        <v>0</v>
      </c>
      <c r="AU215" s="351">
        <f t="shared" ref="AU215:AU234" si="38">E264/AD216</f>
        <v>0</v>
      </c>
      <c r="AV215" s="351">
        <f t="shared" ref="AV215:AV234" si="39">F264/AD216</f>
        <v>0</v>
      </c>
      <c r="AW215" s="351">
        <f t="shared" ref="AW215:AW234" si="40">G264/AD216</f>
        <v>0</v>
      </c>
      <c r="AX215" s="351">
        <f t="shared" ref="AX215:AX234" si="41">H264/AD216</f>
        <v>0</v>
      </c>
      <c r="AY215" s="351">
        <f t="shared" ref="AY215:AY234" si="42">I264/AD216</f>
        <v>1</v>
      </c>
      <c r="AZ215" s="351">
        <f t="shared" ref="AZ215:AZ234" si="43">J264/AD216</f>
        <v>0</v>
      </c>
      <c r="BA215" s="245" t="s">
        <v>304</v>
      </c>
      <c r="BB215" s="246"/>
      <c r="BC215" s="351" t="s">
        <v>364</v>
      </c>
      <c r="BD215" s="351">
        <v>5</v>
      </c>
      <c r="BE215" s="351">
        <v>5</v>
      </c>
      <c r="BF215" s="351">
        <v>5</v>
      </c>
      <c r="BG215" s="351">
        <v>5</v>
      </c>
      <c r="BH215" s="351">
        <v>5</v>
      </c>
      <c r="BI215" s="351">
        <v>5</v>
      </c>
      <c r="BJ215" s="351">
        <v>5</v>
      </c>
      <c r="BK215" s="245" t="s">
        <v>304</v>
      </c>
      <c r="BL215" s="245">
        <v>0</v>
      </c>
    </row>
    <row r="216" ht="20" spans="1:64">
      <c r="A216" s="268"/>
      <c r="B216" s="267" t="s">
        <v>363</v>
      </c>
      <c r="C216" s="267">
        <f>S216</f>
        <v>7.11384396954065</v>
      </c>
      <c r="D216" s="269">
        <f>P216</f>
        <v>5.40179852616065</v>
      </c>
      <c r="E216" s="269">
        <f>J216</f>
        <v>8.85540744288872</v>
      </c>
      <c r="I216" s="243" t="s">
        <v>469</v>
      </c>
      <c r="J216" s="282">
        <v>8.85540744288872</v>
      </c>
      <c r="K216" s="282">
        <v>5.20810707442889</v>
      </c>
      <c r="L216" s="282">
        <v>4.4384597641857</v>
      </c>
      <c r="M216" s="282">
        <v>7.08432593957259</v>
      </c>
      <c r="N216" s="282">
        <v>4.16648563006632</v>
      </c>
      <c r="O216" s="282">
        <v>3.55076779661017</v>
      </c>
      <c r="P216" s="282">
        <v>5.40179852616065</v>
      </c>
      <c r="Q216" s="282">
        <v>3.17694532056006</v>
      </c>
      <c r="R216" s="282">
        <v>2.70746042741341</v>
      </c>
      <c r="S216" s="276">
        <f t="shared" ref="S216:S222" si="44">AVERAGE(J216,M216,P216)</f>
        <v>7.11384396954065</v>
      </c>
      <c r="T216" s="276">
        <f t="shared" ref="T216:T222" si="45">AVERAGE(K216,N216,Q216)</f>
        <v>4.18384600835176</v>
      </c>
      <c r="U216" s="276">
        <f t="shared" ref="U216:U222" si="46">AVERAGE(L216,O216,R216)</f>
        <v>3.56556266273643</v>
      </c>
      <c r="V216" s="285"/>
      <c r="W216" s="289"/>
      <c r="X216" s="291"/>
      <c r="Y216" s="291"/>
      <c r="Z216" s="291"/>
      <c r="AA216" s="356" t="str">
        <f t="shared" ref="AA216:AA235" si="47">B217</f>
        <v>PyroRecy-LMO</v>
      </c>
      <c r="AB216" s="345" t="s">
        <v>356</v>
      </c>
      <c r="AC216" s="245" t="s">
        <v>468</v>
      </c>
      <c r="AD216" s="357">
        <f t="shared" ref="AD216:AD235" si="48">SUM(D264:J264)</f>
        <v>0.7767</v>
      </c>
      <c r="AE216" s="291"/>
      <c r="AF216" s="291"/>
      <c r="AG216" s="285"/>
      <c r="AH216" s="233"/>
      <c r="AI216" s="233">
        <f t="shared" ref="AI216:AN216" si="49">AI215</f>
        <v>0</v>
      </c>
      <c r="AJ216" s="233">
        <f t="shared" si="49"/>
        <v>0.98</v>
      </c>
      <c r="AK216" s="233">
        <f t="shared" si="49"/>
        <v>0.9</v>
      </c>
      <c r="AL216" s="233">
        <f t="shared" si="49"/>
        <v>0</v>
      </c>
      <c r="AM216" s="233">
        <f t="shared" si="49"/>
        <v>0</v>
      </c>
      <c r="AN216" s="233">
        <f t="shared" si="49"/>
        <v>0.9</v>
      </c>
      <c r="AO216" s="233">
        <v>0</v>
      </c>
      <c r="AP216" s="233">
        <f t="shared" si="36"/>
        <v>0.9</v>
      </c>
      <c r="AQ216" s="303"/>
      <c r="AS216" s="361" t="s">
        <v>365</v>
      </c>
      <c r="AT216" s="351">
        <f t="shared" si="37"/>
        <v>0</v>
      </c>
      <c r="AU216" s="351">
        <f t="shared" si="38"/>
        <v>0.514315167986505</v>
      </c>
      <c r="AV216" s="351">
        <f t="shared" si="39"/>
        <v>0.0892647954641301</v>
      </c>
      <c r="AW216" s="351">
        <f t="shared" si="40"/>
        <v>0</v>
      </c>
      <c r="AX216" s="351">
        <f t="shared" si="41"/>
        <v>0</v>
      </c>
      <c r="AY216" s="351">
        <f t="shared" si="42"/>
        <v>0.396420036549365</v>
      </c>
      <c r="AZ216" s="351">
        <f t="shared" si="43"/>
        <v>0</v>
      </c>
      <c r="BA216" s="245" t="s">
        <v>304</v>
      </c>
      <c r="BB216" s="246"/>
      <c r="BC216" s="351" t="s">
        <v>365</v>
      </c>
      <c r="BD216" s="351">
        <v>5</v>
      </c>
      <c r="BE216" s="351">
        <v>5</v>
      </c>
      <c r="BF216" s="351">
        <v>5</v>
      </c>
      <c r="BG216" s="351">
        <v>5</v>
      </c>
      <c r="BH216" s="351">
        <v>5</v>
      </c>
      <c r="BI216" s="351">
        <v>5</v>
      </c>
      <c r="BJ216" s="351">
        <v>5</v>
      </c>
      <c r="BK216" s="245" t="s">
        <v>304</v>
      </c>
      <c r="BL216" s="245">
        <v>0</v>
      </c>
    </row>
    <row r="217" ht="20" spans="1:64">
      <c r="A217" s="270"/>
      <c r="B217" s="267" t="s">
        <v>364</v>
      </c>
      <c r="C217" s="267">
        <f t="shared" ref="C217:C222" si="50">S217</f>
        <v>7.11384396954065</v>
      </c>
      <c r="D217" s="269">
        <f t="shared" ref="D217:D222" si="51">P217</f>
        <v>5.40179852616065</v>
      </c>
      <c r="E217" s="269">
        <f t="shared" ref="E217:E222" si="52">J217</f>
        <v>8.85540744288872</v>
      </c>
      <c r="I217" s="243" t="s">
        <v>470</v>
      </c>
      <c r="J217" s="282">
        <v>8.85540744288872</v>
      </c>
      <c r="K217" s="282">
        <v>5.20810707442889</v>
      </c>
      <c r="L217" s="282">
        <v>4.48241960206338</v>
      </c>
      <c r="M217" s="282">
        <v>7.08432593957259</v>
      </c>
      <c r="N217" s="282">
        <v>4.16648563006632</v>
      </c>
      <c r="O217" s="282">
        <v>3.58593566691231</v>
      </c>
      <c r="P217" s="282">
        <v>5.40179852616065</v>
      </c>
      <c r="Q217" s="282">
        <v>3.17694532056006</v>
      </c>
      <c r="R217" s="282">
        <v>2.73427597641857</v>
      </c>
      <c r="S217" s="276">
        <f t="shared" si="44"/>
        <v>7.11384396954065</v>
      </c>
      <c r="T217" s="276">
        <f t="shared" si="45"/>
        <v>4.18384600835176</v>
      </c>
      <c r="U217" s="276">
        <f t="shared" si="46"/>
        <v>3.60087708179809</v>
      </c>
      <c r="V217" s="285"/>
      <c r="W217" s="289"/>
      <c r="X217" s="291"/>
      <c r="Y217" s="291"/>
      <c r="Z217" s="291"/>
      <c r="AA217" s="356" t="str">
        <f t="shared" si="47"/>
        <v>PyroRecy-NCA</v>
      </c>
      <c r="AB217" s="345" t="s">
        <v>357</v>
      </c>
      <c r="AC217" s="245" t="s">
        <v>468</v>
      </c>
      <c r="AD217" s="357">
        <f t="shared" si="48"/>
        <v>1.28046</v>
      </c>
      <c r="AE217" s="291"/>
      <c r="AF217" s="291"/>
      <c r="AG217" s="285"/>
      <c r="AH217" s="233"/>
      <c r="AI217" s="233">
        <f t="shared" ref="AI217:AN217" si="53">AI216</f>
        <v>0</v>
      </c>
      <c r="AJ217" s="233">
        <f t="shared" si="53"/>
        <v>0.98</v>
      </c>
      <c r="AK217" s="233">
        <f t="shared" si="53"/>
        <v>0.9</v>
      </c>
      <c r="AL217" s="233">
        <f t="shared" si="53"/>
        <v>0</v>
      </c>
      <c r="AM217" s="233">
        <f t="shared" si="53"/>
        <v>0</v>
      </c>
      <c r="AN217" s="233">
        <f t="shared" si="53"/>
        <v>0.9</v>
      </c>
      <c r="AO217" s="233">
        <v>0</v>
      </c>
      <c r="AP217" s="233">
        <f t="shared" si="36"/>
        <v>0.9</v>
      </c>
      <c r="AQ217" s="303"/>
      <c r="AS217" s="361" t="s">
        <v>366</v>
      </c>
      <c r="AT217" s="351">
        <f t="shared" si="37"/>
        <v>0</v>
      </c>
      <c r="AU217" s="351">
        <f t="shared" si="38"/>
        <v>0.270833333333333</v>
      </c>
      <c r="AV217" s="351">
        <f t="shared" si="39"/>
        <v>0.249433106575964</v>
      </c>
      <c r="AW217" s="351">
        <f t="shared" si="40"/>
        <v>0</v>
      </c>
      <c r="AX217" s="351">
        <f t="shared" si="41"/>
        <v>0</v>
      </c>
      <c r="AY217" s="351">
        <f t="shared" si="42"/>
        <v>0.479733560090703</v>
      </c>
      <c r="AZ217" s="351">
        <f t="shared" si="43"/>
        <v>0</v>
      </c>
      <c r="BA217" s="245" t="s">
        <v>304</v>
      </c>
      <c r="BB217" s="246"/>
      <c r="BC217" s="351" t="s">
        <v>366</v>
      </c>
      <c r="BD217" s="351">
        <v>5</v>
      </c>
      <c r="BE217" s="351">
        <v>5</v>
      </c>
      <c r="BF217" s="351">
        <v>5</v>
      </c>
      <c r="BG217" s="351">
        <v>5</v>
      </c>
      <c r="BH217" s="351">
        <v>5</v>
      </c>
      <c r="BI217" s="351">
        <v>5</v>
      </c>
      <c r="BJ217" s="351">
        <v>5</v>
      </c>
      <c r="BK217" s="245" t="s">
        <v>304</v>
      </c>
      <c r="BL217" s="245">
        <v>0</v>
      </c>
    </row>
    <row r="218" ht="15.5" spans="2:64">
      <c r="B218" s="267" t="s">
        <v>365</v>
      </c>
      <c r="C218" s="267">
        <f t="shared" si="50"/>
        <v>7.62975445836404</v>
      </c>
      <c r="D218" s="269">
        <f t="shared" si="51"/>
        <v>5.79354797347089</v>
      </c>
      <c r="E218" s="269">
        <f t="shared" si="52"/>
        <v>9.49761967575534</v>
      </c>
      <c r="I218" s="243" t="s">
        <v>241</v>
      </c>
      <c r="J218" s="282">
        <v>9.49761967575534</v>
      </c>
      <c r="K218" s="282">
        <v>5.20810707442889</v>
      </c>
      <c r="L218" s="282">
        <v>4.4384597641857</v>
      </c>
      <c r="M218" s="282">
        <v>7.59809572586588</v>
      </c>
      <c r="N218" s="282">
        <v>4.16648563006632</v>
      </c>
      <c r="O218" s="282">
        <v>3.55076779661017</v>
      </c>
      <c r="P218" s="282">
        <v>5.79354797347089</v>
      </c>
      <c r="Q218" s="282">
        <v>3.17694532056006</v>
      </c>
      <c r="R218" s="282">
        <v>2.70746042741341</v>
      </c>
      <c r="S218" s="276">
        <f t="shared" si="44"/>
        <v>7.62975445836404</v>
      </c>
      <c r="T218" s="276">
        <f t="shared" si="45"/>
        <v>4.18384600835176</v>
      </c>
      <c r="U218" s="276">
        <f t="shared" si="46"/>
        <v>3.56556266273643</v>
      </c>
      <c r="V218" s="285"/>
      <c r="W218" s="289"/>
      <c r="X218" s="291"/>
      <c r="Y218" s="291"/>
      <c r="Z218" s="291"/>
      <c r="AA218" s="356" t="str">
        <f t="shared" si="47"/>
        <v>PyroRecy-NMC111</v>
      </c>
      <c r="AB218" s="345" t="s">
        <v>358</v>
      </c>
      <c r="AC218" s="245" t="s">
        <v>468</v>
      </c>
      <c r="AD218" s="357">
        <f t="shared" si="48"/>
        <v>1.27008</v>
      </c>
      <c r="AE218" s="291"/>
      <c r="AF218" s="291"/>
      <c r="AG218" s="285"/>
      <c r="AH218" s="233"/>
      <c r="AI218" s="233">
        <f t="shared" ref="AI218:AN218" si="54">AI217</f>
        <v>0</v>
      </c>
      <c r="AJ218" s="233">
        <f t="shared" si="54"/>
        <v>0.98</v>
      </c>
      <c r="AK218" s="233">
        <f t="shared" si="54"/>
        <v>0.9</v>
      </c>
      <c r="AL218" s="233">
        <f t="shared" si="54"/>
        <v>0</v>
      </c>
      <c r="AM218" s="233">
        <f t="shared" si="54"/>
        <v>0</v>
      </c>
      <c r="AN218" s="233">
        <f t="shared" si="54"/>
        <v>0.9</v>
      </c>
      <c r="AO218" s="233">
        <v>0</v>
      </c>
      <c r="AP218" s="233">
        <f t="shared" si="36"/>
        <v>0.9</v>
      </c>
      <c r="AQ218" s="303"/>
      <c r="AS218" s="361" t="s">
        <v>367</v>
      </c>
      <c r="AT218" s="351">
        <f t="shared" si="37"/>
        <v>0</v>
      </c>
      <c r="AU218" s="351">
        <f t="shared" si="38"/>
        <v>0.390052807245718</v>
      </c>
      <c r="AV218" s="351">
        <f t="shared" si="39"/>
        <v>0.143848817713149</v>
      </c>
      <c r="AW218" s="351">
        <f t="shared" si="40"/>
        <v>0</v>
      </c>
      <c r="AX218" s="351">
        <f t="shared" si="41"/>
        <v>0</v>
      </c>
      <c r="AY218" s="351">
        <f t="shared" si="42"/>
        <v>0.466098375041133</v>
      </c>
      <c r="AZ218" s="351">
        <f t="shared" si="43"/>
        <v>0</v>
      </c>
      <c r="BA218" s="245" t="s">
        <v>304</v>
      </c>
      <c r="BB218" s="246"/>
      <c r="BC218" s="351" t="s">
        <v>367</v>
      </c>
      <c r="BD218" s="351">
        <v>5</v>
      </c>
      <c r="BE218" s="351">
        <v>5</v>
      </c>
      <c r="BF218" s="351">
        <v>5</v>
      </c>
      <c r="BG218" s="351">
        <v>5</v>
      </c>
      <c r="BH218" s="351">
        <v>5</v>
      </c>
      <c r="BI218" s="351">
        <v>5</v>
      </c>
      <c r="BJ218" s="351">
        <v>5</v>
      </c>
      <c r="BK218" s="245" t="s">
        <v>304</v>
      </c>
      <c r="BL218" s="245">
        <v>0</v>
      </c>
    </row>
    <row r="219" ht="15.5" spans="2:64">
      <c r="B219" s="267" t="s">
        <v>366</v>
      </c>
      <c r="C219" s="267">
        <f t="shared" si="50"/>
        <v>7.47097081798084</v>
      </c>
      <c r="D219" s="269">
        <f t="shared" si="51"/>
        <v>5.67297781871776</v>
      </c>
      <c r="E219" s="269">
        <f t="shared" si="52"/>
        <v>9.29996366985999</v>
      </c>
      <c r="I219" s="243" t="s">
        <v>247</v>
      </c>
      <c r="J219" s="282">
        <v>9.29996366985999</v>
      </c>
      <c r="K219" s="282">
        <v>5.20810707442889</v>
      </c>
      <c r="L219" s="282">
        <v>4.43956890198968</v>
      </c>
      <c r="M219" s="282">
        <v>7.43997096536478</v>
      </c>
      <c r="N219" s="282">
        <v>4.16648563006632</v>
      </c>
      <c r="O219" s="282">
        <v>3.55165512159175</v>
      </c>
      <c r="P219" s="282">
        <v>5.67297781871776</v>
      </c>
      <c r="Q219" s="282">
        <v>3.17694532056006</v>
      </c>
      <c r="R219" s="282">
        <v>2.70813706705969</v>
      </c>
      <c r="S219" s="276">
        <f t="shared" si="44"/>
        <v>7.47097081798084</v>
      </c>
      <c r="T219" s="276">
        <f t="shared" si="45"/>
        <v>4.18384600835176</v>
      </c>
      <c r="U219" s="276">
        <f t="shared" si="46"/>
        <v>3.56645369688037</v>
      </c>
      <c r="V219" s="285"/>
      <c r="W219" s="289"/>
      <c r="X219" s="291"/>
      <c r="Y219" s="291"/>
      <c r="Z219" s="291"/>
      <c r="AA219" s="356" t="str">
        <f t="shared" si="47"/>
        <v>PyroRecy-NMC532</v>
      </c>
      <c r="AB219" s="345" t="s">
        <v>359</v>
      </c>
      <c r="AC219" s="245" t="s">
        <v>468</v>
      </c>
      <c r="AD219" s="357">
        <f t="shared" si="48"/>
        <v>1.27634</v>
      </c>
      <c r="AE219" s="291"/>
      <c r="AF219" s="291"/>
      <c r="AG219" s="285"/>
      <c r="AH219" s="233"/>
      <c r="AI219" s="233">
        <f t="shared" ref="AI219:AN219" si="55">AI218</f>
        <v>0</v>
      </c>
      <c r="AJ219" s="233">
        <f t="shared" si="55"/>
        <v>0.98</v>
      </c>
      <c r="AK219" s="233">
        <f t="shared" si="55"/>
        <v>0.9</v>
      </c>
      <c r="AL219" s="233">
        <f t="shared" si="55"/>
        <v>0</v>
      </c>
      <c r="AM219" s="233">
        <f t="shared" si="55"/>
        <v>0</v>
      </c>
      <c r="AN219" s="233">
        <f t="shared" si="55"/>
        <v>0.9</v>
      </c>
      <c r="AO219" s="233">
        <v>0</v>
      </c>
      <c r="AP219" s="233">
        <f t="shared" si="36"/>
        <v>0.9</v>
      </c>
      <c r="AQ219" s="303"/>
      <c r="AS219" s="361" t="s">
        <v>368</v>
      </c>
      <c r="AT219" s="351">
        <f t="shared" si="37"/>
        <v>0</v>
      </c>
      <c r="AU219" s="351">
        <f t="shared" si="38"/>
        <v>0.42477225977079</v>
      </c>
      <c r="AV219" s="351">
        <f t="shared" si="39"/>
        <v>0.130766970320306</v>
      </c>
      <c r="AW219" s="351">
        <f t="shared" si="40"/>
        <v>0</v>
      </c>
      <c r="AX219" s="351">
        <f t="shared" si="41"/>
        <v>0</v>
      </c>
      <c r="AY219" s="351">
        <f t="shared" si="42"/>
        <v>0.444460769908904</v>
      </c>
      <c r="AZ219" s="351">
        <f t="shared" si="43"/>
        <v>0</v>
      </c>
      <c r="BA219" s="245" t="s">
        <v>304</v>
      </c>
      <c r="BB219" s="246"/>
      <c r="BC219" s="351" t="s">
        <v>368</v>
      </c>
      <c r="BD219" s="351">
        <v>5</v>
      </c>
      <c r="BE219" s="351">
        <v>5</v>
      </c>
      <c r="BF219" s="351">
        <v>5</v>
      </c>
      <c r="BG219" s="351">
        <v>5</v>
      </c>
      <c r="BH219" s="351">
        <v>5</v>
      </c>
      <c r="BI219" s="351">
        <v>5</v>
      </c>
      <c r="BJ219" s="351">
        <v>5</v>
      </c>
      <c r="BK219" s="245" t="s">
        <v>304</v>
      </c>
      <c r="BL219" s="245">
        <v>0</v>
      </c>
    </row>
    <row r="220" ht="15.5" spans="2:64">
      <c r="B220" s="267" t="s">
        <v>367</v>
      </c>
      <c r="C220" s="267">
        <f t="shared" si="50"/>
        <v>7.51643520019651</v>
      </c>
      <c r="D220" s="269">
        <f t="shared" si="51"/>
        <v>5.70750058953574</v>
      </c>
      <c r="E220" s="269">
        <f t="shared" si="52"/>
        <v>9.35655836403832</v>
      </c>
      <c r="I220" s="243" t="s">
        <v>254</v>
      </c>
      <c r="J220" s="282">
        <v>9.35655836403832</v>
      </c>
      <c r="K220" s="282">
        <v>5.20810707442889</v>
      </c>
      <c r="L220" s="282">
        <v>4.43882940309506</v>
      </c>
      <c r="M220" s="282">
        <v>7.48524664701548</v>
      </c>
      <c r="N220" s="282">
        <v>4.16648563006632</v>
      </c>
      <c r="O220" s="282">
        <v>3.55106352247605</v>
      </c>
      <c r="P220" s="282">
        <v>5.70750058953574</v>
      </c>
      <c r="Q220" s="282">
        <v>3.17694532056006</v>
      </c>
      <c r="R220" s="282">
        <v>2.70768592483419</v>
      </c>
      <c r="S220" s="276">
        <f t="shared" si="44"/>
        <v>7.51643520019651</v>
      </c>
      <c r="T220" s="276">
        <f t="shared" si="45"/>
        <v>4.18384600835176</v>
      </c>
      <c r="U220" s="276">
        <f t="shared" si="46"/>
        <v>3.56585961680177</v>
      </c>
      <c r="V220" s="285"/>
      <c r="W220" s="289"/>
      <c r="X220" s="291"/>
      <c r="Y220" s="291"/>
      <c r="Z220" s="291"/>
      <c r="AA220" s="356" t="str">
        <f t="shared" si="47"/>
        <v>PyroRecy-NMC622</v>
      </c>
      <c r="AB220" s="345" t="s">
        <v>360</v>
      </c>
      <c r="AC220" s="245" t="s">
        <v>468</v>
      </c>
      <c r="AD220" s="357">
        <f t="shared" si="48"/>
        <v>1.22508</v>
      </c>
      <c r="AE220" s="291"/>
      <c r="AF220" s="291"/>
      <c r="AG220" s="285"/>
      <c r="AH220" s="233"/>
      <c r="AI220" s="233">
        <f t="shared" ref="AI220:AN220" si="56">AI219</f>
        <v>0</v>
      </c>
      <c r="AJ220" s="233">
        <f t="shared" si="56"/>
        <v>0.98</v>
      </c>
      <c r="AK220" s="233">
        <f t="shared" si="56"/>
        <v>0.9</v>
      </c>
      <c r="AL220" s="233">
        <f t="shared" si="56"/>
        <v>0</v>
      </c>
      <c r="AM220" s="233">
        <f t="shared" si="56"/>
        <v>0</v>
      </c>
      <c r="AN220" s="233">
        <f t="shared" si="56"/>
        <v>0.9</v>
      </c>
      <c r="AO220" s="233">
        <v>0</v>
      </c>
      <c r="AP220" s="233">
        <f t="shared" si="36"/>
        <v>0.9</v>
      </c>
      <c r="AQ220" s="303"/>
      <c r="AS220" s="361" t="s">
        <v>369</v>
      </c>
      <c r="AT220" s="351">
        <f t="shared" si="37"/>
        <v>0</v>
      </c>
      <c r="AU220" s="351">
        <f t="shared" si="38"/>
        <v>0.511482254697286</v>
      </c>
      <c r="AV220" s="351">
        <f t="shared" si="39"/>
        <v>0.0587160751565762</v>
      </c>
      <c r="AW220" s="351">
        <f t="shared" si="40"/>
        <v>0</v>
      </c>
      <c r="AX220" s="351">
        <f t="shared" si="41"/>
        <v>0</v>
      </c>
      <c r="AY220" s="351">
        <f t="shared" si="42"/>
        <v>0.429801670146138</v>
      </c>
      <c r="AZ220" s="351">
        <f t="shared" si="43"/>
        <v>0</v>
      </c>
      <c r="BA220" s="245" t="s">
        <v>304</v>
      </c>
      <c r="BB220" s="246"/>
      <c r="BC220" s="351" t="s">
        <v>369</v>
      </c>
      <c r="BD220" s="351">
        <v>5</v>
      </c>
      <c r="BE220" s="351">
        <v>5</v>
      </c>
      <c r="BF220" s="351">
        <v>5</v>
      </c>
      <c r="BG220" s="351">
        <v>5</v>
      </c>
      <c r="BH220" s="351">
        <v>5</v>
      </c>
      <c r="BI220" s="351">
        <v>5</v>
      </c>
      <c r="BJ220" s="351">
        <v>5</v>
      </c>
      <c r="BK220" s="245" t="s">
        <v>304</v>
      </c>
      <c r="BL220" s="245">
        <v>0</v>
      </c>
    </row>
    <row r="221" ht="15.5" spans="2:64">
      <c r="B221" s="267" t="s">
        <v>368</v>
      </c>
      <c r="C221" s="267">
        <f t="shared" si="50"/>
        <v>7.55036263817244</v>
      </c>
      <c r="D221" s="269">
        <f t="shared" si="51"/>
        <v>5.73326293294031</v>
      </c>
      <c r="E221" s="269">
        <f t="shared" si="52"/>
        <v>9.39879167280766</v>
      </c>
      <c r="I221" s="243" t="s">
        <v>261</v>
      </c>
      <c r="J221" s="282">
        <v>9.39879167280766</v>
      </c>
      <c r="K221" s="282">
        <v>5.20810707442889</v>
      </c>
      <c r="L221" s="282">
        <v>4.4384597641857</v>
      </c>
      <c r="M221" s="282">
        <v>7.51903330876934</v>
      </c>
      <c r="N221" s="282">
        <v>4.16648563006632</v>
      </c>
      <c r="O221" s="282">
        <v>3.55076779661017</v>
      </c>
      <c r="P221" s="282">
        <v>5.73326293294031</v>
      </c>
      <c r="Q221" s="282">
        <v>3.17694532056006</v>
      </c>
      <c r="R221" s="282">
        <v>2.70746042741341</v>
      </c>
      <c r="S221" s="276">
        <f t="shared" si="44"/>
        <v>7.55036263817244</v>
      </c>
      <c r="T221" s="276">
        <f t="shared" si="45"/>
        <v>4.18384600835176</v>
      </c>
      <c r="U221" s="276">
        <f t="shared" si="46"/>
        <v>3.56556266273643</v>
      </c>
      <c r="V221" s="285"/>
      <c r="W221" s="289"/>
      <c r="X221" s="291"/>
      <c r="Y221" s="291"/>
      <c r="Z221" s="291"/>
      <c r="AA221" s="356" t="str">
        <f t="shared" si="47"/>
        <v>PyroRecy-NMC811</v>
      </c>
      <c r="AB221" s="345" t="s">
        <v>361</v>
      </c>
      <c r="AC221" s="245" t="s">
        <v>468</v>
      </c>
      <c r="AD221" s="357">
        <f t="shared" si="48"/>
        <v>1.1496</v>
      </c>
      <c r="AE221" s="291"/>
      <c r="AF221" s="291"/>
      <c r="AG221" s="285"/>
      <c r="AH221" s="206"/>
      <c r="AI221" s="302"/>
      <c r="AJ221" s="197"/>
      <c r="AK221" s="197"/>
      <c r="AL221" s="197"/>
      <c r="AM221" s="197"/>
      <c r="AN221" s="197"/>
      <c r="AO221" s="197"/>
      <c r="AP221" s="197"/>
      <c r="AQ221" s="303"/>
      <c r="AS221" s="361" t="s">
        <v>370</v>
      </c>
      <c r="AT221" s="351">
        <f t="shared" si="37"/>
        <v>0.0168022638839759</v>
      </c>
      <c r="AU221" s="351">
        <f t="shared" si="38"/>
        <v>0</v>
      </c>
      <c r="AV221" s="351">
        <f t="shared" si="39"/>
        <v>0</v>
      </c>
      <c r="AW221" s="351">
        <f t="shared" si="40"/>
        <v>0</v>
      </c>
      <c r="AX221" s="351">
        <f t="shared" si="41"/>
        <v>0.62398302087018</v>
      </c>
      <c r="AY221" s="351">
        <f t="shared" si="42"/>
        <v>0.167315175097276</v>
      </c>
      <c r="AZ221" s="351">
        <f t="shared" si="43"/>
        <v>0.191899540148567</v>
      </c>
      <c r="BA221" s="245" t="s">
        <v>304</v>
      </c>
      <c r="BB221" s="246"/>
      <c r="BC221" s="351" t="s">
        <v>370</v>
      </c>
      <c r="BD221" s="351">
        <v>5</v>
      </c>
      <c r="BE221" s="351">
        <v>5</v>
      </c>
      <c r="BF221" s="351">
        <v>5</v>
      </c>
      <c r="BG221" s="351">
        <v>5</v>
      </c>
      <c r="BH221" s="351">
        <v>5</v>
      </c>
      <c r="BI221" s="351">
        <v>5</v>
      </c>
      <c r="BJ221" s="351">
        <v>5</v>
      </c>
      <c r="BK221" s="245" t="s">
        <v>304</v>
      </c>
      <c r="BL221" s="245">
        <v>0</v>
      </c>
    </row>
    <row r="222" ht="15.5" spans="2:64">
      <c r="B222" s="267" t="s">
        <v>369</v>
      </c>
      <c r="C222" s="267">
        <f t="shared" si="50"/>
        <v>7.62975445836404</v>
      </c>
      <c r="D222" s="269">
        <f t="shared" si="51"/>
        <v>5.79354797347089</v>
      </c>
      <c r="E222" s="269">
        <f t="shared" si="52"/>
        <v>9.49761967575534</v>
      </c>
      <c r="I222" s="243" t="s">
        <v>269</v>
      </c>
      <c r="J222" s="282">
        <v>9.49761967575534</v>
      </c>
      <c r="K222" s="282">
        <v>5.20810707442889</v>
      </c>
      <c r="L222" s="282">
        <v>4.43772063375092</v>
      </c>
      <c r="M222" s="282">
        <v>7.59809572586588</v>
      </c>
      <c r="N222" s="282">
        <v>4.16648563006632</v>
      </c>
      <c r="O222" s="282">
        <v>3.55017649226234</v>
      </c>
      <c r="P222" s="282">
        <v>5.79354797347089</v>
      </c>
      <c r="Q222" s="282">
        <v>3.17694532056006</v>
      </c>
      <c r="R222" s="282">
        <v>2.70700957995578</v>
      </c>
      <c r="S222" s="276">
        <f t="shared" si="44"/>
        <v>7.62975445836404</v>
      </c>
      <c r="T222" s="276">
        <f t="shared" si="45"/>
        <v>4.18384600835176</v>
      </c>
      <c r="U222" s="276">
        <f t="shared" si="46"/>
        <v>3.56496890198968</v>
      </c>
      <c r="V222" s="285"/>
      <c r="W222" s="289"/>
      <c r="X222" s="291"/>
      <c r="Y222" s="291"/>
      <c r="Z222" s="291"/>
      <c r="AA222" s="356" t="str">
        <f t="shared" si="47"/>
        <v>HydRecy-LFP</v>
      </c>
      <c r="AB222" s="345" t="s">
        <v>355</v>
      </c>
      <c r="AC222" s="245" t="s">
        <v>468</v>
      </c>
      <c r="AD222" s="357">
        <f t="shared" si="48"/>
        <v>5.0886</v>
      </c>
      <c r="AE222" s="291"/>
      <c r="AF222" s="291"/>
      <c r="AG222" s="285"/>
      <c r="AH222" s="303"/>
      <c r="AI222" s="303"/>
      <c r="AJ222" s="303"/>
      <c r="AK222" s="303"/>
      <c r="AL222" s="303"/>
      <c r="AM222" s="303"/>
      <c r="AN222" s="303"/>
      <c r="AO222" s="303"/>
      <c r="AP222" s="303"/>
      <c r="AQ222" s="303"/>
      <c r="AS222" s="361" t="s">
        <v>371</v>
      </c>
      <c r="AT222" s="351">
        <f t="shared" si="37"/>
        <v>0.0156594191241887</v>
      </c>
      <c r="AU222" s="351">
        <f t="shared" si="38"/>
        <v>0</v>
      </c>
      <c r="AV222" s="351">
        <f t="shared" si="39"/>
        <v>0</v>
      </c>
      <c r="AW222" s="351">
        <f t="shared" si="40"/>
        <v>0.224563292614466</v>
      </c>
      <c r="AX222" s="351">
        <f t="shared" si="41"/>
        <v>0.497703613484828</v>
      </c>
      <c r="AY222" s="351">
        <f t="shared" si="42"/>
        <v>0.127491308529952</v>
      </c>
      <c r="AZ222" s="351">
        <f t="shared" si="43"/>
        <v>0.134582366246565</v>
      </c>
      <c r="BA222" s="245" t="s">
        <v>304</v>
      </c>
      <c r="BB222" s="246"/>
      <c r="BC222" s="351" t="s">
        <v>371</v>
      </c>
      <c r="BD222" s="351">
        <v>5</v>
      </c>
      <c r="BE222" s="351">
        <v>5</v>
      </c>
      <c r="BF222" s="351">
        <v>5</v>
      </c>
      <c r="BG222" s="351">
        <v>5</v>
      </c>
      <c r="BH222" s="351">
        <v>5</v>
      </c>
      <c r="BI222" s="351">
        <v>5</v>
      </c>
      <c r="BJ222" s="351">
        <v>5</v>
      </c>
      <c r="BK222" s="245" t="s">
        <v>304</v>
      </c>
      <c r="BL222" s="245">
        <v>0</v>
      </c>
    </row>
    <row r="223" ht="21" spans="2:64">
      <c r="B223" s="267" t="s">
        <v>370</v>
      </c>
      <c r="C223" s="267">
        <f>T216</f>
        <v>4.18384600835176</v>
      </c>
      <c r="D223" s="269">
        <f>Q216</f>
        <v>3.17694532056006</v>
      </c>
      <c r="E223" s="269">
        <f>K216</f>
        <v>5.20810707442889</v>
      </c>
      <c r="I223" s="275"/>
      <c r="J223" s="275"/>
      <c r="K223" s="275"/>
      <c r="L223" s="275"/>
      <c r="M223" s="275"/>
      <c r="N223" s="275"/>
      <c r="O223" s="275"/>
      <c r="P223" s="275"/>
      <c r="Q223" s="275"/>
      <c r="R223" s="275"/>
      <c r="S223" s="275"/>
      <c r="T223" s="275"/>
      <c r="U223" s="275"/>
      <c r="V223" s="285"/>
      <c r="W223" s="292"/>
      <c r="X223" s="292"/>
      <c r="Y223" s="292"/>
      <c r="Z223" s="292"/>
      <c r="AA223" s="356" t="str">
        <f t="shared" si="47"/>
        <v>HydRecy-LMO</v>
      </c>
      <c r="AB223" s="345" t="s">
        <v>356</v>
      </c>
      <c r="AC223" s="245" t="s">
        <v>468</v>
      </c>
      <c r="AD223" s="357">
        <f t="shared" si="48"/>
        <v>6.09218</v>
      </c>
      <c r="AE223" s="291"/>
      <c r="AF223" s="292"/>
      <c r="AG223" s="285"/>
      <c r="AH223" s="234" t="s">
        <v>471</v>
      </c>
      <c r="AI223" s="234"/>
      <c r="AJ223" s="234"/>
      <c r="AK223" s="234"/>
      <c r="AL223" s="234"/>
      <c r="AM223" s="234"/>
      <c r="AN223" s="234"/>
      <c r="AO223" s="303"/>
      <c r="AP223" s="303"/>
      <c r="AQ223" s="303"/>
      <c r="AS223" s="361" t="s">
        <v>372</v>
      </c>
      <c r="AT223" s="351">
        <f t="shared" si="37"/>
        <v>0.0187706262191706</v>
      </c>
      <c r="AU223" s="351">
        <f t="shared" si="38"/>
        <v>0.134657773452037</v>
      </c>
      <c r="AV223" s="351">
        <f t="shared" si="39"/>
        <v>0.0254487161137034</v>
      </c>
      <c r="AW223" s="351">
        <f t="shared" si="40"/>
        <v>0</v>
      </c>
      <c r="AX223" s="351">
        <f t="shared" si="41"/>
        <v>0.537355181960569</v>
      </c>
      <c r="AY223" s="351">
        <f t="shared" si="42"/>
        <v>0.103790521447178</v>
      </c>
      <c r="AZ223" s="351">
        <f t="shared" si="43"/>
        <v>0.179977180807341</v>
      </c>
      <c r="BA223" s="245" t="s">
        <v>304</v>
      </c>
      <c r="BB223" s="246"/>
      <c r="BC223" s="351" t="s">
        <v>372</v>
      </c>
      <c r="BD223" s="351">
        <v>5</v>
      </c>
      <c r="BE223" s="351">
        <v>5</v>
      </c>
      <c r="BF223" s="351">
        <v>5</v>
      </c>
      <c r="BG223" s="351">
        <v>5</v>
      </c>
      <c r="BH223" s="351">
        <v>5</v>
      </c>
      <c r="BI223" s="351">
        <v>5</v>
      </c>
      <c r="BJ223" s="351">
        <v>5</v>
      </c>
      <c r="BK223" s="245" t="s">
        <v>304</v>
      </c>
      <c r="BL223" s="245">
        <v>0</v>
      </c>
    </row>
    <row r="224" ht="13" spans="2:64">
      <c r="B224" s="267" t="s">
        <v>371</v>
      </c>
      <c r="C224" s="267">
        <f t="shared" ref="C224:C229" si="57">T217</f>
        <v>4.18384600835176</v>
      </c>
      <c r="D224" s="269">
        <f t="shared" ref="D224:D229" si="58">Q217</f>
        <v>3.17694532056006</v>
      </c>
      <c r="E224" s="269">
        <f t="shared" ref="E224:E229" si="59">K217</f>
        <v>5.20810707442889</v>
      </c>
      <c r="I224" s="275"/>
      <c r="J224" s="275"/>
      <c r="K224" s="275"/>
      <c r="L224" s="275"/>
      <c r="M224" s="275"/>
      <c r="N224" s="275"/>
      <c r="O224" s="275"/>
      <c r="P224" s="275"/>
      <c r="Q224" s="275"/>
      <c r="R224" s="275"/>
      <c r="S224" s="275"/>
      <c r="T224" s="275"/>
      <c r="U224" s="275"/>
      <c r="V224" s="285"/>
      <c r="W224" s="292"/>
      <c r="X224" s="292"/>
      <c r="Y224" s="292"/>
      <c r="Z224" s="292"/>
      <c r="AA224" s="356" t="str">
        <f t="shared" si="47"/>
        <v>HydRecy-NCA</v>
      </c>
      <c r="AB224" s="345" t="s">
        <v>357</v>
      </c>
      <c r="AC224" s="245" t="s">
        <v>468</v>
      </c>
      <c r="AD224" s="357">
        <f t="shared" si="48"/>
        <v>4.89062</v>
      </c>
      <c r="AE224" s="291"/>
      <c r="AF224" s="292"/>
      <c r="AG224" s="285"/>
      <c r="AH224" s="303"/>
      <c r="AI224" s="304" t="s">
        <v>314</v>
      </c>
      <c r="AJ224" s="304" t="s">
        <v>316</v>
      </c>
      <c r="AK224" s="304" t="s">
        <v>318</v>
      </c>
      <c r="AL224" s="304" t="s">
        <v>327</v>
      </c>
      <c r="AM224" s="304" t="s">
        <v>329</v>
      </c>
      <c r="AN224" s="304" t="s">
        <v>332</v>
      </c>
      <c r="AO224" s="304" t="s">
        <v>472</v>
      </c>
      <c r="AP224" s="303"/>
      <c r="AQ224" s="303"/>
      <c r="AS224" s="361" t="s">
        <v>373</v>
      </c>
      <c r="AT224" s="351">
        <f t="shared" si="37"/>
        <v>0.0233883423212884</v>
      </c>
      <c r="AU224" s="351">
        <f t="shared" si="38"/>
        <v>0.0633973364198327</v>
      </c>
      <c r="AV224" s="351">
        <f t="shared" si="39"/>
        <v>0.063577955611912</v>
      </c>
      <c r="AW224" s="351">
        <f t="shared" si="40"/>
        <v>0.0592430950020089</v>
      </c>
      <c r="AX224" s="351">
        <f t="shared" si="41"/>
        <v>0.515870529214233</v>
      </c>
      <c r="AY224" s="351">
        <f t="shared" si="42"/>
        <v>0.112297218095831</v>
      </c>
      <c r="AZ224" s="351">
        <f t="shared" si="43"/>
        <v>0.162225523334894</v>
      </c>
      <c r="BA224" s="245" t="s">
        <v>304</v>
      </c>
      <c r="BB224" s="246"/>
      <c r="BC224" s="351" t="s">
        <v>373</v>
      </c>
      <c r="BD224" s="351">
        <v>5</v>
      </c>
      <c r="BE224" s="351">
        <v>5</v>
      </c>
      <c r="BF224" s="351">
        <v>5</v>
      </c>
      <c r="BG224" s="351">
        <v>5</v>
      </c>
      <c r="BH224" s="351">
        <v>5</v>
      </c>
      <c r="BI224" s="351">
        <v>5</v>
      </c>
      <c r="BJ224" s="351">
        <v>5</v>
      </c>
      <c r="BK224" s="245" t="s">
        <v>304</v>
      </c>
      <c r="BL224" s="245">
        <v>0</v>
      </c>
    </row>
    <row r="225" ht="13" spans="2:64">
      <c r="B225" s="267" t="s">
        <v>372</v>
      </c>
      <c r="C225" s="267">
        <f t="shared" si="57"/>
        <v>4.18384600835176</v>
      </c>
      <c r="D225" s="269">
        <f t="shared" si="58"/>
        <v>3.17694532056006</v>
      </c>
      <c r="E225" s="269">
        <f t="shared" si="59"/>
        <v>5.20810707442889</v>
      </c>
      <c r="I225" s="275"/>
      <c r="J225" s="275"/>
      <c r="K225" s="275"/>
      <c r="L225" s="275"/>
      <c r="M225" s="275"/>
      <c r="N225" s="275"/>
      <c r="O225" s="275"/>
      <c r="P225" s="275"/>
      <c r="Q225" s="275"/>
      <c r="R225" s="275"/>
      <c r="S225" s="275"/>
      <c r="T225" s="275"/>
      <c r="U225" s="275"/>
      <c r="V225" s="285"/>
      <c r="W225" s="292"/>
      <c r="X225" s="292"/>
      <c r="Y225" s="292"/>
      <c r="Z225" s="292"/>
      <c r="AA225" s="356" t="str">
        <f t="shared" si="47"/>
        <v>HydRecy-NMC111</v>
      </c>
      <c r="AB225" s="345" t="s">
        <v>358</v>
      </c>
      <c r="AC225" s="245" t="s">
        <v>468</v>
      </c>
      <c r="AD225" s="357">
        <f t="shared" si="48"/>
        <v>5.42578</v>
      </c>
      <c r="AE225" s="291"/>
      <c r="AF225" s="292"/>
      <c r="AG225" s="285"/>
      <c r="AH225" s="303"/>
      <c r="AI225" s="304">
        <v>0.9</v>
      </c>
      <c r="AJ225" s="304">
        <v>0.98</v>
      </c>
      <c r="AK225" s="304">
        <v>0.98</v>
      </c>
      <c r="AL225" s="304">
        <v>0.98</v>
      </c>
      <c r="AM225" s="304">
        <v>0.9</v>
      </c>
      <c r="AN225" s="304">
        <v>0.9</v>
      </c>
      <c r="AO225" s="304">
        <v>0.9</v>
      </c>
      <c r="AP225" s="303"/>
      <c r="AQ225" s="303"/>
      <c r="AS225" s="361" t="s">
        <v>374</v>
      </c>
      <c r="AT225" s="351">
        <f t="shared" si="37"/>
        <v>0.0229202323482377</v>
      </c>
      <c r="AU225" s="351">
        <f t="shared" si="38"/>
        <v>0.0932239254268519</v>
      </c>
      <c r="AV225" s="351">
        <f t="shared" si="39"/>
        <v>0.0374363795021216</v>
      </c>
      <c r="AW225" s="351">
        <f t="shared" si="40"/>
        <v>0.0523008243044346</v>
      </c>
      <c r="AX225" s="351">
        <f t="shared" si="41"/>
        <v>0.517390539037425</v>
      </c>
      <c r="AY225" s="351">
        <f t="shared" si="42"/>
        <v>0.111399070457244</v>
      </c>
      <c r="AZ225" s="351">
        <f t="shared" si="43"/>
        <v>0.165329028923685</v>
      </c>
      <c r="BA225" s="245" t="s">
        <v>304</v>
      </c>
      <c r="BB225" s="246"/>
      <c r="BC225" s="351" t="s">
        <v>374</v>
      </c>
      <c r="BD225" s="351">
        <v>5</v>
      </c>
      <c r="BE225" s="351">
        <v>5</v>
      </c>
      <c r="BF225" s="351">
        <v>5</v>
      </c>
      <c r="BG225" s="351">
        <v>5</v>
      </c>
      <c r="BH225" s="351">
        <v>5</v>
      </c>
      <c r="BI225" s="351">
        <v>5</v>
      </c>
      <c r="BJ225" s="351">
        <v>5</v>
      </c>
      <c r="BK225" s="245" t="s">
        <v>304</v>
      </c>
      <c r="BL225" s="245">
        <v>0</v>
      </c>
    </row>
    <row r="226" ht="13" spans="2:64">
      <c r="B226" s="267" t="s">
        <v>373</v>
      </c>
      <c r="C226" s="267">
        <f t="shared" si="57"/>
        <v>4.18384600835176</v>
      </c>
      <c r="D226" s="269">
        <f t="shared" si="58"/>
        <v>3.17694532056006</v>
      </c>
      <c r="E226" s="269">
        <f t="shared" si="59"/>
        <v>5.20810707442889</v>
      </c>
      <c r="I226" s="275"/>
      <c r="J226" s="275"/>
      <c r="K226" s="275"/>
      <c r="L226" s="275"/>
      <c r="M226" s="275"/>
      <c r="N226" s="275"/>
      <c r="O226" s="275"/>
      <c r="P226" s="275"/>
      <c r="Q226" s="275"/>
      <c r="R226" s="275"/>
      <c r="S226" s="275"/>
      <c r="T226" s="275"/>
      <c r="U226" s="275"/>
      <c r="V226" s="285"/>
      <c r="W226" s="292"/>
      <c r="X226" s="292"/>
      <c r="Y226" s="292"/>
      <c r="Z226" s="292"/>
      <c r="AA226" s="356" t="str">
        <f t="shared" si="47"/>
        <v>HydRecy-NMC532</v>
      </c>
      <c r="AB226" s="345" t="s">
        <v>359</v>
      </c>
      <c r="AC226" s="245" t="s">
        <v>468</v>
      </c>
      <c r="AD226" s="357">
        <f t="shared" si="48"/>
        <v>5.34026</v>
      </c>
      <c r="AE226" s="291"/>
      <c r="AF226" s="292"/>
      <c r="AG226" s="285"/>
      <c r="AH226" s="303"/>
      <c r="AI226" s="304">
        <f t="shared" ref="AI226:AO226" si="60">AI225</f>
        <v>0.9</v>
      </c>
      <c r="AJ226" s="304">
        <f t="shared" si="60"/>
        <v>0.98</v>
      </c>
      <c r="AK226" s="304">
        <f t="shared" si="60"/>
        <v>0.98</v>
      </c>
      <c r="AL226" s="304">
        <f t="shared" si="60"/>
        <v>0.98</v>
      </c>
      <c r="AM226" s="304">
        <f t="shared" si="60"/>
        <v>0.9</v>
      </c>
      <c r="AN226" s="304">
        <f t="shared" si="60"/>
        <v>0.9</v>
      </c>
      <c r="AO226" s="304">
        <f t="shared" si="60"/>
        <v>0.9</v>
      </c>
      <c r="AP226" s="303"/>
      <c r="AQ226" s="303"/>
      <c r="AS226" s="361" t="s">
        <v>375</v>
      </c>
      <c r="AT226" s="351">
        <f t="shared" si="37"/>
        <v>0.0208746928746929</v>
      </c>
      <c r="AU226" s="351">
        <f t="shared" si="38"/>
        <v>0.102285995085995</v>
      </c>
      <c r="AV226" s="351">
        <f t="shared" si="39"/>
        <v>0.0342879606879607</v>
      </c>
      <c r="AW226" s="351">
        <f t="shared" si="40"/>
        <v>0.0319764127764128</v>
      </c>
      <c r="AX226" s="351">
        <f t="shared" si="41"/>
        <v>0.533719901719902</v>
      </c>
      <c r="AY226" s="351">
        <f t="shared" si="42"/>
        <v>0.107027027027027</v>
      </c>
      <c r="AZ226" s="351">
        <f t="shared" si="43"/>
        <v>0.16982800982801</v>
      </c>
      <c r="BA226" s="245" t="s">
        <v>304</v>
      </c>
      <c r="BB226" s="246"/>
      <c r="BC226" s="351" t="s">
        <v>375</v>
      </c>
      <c r="BD226" s="351">
        <v>5</v>
      </c>
      <c r="BE226" s="351">
        <v>5</v>
      </c>
      <c r="BF226" s="351">
        <v>5</v>
      </c>
      <c r="BG226" s="351">
        <v>5</v>
      </c>
      <c r="BH226" s="351">
        <v>5</v>
      </c>
      <c r="BI226" s="351">
        <v>5</v>
      </c>
      <c r="BJ226" s="351">
        <v>5</v>
      </c>
      <c r="BK226" s="245" t="s">
        <v>304</v>
      </c>
      <c r="BL226" s="245">
        <v>0</v>
      </c>
    </row>
    <row r="227" ht="13" spans="2:64">
      <c r="B227" s="267" t="s">
        <v>374</v>
      </c>
      <c r="C227" s="267">
        <f t="shared" si="57"/>
        <v>4.18384600835176</v>
      </c>
      <c r="D227" s="269">
        <f t="shared" si="58"/>
        <v>3.17694532056006</v>
      </c>
      <c r="E227" s="269">
        <f t="shared" si="59"/>
        <v>5.20810707442889</v>
      </c>
      <c r="I227" s="275"/>
      <c r="J227" s="275"/>
      <c r="K227" s="275"/>
      <c r="L227" s="275"/>
      <c r="M227" s="275"/>
      <c r="N227" s="275"/>
      <c r="O227" s="275"/>
      <c r="P227" s="275"/>
      <c r="Q227" s="275"/>
      <c r="R227" s="275"/>
      <c r="S227" s="275"/>
      <c r="T227" s="275"/>
      <c r="U227" s="275"/>
      <c r="V227" s="285"/>
      <c r="W227" s="292"/>
      <c r="X227" s="292"/>
      <c r="Y227" s="292"/>
      <c r="Z227" s="292"/>
      <c r="AA227" s="356" t="str">
        <f t="shared" si="47"/>
        <v>HydRecy-NMC622</v>
      </c>
      <c r="AB227" s="345" t="s">
        <v>360</v>
      </c>
      <c r="AC227" s="245" t="s">
        <v>468</v>
      </c>
      <c r="AD227" s="357">
        <f t="shared" si="48"/>
        <v>5.0875</v>
      </c>
      <c r="AE227" s="291"/>
      <c r="AF227" s="292"/>
      <c r="AG227" s="285"/>
      <c r="AH227" s="303"/>
      <c r="AI227" s="304">
        <f t="shared" ref="AI227:AO227" si="61">AI226</f>
        <v>0.9</v>
      </c>
      <c r="AJ227" s="304">
        <f t="shared" si="61"/>
        <v>0.98</v>
      </c>
      <c r="AK227" s="304">
        <f t="shared" si="61"/>
        <v>0.98</v>
      </c>
      <c r="AL227" s="304">
        <f t="shared" si="61"/>
        <v>0.98</v>
      </c>
      <c r="AM227" s="304">
        <f t="shared" si="61"/>
        <v>0.9</v>
      </c>
      <c r="AN227" s="304">
        <f t="shared" si="61"/>
        <v>0.9</v>
      </c>
      <c r="AO227" s="304">
        <f t="shared" si="61"/>
        <v>0.9</v>
      </c>
      <c r="AP227" s="303"/>
      <c r="AQ227" s="303"/>
      <c r="AS227" s="361" t="s">
        <v>376</v>
      </c>
      <c r="AT227" s="351">
        <f t="shared" si="37"/>
        <v>0.0187188019966722</v>
      </c>
      <c r="AU227" s="351">
        <f t="shared" si="38"/>
        <v>0.122296173044925</v>
      </c>
      <c r="AV227" s="351">
        <f t="shared" si="39"/>
        <v>0.0152870216306156</v>
      </c>
      <c r="AW227" s="351">
        <f t="shared" si="40"/>
        <v>0.0142678868552413</v>
      </c>
      <c r="AX227" s="351">
        <f t="shared" si="41"/>
        <v>0.546776206322795</v>
      </c>
      <c r="AY227" s="351">
        <f t="shared" si="42"/>
        <v>0.10276622296173</v>
      </c>
      <c r="AZ227" s="351">
        <f t="shared" si="43"/>
        <v>0.17988768718802</v>
      </c>
      <c r="BA227" s="245" t="s">
        <v>304</v>
      </c>
      <c r="BB227" s="246"/>
      <c r="BC227" s="351" t="s">
        <v>376</v>
      </c>
      <c r="BD227" s="351">
        <v>5</v>
      </c>
      <c r="BE227" s="351">
        <v>5</v>
      </c>
      <c r="BF227" s="351">
        <v>5</v>
      </c>
      <c r="BG227" s="351">
        <v>5</v>
      </c>
      <c r="BH227" s="351">
        <v>5</v>
      </c>
      <c r="BI227" s="351">
        <v>5</v>
      </c>
      <c r="BJ227" s="351">
        <v>5</v>
      </c>
      <c r="BK227" s="245" t="s">
        <v>304</v>
      </c>
      <c r="BL227" s="245">
        <v>0</v>
      </c>
    </row>
    <row r="228" ht="13" spans="2:64">
      <c r="B228" s="267" t="s">
        <v>375</v>
      </c>
      <c r="C228" s="267">
        <f t="shared" si="57"/>
        <v>4.18384600835176</v>
      </c>
      <c r="D228" s="269">
        <f t="shared" si="58"/>
        <v>3.17694532056006</v>
      </c>
      <c r="E228" s="269">
        <f t="shared" si="59"/>
        <v>5.20810707442889</v>
      </c>
      <c r="I228" s="275"/>
      <c r="J228" s="275"/>
      <c r="K228" s="275"/>
      <c r="L228" s="275"/>
      <c r="M228" s="275"/>
      <c r="N228" s="275"/>
      <c r="O228" s="275"/>
      <c r="P228" s="275"/>
      <c r="Q228" s="275"/>
      <c r="R228" s="275"/>
      <c r="S228" s="275"/>
      <c r="T228" s="275"/>
      <c r="U228" s="275"/>
      <c r="V228" s="285"/>
      <c r="W228" s="292"/>
      <c r="X228" s="292"/>
      <c r="Y228" s="292"/>
      <c r="Z228" s="292"/>
      <c r="AA228" s="356" t="str">
        <f t="shared" si="47"/>
        <v>HydRecy-NMC811</v>
      </c>
      <c r="AB228" s="345" t="s">
        <v>361</v>
      </c>
      <c r="AC228" s="245" t="s">
        <v>468</v>
      </c>
      <c r="AD228" s="357">
        <f t="shared" si="48"/>
        <v>4.808</v>
      </c>
      <c r="AE228" s="291"/>
      <c r="AF228" s="292"/>
      <c r="AG228" s="285"/>
      <c r="AH228" s="303"/>
      <c r="AI228" s="304">
        <f t="shared" ref="AI228:AO228" si="62">AI227</f>
        <v>0.9</v>
      </c>
      <c r="AJ228" s="304">
        <f t="shared" si="62"/>
        <v>0.98</v>
      </c>
      <c r="AK228" s="304">
        <f t="shared" si="62"/>
        <v>0.98</v>
      </c>
      <c r="AL228" s="304">
        <f t="shared" si="62"/>
        <v>0.98</v>
      </c>
      <c r="AM228" s="304">
        <f t="shared" si="62"/>
        <v>0.9</v>
      </c>
      <c r="AN228" s="304">
        <f t="shared" si="62"/>
        <v>0.9</v>
      </c>
      <c r="AO228" s="304">
        <f t="shared" si="62"/>
        <v>0.9</v>
      </c>
      <c r="AP228" s="303"/>
      <c r="AQ228" s="303"/>
      <c r="AS228" s="361" t="s">
        <v>377</v>
      </c>
      <c r="AT228" s="351">
        <f t="shared" si="37"/>
        <v>0.0168022638839759</v>
      </c>
      <c r="AU228" s="351">
        <f t="shared" si="38"/>
        <v>0</v>
      </c>
      <c r="AV228" s="351">
        <f t="shared" si="39"/>
        <v>0</v>
      </c>
      <c r="AW228" s="351">
        <f t="shared" si="40"/>
        <v>0</v>
      </c>
      <c r="AX228" s="351">
        <f t="shared" si="41"/>
        <v>0.62398302087018</v>
      </c>
      <c r="AY228" s="351">
        <f t="shared" si="42"/>
        <v>0.167315175097276</v>
      </c>
      <c r="AZ228" s="351">
        <f t="shared" si="43"/>
        <v>0.191899540148567</v>
      </c>
      <c r="BA228" s="245" t="s">
        <v>304</v>
      </c>
      <c r="BB228" s="246"/>
      <c r="BC228" s="351" t="s">
        <v>377</v>
      </c>
      <c r="BD228" s="351">
        <v>5</v>
      </c>
      <c r="BE228" s="351">
        <v>5</v>
      </c>
      <c r="BF228" s="351">
        <v>5</v>
      </c>
      <c r="BG228" s="351">
        <v>5</v>
      </c>
      <c r="BH228" s="351">
        <v>5</v>
      </c>
      <c r="BI228" s="351">
        <v>5</v>
      </c>
      <c r="BJ228" s="351">
        <v>5</v>
      </c>
      <c r="BK228" s="245" t="s">
        <v>304</v>
      </c>
      <c r="BL228" s="245">
        <v>0</v>
      </c>
    </row>
    <row r="229" ht="13" spans="2:64">
      <c r="B229" s="267" t="s">
        <v>376</v>
      </c>
      <c r="C229" s="267">
        <f t="shared" si="57"/>
        <v>4.18384600835176</v>
      </c>
      <c r="D229" s="269">
        <f t="shared" si="58"/>
        <v>3.17694532056006</v>
      </c>
      <c r="E229" s="269">
        <f t="shared" si="59"/>
        <v>5.20810707442889</v>
      </c>
      <c r="I229" s="275"/>
      <c r="J229" s="275"/>
      <c r="K229" s="275"/>
      <c r="L229" s="275"/>
      <c r="M229" s="275"/>
      <c r="N229" s="275"/>
      <c r="O229" s="275"/>
      <c r="P229" s="275"/>
      <c r="Q229" s="275"/>
      <c r="R229" s="275"/>
      <c r="S229" s="275"/>
      <c r="T229" s="275"/>
      <c r="U229" s="275"/>
      <c r="V229" s="285"/>
      <c r="W229" s="292"/>
      <c r="X229" s="292"/>
      <c r="Y229" s="292"/>
      <c r="Z229" s="292"/>
      <c r="AA229" s="356" t="str">
        <f t="shared" si="47"/>
        <v>DirRecy-LFP</v>
      </c>
      <c r="AB229" s="345" t="s">
        <v>355</v>
      </c>
      <c r="AC229" s="245" t="s">
        <v>468</v>
      </c>
      <c r="AD229" s="357">
        <f t="shared" si="48"/>
        <v>5.0886</v>
      </c>
      <c r="AE229" s="291"/>
      <c r="AF229" s="292"/>
      <c r="AG229" s="285"/>
      <c r="AH229" s="303"/>
      <c r="AI229" s="304">
        <f t="shared" ref="AI229:AO229" si="63">AI228</f>
        <v>0.9</v>
      </c>
      <c r="AJ229" s="304">
        <f t="shared" si="63"/>
        <v>0.98</v>
      </c>
      <c r="AK229" s="304">
        <f t="shared" si="63"/>
        <v>0.98</v>
      </c>
      <c r="AL229" s="304">
        <f t="shared" si="63"/>
        <v>0.98</v>
      </c>
      <c r="AM229" s="304">
        <f t="shared" si="63"/>
        <v>0.9</v>
      </c>
      <c r="AN229" s="304">
        <f t="shared" si="63"/>
        <v>0.9</v>
      </c>
      <c r="AO229" s="304">
        <f t="shared" si="63"/>
        <v>0.9</v>
      </c>
      <c r="AP229" s="303"/>
      <c r="AQ229" s="303"/>
      <c r="AS229" s="361" t="s">
        <v>378</v>
      </c>
      <c r="AT229" s="351">
        <f t="shared" si="37"/>
        <v>0.0159518434913469</v>
      </c>
      <c r="AU229" s="351">
        <f t="shared" si="38"/>
        <v>0</v>
      </c>
      <c r="AV229" s="351">
        <f t="shared" si="39"/>
        <v>0</v>
      </c>
      <c r="AW229" s="351">
        <f t="shared" si="40"/>
        <v>0.210082768999248</v>
      </c>
      <c r="AX229" s="351">
        <f t="shared" si="41"/>
        <v>0.506997742663657</v>
      </c>
      <c r="AY229" s="351">
        <f t="shared" si="42"/>
        <v>0.12987208427389</v>
      </c>
      <c r="AZ229" s="351">
        <f t="shared" si="43"/>
        <v>0.137095560571859</v>
      </c>
      <c r="BA229" s="245" t="s">
        <v>304</v>
      </c>
      <c r="BB229" s="246"/>
      <c r="BC229" s="351" t="s">
        <v>378</v>
      </c>
      <c r="BD229" s="351">
        <v>5</v>
      </c>
      <c r="BE229" s="351">
        <v>5</v>
      </c>
      <c r="BF229" s="351">
        <v>5</v>
      </c>
      <c r="BG229" s="351">
        <v>5</v>
      </c>
      <c r="BH229" s="351">
        <v>5</v>
      </c>
      <c r="BI229" s="351">
        <v>5</v>
      </c>
      <c r="BJ229" s="351">
        <v>5</v>
      </c>
      <c r="BK229" s="245" t="s">
        <v>304</v>
      </c>
      <c r="BL229" s="245">
        <v>0</v>
      </c>
    </row>
    <row r="230" ht="23" spans="1:64">
      <c r="A230" s="271"/>
      <c r="B230" s="267" t="s">
        <v>377</v>
      </c>
      <c r="C230" s="267">
        <f>U216</f>
        <v>3.56556266273643</v>
      </c>
      <c r="D230" s="269">
        <f>R216</f>
        <v>2.70746042741341</v>
      </c>
      <c r="E230" s="269">
        <f>L216</f>
        <v>4.4384597641857</v>
      </c>
      <c r="I230" s="283" t="s">
        <v>473</v>
      </c>
      <c r="J230" s="257" t="s">
        <v>474</v>
      </c>
      <c r="K230" s="257"/>
      <c r="L230" s="257"/>
      <c r="M230" s="257"/>
      <c r="N230" s="257"/>
      <c r="O230" s="257"/>
      <c r="P230" s="257"/>
      <c r="Q230" s="257"/>
      <c r="R230" s="257"/>
      <c r="S230" s="275"/>
      <c r="T230" s="275"/>
      <c r="U230" s="275"/>
      <c r="V230" s="293"/>
      <c r="W230" s="294"/>
      <c r="X230" s="294"/>
      <c r="Y230" s="294"/>
      <c r="Z230" s="294"/>
      <c r="AA230" s="356" t="str">
        <f t="shared" si="47"/>
        <v>DirRecy-LMO</v>
      </c>
      <c r="AB230" s="345" t="s">
        <v>356</v>
      </c>
      <c r="AC230" s="245" t="s">
        <v>468</v>
      </c>
      <c r="AD230" s="357">
        <f t="shared" si="48"/>
        <v>5.9805</v>
      </c>
      <c r="AE230" s="291"/>
      <c r="AF230" s="292"/>
      <c r="AG230" s="285"/>
      <c r="AH230" s="303"/>
      <c r="AI230" s="304">
        <f t="shared" ref="AI230:AO230" si="64">AI229</f>
        <v>0.9</v>
      </c>
      <c r="AJ230" s="304">
        <f t="shared" si="64"/>
        <v>0.98</v>
      </c>
      <c r="AK230" s="304">
        <f t="shared" si="64"/>
        <v>0.98</v>
      </c>
      <c r="AL230" s="304">
        <f t="shared" si="64"/>
        <v>0.98</v>
      </c>
      <c r="AM230" s="304">
        <f t="shared" si="64"/>
        <v>0.9</v>
      </c>
      <c r="AN230" s="304">
        <f t="shared" si="64"/>
        <v>0.9</v>
      </c>
      <c r="AO230" s="304">
        <f t="shared" si="64"/>
        <v>0.9</v>
      </c>
      <c r="AP230" s="303"/>
      <c r="AQ230" s="303"/>
      <c r="AS230" s="356" t="s">
        <v>379</v>
      </c>
      <c r="AT230" s="345">
        <f t="shared" si="37"/>
        <v>0.0190192056684691</v>
      </c>
      <c r="AU230" s="345">
        <f t="shared" si="38"/>
        <v>0.125303002051091</v>
      </c>
      <c r="AV230" s="345">
        <f t="shared" si="39"/>
        <v>0.0236807756852508</v>
      </c>
      <c r="AW230" s="345">
        <f t="shared" si="40"/>
        <v>0</v>
      </c>
      <c r="AX230" s="345">
        <f t="shared" si="41"/>
        <v>0.544471377960097</v>
      </c>
      <c r="AY230" s="345">
        <f t="shared" si="42"/>
        <v>0.105165019578594</v>
      </c>
      <c r="AZ230" s="345">
        <f t="shared" si="43"/>
        <v>0.182360619056498</v>
      </c>
      <c r="BA230" s="245" t="s">
        <v>304</v>
      </c>
      <c r="BB230" s="362"/>
      <c r="BC230" s="345" t="s">
        <v>379</v>
      </c>
      <c r="BD230" s="351">
        <v>5</v>
      </c>
      <c r="BE230" s="351">
        <v>5</v>
      </c>
      <c r="BF230" s="351">
        <v>5</v>
      </c>
      <c r="BG230" s="351">
        <v>5</v>
      </c>
      <c r="BH230" s="351">
        <v>5</v>
      </c>
      <c r="BI230" s="351">
        <v>5</v>
      </c>
      <c r="BJ230" s="351">
        <v>5</v>
      </c>
      <c r="BK230" s="245" t="s">
        <v>304</v>
      </c>
      <c r="BL230" s="245">
        <v>0</v>
      </c>
    </row>
    <row r="231" ht="25" spans="1:64">
      <c r="A231" s="249"/>
      <c r="B231" s="267" t="s">
        <v>378</v>
      </c>
      <c r="C231" s="267">
        <f t="shared" ref="C231:C236" si="65">U217</f>
        <v>3.60087708179809</v>
      </c>
      <c r="D231" s="269">
        <f t="shared" ref="D231:D236" si="66">R217</f>
        <v>2.73427597641857</v>
      </c>
      <c r="E231" s="269">
        <f t="shared" ref="E231:E236" si="67">L217</f>
        <v>4.48241960206338</v>
      </c>
      <c r="I231" s="216" t="s">
        <v>475</v>
      </c>
      <c r="J231" s="216"/>
      <c r="K231" s="216"/>
      <c r="L231" s="216"/>
      <c r="M231" s="216"/>
      <c r="N231" s="216"/>
      <c r="O231" s="216"/>
      <c r="P231" s="216"/>
      <c r="Q231" s="275"/>
      <c r="R231" s="259" t="s">
        <v>419</v>
      </c>
      <c r="S231" s="275"/>
      <c r="T231" s="275"/>
      <c r="U231" s="275"/>
      <c r="V231" s="293"/>
      <c r="W231" s="293"/>
      <c r="X231" s="293"/>
      <c r="Y231" s="293"/>
      <c r="Z231" s="293"/>
      <c r="AA231" s="356" t="str">
        <f t="shared" si="47"/>
        <v>DirRecy-NCA</v>
      </c>
      <c r="AB231" s="345" t="s">
        <v>357</v>
      </c>
      <c r="AC231" s="245" t="s">
        <v>468</v>
      </c>
      <c r="AD231" s="357">
        <f t="shared" si="48"/>
        <v>4.8267</v>
      </c>
      <c r="AE231" s="291"/>
      <c r="AF231" s="293"/>
      <c r="AG231" s="285"/>
      <c r="AH231" s="303"/>
      <c r="AI231" s="304">
        <f t="shared" ref="AI231:AO231" si="68">AI230</f>
        <v>0.9</v>
      </c>
      <c r="AJ231" s="304">
        <f t="shared" si="68"/>
        <v>0.98</v>
      </c>
      <c r="AK231" s="304">
        <f t="shared" si="68"/>
        <v>0.98</v>
      </c>
      <c r="AL231" s="304">
        <f t="shared" si="68"/>
        <v>0.98</v>
      </c>
      <c r="AM231" s="304">
        <f t="shared" si="68"/>
        <v>0.9</v>
      </c>
      <c r="AN231" s="304">
        <f t="shared" si="68"/>
        <v>0.9</v>
      </c>
      <c r="AO231" s="304">
        <f t="shared" si="68"/>
        <v>0.9</v>
      </c>
      <c r="AP231" s="303"/>
      <c r="AQ231" s="303"/>
      <c r="AS231" s="356" t="s">
        <v>380</v>
      </c>
      <c r="AT231" s="345">
        <f t="shared" si="37"/>
        <v>0.0237493683678626</v>
      </c>
      <c r="AU231" s="345">
        <f t="shared" si="38"/>
        <v>0.0591207680646791</v>
      </c>
      <c r="AV231" s="345">
        <f t="shared" si="39"/>
        <v>0.0592892033013306</v>
      </c>
      <c r="AW231" s="345">
        <f t="shared" si="40"/>
        <v>0.0552467576216945</v>
      </c>
      <c r="AX231" s="345">
        <f t="shared" si="41"/>
        <v>0.523833585986188</v>
      </c>
      <c r="AY231" s="345">
        <f t="shared" si="42"/>
        <v>0.114030655213071</v>
      </c>
      <c r="AZ231" s="345">
        <f t="shared" si="43"/>
        <v>0.164729661445174</v>
      </c>
      <c r="BA231" s="245" t="s">
        <v>304</v>
      </c>
      <c r="BB231" s="362"/>
      <c r="BC231" s="345" t="s">
        <v>380</v>
      </c>
      <c r="BD231" s="351">
        <v>5</v>
      </c>
      <c r="BE231" s="351">
        <v>5</v>
      </c>
      <c r="BF231" s="351">
        <v>5</v>
      </c>
      <c r="BG231" s="351">
        <v>5</v>
      </c>
      <c r="BH231" s="351">
        <v>5</v>
      </c>
      <c r="BI231" s="351">
        <v>5</v>
      </c>
      <c r="BJ231" s="351">
        <v>5</v>
      </c>
      <c r="BK231" s="245" t="s">
        <v>304</v>
      </c>
      <c r="BL231" s="245">
        <v>0</v>
      </c>
    </row>
    <row r="232" ht="13" spans="2:64">
      <c r="B232" s="267" t="s">
        <v>379</v>
      </c>
      <c r="C232" s="267">
        <f t="shared" si="65"/>
        <v>3.56556266273643</v>
      </c>
      <c r="D232" s="269">
        <f t="shared" si="66"/>
        <v>2.70746042741341</v>
      </c>
      <c r="E232" s="269">
        <f t="shared" si="67"/>
        <v>4.4384597641857</v>
      </c>
      <c r="I232" s="216" t="s">
        <v>220</v>
      </c>
      <c r="J232" s="216" t="s">
        <v>213</v>
      </c>
      <c r="K232" s="216" t="s">
        <v>221</v>
      </c>
      <c r="L232" s="216" t="s">
        <v>222</v>
      </c>
      <c r="M232" s="216" t="s">
        <v>223</v>
      </c>
      <c r="N232" s="216" t="s">
        <v>224</v>
      </c>
      <c r="O232" s="216" t="s">
        <v>225</v>
      </c>
      <c r="P232" s="216" t="s">
        <v>226</v>
      </c>
      <c r="Q232" s="216"/>
      <c r="R232" s="259"/>
      <c r="S232" s="275"/>
      <c r="T232" s="275"/>
      <c r="U232" s="275"/>
      <c r="V232" s="293"/>
      <c r="W232" s="293"/>
      <c r="X232" s="293"/>
      <c r="Y232" s="293"/>
      <c r="Z232" s="293"/>
      <c r="AA232" s="356" t="str">
        <f t="shared" si="47"/>
        <v>DirRecy-NMC111</v>
      </c>
      <c r="AB232" s="345" t="s">
        <v>358</v>
      </c>
      <c r="AC232" s="245" t="s">
        <v>468</v>
      </c>
      <c r="AD232" s="357">
        <f t="shared" si="48"/>
        <v>5.3433</v>
      </c>
      <c r="AE232" s="291"/>
      <c r="AF232" s="293"/>
      <c r="AG232" s="285"/>
      <c r="AH232" s="303"/>
      <c r="AI232" s="303"/>
      <c r="AJ232" s="303"/>
      <c r="AK232" s="303"/>
      <c r="AL232" s="303"/>
      <c r="AM232" s="303"/>
      <c r="AN232" s="303"/>
      <c r="AO232" s="303"/>
      <c r="AP232" s="303"/>
      <c r="AQ232" s="303"/>
      <c r="AS232" s="356" t="s">
        <v>381</v>
      </c>
      <c r="AT232" s="345">
        <f t="shared" si="37"/>
        <v>0.023267750213858</v>
      </c>
      <c r="AU232" s="345">
        <f t="shared" si="38"/>
        <v>0.0869118905047049</v>
      </c>
      <c r="AV232" s="345">
        <f t="shared" si="39"/>
        <v>0.034901625320787</v>
      </c>
      <c r="AW232" s="345">
        <f t="shared" si="40"/>
        <v>0.048759623609923</v>
      </c>
      <c r="AX232" s="345">
        <f t="shared" si="41"/>
        <v>0.525235243798118</v>
      </c>
      <c r="AY232" s="345">
        <f t="shared" si="42"/>
        <v>0.113088109495295</v>
      </c>
      <c r="AZ232" s="345">
        <f t="shared" si="43"/>
        <v>0.167835757057314</v>
      </c>
      <c r="BA232" s="245" t="s">
        <v>304</v>
      </c>
      <c r="BB232" s="362"/>
      <c r="BC232" s="345" t="s">
        <v>381</v>
      </c>
      <c r="BD232" s="351">
        <v>5</v>
      </c>
      <c r="BE232" s="351">
        <v>5</v>
      </c>
      <c r="BF232" s="351">
        <v>5</v>
      </c>
      <c r="BG232" s="351">
        <v>5</v>
      </c>
      <c r="BH232" s="351">
        <v>5</v>
      </c>
      <c r="BI232" s="351">
        <v>5</v>
      </c>
      <c r="BJ232" s="351">
        <v>5</v>
      </c>
      <c r="BK232" s="245" t="s">
        <v>304</v>
      </c>
      <c r="BL232" s="245">
        <v>0</v>
      </c>
    </row>
    <row r="233" ht="13" spans="2:64">
      <c r="B233" s="267" t="s">
        <v>380</v>
      </c>
      <c r="C233" s="267">
        <f t="shared" si="65"/>
        <v>3.56645369688037</v>
      </c>
      <c r="D233" s="269">
        <f t="shared" si="66"/>
        <v>2.70813706705969</v>
      </c>
      <c r="E233" s="269">
        <f t="shared" si="67"/>
        <v>4.43956890198968</v>
      </c>
      <c r="I233" s="216" t="s">
        <v>406</v>
      </c>
      <c r="J233" s="216">
        <v>0.095</v>
      </c>
      <c r="K233" s="216">
        <v>0</v>
      </c>
      <c r="L233" s="216">
        <v>0</v>
      </c>
      <c r="M233" s="216">
        <v>0</v>
      </c>
      <c r="N233" s="216">
        <v>3.528</v>
      </c>
      <c r="O233" s="216">
        <v>0.946</v>
      </c>
      <c r="P233" s="216">
        <v>1.085</v>
      </c>
      <c r="Q233" s="275"/>
      <c r="R233" s="259">
        <f t="shared" ref="R233:R239" si="69">SUM(J233:P233)</f>
        <v>5.654</v>
      </c>
      <c r="S233" s="275"/>
      <c r="T233" s="275"/>
      <c r="U233" s="216"/>
      <c r="V233" s="293"/>
      <c r="W233" s="293"/>
      <c r="X233" s="293"/>
      <c r="Y233" s="293"/>
      <c r="Z233" s="293"/>
      <c r="AA233" s="356" t="str">
        <f t="shared" si="47"/>
        <v>DirRecy-NMC532</v>
      </c>
      <c r="AB233" s="345" t="s">
        <v>359</v>
      </c>
      <c r="AC233" s="245" t="s">
        <v>468</v>
      </c>
      <c r="AD233" s="357">
        <f t="shared" si="48"/>
        <v>5.2605</v>
      </c>
      <c r="AE233" s="291"/>
      <c r="AF233" s="293"/>
      <c r="AG233" s="285"/>
      <c r="AH233" s="303"/>
      <c r="AI233" s="303"/>
      <c r="AJ233" s="303"/>
      <c r="AK233" s="303"/>
      <c r="AL233" s="303"/>
      <c r="AM233" s="303"/>
      <c r="AN233" s="303"/>
      <c r="AO233" s="303"/>
      <c r="AP233" s="303"/>
      <c r="AQ233" s="303"/>
      <c r="AS233" s="356" t="s">
        <v>382</v>
      </c>
      <c r="AT233" s="345">
        <f t="shared" si="37"/>
        <v>0.0211659192825112</v>
      </c>
      <c r="AU233" s="345">
        <f t="shared" si="38"/>
        <v>0.0952466367713004</v>
      </c>
      <c r="AV233" s="345">
        <f t="shared" si="39"/>
        <v>0.0319282511210762</v>
      </c>
      <c r="AW233" s="345">
        <f t="shared" si="40"/>
        <v>0.0297757847533632</v>
      </c>
      <c r="AX233" s="345">
        <f t="shared" si="41"/>
        <v>0.541165919282511</v>
      </c>
      <c r="AY233" s="345">
        <f t="shared" si="42"/>
        <v>0.108520179372197</v>
      </c>
      <c r="AZ233" s="345">
        <f t="shared" si="43"/>
        <v>0.17219730941704</v>
      </c>
      <c r="BA233" s="245" t="s">
        <v>304</v>
      </c>
      <c r="BB233" s="362"/>
      <c r="BC233" s="345" t="s">
        <v>382</v>
      </c>
      <c r="BD233" s="351">
        <v>5</v>
      </c>
      <c r="BE233" s="351">
        <v>5</v>
      </c>
      <c r="BF233" s="351">
        <v>5</v>
      </c>
      <c r="BG233" s="351">
        <v>5</v>
      </c>
      <c r="BH233" s="351">
        <v>5</v>
      </c>
      <c r="BI233" s="351">
        <v>5</v>
      </c>
      <c r="BJ233" s="351">
        <v>5</v>
      </c>
      <c r="BK233" s="245" t="s">
        <v>304</v>
      </c>
      <c r="BL233" s="245">
        <v>0</v>
      </c>
    </row>
    <row r="234" ht="21" spans="2:64">
      <c r="B234" s="267" t="s">
        <v>381</v>
      </c>
      <c r="C234" s="267">
        <f t="shared" si="65"/>
        <v>3.56585961680177</v>
      </c>
      <c r="D234" s="269">
        <f t="shared" si="66"/>
        <v>2.70768592483419</v>
      </c>
      <c r="E234" s="269">
        <f t="shared" si="67"/>
        <v>4.43882940309506</v>
      </c>
      <c r="I234" s="216" t="s">
        <v>409</v>
      </c>
      <c r="J234" s="216">
        <v>0.106</v>
      </c>
      <c r="K234" s="216">
        <v>0</v>
      </c>
      <c r="L234" s="216">
        <v>0</v>
      </c>
      <c r="M234" s="216">
        <v>1.396</v>
      </c>
      <c r="N234" s="216">
        <v>3.369</v>
      </c>
      <c r="O234" s="216">
        <v>0.863</v>
      </c>
      <c r="P234" s="216">
        <v>0.911</v>
      </c>
      <c r="Q234" s="275"/>
      <c r="R234" s="259">
        <f t="shared" si="69"/>
        <v>6.645</v>
      </c>
      <c r="S234" s="275"/>
      <c r="T234" s="275"/>
      <c r="U234" s="216"/>
      <c r="V234" s="293"/>
      <c r="W234" s="293"/>
      <c r="X234" s="293"/>
      <c r="Y234" s="293"/>
      <c r="Z234" s="293"/>
      <c r="AA234" s="356" t="str">
        <f t="shared" si="47"/>
        <v>DirRecy-NMC622</v>
      </c>
      <c r="AB234" s="345" t="s">
        <v>360</v>
      </c>
      <c r="AC234" s="245" t="s">
        <v>468</v>
      </c>
      <c r="AD234" s="357">
        <f t="shared" si="48"/>
        <v>5.0175</v>
      </c>
      <c r="AE234" s="291"/>
      <c r="AF234" s="293"/>
      <c r="AG234" s="285"/>
      <c r="AH234" s="234" t="s">
        <v>476</v>
      </c>
      <c r="AI234" s="234"/>
      <c r="AJ234" s="234"/>
      <c r="AK234" s="234"/>
      <c r="AL234" s="234"/>
      <c r="AM234" s="234"/>
      <c r="AN234" s="234"/>
      <c r="AO234" s="197"/>
      <c r="AP234" s="197"/>
      <c r="AS234" s="356" t="s">
        <v>383</v>
      </c>
      <c r="AT234" s="345">
        <f t="shared" si="37"/>
        <v>0.0189537528430629</v>
      </c>
      <c r="AU234" s="345">
        <f t="shared" si="38"/>
        <v>0.113722517058378</v>
      </c>
      <c r="AV234" s="345">
        <f t="shared" si="39"/>
        <v>0.0142153146322972</v>
      </c>
      <c r="AW234" s="345">
        <f t="shared" si="40"/>
        <v>0.013267626990144</v>
      </c>
      <c r="AX234" s="345">
        <f t="shared" si="41"/>
        <v>0.553639120545868</v>
      </c>
      <c r="AY234" s="345">
        <f t="shared" si="42"/>
        <v>0.104056103108415</v>
      </c>
      <c r="AZ234" s="345">
        <f t="shared" si="43"/>
        <v>0.182145564821835</v>
      </c>
      <c r="BA234" s="245" t="s">
        <v>304</v>
      </c>
      <c r="BB234" s="362"/>
      <c r="BC234" s="345" t="s">
        <v>383</v>
      </c>
      <c r="BD234" s="351">
        <v>5</v>
      </c>
      <c r="BE234" s="351">
        <v>5</v>
      </c>
      <c r="BF234" s="351">
        <v>5</v>
      </c>
      <c r="BG234" s="351">
        <v>5</v>
      </c>
      <c r="BH234" s="351">
        <v>5</v>
      </c>
      <c r="BI234" s="351">
        <v>5</v>
      </c>
      <c r="BJ234" s="351">
        <v>5</v>
      </c>
      <c r="BK234" s="245" t="s">
        <v>304</v>
      </c>
      <c r="BL234" s="245">
        <v>0</v>
      </c>
    </row>
    <row r="235" ht="13" spans="2:42">
      <c r="B235" s="267" t="s">
        <v>382</v>
      </c>
      <c r="C235" s="267">
        <f t="shared" si="65"/>
        <v>3.56556266273643</v>
      </c>
      <c r="D235" s="269">
        <f t="shared" si="66"/>
        <v>2.70746042741341</v>
      </c>
      <c r="E235" s="269">
        <f t="shared" si="67"/>
        <v>4.4384597641857</v>
      </c>
      <c r="I235" s="216" t="s">
        <v>412</v>
      </c>
      <c r="J235" s="216">
        <v>0.102</v>
      </c>
      <c r="K235" s="216">
        <v>0.672</v>
      </c>
      <c r="L235" s="216">
        <v>0.127</v>
      </c>
      <c r="M235" s="216">
        <v>0</v>
      </c>
      <c r="N235" s="216">
        <v>2.92</v>
      </c>
      <c r="O235" s="216">
        <v>0.564</v>
      </c>
      <c r="P235" s="216">
        <v>0.978</v>
      </c>
      <c r="Q235" s="275"/>
      <c r="R235" s="259">
        <f t="shared" si="69"/>
        <v>5.363</v>
      </c>
      <c r="S235" s="275"/>
      <c r="T235" s="275"/>
      <c r="U235" s="216"/>
      <c r="V235" s="293"/>
      <c r="W235" s="293"/>
      <c r="X235" s="293"/>
      <c r="Y235" s="293"/>
      <c r="Z235" s="293"/>
      <c r="AA235" s="358" t="str">
        <f t="shared" si="47"/>
        <v>DirRecy-NMC811</v>
      </c>
      <c r="AB235" s="359" t="s">
        <v>361</v>
      </c>
      <c r="AC235" s="350" t="s">
        <v>468</v>
      </c>
      <c r="AD235" s="360">
        <f t="shared" si="48"/>
        <v>4.7484</v>
      </c>
      <c r="AE235" s="291"/>
      <c r="AF235" s="293"/>
      <c r="AG235" s="285"/>
      <c r="AH235" s="197"/>
      <c r="AI235" s="304" t="s">
        <v>314</v>
      </c>
      <c r="AJ235" s="304" t="s">
        <v>316</v>
      </c>
      <c r="AK235" s="304" t="s">
        <v>318</v>
      </c>
      <c r="AL235" s="304" t="s">
        <v>327</v>
      </c>
      <c r="AM235" s="304" t="s">
        <v>329</v>
      </c>
      <c r="AN235" s="304" t="s">
        <v>332</v>
      </c>
      <c r="AO235" s="304" t="s">
        <v>472</v>
      </c>
      <c r="AP235" s="197"/>
    </row>
    <row r="236" ht="13" spans="2:41">
      <c r="B236" s="272" t="s">
        <v>383</v>
      </c>
      <c r="C236" s="267">
        <f t="shared" si="65"/>
        <v>3.56496890198968</v>
      </c>
      <c r="D236" s="269">
        <f t="shared" si="66"/>
        <v>2.70700957995578</v>
      </c>
      <c r="E236" s="269">
        <f t="shared" si="67"/>
        <v>4.43772063375092</v>
      </c>
      <c r="I236" s="216" t="s">
        <v>414</v>
      </c>
      <c r="J236" s="216">
        <v>0.141</v>
      </c>
      <c r="K236" s="216">
        <v>0.351</v>
      </c>
      <c r="L236" s="216">
        <v>0.352</v>
      </c>
      <c r="M236" s="216">
        <v>0.328</v>
      </c>
      <c r="N236" s="216">
        <v>3.11</v>
      </c>
      <c r="O236" s="216">
        <v>0.677</v>
      </c>
      <c r="P236" s="216">
        <v>0.978</v>
      </c>
      <c r="Q236" s="275"/>
      <c r="R236" s="259">
        <f t="shared" si="69"/>
        <v>5.937</v>
      </c>
      <c r="S236" s="275"/>
      <c r="T236" s="275"/>
      <c r="U236" s="216"/>
      <c r="V236" s="293"/>
      <c r="W236" s="293"/>
      <c r="X236" s="293"/>
      <c r="Y236" s="293"/>
      <c r="Z236" s="293"/>
      <c r="AA236" s="296"/>
      <c r="AB236" s="225"/>
      <c r="AC236" s="198"/>
      <c r="AD236" s="292"/>
      <c r="AE236" s="298"/>
      <c r="AF236" s="293"/>
      <c r="AG236" s="285"/>
      <c r="AH236" s="197"/>
      <c r="AI236" s="305">
        <v>0.9</v>
      </c>
      <c r="AJ236" s="304">
        <v>0.9</v>
      </c>
      <c r="AK236" s="304">
        <v>0.9</v>
      </c>
      <c r="AL236" s="304">
        <v>0.9</v>
      </c>
      <c r="AM236" s="304">
        <v>0.9</v>
      </c>
      <c r="AN236" s="304">
        <v>0.9</v>
      </c>
      <c r="AO236" s="304">
        <v>0.9</v>
      </c>
    </row>
    <row r="237" ht="14.5" spans="2:65">
      <c r="B237" s="273"/>
      <c r="C237"/>
      <c r="D237"/>
      <c r="I237" s="216" t="s">
        <v>415</v>
      </c>
      <c r="J237" s="216">
        <v>0.136</v>
      </c>
      <c r="K237" s="216">
        <v>0.508</v>
      </c>
      <c r="L237" s="216">
        <v>0.204</v>
      </c>
      <c r="M237" s="216">
        <v>0.285</v>
      </c>
      <c r="N237" s="216">
        <v>3.07</v>
      </c>
      <c r="O237" s="216">
        <v>0.661</v>
      </c>
      <c r="P237" s="216">
        <v>0.981</v>
      </c>
      <c r="Q237" s="275"/>
      <c r="R237" s="259">
        <f t="shared" si="69"/>
        <v>5.845</v>
      </c>
      <c r="S237" s="275"/>
      <c r="T237" s="275"/>
      <c r="U237" s="216"/>
      <c r="V237" s="293"/>
      <c r="W237" s="293"/>
      <c r="X237" s="293"/>
      <c r="Y237" s="293"/>
      <c r="Z237" s="293"/>
      <c r="AA237" s="225"/>
      <c r="AB237" s="225"/>
      <c r="AC237" s="198"/>
      <c r="AD237" s="297"/>
      <c r="AE237" s="291"/>
      <c r="AF237" s="293"/>
      <c r="AG237" s="285"/>
      <c r="AH237" s="197"/>
      <c r="AI237" s="305">
        <f t="shared" ref="AI237:AO237" si="70">AI236</f>
        <v>0.9</v>
      </c>
      <c r="AJ237" s="304">
        <f t="shared" si="70"/>
        <v>0.9</v>
      </c>
      <c r="AK237" s="304">
        <f t="shared" si="70"/>
        <v>0.9</v>
      </c>
      <c r="AL237" s="304">
        <f t="shared" si="70"/>
        <v>0.9</v>
      </c>
      <c r="AM237" s="304">
        <f t="shared" si="70"/>
        <v>0.9</v>
      </c>
      <c r="AN237" s="304">
        <f t="shared" si="70"/>
        <v>0.9</v>
      </c>
      <c r="AO237" s="304">
        <f t="shared" si="70"/>
        <v>0.9</v>
      </c>
      <c r="AS237" s="198"/>
      <c r="AT237" s="198"/>
      <c r="AU237" s="198"/>
      <c r="AV237" s="198"/>
      <c r="AW237" s="198"/>
      <c r="AX237" s="198"/>
      <c r="AY237" s="198"/>
      <c r="AZ237" s="198"/>
      <c r="BA237" s="198"/>
      <c r="BB237" s="198"/>
      <c r="BC237" s="198"/>
      <c r="BD237" s="226"/>
      <c r="BE237" s="226"/>
      <c r="BF237" s="198"/>
      <c r="BG237" s="198"/>
      <c r="BH237" s="198"/>
      <c r="BI237" s="198"/>
      <c r="BJ237" s="198"/>
      <c r="BK237" s="198"/>
      <c r="BL237" s="198"/>
      <c r="BM237" s="198"/>
    </row>
    <row r="238" ht="14.5" spans="2:65">
      <c r="B238" s="273"/>
      <c r="C238"/>
      <c r="D238"/>
      <c r="I238" s="216" t="s">
        <v>416</v>
      </c>
      <c r="J238" s="216">
        <v>0.118</v>
      </c>
      <c r="K238" s="216">
        <v>0.531</v>
      </c>
      <c r="L238" s="216">
        <v>0.178</v>
      </c>
      <c r="M238" s="216">
        <v>0.166</v>
      </c>
      <c r="N238" s="216">
        <v>3.017</v>
      </c>
      <c r="O238" s="216">
        <v>0.605</v>
      </c>
      <c r="P238" s="216">
        <v>0.96</v>
      </c>
      <c r="Q238" s="275"/>
      <c r="R238" s="259">
        <f t="shared" si="69"/>
        <v>5.575</v>
      </c>
      <c r="S238" s="275"/>
      <c r="T238" s="275"/>
      <c r="U238" s="216"/>
      <c r="V238" s="293"/>
      <c r="W238" s="293"/>
      <c r="X238" s="293"/>
      <c r="Y238" s="293"/>
      <c r="Z238" s="293"/>
      <c r="AA238" s="225"/>
      <c r="AB238" s="225"/>
      <c r="AC238" s="198"/>
      <c r="AD238" s="297"/>
      <c r="AE238" s="299"/>
      <c r="AF238" s="293"/>
      <c r="AG238" s="285"/>
      <c r="AH238" s="197"/>
      <c r="AI238" s="305">
        <f t="shared" ref="AI238:AO238" si="71">AI237</f>
        <v>0.9</v>
      </c>
      <c r="AJ238" s="304">
        <f t="shared" si="71"/>
        <v>0.9</v>
      </c>
      <c r="AK238" s="304">
        <f t="shared" si="71"/>
        <v>0.9</v>
      </c>
      <c r="AL238" s="304">
        <f t="shared" si="71"/>
        <v>0.9</v>
      </c>
      <c r="AM238" s="304">
        <f t="shared" si="71"/>
        <v>0.9</v>
      </c>
      <c r="AN238" s="304">
        <f t="shared" si="71"/>
        <v>0.9</v>
      </c>
      <c r="AO238" s="304">
        <f t="shared" si="71"/>
        <v>0.9</v>
      </c>
      <c r="AS238" s="198"/>
      <c r="AT238" s="198"/>
      <c r="AU238" s="198"/>
      <c r="AV238" s="198"/>
      <c r="AW238" s="198"/>
      <c r="AX238" s="198"/>
      <c r="AY238" s="198"/>
      <c r="AZ238" s="198"/>
      <c r="BA238" s="198"/>
      <c r="BB238" s="198"/>
      <c r="BC238" s="198"/>
      <c r="BD238" s="198"/>
      <c r="BE238" s="198"/>
      <c r="BF238" s="198"/>
      <c r="BG238" s="198"/>
      <c r="BH238" s="198"/>
      <c r="BI238" s="198"/>
      <c r="BJ238" s="198"/>
      <c r="BK238" s="198"/>
      <c r="BL238" s="198"/>
      <c r="BM238" s="198"/>
    </row>
    <row r="239" ht="14.5" spans="2:65">
      <c r="B239" s="273"/>
      <c r="C239"/>
      <c r="D239"/>
      <c r="I239" s="216" t="s">
        <v>417</v>
      </c>
      <c r="J239" s="216">
        <v>0.1</v>
      </c>
      <c r="K239" s="216">
        <v>0.6</v>
      </c>
      <c r="L239" s="216">
        <v>0.075</v>
      </c>
      <c r="M239" s="216">
        <v>0.07</v>
      </c>
      <c r="N239" s="216">
        <v>2.921</v>
      </c>
      <c r="O239" s="216">
        <v>0.549</v>
      </c>
      <c r="P239" s="216">
        <v>0.961</v>
      </c>
      <c r="Q239" s="275"/>
      <c r="R239" s="259">
        <f t="shared" si="69"/>
        <v>5.276</v>
      </c>
      <c r="S239" s="275"/>
      <c r="T239" s="275"/>
      <c r="U239" s="216"/>
      <c r="V239" s="293"/>
      <c r="W239" s="293"/>
      <c r="X239" s="293"/>
      <c r="Y239" s="293"/>
      <c r="Z239" s="293"/>
      <c r="AA239" s="225"/>
      <c r="AB239" s="225"/>
      <c r="AC239" s="198"/>
      <c r="AD239" s="297"/>
      <c r="AE239" s="299"/>
      <c r="AF239" s="293"/>
      <c r="AG239" s="285"/>
      <c r="AH239" s="197"/>
      <c r="AI239" s="305">
        <f t="shared" ref="AI239:AO239" si="72">AI238</f>
        <v>0.9</v>
      </c>
      <c r="AJ239" s="304">
        <f t="shared" si="72"/>
        <v>0.9</v>
      </c>
      <c r="AK239" s="304">
        <f t="shared" si="72"/>
        <v>0.9</v>
      </c>
      <c r="AL239" s="304">
        <f t="shared" si="72"/>
        <v>0.9</v>
      </c>
      <c r="AM239" s="304">
        <f t="shared" si="72"/>
        <v>0.9</v>
      </c>
      <c r="AN239" s="304">
        <f t="shared" si="72"/>
        <v>0.9</v>
      </c>
      <c r="AO239" s="304">
        <f t="shared" si="72"/>
        <v>0.9</v>
      </c>
      <c r="AS239" s="225"/>
      <c r="AT239" s="225"/>
      <c r="AU239" s="225"/>
      <c r="AV239" s="225"/>
      <c r="AW239" s="225"/>
      <c r="AX239" s="225"/>
      <c r="AY239" s="225"/>
      <c r="AZ239" s="225"/>
      <c r="BA239" s="198"/>
      <c r="BB239" s="225"/>
      <c r="BC239" s="225"/>
      <c r="BD239" s="295"/>
      <c r="BE239" s="295"/>
      <c r="BF239" s="295"/>
      <c r="BG239" s="295"/>
      <c r="BH239" s="295"/>
      <c r="BI239" s="295"/>
      <c r="BJ239" s="295"/>
      <c r="BK239" s="198"/>
      <c r="BL239" s="198"/>
      <c r="BM239" s="198"/>
    </row>
    <row r="240" ht="14.5" spans="2:65">
      <c r="B240" s="273"/>
      <c r="C240"/>
      <c r="D240"/>
      <c r="I240" s="198"/>
      <c r="J240" s="198"/>
      <c r="K240" s="198"/>
      <c r="L240" s="198"/>
      <c r="M240" s="198"/>
      <c r="N240" s="198"/>
      <c r="O240" s="198"/>
      <c r="P240" s="198"/>
      <c r="Q240" s="198"/>
      <c r="R240" s="198"/>
      <c r="S240" s="198"/>
      <c r="T240" s="274"/>
      <c r="V240" s="197"/>
      <c r="W240" s="197"/>
      <c r="X240" s="197"/>
      <c r="Y240" s="197"/>
      <c r="Z240" s="197"/>
      <c r="AA240" s="225"/>
      <c r="AB240" s="225"/>
      <c r="AC240" s="198"/>
      <c r="AD240" s="297"/>
      <c r="AE240" s="299"/>
      <c r="AF240" s="197"/>
      <c r="AH240" s="197"/>
      <c r="AI240" s="305">
        <f t="shared" ref="AI240:AO240" si="73">AI239</f>
        <v>0.9</v>
      </c>
      <c r="AJ240" s="304">
        <f t="shared" si="73"/>
        <v>0.9</v>
      </c>
      <c r="AK240" s="304">
        <f t="shared" si="73"/>
        <v>0.9</v>
      </c>
      <c r="AL240" s="304">
        <f t="shared" si="73"/>
        <v>0.9</v>
      </c>
      <c r="AM240" s="304">
        <f t="shared" si="73"/>
        <v>0.9</v>
      </c>
      <c r="AN240" s="304">
        <f t="shared" si="73"/>
        <v>0.9</v>
      </c>
      <c r="AO240" s="304">
        <f t="shared" si="73"/>
        <v>0.9</v>
      </c>
      <c r="AS240" s="225"/>
      <c r="AT240" s="225"/>
      <c r="AU240" s="225"/>
      <c r="AV240" s="225"/>
      <c r="AW240" s="225"/>
      <c r="AX240" s="225"/>
      <c r="AY240" s="225"/>
      <c r="AZ240" s="225"/>
      <c r="BA240" s="198"/>
      <c r="BB240" s="225"/>
      <c r="BC240" s="225"/>
      <c r="BD240" s="295"/>
      <c r="BE240" s="295"/>
      <c r="BF240" s="295"/>
      <c r="BG240" s="295"/>
      <c r="BH240" s="295"/>
      <c r="BI240" s="295"/>
      <c r="BJ240" s="295"/>
      <c r="BK240" s="198"/>
      <c r="BL240" s="198"/>
      <c r="BM240" s="198"/>
    </row>
    <row r="241" ht="14.5" spans="2:65">
      <c r="B241" s="273"/>
      <c r="C241"/>
      <c r="D241"/>
      <c r="AA241" s="225"/>
      <c r="AB241" s="225"/>
      <c r="AC241" s="198"/>
      <c r="AD241" s="297"/>
      <c r="AE241" s="299"/>
      <c r="AF241" s="197"/>
      <c r="AH241" s="197"/>
      <c r="AI241" s="305">
        <f t="shared" ref="AI241:AO241" si="74">AI240</f>
        <v>0.9</v>
      </c>
      <c r="AJ241" s="304">
        <f t="shared" si="74"/>
        <v>0.9</v>
      </c>
      <c r="AK241" s="304">
        <f t="shared" si="74"/>
        <v>0.9</v>
      </c>
      <c r="AL241" s="304">
        <f t="shared" si="74"/>
        <v>0.9</v>
      </c>
      <c r="AM241" s="304">
        <f t="shared" si="74"/>
        <v>0.9</v>
      </c>
      <c r="AN241" s="304">
        <f t="shared" si="74"/>
        <v>0.9</v>
      </c>
      <c r="AO241" s="304">
        <f t="shared" si="74"/>
        <v>0.9</v>
      </c>
      <c r="AS241" s="225"/>
      <c r="AT241" s="225"/>
      <c r="AU241" s="225"/>
      <c r="AV241" s="225"/>
      <c r="AW241" s="225"/>
      <c r="AX241" s="225"/>
      <c r="AY241" s="225"/>
      <c r="AZ241" s="225"/>
      <c r="BA241" s="198"/>
      <c r="BB241" s="225"/>
      <c r="BC241" s="225"/>
      <c r="BD241" s="295"/>
      <c r="BE241" s="295"/>
      <c r="BF241" s="295"/>
      <c r="BG241" s="295"/>
      <c r="BH241" s="295"/>
      <c r="BI241" s="295"/>
      <c r="BJ241" s="295"/>
      <c r="BK241" s="198"/>
      <c r="BL241" s="198"/>
      <c r="BM241" s="198"/>
    </row>
    <row r="242" ht="14.5" spans="2:65">
      <c r="B242" s="273"/>
      <c r="C242"/>
      <c r="D242"/>
      <c r="AA242" s="225"/>
      <c r="AB242" s="225"/>
      <c r="AC242" s="198"/>
      <c r="AD242" s="297"/>
      <c r="AE242" s="299"/>
      <c r="AF242" s="197"/>
      <c r="AH242" s="197"/>
      <c r="AI242" s="305">
        <f t="shared" ref="AI242:AO242" si="75">AI241</f>
        <v>0.9</v>
      </c>
      <c r="AJ242" s="304">
        <f t="shared" si="75"/>
        <v>0.9</v>
      </c>
      <c r="AK242" s="304">
        <f t="shared" si="75"/>
        <v>0.9</v>
      </c>
      <c r="AL242" s="304">
        <f t="shared" si="75"/>
        <v>0.9</v>
      </c>
      <c r="AM242" s="304">
        <f t="shared" si="75"/>
        <v>0.9</v>
      </c>
      <c r="AN242" s="304">
        <f t="shared" si="75"/>
        <v>0.9</v>
      </c>
      <c r="AO242" s="304">
        <f t="shared" si="75"/>
        <v>0.9</v>
      </c>
      <c r="AR242" s="198"/>
      <c r="AS242" s="225"/>
      <c r="AT242" s="225"/>
      <c r="AU242" s="225"/>
      <c r="AV242" s="225"/>
      <c r="AW242" s="225"/>
      <c r="AX242" s="225"/>
      <c r="AY242" s="225"/>
      <c r="AZ242" s="225"/>
      <c r="BA242" s="198"/>
      <c r="BB242" s="225"/>
      <c r="BC242" s="225"/>
      <c r="BD242" s="295"/>
      <c r="BE242" s="295"/>
      <c r="BF242" s="295"/>
      <c r="BG242" s="295"/>
      <c r="BH242" s="295"/>
      <c r="BI242" s="295"/>
      <c r="BJ242" s="295"/>
      <c r="BK242" s="198"/>
      <c r="BL242" s="198"/>
      <c r="BM242" s="198"/>
    </row>
    <row r="243" spans="2:65">
      <c r="B243" s="273"/>
      <c r="AA243" s="225"/>
      <c r="AB243" s="225"/>
      <c r="AC243" s="198"/>
      <c r="AD243" s="297"/>
      <c r="AE243" s="299"/>
      <c r="AF243" s="197"/>
      <c r="AS243" s="225"/>
      <c r="AT243" s="225"/>
      <c r="AU243" s="225"/>
      <c r="AV243" s="225"/>
      <c r="AW243" s="225"/>
      <c r="AX243" s="225"/>
      <c r="AY243" s="225"/>
      <c r="AZ243" s="225"/>
      <c r="BA243" s="198"/>
      <c r="BB243" s="225"/>
      <c r="BC243" s="225"/>
      <c r="BD243" s="295"/>
      <c r="BE243" s="295"/>
      <c r="BF243" s="295"/>
      <c r="BG243" s="295"/>
      <c r="BH243" s="295"/>
      <c r="BI243" s="295"/>
      <c r="BJ243" s="295"/>
      <c r="BK243" s="198"/>
      <c r="BL243" s="198"/>
      <c r="BM243" s="198"/>
    </row>
    <row r="244" spans="2:65">
      <c r="B244" s="198"/>
      <c r="AA244" s="197"/>
      <c r="AB244" s="197"/>
      <c r="AC244" s="197"/>
      <c r="AD244" s="197"/>
      <c r="AE244" s="198"/>
      <c r="AF244" s="197"/>
      <c r="AS244" s="225"/>
      <c r="AT244" s="225"/>
      <c r="AU244" s="225"/>
      <c r="AV244" s="225"/>
      <c r="AW244" s="225"/>
      <c r="AX244" s="225"/>
      <c r="AY244" s="225"/>
      <c r="AZ244" s="225"/>
      <c r="BA244" s="198"/>
      <c r="BB244" s="225"/>
      <c r="BC244" s="225"/>
      <c r="BD244" s="295"/>
      <c r="BE244" s="295"/>
      <c r="BF244" s="295"/>
      <c r="BG244" s="295"/>
      <c r="BH244" s="295"/>
      <c r="BI244" s="295"/>
      <c r="BJ244" s="295"/>
      <c r="BK244" s="198"/>
      <c r="BL244" s="198"/>
      <c r="BM244" s="198"/>
    </row>
    <row r="245" spans="2:65">
      <c r="B245" s="198"/>
      <c r="AS245" s="225"/>
      <c r="AT245" s="225"/>
      <c r="AU245" s="225"/>
      <c r="AV245" s="225"/>
      <c r="AW245" s="225"/>
      <c r="AX245" s="225"/>
      <c r="AY245" s="225"/>
      <c r="AZ245" s="225"/>
      <c r="BA245" s="198"/>
      <c r="BB245" s="225"/>
      <c r="BC245" s="225"/>
      <c r="BD245" s="295"/>
      <c r="BE245" s="295"/>
      <c r="BF245" s="295"/>
      <c r="BG245" s="295"/>
      <c r="BH245" s="295"/>
      <c r="BI245" s="295"/>
      <c r="BJ245" s="295"/>
      <c r="BK245" s="198"/>
      <c r="BL245" s="198"/>
      <c r="BM245" s="198"/>
    </row>
    <row r="246" spans="2:65">
      <c r="B246" s="274"/>
      <c r="AS246" s="225"/>
      <c r="AT246" s="225"/>
      <c r="AU246" s="225"/>
      <c r="AV246" s="225"/>
      <c r="AW246" s="225"/>
      <c r="AX246" s="225"/>
      <c r="AY246" s="225"/>
      <c r="AZ246" s="225"/>
      <c r="BA246" s="225"/>
      <c r="BB246" s="225"/>
      <c r="BC246" s="225"/>
      <c r="BD246" s="198"/>
      <c r="BE246" s="198"/>
      <c r="BF246" s="198"/>
      <c r="BG246" s="198"/>
      <c r="BH246" s="198"/>
      <c r="BI246" s="198"/>
      <c r="BJ246" s="198"/>
      <c r="BK246" s="198"/>
      <c r="BL246" s="198"/>
      <c r="BM246" s="198"/>
    </row>
    <row r="247" spans="2:65">
      <c r="B247" s="274"/>
      <c r="AS247" s="198"/>
      <c r="AT247" s="198"/>
      <c r="AU247" s="198"/>
      <c r="AV247" s="198"/>
      <c r="AW247" s="198"/>
      <c r="AX247" s="198"/>
      <c r="AY247" s="198"/>
      <c r="AZ247" s="198"/>
      <c r="BA247" s="198"/>
      <c r="BB247" s="198"/>
      <c r="BC247" s="198"/>
      <c r="BD247" s="198"/>
      <c r="BE247" s="198"/>
      <c r="BF247" s="198"/>
      <c r="BG247" s="198"/>
      <c r="BH247" s="198"/>
      <c r="BI247" s="198"/>
      <c r="BJ247" s="198"/>
      <c r="BK247" s="198"/>
      <c r="BL247" s="198"/>
      <c r="BM247" s="198"/>
    </row>
    <row r="248" spans="45:65">
      <c r="AS248" s="198"/>
      <c r="AT248" s="198"/>
      <c r="AU248" s="198"/>
      <c r="AV248" s="198"/>
      <c r="AW248" s="198"/>
      <c r="AX248" s="198"/>
      <c r="AY248" s="198"/>
      <c r="AZ248" s="198"/>
      <c r="BA248" s="198"/>
      <c r="BB248" s="198"/>
      <c r="BC248" s="198"/>
      <c r="BD248" s="198"/>
      <c r="BE248" s="198"/>
      <c r="BF248" s="198"/>
      <c r="BG248" s="198"/>
      <c r="BH248" s="198"/>
      <c r="BI248" s="198"/>
      <c r="BJ248" s="198"/>
      <c r="BK248" s="198"/>
      <c r="BL248" s="198"/>
      <c r="BM248" s="198"/>
    </row>
    <row r="249" spans="45:65">
      <c r="AS249" s="198"/>
      <c r="AT249" s="198"/>
      <c r="AU249" s="198"/>
      <c r="AV249" s="198"/>
      <c r="AW249" s="198"/>
      <c r="AX249" s="198"/>
      <c r="AY249" s="198"/>
      <c r="AZ249" s="198"/>
      <c r="BA249" s="198"/>
      <c r="BB249" s="198"/>
      <c r="BC249" s="198"/>
      <c r="BD249" s="198"/>
      <c r="BE249" s="198"/>
      <c r="BF249" s="198"/>
      <c r="BG249" s="198"/>
      <c r="BH249" s="198"/>
      <c r="BI249" s="198"/>
      <c r="BJ249" s="198"/>
      <c r="BK249" s="198"/>
      <c r="BL249" s="198"/>
      <c r="BM249" s="198"/>
    </row>
    <row r="250" spans="45:65">
      <c r="AS250" s="198"/>
      <c r="AT250" s="198"/>
      <c r="AU250" s="198"/>
      <c r="AV250" s="198"/>
      <c r="AW250" s="198"/>
      <c r="AX250" s="198"/>
      <c r="AY250" s="198"/>
      <c r="AZ250" s="198"/>
      <c r="BA250" s="198"/>
      <c r="BB250" s="198"/>
      <c r="BC250" s="198"/>
      <c r="BD250" s="198"/>
      <c r="BE250" s="198"/>
      <c r="BF250" s="198"/>
      <c r="BG250" s="198"/>
      <c r="BH250" s="198"/>
      <c r="BI250" s="198"/>
      <c r="BJ250" s="198"/>
      <c r="BK250" s="198"/>
      <c r="BL250" s="198"/>
      <c r="BM250" s="198"/>
    </row>
    <row r="251" spans="45:65">
      <c r="AS251" s="198"/>
      <c r="AT251" s="198"/>
      <c r="AU251" s="198"/>
      <c r="AV251" s="198"/>
      <c r="AW251" s="198"/>
      <c r="AX251" s="198"/>
      <c r="AY251" s="198"/>
      <c r="AZ251" s="198"/>
      <c r="BA251" s="198"/>
      <c r="BB251" s="198"/>
      <c r="BC251" s="198"/>
      <c r="BD251" s="198"/>
      <c r="BE251" s="198"/>
      <c r="BF251" s="198"/>
      <c r="BG251" s="198"/>
      <c r="BH251" s="198"/>
      <c r="BI251" s="198"/>
      <c r="BJ251" s="198"/>
      <c r="BK251" s="198"/>
      <c r="BL251" s="198"/>
      <c r="BM251" s="198"/>
    </row>
    <row r="252" spans="45:65">
      <c r="AS252" s="198"/>
      <c r="AT252" s="198"/>
      <c r="AU252" s="198"/>
      <c r="AV252" s="198"/>
      <c r="AW252" s="198"/>
      <c r="AX252" s="198"/>
      <c r="AY252" s="198"/>
      <c r="AZ252" s="198"/>
      <c r="BA252" s="198"/>
      <c r="BB252" s="198"/>
      <c r="BC252" s="198"/>
      <c r="BD252" s="198"/>
      <c r="BE252" s="198"/>
      <c r="BF252" s="198"/>
      <c r="BG252" s="198"/>
      <c r="BH252" s="198"/>
      <c r="BI252" s="198"/>
      <c r="BJ252" s="198"/>
      <c r="BK252" s="198"/>
      <c r="BL252" s="198"/>
      <c r="BM252" s="198"/>
    </row>
    <row r="258" spans="2:23">
      <c r="B258" s="216"/>
      <c r="C258" s="216"/>
      <c r="D258" s="216"/>
      <c r="E258" s="216"/>
      <c r="F258" s="216"/>
      <c r="G258" s="216"/>
      <c r="H258" s="216"/>
      <c r="I258" s="216"/>
      <c r="J258" s="216"/>
      <c r="K258" s="216"/>
      <c r="L258" s="216"/>
      <c r="M258" s="216"/>
      <c r="N258" s="313" t="s">
        <v>354</v>
      </c>
      <c r="O258" s="216"/>
      <c r="P258" s="216"/>
      <c r="Q258" s="216"/>
      <c r="R258" s="216"/>
      <c r="S258" s="216"/>
      <c r="T258" s="216"/>
      <c r="U258" s="216"/>
      <c r="V258" s="216"/>
      <c r="W258" s="216"/>
    </row>
    <row r="259" spans="2:23">
      <c r="B259" s="216"/>
      <c r="C259" s="313" t="s">
        <v>477</v>
      </c>
      <c r="D259" s="216"/>
      <c r="E259" s="216"/>
      <c r="F259" s="216"/>
      <c r="G259" s="216"/>
      <c r="H259" s="216"/>
      <c r="I259" s="216"/>
      <c r="J259" s="216"/>
      <c r="K259" s="216"/>
      <c r="L259" s="216"/>
      <c r="M259" s="216"/>
      <c r="N259" s="216"/>
      <c r="O259" s="216"/>
      <c r="P259" s="216"/>
      <c r="Q259" s="216"/>
      <c r="R259" s="216"/>
      <c r="S259" s="216"/>
      <c r="T259" s="216"/>
      <c r="U259" s="216"/>
      <c r="V259" s="216"/>
      <c r="W259" s="216"/>
    </row>
    <row r="260" spans="2:32">
      <c r="B260" s="216"/>
      <c r="C260" s="216"/>
      <c r="D260" s="216"/>
      <c r="E260" s="216"/>
      <c r="F260" s="216"/>
      <c r="G260" s="216"/>
      <c r="H260" s="216"/>
      <c r="I260" s="216"/>
      <c r="J260" s="216"/>
      <c r="K260" s="216"/>
      <c r="L260" s="216"/>
      <c r="M260" s="313"/>
      <c r="N260" s="216"/>
      <c r="O260" s="313"/>
      <c r="P260" s="313"/>
      <c r="Q260" s="313"/>
      <c r="R260" s="313"/>
      <c r="S260" s="313"/>
      <c r="T260" s="313"/>
      <c r="U260" s="313"/>
      <c r="V260" s="313"/>
      <c r="W260" s="313"/>
      <c r="Z260" s="197"/>
      <c r="AA260" s="198"/>
      <c r="AB260" s="198"/>
      <c r="AC260" s="198"/>
      <c r="AD260" s="198"/>
      <c r="AE260" s="198"/>
      <c r="AF260" s="274"/>
    </row>
    <row r="261" spans="2:32">
      <c r="B261" s="313"/>
      <c r="C261" s="216"/>
      <c r="D261" s="313"/>
      <c r="E261" s="313"/>
      <c r="F261" s="313"/>
      <c r="G261" s="313"/>
      <c r="H261" s="313"/>
      <c r="I261" s="313"/>
      <c r="J261" s="313"/>
      <c r="K261" s="216"/>
      <c r="L261" s="216"/>
      <c r="M261" s="313" t="s">
        <v>191</v>
      </c>
      <c r="N261" s="313" t="s">
        <v>220</v>
      </c>
      <c r="O261" s="315" t="s">
        <v>314</v>
      </c>
      <c r="P261" s="315" t="s">
        <v>316</v>
      </c>
      <c r="Q261" s="315" t="s">
        <v>318</v>
      </c>
      <c r="R261" s="315" t="s">
        <v>327</v>
      </c>
      <c r="S261" s="315" t="s">
        <v>329</v>
      </c>
      <c r="T261" s="315" t="s">
        <v>332</v>
      </c>
      <c r="U261" s="315" t="s">
        <v>472</v>
      </c>
      <c r="V261" s="315" t="s">
        <v>426</v>
      </c>
      <c r="W261" s="315" t="s">
        <v>427</v>
      </c>
      <c r="Z261" s="197"/>
      <c r="AA261" s="198"/>
      <c r="AB261" s="198"/>
      <c r="AC261" s="198"/>
      <c r="AD261" s="198"/>
      <c r="AE261" s="198"/>
      <c r="AF261" s="274"/>
    </row>
    <row r="262" spans="2:32">
      <c r="B262" s="313" t="s">
        <v>191</v>
      </c>
      <c r="C262" s="313" t="s">
        <v>220</v>
      </c>
      <c r="D262" s="313" t="s">
        <v>213</v>
      </c>
      <c r="E262" s="313" t="s">
        <v>221</v>
      </c>
      <c r="F262" s="313" t="s">
        <v>222</v>
      </c>
      <c r="G262" s="313" t="s">
        <v>223</v>
      </c>
      <c r="H262" s="313" t="s">
        <v>224</v>
      </c>
      <c r="I262" s="313" t="s">
        <v>225</v>
      </c>
      <c r="J262" s="313" t="s">
        <v>226</v>
      </c>
      <c r="K262" s="216" t="s">
        <v>399</v>
      </c>
      <c r="L262" s="216"/>
      <c r="M262" s="313">
        <f>AB237</f>
        <v>0</v>
      </c>
      <c r="N262" s="316" t="s">
        <v>478</v>
      </c>
      <c r="O262" s="315">
        <v>0.0608</v>
      </c>
      <c r="P262" s="315">
        <v>0</v>
      </c>
      <c r="Q262" s="315">
        <v>0</v>
      </c>
      <c r="R262" s="315">
        <v>0</v>
      </c>
      <c r="S262" s="315">
        <v>2.25792</v>
      </c>
      <c r="T262" s="315">
        <v>0.60544</v>
      </c>
      <c r="U262" s="315">
        <v>0.6944</v>
      </c>
      <c r="V262" s="315" t="s">
        <v>290</v>
      </c>
      <c r="W262" s="315">
        <v>1</v>
      </c>
      <c r="Z262" s="197"/>
      <c r="AA262" s="198"/>
      <c r="AB262" s="198"/>
      <c r="AC262" s="198"/>
      <c r="AD262" s="198"/>
      <c r="AE262" s="198"/>
      <c r="AF262" s="274"/>
    </row>
    <row r="263" spans="2:32">
      <c r="B263" s="314" t="s">
        <v>479</v>
      </c>
      <c r="C263" s="313" t="e">
        <f>#REF!</f>
        <v>#REF!</v>
      </c>
      <c r="D263" s="363">
        <f>D7*AI214</f>
        <v>0</v>
      </c>
      <c r="E263" s="313">
        <v>0</v>
      </c>
      <c r="F263" s="313">
        <v>0</v>
      </c>
      <c r="G263" s="313">
        <v>0</v>
      </c>
      <c r="H263" s="313">
        <v>0</v>
      </c>
      <c r="I263" s="313">
        <v>0.8514</v>
      </c>
      <c r="J263" s="313">
        <v>0</v>
      </c>
      <c r="K263" s="216" t="s">
        <v>410</v>
      </c>
      <c r="L263" s="216"/>
      <c r="M263" s="313">
        <f t="shared" ref="M263:M268" si="76">AB238</f>
        <v>0</v>
      </c>
      <c r="N263" s="316" t="s">
        <v>480</v>
      </c>
      <c r="O263" s="315">
        <v>0.06784</v>
      </c>
      <c r="P263" s="315">
        <v>0</v>
      </c>
      <c r="Q263" s="315">
        <v>0</v>
      </c>
      <c r="R263" s="315">
        <v>0.89344</v>
      </c>
      <c r="S263" s="315">
        <v>2.15616</v>
      </c>
      <c r="T263" s="315">
        <v>0.55232</v>
      </c>
      <c r="U263" s="315">
        <v>0.58304</v>
      </c>
      <c r="V263" s="315" t="s">
        <v>293</v>
      </c>
      <c r="W263" s="315">
        <v>1</v>
      </c>
      <c r="Z263" s="197"/>
      <c r="AA263" s="295"/>
      <c r="AB263" s="198"/>
      <c r="AC263" s="295"/>
      <c r="AD263" s="198"/>
      <c r="AE263" s="198"/>
      <c r="AF263" s="274"/>
    </row>
    <row r="264" spans="2:32">
      <c r="B264" s="314" t="s">
        <v>481</v>
      </c>
      <c r="C264" s="313" t="e">
        <f>#REF!</f>
        <v>#REF!</v>
      </c>
      <c r="D264" s="313">
        <v>0</v>
      </c>
      <c r="E264" s="313">
        <v>0</v>
      </c>
      <c r="F264" s="313">
        <v>0</v>
      </c>
      <c r="G264" s="313">
        <v>0</v>
      </c>
      <c r="H264" s="313">
        <v>0</v>
      </c>
      <c r="I264" s="313">
        <v>0.7767</v>
      </c>
      <c r="J264" s="313">
        <v>0</v>
      </c>
      <c r="K264" s="216" t="s">
        <v>410</v>
      </c>
      <c r="L264" s="216"/>
      <c r="M264" s="313">
        <f t="shared" si="76"/>
        <v>0</v>
      </c>
      <c r="N264" s="316" t="s">
        <v>482</v>
      </c>
      <c r="O264" s="315">
        <v>0.06528</v>
      </c>
      <c r="P264" s="315">
        <v>0.43008</v>
      </c>
      <c r="Q264" s="315">
        <v>0.08128</v>
      </c>
      <c r="R264" s="315">
        <v>0</v>
      </c>
      <c r="S264" s="315">
        <v>1.8688</v>
      </c>
      <c r="T264" s="315">
        <v>0.36096</v>
      </c>
      <c r="U264" s="315">
        <v>0.62592</v>
      </c>
      <c r="V264" s="315" t="s">
        <v>298</v>
      </c>
      <c r="W264" s="315">
        <v>1</v>
      </c>
      <c r="Z264" s="197"/>
      <c r="AA264" s="295"/>
      <c r="AB264" s="198"/>
      <c r="AC264" s="295"/>
      <c r="AD264" s="198"/>
      <c r="AE264" s="198"/>
      <c r="AF264" s="274"/>
    </row>
    <row r="265" spans="2:32">
      <c r="B265" s="314" t="s">
        <v>483</v>
      </c>
      <c r="C265" s="313" t="e">
        <f>#REF!</f>
        <v>#REF!</v>
      </c>
      <c r="D265" s="313">
        <v>0</v>
      </c>
      <c r="E265" s="313">
        <v>0.65856</v>
      </c>
      <c r="F265" s="313">
        <v>0.1143</v>
      </c>
      <c r="G265" s="313">
        <v>0</v>
      </c>
      <c r="H265" s="313">
        <v>0</v>
      </c>
      <c r="I265" s="313">
        <v>0.5076</v>
      </c>
      <c r="J265" s="313">
        <v>0</v>
      </c>
      <c r="K265" s="216" t="s">
        <v>410</v>
      </c>
      <c r="L265" s="216"/>
      <c r="M265" s="313">
        <f t="shared" si="76"/>
        <v>0</v>
      </c>
      <c r="N265" s="316" t="s">
        <v>484</v>
      </c>
      <c r="O265" s="315">
        <v>0.09024</v>
      </c>
      <c r="P265" s="315">
        <v>0.22464</v>
      </c>
      <c r="Q265" s="315">
        <v>0.22528</v>
      </c>
      <c r="R265" s="315">
        <v>0.20992</v>
      </c>
      <c r="S265" s="315">
        <v>1.9904</v>
      </c>
      <c r="T265" s="315">
        <v>0.43328</v>
      </c>
      <c r="U265" s="315">
        <v>0.62592</v>
      </c>
      <c r="V265" s="315" t="s">
        <v>302</v>
      </c>
      <c r="W265" s="315">
        <v>1</v>
      </c>
      <c r="Z265" s="197"/>
      <c r="AA265" s="295"/>
      <c r="AB265" s="198"/>
      <c r="AC265" s="295"/>
      <c r="AD265" s="198"/>
      <c r="AE265" s="198"/>
      <c r="AF265" s="274"/>
    </row>
    <row r="266" spans="2:32">
      <c r="B266" s="314" t="s">
        <v>485</v>
      </c>
      <c r="C266" s="313" t="e">
        <f>#REF!</f>
        <v>#REF!</v>
      </c>
      <c r="D266" s="313">
        <v>0</v>
      </c>
      <c r="E266" s="313">
        <v>0.34398</v>
      </c>
      <c r="F266" s="313">
        <v>0.3168</v>
      </c>
      <c r="G266" s="313">
        <v>0</v>
      </c>
      <c r="H266" s="313">
        <v>0</v>
      </c>
      <c r="I266" s="313">
        <v>0.6093</v>
      </c>
      <c r="J266" s="313">
        <v>0</v>
      </c>
      <c r="K266" s="216" t="s">
        <v>410</v>
      </c>
      <c r="L266" s="216"/>
      <c r="M266" s="313">
        <f t="shared" si="76"/>
        <v>0</v>
      </c>
      <c r="N266" s="316" t="s">
        <v>486</v>
      </c>
      <c r="O266" s="315">
        <v>0.08704</v>
      </c>
      <c r="P266" s="315">
        <v>0.32512</v>
      </c>
      <c r="Q266" s="315">
        <v>0.13056</v>
      </c>
      <c r="R266" s="315">
        <v>0.1824</v>
      </c>
      <c r="S266" s="315">
        <v>1.9648</v>
      </c>
      <c r="T266" s="315">
        <v>0.42304</v>
      </c>
      <c r="U266" s="315">
        <v>0.62784</v>
      </c>
      <c r="V266" s="315" t="s">
        <v>305</v>
      </c>
      <c r="W266" s="315">
        <v>1</v>
      </c>
      <c r="Z266" s="197"/>
      <c r="AA266" s="295"/>
      <c r="AB266" s="198"/>
      <c r="AC266" s="295"/>
      <c r="AD266" s="198"/>
      <c r="AE266" s="198"/>
      <c r="AF266" s="274"/>
    </row>
    <row r="267" spans="2:32">
      <c r="B267" s="314" t="s">
        <v>487</v>
      </c>
      <c r="C267" s="313" t="e">
        <f>#REF!</f>
        <v>#REF!</v>
      </c>
      <c r="D267" s="313">
        <v>0</v>
      </c>
      <c r="E267" s="313">
        <v>0.49784</v>
      </c>
      <c r="F267" s="313">
        <v>0.1836</v>
      </c>
      <c r="G267" s="313">
        <v>0</v>
      </c>
      <c r="H267" s="313">
        <v>0</v>
      </c>
      <c r="I267" s="313">
        <v>0.5949</v>
      </c>
      <c r="J267" s="313">
        <v>0</v>
      </c>
      <c r="K267" s="216" t="s">
        <v>410</v>
      </c>
      <c r="L267" s="216"/>
      <c r="M267" s="313">
        <f t="shared" si="76"/>
        <v>0</v>
      </c>
      <c r="N267" s="316" t="s">
        <v>488</v>
      </c>
      <c r="O267" s="315">
        <v>0.07552</v>
      </c>
      <c r="P267" s="315">
        <v>0.33984</v>
      </c>
      <c r="Q267" s="315">
        <v>0.11392</v>
      </c>
      <c r="R267" s="315">
        <v>0.10624</v>
      </c>
      <c r="S267" s="315">
        <v>1.93088</v>
      </c>
      <c r="T267" s="315">
        <v>0.3872</v>
      </c>
      <c r="U267" s="315">
        <v>0.6144</v>
      </c>
      <c r="V267" s="315" t="s">
        <v>307</v>
      </c>
      <c r="W267" s="315">
        <v>1</v>
      </c>
      <c r="Z267" s="197"/>
      <c r="AA267" s="295"/>
      <c r="AB267" s="198"/>
      <c r="AC267" s="295"/>
      <c r="AD267" s="198"/>
      <c r="AE267" s="198"/>
      <c r="AF267" s="274"/>
    </row>
    <row r="268" spans="2:32">
      <c r="B268" s="314" t="s">
        <v>489</v>
      </c>
      <c r="C268" s="313" t="e">
        <f>#REF!</f>
        <v>#REF!</v>
      </c>
      <c r="D268" s="313">
        <v>0</v>
      </c>
      <c r="E268" s="313">
        <v>0.52038</v>
      </c>
      <c r="F268" s="313">
        <v>0.1602</v>
      </c>
      <c r="G268" s="313">
        <v>0</v>
      </c>
      <c r="H268" s="313">
        <v>0</v>
      </c>
      <c r="I268" s="313">
        <v>0.5445</v>
      </c>
      <c r="J268" s="313">
        <v>0</v>
      </c>
      <c r="K268" s="216" t="s">
        <v>410</v>
      </c>
      <c r="L268" s="216"/>
      <c r="M268" s="313">
        <f t="shared" si="76"/>
        <v>0</v>
      </c>
      <c r="N268" s="316" t="s">
        <v>490</v>
      </c>
      <c r="O268" s="315">
        <v>0.064</v>
      </c>
      <c r="P268" s="315">
        <v>0.384</v>
      </c>
      <c r="Q268" s="315">
        <v>0.048</v>
      </c>
      <c r="R268" s="315">
        <v>0.0448</v>
      </c>
      <c r="S268" s="315">
        <v>1.86944</v>
      </c>
      <c r="T268" s="315">
        <v>0.35136</v>
      </c>
      <c r="U268" s="315">
        <v>0.61504</v>
      </c>
      <c r="V268" s="315" t="s">
        <v>309</v>
      </c>
      <c r="W268" s="315">
        <v>1</v>
      </c>
      <c r="Z268" s="197"/>
      <c r="AA268" s="295"/>
      <c r="AB268" s="198"/>
      <c r="AC268" s="295"/>
      <c r="AD268" s="198"/>
      <c r="AE268" s="198"/>
      <c r="AF268" s="274"/>
    </row>
    <row r="269" spans="2:32">
      <c r="B269" s="314" t="s">
        <v>491</v>
      </c>
      <c r="C269" s="313" t="e">
        <f>#REF!</f>
        <v>#REF!</v>
      </c>
      <c r="D269" s="313">
        <v>0</v>
      </c>
      <c r="E269" s="313">
        <v>0.588</v>
      </c>
      <c r="F269" s="313">
        <v>0.0675</v>
      </c>
      <c r="G269" s="313">
        <v>0</v>
      </c>
      <c r="H269" s="313">
        <v>0</v>
      </c>
      <c r="I269" s="313">
        <v>0.4941</v>
      </c>
      <c r="J269" s="313">
        <v>0</v>
      </c>
      <c r="K269" s="216" t="s">
        <v>410</v>
      </c>
      <c r="L269" s="216"/>
      <c r="M269" s="216"/>
      <c r="N269" s="216"/>
      <c r="O269" s="216"/>
      <c r="P269" s="216"/>
      <c r="Q269" s="216"/>
      <c r="R269" s="216"/>
      <c r="S269" s="216"/>
      <c r="T269" s="216"/>
      <c r="U269" s="216"/>
      <c r="V269" s="216"/>
      <c r="W269" s="216"/>
      <c r="Z269" s="197"/>
      <c r="AA269" s="295"/>
      <c r="AB269" s="198"/>
      <c r="AC269" s="295"/>
      <c r="AD269" s="198"/>
      <c r="AE269" s="198"/>
      <c r="AF269" s="274"/>
    </row>
    <row r="270" spans="2:32">
      <c r="B270" s="314" t="s">
        <v>492</v>
      </c>
      <c r="C270" s="313" t="e">
        <f>#REF!</f>
        <v>#REF!</v>
      </c>
      <c r="D270" s="313">
        <v>0.0855</v>
      </c>
      <c r="E270" s="313">
        <v>0</v>
      </c>
      <c r="F270" s="313">
        <v>0</v>
      </c>
      <c r="G270" s="313">
        <v>0</v>
      </c>
      <c r="H270" s="313">
        <v>3.1752</v>
      </c>
      <c r="I270" s="313">
        <v>0.8514</v>
      </c>
      <c r="J270" s="313">
        <v>0.9765</v>
      </c>
      <c r="K270" s="216" t="s">
        <v>410</v>
      </c>
      <c r="L270" s="216"/>
      <c r="M270" s="216"/>
      <c r="N270" s="216"/>
      <c r="O270" s="216"/>
      <c r="P270" s="216"/>
      <c r="Q270" s="216"/>
      <c r="R270" s="216"/>
      <c r="S270" s="216"/>
      <c r="T270" s="216"/>
      <c r="U270" s="216"/>
      <c r="V270" s="216"/>
      <c r="W270" s="216"/>
      <c r="Z270" s="197"/>
      <c r="AA270" s="295"/>
      <c r="AB270" s="198"/>
      <c r="AC270" s="295"/>
      <c r="AD270" s="198"/>
      <c r="AE270" s="198"/>
      <c r="AF270" s="274"/>
    </row>
    <row r="271" spans="2:32">
      <c r="B271" s="314" t="s">
        <v>493</v>
      </c>
      <c r="C271" s="313" t="e">
        <f>#REF!</f>
        <v>#REF!</v>
      </c>
      <c r="D271" s="313">
        <v>0.0954</v>
      </c>
      <c r="E271" s="313">
        <v>0</v>
      </c>
      <c r="F271" s="313">
        <v>0</v>
      </c>
      <c r="G271" s="313">
        <v>1.36808</v>
      </c>
      <c r="H271" s="313">
        <v>3.0321</v>
      </c>
      <c r="I271" s="313">
        <v>0.7767</v>
      </c>
      <c r="J271" s="313">
        <v>0.8199</v>
      </c>
      <c r="K271" s="216" t="s">
        <v>410</v>
      </c>
      <c r="L271" s="216"/>
      <c r="M271" s="216"/>
      <c r="N271" s="216"/>
      <c r="O271" s="216"/>
      <c r="P271" s="216"/>
      <c r="Q271" s="216"/>
      <c r="R271" s="216"/>
      <c r="S271" s="216"/>
      <c r="T271" s="216"/>
      <c r="U271" s="216"/>
      <c r="V271" s="216"/>
      <c r="W271" s="216"/>
      <c r="Z271" s="197"/>
      <c r="AA271" s="295"/>
      <c r="AB271" s="198"/>
      <c r="AC271" s="295"/>
      <c r="AD271" s="198"/>
      <c r="AE271" s="198"/>
      <c r="AF271" s="274"/>
    </row>
    <row r="272" spans="2:32">
      <c r="B272" s="314" t="s">
        <v>494</v>
      </c>
      <c r="C272" s="313" t="e">
        <f>#REF!</f>
        <v>#REF!</v>
      </c>
      <c r="D272" s="313">
        <v>0.0918</v>
      </c>
      <c r="E272" s="313">
        <v>0.65856</v>
      </c>
      <c r="F272" s="313">
        <v>0.12446</v>
      </c>
      <c r="G272" s="313">
        <v>0</v>
      </c>
      <c r="H272" s="313">
        <v>2.628</v>
      </c>
      <c r="I272" s="313">
        <v>0.5076</v>
      </c>
      <c r="J272" s="313">
        <v>0.8802</v>
      </c>
      <c r="K272" s="216" t="s">
        <v>410</v>
      </c>
      <c r="L272" s="216"/>
      <c r="M272" s="216"/>
      <c r="N272" s="216"/>
      <c r="O272" s="216"/>
      <c r="P272" s="216"/>
      <c r="Q272" s="216"/>
      <c r="R272" s="216"/>
      <c r="S272" s="216"/>
      <c r="T272" s="216"/>
      <c r="U272" s="216"/>
      <c r="V272" s="216"/>
      <c r="W272" s="216"/>
      <c r="Z272" s="197"/>
      <c r="AA272" s="295"/>
      <c r="AB272" s="198"/>
      <c r="AC272" s="295"/>
      <c r="AD272" s="198"/>
      <c r="AE272" s="198"/>
      <c r="AF272" s="274"/>
    </row>
    <row r="273" spans="2:32">
      <c r="B273" s="314" t="s">
        <v>495</v>
      </c>
      <c r="C273" s="313" t="e">
        <f>#REF!</f>
        <v>#REF!</v>
      </c>
      <c r="D273" s="313">
        <v>0.1269</v>
      </c>
      <c r="E273" s="313">
        <v>0.34398</v>
      </c>
      <c r="F273" s="313">
        <v>0.34496</v>
      </c>
      <c r="G273" s="313">
        <v>0.32144</v>
      </c>
      <c r="H273" s="313">
        <v>2.799</v>
      </c>
      <c r="I273" s="313">
        <v>0.6093</v>
      </c>
      <c r="J273" s="313">
        <v>0.8802</v>
      </c>
      <c r="K273" s="216" t="s">
        <v>410</v>
      </c>
      <c r="L273" s="216"/>
      <c r="M273" s="216"/>
      <c r="N273" s="216"/>
      <c r="O273" s="216"/>
      <c r="P273" s="216"/>
      <c r="Q273" s="216"/>
      <c r="R273" s="216"/>
      <c r="S273" s="216"/>
      <c r="T273" s="216"/>
      <c r="U273" s="216"/>
      <c r="V273" s="216"/>
      <c r="W273" s="216"/>
      <c r="Z273" s="197"/>
      <c r="AA273" s="295"/>
      <c r="AB273" s="198"/>
      <c r="AC273" s="295"/>
      <c r="AD273" s="198"/>
      <c r="AE273" s="198"/>
      <c r="AF273" s="274"/>
    </row>
    <row r="274" spans="2:32">
      <c r="B274" s="314" t="s">
        <v>496</v>
      </c>
      <c r="C274" s="313" t="e">
        <f>#REF!</f>
        <v>#REF!</v>
      </c>
      <c r="D274" s="313">
        <v>0.1224</v>
      </c>
      <c r="E274" s="313">
        <v>0.49784</v>
      </c>
      <c r="F274" s="313">
        <v>0.19992</v>
      </c>
      <c r="G274" s="313">
        <v>0.2793</v>
      </c>
      <c r="H274" s="313">
        <v>2.763</v>
      </c>
      <c r="I274" s="313">
        <v>0.5949</v>
      </c>
      <c r="J274" s="313">
        <v>0.8829</v>
      </c>
      <c r="K274" s="216" t="s">
        <v>410</v>
      </c>
      <c r="L274" s="216"/>
      <c r="M274" s="216"/>
      <c r="N274" s="216"/>
      <c r="O274" s="216"/>
      <c r="P274" s="216"/>
      <c r="Q274" s="216"/>
      <c r="R274" s="216"/>
      <c r="S274" s="216"/>
      <c r="T274" s="216"/>
      <c r="U274" s="216"/>
      <c r="V274" s="216"/>
      <c r="W274" s="216"/>
      <c r="Z274" s="197"/>
      <c r="AA274" s="295"/>
      <c r="AB274" s="198"/>
      <c r="AC274" s="295"/>
      <c r="AD274" s="198"/>
      <c r="AE274" s="198"/>
      <c r="AF274" s="274"/>
    </row>
    <row r="275" spans="2:32">
      <c r="B275" s="314" t="s">
        <v>497</v>
      </c>
      <c r="C275" s="313" t="e">
        <f>#REF!</f>
        <v>#REF!</v>
      </c>
      <c r="D275" s="313">
        <v>0.1062</v>
      </c>
      <c r="E275" s="313">
        <v>0.52038</v>
      </c>
      <c r="F275" s="313">
        <v>0.17444</v>
      </c>
      <c r="G275" s="313">
        <v>0.16268</v>
      </c>
      <c r="H275" s="313">
        <v>2.7153</v>
      </c>
      <c r="I275" s="313">
        <v>0.5445</v>
      </c>
      <c r="J275" s="313">
        <v>0.864</v>
      </c>
      <c r="K275" s="216" t="s">
        <v>410</v>
      </c>
      <c r="L275" s="216"/>
      <c r="M275" s="216"/>
      <c r="N275" s="216"/>
      <c r="O275" s="216"/>
      <c r="P275" s="216"/>
      <c r="Q275" s="216"/>
      <c r="R275" s="216"/>
      <c r="S275" s="216"/>
      <c r="T275" s="216"/>
      <c r="U275" s="216"/>
      <c r="V275" s="216"/>
      <c r="W275" s="216"/>
      <c r="Z275" s="197"/>
      <c r="AA275" s="295"/>
      <c r="AB275" s="198"/>
      <c r="AC275" s="295"/>
      <c r="AD275" s="198"/>
      <c r="AE275" s="198"/>
      <c r="AF275" s="274"/>
    </row>
    <row r="276" spans="2:32">
      <c r="B276" s="314" t="s">
        <v>498</v>
      </c>
      <c r="C276" s="313" t="e">
        <f>#REF!</f>
        <v>#REF!</v>
      </c>
      <c r="D276" s="313">
        <v>0.09</v>
      </c>
      <c r="E276" s="313">
        <v>0.588</v>
      </c>
      <c r="F276" s="313">
        <v>0.0735</v>
      </c>
      <c r="G276" s="313">
        <v>0.0686</v>
      </c>
      <c r="H276" s="313">
        <v>2.6289</v>
      </c>
      <c r="I276" s="313">
        <v>0.4941</v>
      </c>
      <c r="J276" s="313">
        <v>0.8649</v>
      </c>
      <c r="K276" s="216" t="s">
        <v>410</v>
      </c>
      <c r="L276" s="216"/>
      <c r="M276" s="216"/>
      <c r="N276" s="216"/>
      <c r="O276" s="216"/>
      <c r="P276" s="216"/>
      <c r="Q276" s="216"/>
      <c r="R276" s="216"/>
      <c r="S276" s="216"/>
      <c r="T276" s="216"/>
      <c r="U276" s="216"/>
      <c r="V276" s="216"/>
      <c r="W276" s="216"/>
      <c r="Z276" s="197"/>
      <c r="AA276" s="295"/>
      <c r="AB276" s="198"/>
      <c r="AC276" s="295"/>
      <c r="AD276" s="198"/>
      <c r="AE276" s="198"/>
      <c r="AF276" s="274"/>
    </row>
    <row r="277" spans="2:32">
      <c r="B277" s="314" t="s">
        <v>499</v>
      </c>
      <c r="C277" s="313" t="e">
        <f>#REF!</f>
        <v>#REF!</v>
      </c>
      <c r="D277" s="313">
        <v>0.0855</v>
      </c>
      <c r="E277" s="313">
        <v>0</v>
      </c>
      <c r="F277" s="313">
        <v>0</v>
      </c>
      <c r="G277" s="313">
        <v>0</v>
      </c>
      <c r="H277" s="313">
        <v>3.1752</v>
      </c>
      <c r="I277" s="313">
        <v>0.8514</v>
      </c>
      <c r="J277" s="313">
        <v>0.9765</v>
      </c>
      <c r="K277" s="216" t="s">
        <v>410</v>
      </c>
      <c r="L277" s="216"/>
      <c r="M277" s="216"/>
      <c r="N277" s="317"/>
      <c r="O277" s="216"/>
      <c r="P277" s="216"/>
      <c r="Q277" s="216"/>
      <c r="R277" s="216"/>
      <c r="S277" s="216"/>
      <c r="T277" s="216"/>
      <c r="U277" s="216"/>
      <c r="V277" s="216"/>
      <c r="W277" s="216"/>
      <c r="Z277" s="197"/>
      <c r="AA277" s="295"/>
      <c r="AB277" s="198"/>
      <c r="AC277" s="295"/>
      <c r="AD277" s="198"/>
      <c r="AE277" s="198"/>
      <c r="AF277" s="274"/>
    </row>
    <row r="278" spans="2:32">
      <c r="B278" s="314" t="s">
        <v>500</v>
      </c>
      <c r="C278" s="313" t="e">
        <f>#REF!</f>
        <v>#REF!</v>
      </c>
      <c r="D278" s="313">
        <v>0.0954</v>
      </c>
      <c r="E278" s="313">
        <v>0</v>
      </c>
      <c r="F278" s="313">
        <v>0</v>
      </c>
      <c r="G278" s="313">
        <v>1.2564</v>
      </c>
      <c r="H278" s="313">
        <v>3.0321</v>
      </c>
      <c r="I278" s="313">
        <v>0.7767</v>
      </c>
      <c r="J278" s="313">
        <v>0.8199</v>
      </c>
      <c r="K278" s="216" t="s">
        <v>410</v>
      </c>
      <c r="L278" s="216"/>
      <c r="M278" s="216"/>
      <c r="N278" s="216"/>
      <c r="O278" s="216"/>
      <c r="P278" s="216"/>
      <c r="Q278" s="216"/>
      <c r="R278" s="216"/>
      <c r="S278" s="216"/>
      <c r="T278" s="216"/>
      <c r="U278" s="216"/>
      <c r="V278" s="216"/>
      <c r="W278" s="216"/>
      <c r="Z278" s="197"/>
      <c r="AA278" s="295"/>
      <c r="AB278" s="198"/>
      <c r="AC278" s="295"/>
      <c r="AD278" s="198"/>
      <c r="AE278" s="198"/>
      <c r="AF278" s="274"/>
    </row>
    <row r="279" spans="2:32">
      <c r="B279" s="314" t="s">
        <v>501</v>
      </c>
      <c r="C279" s="313" t="e">
        <f>#REF!</f>
        <v>#REF!</v>
      </c>
      <c r="D279" s="313">
        <v>0.0918</v>
      </c>
      <c r="E279" s="313">
        <v>0.6048</v>
      </c>
      <c r="F279" s="313">
        <v>0.1143</v>
      </c>
      <c r="G279" s="313">
        <v>0</v>
      </c>
      <c r="H279" s="313">
        <v>2.628</v>
      </c>
      <c r="I279" s="313">
        <v>0.5076</v>
      </c>
      <c r="J279" s="313">
        <v>0.8802</v>
      </c>
      <c r="K279" s="216" t="s">
        <v>410</v>
      </c>
      <c r="L279" s="216"/>
      <c r="M279" s="216"/>
      <c r="N279" s="216"/>
      <c r="O279" s="216"/>
      <c r="P279" s="216"/>
      <c r="Q279" s="216"/>
      <c r="R279" s="216"/>
      <c r="S279" s="216"/>
      <c r="T279" s="216"/>
      <c r="U279" s="216"/>
      <c r="V279" s="216"/>
      <c r="W279" s="216"/>
      <c r="Z279" s="197"/>
      <c r="AA279" s="295"/>
      <c r="AB279" s="198"/>
      <c r="AC279" s="295"/>
      <c r="AD279" s="198"/>
      <c r="AE279" s="198"/>
      <c r="AF279" s="274"/>
    </row>
    <row r="280" spans="2:32">
      <c r="B280" s="314" t="s">
        <v>502</v>
      </c>
      <c r="C280" s="313" t="e">
        <f>#REF!</f>
        <v>#REF!</v>
      </c>
      <c r="D280" s="313">
        <v>0.1269</v>
      </c>
      <c r="E280" s="313">
        <v>0.3159</v>
      </c>
      <c r="F280" s="313">
        <v>0.3168</v>
      </c>
      <c r="G280" s="313">
        <v>0.2952</v>
      </c>
      <c r="H280" s="313">
        <v>2.799</v>
      </c>
      <c r="I280" s="313">
        <v>0.6093</v>
      </c>
      <c r="J280" s="313">
        <v>0.8802</v>
      </c>
      <c r="K280" s="216" t="s">
        <v>410</v>
      </c>
      <c r="L280" s="216"/>
      <c r="M280" s="216"/>
      <c r="N280" s="216"/>
      <c r="O280" s="216"/>
      <c r="P280" s="216"/>
      <c r="Q280" s="216"/>
      <c r="R280" s="216"/>
      <c r="S280" s="216"/>
      <c r="T280" s="216"/>
      <c r="U280" s="216"/>
      <c r="V280" s="216"/>
      <c r="W280" s="216"/>
      <c r="Z280" s="197"/>
      <c r="AA280" s="295"/>
      <c r="AB280" s="198"/>
      <c r="AC280" s="295"/>
      <c r="AD280" s="198"/>
      <c r="AE280" s="198"/>
      <c r="AF280" s="274"/>
    </row>
    <row r="281" spans="2:32">
      <c r="B281" s="314" t="s">
        <v>503</v>
      </c>
      <c r="C281" s="313" t="e">
        <f>#REF!</f>
        <v>#REF!</v>
      </c>
      <c r="D281" s="313">
        <v>0.1224</v>
      </c>
      <c r="E281" s="313">
        <v>0.4572</v>
      </c>
      <c r="F281" s="313">
        <v>0.1836</v>
      </c>
      <c r="G281" s="313">
        <v>0.2565</v>
      </c>
      <c r="H281" s="313">
        <v>2.763</v>
      </c>
      <c r="I281" s="313">
        <v>0.5949</v>
      </c>
      <c r="J281" s="313">
        <v>0.8829</v>
      </c>
      <c r="K281" s="216" t="s">
        <v>410</v>
      </c>
      <c r="L281" s="216"/>
      <c r="M281" s="216"/>
      <c r="N281" s="216"/>
      <c r="O281" s="216"/>
      <c r="P281" s="216"/>
      <c r="Q281" s="216"/>
      <c r="R281" s="216"/>
      <c r="S281" s="216"/>
      <c r="T281" s="216"/>
      <c r="U281" s="216"/>
      <c r="V281" s="216"/>
      <c r="W281" s="216"/>
      <c r="Z281" s="197"/>
      <c r="AA281" s="295"/>
      <c r="AB281" s="198"/>
      <c r="AC281" s="295"/>
      <c r="AD281" s="198"/>
      <c r="AE281" s="198"/>
      <c r="AF281" s="274"/>
    </row>
    <row r="282" spans="2:32">
      <c r="B282" s="314" t="s">
        <v>504</v>
      </c>
      <c r="C282" s="313" t="e">
        <f>#REF!</f>
        <v>#REF!</v>
      </c>
      <c r="D282" s="313">
        <v>0.1062</v>
      </c>
      <c r="E282" s="313">
        <v>0.4779</v>
      </c>
      <c r="F282" s="313">
        <v>0.1602</v>
      </c>
      <c r="G282" s="313">
        <v>0.1494</v>
      </c>
      <c r="H282" s="313">
        <v>2.7153</v>
      </c>
      <c r="I282" s="313">
        <v>0.5445</v>
      </c>
      <c r="J282" s="313">
        <v>0.864</v>
      </c>
      <c r="K282" s="216" t="s">
        <v>410</v>
      </c>
      <c r="L282" s="216"/>
      <c r="M282" s="216"/>
      <c r="N282" s="216"/>
      <c r="O282" s="216"/>
      <c r="P282" s="216"/>
      <c r="Q282" s="216"/>
      <c r="R282" s="216"/>
      <c r="S282" s="216"/>
      <c r="T282" s="216"/>
      <c r="U282" s="216"/>
      <c r="V282" s="216"/>
      <c r="W282" s="216"/>
      <c r="Z282" s="197"/>
      <c r="AA282" s="295"/>
      <c r="AB282" s="198"/>
      <c r="AC282" s="295"/>
      <c r="AD282" s="198"/>
      <c r="AE282" s="198"/>
      <c r="AF282" s="274"/>
    </row>
    <row r="283" spans="2:32">
      <c r="B283" s="314" t="s">
        <v>505</v>
      </c>
      <c r="C283" s="313" t="e">
        <f>#REF!</f>
        <v>#REF!</v>
      </c>
      <c r="D283" s="313">
        <v>0.09</v>
      </c>
      <c r="E283" s="313">
        <v>0.54</v>
      </c>
      <c r="F283" s="313">
        <v>0.0675</v>
      </c>
      <c r="G283" s="313">
        <v>0.063</v>
      </c>
      <c r="H283" s="313">
        <v>2.6289</v>
      </c>
      <c r="I283" s="313">
        <v>0.4941</v>
      </c>
      <c r="J283" s="313">
        <v>0.8649</v>
      </c>
      <c r="K283" s="216" t="s">
        <v>410</v>
      </c>
      <c r="L283" s="216"/>
      <c r="M283" s="216"/>
      <c r="N283" s="216"/>
      <c r="O283" s="216"/>
      <c r="P283" s="216"/>
      <c r="Q283" s="216"/>
      <c r="R283" s="216"/>
      <c r="S283" s="216"/>
      <c r="T283" s="216"/>
      <c r="U283" s="216"/>
      <c r="V283" s="216"/>
      <c r="W283" s="216"/>
      <c r="Z283" s="197"/>
      <c r="AA283" s="295"/>
      <c r="AB283" s="198"/>
      <c r="AC283" s="295"/>
      <c r="AD283" s="198"/>
      <c r="AE283" s="198"/>
      <c r="AF283" s="274"/>
    </row>
    <row r="284" spans="26:32">
      <c r="Z284" s="197"/>
      <c r="AA284" s="198"/>
      <c r="AB284" s="198"/>
      <c r="AC284" s="198"/>
      <c r="AD284" s="198"/>
      <c r="AE284" s="198"/>
      <c r="AF284" s="274"/>
    </row>
    <row r="285" spans="26:32">
      <c r="Z285" s="197"/>
      <c r="AA285" s="198"/>
      <c r="AB285" s="198"/>
      <c r="AC285" s="198"/>
      <c r="AD285" s="198"/>
      <c r="AE285" s="198"/>
      <c r="AF285" s="274"/>
    </row>
    <row r="286" spans="26:32">
      <c r="Z286" s="197"/>
      <c r="AA286" s="198"/>
      <c r="AB286" s="198"/>
      <c r="AC286" s="198"/>
      <c r="AD286" s="198"/>
      <c r="AE286" s="198"/>
      <c r="AF286" s="274"/>
    </row>
    <row r="287" spans="26:32">
      <c r="Z287" s="197"/>
      <c r="AA287" s="198"/>
      <c r="AB287" s="198"/>
      <c r="AC287" s="198"/>
      <c r="AD287" s="198"/>
      <c r="AE287" s="198"/>
      <c r="AF287" s="274"/>
    </row>
    <row r="288" s="197" customFormat="1" spans="27:32">
      <c r="AA288" s="198"/>
      <c r="AB288" s="198"/>
      <c r="AC288" s="198"/>
      <c r="AD288" s="198"/>
      <c r="AE288" s="198"/>
      <c r="AF288" s="198"/>
    </row>
    <row r="289" s="197" customFormat="1" spans="4:32">
      <c r="D289" s="198"/>
      <c r="E289" s="198"/>
      <c r="F289" s="198"/>
      <c r="G289" s="198"/>
      <c r="H289" s="198"/>
      <c r="AA289" s="198"/>
      <c r="AB289" s="198"/>
      <c r="AC289" s="198"/>
      <c r="AD289" s="198"/>
      <c r="AE289" s="198"/>
      <c r="AF289" s="198"/>
    </row>
    <row r="290" spans="27:32">
      <c r="AA290" s="274"/>
      <c r="AB290" s="274"/>
      <c r="AC290" s="274"/>
      <c r="AD290" s="274"/>
      <c r="AE290" s="274"/>
      <c r="AF290" s="274"/>
    </row>
    <row r="291" spans="27:32">
      <c r="AA291" s="274"/>
      <c r="AB291" s="274"/>
      <c r="AC291" s="274"/>
      <c r="AD291" s="274"/>
      <c r="AE291" s="274"/>
      <c r="AF291" s="274"/>
    </row>
    <row r="292" spans="27:32">
      <c r="AA292" s="274"/>
      <c r="AB292" s="274"/>
      <c r="AC292" s="274"/>
      <c r="AD292" s="274"/>
      <c r="AE292" s="274"/>
      <c r="AF292" s="274"/>
    </row>
    <row r="320" s="198" customFormat="1"/>
    <row r="321" s="198" customFormat="1" spans="3:5">
      <c r="C321" s="295"/>
      <c r="E321" s="295"/>
    </row>
    <row r="322" s="198" customFormat="1" spans="3:5">
      <c r="C322" s="295"/>
      <c r="E322" s="295"/>
    </row>
    <row r="323" s="198" customFormat="1" spans="3:5">
      <c r="C323" s="295"/>
      <c r="E323" s="295"/>
    </row>
    <row r="324" s="198" customFormat="1" spans="3:5">
      <c r="C324" s="295"/>
      <c r="E324" s="295"/>
    </row>
    <row r="325" s="198" customFormat="1" spans="3:5">
      <c r="C325" s="295"/>
      <c r="E325" s="295"/>
    </row>
    <row r="326" s="198" customFormat="1" spans="3:5">
      <c r="C326" s="295"/>
      <c r="E326" s="295"/>
    </row>
    <row r="327" s="198" customFormat="1" spans="3:5">
      <c r="C327" s="295"/>
      <c r="E327" s="295"/>
    </row>
    <row r="328" s="198" customFormat="1" spans="3:5">
      <c r="C328" s="295"/>
      <c r="E328" s="295"/>
    </row>
    <row r="329" s="198" customFormat="1" spans="3:5">
      <c r="C329" s="295"/>
      <c r="E329" s="295"/>
    </row>
    <row r="330" s="198" customFormat="1" spans="3:5">
      <c r="C330" s="295"/>
      <c r="E330" s="295"/>
    </row>
    <row r="331" s="198" customFormat="1" spans="3:5">
      <c r="C331" s="295"/>
      <c r="E331" s="295"/>
    </row>
    <row r="332" s="198" customFormat="1" spans="3:5">
      <c r="C332" s="295"/>
      <c r="E332" s="295"/>
    </row>
    <row r="333" s="198" customFormat="1" spans="3:5">
      <c r="C333" s="295"/>
      <c r="E333" s="295"/>
    </row>
    <row r="334" s="198" customFormat="1" spans="3:5">
      <c r="C334" s="295"/>
      <c r="E334" s="295"/>
    </row>
    <row r="335" s="198" customFormat="1" spans="3:5">
      <c r="C335" s="295"/>
      <c r="E335" s="295"/>
    </row>
    <row r="336" s="198" customFormat="1" spans="3:5">
      <c r="C336" s="295"/>
      <c r="E336" s="295"/>
    </row>
    <row r="337" s="198" customFormat="1" spans="3:5">
      <c r="C337" s="295"/>
      <c r="E337" s="295"/>
    </row>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ht="14.5" spans="4:5">
      <c r="D347" s="226"/>
      <c r="E347" s="226"/>
    </row>
    <row r="348" s="198" customFormat="1" spans="4:10">
      <c r="D348" s="318"/>
      <c r="E348" s="318"/>
      <c r="F348" s="318"/>
      <c r="G348" s="318"/>
      <c r="H348" s="318"/>
      <c r="I348" s="318"/>
      <c r="J348" s="318"/>
    </row>
    <row r="349" s="198" customFormat="1"/>
    <row r="350" s="198" customFormat="1"/>
    <row r="351" s="198" customFormat="1"/>
    <row r="352" s="198" customFormat="1"/>
    <row r="353" s="198" customFormat="1"/>
    <row r="354" s="198" customFormat="1"/>
    <row r="355" s="198" customFormat="1" ht="14.5" spans="14:22">
      <c r="N355" s="319"/>
      <c r="O355" s="319"/>
      <c r="P355" s="319"/>
      <c r="Q355" s="319"/>
      <c r="R355" s="252"/>
      <c r="S355" s="252"/>
      <c r="T355" s="252"/>
      <c r="U355" s="252"/>
      <c r="V355" s="252"/>
    </row>
    <row r="356" s="198" customFormat="1" spans="3:22">
      <c r="C356" s="295"/>
      <c r="D356" s="295"/>
      <c r="E356" s="295"/>
      <c r="F356" s="295"/>
      <c r="G356" s="295"/>
      <c r="H356" s="295"/>
      <c r="I356" s="295"/>
      <c r="J356" s="295"/>
      <c r="N356" s="320"/>
      <c r="O356" s="319"/>
      <c r="P356" s="319"/>
      <c r="Q356" s="319"/>
      <c r="R356" s="319"/>
      <c r="S356" s="319"/>
      <c r="T356" s="319"/>
      <c r="U356" s="319"/>
      <c r="V356" s="319"/>
    </row>
    <row r="357" s="198" customFormat="1" spans="3:22">
      <c r="C357" s="295"/>
      <c r="D357" s="295"/>
      <c r="E357" s="295"/>
      <c r="F357" s="295"/>
      <c r="G357" s="295"/>
      <c r="H357" s="295"/>
      <c r="I357" s="295"/>
      <c r="J357" s="295"/>
      <c r="N357" s="320"/>
      <c r="O357" s="319"/>
      <c r="P357" s="319"/>
      <c r="Q357" s="319"/>
      <c r="R357" s="319"/>
      <c r="S357" s="319"/>
      <c r="T357" s="319"/>
      <c r="U357" s="319"/>
      <c r="V357" s="319"/>
    </row>
    <row r="358" s="198" customFormat="1" spans="3:22">
      <c r="C358" s="295"/>
      <c r="D358" s="295"/>
      <c r="E358" s="295"/>
      <c r="F358" s="295"/>
      <c r="G358" s="295"/>
      <c r="H358" s="295"/>
      <c r="I358" s="295"/>
      <c r="J358" s="295"/>
      <c r="N358" s="321"/>
      <c r="O358" s="319"/>
      <c r="P358" s="319"/>
      <c r="Q358" s="319"/>
      <c r="R358" s="319"/>
      <c r="S358" s="319"/>
      <c r="T358" s="319"/>
      <c r="U358" s="319"/>
      <c r="V358" s="319"/>
    </row>
    <row r="359" s="198" customFormat="1" spans="3:22">
      <c r="C359" s="295"/>
      <c r="D359" s="295"/>
      <c r="E359" s="295"/>
      <c r="F359" s="295"/>
      <c r="G359" s="295"/>
      <c r="H359" s="295"/>
      <c r="I359" s="295"/>
      <c r="J359" s="295"/>
      <c r="N359" s="320"/>
      <c r="O359" s="319"/>
      <c r="P359" s="319"/>
      <c r="Q359" s="319"/>
      <c r="R359" s="319"/>
      <c r="S359" s="319"/>
      <c r="T359" s="319"/>
      <c r="U359" s="319"/>
      <c r="V359" s="319"/>
    </row>
    <row r="360" s="198" customFormat="1" spans="3:22">
      <c r="C360" s="295"/>
      <c r="D360" s="295"/>
      <c r="E360" s="295"/>
      <c r="F360" s="295"/>
      <c r="G360" s="295"/>
      <c r="H360" s="295"/>
      <c r="I360" s="295"/>
      <c r="J360" s="295"/>
      <c r="N360" s="320"/>
      <c r="O360" s="319"/>
      <c r="P360" s="319"/>
      <c r="Q360" s="319"/>
      <c r="R360" s="319"/>
      <c r="S360" s="319"/>
      <c r="T360" s="319"/>
      <c r="U360" s="319"/>
      <c r="V360" s="319"/>
    </row>
    <row r="361" s="198" customFormat="1" spans="3:22">
      <c r="C361" s="295"/>
      <c r="D361" s="295"/>
      <c r="E361" s="295"/>
      <c r="F361" s="295"/>
      <c r="G361" s="295"/>
      <c r="H361" s="295"/>
      <c r="I361" s="295"/>
      <c r="J361" s="295"/>
      <c r="N361" s="320"/>
      <c r="O361" s="319"/>
      <c r="P361" s="319"/>
      <c r="Q361" s="319"/>
      <c r="R361" s="319"/>
      <c r="S361" s="319"/>
      <c r="T361" s="319"/>
      <c r="U361" s="319"/>
      <c r="V361" s="319"/>
    </row>
    <row r="362" s="198" customFormat="1" spans="3:22">
      <c r="C362" s="295"/>
      <c r="D362" s="295"/>
      <c r="E362" s="295"/>
      <c r="F362" s="295"/>
      <c r="G362" s="295"/>
      <c r="H362" s="295"/>
      <c r="I362" s="295"/>
      <c r="J362" s="295"/>
      <c r="N362" s="320"/>
      <c r="O362" s="319"/>
      <c r="P362" s="319"/>
      <c r="Q362" s="319"/>
      <c r="R362" s="319"/>
      <c r="S362" s="319"/>
      <c r="T362" s="319"/>
      <c r="U362" s="319"/>
      <c r="V362" s="319"/>
    </row>
    <row r="363" s="198" customFormat="1" ht="14.5" spans="3:22">
      <c r="C363" s="295"/>
      <c r="D363" s="295"/>
      <c r="E363" s="295"/>
      <c r="F363" s="295"/>
      <c r="G363" s="295"/>
      <c r="H363" s="295"/>
      <c r="I363" s="295"/>
      <c r="J363" s="295"/>
      <c r="N363" s="320"/>
      <c r="O363" s="319"/>
      <c r="P363" s="319"/>
      <c r="Q363" s="319"/>
      <c r="R363" s="319"/>
      <c r="S363" s="319"/>
      <c r="T363" s="252"/>
      <c r="U363" s="252"/>
      <c r="V363" s="252"/>
    </row>
    <row r="364" s="198" customFormat="1" spans="3:10">
      <c r="C364" s="295"/>
      <c r="D364" s="295"/>
      <c r="E364" s="295"/>
      <c r="F364" s="295"/>
      <c r="G364" s="295"/>
      <c r="H364" s="295"/>
      <c r="I364" s="295"/>
      <c r="J364" s="295"/>
    </row>
    <row r="365" s="198" customFormat="1" spans="3:10">
      <c r="C365" s="295"/>
      <c r="D365" s="295"/>
      <c r="E365" s="295"/>
      <c r="F365" s="295"/>
      <c r="G365" s="295"/>
      <c r="H365" s="295"/>
      <c r="I365" s="295"/>
      <c r="J365" s="295"/>
    </row>
    <row r="366" s="198" customFormat="1" spans="3:10">
      <c r="C366" s="295"/>
      <c r="D366" s="295"/>
      <c r="E366" s="295"/>
      <c r="F366" s="295"/>
      <c r="G366" s="295"/>
      <c r="H366" s="295"/>
      <c r="I366" s="295"/>
      <c r="J366" s="295"/>
    </row>
    <row r="367" s="198" customFormat="1" spans="3:10">
      <c r="C367" s="295"/>
      <c r="D367" s="295"/>
      <c r="E367" s="295"/>
      <c r="F367" s="295"/>
      <c r="G367" s="295"/>
      <c r="H367" s="295"/>
      <c r="I367" s="295"/>
      <c r="J367" s="295"/>
    </row>
    <row r="368" s="198" customFormat="1" spans="3:10">
      <c r="C368" s="295"/>
      <c r="D368" s="295"/>
      <c r="E368" s="295"/>
      <c r="F368" s="295"/>
      <c r="G368" s="295"/>
      <c r="H368" s="295"/>
      <c r="I368" s="295"/>
      <c r="J368" s="295"/>
    </row>
    <row r="369" s="198" customFormat="1" spans="3:10">
      <c r="C369" s="295"/>
      <c r="D369" s="295"/>
      <c r="E369" s="295"/>
      <c r="F369" s="295"/>
      <c r="G369" s="295"/>
      <c r="H369" s="295"/>
      <c r="I369" s="295"/>
      <c r="J369" s="295"/>
    </row>
    <row r="370" s="198" customFormat="1"/>
    <row r="371" s="198" customFormat="1"/>
    <row r="372" s="198" customFormat="1"/>
    <row r="373" s="198" customFormat="1"/>
    <row r="374" s="198" customFormat="1" spans="3:3">
      <c r="C374" s="273"/>
    </row>
    <row r="375" s="198" customFormat="1" spans="3:3">
      <c r="C375" s="273"/>
    </row>
    <row r="376" s="198" customFormat="1" spans="3:3">
      <c r="C376" s="273"/>
    </row>
    <row r="377" s="198" customFormat="1" spans="3:3">
      <c r="C377" s="273"/>
    </row>
    <row r="378" s="198" customFormat="1" spans="3:3">
      <c r="C378" s="273"/>
    </row>
    <row r="379" s="198" customFormat="1" spans="3:3">
      <c r="C379" s="273"/>
    </row>
    <row r="380" s="198" customFormat="1" spans="3:3">
      <c r="C380" s="273"/>
    </row>
    <row r="381" s="198" customFormat="1" spans="3:5">
      <c r="C381" s="295"/>
      <c r="D381" s="297"/>
      <c r="E381" s="295"/>
    </row>
    <row r="382" s="198" customFormat="1" spans="3:5">
      <c r="C382" s="295"/>
      <c r="D382" s="297"/>
      <c r="E382" s="295"/>
    </row>
    <row r="383" s="198" customFormat="1" spans="3:5">
      <c r="C383" s="295"/>
      <c r="D383" s="297"/>
      <c r="E383" s="295"/>
    </row>
    <row r="384" s="198" customFormat="1" spans="3:5">
      <c r="C384" s="295"/>
      <c r="D384" s="297"/>
      <c r="E384" s="295"/>
    </row>
    <row r="385" s="198" customFormat="1" spans="3:5">
      <c r="C385" s="295"/>
      <c r="D385" s="297"/>
      <c r="E385" s="295"/>
    </row>
    <row r="386" s="198" customFormat="1" spans="3:5">
      <c r="C386" s="295"/>
      <c r="D386" s="297"/>
      <c r="E386" s="295"/>
    </row>
    <row r="387" s="198" customFormat="1" spans="3:5">
      <c r="C387" s="295"/>
      <c r="D387" s="297"/>
      <c r="E387" s="295"/>
    </row>
    <row r="388" s="198" customFormat="1" spans="3:5">
      <c r="C388" s="295"/>
      <c r="D388" s="297"/>
      <c r="E388" s="295"/>
    </row>
    <row r="389" s="198" customFormat="1" spans="3:5">
      <c r="C389" s="295"/>
      <c r="D389" s="297"/>
      <c r="E389" s="295"/>
    </row>
    <row r="390" s="198" customFormat="1" spans="3:5">
      <c r="C390" s="295"/>
      <c r="D390" s="297"/>
      <c r="E390" s="295"/>
    </row>
    <row r="391" s="198" customFormat="1" spans="3:5">
      <c r="C391" s="295"/>
      <c r="D391" s="297"/>
      <c r="E391" s="295"/>
    </row>
    <row r="392" s="198" customFormat="1" spans="3:5">
      <c r="C392" s="295"/>
      <c r="D392" s="297"/>
      <c r="E392" s="295"/>
    </row>
    <row r="393" s="198" customFormat="1" spans="3:5">
      <c r="C393" s="295"/>
      <c r="D393" s="297"/>
      <c r="E393" s="295"/>
    </row>
    <row r="394" s="198" customFormat="1" spans="3:5">
      <c r="C394" s="295"/>
      <c r="D394" s="297"/>
      <c r="E394" s="295"/>
    </row>
    <row r="395" s="198" customFormat="1"/>
    <row r="396" s="198" customFormat="1"/>
    <row r="397" s="198" customFormat="1"/>
    <row r="398" s="198" customFormat="1"/>
    <row r="399" s="198" customFormat="1"/>
    <row r="400" s="198" customFormat="1"/>
    <row r="401" s="198" customFormat="1"/>
    <row r="402" s="198" customFormat="1"/>
    <row r="403" s="198" customFormat="1"/>
  </sheetData>
  <autoFilter xmlns:etc="http://www.wps.cn/officeDocument/2017/etCustomData" ref="AS1:AS394" etc:filterBottomFollowUsedRange="0">
    <extLst/>
  </autoFilter>
  <sortState ref="AU5:BR5">
    <sortCondition ref="AU5"/>
  </sortState>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B1:BA28"/>
  <sheetViews>
    <sheetView zoomScale="42" zoomScaleNormal="42" workbookViewId="0">
      <selection activeCell="BJ58" sqref="BJ58"/>
    </sheetView>
  </sheetViews>
  <sheetFormatPr defaultColWidth="8.72727272727273" defaultRowHeight="14.5"/>
  <cols>
    <col min="14" max="15" width="30.7272727272727" customWidth="1"/>
    <col min="16" max="16" width="31.9090909090909" customWidth="1"/>
    <col min="20" max="21" width="35.9090909090909" customWidth="1"/>
    <col min="26" max="26" width="31.6363636363636" customWidth="1"/>
    <col min="32" max="32" width="36.0909090909091" customWidth="1"/>
    <col min="38" max="38" width="35.6363636363636" customWidth="1"/>
    <col min="44" max="44" width="36.0909090909091" customWidth="1"/>
    <col min="45" max="45" width="27.0909090909091" customWidth="1"/>
    <col min="50" max="50" width="36.0909090909091" customWidth="1"/>
    <col min="51" max="51" width="27.0909090909091" customWidth="1"/>
    <col min="52" max="52" width="13.6363636363636" customWidth="1"/>
  </cols>
  <sheetData>
    <row r="1" spans="14:21">
      <c r="N1" s="97"/>
      <c r="O1" s="97"/>
      <c r="P1" s="97"/>
      <c r="Q1" s="97"/>
      <c r="R1" s="97"/>
      <c r="S1" s="97"/>
      <c r="T1" s="97"/>
      <c r="U1" s="97"/>
    </row>
    <row r="2" spans="2:21">
      <c r="B2" s="175"/>
      <c r="C2" s="175"/>
      <c r="D2" s="175"/>
      <c r="E2" s="175"/>
      <c r="F2" s="175"/>
      <c r="G2" s="175"/>
      <c r="H2" s="175"/>
      <c r="I2" s="175"/>
      <c r="J2" s="175"/>
      <c r="K2" s="175"/>
      <c r="L2" s="175"/>
      <c r="N2" s="322" t="s">
        <v>76</v>
      </c>
      <c r="O2" s="324" t="s">
        <v>233</v>
      </c>
      <c r="P2" s="322" t="s">
        <v>239</v>
      </c>
      <c r="Q2" s="322" t="s">
        <v>245</v>
      </c>
      <c r="R2" s="322" t="s">
        <v>252</v>
      </c>
      <c r="S2" s="322" t="s">
        <v>259</v>
      </c>
      <c r="T2" s="322" t="s">
        <v>266</v>
      </c>
      <c r="U2" s="322" t="s">
        <v>272</v>
      </c>
    </row>
    <row r="3" spans="2:21">
      <c r="B3" s="322"/>
      <c r="C3" s="322"/>
      <c r="D3" s="322"/>
      <c r="E3" s="322"/>
      <c r="F3" s="322"/>
      <c r="G3" s="322"/>
      <c r="H3" s="322"/>
      <c r="I3" s="322"/>
      <c r="J3" s="322"/>
      <c r="K3" s="175"/>
      <c r="L3" s="175"/>
      <c r="N3" s="322" t="s">
        <v>75</v>
      </c>
      <c r="O3" s="322" t="s">
        <v>234</v>
      </c>
      <c r="P3" s="322" t="s">
        <v>240</v>
      </c>
      <c r="Q3" s="322" t="s">
        <v>246</v>
      </c>
      <c r="R3" s="322" t="s">
        <v>253</v>
      </c>
      <c r="S3" s="322" t="s">
        <v>260</v>
      </c>
      <c r="T3" s="322" t="s">
        <v>267</v>
      </c>
      <c r="U3" s="322" t="s">
        <v>273</v>
      </c>
    </row>
    <row r="4" spans="2:21">
      <c r="B4" s="323"/>
      <c r="C4" s="322"/>
      <c r="D4" s="322"/>
      <c r="E4" s="322"/>
      <c r="F4" s="322"/>
      <c r="G4" s="322"/>
      <c r="H4" s="322"/>
      <c r="I4" s="322"/>
      <c r="J4" s="322"/>
      <c r="K4" s="175"/>
      <c r="L4" s="175"/>
      <c r="N4" s="322" t="s">
        <v>213</v>
      </c>
      <c r="O4" s="322">
        <v>0.095</v>
      </c>
      <c r="P4" s="322">
        <v>0.106</v>
      </c>
      <c r="Q4" s="322">
        <v>0.102</v>
      </c>
      <c r="R4" s="322">
        <v>0.141</v>
      </c>
      <c r="S4" s="322">
        <v>0.136</v>
      </c>
      <c r="T4" s="322">
        <v>0.118</v>
      </c>
      <c r="U4" s="322">
        <v>0.1</v>
      </c>
    </row>
    <row r="5" spans="2:21">
      <c r="B5" s="324"/>
      <c r="C5" s="322"/>
      <c r="D5" s="322"/>
      <c r="E5" s="322"/>
      <c r="F5" s="322"/>
      <c r="G5" s="322"/>
      <c r="H5" s="322"/>
      <c r="I5" s="322"/>
      <c r="J5" s="322"/>
      <c r="K5" s="175"/>
      <c r="L5" s="175"/>
      <c r="N5" s="322" t="s">
        <v>221</v>
      </c>
      <c r="O5" s="322">
        <v>0</v>
      </c>
      <c r="P5" s="322">
        <v>0</v>
      </c>
      <c r="Q5" s="322">
        <v>0.672</v>
      </c>
      <c r="R5" s="322">
        <v>0.351</v>
      </c>
      <c r="S5" s="322">
        <v>0.508</v>
      </c>
      <c r="T5" s="322">
        <v>0.531</v>
      </c>
      <c r="U5" s="322">
        <v>0.6</v>
      </c>
    </row>
    <row r="6" spans="2:21">
      <c r="B6" s="322"/>
      <c r="C6" s="322"/>
      <c r="D6" s="322"/>
      <c r="E6" s="322"/>
      <c r="F6" s="322"/>
      <c r="G6" s="322"/>
      <c r="H6" s="322"/>
      <c r="I6" s="322"/>
      <c r="J6" s="322"/>
      <c r="K6" s="175"/>
      <c r="L6" s="175"/>
      <c r="N6" s="322" t="s">
        <v>222</v>
      </c>
      <c r="O6" s="322">
        <v>0</v>
      </c>
      <c r="P6" s="322">
        <v>0</v>
      </c>
      <c r="Q6" s="322">
        <v>0.127</v>
      </c>
      <c r="R6" s="322">
        <v>0.352</v>
      </c>
      <c r="S6" s="322">
        <v>0.204</v>
      </c>
      <c r="T6" s="322">
        <v>0.178</v>
      </c>
      <c r="U6" s="322">
        <v>0.075</v>
      </c>
    </row>
    <row r="7" spans="2:21">
      <c r="B7" s="322"/>
      <c r="C7" s="322"/>
      <c r="D7" s="322"/>
      <c r="E7" s="322"/>
      <c r="F7" s="322"/>
      <c r="G7" s="322"/>
      <c r="H7" s="322"/>
      <c r="I7" s="322"/>
      <c r="J7" s="322"/>
      <c r="K7" s="175"/>
      <c r="L7" s="175"/>
      <c r="N7" s="322" t="s">
        <v>223</v>
      </c>
      <c r="O7" s="322">
        <v>0</v>
      </c>
      <c r="P7" s="322">
        <v>1.396</v>
      </c>
      <c r="Q7" s="322">
        <v>0</v>
      </c>
      <c r="R7" s="322">
        <v>0.328</v>
      </c>
      <c r="S7" s="322">
        <v>0.285</v>
      </c>
      <c r="T7" s="322">
        <v>0.166</v>
      </c>
      <c r="U7" s="322">
        <v>0.07</v>
      </c>
    </row>
    <row r="8" spans="2:21">
      <c r="B8" s="322"/>
      <c r="C8" s="322"/>
      <c r="D8" s="322"/>
      <c r="E8" s="322"/>
      <c r="F8" s="322"/>
      <c r="G8" s="322"/>
      <c r="H8" s="322"/>
      <c r="I8" s="322"/>
      <c r="J8" s="322"/>
      <c r="K8" s="175"/>
      <c r="L8" s="175"/>
      <c r="N8" s="322" t="s">
        <v>224</v>
      </c>
      <c r="O8" s="322">
        <v>3.528</v>
      </c>
      <c r="P8" s="322">
        <v>3.369</v>
      </c>
      <c r="Q8" s="322">
        <v>2.92</v>
      </c>
      <c r="R8" s="322">
        <v>3.11</v>
      </c>
      <c r="S8" s="322">
        <v>3.07</v>
      </c>
      <c r="T8" s="322">
        <v>3.017</v>
      </c>
      <c r="U8" s="322">
        <v>2.921</v>
      </c>
    </row>
    <row r="9" spans="2:21">
      <c r="B9" s="322"/>
      <c r="C9" s="322"/>
      <c r="D9" s="322"/>
      <c r="E9" s="322"/>
      <c r="F9" s="322"/>
      <c r="G9" s="322"/>
      <c r="H9" s="322"/>
      <c r="I9" s="322"/>
      <c r="J9" s="322"/>
      <c r="K9" s="175"/>
      <c r="L9" s="175"/>
      <c r="N9" s="322" t="s">
        <v>225</v>
      </c>
      <c r="O9" s="322">
        <v>0.946</v>
      </c>
      <c r="P9" s="322">
        <v>0.863</v>
      </c>
      <c r="Q9" s="322">
        <v>0.564</v>
      </c>
      <c r="R9" s="322">
        <v>0.677</v>
      </c>
      <c r="S9" s="322">
        <v>0.661</v>
      </c>
      <c r="T9" s="322">
        <v>0.605</v>
      </c>
      <c r="U9" s="322">
        <v>0.549</v>
      </c>
    </row>
    <row r="10" spans="2:21">
      <c r="B10" s="322"/>
      <c r="C10" s="322"/>
      <c r="D10" s="322"/>
      <c r="E10" s="322"/>
      <c r="F10" s="322"/>
      <c r="G10" s="322"/>
      <c r="H10" s="322"/>
      <c r="I10" s="322"/>
      <c r="J10" s="322"/>
      <c r="K10" s="175"/>
      <c r="L10" s="175"/>
      <c r="M10" s="175"/>
      <c r="N10" s="322" t="s">
        <v>226</v>
      </c>
      <c r="O10" s="322">
        <v>1.085</v>
      </c>
      <c r="P10" s="322">
        <v>0.911</v>
      </c>
      <c r="Q10" s="322">
        <v>0.978</v>
      </c>
      <c r="R10" s="322">
        <v>0.978</v>
      </c>
      <c r="S10" s="322">
        <v>0.981</v>
      </c>
      <c r="T10" s="322">
        <v>0.96</v>
      </c>
      <c r="U10" s="322">
        <v>0.961</v>
      </c>
    </row>
    <row r="11" spans="2:16">
      <c r="B11" s="322"/>
      <c r="C11" s="322"/>
      <c r="D11" s="322"/>
      <c r="E11" s="322"/>
      <c r="F11" s="322"/>
      <c r="G11" s="322"/>
      <c r="H11" s="322"/>
      <c r="I11" s="322"/>
      <c r="J11" s="322"/>
      <c r="K11" s="175"/>
      <c r="L11" s="175"/>
      <c r="M11" s="175"/>
      <c r="N11" s="175"/>
      <c r="O11" s="175"/>
      <c r="P11" s="175"/>
    </row>
    <row r="12" spans="2:16">
      <c r="B12" s="175"/>
      <c r="C12" s="175"/>
      <c r="D12" s="175"/>
      <c r="E12" s="175"/>
      <c r="F12" s="175"/>
      <c r="G12" s="175"/>
      <c r="H12" s="175"/>
      <c r="I12" s="175"/>
      <c r="J12" s="175"/>
      <c r="K12" s="175"/>
      <c r="L12" s="175"/>
      <c r="M12" s="175"/>
      <c r="N12" s="175"/>
      <c r="O12" s="175"/>
      <c r="P12" s="175"/>
    </row>
    <row r="20" spans="14:53">
      <c r="N20" s="325"/>
      <c r="O20" s="325"/>
      <c r="P20" s="325" t="s">
        <v>506</v>
      </c>
      <c r="Q20" s="328"/>
      <c r="T20" s="325"/>
      <c r="U20" s="325"/>
      <c r="V20" s="325" t="s">
        <v>506</v>
      </c>
      <c r="W20" s="328"/>
      <c r="Z20" s="175"/>
      <c r="AA20" s="175"/>
      <c r="AB20" s="175" t="s">
        <v>506</v>
      </c>
      <c r="AC20" s="207"/>
      <c r="AF20" s="175"/>
      <c r="AG20" s="175"/>
      <c r="AH20" s="175" t="s">
        <v>506</v>
      </c>
      <c r="AI20" s="207"/>
      <c r="AL20" s="175"/>
      <c r="AM20" s="175"/>
      <c r="AN20" s="175" t="s">
        <v>506</v>
      </c>
      <c r="AO20" s="207"/>
      <c r="AR20" s="175"/>
      <c r="AS20" s="175"/>
      <c r="AT20" s="175" t="s">
        <v>506</v>
      </c>
      <c r="AU20" s="207"/>
      <c r="AX20" s="175"/>
      <c r="AY20" s="175"/>
      <c r="AZ20" s="175" t="s">
        <v>506</v>
      </c>
      <c r="BA20" s="207"/>
    </row>
    <row r="21" spans="13:53">
      <c r="M21" s="170" t="s">
        <v>183</v>
      </c>
      <c r="N21" s="325" t="s">
        <v>76</v>
      </c>
      <c r="O21" s="325" t="s">
        <v>79</v>
      </c>
      <c r="P21" s="325" t="s">
        <v>191</v>
      </c>
      <c r="Q21" s="328">
        <v>2019</v>
      </c>
      <c r="S21" s="170" t="s">
        <v>183</v>
      </c>
      <c r="T21" s="325" t="s">
        <v>76</v>
      </c>
      <c r="U21" s="325" t="s">
        <v>79</v>
      </c>
      <c r="V21" s="325" t="s">
        <v>191</v>
      </c>
      <c r="W21" s="328">
        <v>2019</v>
      </c>
      <c r="Y21" s="170" t="s">
        <v>183</v>
      </c>
      <c r="Z21" s="175" t="s">
        <v>76</v>
      </c>
      <c r="AA21" s="175" t="s">
        <v>79</v>
      </c>
      <c r="AB21" s="175" t="s">
        <v>191</v>
      </c>
      <c r="AC21" s="207">
        <v>2019</v>
      </c>
      <c r="AE21" s="170" t="s">
        <v>183</v>
      </c>
      <c r="AF21" s="175" t="s">
        <v>76</v>
      </c>
      <c r="AG21" s="175" t="s">
        <v>79</v>
      </c>
      <c r="AH21" s="175" t="s">
        <v>191</v>
      </c>
      <c r="AI21" s="207">
        <v>2019</v>
      </c>
      <c r="AK21" s="170" t="s">
        <v>183</v>
      </c>
      <c r="AL21" s="175" t="s">
        <v>76</v>
      </c>
      <c r="AM21" s="175" t="s">
        <v>79</v>
      </c>
      <c r="AN21" s="175" t="s">
        <v>191</v>
      </c>
      <c r="AO21" s="207">
        <v>2019</v>
      </c>
      <c r="AQ21" s="170" t="s">
        <v>183</v>
      </c>
      <c r="AR21" s="175" t="s">
        <v>76</v>
      </c>
      <c r="AS21" s="175" t="s">
        <v>79</v>
      </c>
      <c r="AT21" s="175" t="s">
        <v>191</v>
      </c>
      <c r="AU21" s="207">
        <v>2019</v>
      </c>
      <c r="AW21" s="170" t="s">
        <v>183</v>
      </c>
      <c r="AX21" s="175" t="s">
        <v>76</v>
      </c>
      <c r="AY21" s="175" t="s">
        <v>79</v>
      </c>
      <c r="AZ21" s="175" t="s">
        <v>191</v>
      </c>
      <c r="BA21" s="207">
        <v>2019</v>
      </c>
    </row>
    <row r="22" spans="13:53">
      <c r="M22" s="168" t="s">
        <v>410</v>
      </c>
      <c r="N22" s="326" t="s">
        <v>233</v>
      </c>
      <c r="O22" s="327" t="s">
        <v>234</v>
      </c>
      <c r="P22" s="327" t="s">
        <v>213</v>
      </c>
      <c r="Q22" s="329">
        <f t="shared" ref="Q22:Q28" si="0">O4</f>
        <v>0.095</v>
      </c>
      <c r="S22" s="168" t="s">
        <v>410</v>
      </c>
      <c r="T22" s="326" t="str">
        <f>P2</f>
        <v>Tra_EV_Batt-LMO_virgin_package</v>
      </c>
      <c r="U22" s="327" t="str">
        <f>P3</f>
        <v>Tra_EV_Batt-LMO_virgin</v>
      </c>
      <c r="V22" s="327" t="s">
        <v>213</v>
      </c>
      <c r="W22" s="329">
        <f t="shared" ref="W22:W28" si="1">P4</f>
        <v>0.106</v>
      </c>
      <c r="Y22" s="168" t="s">
        <v>410</v>
      </c>
      <c r="Z22" s="324" t="str">
        <f>Q2</f>
        <v>Tra_EV_Batt-NCA_virgin_package</v>
      </c>
      <c r="AA22" s="322" t="str">
        <f>Q3</f>
        <v>Tra_EV_Batt-NCA_virgin</v>
      </c>
      <c r="AB22" s="322" t="s">
        <v>213</v>
      </c>
      <c r="AC22" s="208">
        <f t="shared" ref="AC22:AC28" si="2">Q4</f>
        <v>0.102</v>
      </c>
      <c r="AE22" s="168" t="s">
        <v>410</v>
      </c>
      <c r="AF22" s="324" t="str">
        <f>R2</f>
        <v>Tra_EV_Batt-NMC 111_virgin_package</v>
      </c>
      <c r="AG22" s="322" t="str">
        <f>R3</f>
        <v>Tra_EV_Batt-NMC 111_virgin</v>
      </c>
      <c r="AH22" s="322" t="s">
        <v>213</v>
      </c>
      <c r="AI22" s="208">
        <f t="shared" ref="AI22:AI28" si="3">R4</f>
        <v>0.141</v>
      </c>
      <c r="AK22" s="168" t="s">
        <v>410</v>
      </c>
      <c r="AL22" s="324" t="str">
        <f>S2</f>
        <v>Tra_EV_Batt-NMC532_virgin_package</v>
      </c>
      <c r="AM22" s="322" t="str">
        <f>S3</f>
        <v>Tra_EV_Batt-NMC532_virgin</v>
      </c>
      <c r="AN22" s="322" t="s">
        <v>213</v>
      </c>
      <c r="AO22" s="208">
        <f t="shared" ref="AO22:AO28" si="4">S4</f>
        <v>0.136</v>
      </c>
      <c r="AQ22" s="168" t="s">
        <v>410</v>
      </c>
      <c r="AR22" s="324" t="str">
        <f>T2</f>
        <v>Tra_EV_Batt-NMC 622_virgin_package</v>
      </c>
      <c r="AS22" s="322" t="str">
        <f>T3</f>
        <v>Tra_EV_Batt-NMC 622_virgin</v>
      </c>
      <c r="AT22" s="322" t="s">
        <v>213</v>
      </c>
      <c r="AU22" s="208">
        <f t="shared" ref="AU22:AU28" si="5">T4</f>
        <v>0.118</v>
      </c>
      <c r="AW22" s="168" t="s">
        <v>410</v>
      </c>
      <c r="AX22" s="324" t="str">
        <f>U2</f>
        <v>Tra_EV_Batt-NMC 811_virgin_package</v>
      </c>
      <c r="AY22" s="322" t="str">
        <f>U3</f>
        <v>Tra_EV_Batt-NMC 811_virgin</v>
      </c>
      <c r="AZ22" s="322" t="s">
        <v>213</v>
      </c>
      <c r="BA22" s="208">
        <f t="shared" ref="BA22:BA28" si="6">U4</f>
        <v>0.1</v>
      </c>
    </row>
    <row r="23" spans="13:53">
      <c r="M23" s="168" t="s">
        <v>410</v>
      </c>
      <c r="N23" s="326" t="s">
        <v>233</v>
      </c>
      <c r="O23" s="327" t="s">
        <v>234</v>
      </c>
      <c r="P23" s="327" t="s">
        <v>221</v>
      </c>
      <c r="Q23" s="329">
        <f t="shared" si="0"/>
        <v>0</v>
      </c>
      <c r="S23" s="168" t="s">
        <v>410</v>
      </c>
      <c r="T23" s="326" t="str">
        <f t="shared" ref="T23:T28" si="7">T22</f>
        <v>Tra_EV_Batt-LMO_virgin_package</v>
      </c>
      <c r="U23" s="327" t="str">
        <f t="shared" ref="U23:U28" si="8">U22</f>
        <v>Tra_EV_Batt-LMO_virgin</v>
      </c>
      <c r="V23" s="327" t="s">
        <v>221</v>
      </c>
      <c r="W23" s="329">
        <f t="shared" si="1"/>
        <v>0</v>
      </c>
      <c r="Y23" s="168" t="s">
        <v>410</v>
      </c>
      <c r="Z23" s="324" t="str">
        <f t="shared" ref="Z23:Z28" si="9">Z22</f>
        <v>Tra_EV_Batt-NCA_virgin_package</v>
      </c>
      <c r="AA23" s="322" t="str">
        <f t="shared" ref="AA23:AA28" si="10">AA22</f>
        <v>Tra_EV_Batt-NCA_virgin</v>
      </c>
      <c r="AB23" s="322" t="s">
        <v>221</v>
      </c>
      <c r="AC23" s="208">
        <f t="shared" si="2"/>
        <v>0.672</v>
      </c>
      <c r="AE23" s="168" t="s">
        <v>410</v>
      </c>
      <c r="AF23" s="324" t="str">
        <f t="shared" ref="AF23:AF28" si="11">AF22</f>
        <v>Tra_EV_Batt-NMC 111_virgin_package</v>
      </c>
      <c r="AG23" s="322" t="str">
        <f t="shared" ref="AG23:AG28" si="12">AG22</f>
        <v>Tra_EV_Batt-NMC 111_virgin</v>
      </c>
      <c r="AH23" s="322" t="s">
        <v>221</v>
      </c>
      <c r="AI23" s="208">
        <f t="shared" si="3"/>
        <v>0.351</v>
      </c>
      <c r="AK23" s="168" t="s">
        <v>410</v>
      </c>
      <c r="AL23" s="324" t="str">
        <f t="shared" ref="AL23:AL28" si="13">AL22</f>
        <v>Tra_EV_Batt-NMC532_virgin_package</v>
      </c>
      <c r="AM23" s="322" t="str">
        <f t="shared" ref="AM23:AM28" si="14">AM22</f>
        <v>Tra_EV_Batt-NMC532_virgin</v>
      </c>
      <c r="AN23" s="322" t="s">
        <v>221</v>
      </c>
      <c r="AO23" s="208">
        <f t="shared" si="4"/>
        <v>0.508</v>
      </c>
      <c r="AQ23" s="168" t="s">
        <v>410</v>
      </c>
      <c r="AR23" s="324" t="str">
        <f t="shared" ref="AR23:AR28" si="15">AR22</f>
        <v>Tra_EV_Batt-NMC 622_virgin_package</v>
      </c>
      <c r="AS23" s="322" t="str">
        <f t="shared" ref="AS23:AS28" si="16">AS22</f>
        <v>Tra_EV_Batt-NMC 622_virgin</v>
      </c>
      <c r="AT23" s="322" t="s">
        <v>221</v>
      </c>
      <c r="AU23" s="208">
        <f t="shared" si="5"/>
        <v>0.531</v>
      </c>
      <c r="AW23" s="168" t="s">
        <v>410</v>
      </c>
      <c r="AX23" s="324" t="str">
        <f t="shared" ref="AX23:AX28" si="17">AX22</f>
        <v>Tra_EV_Batt-NMC 811_virgin_package</v>
      </c>
      <c r="AY23" s="322" t="str">
        <f t="shared" ref="AY23:AY28" si="18">AY22</f>
        <v>Tra_EV_Batt-NMC 811_virgin</v>
      </c>
      <c r="AZ23" s="322" t="s">
        <v>221</v>
      </c>
      <c r="BA23" s="208">
        <f t="shared" si="6"/>
        <v>0.6</v>
      </c>
    </row>
    <row r="24" spans="13:53">
      <c r="M24" s="168" t="s">
        <v>410</v>
      </c>
      <c r="N24" s="326" t="s">
        <v>233</v>
      </c>
      <c r="O24" s="327" t="s">
        <v>234</v>
      </c>
      <c r="P24" s="327" t="s">
        <v>222</v>
      </c>
      <c r="Q24" s="329">
        <f t="shared" si="0"/>
        <v>0</v>
      </c>
      <c r="S24" s="168" t="s">
        <v>410</v>
      </c>
      <c r="T24" s="326" t="str">
        <f t="shared" si="7"/>
        <v>Tra_EV_Batt-LMO_virgin_package</v>
      </c>
      <c r="U24" s="327" t="str">
        <f t="shared" si="8"/>
        <v>Tra_EV_Batt-LMO_virgin</v>
      </c>
      <c r="V24" s="327" t="s">
        <v>222</v>
      </c>
      <c r="W24" s="329">
        <f t="shared" si="1"/>
        <v>0</v>
      </c>
      <c r="Y24" s="168" t="s">
        <v>410</v>
      </c>
      <c r="Z24" s="324" t="str">
        <f t="shared" si="9"/>
        <v>Tra_EV_Batt-NCA_virgin_package</v>
      </c>
      <c r="AA24" s="322" t="str">
        <f t="shared" si="10"/>
        <v>Tra_EV_Batt-NCA_virgin</v>
      </c>
      <c r="AB24" s="322" t="s">
        <v>222</v>
      </c>
      <c r="AC24" s="208">
        <f t="shared" si="2"/>
        <v>0.127</v>
      </c>
      <c r="AE24" s="168" t="s">
        <v>410</v>
      </c>
      <c r="AF24" s="324" t="str">
        <f t="shared" si="11"/>
        <v>Tra_EV_Batt-NMC 111_virgin_package</v>
      </c>
      <c r="AG24" s="322" t="str">
        <f t="shared" si="12"/>
        <v>Tra_EV_Batt-NMC 111_virgin</v>
      </c>
      <c r="AH24" s="322" t="s">
        <v>222</v>
      </c>
      <c r="AI24" s="208">
        <f t="shared" si="3"/>
        <v>0.352</v>
      </c>
      <c r="AK24" s="168" t="s">
        <v>410</v>
      </c>
      <c r="AL24" s="324" t="str">
        <f t="shared" si="13"/>
        <v>Tra_EV_Batt-NMC532_virgin_package</v>
      </c>
      <c r="AM24" s="322" t="str">
        <f t="shared" si="14"/>
        <v>Tra_EV_Batt-NMC532_virgin</v>
      </c>
      <c r="AN24" s="322" t="s">
        <v>222</v>
      </c>
      <c r="AO24" s="208">
        <f t="shared" si="4"/>
        <v>0.204</v>
      </c>
      <c r="AQ24" s="168" t="s">
        <v>410</v>
      </c>
      <c r="AR24" s="324" t="str">
        <f t="shared" si="15"/>
        <v>Tra_EV_Batt-NMC 622_virgin_package</v>
      </c>
      <c r="AS24" s="322" t="str">
        <f t="shared" si="16"/>
        <v>Tra_EV_Batt-NMC 622_virgin</v>
      </c>
      <c r="AT24" s="322" t="s">
        <v>222</v>
      </c>
      <c r="AU24" s="208">
        <f t="shared" si="5"/>
        <v>0.178</v>
      </c>
      <c r="AW24" s="168" t="s">
        <v>410</v>
      </c>
      <c r="AX24" s="324" t="str">
        <f t="shared" si="17"/>
        <v>Tra_EV_Batt-NMC 811_virgin_package</v>
      </c>
      <c r="AY24" s="322" t="str">
        <f t="shared" si="18"/>
        <v>Tra_EV_Batt-NMC 811_virgin</v>
      </c>
      <c r="AZ24" s="322" t="s">
        <v>222</v>
      </c>
      <c r="BA24" s="208">
        <f t="shared" si="6"/>
        <v>0.075</v>
      </c>
    </row>
    <row r="25" spans="13:53">
      <c r="M25" s="168" t="s">
        <v>410</v>
      </c>
      <c r="N25" s="326" t="s">
        <v>233</v>
      </c>
      <c r="O25" s="327" t="s">
        <v>234</v>
      </c>
      <c r="P25" s="327" t="s">
        <v>223</v>
      </c>
      <c r="Q25" s="329">
        <f t="shared" si="0"/>
        <v>0</v>
      </c>
      <c r="S25" s="168" t="s">
        <v>410</v>
      </c>
      <c r="T25" s="326" t="str">
        <f t="shared" si="7"/>
        <v>Tra_EV_Batt-LMO_virgin_package</v>
      </c>
      <c r="U25" s="327" t="str">
        <f t="shared" si="8"/>
        <v>Tra_EV_Batt-LMO_virgin</v>
      </c>
      <c r="V25" s="327" t="s">
        <v>223</v>
      </c>
      <c r="W25" s="329">
        <f t="shared" si="1"/>
        <v>1.396</v>
      </c>
      <c r="Y25" s="168" t="s">
        <v>410</v>
      </c>
      <c r="Z25" s="324" t="str">
        <f t="shared" si="9"/>
        <v>Tra_EV_Batt-NCA_virgin_package</v>
      </c>
      <c r="AA25" s="322" t="str">
        <f t="shared" si="10"/>
        <v>Tra_EV_Batt-NCA_virgin</v>
      </c>
      <c r="AB25" s="322" t="s">
        <v>223</v>
      </c>
      <c r="AC25" s="208">
        <f t="shared" si="2"/>
        <v>0</v>
      </c>
      <c r="AE25" s="168" t="s">
        <v>410</v>
      </c>
      <c r="AF25" s="324" t="str">
        <f t="shared" si="11"/>
        <v>Tra_EV_Batt-NMC 111_virgin_package</v>
      </c>
      <c r="AG25" s="322" t="str">
        <f t="shared" si="12"/>
        <v>Tra_EV_Batt-NMC 111_virgin</v>
      </c>
      <c r="AH25" s="322" t="s">
        <v>223</v>
      </c>
      <c r="AI25" s="208">
        <f t="shared" si="3"/>
        <v>0.328</v>
      </c>
      <c r="AK25" s="168" t="s">
        <v>410</v>
      </c>
      <c r="AL25" s="324" t="str">
        <f t="shared" si="13"/>
        <v>Tra_EV_Batt-NMC532_virgin_package</v>
      </c>
      <c r="AM25" s="322" t="str">
        <f t="shared" si="14"/>
        <v>Tra_EV_Batt-NMC532_virgin</v>
      </c>
      <c r="AN25" s="322" t="s">
        <v>223</v>
      </c>
      <c r="AO25" s="208">
        <f t="shared" si="4"/>
        <v>0.285</v>
      </c>
      <c r="AQ25" s="168" t="s">
        <v>410</v>
      </c>
      <c r="AR25" s="324" t="str">
        <f t="shared" si="15"/>
        <v>Tra_EV_Batt-NMC 622_virgin_package</v>
      </c>
      <c r="AS25" s="322" t="str">
        <f t="shared" si="16"/>
        <v>Tra_EV_Batt-NMC 622_virgin</v>
      </c>
      <c r="AT25" s="322" t="s">
        <v>223</v>
      </c>
      <c r="AU25" s="208">
        <f t="shared" si="5"/>
        <v>0.166</v>
      </c>
      <c r="AW25" s="168" t="s">
        <v>410</v>
      </c>
      <c r="AX25" s="324" t="str">
        <f t="shared" si="17"/>
        <v>Tra_EV_Batt-NMC 811_virgin_package</v>
      </c>
      <c r="AY25" s="322" t="str">
        <f t="shared" si="18"/>
        <v>Tra_EV_Batt-NMC 811_virgin</v>
      </c>
      <c r="AZ25" s="322" t="s">
        <v>223</v>
      </c>
      <c r="BA25" s="208">
        <f t="shared" si="6"/>
        <v>0.07</v>
      </c>
    </row>
    <row r="26" spans="13:53">
      <c r="M26" s="168" t="s">
        <v>410</v>
      </c>
      <c r="N26" s="326" t="s">
        <v>233</v>
      </c>
      <c r="O26" s="327" t="s">
        <v>234</v>
      </c>
      <c r="P26" s="327" t="s">
        <v>224</v>
      </c>
      <c r="Q26" s="329">
        <f t="shared" si="0"/>
        <v>3.528</v>
      </c>
      <c r="S26" s="168" t="s">
        <v>410</v>
      </c>
      <c r="T26" s="326" t="str">
        <f t="shared" si="7"/>
        <v>Tra_EV_Batt-LMO_virgin_package</v>
      </c>
      <c r="U26" s="327" t="str">
        <f t="shared" si="8"/>
        <v>Tra_EV_Batt-LMO_virgin</v>
      </c>
      <c r="V26" s="327" t="s">
        <v>224</v>
      </c>
      <c r="W26" s="329">
        <f t="shared" si="1"/>
        <v>3.369</v>
      </c>
      <c r="Y26" s="168" t="s">
        <v>410</v>
      </c>
      <c r="Z26" s="324" t="str">
        <f t="shared" si="9"/>
        <v>Tra_EV_Batt-NCA_virgin_package</v>
      </c>
      <c r="AA26" s="322" t="str">
        <f t="shared" si="10"/>
        <v>Tra_EV_Batt-NCA_virgin</v>
      </c>
      <c r="AB26" s="322" t="s">
        <v>224</v>
      </c>
      <c r="AC26" s="208">
        <f t="shared" si="2"/>
        <v>2.92</v>
      </c>
      <c r="AE26" s="168" t="s">
        <v>410</v>
      </c>
      <c r="AF26" s="324" t="str">
        <f t="shared" si="11"/>
        <v>Tra_EV_Batt-NMC 111_virgin_package</v>
      </c>
      <c r="AG26" s="322" t="str">
        <f t="shared" si="12"/>
        <v>Tra_EV_Batt-NMC 111_virgin</v>
      </c>
      <c r="AH26" s="322" t="s">
        <v>224</v>
      </c>
      <c r="AI26" s="208">
        <f t="shared" si="3"/>
        <v>3.11</v>
      </c>
      <c r="AK26" s="168" t="s">
        <v>410</v>
      </c>
      <c r="AL26" s="324" t="str">
        <f t="shared" si="13"/>
        <v>Tra_EV_Batt-NMC532_virgin_package</v>
      </c>
      <c r="AM26" s="322" t="str">
        <f t="shared" si="14"/>
        <v>Tra_EV_Batt-NMC532_virgin</v>
      </c>
      <c r="AN26" s="322" t="s">
        <v>224</v>
      </c>
      <c r="AO26" s="208">
        <f t="shared" si="4"/>
        <v>3.07</v>
      </c>
      <c r="AQ26" s="168" t="s">
        <v>410</v>
      </c>
      <c r="AR26" s="324" t="str">
        <f t="shared" si="15"/>
        <v>Tra_EV_Batt-NMC 622_virgin_package</v>
      </c>
      <c r="AS26" s="322" t="str">
        <f t="shared" si="16"/>
        <v>Tra_EV_Batt-NMC 622_virgin</v>
      </c>
      <c r="AT26" s="322" t="s">
        <v>224</v>
      </c>
      <c r="AU26" s="208">
        <f t="shared" si="5"/>
        <v>3.017</v>
      </c>
      <c r="AW26" s="168" t="s">
        <v>410</v>
      </c>
      <c r="AX26" s="324" t="str">
        <f t="shared" si="17"/>
        <v>Tra_EV_Batt-NMC 811_virgin_package</v>
      </c>
      <c r="AY26" s="322" t="str">
        <f t="shared" si="18"/>
        <v>Tra_EV_Batt-NMC 811_virgin</v>
      </c>
      <c r="AZ26" s="322" t="s">
        <v>224</v>
      </c>
      <c r="BA26" s="208">
        <f t="shared" si="6"/>
        <v>2.921</v>
      </c>
    </row>
    <row r="27" spans="13:53">
      <c r="M27" s="168" t="s">
        <v>410</v>
      </c>
      <c r="N27" s="326" t="s">
        <v>233</v>
      </c>
      <c r="O27" s="327" t="s">
        <v>234</v>
      </c>
      <c r="P27" s="327" t="s">
        <v>225</v>
      </c>
      <c r="Q27" s="329">
        <f t="shared" si="0"/>
        <v>0.946</v>
      </c>
      <c r="S27" s="168" t="s">
        <v>410</v>
      </c>
      <c r="T27" s="326" t="str">
        <f t="shared" si="7"/>
        <v>Tra_EV_Batt-LMO_virgin_package</v>
      </c>
      <c r="U27" s="327" t="str">
        <f t="shared" si="8"/>
        <v>Tra_EV_Batt-LMO_virgin</v>
      </c>
      <c r="V27" s="327" t="s">
        <v>225</v>
      </c>
      <c r="W27" s="329">
        <f t="shared" si="1"/>
        <v>0.863</v>
      </c>
      <c r="Y27" s="168" t="s">
        <v>410</v>
      </c>
      <c r="Z27" s="324" t="str">
        <f t="shared" si="9"/>
        <v>Tra_EV_Batt-NCA_virgin_package</v>
      </c>
      <c r="AA27" s="322" t="str">
        <f t="shared" si="10"/>
        <v>Tra_EV_Batt-NCA_virgin</v>
      </c>
      <c r="AB27" s="322" t="s">
        <v>225</v>
      </c>
      <c r="AC27" s="208">
        <f t="shared" si="2"/>
        <v>0.564</v>
      </c>
      <c r="AE27" s="168" t="s">
        <v>410</v>
      </c>
      <c r="AF27" s="324" t="str">
        <f t="shared" si="11"/>
        <v>Tra_EV_Batt-NMC 111_virgin_package</v>
      </c>
      <c r="AG27" s="322" t="str">
        <f t="shared" si="12"/>
        <v>Tra_EV_Batt-NMC 111_virgin</v>
      </c>
      <c r="AH27" s="322" t="s">
        <v>225</v>
      </c>
      <c r="AI27" s="208">
        <f t="shared" si="3"/>
        <v>0.677</v>
      </c>
      <c r="AK27" s="168" t="s">
        <v>410</v>
      </c>
      <c r="AL27" s="324" t="str">
        <f t="shared" si="13"/>
        <v>Tra_EV_Batt-NMC532_virgin_package</v>
      </c>
      <c r="AM27" s="322" t="str">
        <f t="shared" si="14"/>
        <v>Tra_EV_Batt-NMC532_virgin</v>
      </c>
      <c r="AN27" s="322" t="s">
        <v>225</v>
      </c>
      <c r="AO27" s="208">
        <f t="shared" si="4"/>
        <v>0.661</v>
      </c>
      <c r="AQ27" s="168" t="s">
        <v>410</v>
      </c>
      <c r="AR27" s="324" t="str">
        <f t="shared" si="15"/>
        <v>Tra_EV_Batt-NMC 622_virgin_package</v>
      </c>
      <c r="AS27" s="322" t="str">
        <f t="shared" si="16"/>
        <v>Tra_EV_Batt-NMC 622_virgin</v>
      </c>
      <c r="AT27" s="322" t="s">
        <v>225</v>
      </c>
      <c r="AU27" s="208">
        <f t="shared" si="5"/>
        <v>0.605</v>
      </c>
      <c r="AW27" s="168" t="s">
        <v>410</v>
      </c>
      <c r="AX27" s="324" t="str">
        <f t="shared" si="17"/>
        <v>Tra_EV_Batt-NMC 811_virgin_package</v>
      </c>
      <c r="AY27" s="322" t="str">
        <f t="shared" si="18"/>
        <v>Tra_EV_Batt-NMC 811_virgin</v>
      </c>
      <c r="AZ27" s="322" t="s">
        <v>225</v>
      </c>
      <c r="BA27" s="208">
        <f t="shared" si="6"/>
        <v>0.549</v>
      </c>
    </row>
    <row r="28" spans="13:53">
      <c r="M28" s="168" t="s">
        <v>410</v>
      </c>
      <c r="N28" s="326" t="s">
        <v>233</v>
      </c>
      <c r="O28" s="327" t="s">
        <v>234</v>
      </c>
      <c r="P28" s="327" t="s">
        <v>226</v>
      </c>
      <c r="Q28" s="329">
        <f t="shared" si="0"/>
        <v>1.085</v>
      </c>
      <c r="S28" s="168" t="s">
        <v>410</v>
      </c>
      <c r="T28" s="326" t="str">
        <f t="shared" si="7"/>
        <v>Tra_EV_Batt-LMO_virgin_package</v>
      </c>
      <c r="U28" s="327" t="str">
        <f t="shared" si="8"/>
        <v>Tra_EV_Batt-LMO_virgin</v>
      </c>
      <c r="V28" s="327" t="s">
        <v>226</v>
      </c>
      <c r="W28" s="329">
        <f t="shared" si="1"/>
        <v>0.911</v>
      </c>
      <c r="Y28" s="168" t="s">
        <v>410</v>
      </c>
      <c r="Z28" s="324" t="str">
        <f t="shared" si="9"/>
        <v>Tra_EV_Batt-NCA_virgin_package</v>
      </c>
      <c r="AA28" s="322" t="str">
        <f t="shared" si="10"/>
        <v>Tra_EV_Batt-NCA_virgin</v>
      </c>
      <c r="AB28" s="322" t="s">
        <v>226</v>
      </c>
      <c r="AC28" s="208">
        <f t="shared" si="2"/>
        <v>0.978</v>
      </c>
      <c r="AE28" s="168" t="s">
        <v>410</v>
      </c>
      <c r="AF28" s="324" t="str">
        <f t="shared" si="11"/>
        <v>Tra_EV_Batt-NMC 111_virgin_package</v>
      </c>
      <c r="AG28" s="322" t="str">
        <f t="shared" si="12"/>
        <v>Tra_EV_Batt-NMC 111_virgin</v>
      </c>
      <c r="AH28" s="322" t="s">
        <v>226</v>
      </c>
      <c r="AI28" s="208">
        <f t="shared" si="3"/>
        <v>0.978</v>
      </c>
      <c r="AK28" s="168" t="s">
        <v>410</v>
      </c>
      <c r="AL28" s="324" t="str">
        <f t="shared" si="13"/>
        <v>Tra_EV_Batt-NMC532_virgin_package</v>
      </c>
      <c r="AM28" s="322" t="str">
        <f t="shared" si="14"/>
        <v>Tra_EV_Batt-NMC532_virgin</v>
      </c>
      <c r="AN28" s="322" t="s">
        <v>226</v>
      </c>
      <c r="AO28" s="208">
        <f t="shared" si="4"/>
        <v>0.981</v>
      </c>
      <c r="AQ28" s="168" t="s">
        <v>410</v>
      </c>
      <c r="AR28" s="324" t="str">
        <f t="shared" si="15"/>
        <v>Tra_EV_Batt-NMC 622_virgin_package</v>
      </c>
      <c r="AS28" s="322" t="str">
        <f t="shared" si="16"/>
        <v>Tra_EV_Batt-NMC 622_virgin</v>
      </c>
      <c r="AT28" s="322" t="s">
        <v>226</v>
      </c>
      <c r="AU28" s="208">
        <f t="shared" si="5"/>
        <v>0.96</v>
      </c>
      <c r="AW28" s="168" t="s">
        <v>410</v>
      </c>
      <c r="AX28" s="324" t="str">
        <f t="shared" si="17"/>
        <v>Tra_EV_Batt-NMC 811_virgin_package</v>
      </c>
      <c r="AY28" s="322" t="str">
        <f t="shared" si="18"/>
        <v>Tra_EV_Batt-NMC 811_virgin</v>
      </c>
      <c r="AZ28" s="322" t="s">
        <v>226</v>
      </c>
      <c r="BA28" s="208">
        <f t="shared" si="6"/>
        <v>0.961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O403"/>
  <sheetViews>
    <sheetView zoomScale="41" zoomScaleNormal="41" workbookViewId="0">
      <selection activeCell="B15" sqref="B15"/>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13.7272727272727" style="175" customWidth="1"/>
    <col min="5" max="5" width="11.0909090909091" style="175" customWidth="1"/>
    <col min="6" max="6" width="11.8181818181818" style="175" customWidth="1"/>
    <col min="7" max="7" width="13.2727272727273" style="175" customWidth="1"/>
    <col min="8" max="8" width="13" style="175" customWidth="1"/>
    <col min="9" max="9" width="16.2727272727273"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0.6363636363636"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5" width="17.9090909090909" style="175" customWidth="1"/>
    <col min="46"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16384" width="9.09090909090909" style="175"/>
  </cols>
  <sheetData>
    <row r="1" ht="12.65" customHeight="1" spans="1:1">
      <c r="A1" s="175" t="s">
        <v>171</v>
      </c>
    </row>
    <row r="2" spans="21:28">
      <c r="U2" s="200"/>
      <c r="V2" s="200"/>
      <c r="W2" s="200"/>
      <c r="X2" s="200"/>
      <c r="Y2" s="200"/>
      <c r="Z2" s="200"/>
      <c r="AA2" s="200"/>
      <c r="AB2" s="200"/>
    </row>
    <row r="3" ht="14.5" customHeight="1" spans="16:29">
      <c r="P3" s="207"/>
      <c r="Q3" s="207"/>
      <c r="U3" s="211" t="s">
        <v>72</v>
      </c>
      <c r="V3" s="211"/>
      <c r="W3" s="211"/>
      <c r="X3" s="211"/>
      <c r="Y3" s="211"/>
      <c r="Z3" s="211"/>
      <c r="AA3" s="211"/>
      <c r="AB3" s="211"/>
      <c r="AC3" s="207"/>
    </row>
    <row r="4" ht="14.5" customHeight="1" spans="16:43">
      <c r="P4" s="207"/>
      <c r="Q4" s="207"/>
      <c r="U4" s="211" t="s">
        <v>78</v>
      </c>
      <c r="V4" s="211" t="s">
        <v>79</v>
      </c>
      <c r="W4" s="211" t="s">
        <v>80</v>
      </c>
      <c r="X4" s="211" t="s">
        <v>81</v>
      </c>
      <c r="Y4" s="211" t="s">
        <v>82</v>
      </c>
      <c r="Z4" s="211" t="s">
        <v>175</v>
      </c>
      <c r="AA4" s="211" t="s">
        <v>176</v>
      </c>
      <c r="AB4" s="211" t="s">
        <v>177</v>
      </c>
      <c r="AC4" s="207"/>
      <c r="AN4" s="222"/>
      <c r="AO4" s="222"/>
      <c r="AP4" s="222"/>
      <c r="AQ4" s="222"/>
    </row>
    <row r="5" ht="14.5" customHeight="1" spans="16:29">
      <c r="P5" s="207"/>
      <c r="Q5" s="207"/>
      <c r="U5" s="211" t="s">
        <v>207</v>
      </c>
      <c r="V5" s="211" t="str">
        <f t="shared" ref="V5:V11" si="0">C22</f>
        <v>Tra_EV_Batt-LFP_fromrecy</v>
      </c>
      <c r="W5" s="211" t="str">
        <f t="shared" ref="W5:W11" si="1">_xlfn.TEXTJOIN("; ",TRUE,AO6:AQ6)</f>
        <v/>
      </c>
      <c r="X5" s="211" t="s">
        <v>209</v>
      </c>
      <c r="Y5" s="211" t="s">
        <v>227</v>
      </c>
      <c r="Z5" s="211" t="s">
        <v>211</v>
      </c>
      <c r="AA5" s="211"/>
      <c r="AB5" s="211"/>
      <c r="AC5" s="207"/>
    </row>
    <row r="6" ht="14.5" customHeight="1" spans="16:43">
      <c r="P6" s="207"/>
      <c r="Q6" s="207"/>
      <c r="U6" s="200"/>
      <c r="V6" s="211" t="str">
        <f t="shared" si="0"/>
        <v>Tra_EV_Batt-LMO_fromrecy</v>
      </c>
      <c r="W6" s="211" t="str">
        <f t="shared" si="1"/>
        <v/>
      </c>
      <c r="X6" s="211" t="s">
        <v>209</v>
      </c>
      <c r="Y6" s="211" t="s">
        <v>227</v>
      </c>
      <c r="Z6" s="211" t="s">
        <v>211</v>
      </c>
      <c r="AA6" s="211"/>
      <c r="AB6" s="211"/>
      <c r="AC6" s="207"/>
      <c r="AN6" s="223"/>
      <c r="AO6" s="223"/>
      <c r="AP6" s="223"/>
      <c r="AQ6" s="223"/>
    </row>
    <row r="7" ht="14.5" customHeight="1" spans="16:43">
      <c r="P7" s="207"/>
      <c r="Q7" s="207"/>
      <c r="U7" s="211"/>
      <c r="V7" s="211" t="str">
        <f t="shared" si="0"/>
        <v>Tra_EV_Batt-NCA_fromrecy</v>
      </c>
      <c r="W7" s="211" t="str">
        <f t="shared" si="1"/>
        <v/>
      </c>
      <c r="X7" s="211" t="s">
        <v>209</v>
      </c>
      <c r="Y7" s="211" t="s">
        <v>227</v>
      </c>
      <c r="Z7" s="211" t="s">
        <v>211</v>
      </c>
      <c r="AA7" s="211"/>
      <c r="AB7" s="211"/>
      <c r="AC7" s="207"/>
      <c r="AN7" s="223"/>
      <c r="AO7" s="223"/>
      <c r="AP7" s="223"/>
      <c r="AQ7" s="223"/>
    </row>
    <row r="8" ht="18" customHeight="1" spans="16:43">
      <c r="P8" s="208"/>
      <c r="Q8" s="208"/>
      <c r="U8" s="212"/>
      <c r="V8" s="211" t="str">
        <f t="shared" si="0"/>
        <v>Tra_EV_Batt-NMC 111_fromrecy</v>
      </c>
      <c r="W8" s="211" t="str">
        <f t="shared" si="1"/>
        <v/>
      </c>
      <c r="X8" s="211" t="s">
        <v>209</v>
      </c>
      <c r="Y8" s="211" t="s">
        <v>227</v>
      </c>
      <c r="Z8" s="211" t="s">
        <v>211</v>
      </c>
      <c r="AA8" s="218"/>
      <c r="AB8" s="218"/>
      <c r="AC8" s="219"/>
      <c r="AN8" s="223"/>
      <c r="AO8" s="223"/>
      <c r="AP8" s="223"/>
      <c r="AQ8" s="223"/>
    </row>
    <row r="9" ht="18" spans="16:43">
      <c r="P9" s="208"/>
      <c r="Q9" s="208"/>
      <c r="U9" s="212"/>
      <c r="V9" s="211" t="str">
        <f t="shared" si="0"/>
        <v>Tra_EV_Batt-NMC532_fromrecy</v>
      </c>
      <c r="W9" s="211" t="str">
        <f t="shared" si="1"/>
        <v/>
      </c>
      <c r="X9" s="211" t="s">
        <v>209</v>
      </c>
      <c r="Y9" s="211" t="s">
        <v>227</v>
      </c>
      <c r="Z9" s="211" t="s">
        <v>211</v>
      </c>
      <c r="AA9" s="218"/>
      <c r="AB9" s="218"/>
      <c r="AC9" s="219"/>
      <c r="AN9" s="223"/>
      <c r="AO9" s="223"/>
      <c r="AP9" s="223"/>
      <c r="AQ9" s="223"/>
    </row>
    <row r="10" ht="14.5" spans="16:43">
      <c r="P10" s="209"/>
      <c r="Q10" s="209"/>
      <c r="U10" s="212"/>
      <c r="V10" s="211" t="str">
        <f t="shared" si="0"/>
        <v>Tra_EV_Batt-NMC 622_fromrecy</v>
      </c>
      <c r="W10" s="211" t="str">
        <f t="shared" si="1"/>
        <v/>
      </c>
      <c r="X10" s="211" t="s">
        <v>209</v>
      </c>
      <c r="Y10" s="211" t="s">
        <v>227</v>
      </c>
      <c r="Z10" s="211" t="s">
        <v>211</v>
      </c>
      <c r="AA10" s="212"/>
      <c r="AB10" s="212"/>
      <c r="AC10" s="209"/>
      <c r="AN10" s="223"/>
      <c r="AO10" s="223"/>
      <c r="AP10" s="223"/>
      <c r="AQ10" s="223"/>
    </row>
    <row r="11" ht="14.5" spans="21:43">
      <c r="U11" s="200"/>
      <c r="V11" s="211" t="str">
        <f t="shared" si="0"/>
        <v>Tra_EV_Batt-NMC 811_fromrecy</v>
      </c>
      <c r="W11" s="211" t="str">
        <f t="shared" si="1"/>
        <v/>
      </c>
      <c r="X11" s="211" t="s">
        <v>209</v>
      </c>
      <c r="Y11" s="211" t="s">
        <v>227</v>
      </c>
      <c r="Z11" s="211" t="s">
        <v>211</v>
      </c>
      <c r="AA11" s="200"/>
      <c r="AB11" s="200"/>
      <c r="AN11" s="223"/>
      <c r="AO11" s="223"/>
      <c r="AP11" s="223"/>
      <c r="AQ11" s="223"/>
    </row>
    <row r="12" ht="14.5" spans="40:43">
      <c r="AN12" s="223"/>
      <c r="AO12" s="223"/>
      <c r="AP12" s="223"/>
      <c r="AQ12" s="223"/>
    </row>
    <row r="13" ht="14.5" spans="21:27">
      <c r="U13" s="213"/>
      <c r="V13" s="214"/>
      <c r="W13" s="214"/>
      <c r="X13" s="214"/>
      <c r="Y13" s="214"/>
      <c r="Z13" s="214"/>
      <c r="AA13" s="214"/>
    </row>
    <row r="14" ht="14.5" spans="21:43">
      <c r="U14" s="214"/>
      <c r="V14" s="214"/>
      <c r="W14" s="214"/>
      <c r="X14" s="214"/>
      <c r="Y14" s="214"/>
      <c r="Z14" s="214"/>
      <c r="AA14" s="214"/>
      <c r="AN14"/>
      <c r="AO14"/>
      <c r="AP14"/>
      <c r="AQ14"/>
    </row>
    <row r="15" ht="14.5" spans="21:43">
      <c r="U15" s="214"/>
      <c r="V15" s="214"/>
      <c r="W15" s="214"/>
      <c r="X15" s="214"/>
      <c r="Y15" s="214"/>
      <c r="Z15" s="214"/>
      <c r="AA15" s="214"/>
      <c r="AN15"/>
      <c r="AO15"/>
      <c r="AP15"/>
      <c r="AQ15"/>
    </row>
    <row r="16" spans="21:27">
      <c r="U16" s="214"/>
      <c r="V16" s="214"/>
      <c r="W16" s="214"/>
      <c r="X16" s="214"/>
      <c r="Y16" s="214"/>
      <c r="Z16" s="214"/>
      <c r="AA16" s="214"/>
    </row>
    <row r="17" spans="21:27">
      <c r="U17" s="214"/>
      <c r="V17" s="214"/>
      <c r="W17" s="214"/>
      <c r="X17" s="214"/>
      <c r="Y17" s="214"/>
      <c r="Z17" s="214"/>
      <c r="AA17" s="214"/>
    </row>
    <row r="18" spans="1:27">
      <c r="A18" s="200"/>
      <c r="B18" s="200"/>
      <c r="C18" s="200"/>
      <c r="D18" s="200"/>
      <c r="E18" s="200"/>
      <c r="F18" s="200"/>
      <c r="G18" s="200"/>
      <c r="H18" s="200"/>
      <c r="I18" s="200"/>
      <c r="J18" s="200"/>
      <c r="K18" s="200"/>
      <c r="L18" s="200"/>
      <c r="M18" s="200"/>
      <c r="N18" s="200"/>
      <c r="O18" s="200"/>
      <c r="P18" s="200"/>
      <c r="Q18" s="200"/>
      <c r="R18" s="200"/>
      <c r="S18" s="200"/>
      <c r="U18" s="214"/>
      <c r="V18" s="214"/>
      <c r="W18" s="214"/>
      <c r="X18" s="214"/>
      <c r="Y18" s="214"/>
      <c r="Z18" s="214"/>
      <c r="AA18" s="214"/>
    </row>
    <row r="19" spans="1:27">
      <c r="A19" s="200"/>
      <c r="B19" s="200"/>
      <c r="C19" s="200"/>
      <c r="D19" s="200"/>
      <c r="E19" s="200"/>
      <c r="F19" s="200"/>
      <c r="G19" s="200"/>
      <c r="H19" s="200"/>
      <c r="I19" s="200"/>
      <c r="J19" s="200"/>
      <c r="K19" s="200"/>
      <c r="L19" s="200"/>
      <c r="M19" s="200"/>
      <c r="N19" s="200"/>
      <c r="O19" s="200"/>
      <c r="P19" s="200"/>
      <c r="Q19" s="200"/>
      <c r="R19" s="200"/>
      <c r="S19" s="200"/>
      <c r="U19" s="214"/>
      <c r="V19" s="214"/>
      <c r="W19" s="214"/>
      <c r="X19" s="214"/>
      <c r="Y19" s="214"/>
      <c r="Z19" s="214"/>
      <c r="AA19" s="214"/>
    </row>
    <row r="20" spans="1:27">
      <c r="A20" s="201"/>
      <c r="B20" s="201"/>
      <c r="C20" s="201" t="s">
        <v>292</v>
      </c>
      <c r="D20" s="201"/>
      <c r="E20" s="201"/>
      <c r="F20" s="201"/>
      <c r="G20" s="201"/>
      <c r="H20" s="201"/>
      <c r="I20" s="201"/>
      <c r="J20" s="201"/>
      <c r="K20" s="201"/>
      <c r="L20" s="201"/>
      <c r="M20" s="201"/>
      <c r="N20" s="201"/>
      <c r="O20" s="201"/>
      <c r="P20" s="201"/>
      <c r="Q20" s="201"/>
      <c r="R20" s="201"/>
      <c r="S20" s="201"/>
      <c r="U20" s="214"/>
      <c r="V20" s="214"/>
      <c r="W20" s="214"/>
      <c r="X20" s="214"/>
      <c r="Y20" s="214"/>
      <c r="Z20" s="214"/>
      <c r="AA20" s="214"/>
    </row>
    <row r="21" ht="14.5" spans="1:28">
      <c r="A21" s="201" t="s">
        <v>194</v>
      </c>
      <c r="B21" s="202" t="s">
        <v>192</v>
      </c>
      <c r="C21" s="201" t="s">
        <v>220</v>
      </c>
      <c r="D21" s="201" t="s">
        <v>268</v>
      </c>
      <c r="E21" s="201" t="s">
        <v>277</v>
      </c>
      <c r="F21" s="201" t="s">
        <v>279</v>
      </c>
      <c r="G21" s="201" t="s">
        <v>281</v>
      </c>
      <c r="H21" s="201" t="s">
        <v>284</v>
      </c>
      <c r="I21" s="201" t="s">
        <v>286</v>
      </c>
      <c r="J21" s="201" t="s">
        <v>288</v>
      </c>
      <c r="K21" s="201" t="s">
        <v>196</v>
      </c>
      <c r="L21" s="202" t="s">
        <v>191</v>
      </c>
      <c r="M21" s="202" t="s">
        <v>76</v>
      </c>
      <c r="N21" s="201" t="s">
        <v>195</v>
      </c>
      <c r="O21" s="201" t="s">
        <v>294</v>
      </c>
      <c r="P21" s="175" t="s">
        <v>407</v>
      </c>
      <c r="Q21" s="175" t="s">
        <v>407</v>
      </c>
      <c r="R21" s="201" t="s">
        <v>198</v>
      </c>
      <c r="S21" s="201" t="s">
        <v>297</v>
      </c>
      <c r="U21" s="214"/>
      <c r="V21" s="214"/>
      <c r="W21" s="214"/>
      <c r="X21" s="214"/>
      <c r="Y21" s="214"/>
      <c r="Z21" s="214"/>
      <c r="AA21" s="214"/>
      <c r="AB21" s="197"/>
    </row>
    <row r="22" ht="14.5" spans="1:28">
      <c r="A22" s="201">
        <v>2030</v>
      </c>
      <c r="B22" s="203"/>
      <c r="C22" s="201" t="s">
        <v>507</v>
      </c>
      <c r="D22" s="201">
        <v>0.095</v>
      </c>
      <c r="E22" s="201">
        <v>0</v>
      </c>
      <c r="F22" s="201">
        <v>0</v>
      </c>
      <c r="G22" s="201">
        <v>0</v>
      </c>
      <c r="H22" s="201">
        <v>3.528</v>
      </c>
      <c r="I22" s="201">
        <v>0.946</v>
      </c>
      <c r="J22" s="201">
        <v>1.085</v>
      </c>
      <c r="K22" s="201">
        <v>12</v>
      </c>
      <c r="L22" s="201" t="s">
        <v>265</v>
      </c>
      <c r="M22" s="201" t="s">
        <v>217</v>
      </c>
      <c r="N22" s="201">
        <v>0.9</v>
      </c>
      <c r="O22" s="201">
        <v>1.314</v>
      </c>
      <c r="R22" s="201">
        <v>1</v>
      </c>
      <c r="S22" s="201">
        <v>4000</v>
      </c>
      <c r="U22" s="214"/>
      <c r="V22" s="214"/>
      <c r="W22" s="214"/>
      <c r="X22" s="214"/>
      <c r="Y22" s="214"/>
      <c r="AA22" s="214"/>
      <c r="AB22" s="197"/>
    </row>
    <row r="23" ht="14.5" spans="1:28">
      <c r="A23" s="201">
        <v>2030</v>
      </c>
      <c r="B23" s="203"/>
      <c r="C23" s="201" t="s">
        <v>508</v>
      </c>
      <c r="D23" s="201">
        <v>0.106</v>
      </c>
      <c r="E23" s="201">
        <v>0</v>
      </c>
      <c r="F23" s="201">
        <v>0</v>
      </c>
      <c r="G23" s="201">
        <v>1.396</v>
      </c>
      <c r="H23" s="201">
        <v>3.369</v>
      </c>
      <c r="I23" s="201">
        <v>0.863</v>
      </c>
      <c r="J23" s="201">
        <v>0.911</v>
      </c>
      <c r="K23" s="201">
        <v>6</v>
      </c>
      <c r="L23" s="201" t="s">
        <v>265</v>
      </c>
      <c r="M23" s="201" t="s">
        <v>217</v>
      </c>
      <c r="N23" s="201">
        <v>0.9</v>
      </c>
      <c r="O23" s="201">
        <v>1.314</v>
      </c>
      <c r="R23" s="201">
        <v>1</v>
      </c>
      <c r="S23" s="201">
        <v>800</v>
      </c>
      <c r="U23" s="214"/>
      <c r="V23" s="214"/>
      <c r="W23" s="214"/>
      <c r="X23" s="214"/>
      <c r="Y23" s="214"/>
      <c r="AB23" s="220"/>
    </row>
    <row r="24" ht="14.5" spans="1:28">
      <c r="A24" s="201">
        <v>2030</v>
      </c>
      <c r="B24" s="203"/>
      <c r="C24" s="201" t="s">
        <v>509</v>
      </c>
      <c r="D24" s="201">
        <v>0.102</v>
      </c>
      <c r="E24" s="201">
        <v>0.672</v>
      </c>
      <c r="F24" s="201">
        <v>0.127</v>
      </c>
      <c r="G24" s="201">
        <v>0</v>
      </c>
      <c r="H24" s="201">
        <v>2.92</v>
      </c>
      <c r="I24" s="201">
        <v>0.564</v>
      </c>
      <c r="J24" s="201">
        <v>0.978</v>
      </c>
      <c r="K24" s="201">
        <v>9</v>
      </c>
      <c r="L24" s="201" t="s">
        <v>265</v>
      </c>
      <c r="M24" s="201" t="s">
        <v>217</v>
      </c>
      <c r="N24" s="201">
        <v>0.9</v>
      </c>
      <c r="O24" s="201">
        <v>1.314</v>
      </c>
      <c r="R24" s="201">
        <v>1</v>
      </c>
      <c r="S24" s="201">
        <v>2000</v>
      </c>
      <c r="U24" s="214"/>
      <c r="V24" s="214"/>
      <c r="W24" s="214"/>
      <c r="X24" s="214"/>
      <c r="Y24" s="214"/>
      <c r="AB24" s="220"/>
    </row>
    <row r="25" ht="14.5" spans="1:28">
      <c r="A25" s="201">
        <v>2030</v>
      </c>
      <c r="B25" s="203"/>
      <c r="C25" s="201" t="s">
        <v>510</v>
      </c>
      <c r="D25" s="201">
        <v>0.141</v>
      </c>
      <c r="E25" s="201">
        <v>0.351</v>
      </c>
      <c r="F25" s="201">
        <v>0.352</v>
      </c>
      <c r="G25" s="201">
        <v>0.328</v>
      </c>
      <c r="H25" s="201">
        <v>3.11</v>
      </c>
      <c r="I25" s="201">
        <v>0.677</v>
      </c>
      <c r="J25" s="201">
        <v>0.978</v>
      </c>
      <c r="K25" s="201">
        <v>9</v>
      </c>
      <c r="L25" s="201" t="s">
        <v>265</v>
      </c>
      <c r="M25" s="201" t="s">
        <v>217</v>
      </c>
      <c r="N25" s="201">
        <v>0.9</v>
      </c>
      <c r="O25" s="201">
        <v>1.314</v>
      </c>
      <c r="R25" s="201">
        <v>1</v>
      </c>
      <c r="S25" s="201">
        <v>2000</v>
      </c>
      <c r="U25" s="214"/>
      <c r="V25" s="214"/>
      <c r="W25" s="214"/>
      <c r="X25" s="214"/>
      <c r="Y25" s="214"/>
      <c r="AB25" s="220"/>
    </row>
    <row r="26" ht="14.5" spans="1:28">
      <c r="A26" s="201">
        <v>2030</v>
      </c>
      <c r="B26" s="203"/>
      <c r="C26" s="201" t="s">
        <v>511</v>
      </c>
      <c r="D26" s="201">
        <v>0.136</v>
      </c>
      <c r="E26" s="201">
        <v>0.508</v>
      </c>
      <c r="F26" s="201">
        <v>0.204</v>
      </c>
      <c r="G26" s="201">
        <v>0.285</v>
      </c>
      <c r="H26" s="201">
        <v>3.07</v>
      </c>
      <c r="I26" s="201">
        <v>0.661</v>
      </c>
      <c r="J26" s="201">
        <v>0.981</v>
      </c>
      <c r="K26" s="201">
        <v>9</v>
      </c>
      <c r="L26" s="201" t="s">
        <v>265</v>
      </c>
      <c r="M26" s="201" t="s">
        <v>217</v>
      </c>
      <c r="N26" s="201">
        <v>0.9</v>
      </c>
      <c r="O26" s="201">
        <v>1.314</v>
      </c>
      <c r="R26" s="201">
        <v>1</v>
      </c>
      <c r="S26" s="201">
        <v>2000</v>
      </c>
      <c r="U26" s="214"/>
      <c r="V26" s="214"/>
      <c r="W26" s="214"/>
      <c r="X26" s="215"/>
      <c r="Y26" s="214"/>
      <c r="AB26" s="221"/>
    </row>
    <row r="27" ht="14.5" spans="1:28">
      <c r="A27" s="201">
        <v>2030</v>
      </c>
      <c r="B27" s="203"/>
      <c r="C27" s="201" t="s">
        <v>512</v>
      </c>
      <c r="D27" s="201">
        <v>0.118</v>
      </c>
      <c r="E27" s="201">
        <v>0.531</v>
      </c>
      <c r="F27" s="201">
        <v>0.178</v>
      </c>
      <c r="G27" s="201">
        <v>0.166</v>
      </c>
      <c r="H27" s="201">
        <v>3.017</v>
      </c>
      <c r="I27" s="201">
        <v>0.605</v>
      </c>
      <c r="J27" s="201">
        <v>0.96</v>
      </c>
      <c r="K27" s="201">
        <v>9</v>
      </c>
      <c r="L27" s="201" t="s">
        <v>265</v>
      </c>
      <c r="M27" s="201" t="s">
        <v>217</v>
      </c>
      <c r="N27" s="201">
        <v>0.9</v>
      </c>
      <c r="O27" s="201">
        <v>1.314</v>
      </c>
      <c r="R27" s="201">
        <v>1</v>
      </c>
      <c r="S27" s="201">
        <v>2000</v>
      </c>
      <c r="U27" s="214"/>
      <c r="V27" s="214"/>
      <c r="W27" s="214"/>
      <c r="X27" s="214"/>
      <c r="Y27" s="214"/>
      <c r="AB27" s="221"/>
    </row>
    <row r="28" ht="14.5" spans="1:28">
      <c r="A28" s="201">
        <v>2030</v>
      </c>
      <c r="B28" s="203"/>
      <c r="C28" s="201" t="s">
        <v>513</v>
      </c>
      <c r="D28" s="201">
        <v>0.1</v>
      </c>
      <c r="E28" s="201">
        <v>0.6</v>
      </c>
      <c r="F28" s="201">
        <v>0.075</v>
      </c>
      <c r="G28" s="201">
        <v>0.07</v>
      </c>
      <c r="H28" s="201">
        <v>2.921</v>
      </c>
      <c r="I28" s="201">
        <v>0.549</v>
      </c>
      <c r="J28" s="201">
        <v>0.961</v>
      </c>
      <c r="K28" s="201">
        <v>9</v>
      </c>
      <c r="L28" s="201" t="s">
        <v>265</v>
      </c>
      <c r="M28" s="201" t="s">
        <v>217</v>
      </c>
      <c r="N28" s="201">
        <v>0.9</v>
      </c>
      <c r="O28" s="201">
        <v>1.314</v>
      </c>
      <c r="R28" s="201">
        <v>1</v>
      </c>
      <c r="S28" s="201">
        <v>2000</v>
      </c>
      <c r="U28" s="214"/>
      <c r="V28" s="214"/>
      <c r="W28" s="214"/>
      <c r="X28" s="214"/>
      <c r="Y28" s="214"/>
      <c r="AB28" s="220"/>
    </row>
    <row r="29" spans="1:28">
      <c r="A29" s="200"/>
      <c r="B29" s="200"/>
      <c r="C29" s="200"/>
      <c r="D29" s="200"/>
      <c r="E29" s="200"/>
      <c r="F29" s="200"/>
      <c r="G29" s="200"/>
      <c r="H29" s="200"/>
      <c r="I29" s="200"/>
      <c r="J29" s="200"/>
      <c r="K29" s="200"/>
      <c r="L29" s="200"/>
      <c r="M29" s="200"/>
      <c r="N29" s="200"/>
      <c r="O29" s="200"/>
      <c r="R29" s="200"/>
      <c r="S29" s="200"/>
      <c r="U29" s="214"/>
      <c r="V29" s="214"/>
      <c r="W29" s="214"/>
      <c r="X29" s="214"/>
      <c r="Y29" s="214"/>
      <c r="AB29" s="220"/>
    </row>
    <row r="30" spans="11:28">
      <c r="K30" s="197"/>
      <c r="AB30" s="197"/>
    </row>
    <row r="31" spans="11:28">
      <c r="K31" s="197"/>
      <c r="AB31" s="197"/>
    </row>
    <row r="32" ht="14.5" spans="28:34">
      <c r="AB32" s="197"/>
      <c r="AD32" s="207"/>
      <c r="AE32" s="207"/>
      <c r="AF32" s="207"/>
      <c r="AG32" s="207"/>
      <c r="AH32" s="207"/>
    </row>
    <row r="33" ht="14.5" spans="22:34">
      <c r="V33" s="216" t="s">
        <v>220</v>
      </c>
      <c r="W33" s="216" t="s">
        <v>191</v>
      </c>
      <c r="X33" s="216" t="s">
        <v>76</v>
      </c>
      <c r="Y33" s="216" t="s">
        <v>73</v>
      </c>
      <c r="AB33" s="197"/>
      <c r="AD33" s="207"/>
      <c r="AE33" s="207"/>
      <c r="AF33" s="207"/>
      <c r="AG33" s="207"/>
      <c r="AH33" s="207"/>
    </row>
    <row r="34" ht="14.5" spans="14:25">
      <c r="N34" s="210"/>
      <c r="O34" s="210"/>
      <c r="P34" s="202" t="s">
        <v>295</v>
      </c>
      <c r="Q34" s="202" t="s">
        <v>296</v>
      </c>
      <c r="V34" s="216" t="str">
        <f t="shared" ref="V34:V39" si="2">"Tra_bat_recy_"&amp;N34</f>
        <v>Tra_bat_recy_</v>
      </c>
      <c r="W34" s="216" t="s">
        <v>314</v>
      </c>
      <c r="X34" s="216" t="s">
        <v>213</v>
      </c>
      <c r="Y34" s="216">
        <f t="shared" ref="Y34:Y39" si="3">O34</f>
        <v>0</v>
      </c>
    </row>
    <row r="35" spans="14:25">
      <c r="N35" s="210"/>
      <c r="O35" s="210"/>
      <c r="P35" s="201">
        <v>1</v>
      </c>
      <c r="Q35" s="201">
        <v>1</v>
      </c>
      <c r="V35" s="216" t="str">
        <f t="shared" si="2"/>
        <v>Tra_bat_recy_</v>
      </c>
      <c r="W35" s="216" t="s">
        <v>316</v>
      </c>
      <c r="X35" s="216" t="s">
        <v>221</v>
      </c>
      <c r="Y35" s="216">
        <f t="shared" si="3"/>
        <v>0</v>
      </c>
    </row>
    <row r="36" spans="14:25">
      <c r="N36" s="210"/>
      <c r="O36" s="210"/>
      <c r="P36" s="201">
        <v>1</v>
      </c>
      <c r="Q36" s="201">
        <v>1</v>
      </c>
      <c r="V36" s="216" t="str">
        <f t="shared" si="2"/>
        <v>Tra_bat_recy_</v>
      </c>
      <c r="W36" s="216" t="s">
        <v>318</v>
      </c>
      <c r="X36" s="216" t="s">
        <v>222</v>
      </c>
      <c r="Y36" s="216">
        <f t="shared" si="3"/>
        <v>0</v>
      </c>
    </row>
    <row r="37" ht="14.5" spans="2:25">
      <c r="B37" s="197"/>
      <c r="C37" s="197"/>
      <c r="D37" s="204"/>
      <c r="N37" s="210"/>
      <c r="O37" s="210"/>
      <c r="P37" s="201">
        <v>1</v>
      </c>
      <c r="Q37" s="201">
        <v>1</v>
      </c>
      <c r="V37" s="216" t="str">
        <f t="shared" si="2"/>
        <v>Tra_bat_recy_</v>
      </c>
      <c r="W37" s="216" t="s">
        <v>327</v>
      </c>
      <c r="X37" s="216" t="s">
        <v>223</v>
      </c>
      <c r="Y37" s="216">
        <f t="shared" si="3"/>
        <v>0</v>
      </c>
    </row>
    <row r="38" spans="2:25">
      <c r="B38" s="197"/>
      <c r="C38" s="197"/>
      <c r="N38" s="210"/>
      <c r="O38" s="210"/>
      <c r="P38" s="201">
        <v>1</v>
      </c>
      <c r="Q38" s="201">
        <v>1</v>
      </c>
      <c r="V38" s="216" t="str">
        <f t="shared" si="2"/>
        <v>Tra_bat_recy_</v>
      </c>
      <c r="W38" s="216" t="s">
        <v>329</v>
      </c>
      <c r="X38" s="216" t="s">
        <v>224</v>
      </c>
      <c r="Y38" s="216">
        <f t="shared" si="3"/>
        <v>0</v>
      </c>
    </row>
    <row r="39" spans="14:25">
      <c r="N39" s="210"/>
      <c r="O39" s="210"/>
      <c r="P39" s="201">
        <v>1</v>
      </c>
      <c r="Q39" s="201">
        <v>1</v>
      </c>
      <c r="V39" s="216" t="str">
        <f t="shared" si="2"/>
        <v>Tra_bat_recy_</v>
      </c>
      <c r="W39" s="216" t="s">
        <v>332</v>
      </c>
      <c r="X39" s="216" t="s">
        <v>225</v>
      </c>
      <c r="Y39" s="216">
        <f t="shared" si="3"/>
        <v>0</v>
      </c>
    </row>
    <row r="40" spans="16:17">
      <c r="P40" s="201">
        <v>1</v>
      </c>
      <c r="Q40" s="201">
        <v>1</v>
      </c>
    </row>
    <row r="41" spans="16:17">
      <c r="P41" s="201">
        <v>1</v>
      </c>
      <c r="Q41" s="201">
        <v>1</v>
      </c>
    </row>
    <row r="42" spans="16:17">
      <c r="P42" s="200"/>
      <c r="Q42" s="200"/>
    </row>
    <row r="53" s="197" customFormat="1"/>
    <row r="54" s="197" customFormat="1"/>
    <row r="55" s="197" customFormat="1"/>
    <row r="56" s="197" customFormat="1"/>
    <row r="57" s="197" customFormat="1"/>
    <row r="58" s="197" customFormat="1"/>
    <row r="59" s="197" customFormat="1" ht="14.5" spans="23:28">
      <c r="W59" s="205"/>
      <c r="X59" s="205"/>
      <c r="Y59" s="205"/>
      <c r="Z59" s="205"/>
      <c r="AA59" s="205"/>
      <c r="AB59" s="205"/>
    </row>
    <row r="60" s="197" customFormat="1" ht="14.5" spans="2:28">
      <c r="B60" s="205"/>
      <c r="K60" s="197"/>
      <c r="L60" s="205"/>
      <c r="M60" s="205"/>
      <c r="P60" s="205"/>
      <c r="Q60" s="205"/>
      <c r="W60" s="205"/>
      <c r="X60" s="205"/>
      <c r="Y60" s="205"/>
      <c r="Z60" s="205"/>
      <c r="AA60" s="205"/>
      <c r="AB60" s="205"/>
    </row>
    <row r="61" s="197" customFormat="1" ht="14.5" spans="2:28">
      <c r="B61" s="206"/>
      <c r="W61" s="205"/>
      <c r="X61" s="205"/>
      <c r="Y61" s="205"/>
      <c r="Z61" s="205"/>
      <c r="AA61" s="205"/>
      <c r="AB61" s="205"/>
    </row>
    <row r="62" s="197" customFormat="1" ht="14.5" spans="2:28">
      <c r="B62" s="206"/>
      <c r="X62" s="205"/>
      <c r="Y62" s="205"/>
      <c r="Z62" s="205"/>
      <c r="AA62" s="205"/>
      <c r="AB62" s="205"/>
    </row>
    <row r="63" s="197" customFormat="1" ht="14.5" spans="2:28">
      <c r="B63" s="206"/>
      <c r="W63" s="205"/>
      <c r="X63" s="205"/>
      <c r="Y63" s="205"/>
      <c r="Z63" s="205"/>
      <c r="AA63" s="205"/>
      <c r="AB63" s="205"/>
    </row>
    <row r="64" s="197" customFormat="1" ht="14.5" spans="2:28">
      <c r="B64" s="206"/>
      <c r="W64" s="217"/>
      <c r="X64" s="205"/>
      <c r="Y64" s="205"/>
      <c r="Z64" s="205"/>
      <c r="AA64" s="205"/>
      <c r="AB64" s="205"/>
    </row>
    <row r="65" s="197" customFormat="1" ht="14.5" spans="2:28">
      <c r="B65" s="206"/>
      <c r="W65" s="217"/>
      <c r="X65" s="205"/>
      <c r="Y65" s="205"/>
      <c r="Z65" s="205"/>
      <c r="AA65" s="205"/>
      <c r="AB65" s="205"/>
    </row>
    <row r="66" s="197" customFormat="1" ht="14.5" spans="2:28">
      <c r="B66" s="206"/>
      <c r="W66" s="217"/>
      <c r="X66" s="205"/>
      <c r="Y66" s="205"/>
      <c r="Z66" s="205"/>
      <c r="AA66" s="205"/>
      <c r="AB66" s="205"/>
    </row>
    <row r="67" s="198" customFormat="1" ht="14.5" spans="2:28">
      <c r="B67" s="224"/>
      <c r="X67" s="226"/>
      <c r="Y67" s="226"/>
      <c r="Z67" s="226"/>
      <c r="AA67" s="226"/>
      <c r="AB67" s="226"/>
    </row>
    <row r="68" s="198" customFormat="1" ht="14.5" spans="24:28">
      <c r="X68" s="226"/>
      <c r="Y68" s="226"/>
      <c r="Z68" s="226"/>
      <c r="AA68" s="226"/>
      <c r="AB68" s="226"/>
    </row>
    <row r="69" s="198" customFormat="1"/>
    <row r="70" s="198" customFormat="1"/>
    <row r="71" s="198" customFormat="1"/>
    <row r="72" s="198" customFormat="1" spans="4:10">
      <c r="D72" s="225"/>
      <c r="E72" s="225"/>
      <c r="F72" s="225"/>
      <c r="G72" s="225"/>
      <c r="H72" s="225"/>
      <c r="I72" s="225"/>
      <c r="J72" s="225"/>
    </row>
    <row r="73" s="198" customFormat="1"/>
    <row r="74" s="198" customFormat="1"/>
    <row r="75" s="198" customFormat="1"/>
    <row r="76" s="198" customFormat="1"/>
    <row r="77" s="198" customFormat="1"/>
    <row r="78" s="198" customFormat="1"/>
    <row r="79" s="198" customFormat="1"/>
    <row r="80" s="198" customFormat="1"/>
    <row r="81" s="198" customFormat="1"/>
    <row r="82" s="198" customFormat="1"/>
    <row r="83" s="198" customFormat="1"/>
    <row r="84" s="198" customFormat="1"/>
    <row r="85" s="198" customFormat="1"/>
    <row r="86" s="198" customFormat="1"/>
    <row r="87" s="198" customFormat="1"/>
    <row r="88" s="198" customFormat="1"/>
    <row r="89" s="198" customFormat="1" spans="3:3">
      <c r="C89" s="165"/>
    </row>
    <row r="90" s="198" customFormat="1" spans="3:3">
      <c r="C90" s="165"/>
    </row>
    <row r="91" s="198" customFormat="1" spans="3:3">
      <c r="C91" s="165"/>
    </row>
    <row r="92" s="198" customFormat="1" spans="3:3">
      <c r="C92" s="165"/>
    </row>
    <row r="93" s="198" customFormat="1" spans="3:3">
      <c r="C93" s="165"/>
    </row>
    <row r="94" s="198" customFormat="1" spans="3:3">
      <c r="C94" s="165"/>
    </row>
    <row r="95" s="198" customFormat="1" spans="3:3">
      <c r="C95" s="165"/>
    </row>
    <row r="96" s="198" customFormat="1" ht="14.5" spans="3:10">
      <c r="C96" s="165"/>
      <c r="D96" s="226"/>
      <c r="E96" s="226"/>
      <c r="F96" s="226"/>
      <c r="G96" s="226"/>
      <c r="H96" s="226"/>
      <c r="I96" s="226"/>
      <c r="J96" s="226"/>
    </row>
    <row r="97" s="198" customFormat="1" ht="14.5" spans="3:10">
      <c r="C97" s="165"/>
      <c r="D97" s="226"/>
      <c r="E97" s="226"/>
      <c r="F97" s="226"/>
      <c r="G97" s="226"/>
      <c r="H97" s="226"/>
      <c r="I97" s="226"/>
      <c r="J97" s="226"/>
    </row>
    <row r="98" s="198" customFormat="1" ht="14.5" spans="3:10">
      <c r="C98" s="165"/>
      <c r="D98" s="226"/>
      <c r="E98" s="226"/>
      <c r="F98" s="226"/>
      <c r="G98" s="226"/>
      <c r="H98" s="226"/>
      <c r="I98" s="226"/>
      <c r="J98" s="226"/>
    </row>
    <row r="99" s="198" customFormat="1" ht="14.5" spans="3:7">
      <c r="C99" s="165"/>
      <c r="D99" s="226"/>
      <c r="E99" s="226"/>
      <c r="F99" s="226"/>
      <c r="G99" s="226"/>
    </row>
    <row r="100" s="198" customFormat="1" ht="14.5" spans="3:7">
      <c r="C100" s="165"/>
      <c r="D100" s="226"/>
      <c r="E100" s="226"/>
      <c r="F100" s="226"/>
      <c r="G100" s="226"/>
    </row>
    <row r="101" s="198" customFormat="1" ht="14.5" spans="3:7">
      <c r="C101" s="165"/>
      <c r="D101" s="226"/>
      <c r="E101" s="226"/>
      <c r="F101" s="226"/>
      <c r="G101" s="226"/>
    </row>
    <row r="102" s="198" customFormat="1" ht="14.5" spans="3:7">
      <c r="C102" s="165"/>
      <c r="D102" s="226"/>
      <c r="E102" s="226"/>
      <c r="F102" s="226"/>
      <c r="G102" s="226"/>
    </row>
    <row r="103" s="198" customFormat="1" ht="14.5" spans="3:7">
      <c r="C103" s="165"/>
      <c r="D103" s="226"/>
      <c r="E103" s="226"/>
      <c r="F103" s="226"/>
      <c r="G103" s="226"/>
    </row>
    <row r="104" s="198" customFormat="1" ht="14.5" spans="3:7">
      <c r="C104" s="165"/>
      <c r="D104" s="226"/>
      <c r="E104" s="226"/>
      <c r="F104" s="226"/>
      <c r="G104" s="226"/>
    </row>
    <row r="105" s="198" customFormat="1" spans="3:3">
      <c r="C105" s="165"/>
    </row>
    <row r="106" s="198" customFormat="1" spans="3:3">
      <c r="C106" s="165"/>
    </row>
    <row r="107" s="198" customFormat="1" spans="3:3">
      <c r="C107" s="165"/>
    </row>
    <row r="108" s="198" customFormat="1" ht="14.5" spans="3:5">
      <c r="C108" s="165"/>
      <c r="D108" s="226"/>
      <c r="E108" s="226"/>
    </row>
    <row r="109" s="198" customFormat="1" spans="3:3">
      <c r="C109" s="165"/>
    </row>
    <row r="110" s="198" customFormat="1" ht="14.5" spans="3:3">
      <c r="C110" s="226"/>
    </row>
    <row r="111" s="198" customFormat="1" ht="14.5" spans="3:3">
      <c r="C111" s="226"/>
    </row>
    <row r="112" s="198" customFormat="1" ht="14.5" spans="3:3">
      <c r="C112" s="226"/>
    </row>
    <row r="113" s="198" customFormat="1" ht="14.5" spans="3:3">
      <c r="C113" s="226"/>
    </row>
    <row r="114" s="198" customFormat="1" ht="14.5" spans="3:3">
      <c r="C114" s="226"/>
    </row>
    <row r="115" s="198" customFormat="1" ht="14.5" spans="3:3">
      <c r="C115" s="226"/>
    </row>
    <row r="116" s="198" customFormat="1"/>
    <row r="117" spans="3:12">
      <c r="C117" s="197"/>
      <c r="D117" s="197"/>
      <c r="E117" s="197"/>
      <c r="F117" s="197"/>
      <c r="G117" s="197"/>
      <c r="H117" s="197"/>
      <c r="I117" s="197"/>
      <c r="J117" s="197"/>
      <c r="K117" s="197"/>
      <c r="L117" s="197"/>
    </row>
    <row r="118" spans="3:12">
      <c r="C118" s="197"/>
      <c r="D118" s="197"/>
      <c r="E118" s="197"/>
      <c r="F118" s="197"/>
      <c r="G118" s="197"/>
      <c r="H118" s="197"/>
      <c r="I118" s="197"/>
      <c r="J118" s="197"/>
      <c r="K118" s="197"/>
      <c r="L118" s="197"/>
    </row>
    <row r="119" spans="3:12">
      <c r="C119" s="197"/>
      <c r="D119" s="197"/>
      <c r="E119" s="197"/>
      <c r="F119" s="197"/>
      <c r="G119" s="197"/>
      <c r="H119" s="197"/>
      <c r="I119" s="197"/>
      <c r="J119" s="197"/>
      <c r="K119" s="197"/>
      <c r="L119" s="197"/>
    </row>
    <row r="123" ht="53" customHeight="1"/>
    <row r="124" spans="27:32">
      <c r="AA124" s="244" t="s">
        <v>384</v>
      </c>
      <c r="AB124" s="244"/>
      <c r="AC124" s="244"/>
      <c r="AD124" s="244"/>
      <c r="AE124" s="244"/>
      <c r="AF124" s="244"/>
    </row>
    <row r="125" ht="14.5" spans="2:4">
      <c r="B125"/>
      <c r="C125"/>
      <c r="D125"/>
    </row>
    <row r="126" ht="21" spans="2:34">
      <c r="B126" s="227"/>
      <c r="C126" s="228" t="s">
        <v>385</v>
      </c>
      <c r="D126" s="229"/>
      <c r="E126" s="229"/>
      <c r="F126" s="229"/>
      <c r="H126" s="216"/>
      <c r="I126" s="233"/>
      <c r="J126" s="234" t="s">
        <v>386</v>
      </c>
      <c r="K126" s="234"/>
      <c r="L126" s="234"/>
      <c r="M126" s="234"/>
      <c r="N126" s="234"/>
      <c r="O126" s="234"/>
      <c r="P126" s="234"/>
      <c r="Q126" s="234"/>
      <c r="R126" s="234"/>
      <c r="S126" s="216"/>
      <c r="T126" s="216"/>
      <c r="U126" s="216"/>
      <c r="AG126" s="197"/>
      <c r="AH126" s="197"/>
    </row>
    <row r="127" ht="14.5" spans="2:46">
      <c r="B127" s="227"/>
      <c r="C127" s="230" t="s">
        <v>387</v>
      </c>
      <c r="D127" s="229"/>
      <c r="E127" s="229"/>
      <c r="F127" s="229"/>
      <c r="H127" s="231" t="s">
        <v>388</v>
      </c>
      <c r="I127" s="235" t="s">
        <v>389</v>
      </c>
      <c r="J127" s="235" t="s">
        <v>390</v>
      </c>
      <c r="K127" s="235" t="s">
        <v>391</v>
      </c>
      <c r="L127" s="235" t="s">
        <v>392</v>
      </c>
      <c r="M127" s="236" t="s">
        <v>390</v>
      </c>
      <c r="N127" s="236" t="s">
        <v>391</v>
      </c>
      <c r="O127" s="236" t="s">
        <v>392</v>
      </c>
      <c r="P127" s="235" t="s">
        <v>390</v>
      </c>
      <c r="Q127" s="235" t="s">
        <v>391</v>
      </c>
      <c r="R127" s="235" t="s">
        <v>392</v>
      </c>
      <c r="S127" s="216"/>
      <c r="T127" s="243" t="s">
        <v>393</v>
      </c>
      <c r="U127" s="216"/>
      <c r="AA127" s="229"/>
      <c r="AB127" s="229"/>
      <c r="AC127" s="229" t="s">
        <v>387</v>
      </c>
      <c r="AD127" s="229"/>
      <c r="AE127" s="229"/>
      <c r="AF127" s="229"/>
      <c r="AG127" s="197"/>
      <c r="AH127" s="197"/>
      <c r="AI127" s="229"/>
      <c r="AJ127" s="229"/>
      <c r="AK127" s="229" t="s">
        <v>387</v>
      </c>
      <c r="AL127" s="229"/>
      <c r="AM127" s="229"/>
      <c r="AN127" s="229"/>
      <c r="AQ127" s="245" t="s">
        <v>387</v>
      </c>
      <c r="AR127" s="246"/>
      <c r="AS127" s="246"/>
      <c r="AT127" s="246"/>
    </row>
    <row r="128" ht="20" spans="1:46">
      <c r="A128" s="232"/>
      <c r="B128" s="229"/>
      <c r="C128" s="229"/>
      <c r="D128" s="230"/>
      <c r="E128" s="230"/>
      <c r="F128" s="230"/>
      <c r="H128" s="216" t="s">
        <v>394</v>
      </c>
      <c r="I128" s="235" t="s">
        <v>395</v>
      </c>
      <c r="J128" s="237" t="s">
        <v>396</v>
      </c>
      <c r="K128" s="238"/>
      <c r="L128" s="239"/>
      <c r="M128" s="240" t="s">
        <v>397</v>
      </c>
      <c r="N128" s="241"/>
      <c r="O128" s="242"/>
      <c r="P128" s="237" t="s">
        <v>398</v>
      </c>
      <c r="Q128" s="238"/>
      <c r="R128" s="239"/>
      <c r="S128" s="216"/>
      <c r="T128" s="216" t="s">
        <v>397</v>
      </c>
      <c r="U128" s="216"/>
      <c r="AA128" s="229"/>
      <c r="AB128" s="229"/>
      <c r="AC128" s="229"/>
      <c r="AD128" s="229"/>
      <c r="AE128" s="229"/>
      <c r="AF128" s="229"/>
      <c r="AG128" s="197"/>
      <c r="AH128" s="197"/>
      <c r="AI128" s="229"/>
      <c r="AJ128" s="229"/>
      <c r="AK128" s="229"/>
      <c r="AL128" s="229"/>
      <c r="AM128" s="229"/>
      <c r="AN128" s="229"/>
      <c r="AQ128" s="245" t="s">
        <v>220</v>
      </c>
      <c r="AR128" s="245">
        <v>2019</v>
      </c>
      <c r="AS128" s="246">
        <v>2050</v>
      </c>
      <c r="AT128" s="246">
        <v>0</v>
      </c>
    </row>
    <row r="129" ht="13" spans="2:46">
      <c r="B129" s="229" t="s">
        <v>399</v>
      </c>
      <c r="C129" s="230" t="s">
        <v>220</v>
      </c>
      <c r="D129" s="230" t="s">
        <v>400</v>
      </c>
      <c r="E129" s="230" t="s">
        <v>401</v>
      </c>
      <c r="F129" s="230" t="s">
        <v>402</v>
      </c>
      <c r="H129" s="216"/>
      <c r="I129" s="235" t="s">
        <v>403</v>
      </c>
      <c r="J129" s="237" t="s">
        <v>404</v>
      </c>
      <c r="K129" s="238"/>
      <c r="L129" s="239"/>
      <c r="M129" s="240" t="s">
        <v>404</v>
      </c>
      <c r="N129" s="241"/>
      <c r="O129" s="242"/>
      <c r="P129" s="237" t="s">
        <v>404</v>
      </c>
      <c r="Q129" s="238"/>
      <c r="R129" s="239"/>
      <c r="S129" s="216"/>
      <c r="T129" s="216" t="s">
        <v>404</v>
      </c>
      <c r="U129" s="216"/>
      <c r="AA129" s="229" t="s">
        <v>399</v>
      </c>
      <c r="AB129" s="229" t="s">
        <v>405</v>
      </c>
      <c r="AC129" s="229" t="s">
        <v>220</v>
      </c>
      <c r="AD129" s="229" t="s">
        <v>400</v>
      </c>
      <c r="AE129" s="229" t="s">
        <v>401</v>
      </c>
      <c r="AF129" s="229" t="s">
        <v>402</v>
      </c>
      <c r="AG129" s="197"/>
      <c r="AH129" s="197"/>
      <c r="AI129" s="229" t="s">
        <v>399</v>
      </c>
      <c r="AJ129" s="229" t="s">
        <v>405</v>
      </c>
      <c r="AK129" s="229" t="s">
        <v>220</v>
      </c>
      <c r="AL129" s="229" t="s">
        <v>400</v>
      </c>
      <c r="AM129" s="229" t="s">
        <v>401</v>
      </c>
      <c r="AN129" s="229" t="s">
        <v>402</v>
      </c>
      <c r="AQ129" s="245" t="str">
        <f>C22</f>
        <v>Tra_EV_Batt-LFP_fromrecy</v>
      </c>
      <c r="AR129" s="246">
        <v>0.001</v>
      </c>
      <c r="AS129" s="246">
        <v>0.001</v>
      </c>
      <c r="AT129" s="246">
        <v>5</v>
      </c>
    </row>
    <row r="130" ht="13" spans="2:46">
      <c r="B130" s="229" t="s">
        <v>407</v>
      </c>
      <c r="C130" s="229"/>
      <c r="D130" s="229"/>
      <c r="E130" s="229"/>
      <c r="F130" s="229"/>
      <c r="H130" s="216">
        <v>0.2</v>
      </c>
      <c r="I130" s="235" t="s">
        <v>408</v>
      </c>
      <c r="J130" s="255">
        <v>21.35</v>
      </c>
      <c r="K130" s="255">
        <v>16.59</v>
      </c>
      <c r="L130" s="255">
        <v>12.62</v>
      </c>
      <c r="M130" s="256">
        <v>22.07</v>
      </c>
      <c r="N130" s="256">
        <v>17.16</v>
      </c>
      <c r="O130" s="256">
        <v>13.05</v>
      </c>
      <c r="P130" s="255">
        <v>23.72</v>
      </c>
      <c r="Q130" s="255">
        <v>18.45</v>
      </c>
      <c r="R130" s="255">
        <v>14.04</v>
      </c>
      <c r="S130" s="216"/>
      <c r="T130" s="258">
        <f t="shared" ref="T130:T137" si="4">AVERAGE(M130:O130)</f>
        <v>17.4266666666667</v>
      </c>
      <c r="U130" s="216"/>
      <c r="AA130" s="229" t="s">
        <v>407</v>
      </c>
      <c r="AB130" s="229"/>
      <c r="AC130" s="229"/>
      <c r="AD130" s="229"/>
      <c r="AE130" s="229"/>
      <c r="AF130" s="229"/>
      <c r="AG130" s="197"/>
      <c r="AH130" s="197"/>
      <c r="AI130" s="229" t="s">
        <v>407</v>
      </c>
      <c r="AJ130" s="229"/>
      <c r="AK130" s="229"/>
      <c r="AL130" s="229"/>
      <c r="AM130" s="229"/>
      <c r="AN130" s="229"/>
      <c r="AQ130" s="245" t="str">
        <f t="shared" ref="AQ130:AQ135" si="5">C23</f>
        <v>Tra_EV_Batt-LMO_fromrecy</v>
      </c>
      <c r="AR130" s="246">
        <v>0.001</v>
      </c>
      <c r="AS130" s="246">
        <v>0.001</v>
      </c>
      <c r="AT130" s="246">
        <v>5</v>
      </c>
    </row>
    <row r="131" ht="13" spans="1:46">
      <c r="A131" s="247"/>
      <c r="B131" s="229" t="s">
        <v>410</v>
      </c>
      <c r="C131" s="230" t="s">
        <v>406</v>
      </c>
      <c r="D131" s="229" cm="1">
        <f t="array" ref="D131">D147-SUMPRODUCT(J143:P143,J155:P155)</f>
        <v>80.3831766666667</v>
      </c>
      <c r="E131" s="229" cm="1">
        <f t="array" ref="E131">E147-SUMPRODUCT(J143:P143,J155:P155)</f>
        <v>55.48673</v>
      </c>
      <c r="F131" s="229" cm="1">
        <f t="array" ref="F131">F147-SUMPRODUCT(J143:P143,J155:P155)</f>
        <v>106.82505</v>
      </c>
      <c r="H131" s="216">
        <f t="shared" ref="H131:H137" si="6">H130</f>
        <v>0.2</v>
      </c>
      <c r="I131" s="235" t="s">
        <v>411</v>
      </c>
      <c r="J131" s="255">
        <v>21.47</v>
      </c>
      <c r="K131" s="255">
        <v>16.67</v>
      </c>
      <c r="L131" s="255">
        <v>12.68</v>
      </c>
      <c r="M131" s="256">
        <v>22.2</v>
      </c>
      <c r="N131" s="256">
        <v>17.25</v>
      </c>
      <c r="O131" s="256">
        <v>13.12</v>
      </c>
      <c r="P131" s="255">
        <v>23.87</v>
      </c>
      <c r="Q131" s="255">
        <v>18.55</v>
      </c>
      <c r="R131" s="255">
        <v>14.11</v>
      </c>
      <c r="S131" s="216"/>
      <c r="T131" s="258">
        <f t="shared" si="4"/>
        <v>17.5233333333333</v>
      </c>
      <c r="U131" s="216"/>
      <c r="AA131" s="229" t="s">
        <v>410</v>
      </c>
      <c r="AB131" s="229">
        <v>2050</v>
      </c>
      <c r="AC131" s="229" t="s">
        <v>406</v>
      </c>
      <c r="AD131" s="229">
        <f t="shared" ref="AD131:AF131" si="7">D131*0.313</f>
        <v>25.1599342966667</v>
      </c>
      <c r="AE131" s="229">
        <f t="shared" si="7"/>
        <v>17.36734649</v>
      </c>
      <c r="AF131" s="229">
        <f t="shared" si="7"/>
        <v>33.43624065</v>
      </c>
      <c r="AG131" s="197"/>
      <c r="AH131" s="197"/>
      <c r="AI131" s="229" t="s">
        <v>410</v>
      </c>
      <c r="AJ131" s="229">
        <v>0</v>
      </c>
      <c r="AK131" s="229" t="s">
        <v>406</v>
      </c>
      <c r="AL131" s="229">
        <v>5</v>
      </c>
      <c r="AM131" s="229">
        <v>5</v>
      </c>
      <c r="AN131" s="229">
        <v>5</v>
      </c>
      <c r="AQ131" s="245" t="str">
        <f t="shared" si="5"/>
        <v>Tra_EV_Batt-NCA_fromrecy</v>
      </c>
      <c r="AR131" s="246">
        <v>0.001</v>
      </c>
      <c r="AS131" s="246">
        <v>0.001</v>
      </c>
      <c r="AT131" s="246">
        <v>5</v>
      </c>
    </row>
    <row r="132" ht="13" spans="2:46">
      <c r="B132" s="229" t="s">
        <v>410</v>
      </c>
      <c r="C132" s="230" t="s">
        <v>409</v>
      </c>
      <c r="D132" s="229" cm="1">
        <f t="array" ref="D132">D148-SUMPRODUCT(J144:P144,J156:P156)</f>
        <v>95.4086</v>
      </c>
      <c r="E132" s="229" cm="1">
        <f t="array" ref="E132">E148-SUMPRODUCT(J144:P144,J156:P156)</f>
        <v>66.32565</v>
      </c>
      <c r="F132" s="229" cm="1">
        <f t="array" ref="F132">F148-SUMPRODUCT(J144:P144,J156:P156)</f>
        <v>126.26355</v>
      </c>
      <c r="H132" s="216">
        <f t="shared" si="6"/>
        <v>0.2</v>
      </c>
      <c r="I132" s="235" t="s">
        <v>413</v>
      </c>
      <c r="J132" s="255">
        <v>21.35</v>
      </c>
      <c r="K132" s="255">
        <v>16.59</v>
      </c>
      <c r="L132" s="255">
        <v>12.62</v>
      </c>
      <c r="M132" s="256">
        <v>22.07</v>
      </c>
      <c r="N132" s="256">
        <v>17.16</v>
      </c>
      <c r="O132" s="256">
        <v>13.05</v>
      </c>
      <c r="P132" s="255">
        <v>23.72</v>
      </c>
      <c r="Q132" s="255">
        <v>18.45</v>
      </c>
      <c r="R132" s="255">
        <v>14.04</v>
      </c>
      <c r="S132" s="216"/>
      <c r="T132" s="258">
        <f t="shared" si="4"/>
        <v>17.4266666666667</v>
      </c>
      <c r="U132" s="216"/>
      <c r="AA132" s="229" t="s">
        <v>410</v>
      </c>
      <c r="AB132" s="229">
        <v>2050</v>
      </c>
      <c r="AC132" s="229" t="s">
        <v>409</v>
      </c>
      <c r="AD132" s="229">
        <f t="shared" ref="AD132:AF132" si="8">D132*0.313</f>
        <v>29.8628918</v>
      </c>
      <c r="AE132" s="229">
        <f t="shared" si="8"/>
        <v>20.75992845</v>
      </c>
      <c r="AF132" s="229">
        <f t="shared" si="8"/>
        <v>39.52049115</v>
      </c>
      <c r="AG132" s="197"/>
      <c r="AH132" s="197"/>
      <c r="AI132" s="229" t="s">
        <v>410</v>
      </c>
      <c r="AJ132" s="229">
        <v>0</v>
      </c>
      <c r="AK132" s="229" t="s">
        <v>409</v>
      </c>
      <c r="AL132" s="229">
        <v>5</v>
      </c>
      <c r="AM132" s="229">
        <v>5</v>
      </c>
      <c r="AN132" s="229">
        <v>5</v>
      </c>
      <c r="AQ132" s="245" t="str">
        <f t="shared" si="5"/>
        <v>Tra_EV_Batt-NMC 111_fromrecy</v>
      </c>
      <c r="AR132" s="246">
        <v>0.001</v>
      </c>
      <c r="AS132" s="246">
        <v>0.001</v>
      </c>
      <c r="AT132" s="246">
        <v>5</v>
      </c>
    </row>
    <row r="133" ht="13" spans="2:46">
      <c r="B133" s="229" t="s">
        <v>410</v>
      </c>
      <c r="C133" s="230" t="s">
        <v>412</v>
      </c>
      <c r="D133" s="229" cm="1">
        <f t="array" ref="D133">D149-SUMPRODUCT(J145:P145,J157:P157)</f>
        <v>85.3476966666666</v>
      </c>
      <c r="E133" s="229" cm="1">
        <f t="array" ref="E133">E149-SUMPRODUCT(J145:P145,J157:P157)</f>
        <v>56.10147</v>
      </c>
      <c r="F133" s="229" cm="1">
        <f t="array" ref="F133">F149-SUMPRODUCT(J145:P145,J157:P157)</f>
        <v>116.32796</v>
      </c>
      <c r="H133" s="216">
        <f t="shared" si="6"/>
        <v>0.2</v>
      </c>
      <c r="I133" s="235" t="s">
        <v>241</v>
      </c>
      <c r="J133" s="255">
        <v>26.64</v>
      </c>
      <c r="K133" s="255">
        <v>20.72</v>
      </c>
      <c r="L133" s="255">
        <v>15.77</v>
      </c>
      <c r="M133" s="256">
        <v>27.52</v>
      </c>
      <c r="N133" s="256">
        <v>21.42</v>
      </c>
      <c r="O133" s="256">
        <v>16.29</v>
      </c>
      <c r="P133" s="255">
        <v>29.54</v>
      </c>
      <c r="Q133" s="255">
        <v>22.99</v>
      </c>
      <c r="R133" s="255">
        <v>17.49</v>
      </c>
      <c r="S133" s="216"/>
      <c r="T133" s="258">
        <f t="shared" si="4"/>
        <v>21.7433333333333</v>
      </c>
      <c r="U133" s="216"/>
      <c r="AA133" s="229" t="s">
        <v>410</v>
      </c>
      <c r="AB133" s="229">
        <v>2050</v>
      </c>
      <c r="AC133" s="229" t="s">
        <v>412</v>
      </c>
      <c r="AD133" s="229">
        <f t="shared" ref="AD133:AF133" si="9">D133*0.313</f>
        <v>26.7138290566667</v>
      </c>
      <c r="AE133" s="229">
        <f t="shared" si="9"/>
        <v>17.55976011</v>
      </c>
      <c r="AF133" s="229">
        <f t="shared" si="9"/>
        <v>36.41065148</v>
      </c>
      <c r="AG133" s="197"/>
      <c r="AH133" s="197"/>
      <c r="AI133" s="229" t="s">
        <v>410</v>
      </c>
      <c r="AJ133" s="229">
        <v>0</v>
      </c>
      <c r="AK133" s="229" t="s">
        <v>412</v>
      </c>
      <c r="AL133" s="229">
        <v>5</v>
      </c>
      <c r="AM133" s="229">
        <v>5</v>
      </c>
      <c r="AN133" s="229">
        <v>5</v>
      </c>
      <c r="AQ133" s="245" t="str">
        <f t="shared" si="5"/>
        <v>Tra_EV_Batt-NMC532_fromrecy</v>
      </c>
      <c r="AR133" s="246">
        <v>0.001</v>
      </c>
      <c r="AS133" s="246">
        <v>0.001</v>
      </c>
      <c r="AT133" s="246">
        <v>5</v>
      </c>
    </row>
    <row r="134" ht="30" spans="1:46">
      <c r="A134" s="248"/>
      <c r="B134" s="229" t="s">
        <v>410</v>
      </c>
      <c r="C134" s="230" t="s">
        <v>414</v>
      </c>
      <c r="D134" s="229" cm="1">
        <f t="array" ref="D134">D150-SUMPRODUCT(J146:P146,J158:P158)</f>
        <v>85.52157</v>
      </c>
      <c r="E134" s="229" cm="1">
        <f t="array" ref="E134">E150-SUMPRODUCT(J146:P146,J158:P158)</f>
        <v>55.55951</v>
      </c>
      <c r="F134" s="229" cm="1">
        <f t="array" ref="F134">F150-SUMPRODUCT(J146:P146,J158:P158)</f>
        <v>117.30431</v>
      </c>
      <c r="H134" s="216">
        <f t="shared" si="6"/>
        <v>0.2</v>
      </c>
      <c r="I134" s="235" t="s">
        <v>247</v>
      </c>
      <c r="J134" s="255">
        <v>24.65</v>
      </c>
      <c r="K134" s="255">
        <v>19.18</v>
      </c>
      <c r="L134" s="255">
        <v>14.59</v>
      </c>
      <c r="M134" s="256">
        <v>25.48</v>
      </c>
      <c r="N134" s="256">
        <v>19.82</v>
      </c>
      <c r="O134" s="256">
        <v>15.08</v>
      </c>
      <c r="P134" s="255">
        <v>27.36</v>
      </c>
      <c r="Q134" s="255">
        <v>21.29</v>
      </c>
      <c r="R134" s="255">
        <v>16.2</v>
      </c>
      <c r="S134" s="216"/>
      <c r="T134" s="258">
        <f t="shared" si="4"/>
        <v>20.1266666666667</v>
      </c>
      <c r="U134" s="216"/>
      <c r="AA134" s="229" t="s">
        <v>410</v>
      </c>
      <c r="AB134" s="229">
        <v>2050</v>
      </c>
      <c r="AC134" s="229" t="s">
        <v>414</v>
      </c>
      <c r="AD134" s="229">
        <f t="shared" ref="AD134:AF134" si="10">D134*0.313</f>
        <v>26.76825141</v>
      </c>
      <c r="AE134" s="229">
        <f t="shared" si="10"/>
        <v>17.39012663</v>
      </c>
      <c r="AF134" s="229">
        <f t="shared" si="10"/>
        <v>36.71624903</v>
      </c>
      <c r="AG134" s="197"/>
      <c r="AH134" s="197"/>
      <c r="AI134" s="229" t="s">
        <v>410</v>
      </c>
      <c r="AJ134" s="229">
        <v>0</v>
      </c>
      <c r="AK134" s="229" t="s">
        <v>414</v>
      </c>
      <c r="AL134" s="229">
        <v>5</v>
      </c>
      <c r="AM134" s="229">
        <v>5</v>
      </c>
      <c r="AN134" s="229">
        <v>5</v>
      </c>
      <c r="AQ134" s="245" t="str">
        <f t="shared" si="5"/>
        <v>Tra_EV_Batt-NMC 622_fromrecy</v>
      </c>
      <c r="AR134" s="246">
        <v>0.001</v>
      </c>
      <c r="AS134" s="246">
        <v>0.001</v>
      </c>
      <c r="AT134" s="246">
        <v>5</v>
      </c>
    </row>
    <row r="135" ht="13" spans="2:46">
      <c r="B135" s="229" t="s">
        <v>410</v>
      </c>
      <c r="C135" s="230" t="s">
        <v>415</v>
      </c>
      <c r="D135" s="229" cm="1">
        <f t="array" ref="D135">D151-SUMPRODUCT(J147:P147,J159:P159)</f>
        <v>90.0929166666666</v>
      </c>
      <c r="E135" s="229" cm="1">
        <f t="array" ref="E135">E151-SUMPRODUCT(J147:P147,J159:P159)</f>
        <v>59.3677</v>
      </c>
      <c r="F135" s="229" cm="1">
        <f t="array" ref="F135">F151-SUMPRODUCT(J147:P147,J159:P159)</f>
        <v>122.66905</v>
      </c>
      <c r="H135" s="216">
        <f t="shared" si="6"/>
        <v>0.2</v>
      </c>
      <c r="I135" s="235" t="s">
        <v>254</v>
      </c>
      <c r="J135" s="255">
        <v>25.67</v>
      </c>
      <c r="K135" s="255">
        <v>19.97</v>
      </c>
      <c r="L135" s="255">
        <v>15.19</v>
      </c>
      <c r="M135" s="256">
        <v>26.53</v>
      </c>
      <c r="N135" s="256">
        <v>20.64</v>
      </c>
      <c r="O135" s="256">
        <v>15.7</v>
      </c>
      <c r="P135" s="255">
        <v>28.48</v>
      </c>
      <c r="Q135" s="255">
        <v>22.17</v>
      </c>
      <c r="R135" s="255">
        <v>16.86</v>
      </c>
      <c r="S135" s="216"/>
      <c r="T135" s="258">
        <f t="shared" si="4"/>
        <v>20.9566666666667</v>
      </c>
      <c r="U135" s="216"/>
      <c r="AA135" s="229" t="s">
        <v>410</v>
      </c>
      <c r="AB135" s="229">
        <v>2050</v>
      </c>
      <c r="AC135" s="229" t="s">
        <v>415</v>
      </c>
      <c r="AD135" s="229">
        <f t="shared" ref="AD135:AF135" si="11">D135*0.313</f>
        <v>28.1990829166667</v>
      </c>
      <c r="AE135" s="229">
        <f t="shared" si="11"/>
        <v>18.5820901</v>
      </c>
      <c r="AF135" s="229">
        <f t="shared" si="11"/>
        <v>38.39541265</v>
      </c>
      <c r="AG135" s="197"/>
      <c r="AH135" s="197"/>
      <c r="AI135" s="229" t="s">
        <v>410</v>
      </c>
      <c r="AJ135" s="229">
        <v>0</v>
      </c>
      <c r="AK135" s="229" t="s">
        <v>415</v>
      </c>
      <c r="AL135" s="229">
        <v>5</v>
      </c>
      <c r="AM135" s="229">
        <v>5</v>
      </c>
      <c r="AN135" s="229">
        <v>5</v>
      </c>
      <c r="AQ135" s="245" t="str">
        <f t="shared" si="5"/>
        <v>Tra_EV_Batt-NMC 811_fromrecy</v>
      </c>
      <c r="AR135" s="246">
        <v>0.001</v>
      </c>
      <c r="AS135" s="246">
        <v>0.001</v>
      </c>
      <c r="AT135" s="246">
        <v>5</v>
      </c>
    </row>
    <row r="136" ht="25" spans="1:46">
      <c r="A136" s="249"/>
      <c r="B136" s="229" t="s">
        <v>410</v>
      </c>
      <c r="C136" s="230" t="s">
        <v>416</v>
      </c>
      <c r="D136" s="229" cm="1">
        <f t="array" ref="D136">D152-SUMPRODUCT(J148:P148,J160:P160)</f>
        <v>86.9222166666667</v>
      </c>
      <c r="E136" s="229" cm="1">
        <f t="array" ref="E136">E152-SUMPRODUCT(J148:P148,J160:P160)</f>
        <v>57.33755</v>
      </c>
      <c r="F136" s="229" cm="1">
        <f t="array" ref="F136">F152-SUMPRODUCT(J148:P148,J160:P160)</f>
        <v>118.2723</v>
      </c>
      <c r="H136" s="216">
        <f t="shared" si="6"/>
        <v>0.2</v>
      </c>
      <c r="I136" s="235" t="s">
        <v>261</v>
      </c>
      <c r="J136" s="255">
        <v>25.92</v>
      </c>
      <c r="K136" s="255">
        <v>20.16</v>
      </c>
      <c r="L136" s="255">
        <v>15.34</v>
      </c>
      <c r="M136" s="256">
        <v>26.78</v>
      </c>
      <c r="N136" s="256">
        <v>20.84</v>
      </c>
      <c r="O136" s="256">
        <v>15.85</v>
      </c>
      <c r="P136" s="255">
        <v>28.75</v>
      </c>
      <c r="Q136" s="255">
        <v>22.38</v>
      </c>
      <c r="R136" s="255">
        <v>17.02</v>
      </c>
      <c r="S136" s="216"/>
      <c r="T136" s="258">
        <f t="shared" si="4"/>
        <v>21.1566666666667</v>
      </c>
      <c r="U136" s="216"/>
      <c r="AA136" s="229" t="s">
        <v>410</v>
      </c>
      <c r="AB136" s="229">
        <v>2050</v>
      </c>
      <c r="AC136" s="229" t="s">
        <v>416</v>
      </c>
      <c r="AD136" s="229">
        <f t="shared" ref="AD136:AF136" si="12">D136*0.313</f>
        <v>27.2066538166667</v>
      </c>
      <c r="AE136" s="229">
        <f t="shared" si="12"/>
        <v>17.94665315</v>
      </c>
      <c r="AF136" s="229">
        <f t="shared" si="12"/>
        <v>37.0192299</v>
      </c>
      <c r="AG136" s="197"/>
      <c r="AH136" s="197"/>
      <c r="AI136" s="229" t="s">
        <v>410</v>
      </c>
      <c r="AJ136" s="229">
        <v>0</v>
      </c>
      <c r="AK136" s="229" t="s">
        <v>416</v>
      </c>
      <c r="AL136" s="229">
        <v>5</v>
      </c>
      <c r="AM136" s="229">
        <v>5</v>
      </c>
      <c r="AN136" s="229">
        <v>5</v>
      </c>
      <c r="AQ136" s="197"/>
      <c r="AR136" s="197"/>
      <c r="AS136" s="197"/>
      <c r="AT136" s="197"/>
    </row>
    <row r="137" ht="13" spans="2:46">
      <c r="B137" s="229" t="s">
        <v>410</v>
      </c>
      <c r="C137" s="230" t="s">
        <v>417</v>
      </c>
      <c r="D137" s="229" cm="1">
        <f t="array" ref="D137">D153-SUMPRODUCT(J149:P149,J161:P161)</f>
        <v>89.5526666666667</v>
      </c>
      <c r="E137" s="229" cm="1">
        <f t="array" ref="E137">E153-SUMPRODUCT(J149:P149,J161:P161)</f>
        <v>59.98948</v>
      </c>
      <c r="F137" s="229" cm="1">
        <f t="array" ref="F137">F153-SUMPRODUCT(J149:P149,J161:P161)</f>
        <v>120.87452</v>
      </c>
      <c r="H137" s="216">
        <f t="shared" si="6"/>
        <v>0.2</v>
      </c>
      <c r="I137" s="235" t="s">
        <v>269</v>
      </c>
      <c r="J137" s="255">
        <v>27.36</v>
      </c>
      <c r="K137" s="255">
        <v>21.29</v>
      </c>
      <c r="L137" s="255">
        <v>16.19</v>
      </c>
      <c r="M137" s="256">
        <v>28.27</v>
      </c>
      <c r="N137" s="256">
        <v>22</v>
      </c>
      <c r="O137" s="256">
        <v>16.73</v>
      </c>
      <c r="P137" s="255">
        <v>30.33</v>
      </c>
      <c r="Q137" s="255">
        <v>23.61</v>
      </c>
      <c r="R137" s="255">
        <v>17.96</v>
      </c>
      <c r="S137" s="216"/>
      <c r="T137" s="258">
        <f t="shared" si="4"/>
        <v>22.3333333333333</v>
      </c>
      <c r="U137" s="216"/>
      <c r="AA137" s="229" t="s">
        <v>410</v>
      </c>
      <c r="AB137" s="229">
        <v>2050</v>
      </c>
      <c r="AC137" s="229" t="s">
        <v>417</v>
      </c>
      <c r="AD137" s="229">
        <f t="shared" ref="AD137:AF137" si="13">D137*0.313</f>
        <v>28.0299846666667</v>
      </c>
      <c r="AE137" s="229">
        <f t="shared" si="13"/>
        <v>18.77670724</v>
      </c>
      <c r="AF137" s="229">
        <f t="shared" si="13"/>
        <v>37.83372476</v>
      </c>
      <c r="AG137" s="197"/>
      <c r="AH137" s="197"/>
      <c r="AI137" s="229" t="s">
        <v>410</v>
      </c>
      <c r="AJ137" s="229">
        <v>0</v>
      </c>
      <c r="AK137" s="229" t="s">
        <v>417</v>
      </c>
      <c r="AL137" s="229">
        <v>5</v>
      </c>
      <c r="AM137" s="229">
        <v>5</v>
      </c>
      <c r="AN137" s="229">
        <v>5</v>
      </c>
      <c r="AQ137" s="197"/>
      <c r="AR137" s="197"/>
      <c r="AS137" s="197"/>
      <c r="AT137" s="197"/>
    </row>
    <row r="138" spans="2:46">
      <c r="B138" s="229" t="s">
        <v>410</v>
      </c>
      <c r="C138" s="229" t="s">
        <v>347</v>
      </c>
      <c r="D138" s="229">
        <f t="shared" ref="D138:D144" si="14">C230*5</f>
        <v>17.8278133136821</v>
      </c>
      <c r="E138" s="229">
        <f t="shared" ref="E138:E144" si="15">D230*5</f>
        <v>13.5373021370671</v>
      </c>
      <c r="F138" s="229">
        <f t="shared" ref="F138:F144" si="16">E230*5</f>
        <v>22.1922988209285</v>
      </c>
      <c r="H138" s="216"/>
      <c r="I138" s="216"/>
      <c r="J138" s="216"/>
      <c r="K138" s="216"/>
      <c r="L138" s="216"/>
      <c r="M138" s="216"/>
      <c r="N138" s="216"/>
      <c r="O138" s="216"/>
      <c r="P138" s="216"/>
      <c r="Q138" s="216"/>
      <c r="R138" s="216"/>
      <c r="S138" s="216"/>
      <c r="T138" s="216"/>
      <c r="U138" s="216"/>
      <c r="AA138" s="229" t="s">
        <v>410</v>
      </c>
      <c r="AB138" s="229">
        <v>2050</v>
      </c>
      <c r="AC138" s="229" t="s">
        <v>347</v>
      </c>
      <c r="AD138" s="229">
        <f t="shared" ref="AD138:AF138" si="17">D138*0.313</f>
        <v>5.58010556718251</v>
      </c>
      <c r="AE138" s="229">
        <f t="shared" si="17"/>
        <v>4.23717556890199</v>
      </c>
      <c r="AF138" s="229">
        <f t="shared" si="17"/>
        <v>6.94618953095062</v>
      </c>
      <c r="AG138" s="197"/>
      <c r="AH138" s="197"/>
      <c r="AI138" s="229" t="s">
        <v>410</v>
      </c>
      <c r="AJ138" s="229">
        <v>0</v>
      </c>
      <c r="AK138" s="229" t="s">
        <v>347</v>
      </c>
      <c r="AL138" s="229">
        <v>5</v>
      </c>
      <c r="AM138" s="229">
        <v>5</v>
      </c>
      <c r="AN138" s="229">
        <v>5</v>
      </c>
      <c r="AQ138" s="197"/>
      <c r="AR138" s="197"/>
      <c r="AS138" s="197"/>
      <c r="AT138" s="197"/>
    </row>
    <row r="139" spans="2:46">
      <c r="B139" s="229" t="s">
        <v>410</v>
      </c>
      <c r="C139" s="229" t="s">
        <v>348</v>
      </c>
      <c r="D139" s="229">
        <f t="shared" si="14"/>
        <v>18.0043854089904</v>
      </c>
      <c r="E139" s="229">
        <f t="shared" si="15"/>
        <v>13.6713798820928</v>
      </c>
      <c r="F139" s="229">
        <f t="shared" si="16"/>
        <v>22.4120980103169</v>
      </c>
      <c r="H139" s="216"/>
      <c r="I139" s="216"/>
      <c r="J139" s="216"/>
      <c r="K139" s="216"/>
      <c r="L139" s="216"/>
      <c r="M139" s="216"/>
      <c r="N139" s="216"/>
      <c r="O139" s="216"/>
      <c r="P139" s="216"/>
      <c r="Q139" s="216"/>
      <c r="R139" s="216"/>
      <c r="S139" s="216"/>
      <c r="T139" s="216"/>
      <c r="U139" s="216"/>
      <c r="AA139" s="229" t="s">
        <v>410</v>
      </c>
      <c r="AB139" s="229">
        <v>2050</v>
      </c>
      <c r="AC139" s="229" t="s">
        <v>348</v>
      </c>
      <c r="AD139" s="229">
        <f t="shared" ref="AD139:AF139" si="18">D139*0.313</f>
        <v>5.63537263301401</v>
      </c>
      <c r="AE139" s="229">
        <f t="shared" si="18"/>
        <v>4.27914190309506</v>
      </c>
      <c r="AF139" s="229">
        <f t="shared" si="18"/>
        <v>7.01498667722919</v>
      </c>
      <c r="AG139" s="197"/>
      <c r="AH139" s="197"/>
      <c r="AI139" s="229" t="s">
        <v>410</v>
      </c>
      <c r="AJ139" s="229">
        <v>0</v>
      </c>
      <c r="AK139" s="229" t="s">
        <v>348</v>
      </c>
      <c r="AL139" s="229">
        <v>5</v>
      </c>
      <c r="AM139" s="229">
        <v>5</v>
      </c>
      <c r="AN139" s="229">
        <v>5</v>
      </c>
      <c r="AQ139" s="197"/>
      <c r="AR139" s="197"/>
      <c r="AS139" s="197"/>
      <c r="AT139" s="197"/>
    </row>
    <row r="140" ht="21" spans="2:46">
      <c r="B140" s="229" t="s">
        <v>410</v>
      </c>
      <c r="C140" s="229" t="s">
        <v>349</v>
      </c>
      <c r="D140" s="229">
        <f t="shared" si="14"/>
        <v>17.8278133136821</v>
      </c>
      <c r="E140" s="229">
        <f t="shared" si="15"/>
        <v>13.5373021370671</v>
      </c>
      <c r="F140" s="229">
        <f t="shared" si="16"/>
        <v>22.1922988209285</v>
      </c>
      <c r="H140" s="216"/>
      <c r="I140" s="216"/>
      <c r="J140" s="257" t="s">
        <v>418</v>
      </c>
      <c r="K140" s="257"/>
      <c r="L140" s="257"/>
      <c r="M140" s="257"/>
      <c r="N140" s="257"/>
      <c r="O140" s="257"/>
      <c r="P140" s="257"/>
      <c r="Q140" s="257"/>
      <c r="R140" s="257"/>
      <c r="S140" s="216"/>
      <c r="T140" s="216"/>
      <c r="U140" s="216"/>
      <c r="AA140" s="229" t="s">
        <v>410</v>
      </c>
      <c r="AB140" s="229">
        <v>2050</v>
      </c>
      <c r="AC140" s="229" t="s">
        <v>349</v>
      </c>
      <c r="AD140" s="229">
        <f t="shared" ref="AD140:AF140" si="19">D140*0.313</f>
        <v>5.58010556718251</v>
      </c>
      <c r="AE140" s="229">
        <f t="shared" si="19"/>
        <v>4.23717556890199</v>
      </c>
      <c r="AF140" s="229">
        <f t="shared" si="19"/>
        <v>6.94618953095062</v>
      </c>
      <c r="AG140" s="197"/>
      <c r="AH140" s="197"/>
      <c r="AI140" s="229" t="s">
        <v>410</v>
      </c>
      <c r="AJ140" s="229">
        <v>0</v>
      </c>
      <c r="AK140" s="229" t="s">
        <v>349</v>
      </c>
      <c r="AL140" s="229">
        <v>5</v>
      </c>
      <c r="AM140" s="229">
        <v>5</v>
      </c>
      <c r="AN140" s="229">
        <v>5</v>
      </c>
      <c r="AQ140" s="197"/>
      <c r="AR140" s="197"/>
      <c r="AS140" s="197"/>
      <c r="AT140" s="197"/>
    </row>
    <row r="141" ht="13" spans="2:46">
      <c r="B141" s="229" t="s">
        <v>410</v>
      </c>
      <c r="C141" s="229" t="s">
        <v>350</v>
      </c>
      <c r="D141" s="229">
        <f t="shared" si="14"/>
        <v>17.8322684844019</v>
      </c>
      <c r="E141" s="229">
        <f t="shared" si="15"/>
        <v>13.5406853352985</v>
      </c>
      <c r="F141" s="229">
        <f t="shared" si="16"/>
        <v>22.1978445099484</v>
      </c>
      <c r="H141" s="216"/>
      <c r="I141" s="216" t="s">
        <v>220</v>
      </c>
      <c r="J141" s="216" t="s">
        <v>213</v>
      </c>
      <c r="K141" s="216" t="s">
        <v>221</v>
      </c>
      <c r="L141" s="216" t="s">
        <v>222</v>
      </c>
      <c r="M141" s="216" t="s">
        <v>223</v>
      </c>
      <c r="N141" s="216" t="s">
        <v>224</v>
      </c>
      <c r="O141" s="216" t="s">
        <v>225</v>
      </c>
      <c r="P141" s="216" t="s">
        <v>226</v>
      </c>
      <c r="Q141" s="216"/>
      <c r="R141" s="259" t="s">
        <v>419</v>
      </c>
      <c r="S141" s="216"/>
      <c r="T141" s="216"/>
      <c r="U141" s="216"/>
      <c r="AA141" s="229" t="s">
        <v>410</v>
      </c>
      <c r="AB141" s="229">
        <v>2050</v>
      </c>
      <c r="AC141" s="229" t="s">
        <v>350</v>
      </c>
      <c r="AD141" s="229">
        <f t="shared" ref="AD141:AF141" si="20">D141*0.313</f>
        <v>5.58150003561778</v>
      </c>
      <c r="AE141" s="229">
        <f t="shared" si="20"/>
        <v>4.23823450994842</v>
      </c>
      <c r="AF141" s="229">
        <f t="shared" si="20"/>
        <v>6.94792533161385</v>
      </c>
      <c r="AG141" s="197"/>
      <c r="AH141" s="197"/>
      <c r="AI141" s="229" t="s">
        <v>410</v>
      </c>
      <c r="AJ141" s="229">
        <v>0</v>
      </c>
      <c r="AK141" s="229" t="s">
        <v>350</v>
      </c>
      <c r="AL141" s="229">
        <v>5</v>
      </c>
      <c r="AM141" s="229">
        <v>5</v>
      </c>
      <c r="AN141" s="229">
        <v>5</v>
      </c>
      <c r="AQ141" s="197"/>
      <c r="AR141" s="197"/>
      <c r="AS141" s="197"/>
      <c r="AT141" s="197"/>
    </row>
    <row r="142" ht="13" spans="2:46">
      <c r="B142" s="229" t="s">
        <v>410</v>
      </c>
      <c r="C142" s="229" t="s">
        <v>351</v>
      </c>
      <c r="D142" s="229">
        <f t="shared" si="14"/>
        <v>17.8292980840088</v>
      </c>
      <c r="E142" s="229">
        <f t="shared" si="15"/>
        <v>13.5384296241709</v>
      </c>
      <c r="F142" s="229">
        <f t="shared" si="16"/>
        <v>22.1941470154753</v>
      </c>
      <c r="H142" s="216"/>
      <c r="I142" s="216" t="s">
        <v>407</v>
      </c>
      <c r="J142" s="216"/>
      <c r="K142" s="216"/>
      <c r="L142" s="216"/>
      <c r="M142" s="216"/>
      <c r="N142" s="216"/>
      <c r="O142" s="216"/>
      <c r="P142" s="216"/>
      <c r="Q142" s="216"/>
      <c r="R142" s="259"/>
      <c r="S142" s="216"/>
      <c r="T142" s="216"/>
      <c r="U142" s="216"/>
      <c r="AA142" s="229" t="s">
        <v>410</v>
      </c>
      <c r="AB142" s="229">
        <v>2050</v>
      </c>
      <c r="AC142" s="229" t="s">
        <v>351</v>
      </c>
      <c r="AD142" s="229">
        <f t="shared" ref="AD142:AF142" si="21">D142*0.313</f>
        <v>5.58057030029476</v>
      </c>
      <c r="AE142" s="229">
        <f t="shared" si="21"/>
        <v>4.23752847236551</v>
      </c>
      <c r="AF142" s="229">
        <f t="shared" si="21"/>
        <v>6.94676801584377</v>
      </c>
      <c r="AG142" s="197"/>
      <c r="AH142" s="197"/>
      <c r="AI142" s="229" t="s">
        <v>410</v>
      </c>
      <c r="AJ142" s="229">
        <v>0</v>
      </c>
      <c r="AK142" s="229" t="s">
        <v>351</v>
      </c>
      <c r="AL142" s="229">
        <v>5</v>
      </c>
      <c r="AM142" s="229">
        <v>5</v>
      </c>
      <c r="AN142" s="229">
        <v>5</v>
      </c>
      <c r="AQ142" s="197"/>
      <c r="AR142" s="197"/>
      <c r="AS142" s="197"/>
      <c r="AT142" s="197"/>
    </row>
    <row r="143" ht="13" spans="2:46">
      <c r="B143" s="229" t="s">
        <v>410</v>
      </c>
      <c r="C143" s="229" t="s">
        <v>352</v>
      </c>
      <c r="D143" s="229">
        <f t="shared" si="14"/>
        <v>17.8278133136821</v>
      </c>
      <c r="E143" s="229">
        <f t="shared" si="15"/>
        <v>13.5373021370671</v>
      </c>
      <c r="F143" s="229">
        <f t="shared" si="16"/>
        <v>22.1922988209285</v>
      </c>
      <c r="H143" s="216"/>
      <c r="I143" s="216" t="s">
        <v>406</v>
      </c>
      <c r="J143" s="216">
        <v>0.095</v>
      </c>
      <c r="K143" s="216">
        <v>0</v>
      </c>
      <c r="L143" s="216">
        <v>0</v>
      </c>
      <c r="M143" s="216">
        <v>0</v>
      </c>
      <c r="N143" s="216">
        <v>3.528</v>
      </c>
      <c r="O143" s="216">
        <v>0.946</v>
      </c>
      <c r="P143" s="216">
        <v>1.085</v>
      </c>
      <c r="Q143" s="216"/>
      <c r="R143" s="259">
        <f t="shared" ref="R143:R149" si="22">SUM(J143:P143)</f>
        <v>5.654</v>
      </c>
      <c r="S143" s="216"/>
      <c r="T143" s="216"/>
      <c r="U143" s="216"/>
      <c r="AA143" s="229" t="s">
        <v>410</v>
      </c>
      <c r="AB143" s="229">
        <v>2050</v>
      </c>
      <c r="AC143" s="229" t="s">
        <v>352</v>
      </c>
      <c r="AD143" s="229">
        <f t="shared" ref="AD143:AF143" si="23">D143*0.313</f>
        <v>5.58010556718251</v>
      </c>
      <c r="AE143" s="229">
        <f t="shared" si="23"/>
        <v>4.23717556890199</v>
      </c>
      <c r="AF143" s="229">
        <f t="shared" si="23"/>
        <v>6.94618953095062</v>
      </c>
      <c r="AG143" s="197"/>
      <c r="AH143" s="197"/>
      <c r="AI143" s="229" t="s">
        <v>410</v>
      </c>
      <c r="AJ143" s="229">
        <v>0</v>
      </c>
      <c r="AK143" s="229" t="s">
        <v>352</v>
      </c>
      <c r="AL143" s="229">
        <v>5</v>
      </c>
      <c r="AM143" s="229">
        <v>5</v>
      </c>
      <c r="AN143" s="229">
        <v>5</v>
      </c>
      <c r="AQ143" s="197"/>
      <c r="AR143" s="197"/>
      <c r="AS143" s="197"/>
      <c r="AT143" s="197"/>
    </row>
    <row r="144" ht="13" spans="2:46">
      <c r="B144" s="229" t="s">
        <v>410</v>
      </c>
      <c r="C144" s="229" t="s">
        <v>353</v>
      </c>
      <c r="D144" s="229">
        <f t="shared" si="14"/>
        <v>17.8248445099484</v>
      </c>
      <c r="E144" s="229">
        <f t="shared" si="15"/>
        <v>13.5350478997789</v>
      </c>
      <c r="F144" s="229">
        <f t="shared" si="16"/>
        <v>22.1886031687546</v>
      </c>
      <c r="H144" s="216"/>
      <c r="I144" s="216" t="s">
        <v>409</v>
      </c>
      <c r="J144" s="216">
        <v>0.106</v>
      </c>
      <c r="K144" s="216">
        <v>0</v>
      </c>
      <c r="L144" s="216">
        <v>0</v>
      </c>
      <c r="M144" s="216">
        <v>1.396</v>
      </c>
      <c r="N144" s="216">
        <v>3.369</v>
      </c>
      <c r="O144" s="216">
        <v>0.863</v>
      </c>
      <c r="P144" s="216">
        <v>0.911</v>
      </c>
      <c r="Q144" s="216"/>
      <c r="R144" s="259">
        <f t="shared" si="22"/>
        <v>6.645</v>
      </c>
      <c r="S144" s="216"/>
      <c r="T144" s="216"/>
      <c r="U144" s="216"/>
      <c r="AA144" s="229" t="s">
        <v>410</v>
      </c>
      <c r="AB144" s="229">
        <v>2050</v>
      </c>
      <c r="AC144" s="229" t="s">
        <v>353</v>
      </c>
      <c r="AD144" s="229">
        <f t="shared" ref="AD144:AF144" si="24">D144*0.313</f>
        <v>5.57917633161385</v>
      </c>
      <c r="AE144" s="229">
        <f t="shared" si="24"/>
        <v>4.2364699926308</v>
      </c>
      <c r="AF144" s="229">
        <f t="shared" si="24"/>
        <v>6.94503279182019</v>
      </c>
      <c r="AG144" s="197"/>
      <c r="AH144" s="197"/>
      <c r="AI144" s="229" t="s">
        <v>410</v>
      </c>
      <c r="AJ144" s="229">
        <v>0</v>
      </c>
      <c r="AK144" s="229" t="s">
        <v>353</v>
      </c>
      <c r="AL144" s="229">
        <v>5</v>
      </c>
      <c r="AM144" s="229">
        <v>5</v>
      </c>
      <c r="AN144" s="229">
        <v>5</v>
      </c>
      <c r="AQ144" s="197"/>
      <c r="AR144" s="197"/>
      <c r="AS144" s="197"/>
      <c r="AT144" s="197"/>
    </row>
    <row r="145" ht="13" spans="2:46">
      <c r="B145" s="229"/>
      <c r="C145" s="229"/>
      <c r="D145" s="229"/>
      <c r="E145" s="229"/>
      <c r="F145" s="229"/>
      <c r="H145" s="216"/>
      <c r="I145" s="216" t="s">
        <v>412</v>
      </c>
      <c r="J145" s="216">
        <v>0.102</v>
      </c>
      <c r="K145" s="216">
        <v>0.672</v>
      </c>
      <c r="L145" s="216">
        <v>0.127</v>
      </c>
      <c r="M145" s="216">
        <v>0</v>
      </c>
      <c r="N145" s="216">
        <v>2.92</v>
      </c>
      <c r="O145" s="216">
        <v>0.564</v>
      </c>
      <c r="P145" s="216">
        <v>0.978</v>
      </c>
      <c r="Q145" s="216"/>
      <c r="R145" s="259">
        <f t="shared" si="22"/>
        <v>5.363</v>
      </c>
      <c r="S145" s="216"/>
      <c r="T145" s="216"/>
      <c r="U145" s="216"/>
      <c r="AG145" s="197"/>
      <c r="AH145" s="197"/>
      <c r="AQ145" s="197"/>
      <c r="AR145" s="197"/>
      <c r="AS145" s="197"/>
      <c r="AT145" s="197"/>
    </row>
    <row r="146" ht="13" spans="2:34">
      <c r="B146" s="229"/>
      <c r="C146" s="229"/>
      <c r="D146" s="229"/>
      <c r="E146" s="229"/>
      <c r="F146" s="229"/>
      <c r="H146" s="216"/>
      <c r="I146" s="216" t="s">
        <v>414</v>
      </c>
      <c r="J146" s="216">
        <v>0.141</v>
      </c>
      <c r="K146" s="216">
        <v>0.351</v>
      </c>
      <c r="L146" s="216">
        <v>0.352</v>
      </c>
      <c r="M146" s="216">
        <v>0.328</v>
      </c>
      <c r="N146" s="216">
        <v>3.11</v>
      </c>
      <c r="O146" s="216">
        <v>0.677</v>
      </c>
      <c r="P146" s="216">
        <v>0.978</v>
      </c>
      <c r="Q146" s="216"/>
      <c r="R146" s="259">
        <f t="shared" si="22"/>
        <v>5.937</v>
      </c>
      <c r="S146" s="216"/>
      <c r="T146" s="216"/>
      <c r="U146" s="216"/>
      <c r="AG146" s="197"/>
      <c r="AH146" s="197"/>
    </row>
    <row r="147" ht="13" spans="2:21">
      <c r="B147" s="229"/>
      <c r="C147" s="229"/>
      <c r="D147" s="230">
        <f t="shared" ref="D147:D153" si="25">T131*R143</f>
        <v>99.0769266666667</v>
      </c>
      <c r="E147" s="250">
        <f t="shared" ref="E147:E153" si="26">O131*R143</f>
        <v>74.18048</v>
      </c>
      <c r="F147" s="251">
        <f t="shared" ref="F147:F153" si="27">M131*R143</f>
        <v>125.5188</v>
      </c>
      <c r="H147" s="216"/>
      <c r="I147" s="216" t="s">
        <v>415</v>
      </c>
      <c r="J147" s="216">
        <v>0.136</v>
      </c>
      <c r="K147" s="216">
        <v>0.508</v>
      </c>
      <c r="L147" s="216">
        <v>0.204</v>
      </c>
      <c r="M147" s="216">
        <v>0.285</v>
      </c>
      <c r="N147" s="216">
        <v>3.07</v>
      </c>
      <c r="O147" s="216">
        <v>0.661</v>
      </c>
      <c r="P147" s="216">
        <v>0.981</v>
      </c>
      <c r="Q147" s="216"/>
      <c r="R147" s="259">
        <f t="shared" si="22"/>
        <v>5.845</v>
      </c>
      <c r="S147" s="216"/>
      <c r="T147" s="216"/>
      <c r="U147" s="216"/>
    </row>
    <row r="148" ht="13" spans="2:21">
      <c r="B148" s="229"/>
      <c r="C148" s="229"/>
      <c r="D148" s="230">
        <f t="shared" si="25"/>
        <v>115.8002</v>
      </c>
      <c r="E148" s="250">
        <f t="shared" si="26"/>
        <v>86.71725</v>
      </c>
      <c r="F148" s="251">
        <f t="shared" si="27"/>
        <v>146.65515</v>
      </c>
      <c r="H148" s="216"/>
      <c r="I148" s="216" t="s">
        <v>416</v>
      </c>
      <c r="J148" s="216">
        <v>0.118</v>
      </c>
      <c r="K148" s="216">
        <v>0.531</v>
      </c>
      <c r="L148" s="216">
        <v>0.178</v>
      </c>
      <c r="M148" s="216">
        <v>0.166</v>
      </c>
      <c r="N148" s="216">
        <v>3.017</v>
      </c>
      <c r="O148" s="216">
        <v>0.605</v>
      </c>
      <c r="P148" s="216">
        <v>0.96</v>
      </c>
      <c r="Q148" s="216"/>
      <c r="R148" s="259">
        <f t="shared" si="22"/>
        <v>5.575</v>
      </c>
      <c r="S148" s="216"/>
      <c r="T148" s="216"/>
      <c r="U148" s="216"/>
    </row>
    <row r="149" ht="13" spans="2:21">
      <c r="B149" s="229"/>
      <c r="C149" s="229"/>
      <c r="D149" s="230">
        <f t="shared" si="25"/>
        <v>116.609496666667</v>
      </c>
      <c r="E149" s="250">
        <f t="shared" si="26"/>
        <v>87.36327</v>
      </c>
      <c r="F149" s="251">
        <f t="shared" si="27"/>
        <v>147.58976</v>
      </c>
      <c r="H149" s="216"/>
      <c r="I149" s="216" t="s">
        <v>417</v>
      </c>
      <c r="J149" s="216">
        <v>0.1</v>
      </c>
      <c r="K149" s="216">
        <v>0.6</v>
      </c>
      <c r="L149" s="216">
        <v>0.075</v>
      </c>
      <c r="M149" s="216">
        <v>0.07</v>
      </c>
      <c r="N149" s="216">
        <v>2.921</v>
      </c>
      <c r="O149" s="216">
        <v>0.549</v>
      </c>
      <c r="P149" s="216">
        <v>0.961</v>
      </c>
      <c r="Q149" s="216"/>
      <c r="R149" s="259">
        <f t="shared" si="22"/>
        <v>5.276</v>
      </c>
      <c r="S149" s="216"/>
      <c r="T149" s="216"/>
      <c r="U149" s="216"/>
    </row>
    <row r="150" ht="14.5" spans="2:6">
      <c r="B150" s="227"/>
      <c r="C150" s="227"/>
      <c r="D150" s="230">
        <f t="shared" si="25"/>
        <v>119.49202</v>
      </c>
      <c r="E150" s="250">
        <f t="shared" si="26"/>
        <v>89.52996</v>
      </c>
      <c r="F150" s="251">
        <f t="shared" si="27"/>
        <v>151.27476</v>
      </c>
    </row>
    <row r="151" customFormat="1" ht="14.5" spans="2:43">
      <c r="B151" s="227"/>
      <c r="C151" s="227"/>
      <c r="D151" s="230">
        <f t="shared" si="25"/>
        <v>122.491716666667</v>
      </c>
      <c r="E151" s="250">
        <f t="shared" si="26"/>
        <v>91.7665</v>
      </c>
      <c r="F151" s="251">
        <f t="shared" si="27"/>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33">
      <c r="B152" s="227"/>
      <c r="C152" s="227"/>
      <c r="D152" s="230">
        <f t="shared" si="25"/>
        <v>117.948416666667</v>
      </c>
      <c r="E152" s="250">
        <f t="shared" si="26"/>
        <v>88.36375</v>
      </c>
      <c r="F152" s="251">
        <f t="shared" si="27"/>
        <v>149.2985</v>
      </c>
      <c r="J152" s="257" t="s">
        <v>420</v>
      </c>
      <c r="K152" s="257"/>
      <c r="L152" s="257"/>
      <c r="M152" s="257"/>
      <c r="N152" s="257"/>
      <c r="O152" s="257"/>
      <c r="P152" s="257"/>
      <c r="Q152" s="257"/>
      <c r="R152" s="257"/>
      <c r="Y152" s="199"/>
      <c r="Z152" s="199"/>
      <c r="AA152" s="199"/>
      <c r="AB152" s="199"/>
      <c r="AC152" s="199"/>
      <c r="AD152" s="199"/>
      <c r="AE152" s="199"/>
      <c r="AF152" s="199"/>
      <c r="AG152" s="199"/>
    </row>
    <row r="153" customFormat="1" ht="14.5" spans="2:33">
      <c r="B153" s="227"/>
      <c r="C153" s="227"/>
      <c r="D153" s="230">
        <f t="shared" si="25"/>
        <v>117.830666666667</v>
      </c>
      <c r="E153" s="250">
        <f t="shared" si="26"/>
        <v>88.26748</v>
      </c>
      <c r="F153" s="251">
        <f t="shared" si="27"/>
        <v>149.15252</v>
      </c>
      <c r="I153" t="s">
        <v>220</v>
      </c>
      <c r="J153" t="s">
        <v>421</v>
      </c>
      <c r="Y153" s="199"/>
      <c r="Z153" s="199"/>
      <c r="AA153" s="199"/>
      <c r="AB153" s="199"/>
      <c r="AC153" s="199"/>
      <c r="AD153" s="199"/>
      <c r="AE153" s="199"/>
      <c r="AF153" s="199"/>
      <c r="AG153" s="199"/>
    </row>
    <row r="154" customFormat="1" ht="14.5" spans="2:43">
      <c r="B154" s="199"/>
      <c r="C154" s="199"/>
      <c r="D154" s="199"/>
      <c r="E154" s="199"/>
      <c r="I154" t="s">
        <v>300</v>
      </c>
      <c r="J154" t="s">
        <v>213</v>
      </c>
      <c r="K154" t="s">
        <v>221</v>
      </c>
      <c r="L154" t="s">
        <v>222</v>
      </c>
      <c r="M154" t="s">
        <v>223</v>
      </c>
      <c r="N154" t="s">
        <v>224</v>
      </c>
      <c r="O154" t="s">
        <v>225</v>
      </c>
      <c r="P154" t="s">
        <v>226</v>
      </c>
      <c r="Y154" s="199"/>
      <c r="Z154" s="199"/>
      <c r="AA154" s="199"/>
      <c r="AB154" s="199"/>
      <c r="AC154" s="199"/>
      <c r="AD154" s="199"/>
      <c r="AE154" s="199"/>
      <c r="AF154" s="199"/>
      <c r="AG154" s="199"/>
      <c r="AH154" s="199"/>
      <c r="AI154" s="199"/>
      <c r="AJ154" s="199"/>
      <c r="AK154" s="199"/>
      <c r="AL154" s="199"/>
      <c r="AM154" s="199"/>
      <c r="AN154" s="199"/>
      <c r="AO154" s="199"/>
      <c r="AP154" s="199"/>
      <c r="AQ154" s="199"/>
    </row>
    <row r="155" customFormat="1" ht="14.5" spans="2:43">
      <c r="B155" s="199"/>
      <c r="C155" s="199"/>
      <c r="D155" s="199"/>
      <c r="E155" s="199"/>
      <c r="I155" t="s">
        <v>301</v>
      </c>
      <c r="J155">
        <v>12.85</v>
      </c>
      <c r="K155">
        <v>20</v>
      </c>
      <c r="L155">
        <v>29.3</v>
      </c>
      <c r="M155">
        <v>2</v>
      </c>
      <c r="N155">
        <v>2.5</v>
      </c>
      <c r="O155">
        <v>8</v>
      </c>
      <c r="P155">
        <v>1</v>
      </c>
      <c r="Y155" s="199"/>
      <c r="Z155" s="199"/>
      <c r="AA155" s="199"/>
      <c r="AB155" s="199"/>
      <c r="AC155" s="199"/>
      <c r="AD155" s="199"/>
      <c r="AE155" s="199"/>
      <c r="AF155" s="199"/>
      <c r="AG155" s="199"/>
      <c r="AH155" s="199"/>
      <c r="AI155" s="199"/>
      <c r="AJ155" s="199"/>
      <c r="AK155" s="199"/>
      <c r="AL155" s="199"/>
      <c r="AM155" s="199"/>
      <c r="AN155" s="199"/>
      <c r="AO155" s="199"/>
      <c r="AP155" s="199"/>
      <c r="AQ155" s="199"/>
    </row>
    <row r="156" customFormat="1" ht="14.5" spans="2:43">
      <c r="B156" s="199"/>
      <c r="C156" s="199"/>
      <c r="D156" s="199"/>
      <c r="E156" s="199"/>
      <c r="J156">
        <f t="shared" ref="J156:P156" si="28">J155</f>
        <v>12.85</v>
      </c>
      <c r="K156">
        <f t="shared" si="28"/>
        <v>20</v>
      </c>
      <c r="L156">
        <f t="shared" si="28"/>
        <v>29.3</v>
      </c>
      <c r="M156">
        <f t="shared" si="28"/>
        <v>2</v>
      </c>
      <c r="N156">
        <f t="shared" si="28"/>
        <v>2.5</v>
      </c>
      <c r="O156">
        <f t="shared" si="28"/>
        <v>8</v>
      </c>
      <c r="P156">
        <f t="shared" si="28"/>
        <v>1</v>
      </c>
      <c r="T156" s="199"/>
      <c r="U156" s="199"/>
      <c r="V156" s="199"/>
      <c r="W156" s="199"/>
      <c r="Y156" s="197"/>
      <c r="Z156" s="205"/>
      <c r="AA156" s="205"/>
      <c r="AB156" s="205"/>
      <c r="AC156" s="205"/>
      <c r="AD156" s="205"/>
      <c r="AE156" s="205"/>
      <c r="AF156" s="205"/>
      <c r="AG156" s="205"/>
      <c r="AH156" s="199"/>
      <c r="AI156" s="261"/>
      <c r="AJ156" s="261"/>
      <c r="AK156" s="261"/>
      <c r="AL156" s="261"/>
      <c r="AM156" s="261"/>
      <c r="AN156" s="261"/>
      <c r="AO156" s="261"/>
      <c r="AP156" s="261"/>
      <c r="AQ156" s="261"/>
    </row>
    <row r="157" customFormat="1" ht="14.5" spans="10:43">
      <c r="J157">
        <f t="shared" ref="J157:P157" si="29">J156</f>
        <v>12.85</v>
      </c>
      <c r="K157">
        <f t="shared" si="29"/>
        <v>20</v>
      </c>
      <c r="L157">
        <f t="shared" si="29"/>
        <v>29.3</v>
      </c>
      <c r="M157">
        <f t="shared" si="29"/>
        <v>2</v>
      </c>
      <c r="N157">
        <f t="shared" si="29"/>
        <v>2.5</v>
      </c>
      <c r="O157">
        <f t="shared" si="29"/>
        <v>8</v>
      </c>
      <c r="P157">
        <f t="shared" si="29"/>
        <v>1</v>
      </c>
      <c r="T157" s="199"/>
      <c r="U157" s="199"/>
      <c r="V157" s="199"/>
      <c r="W157" s="199"/>
      <c r="Y157" s="197"/>
      <c r="Z157" s="205"/>
      <c r="AA157" s="205"/>
      <c r="AB157" s="205"/>
      <c r="AC157" s="205"/>
      <c r="AD157" s="205"/>
      <c r="AE157" s="205"/>
      <c r="AF157" s="205"/>
      <c r="AG157" s="205"/>
      <c r="AH157" s="199"/>
      <c r="AI157" s="261"/>
      <c r="AJ157" s="261"/>
      <c r="AK157" s="261"/>
      <c r="AL157" s="261"/>
      <c r="AM157" s="261"/>
      <c r="AN157" s="261"/>
      <c r="AO157" s="261"/>
      <c r="AP157" s="261"/>
      <c r="AQ157" s="261"/>
    </row>
    <row r="158" customFormat="1" ht="16" spans="10:43">
      <c r="J158">
        <f t="shared" ref="J158:P158" si="30">J157</f>
        <v>12.85</v>
      </c>
      <c r="K158">
        <f t="shared" si="30"/>
        <v>20</v>
      </c>
      <c r="L158">
        <f t="shared" si="30"/>
        <v>29.3</v>
      </c>
      <c r="M158">
        <f t="shared" si="30"/>
        <v>2</v>
      </c>
      <c r="N158">
        <f t="shared" si="30"/>
        <v>2.5</v>
      </c>
      <c r="O158">
        <f t="shared" si="30"/>
        <v>8</v>
      </c>
      <c r="P158">
        <f t="shared" si="30"/>
        <v>1</v>
      </c>
      <c r="T158" s="199"/>
      <c r="U158" s="199"/>
      <c r="V158" s="199"/>
      <c r="W158" s="199"/>
      <c r="Y158" s="197"/>
      <c r="Z158" s="260"/>
      <c r="AA158" s="205"/>
      <c r="AB158" s="205"/>
      <c r="AC158" s="205"/>
      <c r="AD158" s="205"/>
      <c r="AE158" s="205"/>
      <c r="AF158" s="205"/>
      <c r="AG158" s="205"/>
      <c r="AH158" s="199"/>
      <c r="AI158" s="261"/>
      <c r="AJ158" s="261"/>
      <c r="AK158" s="261"/>
      <c r="AL158" s="261"/>
      <c r="AM158" s="261"/>
      <c r="AN158" s="261"/>
      <c r="AO158" s="261"/>
      <c r="AP158" s="261"/>
      <c r="AQ158" s="261"/>
    </row>
    <row r="159" customFormat="1" ht="14.5" spans="10:43">
      <c r="J159">
        <f t="shared" ref="J159:P159" si="31">J158</f>
        <v>12.85</v>
      </c>
      <c r="K159">
        <f t="shared" si="31"/>
        <v>20</v>
      </c>
      <c r="L159">
        <f t="shared" si="31"/>
        <v>29.3</v>
      </c>
      <c r="M159">
        <f t="shared" si="31"/>
        <v>2</v>
      </c>
      <c r="N159">
        <f t="shared" si="31"/>
        <v>2.5</v>
      </c>
      <c r="O159">
        <f t="shared" si="31"/>
        <v>8</v>
      </c>
      <c r="P159">
        <f t="shared" si="31"/>
        <v>1</v>
      </c>
      <c r="T159" s="199"/>
      <c r="U159" s="199"/>
      <c r="V159" s="199"/>
      <c r="W159" s="199"/>
      <c r="Y159" s="197"/>
      <c r="Z159" s="197"/>
      <c r="AA159" s="205"/>
      <c r="AB159" s="205"/>
      <c r="AC159" s="205"/>
      <c r="AD159" s="205"/>
      <c r="AE159" s="205"/>
      <c r="AF159" s="197"/>
      <c r="AG159" s="197"/>
      <c r="AH159" s="199"/>
      <c r="AI159" s="261"/>
      <c r="AJ159" s="261"/>
      <c r="AK159" s="261"/>
      <c r="AL159" s="261"/>
      <c r="AM159" s="261"/>
      <c r="AN159" s="261"/>
      <c r="AO159" s="261"/>
      <c r="AP159" s="261"/>
      <c r="AQ159" s="261"/>
    </row>
    <row r="160" customFormat="1" ht="14.5" spans="2:43">
      <c r="B160" s="245" t="s">
        <v>354</v>
      </c>
      <c r="C160" s="245"/>
      <c r="D160" s="245"/>
      <c r="E160" s="198"/>
      <c r="F160" s="198"/>
      <c r="G160" s="198"/>
      <c r="H160" s="198"/>
      <c r="I160" s="198"/>
      <c r="J160">
        <f t="shared" ref="J160:P160" si="32">J159</f>
        <v>12.85</v>
      </c>
      <c r="K160">
        <f t="shared" si="32"/>
        <v>20</v>
      </c>
      <c r="L160">
        <f t="shared" si="32"/>
        <v>29.3</v>
      </c>
      <c r="M160">
        <f t="shared" si="32"/>
        <v>2</v>
      </c>
      <c r="N160">
        <f t="shared" si="32"/>
        <v>2.5</v>
      </c>
      <c r="O160">
        <f t="shared" si="32"/>
        <v>8</v>
      </c>
      <c r="P160">
        <f t="shared" si="32"/>
        <v>1</v>
      </c>
      <c r="Q160" s="226"/>
      <c r="R160" s="198"/>
      <c r="S160" s="198"/>
      <c r="T160" s="198"/>
      <c r="U160" s="198"/>
      <c r="V160" s="198"/>
      <c r="W160" s="197"/>
      <c r="Y160" s="197"/>
      <c r="Z160" s="197"/>
      <c r="AA160" s="205"/>
      <c r="AB160" s="205"/>
      <c r="AC160" s="205"/>
      <c r="AD160" s="205"/>
      <c r="AE160" s="205"/>
      <c r="AF160" s="197"/>
      <c r="AG160" s="197"/>
      <c r="AH160" s="199"/>
      <c r="AI160" s="261"/>
      <c r="AJ160" s="261"/>
      <c r="AK160" s="261"/>
      <c r="AL160" s="261"/>
      <c r="AM160" s="261"/>
      <c r="AN160" s="261"/>
      <c r="AO160" s="261"/>
      <c r="AP160" s="261"/>
      <c r="AQ160" s="261"/>
    </row>
    <row r="161" customFormat="1" ht="14.5" spans="2:43">
      <c r="B161" s="245" t="s">
        <v>220</v>
      </c>
      <c r="C161" s="245" t="s">
        <v>426</v>
      </c>
      <c r="D161" s="245" t="s">
        <v>427</v>
      </c>
      <c r="E161" s="198"/>
      <c r="F161" s="198"/>
      <c r="G161" s="198"/>
      <c r="H161" s="198"/>
      <c r="I161" s="198"/>
      <c r="J161">
        <f t="shared" ref="J161:P161" si="33">J160</f>
        <v>12.85</v>
      </c>
      <c r="K161">
        <f t="shared" si="33"/>
        <v>20</v>
      </c>
      <c r="L161">
        <f t="shared" si="33"/>
        <v>29.3</v>
      </c>
      <c r="M161">
        <f t="shared" si="33"/>
        <v>2</v>
      </c>
      <c r="N161">
        <f t="shared" si="33"/>
        <v>2.5</v>
      </c>
      <c r="O161">
        <f t="shared" si="33"/>
        <v>8</v>
      </c>
      <c r="P161">
        <f t="shared" si="33"/>
        <v>1</v>
      </c>
      <c r="U161" s="198"/>
      <c r="V161" s="198"/>
      <c r="W161" s="197"/>
      <c r="Y161" s="197"/>
      <c r="Z161" s="197"/>
      <c r="AA161" s="205"/>
      <c r="AB161" s="205"/>
      <c r="AC161" s="205"/>
      <c r="AD161" s="205"/>
      <c r="AE161" s="205"/>
      <c r="AF161" s="197"/>
      <c r="AG161" s="197"/>
      <c r="AH161" s="199"/>
      <c r="AI161" s="261"/>
      <c r="AJ161" s="261"/>
      <c r="AK161" s="261"/>
      <c r="AL161" s="261"/>
      <c r="AM161" s="261"/>
      <c r="AN161" s="261"/>
      <c r="AO161" s="261"/>
      <c r="AP161" s="261"/>
      <c r="AQ161" s="261"/>
    </row>
    <row r="162" customFormat="1" ht="14.5" spans="2:43">
      <c r="B162" s="245" t="str">
        <f>C22</f>
        <v>Tra_EV_Batt-LFP_fromrecy</v>
      </c>
      <c r="C162" s="245" t="s">
        <v>428</v>
      </c>
      <c r="D162" s="245">
        <v>1</v>
      </c>
      <c r="E162" s="198"/>
      <c r="F162" s="198"/>
      <c r="G162" s="198"/>
      <c r="H162" s="198"/>
      <c r="I162" s="198"/>
      <c r="U162" s="198"/>
      <c r="V162" s="198"/>
      <c r="W162" s="197"/>
      <c r="Y162" s="197"/>
      <c r="Z162" s="197"/>
      <c r="AA162" s="205"/>
      <c r="AB162" s="205"/>
      <c r="AC162" s="205"/>
      <c r="AD162" s="205"/>
      <c r="AE162" s="205"/>
      <c r="AF162" s="197"/>
      <c r="AG162" s="197"/>
      <c r="AH162" s="205"/>
      <c r="AI162" s="261"/>
      <c r="AJ162" s="261"/>
      <c r="AK162" s="261"/>
      <c r="AL162" s="261"/>
      <c r="AM162" s="261"/>
      <c r="AN162" s="261"/>
      <c r="AO162" s="261"/>
      <c r="AP162" s="261"/>
      <c r="AQ162" s="261"/>
    </row>
    <row r="163" customFormat="1" ht="14.5" spans="2:43">
      <c r="B163" s="245" t="str">
        <f t="shared" ref="B163:B168" si="34">C23</f>
        <v>Tra_EV_Batt-LMO_fromrecy</v>
      </c>
      <c r="C163" s="245" t="s">
        <v>429</v>
      </c>
      <c r="D163" s="245">
        <v>1</v>
      </c>
      <c r="E163" s="198"/>
      <c r="F163" s="198"/>
      <c r="G163" s="198"/>
      <c r="H163" s="198"/>
      <c r="I163" s="198"/>
      <c r="U163" s="198"/>
      <c r="V163" s="198"/>
      <c r="W163" s="197"/>
      <c r="Y163" s="197"/>
      <c r="Z163" s="197"/>
      <c r="AA163" s="205"/>
      <c r="AB163" s="205"/>
      <c r="AC163" s="205"/>
      <c r="AD163" s="205"/>
      <c r="AE163" s="205"/>
      <c r="AF163" s="197"/>
      <c r="AG163" s="197"/>
      <c r="AH163" s="205"/>
      <c r="AI163" s="261"/>
      <c r="AJ163" s="261"/>
      <c r="AK163" s="261"/>
      <c r="AL163" s="261"/>
      <c r="AM163" s="261"/>
      <c r="AN163" s="261"/>
      <c r="AO163" s="261"/>
      <c r="AP163" s="261"/>
      <c r="AQ163" s="261"/>
    </row>
    <row r="164" customFormat="1" ht="14.5" spans="2:43">
      <c r="B164" s="245" t="str">
        <f t="shared" si="34"/>
        <v>Tra_EV_Batt-NCA_fromrecy</v>
      </c>
      <c r="C164" s="245" t="s">
        <v>430</v>
      </c>
      <c r="D164" s="245">
        <v>1</v>
      </c>
      <c r="E164" s="198"/>
      <c r="F164" s="198"/>
      <c r="G164" s="198"/>
      <c r="H164" s="198"/>
      <c r="I164" s="198"/>
      <c r="U164" s="198"/>
      <c r="V164" s="198"/>
      <c r="W164" s="197"/>
      <c r="Y164" s="197"/>
      <c r="Z164" s="197"/>
      <c r="AA164" s="205"/>
      <c r="AB164" s="205"/>
      <c r="AC164" s="205"/>
      <c r="AD164" s="205"/>
      <c r="AE164" s="205"/>
      <c r="AF164" s="197"/>
      <c r="AG164" s="197"/>
      <c r="AH164" s="205"/>
      <c r="AI164" s="261"/>
      <c r="AJ164" s="261"/>
      <c r="AK164" s="261"/>
      <c r="AL164" s="261"/>
      <c r="AM164" s="261"/>
      <c r="AN164" s="261"/>
      <c r="AO164" s="261"/>
      <c r="AP164" s="261"/>
      <c r="AQ164" s="261"/>
    </row>
    <row r="165" customFormat="1" ht="14.5" spans="2:43">
      <c r="B165" s="245" t="str">
        <f t="shared" si="34"/>
        <v>Tra_EV_Batt-NMC 111_fromrecy</v>
      </c>
      <c r="C165" s="245" t="s">
        <v>431</v>
      </c>
      <c r="D165" s="245">
        <v>1</v>
      </c>
      <c r="E165" s="198"/>
      <c r="F165" s="198"/>
      <c r="G165" s="198"/>
      <c r="H165" s="198"/>
      <c r="I165" s="198"/>
      <c r="U165" s="198"/>
      <c r="V165" s="198"/>
      <c r="W165" s="197"/>
      <c r="Y165" s="197"/>
      <c r="Z165" s="197"/>
      <c r="AA165" s="197"/>
      <c r="AB165" s="197"/>
      <c r="AC165" s="205"/>
      <c r="AD165" s="205"/>
      <c r="AE165" s="197"/>
      <c r="AF165" s="197"/>
      <c r="AG165" s="197"/>
      <c r="AH165" s="199"/>
      <c r="AI165" s="261"/>
      <c r="AJ165" s="261"/>
      <c r="AK165" s="261"/>
      <c r="AL165" s="261"/>
      <c r="AM165" s="261"/>
      <c r="AN165" s="261"/>
      <c r="AO165" s="261"/>
      <c r="AP165" s="261"/>
      <c r="AQ165" s="261"/>
    </row>
    <row r="166" s="199" customFormat="1" ht="14.5" spans="2:60">
      <c r="B166" s="245" t="str">
        <f t="shared" si="34"/>
        <v>Tra_EV_Batt-NMC532_fromrecy</v>
      </c>
      <c r="C166" s="245" t="s">
        <v>433</v>
      </c>
      <c r="D166" s="245">
        <v>1</v>
      </c>
      <c r="E166" s="198"/>
      <c r="F166" s="198"/>
      <c r="G166" s="198"/>
      <c r="H166" s="198"/>
      <c r="I166" s="198"/>
      <c r="U166" s="198"/>
      <c r="V166" s="198"/>
      <c r="W166" s="197"/>
      <c r="Y166" s="197"/>
      <c r="Z166" s="197"/>
      <c r="AA166" s="197"/>
      <c r="AB166" s="197"/>
      <c r="AC166" s="205"/>
      <c r="AD166" s="205"/>
      <c r="AE166" s="197"/>
      <c r="AF166" s="197"/>
      <c r="AG166" s="197"/>
      <c r="AI166" s="261"/>
      <c r="AJ166" s="261"/>
      <c r="AK166" s="261"/>
      <c r="AL166" s="261"/>
      <c r="AM166" s="261"/>
      <c r="AN166" s="261"/>
      <c r="AO166" s="261"/>
      <c r="AP166" s="261"/>
      <c r="AQ166" s="261"/>
      <c r="AR166" s="205"/>
      <c r="AS166" s="205"/>
      <c r="AT166" s="205"/>
      <c r="AU166" s="205"/>
      <c r="AV166" s="205"/>
      <c r="AW166" s="205"/>
      <c r="AX166" s="205"/>
      <c r="BA166" s="205"/>
      <c r="BB166" s="205"/>
      <c r="BC166" s="205"/>
      <c r="BD166" s="205"/>
      <c r="BE166" s="205"/>
      <c r="BF166" s="205"/>
      <c r="BG166" s="205"/>
      <c r="BH166" s="205"/>
    </row>
    <row r="167" s="199" customFormat="1" ht="14.5" spans="2:60">
      <c r="B167" s="245" t="str">
        <f t="shared" si="34"/>
        <v>Tra_EV_Batt-NMC 622_fromrecy</v>
      </c>
      <c r="C167" s="245" t="s">
        <v>434</v>
      </c>
      <c r="D167" s="245">
        <v>1</v>
      </c>
      <c r="E167" s="198"/>
      <c r="F167" s="198"/>
      <c r="G167" s="198"/>
      <c r="H167" s="198"/>
      <c r="I167" s="198"/>
      <c r="U167" s="198"/>
      <c r="V167" s="198"/>
      <c r="W167" s="197"/>
      <c r="Y167" s="197"/>
      <c r="Z167" s="197"/>
      <c r="AA167" s="197"/>
      <c r="AB167" s="197"/>
      <c r="AC167" s="205"/>
      <c r="AD167" s="205"/>
      <c r="AE167" s="197"/>
      <c r="AF167" s="197"/>
      <c r="AG167" s="197"/>
      <c r="AI167" s="261"/>
      <c r="AJ167" s="261"/>
      <c r="AK167" s="261"/>
      <c r="AL167" s="261"/>
      <c r="AM167" s="261"/>
      <c r="AN167" s="261"/>
      <c r="AO167" s="261"/>
      <c r="AP167" s="261"/>
      <c r="AQ167" s="261"/>
      <c r="AR167" s="205"/>
      <c r="AS167" s="205"/>
      <c r="AT167" s="205"/>
      <c r="AU167" s="205"/>
      <c r="AV167" s="205"/>
      <c r="AW167" s="205"/>
      <c r="AX167" s="205"/>
      <c r="BA167" s="205"/>
      <c r="BB167" s="205"/>
      <c r="BC167" s="205"/>
      <c r="BD167" s="205"/>
      <c r="BE167" s="205"/>
      <c r="BF167" s="205"/>
      <c r="BG167" s="205"/>
      <c r="BH167" s="205"/>
    </row>
    <row r="168" s="199" customFormat="1" ht="14.5" spans="2:60">
      <c r="B168" s="245" t="str">
        <f t="shared" si="34"/>
        <v>Tra_EV_Batt-NMC 811_fromrecy</v>
      </c>
      <c r="C168" s="245" t="s">
        <v>435</v>
      </c>
      <c r="D168" s="245">
        <v>1</v>
      </c>
      <c r="E168" s="198"/>
      <c r="F168" s="198"/>
      <c r="G168" s="198"/>
      <c r="H168" s="198"/>
      <c r="I168" s="198"/>
      <c r="U168" s="198"/>
      <c r="V168" s="198"/>
      <c r="W168" s="197"/>
      <c r="Y168" s="197"/>
      <c r="Z168" s="197"/>
      <c r="AA168" s="197"/>
      <c r="AB168" s="197"/>
      <c r="AC168" s="205"/>
      <c r="AD168" s="205"/>
      <c r="AE168" s="197"/>
      <c r="AF168" s="197"/>
      <c r="AG168" s="197"/>
      <c r="AH168" s="197"/>
      <c r="AI168" s="261"/>
      <c r="AJ168" s="261"/>
      <c r="AK168" s="261"/>
      <c r="AL168" s="261"/>
      <c r="AM168" s="261"/>
      <c r="AN168" s="261"/>
      <c r="AO168" s="261"/>
      <c r="AP168" s="261"/>
      <c r="AQ168" s="261"/>
      <c r="AR168" s="205"/>
      <c r="AS168" s="205"/>
      <c r="AT168" s="205"/>
      <c r="AU168" s="205"/>
      <c r="AV168" s="205"/>
      <c r="AW168" s="205"/>
      <c r="AX168" s="205"/>
      <c r="BA168" s="205"/>
      <c r="BB168" s="205"/>
      <c r="BC168" s="205"/>
      <c r="BD168" s="205"/>
      <c r="BE168" s="205"/>
      <c r="BF168" s="205"/>
      <c r="BG168" s="205"/>
      <c r="BH168" s="205"/>
    </row>
    <row r="169" s="199" customFormat="1" ht="14.5" spans="3:43">
      <c r="C169" s="252"/>
      <c r="D169" s="252"/>
      <c r="E169" s="252"/>
      <c r="F169" s="252"/>
      <c r="G169" s="252"/>
      <c r="H169" s="252"/>
      <c r="I169" s="252"/>
      <c r="J169" s="197"/>
      <c r="K169" s="197"/>
      <c r="P169" s="198"/>
      <c r="S169" s="197"/>
      <c r="T169" s="198"/>
      <c r="U169" s="198"/>
      <c r="V169" s="198"/>
      <c r="W169" s="197"/>
      <c r="Y169" s="197"/>
      <c r="Z169" s="197"/>
      <c r="AA169" s="197"/>
      <c r="AB169" s="197"/>
      <c r="AC169" s="205"/>
      <c r="AD169" s="205"/>
      <c r="AE169" s="197"/>
      <c r="AF169" s="197"/>
      <c r="AG169" s="197"/>
      <c r="AH169" s="197"/>
      <c r="AI169" s="261"/>
      <c r="AJ169" s="261"/>
      <c r="AK169" s="261"/>
      <c r="AL169" s="261"/>
      <c r="AM169" s="261"/>
      <c r="AN169" s="261"/>
      <c r="AO169" s="261"/>
      <c r="AP169" s="261"/>
      <c r="AQ169" s="261"/>
    </row>
    <row r="170" s="199" customFormat="1" ht="14.5" spans="10:43">
      <c r="J170" s="197"/>
      <c r="K170" s="197"/>
      <c r="P170" s="198"/>
      <c r="S170" s="197"/>
      <c r="T170" s="198"/>
      <c r="U170" s="198"/>
      <c r="V170" s="198"/>
      <c r="W170" s="197"/>
      <c r="Y170" s="197"/>
      <c r="Z170" s="197"/>
      <c r="AA170" s="197"/>
      <c r="AB170" s="197"/>
      <c r="AC170" s="205"/>
      <c r="AD170" s="205"/>
      <c r="AE170" s="197"/>
      <c r="AF170" s="197"/>
      <c r="AG170" s="197"/>
      <c r="AH170" s="197"/>
      <c r="AI170" s="261"/>
      <c r="AJ170" s="261"/>
      <c r="AK170" s="261"/>
      <c r="AL170" s="261"/>
      <c r="AM170" s="261"/>
      <c r="AN170" s="261"/>
      <c r="AO170" s="261"/>
      <c r="AP170" s="261"/>
      <c r="AQ170" s="261"/>
    </row>
    <row r="171" s="199" customFormat="1" ht="14.5" spans="10:43">
      <c r="J171" s="197"/>
      <c r="K171" s="197"/>
      <c r="P171" s="198"/>
      <c r="S171" s="197"/>
      <c r="T171" s="198"/>
      <c r="U171" s="198"/>
      <c r="V171" s="198"/>
      <c r="W171" s="197"/>
      <c r="Y171" s="197"/>
      <c r="Z171" s="197"/>
      <c r="AA171" s="197"/>
      <c r="AB171" s="197"/>
      <c r="AC171" s="205"/>
      <c r="AD171" s="205"/>
      <c r="AE171" s="197"/>
      <c r="AF171" s="197"/>
      <c r="AG171" s="197"/>
      <c r="AH171" s="197"/>
      <c r="AI171" s="261"/>
      <c r="AJ171" s="261"/>
      <c r="AK171" s="261"/>
      <c r="AL171" s="261"/>
      <c r="AM171" s="261"/>
      <c r="AN171" s="261"/>
      <c r="AO171" s="261"/>
      <c r="AP171" s="261"/>
      <c r="AQ171" s="261"/>
    </row>
    <row r="172" s="197" customFormat="1" ht="14.5" spans="2:43">
      <c r="B172" s="225"/>
      <c r="C172" s="225"/>
      <c r="D172" s="225"/>
      <c r="E172" s="198"/>
      <c r="F172" s="198"/>
      <c r="G172" s="198"/>
      <c r="P172" s="198"/>
      <c r="T172" s="198"/>
      <c r="U172" s="198"/>
      <c r="V172" s="198"/>
      <c r="Y172" s="199"/>
      <c r="AC172" s="205"/>
      <c r="AD172" s="205"/>
      <c r="AH172" s="205"/>
      <c r="AI172" s="261"/>
      <c r="AJ172" s="261"/>
      <c r="AK172" s="261"/>
      <c r="AL172" s="261"/>
      <c r="AM172" s="261"/>
      <c r="AN172" s="261"/>
      <c r="AO172" s="261"/>
      <c r="AP172" s="261"/>
      <c r="AQ172" s="261"/>
    </row>
    <row r="173" s="197" customFormat="1" ht="16" spans="2:43">
      <c r="B173" s="225"/>
      <c r="C173" s="225"/>
      <c r="D173" s="225"/>
      <c r="E173" s="198"/>
      <c r="F173" s="253"/>
      <c r="G173" s="198"/>
      <c r="P173" s="198"/>
      <c r="T173" s="198"/>
      <c r="U173" s="198"/>
      <c r="V173" s="198"/>
      <c r="Y173" s="199"/>
      <c r="AC173" s="205"/>
      <c r="AD173" s="205"/>
      <c r="AH173" s="205"/>
      <c r="AI173" s="261"/>
      <c r="AJ173" s="261"/>
      <c r="AK173" s="261"/>
      <c r="AL173" s="261"/>
      <c r="AM173" s="261"/>
      <c r="AN173" s="261"/>
      <c r="AO173" s="261"/>
      <c r="AP173" s="261"/>
      <c r="AQ173" s="261"/>
    </row>
    <row r="174" s="197" customFormat="1" ht="14.5" spans="2:43">
      <c r="B174" s="225"/>
      <c r="C174" s="225"/>
      <c r="D174" s="225"/>
      <c r="E174" s="198"/>
      <c r="F174" s="198"/>
      <c r="G174" s="198"/>
      <c r="T174" s="198"/>
      <c r="U174" s="198"/>
      <c r="V174" s="198"/>
      <c r="Y174" s="199"/>
      <c r="AC174" s="205"/>
      <c r="AD174" s="205"/>
      <c r="AH174" s="205"/>
      <c r="AI174" s="261"/>
      <c r="AJ174" s="261"/>
      <c r="AK174" s="261"/>
      <c r="AL174" s="261"/>
      <c r="AM174" s="261"/>
      <c r="AN174" s="261"/>
      <c r="AO174" s="261"/>
      <c r="AP174" s="261"/>
      <c r="AQ174" s="261"/>
    </row>
    <row r="175" s="197" customFormat="1" ht="14.5" spans="2:43">
      <c r="B175" s="225"/>
      <c r="C175" s="225"/>
      <c r="D175" s="225"/>
      <c r="E175" s="198"/>
      <c r="F175" s="198"/>
      <c r="G175" s="198"/>
      <c r="T175" s="198"/>
      <c r="U175" s="198"/>
      <c r="V175" s="198"/>
      <c r="Y175" s="199"/>
      <c r="AC175" s="205"/>
      <c r="AD175" s="205"/>
      <c r="AI175" s="261"/>
      <c r="AJ175" s="261"/>
      <c r="AK175" s="261"/>
      <c r="AL175" s="261"/>
      <c r="AM175" s="261"/>
      <c r="AN175" s="261"/>
      <c r="AO175" s="261"/>
      <c r="AP175" s="261"/>
      <c r="AQ175" s="261"/>
    </row>
    <row r="176" s="197" customFormat="1" ht="14.5" spans="2:60">
      <c r="B176" s="225"/>
      <c r="C176" s="225"/>
      <c r="D176" s="225"/>
      <c r="E176" s="198"/>
      <c r="F176" s="198"/>
      <c r="G176" s="198"/>
      <c r="T176" s="198"/>
      <c r="U176" s="198"/>
      <c r="V176" s="198"/>
      <c r="Y176" s="199"/>
      <c r="AC176" s="205"/>
      <c r="AD176" s="205"/>
      <c r="AI176" s="261"/>
      <c r="AJ176" s="261"/>
      <c r="AK176" s="261"/>
      <c r="AL176" s="261"/>
      <c r="AM176" s="261"/>
      <c r="AN176" s="261"/>
      <c r="AO176" s="261"/>
      <c r="AP176" s="261"/>
      <c r="AQ176" s="261"/>
      <c r="AR176" s="205"/>
      <c r="AS176" s="205"/>
      <c r="AT176" s="205"/>
      <c r="AU176" s="205"/>
      <c r="AW176" s="205"/>
      <c r="AX176" s="205"/>
      <c r="BA176" s="205"/>
      <c r="BB176" s="205"/>
      <c r="BC176" s="205"/>
      <c r="BD176" s="205"/>
      <c r="BE176" s="205"/>
      <c r="BG176" s="205"/>
      <c r="BH176" s="205"/>
    </row>
    <row r="177" s="197" customFormat="1" ht="16" spans="2:60">
      <c r="B177" s="225"/>
      <c r="C177" s="225"/>
      <c r="D177" s="225"/>
      <c r="E177" s="198"/>
      <c r="F177" s="198"/>
      <c r="G177" s="198"/>
      <c r="T177" s="198"/>
      <c r="U177" s="198"/>
      <c r="V177" s="198"/>
      <c r="Y177" s="199"/>
      <c r="AC177" s="205"/>
      <c r="AD177" s="205"/>
      <c r="AI177" s="261"/>
      <c r="AJ177" s="261"/>
      <c r="AK177" s="261"/>
      <c r="AL177" s="261"/>
      <c r="AM177" s="261"/>
      <c r="AN177" s="261"/>
      <c r="AO177" s="261"/>
      <c r="AP177" s="261"/>
      <c r="AQ177" s="261"/>
      <c r="AR177" s="205"/>
      <c r="AS177" s="205"/>
      <c r="AT177" s="260"/>
      <c r="AU177" s="205"/>
      <c r="AV177" s="205"/>
      <c r="AW177" s="205"/>
      <c r="AX177" s="205"/>
      <c r="BA177" s="205"/>
      <c r="BB177" s="205"/>
      <c r="BC177" s="205"/>
      <c r="BD177" s="260"/>
      <c r="BE177" s="205"/>
      <c r="BF177" s="205"/>
      <c r="BG177" s="205"/>
      <c r="BH177" s="205"/>
    </row>
    <row r="178" s="197" customFormat="1" ht="14.5" spans="2:60">
      <c r="B178" s="225"/>
      <c r="C178" s="225"/>
      <c r="D178" s="225"/>
      <c r="E178" s="198"/>
      <c r="F178" s="198"/>
      <c r="G178" s="198"/>
      <c r="T178" s="198"/>
      <c r="U178" s="198"/>
      <c r="V178" s="198"/>
      <c r="Y178" s="199"/>
      <c r="AC178" s="205"/>
      <c r="AD178" s="205"/>
      <c r="AI178" s="261"/>
      <c r="AJ178" s="261"/>
      <c r="AK178" s="261"/>
      <c r="AL178" s="261"/>
      <c r="AM178" s="261"/>
      <c r="AN178" s="261"/>
      <c r="AO178" s="261"/>
      <c r="AP178" s="261"/>
      <c r="AQ178" s="261"/>
      <c r="AR178" s="205"/>
      <c r="AT178" s="263"/>
      <c r="AU178" s="205"/>
      <c r="AV178" s="205"/>
      <c r="AW178" s="205"/>
      <c r="AX178" s="205"/>
      <c r="BA178" s="205"/>
      <c r="BB178" s="205"/>
      <c r="BD178" s="263"/>
      <c r="BE178" s="205"/>
      <c r="BF178" s="205"/>
      <c r="BG178" s="205"/>
      <c r="BH178" s="205"/>
    </row>
    <row r="179" s="197" customFormat="1" ht="14.5" spans="2:43">
      <c r="B179" s="225"/>
      <c r="C179" s="225"/>
      <c r="D179" s="225"/>
      <c r="E179" s="198"/>
      <c r="F179" s="198"/>
      <c r="G179" s="198"/>
      <c r="T179" s="198"/>
      <c r="U179" s="198"/>
      <c r="V179" s="198"/>
      <c r="Y179" s="199"/>
      <c r="AI179" s="261"/>
      <c r="AJ179" s="261"/>
      <c r="AK179" s="261"/>
      <c r="AL179" s="261"/>
      <c r="AM179" s="261"/>
      <c r="AN179" s="261"/>
      <c r="AO179" s="261"/>
      <c r="AP179" s="261"/>
      <c r="AQ179" s="261"/>
    </row>
    <row r="180" s="197" customFormat="1" ht="14.5" spans="2:43">
      <c r="B180" s="225"/>
      <c r="C180" s="225"/>
      <c r="D180" s="225"/>
      <c r="E180" s="198"/>
      <c r="F180" s="198"/>
      <c r="G180" s="198"/>
      <c r="T180" s="198"/>
      <c r="U180" s="198"/>
      <c r="V180" s="198"/>
      <c r="Y180" s="199"/>
      <c r="AC180" s="205"/>
      <c r="AD180" s="205"/>
      <c r="AI180" s="261"/>
      <c r="AJ180" s="261"/>
      <c r="AK180" s="261"/>
      <c r="AL180" s="261"/>
      <c r="AM180" s="261"/>
      <c r="AN180" s="261"/>
      <c r="AO180" s="261"/>
      <c r="AP180" s="261"/>
      <c r="AQ180" s="261"/>
    </row>
    <row r="181" s="197" customFormat="1" ht="14.5" spans="2:43">
      <c r="B181" s="225"/>
      <c r="C181" s="225"/>
      <c r="D181" s="225"/>
      <c r="E181" s="198"/>
      <c r="F181" s="198"/>
      <c r="G181" s="198"/>
      <c r="T181" s="198"/>
      <c r="U181" s="198"/>
      <c r="V181" s="198"/>
      <c r="Y181" s="199"/>
      <c r="AC181" s="205"/>
      <c r="AD181" s="205"/>
      <c r="AI181" s="261"/>
      <c r="AJ181" s="261"/>
      <c r="AK181" s="261"/>
      <c r="AL181" s="261"/>
      <c r="AM181" s="261"/>
      <c r="AN181" s="261"/>
      <c r="AO181" s="261"/>
      <c r="AP181" s="261"/>
      <c r="AQ181" s="261"/>
    </row>
    <row r="182" s="197" customFormat="1" ht="14.5" spans="2:43">
      <c r="B182" s="225"/>
      <c r="C182" s="225"/>
      <c r="D182" s="225"/>
      <c r="E182" s="198"/>
      <c r="F182" s="198"/>
      <c r="G182" s="198"/>
      <c r="T182" s="198"/>
      <c r="U182" s="198"/>
      <c r="V182" s="198"/>
      <c r="Y182" s="199"/>
      <c r="AC182" s="205"/>
      <c r="AD182" s="205"/>
      <c r="AI182" s="261"/>
      <c r="AJ182" s="261"/>
      <c r="AK182" s="261"/>
      <c r="AL182" s="261"/>
      <c r="AM182" s="261"/>
      <c r="AN182" s="261"/>
      <c r="AO182" s="261"/>
      <c r="AP182" s="261"/>
      <c r="AQ182" s="261"/>
    </row>
    <row r="183" s="197" customFormat="1" ht="14.5" spans="2:43">
      <c r="B183" s="225"/>
      <c r="C183" s="225"/>
      <c r="D183" s="225"/>
      <c r="E183" s="198"/>
      <c r="F183" s="198"/>
      <c r="G183" s="198"/>
      <c r="Y183" s="199"/>
      <c r="AC183" s="205"/>
      <c r="AD183" s="205"/>
      <c r="AI183" s="261"/>
      <c r="AJ183" s="261"/>
      <c r="AK183" s="261"/>
      <c r="AL183" s="261"/>
      <c r="AM183" s="261"/>
      <c r="AN183" s="261"/>
      <c r="AO183" s="261"/>
      <c r="AP183" s="261"/>
      <c r="AQ183" s="261"/>
    </row>
    <row r="184" s="197" customFormat="1" ht="14.5" spans="2:43">
      <c r="B184" s="225"/>
      <c r="C184" s="225"/>
      <c r="D184" s="225"/>
      <c r="E184" s="198"/>
      <c r="F184" s="198"/>
      <c r="G184" s="198"/>
      <c r="Y184" s="199"/>
      <c r="AC184" s="205"/>
      <c r="AD184" s="205"/>
      <c r="AI184" s="261"/>
      <c r="AJ184" s="261"/>
      <c r="AK184" s="261"/>
      <c r="AL184" s="261"/>
      <c r="AM184" s="261"/>
      <c r="AN184" s="261"/>
      <c r="AO184" s="261"/>
      <c r="AP184" s="261"/>
      <c r="AQ184" s="261"/>
    </row>
    <row r="185" s="197" customFormat="1" ht="14.5" spans="2:43">
      <c r="B185" s="225"/>
      <c r="C185" s="225"/>
      <c r="D185" s="225"/>
      <c r="E185" s="198"/>
      <c r="F185" s="198"/>
      <c r="G185" s="198"/>
      <c r="Y185" s="199"/>
      <c r="AC185" s="205"/>
      <c r="AD185" s="205"/>
      <c r="AI185" s="262"/>
      <c r="AJ185" s="262"/>
      <c r="AK185" s="261"/>
      <c r="AL185" s="261"/>
      <c r="AM185" s="261"/>
      <c r="AN185" s="261"/>
      <c r="AO185" s="261"/>
      <c r="AP185" s="261"/>
      <c r="AQ185" s="262"/>
    </row>
    <row r="186" s="197" customFormat="1" ht="14.5" spans="2:43">
      <c r="B186" s="225"/>
      <c r="C186" s="225"/>
      <c r="D186" s="225"/>
      <c r="E186" s="198"/>
      <c r="F186" s="198"/>
      <c r="G186" s="198"/>
      <c r="Y186" s="199"/>
      <c r="AC186" s="205"/>
      <c r="AD186" s="205"/>
      <c r="AH186" s="198"/>
      <c r="AI186" s="198"/>
      <c r="AJ186" s="252"/>
      <c r="AK186" s="199"/>
      <c r="AL186" s="199"/>
      <c r="AM186" s="199"/>
      <c r="AN186" s="199"/>
      <c r="AO186" s="199"/>
      <c r="AP186" s="199"/>
      <c r="AQ186" s="199"/>
    </row>
    <row r="187" s="197" customFormat="1" ht="14.5" spans="2:43">
      <c r="B187" s="225"/>
      <c r="C187" s="225"/>
      <c r="D187" s="225"/>
      <c r="E187" s="198"/>
      <c r="F187" s="198"/>
      <c r="G187" s="198"/>
      <c r="Y187" s="199"/>
      <c r="AC187" s="205"/>
      <c r="AD187" s="205"/>
      <c r="AH187" s="198"/>
      <c r="AI187" s="198"/>
      <c r="AJ187" s="252"/>
      <c r="AK187" s="199"/>
      <c r="AL187" s="199"/>
      <c r="AM187" s="199"/>
      <c r="AN187" s="199"/>
      <c r="AO187" s="199"/>
      <c r="AP187" s="199"/>
      <c r="AQ187" s="199"/>
    </row>
    <row r="188" s="197" customFormat="1" ht="14.5" spans="2:43">
      <c r="B188" s="198"/>
      <c r="C188" s="198"/>
      <c r="D188" s="198"/>
      <c r="E188" s="198"/>
      <c r="F188" s="198"/>
      <c r="G188" s="198"/>
      <c r="Y188" s="199"/>
      <c r="AC188" s="205"/>
      <c r="AD188" s="205"/>
      <c r="AH188" s="226"/>
      <c r="AI188" s="198"/>
      <c r="AJ188" s="252"/>
      <c r="AK188" s="199"/>
      <c r="AL188" s="199"/>
      <c r="AM188" s="199"/>
      <c r="AN188" s="199"/>
      <c r="AO188" s="199"/>
      <c r="AP188" s="199"/>
      <c r="AQ188" s="199"/>
    </row>
    <row r="189" s="197" customFormat="1" ht="14.5" spans="25:43">
      <c r="Y189" s="199"/>
      <c r="AC189" s="205"/>
      <c r="AD189" s="205"/>
      <c r="AH189" s="198"/>
      <c r="AI189" s="198"/>
      <c r="AJ189" s="252"/>
      <c r="AK189" s="199"/>
      <c r="AL189" s="199"/>
      <c r="AM189" s="199"/>
      <c r="AN189" s="199"/>
      <c r="AO189" s="199"/>
      <c r="AP189" s="199"/>
      <c r="AQ189" s="199"/>
    </row>
    <row r="190" s="197" customFormat="1" ht="27.5" spans="1:43">
      <c r="A190" s="254"/>
      <c r="Y190" s="199"/>
      <c r="AC190" s="205"/>
      <c r="AD190" s="205"/>
      <c r="AG190" s="205"/>
      <c r="AH190" s="198"/>
      <c r="AI190" s="198"/>
      <c r="AJ190" s="252"/>
      <c r="AK190" s="199"/>
      <c r="AL190" s="199"/>
      <c r="AM190" s="199"/>
      <c r="AN190" s="199"/>
      <c r="AO190" s="199"/>
      <c r="AP190" s="199"/>
      <c r="AQ190" s="199"/>
    </row>
    <row r="191" s="197" customFormat="1" ht="14.5" spans="25:43">
      <c r="Y191" s="199"/>
      <c r="AC191" s="205"/>
      <c r="AD191" s="205"/>
      <c r="AH191" s="198"/>
      <c r="AI191" s="198"/>
      <c r="AJ191" s="252"/>
      <c r="AK191" s="199"/>
      <c r="AL191" s="199"/>
      <c r="AM191" s="199"/>
      <c r="AN191" s="199"/>
      <c r="AO191" s="199"/>
      <c r="AP191" s="199"/>
      <c r="AQ191" s="199"/>
    </row>
    <row r="192" s="197" customFormat="1" ht="14.5" spans="24:54">
      <c r="X192" s="205"/>
      <c r="Y192" s="199"/>
      <c r="AC192" s="205"/>
      <c r="AD192" s="205"/>
      <c r="AH192" s="198"/>
      <c r="AI192" s="198"/>
      <c r="AJ192" s="252"/>
      <c r="AK192" s="199"/>
      <c r="AL192" s="199"/>
      <c r="AM192" s="199"/>
      <c r="AN192" s="199"/>
      <c r="AO192" s="199"/>
      <c r="AP192" s="199"/>
      <c r="AQ192" s="199"/>
      <c r="AR192" s="205"/>
      <c r="BB192" s="205"/>
    </row>
    <row r="193" s="197" customFormat="1" ht="14.5" spans="29:36">
      <c r="AC193" s="205"/>
      <c r="AD193" s="205"/>
      <c r="AH193" s="198"/>
      <c r="AI193" s="198"/>
      <c r="AJ193" s="198"/>
    </row>
    <row r="194" s="197" customFormat="1" ht="23" spans="1:53">
      <c r="A194" s="264"/>
      <c r="W194" s="205"/>
      <c r="AC194" s="205"/>
      <c r="AD194" s="205"/>
      <c r="AH194" s="198"/>
      <c r="AI194" s="198"/>
      <c r="AJ194" s="198"/>
      <c r="BA194" s="205"/>
    </row>
    <row r="195" s="197" customFormat="1" ht="14.5" spans="29:36">
      <c r="AC195" s="205"/>
      <c r="AD195" s="205"/>
      <c r="AH195" s="198"/>
      <c r="AI195" s="198"/>
      <c r="AJ195" s="198"/>
    </row>
    <row r="196" s="197" customFormat="1" ht="14.5" spans="29:36">
      <c r="AC196" s="205"/>
      <c r="AD196" s="205"/>
      <c r="AH196" s="198"/>
      <c r="AI196" s="198"/>
      <c r="AJ196" s="198"/>
    </row>
    <row r="197" s="197" customFormat="1" ht="14.5" spans="29:36">
      <c r="AC197" s="205"/>
      <c r="AD197" s="205"/>
      <c r="AH197" s="198"/>
      <c r="AI197" s="198"/>
      <c r="AJ197" s="198"/>
    </row>
    <row r="198" s="197" customFormat="1" ht="14.5" spans="29:36">
      <c r="AC198" s="205"/>
      <c r="AD198" s="205"/>
      <c r="AH198" s="198"/>
      <c r="AI198" s="198"/>
      <c r="AJ198" s="198"/>
    </row>
    <row r="199" s="197" customFormat="1" ht="14.5" spans="29:36">
      <c r="AC199" s="205"/>
      <c r="AD199" s="205"/>
      <c r="AH199" s="198"/>
      <c r="AI199" s="198"/>
      <c r="AJ199" s="198"/>
    </row>
    <row r="200" s="197" customFormat="1" ht="14.5" spans="29:36">
      <c r="AC200" s="205"/>
      <c r="AD200" s="205"/>
      <c r="AH200" s="297"/>
      <c r="AI200" s="198"/>
      <c r="AJ200" s="198"/>
    </row>
    <row r="201" s="197" customFormat="1" spans="34:36">
      <c r="AH201" s="198"/>
      <c r="AI201" s="198"/>
      <c r="AJ201" s="198"/>
    </row>
    <row r="202" s="197" customFormat="1" spans="34:36">
      <c r="AH202" s="198"/>
      <c r="AI202" s="198"/>
      <c r="AJ202" s="198"/>
    </row>
    <row r="203" s="197" customFormat="1" spans="43:43">
      <c r="AQ203" s="198"/>
    </row>
    <row r="204" s="197" customFormat="1" spans="24:54">
      <c r="X204" s="284"/>
      <c r="AQ204" s="198"/>
      <c r="AR204" s="284"/>
      <c r="BB204" s="284"/>
    </row>
    <row r="205" s="197" customFormat="1" spans="43:43">
      <c r="AQ205" s="198"/>
    </row>
    <row r="206" spans="43:43">
      <c r="AQ206" s="198"/>
    </row>
    <row r="207" spans="43:67">
      <c r="AQ207" s="198"/>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row>
    <row r="208" spans="43:67">
      <c r="AQ208" s="198"/>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row>
    <row r="209" spans="43:67">
      <c r="AQ209" s="198"/>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row>
    <row r="210" spans="45:6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row>
    <row r="211" ht="21" spans="2:67">
      <c r="B211" s="265" t="s">
        <v>452</v>
      </c>
      <c r="C211" s="266"/>
      <c r="D211" s="265"/>
      <c r="E211" s="265"/>
      <c r="I211" s="275"/>
      <c r="J211" s="234" t="s">
        <v>453</v>
      </c>
      <c r="K211" s="234"/>
      <c r="L211" s="234"/>
      <c r="M211" s="234"/>
      <c r="N211" s="234"/>
      <c r="O211" s="234"/>
      <c r="P211" s="234"/>
      <c r="Q211" s="234"/>
      <c r="R211" s="234"/>
      <c r="S211" s="234"/>
      <c r="T211" s="234"/>
      <c r="U211" s="234"/>
      <c r="V211" s="285"/>
      <c r="W211" s="286"/>
      <c r="X211" s="287"/>
      <c r="Y211" s="287"/>
      <c r="Z211" s="287"/>
      <c r="AA211" s="287"/>
      <c r="AB211" s="287"/>
      <c r="AC211" s="287"/>
      <c r="AD211" s="287"/>
      <c r="AE211" s="287"/>
      <c r="AF211" s="287"/>
      <c r="AG211" s="285"/>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row>
    <row r="212" ht="21" spans="2:67">
      <c r="B212" s="267" t="s">
        <v>387</v>
      </c>
      <c r="C212" s="265"/>
      <c r="D212" s="265"/>
      <c r="E212" s="265"/>
      <c r="I212" s="276"/>
      <c r="J212" s="277" t="s">
        <v>390</v>
      </c>
      <c r="K212" s="278"/>
      <c r="L212" s="278"/>
      <c r="M212" s="277" t="s">
        <v>391</v>
      </c>
      <c r="N212" s="278"/>
      <c r="O212" s="278"/>
      <c r="P212" s="277" t="s">
        <v>392</v>
      </c>
      <c r="Q212" s="278"/>
      <c r="R212" s="278"/>
      <c r="S212" s="243" t="s">
        <v>393</v>
      </c>
      <c r="T212" s="275"/>
      <c r="U212" s="275"/>
      <c r="V212" s="285"/>
      <c r="W212" s="288"/>
      <c r="X212" s="289"/>
      <c r="Y212" s="289"/>
      <c r="Z212" s="289"/>
      <c r="AA212" s="289"/>
      <c r="AB212" s="289"/>
      <c r="AC212" s="289"/>
      <c r="AD212" s="289"/>
      <c r="AE212" s="289"/>
      <c r="AF212" s="289"/>
      <c r="AG212" s="285"/>
      <c r="AH212" s="234" t="s">
        <v>454</v>
      </c>
      <c r="AI212" s="234"/>
      <c r="AJ212" s="234"/>
      <c r="AK212" s="234"/>
      <c r="AL212" s="234"/>
      <c r="AM212" s="234"/>
      <c r="AN212" s="234"/>
      <c r="AO212" s="306"/>
      <c r="AP212" s="306"/>
      <c r="AS212" s="261"/>
      <c r="AT212" s="307"/>
      <c r="AU212" s="307"/>
      <c r="AV212" s="261"/>
      <c r="AW212" s="261"/>
      <c r="AX212" s="261"/>
      <c r="AY212" s="261"/>
      <c r="AZ212" s="261"/>
      <c r="BA212" s="261"/>
      <c r="BB212" s="197"/>
      <c r="BC212" s="261"/>
      <c r="BD212" s="307"/>
      <c r="BE212" s="307"/>
      <c r="BF212" s="261"/>
      <c r="BG212" s="261"/>
      <c r="BH212" s="261"/>
      <c r="BI212" s="261"/>
      <c r="BJ212" s="261"/>
      <c r="BK212" s="261"/>
      <c r="BL212" s="261"/>
      <c r="BM212" s="197"/>
      <c r="BN212" s="197"/>
      <c r="BO212" s="197"/>
    </row>
    <row r="213" ht="13" spans="2:67">
      <c r="B213" s="265"/>
      <c r="C213" s="267"/>
      <c r="D213" s="267"/>
      <c r="E213" s="267"/>
      <c r="I213" s="276"/>
      <c r="J213" s="279" t="s">
        <v>456</v>
      </c>
      <c r="K213" s="280"/>
      <c r="L213" s="278"/>
      <c r="M213" s="279" t="s">
        <v>456</v>
      </c>
      <c r="N213" s="280"/>
      <c r="O213" s="278"/>
      <c r="P213" s="279" t="s">
        <v>456</v>
      </c>
      <c r="Q213" s="280"/>
      <c r="R213" s="278"/>
      <c r="S213" s="279" t="s">
        <v>456</v>
      </c>
      <c r="T213" s="280"/>
      <c r="U213" s="278"/>
      <c r="V213" s="285"/>
      <c r="W213" s="288"/>
      <c r="X213" s="290"/>
      <c r="Y213" s="290"/>
      <c r="Z213" s="290"/>
      <c r="AA213" s="295"/>
      <c r="AB213" s="295"/>
      <c r="AC213" s="295"/>
      <c r="AD213" s="290"/>
      <c r="AE213" s="290"/>
      <c r="AF213" s="290"/>
      <c r="AG213" s="285"/>
      <c r="AH213" s="233"/>
      <c r="AI213" s="233" t="s">
        <v>457</v>
      </c>
      <c r="AJ213" s="233" t="s">
        <v>458</v>
      </c>
      <c r="AK213" s="233" t="s">
        <v>459</v>
      </c>
      <c r="AL213" s="233" t="s">
        <v>460</v>
      </c>
      <c r="AM213" s="300" t="s">
        <v>461</v>
      </c>
      <c r="AN213" s="233" t="s">
        <v>462</v>
      </c>
      <c r="AO213" s="233" t="s">
        <v>325</v>
      </c>
      <c r="AP213" s="233" t="s">
        <v>463</v>
      </c>
      <c r="AQ213" s="303"/>
      <c r="AS213" s="261"/>
      <c r="AT213" s="261"/>
      <c r="AU213" s="261"/>
      <c r="AV213" s="261"/>
      <c r="AW213" s="261"/>
      <c r="AX213" s="261"/>
      <c r="AY213" s="261"/>
      <c r="AZ213" s="261"/>
      <c r="BA213" s="261"/>
      <c r="BB213" s="197"/>
      <c r="BC213" s="261"/>
      <c r="BD213" s="261"/>
      <c r="BE213" s="261"/>
      <c r="BF213" s="261"/>
      <c r="BG213" s="261"/>
      <c r="BH213" s="261"/>
      <c r="BI213" s="261"/>
      <c r="BJ213" s="261"/>
      <c r="BK213" s="261"/>
      <c r="BL213" s="261"/>
      <c r="BM213" s="197"/>
      <c r="BN213" s="197"/>
      <c r="BO213" s="197"/>
    </row>
    <row r="214" ht="14.5" spans="2:67">
      <c r="B214" s="267" t="s">
        <v>220</v>
      </c>
      <c r="C214" s="267" t="s">
        <v>400</v>
      </c>
      <c r="D214" s="267" t="s">
        <v>401</v>
      </c>
      <c r="E214" s="267" t="s">
        <v>402</v>
      </c>
      <c r="I214" s="276"/>
      <c r="J214" s="279" t="s">
        <v>464</v>
      </c>
      <c r="K214" s="279" t="s">
        <v>465</v>
      </c>
      <c r="L214" s="279" t="s">
        <v>466</v>
      </c>
      <c r="M214" s="277" t="s">
        <v>464</v>
      </c>
      <c r="N214" s="281" t="s">
        <v>465</v>
      </c>
      <c r="O214" s="277" t="s">
        <v>466</v>
      </c>
      <c r="P214" s="277" t="s">
        <v>464</v>
      </c>
      <c r="Q214" s="277" t="s">
        <v>465</v>
      </c>
      <c r="R214" s="277" t="s">
        <v>466</v>
      </c>
      <c r="S214" s="277" t="s">
        <v>464</v>
      </c>
      <c r="T214" s="277" t="s">
        <v>465</v>
      </c>
      <c r="U214" s="277" t="s">
        <v>466</v>
      </c>
      <c r="V214" s="285"/>
      <c r="W214" s="288"/>
      <c r="X214" s="290"/>
      <c r="Y214" s="290"/>
      <c r="Z214" s="290"/>
      <c r="AA214" s="289"/>
      <c r="AB214" s="226"/>
      <c r="AC214" s="226"/>
      <c r="AD214" s="289"/>
      <c r="AE214" s="289"/>
      <c r="AF214" s="289"/>
      <c r="AG214" s="285"/>
      <c r="AH214" s="301" t="s">
        <v>467</v>
      </c>
      <c r="AI214" s="233">
        <v>0</v>
      </c>
      <c r="AJ214" s="233">
        <v>0.98</v>
      </c>
      <c r="AK214" s="233">
        <v>0.9</v>
      </c>
      <c r="AL214" s="233">
        <v>0</v>
      </c>
      <c r="AM214" s="233">
        <v>0</v>
      </c>
      <c r="AN214" s="233">
        <v>0.9</v>
      </c>
      <c r="AO214" s="233">
        <v>0</v>
      </c>
      <c r="AP214" s="233">
        <v>0.9</v>
      </c>
      <c r="AQ214" s="303"/>
      <c r="AS214" s="308"/>
      <c r="AT214" s="309"/>
      <c r="AU214" s="309"/>
      <c r="AV214" s="309"/>
      <c r="AW214" s="309"/>
      <c r="AX214" s="309"/>
      <c r="AY214" s="309"/>
      <c r="AZ214" s="309"/>
      <c r="BA214" s="261"/>
      <c r="BB214" s="197"/>
      <c r="BC214" s="309"/>
      <c r="BD214" s="309"/>
      <c r="BE214" s="309"/>
      <c r="BF214" s="309"/>
      <c r="BG214" s="309"/>
      <c r="BH214" s="309"/>
      <c r="BI214" s="309"/>
      <c r="BJ214" s="309"/>
      <c r="BK214" s="261"/>
      <c r="BL214" s="261"/>
      <c r="BM214" s="197"/>
      <c r="BN214" s="197"/>
      <c r="BO214" s="197"/>
    </row>
    <row r="215" ht="20" spans="1:67">
      <c r="A215" s="268"/>
      <c r="B215" s="267" t="s">
        <v>407</v>
      </c>
      <c r="C215" s="267"/>
      <c r="D215" s="269"/>
      <c r="E215" s="269"/>
      <c r="I215" s="243" t="s">
        <v>408</v>
      </c>
      <c r="J215" s="282">
        <v>9.30880110537951</v>
      </c>
      <c r="K215" s="282">
        <v>5.20810707442889</v>
      </c>
      <c r="L215" s="282">
        <v>4.48241960206338</v>
      </c>
      <c r="M215" s="282">
        <v>7.447040899042</v>
      </c>
      <c r="N215" s="282">
        <v>4.16648563006632</v>
      </c>
      <c r="O215" s="282">
        <v>3.58593566691231</v>
      </c>
      <c r="P215" s="282">
        <v>5.67836868091378</v>
      </c>
      <c r="Q215" s="282">
        <v>3.17694532056006</v>
      </c>
      <c r="R215" s="282">
        <v>2.73427597641857</v>
      </c>
      <c r="S215" s="276">
        <f t="shared" ref="S215:U215" si="35">AVERAGE(J215,M215,P215)</f>
        <v>7.4780702284451</v>
      </c>
      <c r="T215" s="276">
        <f t="shared" si="35"/>
        <v>4.18384600835176</v>
      </c>
      <c r="U215" s="276">
        <f t="shared" si="35"/>
        <v>3.60087708179809</v>
      </c>
      <c r="V215" s="285"/>
      <c r="W215" s="289"/>
      <c r="X215" s="291"/>
      <c r="Y215" s="291"/>
      <c r="Z215" s="291"/>
      <c r="AA215" s="296"/>
      <c r="AB215" s="225"/>
      <c r="AC215" s="198"/>
      <c r="AD215" s="297"/>
      <c r="AE215" s="291"/>
      <c r="AF215" s="291"/>
      <c r="AG215" s="285"/>
      <c r="AH215" s="233"/>
      <c r="AI215" s="233">
        <f t="shared" ref="AI215:AN215" si="36">AI214</f>
        <v>0</v>
      </c>
      <c r="AJ215" s="233">
        <f t="shared" si="36"/>
        <v>0.98</v>
      </c>
      <c r="AK215" s="233">
        <f t="shared" si="36"/>
        <v>0.9</v>
      </c>
      <c r="AL215" s="233">
        <f t="shared" si="36"/>
        <v>0</v>
      </c>
      <c r="AM215" s="233">
        <f t="shared" si="36"/>
        <v>0</v>
      </c>
      <c r="AN215" s="233">
        <f t="shared" si="36"/>
        <v>0.9</v>
      </c>
      <c r="AO215" s="233">
        <v>0</v>
      </c>
      <c r="AP215" s="233">
        <f t="shared" ref="AP215:AP220" si="37">AP214</f>
        <v>0.9</v>
      </c>
      <c r="AQ215" s="303"/>
      <c r="AS215" s="308"/>
      <c r="AT215" s="309"/>
      <c r="AU215" s="309"/>
      <c r="AV215" s="309"/>
      <c r="AW215" s="309"/>
      <c r="AX215" s="309"/>
      <c r="AY215" s="309"/>
      <c r="AZ215" s="309"/>
      <c r="BA215" s="261"/>
      <c r="BB215" s="197"/>
      <c r="BC215" s="309"/>
      <c r="BD215" s="309"/>
      <c r="BE215" s="309"/>
      <c r="BF215" s="309"/>
      <c r="BG215" s="309"/>
      <c r="BH215" s="309"/>
      <c r="BI215" s="309"/>
      <c r="BJ215" s="309"/>
      <c r="BK215" s="261"/>
      <c r="BL215" s="261"/>
      <c r="BM215" s="197"/>
      <c r="BN215" s="197"/>
      <c r="BO215" s="197"/>
    </row>
    <row r="216" ht="20" spans="1:67">
      <c r="A216" s="268"/>
      <c r="B216" s="267" t="s">
        <v>363</v>
      </c>
      <c r="C216" s="267">
        <f t="shared" ref="C216:C222" si="38">S216</f>
        <v>7.11384396954065</v>
      </c>
      <c r="D216" s="269">
        <f t="shared" ref="D216:D222" si="39">P216</f>
        <v>5.40179852616065</v>
      </c>
      <c r="E216" s="269">
        <f t="shared" ref="E216:E222" si="40">J216</f>
        <v>8.85540744288872</v>
      </c>
      <c r="I216" s="243" t="s">
        <v>469</v>
      </c>
      <c r="J216" s="282">
        <v>8.85540744288872</v>
      </c>
      <c r="K216" s="282">
        <v>5.20810707442889</v>
      </c>
      <c r="L216" s="282">
        <v>4.4384597641857</v>
      </c>
      <c r="M216" s="282">
        <v>7.08432593957259</v>
      </c>
      <c r="N216" s="282">
        <v>4.16648563006632</v>
      </c>
      <c r="O216" s="282">
        <v>3.55076779661017</v>
      </c>
      <c r="P216" s="282">
        <v>5.40179852616065</v>
      </c>
      <c r="Q216" s="282">
        <v>3.17694532056006</v>
      </c>
      <c r="R216" s="282">
        <v>2.70746042741341</v>
      </c>
      <c r="S216" s="276">
        <f t="shared" ref="S216:U216" si="41">AVERAGE(J216,M216,P216)</f>
        <v>7.11384396954065</v>
      </c>
      <c r="T216" s="276">
        <f t="shared" si="41"/>
        <v>4.18384600835176</v>
      </c>
      <c r="U216" s="276">
        <f t="shared" si="41"/>
        <v>3.56556266273643</v>
      </c>
      <c r="V216" s="285"/>
      <c r="W216" s="289"/>
      <c r="X216" s="291"/>
      <c r="Y216" s="291"/>
      <c r="Z216" s="291"/>
      <c r="AA216" s="296"/>
      <c r="AB216" s="225"/>
      <c r="AC216" s="198"/>
      <c r="AD216" s="297"/>
      <c r="AE216" s="291"/>
      <c r="AF216" s="291"/>
      <c r="AG216" s="285"/>
      <c r="AH216" s="233"/>
      <c r="AI216" s="233">
        <f t="shared" ref="AI216:AN216" si="42">AI215</f>
        <v>0</v>
      </c>
      <c r="AJ216" s="233">
        <f t="shared" si="42"/>
        <v>0.98</v>
      </c>
      <c r="AK216" s="233">
        <f t="shared" si="42"/>
        <v>0.9</v>
      </c>
      <c r="AL216" s="233">
        <f t="shared" si="42"/>
        <v>0</v>
      </c>
      <c r="AM216" s="233">
        <f t="shared" si="42"/>
        <v>0</v>
      </c>
      <c r="AN216" s="233">
        <f t="shared" si="42"/>
        <v>0.9</v>
      </c>
      <c r="AO216" s="233">
        <v>0</v>
      </c>
      <c r="AP216" s="233">
        <f t="shared" si="37"/>
        <v>0.9</v>
      </c>
      <c r="AQ216" s="303"/>
      <c r="AS216" s="308"/>
      <c r="AT216" s="309"/>
      <c r="AU216" s="309"/>
      <c r="AV216" s="309"/>
      <c r="AW216" s="309"/>
      <c r="AX216" s="309"/>
      <c r="AY216" s="309"/>
      <c r="AZ216" s="309"/>
      <c r="BA216" s="261"/>
      <c r="BB216" s="197"/>
      <c r="BC216" s="309"/>
      <c r="BD216" s="309"/>
      <c r="BE216" s="309"/>
      <c r="BF216" s="309"/>
      <c r="BG216" s="309"/>
      <c r="BH216" s="309"/>
      <c r="BI216" s="309"/>
      <c r="BJ216" s="309"/>
      <c r="BK216" s="261"/>
      <c r="BL216" s="261"/>
      <c r="BM216" s="197"/>
      <c r="BN216" s="197"/>
      <c r="BO216" s="197"/>
    </row>
    <row r="217" ht="20" spans="1:67">
      <c r="A217" s="270"/>
      <c r="B217" s="267" t="s">
        <v>364</v>
      </c>
      <c r="C217" s="267">
        <f t="shared" si="38"/>
        <v>7.11384396954065</v>
      </c>
      <c r="D217" s="269">
        <f t="shared" si="39"/>
        <v>5.40179852616065</v>
      </c>
      <c r="E217" s="269">
        <f t="shared" si="40"/>
        <v>8.85540744288872</v>
      </c>
      <c r="I217" s="243" t="s">
        <v>470</v>
      </c>
      <c r="J217" s="282">
        <v>8.85540744288872</v>
      </c>
      <c r="K217" s="282">
        <v>5.20810707442889</v>
      </c>
      <c r="L217" s="282">
        <v>4.48241960206338</v>
      </c>
      <c r="M217" s="282">
        <v>7.08432593957259</v>
      </c>
      <c r="N217" s="282">
        <v>4.16648563006632</v>
      </c>
      <c r="O217" s="282">
        <v>3.58593566691231</v>
      </c>
      <c r="P217" s="282">
        <v>5.40179852616065</v>
      </c>
      <c r="Q217" s="282">
        <v>3.17694532056006</v>
      </c>
      <c r="R217" s="282">
        <v>2.73427597641857</v>
      </c>
      <c r="S217" s="276">
        <f t="shared" ref="S217:U217" si="43">AVERAGE(J217,M217,P217)</f>
        <v>7.11384396954065</v>
      </c>
      <c r="T217" s="276">
        <f t="shared" si="43"/>
        <v>4.18384600835176</v>
      </c>
      <c r="U217" s="276">
        <f t="shared" si="43"/>
        <v>3.60087708179809</v>
      </c>
      <c r="V217" s="285"/>
      <c r="W217" s="289"/>
      <c r="X217" s="291"/>
      <c r="Y217" s="291"/>
      <c r="Z217" s="291"/>
      <c r="AA217" s="296"/>
      <c r="AB217" s="225"/>
      <c r="AC217" s="198"/>
      <c r="AD217" s="297"/>
      <c r="AE217" s="291"/>
      <c r="AF217" s="291"/>
      <c r="AG217" s="285"/>
      <c r="AH217" s="233"/>
      <c r="AI217" s="233">
        <f t="shared" ref="AI217:AN217" si="44">AI216</f>
        <v>0</v>
      </c>
      <c r="AJ217" s="233">
        <f t="shared" si="44"/>
        <v>0.98</v>
      </c>
      <c r="AK217" s="233">
        <f t="shared" si="44"/>
        <v>0.9</v>
      </c>
      <c r="AL217" s="233">
        <f t="shared" si="44"/>
        <v>0</v>
      </c>
      <c r="AM217" s="233">
        <f t="shared" si="44"/>
        <v>0</v>
      </c>
      <c r="AN217" s="233">
        <f t="shared" si="44"/>
        <v>0.9</v>
      </c>
      <c r="AO217" s="233">
        <v>0</v>
      </c>
      <c r="AP217" s="233">
        <f t="shared" si="37"/>
        <v>0.9</v>
      </c>
      <c r="AQ217" s="303"/>
      <c r="AS217" s="308"/>
      <c r="AT217" s="309"/>
      <c r="AU217" s="309"/>
      <c r="AV217" s="309"/>
      <c r="AW217" s="309"/>
      <c r="AX217" s="309"/>
      <c r="AY217" s="309"/>
      <c r="AZ217" s="309"/>
      <c r="BA217" s="261"/>
      <c r="BB217" s="197"/>
      <c r="BC217" s="309"/>
      <c r="BD217" s="309"/>
      <c r="BE217" s="309"/>
      <c r="BF217" s="309"/>
      <c r="BG217" s="309"/>
      <c r="BH217" s="309"/>
      <c r="BI217" s="309"/>
      <c r="BJ217" s="309"/>
      <c r="BK217" s="261"/>
      <c r="BL217" s="261"/>
      <c r="BM217" s="197"/>
      <c r="BN217" s="197"/>
      <c r="BO217" s="197"/>
    </row>
    <row r="218" ht="15.5" spans="2:67">
      <c r="B218" s="267" t="s">
        <v>365</v>
      </c>
      <c r="C218" s="267">
        <f t="shared" si="38"/>
        <v>7.62975445836404</v>
      </c>
      <c r="D218" s="269">
        <f t="shared" si="39"/>
        <v>5.79354797347089</v>
      </c>
      <c r="E218" s="269">
        <f t="shared" si="40"/>
        <v>9.49761967575534</v>
      </c>
      <c r="I218" s="243" t="s">
        <v>241</v>
      </c>
      <c r="J218" s="282">
        <v>9.49761967575534</v>
      </c>
      <c r="K218" s="282">
        <v>5.20810707442889</v>
      </c>
      <c r="L218" s="282">
        <v>4.4384597641857</v>
      </c>
      <c r="M218" s="282">
        <v>7.59809572586588</v>
      </c>
      <c r="N218" s="282">
        <v>4.16648563006632</v>
      </c>
      <c r="O218" s="282">
        <v>3.55076779661017</v>
      </c>
      <c r="P218" s="282">
        <v>5.79354797347089</v>
      </c>
      <c r="Q218" s="282">
        <v>3.17694532056006</v>
      </c>
      <c r="R218" s="282">
        <v>2.70746042741341</v>
      </c>
      <c r="S218" s="276">
        <f t="shared" ref="S218:U218" si="45">AVERAGE(J218,M218,P218)</f>
        <v>7.62975445836404</v>
      </c>
      <c r="T218" s="276">
        <f t="shared" si="45"/>
        <v>4.18384600835176</v>
      </c>
      <c r="U218" s="276">
        <f t="shared" si="45"/>
        <v>3.56556266273643</v>
      </c>
      <c r="V218" s="285"/>
      <c r="W218" s="289"/>
      <c r="X218" s="291"/>
      <c r="Y218" s="291"/>
      <c r="Z218" s="291"/>
      <c r="AA218" s="296"/>
      <c r="AB218" s="225"/>
      <c r="AC218" s="198"/>
      <c r="AD218" s="297"/>
      <c r="AE218" s="291"/>
      <c r="AF218" s="291"/>
      <c r="AG218" s="285"/>
      <c r="AH218" s="233"/>
      <c r="AI218" s="233">
        <f t="shared" ref="AI218:AN218" si="46">AI217</f>
        <v>0</v>
      </c>
      <c r="AJ218" s="233">
        <f t="shared" si="46"/>
        <v>0.98</v>
      </c>
      <c r="AK218" s="233">
        <f t="shared" si="46"/>
        <v>0.9</v>
      </c>
      <c r="AL218" s="233">
        <f t="shared" si="46"/>
        <v>0</v>
      </c>
      <c r="AM218" s="233">
        <f t="shared" si="46"/>
        <v>0</v>
      </c>
      <c r="AN218" s="233">
        <f t="shared" si="46"/>
        <v>0.9</v>
      </c>
      <c r="AO218" s="233">
        <v>0</v>
      </c>
      <c r="AP218" s="233">
        <f t="shared" si="37"/>
        <v>0.9</v>
      </c>
      <c r="AQ218" s="303"/>
      <c r="AS218" s="308"/>
      <c r="AT218" s="309"/>
      <c r="AU218" s="309"/>
      <c r="AV218" s="309"/>
      <c r="AW218" s="309"/>
      <c r="AX218" s="309"/>
      <c r="AY218" s="309"/>
      <c r="AZ218" s="309"/>
      <c r="BA218" s="261"/>
      <c r="BB218" s="197"/>
      <c r="BC218" s="309"/>
      <c r="BD218" s="309"/>
      <c r="BE218" s="309"/>
      <c r="BF218" s="309"/>
      <c r="BG218" s="309"/>
      <c r="BH218" s="309"/>
      <c r="BI218" s="309"/>
      <c r="BJ218" s="309"/>
      <c r="BK218" s="261"/>
      <c r="BL218" s="261"/>
      <c r="BM218" s="197"/>
      <c r="BN218" s="197"/>
      <c r="BO218" s="197"/>
    </row>
    <row r="219" ht="15.5" spans="2:67">
      <c r="B219" s="267" t="s">
        <v>366</v>
      </c>
      <c r="C219" s="267">
        <f t="shared" si="38"/>
        <v>7.47097081798084</v>
      </c>
      <c r="D219" s="269">
        <f t="shared" si="39"/>
        <v>5.67297781871776</v>
      </c>
      <c r="E219" s="269">
        <f t="shared" si="40"/>
        <v>9.29996366985999</v>
      </c>
      <c r="I219" s="243" t="s">
        <v>247</v>
      </c>
      <c r="J219" s="282">
        <v>9.29996366985999</v>
      </c>
      <c r="K219" s="282">
        <v>5.20810707442889</v>
      </c>
      <c r="L219" s="282">
        <v>4.43956890198968</v>
      </c>
      <c r="M219" s="282">
        <v>7.43997096536478</v>
      </c>
      <c r="N219" s="282">
        <v>4.16648563006632</v>
      </c>
      <c r="O219" s="282">
        <v>3.55165512159175</v>
      </c>
      <c r="P219" s="282">
        <v>5.67297781871776</v>
      </c>
      <c r="Q219" s="282">
        <v>3.17694532056006</v>
      </c>
      <c r="R219" s="282">
        <v>2.70813706705969</v>
      </c>
      <c r="S219" s="276">
        <f t="shared" ref="S219:U219" si="47">AVERAGE(J219,M219,P219)</f>
        <v>7.47097081798084</v>
      </c>
      <c r="T219" s="276">
        <f t="shared" si="47"/>
        <v>4.18384600835176</v>
      </c>
      <c r="U219" s="276">
        <f t="shared" si="47"/>
        <v>3.56645369688037</v>
      </c>
      <c r="V219" s="285"/>
      <c r="W219" s="289"/>
      <c r="X219" s="291"/>
      <c r="Y219" s="291"/>
      <c r="Z219" s="291"/>
      <c r="AA219" s="296"/>
      <c r="AB219" s="225"/>
      <c r="AC219" s="198"/>
      <c r="AD219" s="297"/>
      <c r="AE219" s="291"/>
      <c r="AF219" s="291"/>
      <c r="AG219" s="285"/>
      <c r="AH219" s="233"/>
      <c r="AI219" s="233">
        <f t="shared" ref="AI219:AN219" si="48">AI218</f>
        <v>0</v>
      </c>
      <c r="AJ219" s="233">
        <f t="shared" si="48"/>
        <v>0.98</v>
      </c>
      <c r="AK219" s="233">
        <f t="shared" si="48"/>
        <v>0.9</v>
      </c>
      <c r="AL219" s="233">
        <f t="shared" si="48"/>
        <v>0</v>
      </c>
      <c r="AM219" s="233">
        <f t="shared" si="48"/>
        <v>0</v>
      </c>
      <c r="AN219" s="233">
        <f t="shared" si="48"/>
        <v>0.9</v>
      </c>
      <c r="AO219" s="233">
        <v>0</v>
      </c>
      <c r="AP219" s="233">
        <f t="shared" si="37"/>
        <v>0.9</v>
      </c>
      <c r="AQ219" s="303"/>
      <c r="AS219" s="308"/>
      <c r="AT219" s="309"/>
      <c r="AU219" s="309"/>
      <c r="AV219" s="309"/>
      <c r="AW219" s="309"/>
      <c r="AX219" s="309"/>
      <c r="AY219" s="309"/>
      <c r="AZ219" s="309"/>
      <c r="BA219" s="261"/>
      <c r="BB219" s="197"/>
      <c r="BC219" s="309"/>
      <c r="BD219" s="309"/>
      <c r="BE219" s="309"/>
      <c r="BF219" s="309"/>
      <c r="BG219" s="309"/>
      <c r="BH219" s="309"/>
      <c r="BI219" s="309"/>
      <c r="BJ219" s="309"/>
      <c r="BK219" s="261"/>
      <c r="BL219" s="261"/>
      <c r="BM219" s="197"/>
      <c r="BN219" s="197"/>
      <c r="BO219" s="197"/>
    </row>
    <row r="220" ht="15.5" spans="2:67">
      <c r="B220" s="267" t="s">
        <v>367</v>
      </c>
      <c r="C220" s="267">
        <f t="shared" si="38"/>
        <v>7.51643520019651</v>
      </c>
      <c r="D220" s="269">
        <f t="shared" si="39"/>
        <v>5.70750058953574</v>
      </c>
      <c r="E220" s="269">
        <f t="shared" si="40"/>
        <v>9.35655836403832</v>
      </c>
      <c r="I220" s="243" t="s">
        <v>254</v>
      </c>
      <c r="J220" s="282">
        <v>9.35655836403832</v>
      </c>
      <c r="K220" s="282">
        <v>5.20810707442889</v>
      </c>
      <c r="L220" s="282">
        <v>4.43882940309506</v>
      </c>
      <c r="M220" s="282">
        <v>7.48524664701548</v>
      </c>
      <c r="N220" s="282">
        <v>4.16648563006632</v>
      </c>
      <c r="O220" s="282">
        <v>3.55106352247605</v>
      </c>
      <c r="P220" s="282">
        <v>5.70750058953574</v>
      </c>
      <c r="Q220" s="282">
        <v>3.17694532056006</v>
      </c>
      <c r="R220" s="282">
        <v>2.70768592483419</v>
      </c>
      <c r="S220" s="276">
        <f t="shared" ref="S220:U220" si="49">AVERAGE(J220,M220,P220)</f>
        <v>7.51643520019651</v>
      </c>
      <c r="T220" s="276">
        <f t="shared" si="49"/>
        <v>4.18384600835176</v>
      </c>
      <c r="U220" s="276">
        <f t="shared" si="49"/>
        <v>3.56585961680177</v>
      </c>
      <c r="V220" s="285"/>
      <c r="W220" s="289"/>
      <c r="X220" s="291"/>
      <c r="Y220" s="291"/>
      <c r="Z220" s="291"/>
      <c r="AA220" s="296"/>
      <c r="AB220" s="225"/>
      <c r="AC220" s="198"/>
      <c r="AD220" s="297"/>
      <c r="AE220" s="291"/>
      <c r="AF220" s="291"/>
      <c r="AG220" s="285"/>
      <c r="AH220" s="233"/>
      <c r="AI220" s="233">
        <f t="shared" ref="AI220:AN220" si="50">AI219</f>
        <v>0</v>
      </c>
      <c r="AJ220" s="233">
        <f t="shared" si="50"/>
        <v>0.98</v>
      </c>
      <c r="AK220" s="233">
        <f t="shared" si="50"/>
        <v>0.9</v>
      </c>
      <c r="AL220" s="233">
        <f t="shared" si="50"/>
        <v>0</v>
      </c>
      <c r="AM220" s="233">
        <f t="shared" si="50"/>
        <v>0</v>
      </c>
      <c r="AN220" s="233">
        <f t="shared" si="50"/>
        <v>0.9</v>
      </c>
      <c r="AO220" s="233">
        <v>0</v>
      </c>
      <c r="AP220" s="233">
        <f t="shared" si="37"/>
        <v>0.9</v>
      </c>
      <c r="AQ220" s="303"/>
      <c r="AS220" s="308"/>
      <c r="AT220" s="309"/>
      <c r="AU220" s="309"/>
      <c r="AV220" s="309"/>
      <c r="AW220" s="309"/>
      <c r="AX220" s="309"/>
      <c r="AY220" s="309"/>
      <c r="AZ220" s="309"/>
      <c r="BA220" s="261"/>
      <c r="BB220" s="197"/>
      <c r="BC220" s="309"/>
      <c r="BD220" s="309"/>
      <c r="BE220" s="309"/>
      <c r="BF220" s="309"/>
      <c r="BG220" s="309"/>
      <c r="BH220" s="309"/>
      <c r="BI220" s="309"/>
      <c r="BJ220" s="309"/>
      <c r="BK220" s="261"/>
      <c r="BL220" s="261"/>
      <c r="BM220" s="197"/>
      <c r="BN220" s="197"/>
      <c r="BO220" s="197"/>
    </row>
    <row r="221" ht="15.5" spans="2:67">
      <c r="B221" s="267" t="s">
        <v>368</v>
      </c>
      <c r="C221" s="267">
        <f t="shared" si="38"/>
        <v>7.55036263817244</v>
      </c>
      <c r="D221" s="269">
        <f t="shared" si="39"/>
        <v>5.73326293294031</v>
      </c>
      <c r="E221" s="269">
        <f t="shared" si="40"/>
        <v>9.39879167280766</v>
      </c>
      <c r="I221" s="243" t="s">
        <v>261</v>
      </c>
      <c r="J221" s="282">
        <v>9.39879167280766</v>
      </c>
      <c r="K221" s="282">
        <v>5.20810707442889</v>
      </c>
      <c r="L221" s="282">
        <v>4.4384597641857</v>
      </c>
      <c r="M221" s="282">
        <v>7.51903330876934</v>
      </c>
      <c r="N221" s="282">
        <v>4.16648563006632</v>
      </c>
      <c r="O221" s="282">
        <v>3.55076779661017</v>
      </c>
      <c r="P221" s="282">
        <v>5.73326293294031</v>
      </c>
      <c r="Q221" s="282">
        <v>3.17694532056006</v>
      </c>
      <c r="R221" s="282">
        <v>2.70746042741341</v>
      </c>
      <c r="S221" s="276">
        <f t="shared" ref="S221:U221" si="51">AVERAGE(J221,M221,P221)</f>
        <v>7.55036263817244</v>
      </c>
      <c r="T221" s="276">
        <f t="shared" si="51"/>
        <v>4.18384600835176</v>
      </c>
      <c r="U221" s="276">
        <f t="shared" si="51"/>
        <v>3.56556266273643</v>
      </c>
      <c r="V221" s="285"/>
      <c r="W221" s="289"/>
      <c r="X221" s="291"/>
      <c r="Y221" s="291"/>
      <c r="Z221" s="291"/>
      <c r="AA221" s="296"/>
      <c r="AB221" s="225"/>
      <c r="AC221" s="198"/>
      <c r="AD221" s="297"/>
      <c r="AE221" s="291"/>
      <c r="AF221" s="291"/>
      <c r="AG221" s="285"/>
      <c r="AH221" s="206"/>
      <c r="AI221" s="302"/>
      <c r="AJ221" s="197"/>
      <c r="AK221" s="197"/>
      <c r="AL221" s="197"/>
      <c r="AM221" s="197"/>
      <c r="AN221" s="197"/>
      <c r="AO221" s="197"/>
      <c r="AP221" s="197"/>
      <c r="AQ221" s="303"/>
      <c r="AS221" s="308"/>
      <c r="AT221" s="309"/>
      <c r="AU221" s="309"/>
      <c r="AV221" s="309"/>
      <c r="AW221" s="309"/>
      <c r="AX221" s="309"/>
      <c r="AY221" s="309"/>
      <c r="AZ221" s="309"/>
      <c r="BA221" s="261"/>
      <c r="BB221" s="197"/>
      <c r="BC221" s="309"/>
      <c r="BD221" s="309"/>
      <c r="BE221" s="309"/>
      <c r="BF221" s="309"/>
      <c r="BG221" s="309"/>
      <c r="BH221" s="309"/>
      <c r="BI221" s="309"/>
      <c r="BJ221" s="309"/>
      <c r="BK221" s="261"/>
      <c r="BL221" s="261"/>
      <c r="BM221" s="197"/>
      <c r="BN221" s="197"/>
      <c r="BO221" s="197"/>
    </row>
    <row r="222" ht="15.5" spans="2:67">
      <c r="B222" s="267" t="s">
        <v>369</v>
      </c>
      <c r="C222" s="267">
        <f t="shared" si="38"/>
        <v>7.62975445836404</v>
      </c>
      <c r="D222" s="269">
        <f t="shared" si="39"/>
        <v>5.79354797347089</v>
      </c>
      <c r="E222" s="269">
        <f t="shared" si="40"/>
        <v>9.49761967575534</v>
      </c>
      <c r="I222" s="243" t="s">
        <v>269</v>
      </c>
      <c r="J222" s="282">
        <v>9.49761967575534</v>
      </c>
      <c r="K222" s="282">
        <v>5.20810707442889</v>
      </c>
      <c r="L222" s="282">
        <v>4.43772063375092</v>
      </c>
      <c r="M222" s="282">
        <v>7.59809572586588</v>
      </c>
      <c r="N222" s="282">
        <v>4.16648563006632</v>
      </c>
      <c r="O222" s="282">
        <v>3.55017649226234</v>
      </c>
      <c r="P222" s="282">
        <v>5.79354797347089</v>
      </c>
      <c r="Q222" s="282">
        <v>3.17694532056006</v>
      </c>
      <c r="R222" s="282">
        <v>2.70700957995578</v>
      </c>
      <c r="S222" s="276">
        <f t="shared" ref="S222:U222" si="52">AVERAGE(J222,M222,P222)</f>
        <v>7.62975445836404</v>
      </c>
      <c r="T222" s="276">
        <f t="shared" si="52"/>
        <v>4.18384600835176</v>
      </c>
      <c r="U222" s="276">
        <f t="shared" si="52"/>
        <v>3.56496890198968</v>
      </c>
      <c r="V222" s="285"/>
      <c r="W222" s="289"/>
      <c r="X222" s="291"/>
      <c r="Y222" s="291"/>
      <c r="Z222" s="291"/>
      <c r="AA222" s="296"/>
      <c r="AB222" s="225"/>
      <c r="AC222" s="198"/>
      <c r="AD222" s="297"/>
      <c r="AE222" s="291"/>
      <c r="AF222" s="291"/>
      <c r="AG222" s="285"/>
      <c r="AH222" s="303"/>
      <c r="AI222" s="303"/>
      <c r="AJ222" s="303"/>
      <c r="AK222" s="303"/>
      <c r="AL222" s="303"/>
      <c r="AM222" s="303"/>
      <c r="AN222" s="303"/>
      <c r="AO222" s="303"/>
      <c r="AP222" s="303"/>
      <c r="AQ222" s="303"/>
      <c r="AS222" s="308"/>
      <c r="AT222" s="309"/>
      <c r="AU222" s="309"/>
      <c r="AV222" s="309"/>
      <c r="AW222" s="309"/>
      <c r="AX222" s="309"/>
      <c r="AY222" s="309"/>
      <c r="AZ222" s="309"/>
      <c r="BA222" s="261"/>
      <c r="BB222" s="197"/>
      <c r="BC222" s="309"/>
      <c r="BD222" s="309"/>
      <c r="BE222" s="309"/>
      <c r="BF222" s="309"/>
      <c r="BG222" s="309"/>
      <c r="BH222" s="309"/>
      <c r="BI222" s="309"/>
      <c r="BJ222" s="309"/>
      <c r="BK222" s="261"/>
      <c r="BL222" s="261"/>
      <c r="BM222" s="197"/>
      <c r="BN222" s="197"/>
      <c r="BO222" s="197"/>
    </row>
    <row r="223" ht="21" spans="2:67">
      <c r="B223" s="267" t="s">
        <v>370</v>
      </c>
      <c r="C223" s="267">
        <f t="shared" ref="C223:C229" si="53">T216</f>
        <v>4.18384600835176</v>
      </c>
      <c r="D223" s="269">
        <f t="shared" ref="D223:D229" si="54">Q216</f>
        <v>3.17694532056006</v>
      </c>
      <c r="E223" s="269">
        <f t="shared" ref="E223:E229" si="55">K216</f>
        <v>5.20810707442889</v>
      </c>
      <c r="I223" s="275"/>
      <c r="J223" s="275"/>
      <c r="K223" s="275"/>
      <c r="L223" s="275"/>
      <c r="M223" s="275"/>
      <c r="N223" s="275"/>
      <c r="O223" s="275"/>
      <c r="P223" s="275"/>
      <c r="Q223" s="275"/>
      <c r="R223" s="275"/>
      <c r="S223" s="275"/>
      <c r="T223" s="275"/>
      <c r="U223" s="275"/>
      <c r="V223" s="285"/>
      <c r="W223" s="292"/>
      <c r="X223" s="292"/>
      <c r="Y223" s="292"/>
      <c r="Z223" s="292"/>
      <c r="AA223" s="296"/>
      <c r="AB223" s="225"/>
      <c r="AC223" s="198"/>
      <c r="AD223" s="297"/>
      <c r="AE223" s="291"/>
      <c r="AF223" s="292"/>
      <c r="AG223" s="285"/>
      <c r="AH223" s="234" t="s">
        <v>471</v>
      </c>
      <c r="AI223" s="234"/>
      <c r="AJ223" s="234"/>
      <c r="AK223" s="234"/>
      <c r="AL223" s="234"/>
      <c r="AM223" s="234"/>
      <c r="AN223" s="234"/>
      <c r="AO223" s="303"/>
      <c r="AP223" s="303"/>
      <c r="AQ223" s="303"/>
      <c r="AS223" s="308"/>
      <c r="AT223" s="309"/>
      <c r="AU223" s="309"/>
      <c r="AV223" s="309"/>
      <c r="AW223" s="309"/>
      <c r="AX223" s="309"/>
      <c r="AY223" s="309"/>
      <c r="AZ223" s="309"/>
      <c r="BA223" s="261"/>
      <c r="BB223" s="197"/>
      <c r="BC223" s="309"/>
      <c r="BD223" s="309"/>
      <c r="BE223" s="309"/>
      <c r="BF223" s="309"/>
      <c r="BG223" s="309"/>
      <c r="BH223" s="309"/>
      <c r="BI223" s="309"/>
      <c r="BJ223" s="309"/>
      <c r="BK223" s="261"/>
      <c r="BL223" s="261"/>
      <c r="BM223" s="197"/>
      <c r="BN223" s="197"/>
      <c r="BO223" s="197"/>
    </row>
    <row r="224" ht="13" spans="2:67">
      <c r="B224" s="267" t="s">
        <v>371</v>
      </c>
      <c r="C224" s="267">
        <f t="shared" si="53"/>
        <v>4.18384600835176</v>
      </c>
      <c r="D224" s="269">
        <f t="shared" si="54"/>
        <v>3.17694532056006</v>
      </c>
      <c r="E224" s="269">
        <f t="shared" si="55"/>
        <v>5.20810707442889</v>
      </c>
      <c r="I224" s="275"/>
      <c r="J224" s="275"/>
      <c r="K224" s="275"/>
      <c r="L224" s="275"/>
      <c r="M224" s="275"/>
      <c r="N224" s="275"/>
      <c r="O224" s="275"/>
      <c r="P224" s="275"/>
      <c r="Q224" s="275"/>
      <c r="R224" s="275"/>
      <c r="S224" s="275"/>
      <c r="T224" s="275"/>
      <c r="U224" s="275"/>
      <c r="V224" s="285"/>
      <c r="W224" s="292"/>
      <c r="X224" s="292"/>
      <c r="Y224" s="292"/>
      <c r="Z224" s="292"/>
      <c r="AA224" s="296"/>
      <c r="AB224" s="225"/>
      <c r="AC224" s="198"/>
      <c r="AD224" s="297"/>
      <c r="AE224" s="291"/>
      <c r="AF224" s="292"/>
      <c r="AG224" s="285"/>
      <c r="AH224" s="303"/>
      <c r="AI224" s="304" t="s">
        <v>314</v>
      </c>
      <c r="AJ224" s="304" t="s">
        <v>316</v>
      </c>
      <c r="AK224" s="304" t="s">
        <v>318</v>
      </c>
      <c r="AL224" s="304" t="s">
        <v>327</v>
      </c>
      <c r="AM224" s="304" t="s">
        <v>329</v>
      </c>
      <c r="AN224" s="304" t="s">
        <v>332</v>
      </c>
      <c r="AO224" s="304" t="s">
        <v>472</v>
      </c>
      <c r="AP224" s="303"/>
      <c r="AQ224" s="303"/>
      <c r="AS224" s="308"/>
      <c r="AT224" s="309"/>
      <c r="AU224" s="309"/>
      <c r="AV224" s="309"/>
      <c r="AW224" s="309"/>
      <c r="AX224" s="309"/>
      <c r="AY224" s="309"/>
      <c r="AZ224" s="309"/>
      <c r="BA224" s="261"/>
      <c r="BB224" s="197"/>
      <c r="BC224" s="309"/>
      <c r="BD224" s="309"/>
      <c r="BE224" s="309"/>
      <c r="BF224" s="309"/>
      <c r="BG224" s="309"/>
      <c r="BH224" s="309"/>
      <c r="BI224" s="309"/>
      <c r="BJ224" s="309"/>
      <c r="BK224" s="261"/>
      <c r="BL224" s="261"/>
      <c r="BM224" s="197"/>
      <c r="BN224" s="197"/>
      <c r="BO224" s="197"/>
    </row>
    <row r="225" ht="13" spans="2:67">
      <c r="B225" s="267" t="s">
        <v>372</v>
      </c>
      <c r="C225" s="267">
        <f t="shared" si="53"/>
        <v>4.18384600835176</v>
      </c>
      <c r="D225" s="269">
        <f t="shared" si="54"/>
        <v>3.17694532056006</v>
      </c>
      <c r="E225" s="269">
        <f t="shared" si="55"/>
        <v>5.20810707442889</v>
      </c>
      <c r="I225" s="275"/>
      <c r="J225" s="275"/>
      <c r="K225" s="275"/>
      <c r="L225" s="275"/>
      <c r="M225" s="275"/>
      <c r="N225" s="275"/>
      <c r="O225" s="275"/>
      <c r="P225" s="275"/>
      <c r="Q225" s="275"/>
      <c r="R225" s="275"/>
      <c r="S225" s="275"/>
      <c r="T225" s="275"/>
      <c r="U225" s="275"/>
      <c r="V225" s="285"/>
      <c r="W225" s="292"/>
      <c r="X225" s="292"/>
      <c r="Y225" s="292"/>
      <c r="Z225" s="292"/>
      <c r="AA225" s="296"/>
      <c r="AB225" s="225"/>
      <c r="AC225" s="198"/>
      <c r="AD225" s="297"/>
      <c r="AE225" s="291"/>
      <c r="AF225" s="292"/>
      <c r="AG225" s="285"/>
      <c r="AH225" s="303"/>
      <c r="AI225" s="304">
        <v>0.9</v>
      </c>
      <c r="AJ225" s="304">
        <v>0.98</v>
      </c>
      <c r="AK225" s="304">
        <v>0.98</v>
      </c>
      <c r="AL225" s="304">
        <v>0.98</v>
      </c>
      <c r="AM225" s="304">
        <v>0.9</v>
      </c>
      <c r="AN225" s="304">
        <v>0.9</v>
      </c>
      <c r="AO225" s="304">
        <v>0.9</v>
      </c>
      <c r="AP225" s="303"/>
      <c r="AQ225" s="303"/>
      <c r="AS225" s="308"/>
      <c r="AT225" s="309"/>
      <c r="AU225" s="309"/>
      <c r="AV225" s="309"/>
      <c r="AW225" s="309"/>
      <c r="AX225" s="309"/>
      <c r="AY225" s="309"/>
      <c r="AZ225" s="309"/>
      <c r="BA225" s="261"/>
      <c r="BB225" s="197"/>
      <c r="BC225" s="309"/>
      <c r="BD225" s="309"/>
      <c r="BE225" s="309"/>
      <c r="BF225" s="309"/>
      <c r="BG225" s="309"/>
      <c r="BH225" s="309"/>
      <c r="BI225" s="309"/>
      <c r="BJ225" s="309"/>
      <c r="BK225" s="261"/>
      <c r="BL225" s="261"/>
      <c r="BM225" s="197"/>
      <c r="BN225" s="197"/>
      <c r="BO225" s="197"/>
    </row>
    <row r="226" ht="13" spans="2:67">
      <c r="B226" s="267" t="s">
        <v>373</v>
      </c>
      <c r="C226" s="267">
        <f t="shared" si="53"/>
        <v>4.18384600835176</v>
      </c>
      <c r="D226" s="269">
        <f t="shared" si="54"/>
        <v>3.17694532056006</v>
      </c>
      <c r="E226" s="269">
        <f t="shared" si="55"/>
        <v>5.20810707442889</v>
      </c>
      <c r="I226" s="275"/>
      <c r="J226" s="275"/>
      <c r="K226" s="275"/>
      <c r="L226" s="275"/>
      <c r="M226" s="275"/>
      <c r="N226" s="275"/>
      <c r="O226" s="275"/>
      <c r="P226" s="275"/>
      <c r="Q226" s="275"/>
      <c r="R226" s="275"/>
      <c r="S226" s="275"/>
      <c r="T226" s="275"/>
      <c r="U226" s="275"/>
      <c r="V226" s="285"/>
      <c r="W226" s="292"/>
      <c r="X226" s="292"/>
      <c r="Y226" s="292"/>
      <c r="Z226" s="292"/>
      <c r="AA226" s="296"/>
      <c r="AB226" s="225"/>
      <c r="AC226" s="198"/>
      <c r="AD226" s="297"/>
      <c r="AE226" s="291"/>
      <c r="AF226" s="292"/>
      <c r="AG226" s="285"/>
      <c r="AH226" s="303"/>
      <c r="AI226" s="304">
        <f t="shared" ref="AI226:AO226" si="56">AI225</f>
        <v>0.9</v>
      </c>
      <c r="AJ226" s="304">
        <f t="shared" si="56"/>
        <v>0.98</v>
      </c>
      <c r="AK226" s="304">
        <f t="shared" si="56"/>
        <v>0.98</v>
      </c>
      <c r="AL226" s="304">
        <f t="shared" si="56"/>
        <v>0.98</v>
      </c>
      <c r="AM226" s="304">
        <f t="shared" si="56"/>
        <v>0.9</v>
      </c>
      <c r="AN226" s="304">
        <f t="shared" si="56"/>
        <v>0.9</v>
      </c>
      <c r="AO226" s="304">
        <f t="shared" si="56"/>
        <v>0.9</v>
      </c>
      <c r="AP226" s="303"/>
      <c r="AQ226" s="303"/>
      <c r="AS226" s="308"/>
      <c r="AT226" s="309"/>
      <c r="AU226" s="309"/>
      <c r="AV226" s="309"/>
      <c r="AW226" s="309"/>
      <c r="AX226" s="309"/>
      <c r="AY226" s="309"/>
      <c r="AZ226" s="309"/>
      <c r="BA226" s="261"/>
      <c r="BB226" s="197"/>
      <c r="BC226" s="309"/>
      <c r="BD226" s="309"/>
      <c r="BE226" s="309"/>
      <c r="BF226" s="309"/>
      <c r="BG226" s="309"/>
      <c r="BH226" s="309"/>
      <c r="BI226" s="309"/>
      <c r="BJ226" s="309"/>
      <c r="BK226" s="261"/>
      <c r="BL226" s="261"/>
      <c r="BM226" s="197"/>
      <c r="BN226" s="197"/>
      <c r="BO226" s="197"/>
    </row>
    <row r="227" ht="13" spans="2:67">
      <c r="B227" s="267" t="s">
        <v>374</v>
      </c>
      <c r="C227" s="267">
        <f t="shared" si="53"/>
        <v>4.18384600835176</v>
      </c>
      <c r="D227" s="269">
        <f t="shared" si="54"/>
        <v>3.17694532056006</v>
      </c>
      <c r="E227" s="269">
        <f t="shared" si="55"/>
        <v>5.20810707442889</v>
      </c>
      <c r="I227" s="275"/>
      <c r="J227" s="275"/>
      <c r="K227" s="275"/>
      <c r="L227" s="275"/>
      <c r="M227" s="275"/>
      <c r="N227" s="275"/>
      <c r="O227" s="275"/>
      <c r="P227" s="275"/>
      <c r="Q227" s="275"/>
      <c r="R227" s="275"/>
      <c r="S227" s="275"/>
      <c r="T227" s="275"/>
      <c r="U227" s="275"/>
      <c r="V227" s="285"/>
      <c r="W227" s="292"/>
      <c r="X227" s="292"/>
      <c r="Y227" s="292"/>
      <c r="Z227" s="292"/>
      <c r="AA227" s="296"/>
      <c r="AB227" s="225"/>
      <c r="AC227" s="198"/>
      <c r="AD227" s="297"/>
      <c r="AE227" s="291"/>
      <c r="AF227" s="292"/>
      <c r="AG227" s="285"/>
      <c r="AH227" s="303"/>
      <c r="AI227" s="304">
        <f t="shared" ref="AI227:AO227" si="57">AI226</f>
        <v>0.9</v>
      </c>
      <c r="AJ227" s="304">
        <f t="shared" si="57"/>
        <v>0.98</v>
      </c>
      <c r="AK227" s="304">
        <f t="shared" si="57"/>
        <v>0.98</v>
      </c>
      <c r="AL227" s="304">
        <f t="shared" si="57"/>
        <v>0.98</v>
      </c>
      <c r="AM227" s="304">
        <f t="shared" si="57"/>
        <v>0.9</v>
      </c>
      <c r="AN227" s="304">
        <f t="shared" si="57"/>
        <v>0.9</v>
      </c>
      <c r="AO227" s="304">
        <f t="shared" si="57"/>
        <v>0.9</v>
      </c>
      <c r="AP227" s="303"/>
      <c r="AQ227" s="303"/>
      <c r="AS227" s="308"/>
      <c r="AT227" s="309"/>
      <c r="AU227" s="309"/>
      <c r="AV227" s="309"/>
      <c r="AW227" s="309"/>
      <c r="AX227" s="309"/>
      <c r="AY227" s="309"/>
      <c r="AZ227" s="309"/>
      <c r="BA227" s="261"/>
      <c r="BB227" s="197"/>
      <c r="BC227" s="309"/>
      <c r="BD227" s="309"/>
      <c r="BE227" s="309"/>
      <c r="BF227" s="309"/>
      <c r="BG227" s="309"/>
      <c r="BH227" s="309"/>
      <c r="BI227" s="309"/>
      <c r="BJ227" s="309"/>
      <c r="BK227" s="261"/>
      <c r="BL227" s="261"/>
      <c r="BM227" s="197"/>
      <c r="BN227" s="197"/>
      <c r="BO227" s="197"/>
    </row>
    <row r="228" ht="13" spans="2:67">
      <c r="B228" s="267" t="s">
        <v>375</v>
      </c>
      <c r="C228" s="267">
        <f t="shared" si="53"/>
        <v>4.18384600835176</v>
      </c>
      <c r="D228" s="269">
        <f t="shared" si="54"/>
        <v>3.17694532056006</v>
      </c>
      <c r="E228" s="269">
        <f t="shared" si="55"/>
        <v>5.20810707442889</v>
      </c>
      <c r="I228" s="275"/>
      <c r="J228" s="275"/>
      <c r="K228" s="275"/>
      <c r="L228" s="275"/>
      <c r="M228" s="275"/>
      <c r="N228" s="275"/>
      <c r="O228" s="275"/>
      <c r="P228" s="275"/>
      <c r="Q228" s="275"/>
      <c r="R228" s="275"/>
      <c r="S228" s="275"/>
      <c r="T228" s="275"/>
      <c r="U228" s="275"/>
      <c r="V228" s="285"/>
      <c r="W228" s="292"/>
      <c r="X228" s="292"/>
      <c r="Y228" s="292"/>
      <c r="Z228" s="292"/>
      <c r="AA228" s="296"/>
      <c r="AB228" s="225"/>
      <c r="AC228" s="198"/>
      <c r="AD228" s="297"/>
      <c r="AE228" s="291"/>
      <c r="AF228" s="292"/>
      <c r="AG228" s="285"/>
      <c r="AH228" s="303"/>
      <c r="AI228" s="304">
        <f t="shared" ref="AI228:AO228" si="58">AI227</f>
        <v>0.9</v>
      </c>
      <c r="AJ228" s="304">
        <f t="shared" si="58"/>
        <v>0.98</v>
      </c>
      <c r="AK228" s="304">
        <f t="shared" si="58"/>
        <v>0.98</v>
      </c>
      <c r="AL228" s="304">
        <f t="shared" si="58"/>
        <v>0.98</v>
      </c>
      <c r="AM228" s="304">
        <f t="shared" si="58"/>
        <v>0.9</v>
      </c>
      <c r="AN228" s="304">
        <f t="shared" si="58"/>
        <v>0.9</v>
      </c>
      <c r="AO228" s="304">
        <f t="shared" si="58"/>
        <v>0.9</v>
      </c>
      <c r="AP228" s="303"/>
      <c r="AQ228" s="303"/>
      <c r="AS228" s="308"/>
      <c r="AT228" s="309"/>
      <c r="AU228" s="309"/>
      <c r="AV228" s="309"/>
      <c r="AW228" s="309"/>
      <c r="AX228" s="309"/>
      <c r="AY228" s="309"/>
      <c r="AZ228" s="309"/>
      <c r="BA228" s="261"/>
      <c r="BB228" s="197"/>
      <c r="BC228" s="309"/>
      <c r="BD228" s="309"/>
      <c r="BE228" s="309"/>
      <c r="BF228" s="309"/>
      <c r="BG228" s="309"/>
      <c r="BH228" s="309"/>
      <c r="BI228" s="309"/>
      <c r="BJ228" s="309"/>
      <c r="BK228" s="261"/>
      <c r="BL228" s="261"/>
      <c r="BM228" s="197"/>
      <c r="BN228" s="197"/>
      <c r="BO228" s="197"/>
    </row>
    <row r="229" ht="13" spans="2:67">
      <c r="B229" s="267" t="s">
        <v>376</v>
      </c>
      <c r="C229" s="267">
        <f t="shared" si="53"/>
        <v>4.18384600835176</v>
      </c>
      <c r="D229" s="269">
        <f t="shared" si="54"/>
        <v>3.17694532056006</v>
      </c>
      <c r="E229" s="269">
        <f t="shared" si="55"/>
        <v>5.20810707442889</v>
      </c>
      <c r="I229" s="275"/>
      <c r="J229" s="275"/>
      <c r="K229" s="275"/>
      <c r="L229" s="275"/>
      <c r="M229" s="275"/>
      <c r="N229" s="275"/>
      <c r="O229" s="275"/>
      <c r="P229" s="275"/>
      <c r="Q229" s="275"/>
      <c r="R229" s="275"/>
      <c r="S229" s="275"/>
      <c r="T229" s="275"/>
      <c r="U229" s="275"/>
      <c r="V229" s="285"/>
      <c r="W229" s="292"/>
      <c r="X229" s="292"/>
      <c r="Y229" s="292"/>
      <c r="Z229" s="292"/>
      <c r="AA229" s="296"/>
      <c r="AB229" s="225"/>
      <c r="AC229" s="198"/>
      <c r="AD229" s="297"/>
      <c r="AE229" s="291"/>
      <c r="AF229" s="292"/>
      <c r="AG229" s="285"/>
      <c r="AH229" s="303"/>
      <c r="AI229" s="304">
        <f t="shared" ref="AI229:AO229" si="59">AI228</f>
        <v>0.9</v>
      </c>
      <c r="AJ229" s="304">
        <f t="shared" si="59"/>
        <v>0.98</v>
      </c>
      <c r="AK229" s="304">
        <f t="shared" si="59"/>
        <v>0.98</v>
      </c>
      <c r="AL229" s="304">
        <f t="shared" si="59"/>
        <v>0.98</v>
      </c>
      <c r="AM229" s="304">
        <f t="shared" si="59"/>
        <v>0.9</v>
      </c>
      <c r="AN229" s="304">
        <f t="shared" si="59"/>
        <v>0.9</v>
      </c>
      <c r="AO229" s="304">
        <f t="shared" si="59"/>
        <v>0.9</v>
      </c>
      <c r="AP229" s="303"/>
      <c r="AQ229" s="303"/>
      <c r="AS229" s="308"/>
      <c r="AT229" s="309"/>
      <c r="AU229" s="309"/>
      <c r="AV229" s="309"/>
      <c r="AW229" s="309"/>
      <c r="AX229" s="309"/>
      <c r="AY229" s="309"/>
      <c r="AZ229" s="309"/>
      <c r="BA229" s="261"/>
      <c r="BB229" s="197"/>
      <c r="BC229" s="309"/>
      <c r="BD229" s="309"/>
      <c r="BE229" s="309"/>
      <c r="BF229" s="309"/>
      <c r="BG229" s="309"/>
      <c r="BH229" s="309"/>
      <c r="BI229" s="309"/>
      <c r="BJ229" s="309"/>
      <c r="BK229" s="261"/>
      <c r="BL229" s="261"/>
      <c r="BM229" s="197"/>
      <c r="BN229" s="197"/>
      <c r="BO229" s="197"/>
    </row>
    <row r="230" ht="23" spans="1:67">
      <c r="A230" s="271"/>
      <c r="B230" s="267" t="s">
        <v>377</v>
      </c>
      <c r="C230" s="267">
        <f t="shared" ref="C230:C236" si="60">U216</f>
        <v>3.56556266273643</v>
      </c>
      <c r="D230" s="269">
        <f t="shared" ref="D230:D236" si="61">R216</f>
        <v>2.70746042741341</v>
      </c>
      <c r="E230" s="269">
        <f t="shared" ref="E230:E236" si="62">L216</f>
        <v>4.4384597641857</v>
      </c>
      <c r="I230" s="283" t="s">
        <v>473</v>
      </c>
      <c r="J230" s="257" t="s">
        <v>474</v>
      </c>
      <c r="K230" s="257"/>
      <c r="L230" s="257"/>
      <c r="M230" s="257"/>
      <c r="N230" s="257"/>
      <c r="O230" s="257"/>
      <c r="P230" s="257"/>
      <c r="Q230" s="257"/>
      <c r="R230" s="257"/>
      <c r="S230" s="275"/>
      <c r="T230" s="275"/>
      <c r="U230" s="275"/>
      <c r="V230" s="293"/>
      <c r="W230" s="294"/>
      <c r="X230" s="294"/>
      <c r="Y230" s="294"/>
      <c r="Z230" s="294"/>
      <c r="AA230" s="296"/>
      <c r="AB230" s="225"/>
      <c r="AC230" s="198"/>
      <c r="AD230" s="297"/>
      <c r="AE230" s="291"/>
      <c r="AF230" s="292"/>
      <c r="AG230" s="285"/>
      <c r="AH230" s="303"/>
      <c r="AI230" s="304">
        <f t="shared" ref="AI230:AO230" si="63">AI229</f>
        <v>0.9</v>
      </c>
      <c r="AJ230" s="304">
        <f t="shared" si="63"/>
        <v>0.98</v>
      </c>
      <c r="AK230" s="304">
        <f t="shared" si="63"/>
        <v>0.98</v>
      </c>
      <c r="AL230" s="304">
        <f t="shared" si="63"/>
        <v>0.98</v>
      </c>
      <c r="AM230" s="304">
        <f t="shared" si="63"/>
        <v>0.9</v>
      </c>
      <c r="AN230" s="304">
        <f t="shared" si="63"/>
        <v>0.9</v>
      </c>
      <c r="AO230" s="304">
        <f t="shared" si="63"/>
        <v>0.9</v>
      </c>
      <c r="AP230" s="303"/>
      <c r="AQ230" s="303"/>
      <c r="AS230" s="310"/>
      <c r="AT230" s="311"/>
      <c r="AU230" s="311"/>
      <c r="AV230" s="311"/>
      <c r="AW230" s="311"/>
      <c r="AX230" s="311"/>
      <c r="AY230" s="311"/>
      <c r="AZ230" s="311"/>
      <c r="BA230" s="261"/>
      <c r="BB230" s="312"/>
      <c r="BC230" s="311"/>
      <c r="BD230" s="309"/>
      <c r="BE230" s="309"/>
      <c r="BF230" s="309"/>
      <c r="BG230" s="309"/>
      <c r="BH230" s="309"/>
      <c r="BI230" s="309"/>
      <c r="BJ230" s="309"/>
      <c r="BK230" s="261"/>
      <c r="BL230" s="261"/>
      <c r="BM230" s="197"/>
      <c r="BN230" s="197"/>
      <c r="BO230" s="197"/>
    </row>
    <row r="231" ht="25" spans="1:67">
      <c r="A231" s="249"/>
      <c r="B231" s="267" t="s">
        <v>378</v>
      </c>
      <c r="C231" s="267">
        <f t="shared" si="60"/>
        <v>3.60087708179809</v>
      </c>
      <c r="D231" s="269">
        <f t="shared" si="61"/>
        <v>2.73427597641857</v>
      </c>
      <c r="E231" s="269">
        <f t="shared" si="62"/>
        <v>4.48241960206338</v>
      </c>
      <c r="I231" s="216" t="s">
        <v>475</v>
      </c>
      <c r="J231" s="216"/>
      <c r="K231" s="216"/>
      <c r="L231" s="216"/>
      <c r="M231" s="216"/>
      <c r="N231" s="216"/>
      <c r="O231" s="216"/>
      <c r="P231" s="216"/>
      <c r="Q231" s="275"/>
      <c r="R231" s="259" t="s">
        <v>419</v>
      </c>
      <c r="S231" s="275"/>
      <c r="T231" s="275"/>
      <c r="U231" s="275"/>
      <c r="V231" s="293"/>
      <c r="W231" s="293"/>
      <c r="X231" s="293"/>
      <c r="Y231" s="293"/>
      <c r="Z231" s="293"/>
      <c r="AA231" s="296"/>
      <c r="AB231" s="225"/>
      <c r="AC231" s="198"/>
      <c r="AD231" s="297"/>
      <c r="AE231" s="291"/>
      <c r="AF231" s="293"/>
      <c r="AG231" s="285"/>
      <c r="AH231" s="303"/>
      <c r="AI231" s="304">
        <f t="shared" ref="AI231:AO231" si="64">AI230</f>
        <v>0.9</v>
      </c>
      <c r="AJ231" s="304">
        <f t="shared" si="64"/>
        <v>0.98</v>
      </c>
      <c r="AK231" s="304">
        <f t="shared" si="64"/>
        <v>0.98</v>
      </c>
      <c r="AL231" s="304">
        <f t="shared" si="64"/>
        <v>0.98</v>
      </c>
      <c r="AM231" s="304">
        <f t="shared" si="64"/>
        <v>0.9</v>
      </c>
      <c r="AN231" s="304">
        <f t="shared" si="64"/>
        <v>0.9</v>
      </c>
      <c r="AO231" s="304">
        <f t="shared" si="64"/>
        <v>0.9</v>
      </c>
      <c r="AP231" s="303"/>
      <c r="AQ231" s="303"/>
      <c r="AS231" s="310"/>
      <c r="AT231" s="311"/>
      <c r="AU231" s="311"/>
      <c r="AV231" s="311"/>
      <c r="AW231" s="311"/>
      <c r="AX231" s="311"/>
      <c r="AY231" s="311"/>
      <c r="AZ231" s="311"/>
      <c r="BA231" s="261"/>
      <c r="BB231" s="312"/>
      <c r="BC231" s="311"/>
      <c r="BD231" s="309"/>
      <c r="BE231" s="309"/>
      <c r="BF231" s="309"/>
      <c r="BG231" s="309"/>
      <c r="BH231" s="309"/>
      <c r="BI231" s="309"/>
      <c r="BJ231" s="309"/>
      <c r="BK231" s="261"/>
      <c r="BL231" s="261"/>
      <c r="BM231" s="197"/>
      <c r="BN231" s="197"/>
      <c r="BO231" s="197"/>
    </row>
    <row r="232" ht="13" spans="2:67">
      <c r="B232" s="267" t="s">
        <v>379</v>
      </c>
      <c r="C232" s="267">
        <f t="shared" si="60"/>
        <v>3.56556266273643</v>
      </c>
      <c r="D232" s="269">
        <f t="shared" si="61"/>
        <v>2.70746042741341</v>
      </c>
      <c r="E232" s="269">
        <f t="shared" si="62"/>
        <v>4.4384597641857</v>
      </c>
      <c r="I232" s="216" t="s">
        <v>220</v>
      </c>
      <c r="J232" s="216" t="s">
        <v>213</v>
      </c>
      <c r="K232" s="216" t="s">
        <v>221</v>
      </c>
      <c r="L232" s="216" t="s">
        <v>222</v>
      </c>
      <c r="M232" s="216" t="s">
        <v>223</v>
      </c>
      <c r="N232" s="216" t="s">
        <v>224</v>
      </c>
      <c r="O232" s="216" t="s">
        <v>225</v>
      </c>
      <c r="P232" s="216" t="s">
        <v>226</v>
      </c>
      <c r="Q232" s="216"/>
      <c r="R232" s="259"/>
      <c r="S232" s="275"/>
      <c r="T232" s="275"/>
      <c r="U232" s="275"/>
      <c r="V232" s="293"/>
      <c r="W232" s="293"/>
      <c r="X232" s="293"/>
      <c r="Y232" s="293"/>
      <c r="Z232" s="293"/>
      <c r="AA232" s="296"/>
      <c r="AB232" s="225"/>
      <c r="AC232" s="198"/>
      <c r="AD232" s="297"/>
      <c r="AE232" s="291"/>
      <c r="AF232" s="293"/>
      <c r="AG232" s="285"/>
      <c r="AH232" s="303"/>
      <c r="AI232" s="303"/>
      <c r="AJ232" s="303"/>
      <c r="AK232" s="303"/>
      <c r="AL232" s="303"/>
      <c r="AM232" s="303"/>
      <c r="AN232" s="303"/>
      <c r="AO232" s="303"/>
      <c r="AP232" s="303"/>
      <c r="AQ232" s="303"/>
      <c r="AS232" s="310"/>
      <c r="AT232" s="311"/>
      <c r="AU232" s="311"/>
      <c r="AV232" s="311"/>
      <c r="AW232" s="311"/>
      <c r="AX232" s="311"/>
      <c r="AY232" s="311"/>
      <c r="AZ232" s="311"/>
      <c r="BA232" s="261"/>
      <c r="BB232" s="312"/>
      <c r="BC232" s="311"/>
      <c r="BD232" s="309"/>
      <c r="BE232" s="309"/>
      <c r="BF232" s="309"/>
      <c r="BG232" s="309"/>
      <c r="BH232" s="309"/>
      <c r="BI232" s="309"/>
      <c r="BJ232" s="309"/>
      <c r="BK232" s="261"/>
      <c r="BL232" s="261"/>
      <c r="BM232" s="197"/>
      <c r="BN232" s="197"/>
      <c r="BO232" s="197"/>
    </row>
    <row r="233" ht="13" spans="2:67">
      <c r="B233" s="267" t="s">
        <v>380</v>
      </c>
      <c r="C233" s="267">
        <f t="shared" si="60"/>
        <v>3.56645369688037</v>
      </c>
      <c r="D233" s="269">
        <f t="shared" si="61"/>
        <v>2.70813706705969</v>
      </c>
      <c r="E233" s="269">
        <f t="shared" si="62"/>
        <v>4.43956890198968</v>
      </c>
      <c r="I233" s="216" t="s">
        <v>406</v>
      </c>
      <c r="J233" s="216">
        <v>0.095</v>
      </c>
      <c r="K233" s="216">
        <v>0</v>
      </c>
      <c r="L233" s="216">
        <v>0</v>
      </c>
      <c r="M233" s="216">
        <v>0</v>
      </c>
      <c r="N233" s="216">
        <v>3.528</v>
      </c>
      <c r="O233" s="216">
        <v>0.946</v>
      </c>
      <c r="P233" s="216">
        <v>1.085</v>
      </c>
      <c r="Q233" s="275"/>
      <c r="R233" s="259">
        <f t="shared" ref="R233:R239" si="65">SUM(J233:P233)</f>
        <v>5.654</v>
      </c>
      <c r="S233" s="275"/>
      <c r="T233" s="275"/>
      <c r="U233" s="216"/>
      <c r="V233" s="293"/>
      <c r="W233" s="293"/>
      <c r="X233" s="293"/>
      <c r="Y233" s="293"/>
      <c r="Z233" s="293"/>
      <c r="AA233" s="296"/>
      <c r="AB233" s="225"/>
      <c r="AC233" s="198"/>
      <c r="AD233" s="297"/>
      <c r="AE233" s="291"/>
      <c r="AF233" s="293"/>
      <c r="AG233" s="285"/>
      <c r="AH233" s="303"/>
      <c r="AI233" s="303"/>
      <c r="AJ233" s="303"/>
      <c r="AK233" s="303"/>
      <c r="AL233" s="303"/>
      <c r="AM233" s="303"/>
      <c r="AN233" s="303"/>
      <c r="AO233" s="303"/>
      <c r="AP233" s="303"/>
      <c r="AQ233" s="303"/>
      <c r="AS233" s="310"/>
      <c r="AT233" s="311"/>
      <c r="AU233" s="311"/>
      <c r="AV233" s="311"/>
      <c r="AW233" s="311"/>
      <c r="AX233" s="311"/>
      <c r="AY233" s="311"/>
      <c r="AZ233" s="311"/>
      <c r="BA233" s="261"/>
      <c r="BB233" s="312"/>
      <c r="BC233" s="311"/>
      <c r="BD233" s="309"/>
      <c r="BE233" s="309"/>
      <c r="BF233" s="309"/>
      <c r="BG233" s="309"/>
      <c r="BH233" s="309"/>
      <c r="BI233" s="309"/>
      <c r="BJ233" s="309"/>
      <c r="BK233" s="261"/>
      <c r="BL233" s="261"/>
      <c r="BM233" s="197"/>
      <c r="BN233" s="197"/>
      <c r="BO233" s="197"/>
    </row>
    <row r="234" ht="21" spans="2:67">
      <c r="B234" s="267" t="s">
        <v>381</v>
      </c>
      <c r="C234" s="267">
        <f t="shared" si="60"/>
        <v>3.56585961680177</v>
      </c>
      <c r="D234" s="269">
        <f t="shared" si="61"/>
        <v>2.70768592483419</v>
      </c>
      <c r="E234" s="269">
        <f t="shared" si="62"/>
        <v>4.43882940309506</v>
      </c>
      <c r="I234" s="216" t="s">
        <v>409</v>
      </c>
      <c r="J234" s="216">
        <v>0.106</v>
      </c>
      <c r="K234" s="216">
        <v>0</v>
      </c>
      <c r="L234" s="216">
        <v>0</v>
      </c>
      <c r="M234" s="216">
        <v>1.396</v>
      </c>
      <c r="N234" s="216">
        <v>3.369</v>
      </c>
      <c r="O234" s="216">
        <v>0.863</v>
      </c>
      <c r="P234" s="216">
        <v>0.911</v>
      </c>
      <c r="Q234" s="275"/>
      <c r="R234" s="259">
        <f t="shared" si="65"/>
        <v>6.645</v>
      </c>
      <c r="S234" s="275"/>
      <c r="T234" s="275"/>
      <c r="U234" s="216"/>
      <c r="V234" s="293"/>
      <c r="W234" s="293"/>
      <c r="X234" s="293"/>
      <c r="Y234" s="293"/>
      <c r="Z234" s="293"/>
      <c r="AA234" s="296"/>
      <c r="AB234" s="225"/>
      <c r="AC234" s="198"/>
      <c r="AD234" s="297"/>
      <c r="AE234" s="291"/>
      <c r="AF234" s="293"/>
      <c r="AG234" s="285"/>
      <c r="AH234" s="234" t="s">
        <v>476</v>
      </c>
      <c r="AI234" s="234"/>
      <c r="AJ234" s="234"/>
      <c r="AK234" s="234"/>
      <c r="AL234" s="234"/>
      <c r="AM234" s="234"/>
      <c r="AN234" s="234"/>
      <c r="AO234" s="197"/>
      <c r="AP234" s="197"/>
      <c r="AS234" s="310"/>
      <c r="AT234" s="311"/>
      <c r="AU234" s="311"/>
      <c r="AV234" s="311"/>
      <c r="AW234" s="311"/>
      <c r="AX234" s="311"/>
      <c r="AY234" s="311"/>
      <c r="AZ234" s="311"/>
      <c r="BA234" s="261"/>
      <c r="BB234" s="312"/>
      <c r="BC234" s="311"/>
      <c r="BD234" s="309"/>
      <c r="BE234" s="309"/>
      <c r="BF234" s="309"/>
      <c r="BG234" s="309"/>
      <c r="BH234" s="309"/>
      <c r="BI234" s="309"/>
      <c r="BJ234" s="309"/>
      <c r="BK234" s="261"/>
      <c r="BL234" s="261"/>
      <c r="BM234" s="197"/>
      <c r="BN234" s="197"/>
      <c r="BO234" s="197"/>
    </row>
    <row r="235" ht="13" spans="2:67">
      <c r="B235" s="267" t="s">
        <v>382</v>
      </c>
      <c r="C235" s="267">
        <f t="shared" si="60"/>
        <v>3.56556266273643</v>
      </c>
      <c r="D235" s="269">
        <f t="shared" si="61"/>
        <v>2.70746042741341</v>
      </c>
      <c r="E235" s="269">
        <f t="shared" si="62"/>
        <v>4.4384597641857</v>
      </c>
      <c r="I235" s="216" t="s">
        <v>412</v>
      </c>
      <c r="J235" s="216">
        <v>0.102</v>
      </c>
      <c r="K235" s="216">
        <v>0.672</v>
      </c>
      <c r="L235" s="216">
        <v>0.127</v>
      </c>
      <c r="M235" s="216">
        <v>0</v>
      </c>
      <c r="N235" s="216">
        <v>2.92</v>
      </c>
      <c r="O235" s="216">
        <v>0.564</v>
      </c>
      <c r="P235" s="216">
        <v>0.978</v>
      </c>
      <c r="Q235" s="275"/>
      <c r="R235" s="259">
        <f t="shared" si="65"/>
        <v>5.363</v>
      </c>
      <c r="S235" s="275"/>
      <c r="T235" s="275"/>
      <c r="U235" s="216"/>
      <c r="V235" s="293"/>
      <c r="W235" s="293"/>
      <c r="X235" s="293"/>
      <c r="Y235" s="293"/>
      <c r="Z235" s="293"/>
      <c r="AA235" s="296"/>
      <c r="AB235" s="225"/>
      <c r="AC235" s="198"/>
      <c r="AD235" s="297"/>
      <c r="AE235" s="291"/>
      <c r="AF235" s="293"/>
      <c r="AG235" s="285"/>
      <c r="AH235" s="197"/>
      <c r="AI235" s="304" t="s">
        <v>314</v>
      </c>
      <c r="AJ235" s="304" t="s">
        <v>316</v>
      </c>
      <c r="AK235" s="304" t="s">
        <v>318</v>
      </c>
      <c r="AL235" s="304" t="s">
        <v>327</v>
      </c>
      <c r="AM235" s="304" t="s">
        <v>329</v>
      </c>
      <c r="AN235" s="304" t="s">
        <v>332</v>
      </c>
      <c r="AO235" s="304" t="s">
        <v>472</v>
      </c>
      <c r="AP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row>
    <row r="236" ht="13" spans="2:67">
      <c r="B236" s="272" t="s">
        <v>383</v>
      </c>
      <c r="C236" s="267">
        <f t="shared" si="60"/>
        <v>3.56496890198968</v>
      </c>
      <c r="D236" s="269">
        <f t="shared" si="61"/>
        <v>2.70700957995578</v>
      </c>
      <c r="E236" s="269">
        <f t="shared" si="62"/>
        <v>4.43772063375092</v>
      </c>
      <c r="I236" s="216" t="s">
        <v>414</v>
      </c>
      <c r="J236" s="216">
        <v>0.141</v>
      </c>
      <c r="K236" s="216">
        <v>0.351</v>
      </c>
      <c r="L236" s="216">
        <v>0.352</v>
      </c>
      <c r="M236" s="216">
        <v>0.328</v>
      </c>
      <c r="N236" s="216">
        <v>3.11</v>
      </c>
      <c r="O236" s="216">
        <v>0.677</v>
      </c>
      <c r="P236" s="216">
        <v>0.978</v>
      </c>
      <c r="Q236" s="275"/>
      <c r="R236" s="259">
        <f t="shared" si="65"/>
        <v>5.937</v>
      </c>
      <c r="S236" s="275"/>
      <c r="T236" s="275"/>
      <c r="U236" s="216"/>
      <c r="V236" s="293"/>
      <c r="W236" s="293"/>
      <c r="X236" s="293"/>
      <c r="Y236" s="293"/>
      <c r="Z236" s="293"/>
      <c r="AA236" s="296"/>
      <c r="AB236" s="225"/>
      <c r="AC236" s="198"/>
      <c r="AD236" s="292"/>
      <c r="AE236" s="298"/>
      <c r="AF236" s="293"/>
      <c r="AG236" s="285"/>
      <c r="AH236" s="197"/>
      <c r="AI236" s="305">
        <v>0.9</v>
      </c>
      <c r="AJ236" s="304">
        <v>0.9</v>
      </c>
      <c r="AK236" s="304">
        <v>0.9</v>
      </c>
      <c r="AL236" s="304">
        <v>0.9</v>
      </c>
      <c r="AM236" s="304">
        <v>0.9</v>
      </c>
      <c r="AN236" s="304">
        <v>0.9</v>
      </c>
      <c r="AO236" s="304">
        <v>0.9</v>
      </c>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row>
    <row r="237" ht="14.5" spans="2:67">
      <c r="B237" s="273"/>
      <c r="C237"/>
      <c r="D237"/>
      <c r="I237" s="216" t="s">
        <v>415</v>
      </c>
      <c r="J237" s="216">
        <v>0.136</v>
      </c>
      <c r="K237" s="216">
        <v>0.508</v>
      </c>
      <c r="L237" s="216">
        <v>0.204</v>
      </c>
      <c r="M237" s="216">
        <v>0.285</v>
      </c>
      <c r="N237" s="216">
        <v>3.07</v>
      </c>
      <c r="O237" s="216">
        <v>0.661</v>
      </c>
      <c r="P237" s="216">
        <v>0.981</v>
      </c>
      <c r="Q237" s="275"/>
      <c r="R237" s="259">
        <f t="shared" si="65"/>
        <v>5.845</v>
      </c>
      <c r="S237" s="275"/>
      <c r="T237" s="275"/>
      <c r="U237" s="216"/>
      <c r="V237" s="293"/>
      <c r="W237" s="293"/>
      <c r="X237" s="293"/>
      <c r="Y237" s="293"/>
      <c r="Z237" s="293"/>
      <c r="AA237" s="225"/>
      <c r="AB237" s="225"/>
      <c r="AC237" s="198"/>
      <c r="AD237" s="297"/>
      <c r="AE237" s="291"/>
      <c r="AF237" s="293"/>
      <c r="AG237" s="285"/>
      <c r="AH237" s="197"/>
      <c r="AI237" s="305">
        <f t="shared" ref="AI237:AO237" si="66">AI236</f>
        <v>0.9</v>
      </c>
      <c r="AJ237" s="304">
        <f t="shared" si="66"/>
        <v>0.9</v>
      </c>
      <c r="AK237" s="304">
        <f t="shared" si="66"/>
        <v>0.9</v>
      </c>
      <c r="AL237" s="304">
        <f t="shared" si="66"/>
        <v>0.9</v>
      </c>
      <c r="AM237" s="304">
        <f t="shared" si="66"/>
        <v>0.9</v>
      </c>
      <c r="AN237" s="304">
        <f t="shared" si="66"/>
        <v>0.9</v>
      </c>
      <c r="AO237" s="304">
        <f t="shared" si="66"/>
        <v>0.9</v>
      </c>
      <c r="AS237" s="198"/>
      <c r="AT237" s="198"/>
      <c r="AU237" s="198"/>
      <c r="AV237" s="198"/>
      <c r="AW237" s="198"/>
      <c r="AX237" s="198"/>
      <c r="AY237" s="198"/>
      <c r="AZ237" s="198"/>
      <c r="BA237" s="198"/>
      <c r="BB237" s="198"/>
      <c r="BC237" s="198"/>
      <c r="BD237" s="226"/>
      <c r="BE237" s="226"/>
      <c r="BF237" s="198"/>
      <c r="BG237" s="198"/>
      <c r="BH237" s="198"/>
      <c r="BI237" s="198"/>
      <c r="BJ237" s="198"/>
      <c r="BK237" s="198"/>
      <c r="BL237" s="198"/>
      <c r="BM237" s="198"/>
      <c r="BN237" s="197"/>
      <c r="BO237" s="197"/>
    </row>
    <row r="238" ht="14.5" spans="2:67">
      <c r="B238" s="273"/>
      <c r="C238"/>
      <c r="D238"/>
      <c r="I238" s="216" t="s">
        <v>416</v>
      </c>
      <c r="J238" s="216">
        <v>0.118</v>
      </c>
      <c r="K238" s="216">
        <v>0.531</v>
      </c>
      <c r="L238" s="216">
        <v>0.178</v>
      </c>
      <c r="M238" s="216">
        <v>0.166</v>
      </c>
      <c r="N238" s="216">
        <v>3.017</v>
      </c>
      <c r="O238" s="216">
        <v>0.605</v>
      </c>
      <c r="P238" s="216">
        <v>0.96</v>
      </c>
      <c r="Q238" s="275"/>
      <c r="R238" s="259">
        <f t="shared" si="65"/>
        <v>5.575</v>
      </c>
      <c r="S238" s="275"/>
      <c r="T238" s="275"/>
      <c r="U238" s="216"/>
      <c r="V238" s="293"/>
      <c r="W238" s="293"/>
      <c r="X238" s="293"/>
      <c r="Y238" s="293"/>
      <c r="Z238" s="293"/>
      <c r="AA238" s="225"/>
      <c r="AB238" s="225"/>
      <c r="AC238" s="198"/>
      <c r="AD238" s="297"/>
      <c r="AE238" s="299"/>
      <c r="AF238" s="293"/>
      <c r="AG238" s="285"/>
      <c r="AH238" s="197"/>
      <c r="AI238" s="305">
        <f t="shared" ref="AI238:AO238" si="67">AI237</f>
        <v>0.9</v>
      </c>
      <c r="AJ238" s="304">
        <f t="shared" si="67"/>
        <v>0.9</v>
      </c>
      <c r="AK238" s="304">
        <f t="shared" si="67"/>
        <v>0.9</v>
      </c>
      <c r="AL238" s="304">
        <f t="shared" si="67"/>
        <v>0.9</v>
      </c>
      <c r="AM238" s="304">
        <f t="shared" si="67"/>
        <v>0.9</v>
      </c>
      <c r="AN238" s="304">
        <f t="shared" si="67"/>
        <v>0.9</v>
      </c>
      <c r="AO238" s="304">
        <f t="shared" si="67"/>
        <v>0.9</v>
      </c>
      <c r="AS238" s="198"/>
      <c r="AT238" s="198"/>
      <c r="AU238" s="198"/>
      <c r="AV238" s="198"/>
      <c r="AW238" s="198"/>
      <c r="AX238" s="198"/>
      <c r="AY238" s="198"/>
      <c r="AZ238" s="198"/>
      <c r="BA238" s="198"/>
      <c r="BB238" s="198"/>
      <c r="BC238" s="198"/>
      <c r="BD238" s="198"/>
      <c r="BE238" s="198"/>
      <c r="BF238" s="198"/>
      <c r="BG238" s="198"/>
      <c r="BH238" s="198"/>
      <c r="BI238" s="198"/>
      <c r="BJ238" s="198"/>
      <c r="BK238" s="198"/>
      <c r="BL238" s="198"/>
      <c r="BM238" s="198"/>
      <c r="BN238" s="197"/>
      <c r="BO238" s="197"/>
    </row>
    <row r="239" ht="14.5" spans="2:67">
      <c r="B239" s="273"/>
      <c r="C239"/>
      <c r="D239"/>
      <c r="I239" s="216" t="s">
        <v>417</v>
      </c>
      <c r="J239" s="216">
        <v>0.1</v>
      </c>
      <c r="K239" s="216">
        <v>0.6</v>
      </c>
      <c r="L239" s="216">
        <v>0.075</v>
      </c>
      <c r="M239" s="216">
        <v>0.07</v>
      </c>
      <c r="N239" s="216">
        <v>2.921</v>
      </c>
      <c r="O239" s="216">
        <v>0.549</v>
      </c>
      <c r="P239" s="216">
        <v>0.961</v>
      </c>
      <c r="Q239" s="275"/>
      <c r="R239" s="259">
        <f t="shared" si="65"/>
        <v>5.276</v>
      </c>
      <c r="S239" s="275"/>
      <c r="T239" s="275"/>
      <c r="U239" s="216"/>
      <c r="V239" s="293"/>
      <c r="W239" s="293"/>
      <c r="X239" s="293"/>
      <c r="Y239" s="293"/>
      <c r="Z239" s="293"/>
      <c r="AA239" s="225"/>
      <c r="AB239" s="225"/>
      <c r="AC239" s="198"/>
      <c r="AD239" s="297"/>
      <c r="AE239" s="299"/>
      <c r="AF239" s="293"/>
      <c r="AG239" s="285"/>
      <c r="AH239" s="197"/>
      <c r="AI239" s="305">
        <f t="shared" ref="AI239:AO239" si="68">AI238</f>
        <v>0.9</v>
      </c>
      <c r="AJ239" s="304">
        <f t="shared" si="68"/>
        <v>0.9</v>
      </c>
      <c r="AK239" s="304">
        <f t="shared" si="68"/>
        <v>0.9</v>
      </c>
      <c r="AL239" s="304">
        <f t="shared" si="68"/>
        <v>0.9</v>
      </c>
      <c r="AM239" s="304">
        <f t="shared" si="68"/>
        <v>0.9</v>
      </c>
      <c r="AN239" s="304">
        <f t="shared" si="68"/>
        <v>0.9</v>
      </c>
      <c r="AO239" s="304">
        <f t="shared" si="68"/>
        <v>0.9</v>
      </c>
      <c r="AS239" s="225"/>
      <c r="AT239" s="225"/>
      <c r="AU239" s="225"/>
      <c r="AV239" s="225"/>
      <c r="AW239" s="225"/>
      <c r="AX239" s="225"/>
      <c r="AY239" s="225"/>
      <c r="AZ239" s="225"/>
      <c r="BA239" s="198"/>
      <c r="BB239" s="225"/>
      <c r="BC239" s="225"/>
      <c r="BD239" s="295"/>
      <c r="BE239" s="295"/>
      <c r="BF239" s="295"/>
      <c r="BG239" s="295"/>
      <c r="BH239" s="295"/>
      <c r="BI239" s="295"/>
      <c r="BJ239" s="295"/>
      <c r="BK239" s="198"/>
      <c r="BL239" s="198"/>
      <c r="BM239" s="198"/>
      <c r="BN239" s="197"/>
      <c r="BO239" s="197"/>
    </row>
    <row r="240" ht="14.5" spans="2:67">
      <c r="B240" s="273"/>
      <c r="C240"/>
      <c r="D240"/>
      <c r="I240" s="198"/>
      <c r="J240" s="198"/>
      <c r="K240" s="198"/>
      <c r="L240" s="198"/>
      <c r="M240" s="198"/>
      <c r="N240" s="198"/>
      <c r="O240" s="198"/>
      <c r="P240" s="198"/>
      <c r="Q240" s="198"/>
      <c r="R240" s="198"/>
      <c r="S240" s="198"/>
      <c r="T240" s="274"/>
      <c r="V240" s="197"/>
      <c r="W240" s="197"/>
      <c r="X240" s="197"/>
      <c r="Y240" s="197"/>
      <c r="Z240" s="197"/>
      <c r="AA240" s="225"/>
      <c r="AB240" s="225"/>
      <c r="AC240" s="198"/>
      <c r="AD240" s="297"/>
      <c r="AE240" s="299"/>
      <c r="AF240" s="197"/>
      <c r="AH240" s="197"/>
      <c r="AI240" s="305">
        <f t="shared" ref="AI240:AO240" si="69">AI239</f>
        <v>0.9</v>
      </c>
      <c r="AJ240" s="304">
        <f t="shared" si="69"/>
        <v>0.9</v>
      </c>
      <c r="AK240" s="304">
        <f t="shared" si="69"/>
        <v>0.9</v>
      </c>
      <c r="AL240" s="304">
        <f t="shared" si="69"/>
        <v>0.9</v>
      </c>
      <c r="AM240" s="304">
        <f t="shared" si="69"/>
        <v>0.9</v>
      </c>
      <c r="AN240" s="304">
        <f t="shared" si="69"/>
        <v>0.9</v>
      </c>
      <c r="AO240" s="304">
        <f t="shared" si="69"/>
        <v>0.9</v>
      </c>
      <c r="AS240" s="225"/>
      <c r="AT240" s="225"/>
      <c r="AU240" s="225"/>
      <c r="AV240" s="225"/>
      <c r="AW240" s="225"/>
      <c r="AX240" s="225"/>
      <c r="AY240" s="225"/>
      <c r="AZ240" s="225"/>
      <c r="BA240" s="198"/>
      <c r="BB240" s="225"/>
      <c r="BC240" s="225"/>
      <c r="BD240" s="295"/>
      <c r="BE240" s="295"/>
      <c r="BF240" s="295"/>
      <c r="BG240" s="295"/>
      <c r="BH240" s="295"/>
      <c r="BI240" s="295"/>
      <c r="BJ240" s="295"/>
      <c r="BK240" s="198"/>
      <c r="BL240" s="198"/>
      <c r="BM240" s="198"/>
      <c r="BN240" s="197"/>
      <c r="BO240" s="197"/>
    </row>
    <row r="241" ht="14.5" spans="2:67">
      <c r="B241" s="273"/>
      <c r="C241"/>
      <c r="D241"/>
      <c r="AA241" s="225"/>
      <c r="AB241" s="225"/>
      <c r="AC241" s="198"/>
      <c r="AD241" s="297"/>
      <c r="AE241" s="299"/>
      <c r="AF241" s="197"/>
      <c r="AH241" s="197"/>
      <c r="AI241" s="305">
        <f t="shared" ref="AI241:AO241" si="70">AI240</f>
        <v>0.9</v>
      </c>
      <c r="AJ241" s="304">
        <f t="shared" si="70"/>
        <v>0.9</v>
      </c>
      <c r="AK241" s="304">
        <f t="shared" si="70"/>
        <v>0.9</v>
      </c>
      <c r="AL241" s="304">
        <f t="shared" si="70"/>
        <v>0.9</v>
      </c>
      <c r="AM241" s="304">
        <f t="shared" si="70"/>
        <v>0.9</v>
      </c>
      <c r="AN241" s="304">
        <f t="shared" si="70"/>
        <v>0.9</v>
      </c>
      <c r="AO241" s="304">
        <f t="shared" si="70"/>
        <v>0.9</v>
      </c>
      <c r="AS241" s="225"/>
      <c r="AT241" s="225"/>
      <c r="AU241" s="225"/>
      <c r="AV241" s="225"/>
      <c r="AW241" s="225"/>
      <c r="AX241" s="225"/>
      <c r="AY241" s="225"/>
      <c r="AZ241" s="225"/>
      <c r="BA241" s="198"/>
      <c r="BB241" s="225"/>
      <c r="BC241" s="225"/>
      <c r="BD241" s="295"/>
      <c r="BE241" s="295"/>
      <c r="BF241" s="295"/>
      <c r="BG241" s="295"/>
      <c r="BH241" s="295"/>
      <c r="BI241" s="295"/>
      <c r="BJ241" s="295"/>
      <c r="BK241" s="198"/>
      <c r="BL241" s="198"/>
      <c r="BM241" s="198"/>
      <c r="BN241" s="197"/>
      <c r="BO241" s="197"/>
    </row>
    <row r="242" ht="14.5" spans="2:65">
      <c r="B242" s="273"/>
      <c r="C242"/>
      <c r="D242"/>
      <c r="AA242" s="225"/>
      <c r="AB242" s="225"/>
      <c r="AC242" s="198"/>
      <c r="AD242" s="297"/>
      <c r="AE242" s="299"/>
      <c r="AF242" s="197"/>
      <c r="AH242" s="197"/>
      <c r="AI242" s="305">
        <f t="shared" ref="AI242:AO242" si="71">AI241</f>
        <v>0.9</v>
      </c>
      <c r="AJ242" s="304">
        <f t="shared" si="71"/>
        <v>0.9</v>
      </c>
      <c r="AK242" s="304">
        <f t="shared" si="71"/>
        <v>0.9</v>
      </c>
      <c r="AL242" s="304">
        <f t="shared" si="71"/>
        <v>0.9</v>
      </c>
      <c r="AM242" s="304">
        <f t="shared" si="71"/>
        <v>0.9</v>
      </c>
      <c r="AN242" s="304">
        <f t="shared" si="71"/>
        <v>0.9</v>
      </c>
      <c r="AO242" s="304">
        <f t="shared" si="71"/>
        <v>0.9</v>
      </c>
      <c r="AR242" s="198"/>
      <c r="AS242" s="225"/>
      <c r="AT242" s="225"/>
      <c r="AU242" s="225"/>
      <c r="AV242" s="225"/>
      <c r="AW242" s="225"/>
      <c r="AX242" s="225"/>
      <c r="AY242" s="225"/>
      <c r="AZ242" s="225"/>
      <c r="BA242" s="198"/>
      <c r="BB242" s="225"/>
      <c r="BC242" s="225"/>
      <c r="BD242" s="295"/>
      <c r="BE242" s="295"/>
      <c r="BF242" s="295"/>
      <c r="BG242" s="295"/>
      <c r="BH242" s="295"/>
      <c r="BI242" s="295"/>
      <c r="BJ242" s="295"/>
      <c r="BK242" s="198"/>
      <c r="BL242" s="198"/>
      <c r="BM242" s="198"/>
    </row>
    <row r="243" spans="2:65">
      <c r="B243" s="273"/>
      <c r="AA243" s="225"/>
      <c r="AB243" s="225"/>
      <c r="AC243" s="198"/>
      <c r="AD243" s="297"/>
      <c r="AE243" s="299"/>
      <c r="AF243" s="197"/>
      <c r="AS243" s="225"/>
      <c r="AT243" s="225"/>
      <c r="AU243" s="225"/>
      <c r="AV243" s="225"/>
      <c r="AW243" s="225"/>
      <c r="AX243" s="225"/>
      <c r="AY243" s="225"/>
      <c r="AZ243" s="225"/>
      <c r="BA243" s="198"/>
      <c r="BB243" s="225"/>
      <c r="BC243" s="225"/>
      <c r="BD243" s="295"/>
      <c r="BE243" s="295"/>
      <c r="BF243" s="295"/>
      <c r="BG243" s="295"/>
      <c r="BH243" s="295"/>
      <c r="BI243" s="295"/>
      <c r="BJ243" s="295"/>
      <c r="BK243" s="198"/>
      <c r="BL243" s="198"/>
      <c r="BM243" s="198"/>
    </row>
    <row r="244" spans="2:65">
      <c r="B244" s="198"/>
      <c r="AA244" s="197"/>
      <c r="AB244" s="197"/>
      <c r="AC244" s="197"/>
      <c r="AD244" s="197"/>
      <c r="AE244" s="198"/>
      <c r="AF244" s="197"/>
      <c r="AS244" s="225"/>
      <c r="AT244" s="225"/>
      <c r="AU244" s="225"/>
      <c r="AV244" s="225"/>
      <c r="AW244" s="225"/>
      <c r="AX244" s="225"/>
      <c r="AY244" s="225"/>
      <c r="AZ244" s="225"/>
      <c r="BA244" s="198"/>
      <c r="BB244" s="225"/>
      <c r="BC244" s="225"/>
      <c r="BD244" s="295"/>
      <c r="BE244" s="295"/>
      <c r="BF244" s="295"/>
      <c r="BG244" s="295"/>
      <c r="BH244" s="295"/>
      <c r="BI244" s="295"/>
      <c r="BJ244" s="295"/>
      <c r="BK244" s="198"/>
      <c r="BL244" s="198"/>
      <c r="BM244" s="198"/>
    </row>
    <row r="245" spans="2:65">
      <c r="B245" s="198"/>
      <c r="AS245" s="225"/>
      <c r="AT245" s="225"/>
      <c r="AU245" s="225"/>
      <c r="AV245" s="225"/>
      <c r="AW245" s="225"/>
      <c r="AX245" s="225"/>
      <c r="AY245" s="225"/>
      <c r="AZ245" s="225"/>
      <c r="BA245" s="198"/>
      <c r="BB245" s="225"/>
      <c r="BC245" s="225"/>
      <c r="BD245" s="295"/>
      <c r="BE245" s="295"/>
      <c r="BF245" s="295"/>
      <c r="BG245" s="295"/>
      <c r="BH245" s="295"/>
      <c r="BI245" s="295"/>
      <c r="BJ245" s="295"/>
      <c r="BK245" s="198"/>
      <c r="BL245" s="198"/>
      <c r="BM245" s="198"/>
    </row>
    <row r="246" spans="2:65">
      <c r="B246" s="274"/>
      <c r="AS246" s="225"/>
      <c r="AT246" s="225"/>
      <c r="AU246" s="225"/>
      <c r="AV246" s="225"/>
      <c r="AW246" s="225"/>
      <c r="AX246" s="225"/>
      <c r="AY246" s="225"/>
      <c r="AZ246" s="225"/>
      <c r="BA246" s="225"/>
      <c r="BB246" s="225"/>
      <c r="BC246" s="225"/>
      <c r="BD246" s="198"/>
      <c r="BE246" s="198"/>
      <c r="BF246" s="198"/>
      <c r="BG246" s="198"/>
      <c r="BH246" s="198"/>
      <c r="BI246" s="198"/>
      <c r="BJ246" s="198"/>
      <c r="BK246" s="198"/>
      <c r="BL246" s="198"/>
      <c r="BM246" s="198"/>
    </row>
    <row r="247" spans="2:65">
      <c r="B247" s="274"/>
      <c r="AS247" s="198"/>
      <c r="AT247" s="198"/>
      <c r="AU247" s="198"/>
      <c r="AV247" s="198"/>
      <c r="AW247" s="198"/>
      <c r="AX247" s="198"/>
      <c r="AY247" s="198"/>
      <c r="AZ247" s="198"/>
      <c r="BA247" s="198"/>
      <c r="BB247" s="198"/>
      <c r="BC247" s="198"/>
      <c r="BD247" s="198"/>
      <c r="BE247" s="198"/>
      <c r="BF247" s="198"/>
      <c r="BG247" s="198"/>
      <c r="BH247" s="198"/>
      <c r="BI247" s="198"/>
      <c r="BJ247" s="198"/>
      <c r="BK247" s="198"/>
      <c r="BL247" s="198"/>
      <c r="BM247" s="198"/>
    </row>
    <row r="248" spans="45:65">
      <c r="AS248" s="198"/>
      <c r="AT248" s="198"/>
      <c r="AU248" s="198"/>
      <c r="AV248" s="198"/>
      <c r="AW248" s="198"/>
      <c r="AX248" s="198"/>
      <c r="AY248" s="198"/>
      <c r="AZ248" s="198"/>
      <c r="BA248" s="198"/>
      <c r="BB248" s="198"/>
      <c r="BC248" s="198"/>
      <c r="BD248" s="198"/>
      <c r="BE248" s="198"/>
      <c r="BF248" s="198"/>
      <c r="BG248" s="198"/>
      <c r="BH248" s="198"/>
      <c r="BI248" s="198"/>
      <c r="BJ248" s="198"/>
      <c r="BK248" s="198"/>
      <c r="BL248" s="198"/>
      <c r="BM248" s="198"/>
    </row>
    <row r="249" spans="45:65">
      <c r="AS249" s="198"/>
      <c r="AT249" s="198"/>
      <c r="AU249" s="198"/>
      <c r="AV249" s="198"/>
      <c r="AW249" s="198"/>
      <c r="AX249" s="198"/>
      <c r="AY249" s="198"/>
      <c r="AZ249" s="198"/>
      <c r="BA249" s="198"/>
      <c r="BB249" s="198"/>
      <c r="BC249" s="198"/>
      <c r="BD249" s="198"/>
      <c r="BE249" s="198"/>
      <c r="BF249" s="198"/>
      <c r="BG249" s="198"/>
      <c r="BH249" s="198"/>
      <c r="BI249" s="198"/>
      <c r="BJ249" s="198"/>
      <c r="BK249" s="198"/>
      <c r="BL249" s="198"/>
      <c r="BM249" s="198"/>
    </row>
    <row r="250" spans="45:65">
      <c r="AS250" s="198"/>
      <c r="AT250" s="198"/>
      <c r="AU250" s="198"/>
      <c r="AV250" s="198"/>
      <c r="AW250" s="198"/>
      <c r="AX250" s="198"/>
      <c r="AY250" s="198"/>
      <c r="AZ250" s="198"/>
      <c r="BA250" s="198"/>
      <c r="BB250" s="198"/>
      <c r="BC250" s="198"/>
      <c r="BD250" s="198"/>
      <c r="BE250" s="198"/>
      <c r="BF250" s="198"/>
      <c r="BG250" s="198"/>
      <c r="BH250" s="198"/>
      <c r="BI250" s="198"/>
      <c r="BJ250" s="198"/>
      <c r="BK250" s="198"/>
      <c r="BL250" s="198"/>
      <c r="BM250" s="198"/>
    </row>
    <row r="251" spans="45:65">
      <c r="AS251" s="198"/>
      <c r="AT251" s="198"/>
      <c r="AU251" s="198"/>
      <c r="AV251" s="198"/>
      <c r="AW251" s="198"/>
      <c r="AX251" s="198"/>
      <c r="AY251" s="198"/>
      <c r="AZ251" s="198"/>
      <c r="BA251" s="198"/>
      <c r="BB251" s="198"/>
      <c r="BC251" s="198"/>
      <c r="BD251" s="198"/>
      <c r="BE251" s="198"/>
      <c r="BF251" s="198"/>
      <c r="BG251" s="198"/>
      <c r="BH251" s="198"/>
      <c r="BI251" s="198"/>
      <c r="BJ251" s="198"/>
      <c r="BK251" s="198"/>
      <c r="BL251" s="198"/>
      <c r="BM251" s="198"/>
    </row>
    <row r="252" spans="45:65">
      <c r="AS252" s="198"/>
      <c r="AT252" s="198"/>
      <c r="AU252" s="198"/>
      <c r="AV252" s="198"/>
      <c r="AW252" s="198"/>
      <c r="AX252" s="198"/>
      <c r="AY252" s="198"/>
      <c r="AZ252" s="198"/>
      <c r="BA252" s="198"/>
      <c r="BB252" s="198"/>
      <c r="BC252" s="198"/>
      <c r="BD252" s="198"/>
      <c r="BE252" s="198"/>
      <c r="BF252" s="198"/>
      <c r="BG252" s="198"/>
      <c r="BH252" s="198"/>
      <c r="BI252" s="198"/>
      <c r="BJ252" s="198"/>
      <c r="BK252" s="198"/>
      <c r="BL252" s="198"/>
      <c r="BM252" s="198"/>
    </row>
    <row r="258" spans="2:23">
      <c r="B258" s="216"/>
      <c r="C258" s="216"/>
      <c r="D258" s="216"/>
      <c r="E258" s="216"/>
      <c r="F258" s="216"/>
      <c r="G258" s="216"/>
      <c r="H258" s="216"/>
      <c r="I258" s="216"/>
      <c r="J258" s="216"/>
      <c r="K258" s="216"/>
      <c r="L258" s="216"/>
      <c r="M258" s="216"/>
      <c r="N258" s="313" t="s">
        <v>354</v>
      </c>
      <c r="O258" s="216"/>
      <c r="P258" s="216"/>
      <c r="Q258" s="216"/>
      <c r="R258" s="216"/>
      <c r="S258" s="216"/>
      <c r="T258" s="216"/>
      <c r="U258" s="216"/>
      <c r="V258" s="216"/>
      <c r="W258" s="216"/>
    </row>
    <row r="259" spans="2:23">
      <c r="B259" s="216"/>
      <c r="C259" s="313" t="s">
        <v>477</v>
      </c>
      <c r="D259" s="216"/>
      <c r="E259" s="216"/>
      <c r="F259" s="216"/>
      <c r="G259" s="216"/>
      <c r="H259" s="216"/>
      <c r="I259" s="216"/>
      <c r="J259" s="216"/>
      <c r="K259" s="216"/>
      <c r="L259" s="216"/>
      <c r="M259" s="216"/>
      <c r="N259" s="216"/>
      <c r="O259" s="216"/>
      <c r="P259" s="216"/>
      <c r="Q259" s="216"/>
      <c r="R259" s="216"/>
      <c r="S259" s="216"/>
      <c r="T259" s="216"/>
      <c r="U259" s="216"/>
      <c r="V259" s="216"/>
      <c r="W259" s="216"/>
    </row>
    <row r="260" spans="2:32">
      <c r="B260" s="216"/>
      <c r="C260" s="216"/>
      <c r="D260" s="216"/>
      <c r="E260" s="216"/>
      <c r="F260" s="216"/>
      <c r="G260" s="216"/>
      <c r="H260" s="216"/>
      <c r="I260" s="216"/>
      <c r="J260" s="216"/>
      <c r="K260" s="216"/>
      <c r="L260" s="216"/>
      <c r="M260" s="313"/>
      <c r="N260" s="216"/>
      <c r="O260" s="313"/>
      <c r="P260" s="313"/>
      <c r="Q260" s="313"/>
      <c r="R260" s="313"/>
      <c r="S260" s="313"/>
      <c r="T260" s="313"/>
      <c r="U260" s="313"/>
      <c r="V260" s="313"/>
      <c r="W260" s="313"/>
      <c r="Z260" s="197"/>
      <c r="AA260" s="198"/>
      <c r="AB260" s="198"/>
      <c r="AC260" s="198"/>
      <c r="AD260" s="198"/>
      <c r="AE260" s="198"/>
      <c r="AF260" s="274"/>
    </row>
    <row r="261" spans="2:32">
      <c r="B261" s="313"/>
      <c r="C261" s="216"/>
      <c r="D261" s="313"/>
      <c r="E261" s="313"/>
      <c r="F261" s="313"/>
      <c r="G261" s="313"/>
      <c r="H261" s="313"/>
      <c r="I261" s="313"/>
      <c r="J261" s="313"/>
      <c r="K261" s="216"/>
      <c r="L261" s="216"/>
      <c r="M261" s="313" t="s">
        <v>191</v>
      </c>
      <c r="N261" s="313" t="s">
        <v>220</v>
      </c>
      <c r="O261" s="315" t="s">
        <v>314</v>
      </c>
      <c r="P261" s="315" t="s">
        <v>316</v>
      </c>
      <c r="Q261" s="315" t="s">
        <v>318</v>
      </c>
      <c r="R261" s="315" t="s">
        <v>327</v>
      </c>
      <c r="S261" s="315" t="s">
        <v>329</v>
      </c>
      <c r="T261" s="315" t="s">
        <v>332</v>
      </c>
      <c r="U261" s="315" t="s">
        <v>472</v>
      </c>
      <c r="V261" s="315" t="s">
        <v>426</v>
      </c>
      <c r="W261" s="315" t="s">
        <v>427</v>
      </c>
      <c r="Z261" s="197"/>
      <c r="AA261" s="198"/>
      <c r="AB261" s="198"/>
      <c r="AC261" s="198"/>
      <c r="AD261" s="198"/>
      <c r="AE261" s="198"/>
      <c r="AF261" s="274"/>
    </row>
    <row r="262" spans="2:32">
      <c r="B262" s="313" t="s">
        <v>191</v>
      </c>
      <c r="C262" s="313" t="s">
        <v>220</v>
      </c>
      <c r="D262" s="313" t="s">
        <v>213</v>
      </c>
      <c r="E262" s="313" t="s">
        <v>221</v>
      </c>
      <c r="F262" s="313" t="s">
        <v>222</v>
      </c>
      <c r="G262" s="313" t="s">
        <v>223</v>
      </c>
      <c r="H262" s="313" t="s">
        <v>224</v>
      </c>
      <c r="I262" s="313" t="s">
        <v>225</v>
      </c>
      <c r="J262" s="313" t="s">
        <v>226</v>
      </c>
      <c r="K262" s="216" t="s">
        <v>399</v>
      </c>
      <c r="L262" s="216"/>
      <c r="M262" s="313">
        <f t="shared" ref="M262:M268" si="72">AB237</f>
        <v>0</v>
      </c>
      <c r="N262" s="316" t="s">
        <v>478</v>
      </c>
      <c r="O262" s="315">
        <v>0.0608</v>
      </c>
      <c r="P262" s="315">
        <v>0</v>
      </c>
      <c r="Q262" s="315">
        <v>0</v>
      </c>
      <c r="R262" s="315">
        <v>0</v>
      </c>
      <c r="S262" s="315">
        <v>2.25792</v>
      </c>
      <c r="T262" s="315">
        <v>0.60544</v>
      </c>
      <c r="U262" s="315">
        <v>0.6944</v>
      </c>
      <c r="V262" s="315" t="s">
        <v>290</v>
      </c>
      <c r="W262" s="315">
        <v>1</v>
      </c>
      <c r="Z262" s="197"/>
      <c r="AA262" s="198"/>
      <c r="AB262" s="198"/>
      <c r="AC262" s="198"/>
      <c r="AD262" s="198"/>
      <c r="AE262" s="198"/>
      <c r="AF262" s="274"/>
    </row>
    <row r="263" spans="2:32">
      <c r="B263" s="314" t="s">
        <v>479</v>
      </c>
      <c r="C263" s="313" t="e">
        <f>#REF!</f>
        <v>#REF!</v>
      </c>
      <c r="D263" s="313">
        <f t="shared" ref="D263:J263" si="73">D22*AI214</f>
        <v>0</v>
      </c>
      <c r="E263" s="313">
        <f t="shared" si="73"/>
        <v>0</v>
      </c>
      <c r="F263" s="313">
        <f t="shared" si="73"/>
        <v>0</v>
      </c>
      <c r="G263" s="313">
        <f t="shared" si="73"/>
        <v>0</v>
      </c>
      <c r="H263" s="313">
        <f t="shared" si="73"/>
        <v>0</v>
      </c>
      <c r="I263" s="313">
        <f t="shared" si="73"/>
        <v>0.8514</v>
      </c>
      <c r="J263" s="313">
        <f t="shared" si="73"/>
        <v>0</v>
      </c>
      <c r="K263" s="216" t="s">
        <v>410</v>
      </c>
      <c r="L263" s="216"/>
      <c r="M263" s="313">
        <f t="shared" si="72"/>
        <v>0</v>
      </c>
      <c r="N263" s="316" t="s">
        <v>480</v>
      </c>
      <c r="O263" s="315">
        <v>0.06784</v>
      </c>
      <c r="P263" s="315">
        <v>0</v>
      </c>
      <c r="Q263" s="315">
        <v>0</v>
      </c>
      <c r="R263" s="315">
        <v>0.89344</v>
      </c>
      <c r="S263" s="315">
        <v>2.15616</v>
      </c>
      <c r="T263" s="315">
        <v>0.55232</v>
      </c>
      <c r="U263" s="315">
        <v>0.58304</v>
      </c>
      <c r="V263" s="315" t="s">
        <v>293</v>
      </c>
      <c r="W263" s="315">
        <v>1</v>
      </c>
      <c r="Z263" s="197"/>
      <c r="AA263" s="295"/>
      <c r="AB263" s="198"/>
      <c r="AC263" s="295"/>
      <c r="AD263" s="198"/>
      <c r="AE263" s="198"/>
      <c r="AF263" s="274"/>
    </row>
    <row r="264" spans="2:32">
      <c r="B264" s="314" t="s">
        <v>481</v>
      </c>
      <c r="C264" s="313" t="e">
        <f>#REF!</f>
        <v>#REF!</v>
      </c>
      <c r="D264" s="313">
        <f t="shared" ref="D264:J264" si="74">D23*AI215</f>
        <v>0</v>
      </c>
      <c r="E264" s="313">
        <f t="shared" si="74"/>
        <v>0</v>
      </c>
      <c r="F264" s="313">
        <f t="shared" si="74"/>
        <v>0</v>
      </c>
      <c r="G264" s="313">
        <f t="shared" si="74"/>
        <v>0</v>
      </c>
      <c r="H264" s="313">
        <f t="shared" si="74"/>
        <v>0</v>
      </c>
      <c r="I264" s="313">
        <f t="shared" si="74"/>
        <v>0.7767</v>
      </c>
      <c r="J264" s="313">
        <f t="shared" si="74"/>
        <v>0</v>
      </c>
      <c r="K264" s="216" t="s">
        <v>410</v>
      </c>
      <c r="L264" s="216"/>
      <c r="M264" s="313">
        <f t="shared" si="72"/>
        <v>0</v>
      </c>
      <c r="N264" s="316" t="s">
        <v>482</v>
      </c>
      <c r="O264" s="315">
        <v>0.06528</v>
      </c>
      <c r="P264" s="315">
        <v>0.43008</v>
      </c>
      <c r="Q264" s="315">
        <v>0.08128</v>
      </c>
      <c r="R264" s="315">
        <v>0</v>
      </c>
      <c r="S264" s="315">
        <v>1.8688</v>
      </c>
      <c r="T264" s="315">
        <v>0.36096</v>
      </c>
      <c r="U264" s="315">
        <v>0.62592</v>
      </c>
      <c r="V264" s="315" t="s">
        <v>298</v>
      </c>
      <c r="W264" s="315">
        <v>1</v>
      </c>
      <c r="Z264" s="197"/>
      <c r="AA264" s="295"/>
      <c r="AB264" s="198"/>
      <c r="AC264" s="295"/>
      <c r="AD264" s="198"/>
      <c r="AE264" s="198"/>
      <c r="AF264" s="274"/>
    </row>
    <row r="265" spans="2:32">
      <c r="B265" s="314" t="s">
        <v>483</v>
      </c>
      <c r="C265" s="313" t="e">
        <f>#REF!</f>
        <v>#REF!</v>
      </c>
      <c r="D265" s="313">
        <f t="shared" ref="D265:J265" si="75">D24*AI216</f>
        <v>0</v>
      </c>
      <c r="E265" s="313">
        <f t="shared" si="75"/>
        <v>0.65856</v>
      </c>
      <c r="F265" s="313">
        <f t="shared" si="75"/>
        <v>0.1143</v>
      </c>
      <c r="G265" s="313">
        <f t="shared" si="75"/>
        <v>0</v>
      </c>
      <c r="H265" s="313">
        <f t="shared" si="75"/>
        <v>0</v>
      </c>
      <c r="I265" s="313">
        <f t="shared" si="75"/>
        <v>0.5076</v>
      </c>
      <c r="J265" s="313">
        <f t="shared" si="75"/>
        <v>0</v>
      </c>
      <c r="K265" s="216" t="s">
        <v>410</v>
      </c>
      <c r="L265" s="216"/>
      <c r="M265" s="313">
        <f t="shared" si="72"/>
        <v>0</v>
      </c>
      <c r="N265" s="316" t="s">
        <v>484</v>
      </c>
      <c r="O265" s="315">
        <v>0.09024</v>
      </c>
      <c r="P265" s="315">
        <v>0.22464</v>
      </c>
      <c r="Q265" s="315">
        <v>0.22528</v>
      </c>
      <c r="R265" s="315">
        <v>0.20992</v>
      </c>
      <c r="S265" s="315">
        <v>1.9904</v>
      </c>
      <c r="T265" s="315">
        <v>0.43328</v>
      </c>
      <c r="U265" s="315">
        <v>0.62592</v>
      </c>
      <c r="V265" s="315" t="s">
        <v>302</v>
      </c>
      <c r="W265" s="315">
        <v>1</v>
      </c>
      <c r="Z265" s="197"/>
      <c r="AA265" s="295"/>
      <c r="AB265" s="198"/>
      <c r="AC265" s="295"/>
      <c r="AD265" s="198"/>
      <c r="AE265" s="198"/>
      <c r="AF265" s="274"/>
    </row>
    <row r="266" spans="2:32">
      <c r="B266" s="314" t="s">
        <v>485</v>
      </c>
      <c r="C266" s="313" t="e">
        <f>#REF!</f>
        <v>#REF!</v>
      </c>
      <c r="D266" s="313">
        <f t="shared" ref="D266:J266" si="76">D25*AI217</f>
        <v>0</v>
      </c>
      <c r="E266" s="313">
        <f t="shared" si="76"/>
        <v>0.34398</v>
      </c>
      <c r="F266" s="313">
        <f t="shared" si="76"/>
        <v>0.3168</v>
      </c>
      <c r="G266" s="313">
        <f t="shared" si="76"/>
        <v>0</v>
      </c>
      <c r="H266" s="313">
        <f t="shared" si="76"/>
        <v>0</v>
      </c>
      <c r="I266" s="313">
        <f t="shared" si="76"/>
        <v>0.6093</v>
      </c>
      <c r="J266" s="313">
        <f t="shared" si="76"/>
        <v>0</v>
      </c>
      <c r="K266" s="216" t="s">
        <v>410</v>
      </c>
      <c r="L266" s="216"/>
      <c r="M266" s="313">
        <f t="shared" si="72"/>
        <v>0</v>
      </c>
      <c r="N266" s="316" t="s">
        <v>486</v>
      </c>
      <c r="O266" s="315">
        <v>0.08704</v>
      </c>
      <c r="P266" s="315">
        <v>0.32512</v>
      </c>
      <c r="Q266" s="315">
        <v>0.13056</v>
      </c>
      <c r="R266" s="315">
        <v>0.1824</v>
      </c>
      <c r="S266" s="315">
        <v>1.9648</v>
      </c>
      <c r="T266" s="315">
        <v>0.42304</v>
      </c>
      <c r="U266" s="315">
        <v>0.62784</v>
      </c>
      <c r="V266" s="315" t="s">
        <v>305</v>
      </c>
      <c r="W266" s="315">
        <v>1</v>
      </c>
      <c r="Z266" s="197"/>
      <c r="AA266" s="295"/>
      <c r="AB266" s="198"/>
      <c r="AC266" s="295"/>
      <c r="AD266" s="198"/>
      <c r="AE266" s="198"/>
      <c r="AF266" s="274"/>
    </row>
    <row r="267" spans="2:32">
      <c r="B267" s="314" t="s">
        <v>487</v>
      </c>
      <c r="C267" s="313" t="e">
        <f>#REF!</f>
        <v>#REF!</v>
      </c>
      <c r="D267" s="313">
        <f t="shared" ref="D267:J267" si="77">D26*AI218</f>
        <v>0</v>
      </c>
      <c r="E267" s="313">
        <f t="shared" si="77"/>
        <v>0.49784</v>
      </c>
      <c r="F267" s="313">
        <f t="shared" si="77"/>
        <v>0.1836</v>
      </c>
      <c r="G267" s="313">
        <f t="shared" si="77"/>
        <v>0</v>
      </c>
      <c r="H267" s="313">
        <f t="shared" si="77"/>
        <v>0</v>
      </c>
      <c r="I267" s="313">
        <f t="shared" si="77"/>
        <v>0.5949</v>
      </c>
      <c r="J267" s="313">
        <f t="shared" si="77"/>
        <v>0</v>
      </c>
      <c r="K267" s="216" t="s">
        <v>410</v>
      </c>
      <c r="L267" s="216"/>
      <c r="M267" s="313">
        <f t="shared" si="72"/>
        <v>0</v>
      </c>
      <c r="N267" s="316" t="s">
        <v>488</v>
      </c>
      <c r="O267" s="315">
        <v>0.07552</v>
      </c>
      <c r="P267" s="315">
        <v>0.33984</v>
      </c>
      <c r="Q267" s="315">
        <v>0.11392</v>
      </c>
      <c r="R267" s="315">
        <v>0.10624</v>
      </c>
      <c r="S267" s="315">
        <v>1.93088</v>
      </c>
      <c r="T267" s="315">
        <v>0.3872</v>
      </c>
      <c r="U267" s="315">
        <v>0.6144</v>
      </c>
      <c r="V267" s="315" t="s">
        <v>307</v>
      </c>
      <c r="W267" s="315">
        <v>1</v>
      </c>
      <c r="Z267" s="197"/>
      <c r="AA267" s="295"/>
      <c r="AB267" s="198"/>
      <c r="AC267" s="295"/>
      <c r="AD267" s="198"/>
      <c r="AE267" s="198"/>
      <c r="AF267" s="274"/>
    </row>
    <row r="268" spans="2:32">
      <c r="B268" s="314" t="s">
        <v>489</v>
      </c>
      <c r="C268" s="313" t="e">
        <f>#REF!</f>
        <v>#REF!</v>
      </c>
      <c r="D268" s="313">
        <f t="shared" ref="D268:J268" si="78">D27*AI219</f>
        <v>0</v>
      </c>
      <c r="E268" s="313">
        <f t="shared" si="78"/>
        <v>0.52038</v>
      </c>
      <c r="F268" s="313">
        <f t="shared" si="78"/>
        <v>0.1602</v>
      </c>
      <c r="G268" s="313">
        <f t="shared" si="78"/>
        <v>0</v>
      </c>
      <c r="H268" s="313">
        <f t="shared" si="78"/>
        <v>0</v>
      </c>
      <c r="I268" s="313">
        <f t="shared" si="78"/>
        <v>0.5445</v>
      </c>
      <c r="J268" s="313">
        <f t="shared" si="78"/>
        <v>0</v>
      </c>
      <c r="K268" s="216" t="s">
        <v>410</v>
      </c>
      <c r="L268" s="216"/>
      <c r="M268" s="313">
        <f t="shared" si="72"/>
        <v>0</v>
      </c>
      <c r="N268" s="316" t="s">
        <v>490</v>
      </c>
      <c r="O268" s="315">
        <v>0.064</v>
      </c>
      <c r="P268" s="315">
        <v>0.384</v>
      </c>
      <c r="Q268" s="315">
        <v>0.048</v>
      </c>
      <c r="R268" s="315">
        <v>0.0448</v>
      </c>
      <c r="S268" s="315">
        <v>1.86944</v>
      </c>
      <c r="T268" s="315">
        <v>0.35136</v>
      </c>
      <c r="U268" s="315">
        <v>0.61504</v>
      </c>
      <c r="V268" s="315" t="s">
        <v>309</v>
      </c>
      <c r="W268" s="315">
        <v>1</v>
      </c>
      <c r="Z268" s="197"/>
      <c r="AA268" s="295"/>
      <c r="AB268" s="198"/>
      <c r="AC268" s="295"/>
      <c r="AD268" s="198"/>
      <c r="AE268" s="198"/>
      <c r="AF268" s="274"/>
    </row>
    <row r="269" spans="2:32">
      <c r="B269" s="314" t="s">
        <v>491</v>
      </c>
      <c r="C269" s="313" t="e">
        <f>#REF!</f>
        <v>#REF!</v>
      </c>
      <c r="D269" s="313">
        <f t="shared" ref="D269:J269" si="79">D28*AI220</f>
        <v>0</v>
      </c>
      <c r="E269" s="313">
        <f t="shared" si="79"/>
        <v>0.588</v>
      </c>
      <c r="F269" s="313">
        <f t="shared" si="79"/>
        <v>0.0675</v>
      </c>
      <c r="G269" s="313">
        <f t="shared" si="79"/>
        <v>0</v>
      </c>
      <c r="H269" s="313">
        <f t="shared" si="79"/>
        <v>0</v>
      </c>
      <c r="I269" s="313">
        <f t="shared" si="79"/>
        <v>0.4941</v>
      </c>
      <c r="J269" s="313">
        <f t="shared" si="79"/>
        <v>0</v>
      </c>
      <c r="K269" s="216" t="s">
        <v>410</v>
      </c>
      <c r="L269" s="216"/>
      <c r="M269" s="216"/>
      <c r="N269" s="216"/>
      <c r="O269" s="216"/>
      <c r="P269" s="216"/>
      <c r="Q269" s="216"/>
      <c r="R269" s="216"/>
      <c r="S269" s="216"/>
      <c r="T269" s="216"/>
      <c r="U269" s="216"/>
      <c r="V269" s="216"/>
      <c r="W269" s="216"/>
      <c r="Z269" s="197"/>
      <c r="AA269" s="295"/>
      <c r="AB269" s="198"/>
      <c r="AC269" s="295"/>
      <c r="AD269" s="198"/>
      <c r="AE269" s="198"/>
      <c r="AF269" s="274"/>
    </row>
    <row r="270" spans="2:32">
      <c r="B270" s="314" t="s">
        <v>492</v>
      </c>
      <c r="C270" s="313" t="e">
        <f>#REF!</f>
        <v>#REF!</v>
      </c>
      <c r="D270" s="313">
        <f t="shared" ref="D270:J270" si="80">D22*AI225</f>
        <v>0.0855</v>
      </c>
      <c r="E270" s="313">
        <f t="shared" si="80"/>
        <v>0</v>
      </c>
      <c r="F270" s="313">
        <f t="shared" si="80"/>
        <v>0</v>
      </c>
      <c r="G270" s="313">
        <f t="shared" si="80"/>
        <v>0</v>
      </c>
      <c r="H270" s="313">
        <f t="shared" si="80"/>
        <v>3.1752</v>
      </c>
      <c r="I270" s="313">
        <f t="shared" si="80"/>
        <v>0.8514</v>
      </c>
      <c r="J270" s="313">
        <f t="shared" si="80"/>
        <v>0.9765</v>
      </c>
      <c r="K270" s="216" t="s">
        <v>410</v>
      </c>
      <c r="L270" s="216"/>
      <c r="M270" s="216"/>
      <c r="N270" s="216"/>
      <c r="O270" s="216"/>
      <c r="P270" s="216"/>
      <c r="Q270" s="216"/>
      <c r="R270" s="216"/>
      <c r="S270" s="216"/>
      <c r="T270" s="216"/>
      <c r="U270" s="216"/>
      <c r="V270" s="216"/>
      <c r="W270" s="216"/>
      <c r="Z270" s="197"/>
      <c r="AA270" s="295"/>
      <c r="AB270" s="198"/>
      <c r="AC270" s="295"/>
      <c r="AD270" s="198"/>
      <c r="AE270" s="198"/>
      <c r="AF270" s="274"/>
    </row>
    <row r="271" spans="2:32">
      <c r="B271" s="314" t="s">
        <v>493</v>
      </c>
      <c r="C271" s="313" t="e">
        <f>#REF!</f>
        <v>#REF!</v>
      </c>
      <c r="D271" s="313">
        <f t="shared" ref="D271:J271" si="81">D23*AI226</f>
        <v>0.0954</v>
      </c>
      <c r="E271" s="313">
        <f t="shared" si="81"/>
        <v>0</v>
      </c>
      <c r="F271" s="313">
        <f t="shared" si="81"/>
        <v>0</v>
      </c>
      <c r="G271" s="313">
        <f t="shared" si="81"/>
        <v>1.36808</v>
      </c>
      <c r="H271" s="313">
        <f t="shared" si="81"/>
        <v>3.0321</v>
      </c>
      <c r="I271" s="313">
        <f t="shared" si="81"/>
        <v>0.7767</v>
      </c>
      <c r="J271" s="313">
        <f t="shared" si="81"/>
        <v>0.8199</v>
      </c>
      <c r="K271" s="216" t="s">
        <v>410</v>
      </c>
      <c r="L271" s="216"/>
      <c r="M271" s="216"/>
      <c r="N271" s="216"/>
      <c r="O271" s="216"/>
      <c r="P271" s="216"/>
      <c r="Q271" s="216"/>
      <c r="R271" s="216"/>
      <c r="S271" s="216"/>
      <c r="T271" s="216"/>
      <c r="U271" s="216"/>
      <c r="V271" s="216"/>
      <c r="W271" s="216"/>
      <c r="Z271" s="197"/>
      <c r="AA271" s="295"/>
      <c r="AB271" s="198"/>
      <c r="AC271" s="295"/>
      <c r="AD271" s="198"/>
      <c r="AE271" s="198"/>
      <c r="AF271" s="274"/>
    </row>
    <row r="272" spans="2:32">
      <c r="B272" s="314" t="s">
        <v>494</v>
      </c>
      <c r="C272" s="313" t="e">
        <f>#REF!</f>
        <v>#REF!</v>
      </c>
      <c r="D272" s="313">
        <f t="shared" ref="D272:J272" si="82">D24*AI227</f>
        <v>0.0918</v>
      </c>
      <c r="E272" s="313">
        <f t="shared" si="82"/>
        <v>0.65856</v>
      </c>
      <c r="F272" s="313">
        <f t="shared" si="82"/>
        <v>0.12446</v>
      </c>
      <c r="G272" s="313">
        <f t="shared" si="82"/>
        <v>0</v>
      </c>
      <c r="H272" s="313">
        <f t="shared" si="82"/>
        <v>2.628</v>
      </c>
      <c r="I272" s="313">
        <f t="shared" si="82"/>
        <v>0.5076</v>
      </c>
      <c r="J272" s="313">
        <f t="shared" si="82"/>
        <v>0.8802</v>
      </c>
      <c r="K272" s="216" t="s">
        <v>410</v>
      </c>
      <c r="L272" s="216"/>
      <c r="M272" s="216"/>
      <c r="N272" s="216"/>
      <c r="O272" s="216"/>
      <c r="P272" s="216"/>
      <c r="Q272" s="216"/>
      <c r="R272" s="216"/>
      <c r="S272" s="216"/>
      <c r="T272" s="216"/>
      <c r="U272" s="216"/>
      <c r="V272" s="216"/>
      <c r="W272" s="216"/>
      <c r="Z272" s="197"/>
      <c r="AA272" s="295"/>
      <c r="AB272" s="198"/>
      <c r="AC272" s="295"/>
      <c r="AD272" s="198"/>
      <c r="AE272" s="198"/>
      <c r="AF272" s="274"/>
    </row>
    <row r="273" spans="2:32">
      <c r="B273" s="314" t="s">
        <v>495</v>
      </c>
      <c r="C273" s="313" t="e">
        <f>#REF!</f>
        <v>#REF!</v>
      </c>
      <c r="D273" s="313">
        <f t="shared" ref="D273:J273" si="83">D25*AI228</f>
        <v>0.1269</v>
      </c>
      <c r="E273" s="313">
        <f t="shared" si="83"/>
        <v>0.34398</v>
      </c>
      <c r="F273" s="313">
        <f t="shared" si="83"/>
        <v>0.34496</v>
      </c>
      <c r="G273" s="313">
        <f t="shared" si="83"/>
        <v>0.32144</v>
      </c>
      <c r="H273" s="313">
        <f t="shared" si="83"/>
        <v>2.799</v>
      </c>
      <c r="I273" s="313">
        <f t="shared" si="83"/>
        <v>0.6093</v>
      </c>
      <c r="J273" s="313">
        <f t="shared" si="83"/>
        <v>0.8802</v>
      </c>
      <c r="K273" s="216" t="s">
        <v>410</v>
      </c>
      <c r="L273" s="216"/>
      <c r="M273" s="216"/>
      <c r="N273" s="216"/>
      <c r="O273" s="216"/>
      <c r="P273" s="216"/>
      <c r="Q273" s="216"/>
      <c r="R273" s="216"/>
      <c r="S273" s="216"/>
      <c r="T273" s="216"/>
      <c r="U273" s="216"/>
      <c r="V273" s="216"/>
      <c r="W273" s="216"/>
      <c r="Z273" s="197"/>
      <c r="AA273" s="295"/>
      <c r="AB273" s="198"/>
      <c r="AC273" s="295"/>
      <c r="AD273" s="198"/>
      <c r="AE273" s="198"/>
      <c r="AF273" s="274"/>
    </row>
    <row r="274" spans="2:32">
      <c r="B274" s="314" t="s">
        <v>496</v>
      </c>
      <c r="C274" s="313" t="e">
        <f>#REF!</f>
        <v>#REF!</v>
      </c>
      <c r="D274" s="313">
        <f t="shared" ref="D274:J274" si="84">D26*AI229</f>
        <v>0.1224</v>
      </c>
      <c r="E274" s="313">
        <f t="shared" si="84"/>
        <v>0.49784</v>
      </c>
      <c r="F274" s="313">
        <f t="shared" si="84"/>
        <v>0.19992</v>
      </c>
      <c r="G274" s="313">
        <f t="shared" si="84"/>
        <v>0.2793</v>
      </c>
      <c r="H274" s="313">
        <f t="shared" si="84"/>
        <v>2.763</v>
      </c>
      <c r="I274" s="313">
        <f t="shared" si="84"/>
        <v>0.5949</v>
      </c>
      <c r="J274" s="313">
        <f t="shared" si="84"/>
        <v>0.8829</v>
      </c>
      <c r="K274" s="216" t="s">
        <v>410</v>
      </c>
      <c r="L274" s="216"/>
      <c r="M274" s="216"/>
      <c r="N274" s="216"/>
      <c r="O274" s="216"/>
      <c r="P274" s="216"/>
      <c r="Q274" s="216"/>
      <c r="R274" s="216"/>
      <c r="S274" s="216"/>
      <c r="T274" s="216"/>
      <c r="U274" s="216"/>
      <c r="V274" s="216"/>
      <c r="W274" s="216"/>
      <c r="Z274" s="197"/>
      <c r="AA274" s="295"/>
      <c r="AB274" s="198"/>
      <c r="AC274" s="295"/>
      <c r="AD274" s="198"/>
      <c r="AE274" s="198"/>
      <c r="AF274" s="274"/>
    </row>
    <row r="275" spans="2:32">
      <c r="B275" s="314" t="s">
        <v>497</v>
      </c>
      <c r="C275" s="313" t="e">
        <f>#REF!</f>
        <v>#REF!</v>
      </c>
      <c r="D275" s="313">
        <f t="shared" ref="D275:J275" si="85">D27*AI230</f>
        <v>0.1062</v>
      </c>
      <c r="E275" s="313">
        <f t="shared" si="85"/>
        <v>0.52038</v>
      </c>
      <c r="F275" s="313">
        <f t="shared" si="85"/>
        <v>0.17444</v>
      </c>
      <c r="G275" s="313">
        <f t="shared" si="85"/>
        <v>0.16268</v>
      </c>
      <c r="H275" s="313">
        <f t="shared" si="85"/>
        <v>2.7153</v>
      </c>
      <c r="I275" s="313">
        <f t="shared" si="85"/>
        <v>0.5445</v>
      </c>
      <c r="J275" s="313">
        <f t="shared" si="85"/>
        <v>0.864</v>
      </c>
      <c r="K275" s="216" t="s">
        <v>410</v>
      </c>
      <c r="L275" s="216"/>
      <c r="M275" s="216"/>
      <c r="N275" s="216"/>
      <c r="O275" s="216"/>
      <c r="P275" s="216"/>
      <c r="Q275" s="216"/>
      <c r="R275" s="216"/>
      <c r="S275" s="216"/>
      <c r="T275" s="216"/>
      <c r="U275" s="216"/>
      <c r="V275" s="216"/>
      <c r="W275" s="216"/>
      <c r="Z275" s="197"/>
      <c r="AA275" s="295"/>
      <c r="AB275" s="198"/>
      <c r="AC275" s="295"/>
      <c r="AD275" s="198"/>
      <c r="AE275" s="198"/>
      <c r="AF275" s="274"/>
    </row>
    <row r="276" spans="2:32">
      <c r="B276" s="314" t="s">
        <v>498</v>
      </c>
      <c r="C276" s="313" t="e">
        <f>#REF!</f>
        <v>#REF!</v>
      </c>
      <c r="D276" s="313">
        <f t="shared" ref="D276:J276" si="86">D28*AI231</f>
        <v>0.09</v>
      </c>
      <c r="E276" s="313">
        <f t="shared" si="86"/>
        <v>0.588</v>
      </c>
      <c r="F276" s="313">
        <f t="shared" si="86"/>
        <v>0.0735</v>
      </c>
      <c r="G276" s="313">
        <f t="shared" si="86"/>
        <v>0.0686</v>
      </c>
      <c r="H276" s="313">
        <f t="shared" si="86"/>
        <v>2.6289</v>
      </c>
      <c r="I276" s="313">
        <f t="shared" si="86"/>
        <v>0.4941</v>
      </c>
      <c r="J276" s="313">
        <f t="shared" si="86"/>
        <v>0.8649</v>
      </c>
      <c r="K276" s="216" t="s">
        <v>410</v>
      </c>
      <c r="L276" s="216"/>
      <c r="M276" s="216"/>
      <c r="N276" s="216"/>
      <c r="O276" s="216"/>
      <c r="P276" s="216"/>
      <c r="Q276" s="216"/>
      <c r="R276" s="216"/>
      <c r="S276" s="216"/>
      <c r="T276" s="216"/>
      <c r="U276" s="216"/>
      <c r="V276" s="216"/>
      <c r="W276" s="216"/>
      <c r="Z276" s="197"/>
      <c r="AA276" s="295"/>
      <c r="AB276" s="198"/>
      <c r="AC276" s="295"/>
      <c r="AD276" s="198"/>
      <c r="AE276" s="198"/>
      <c r="AF276" s="274"/>
    </row>
    <row r="277" spans="2:32">
      <c r="B277" s="314" t="s">
        <v>499</v>
      </c>
      <c r="C277" s="313" t="e">
        <f>#REF!</f>
        <v>#REF!</v>
      </c>
      <c r="D277" s="313">
        <f t="shared" ref="D277:J277" si="87">D22*AI236</f>
        <v>0.0855</v>
      </c>
      <c r="E277" s="313">
        <f t="shared" si="87"/>
        <v>0</v>
      </c>
      <c r="F277" s="313">
        <f t="shared" si="87"/>
        <v>0</v>
      </c>
      <c r="G277" s="313">
        <f t="shared" si="87"/>
        <v>0</v>
      </c>
      <c r="H277" s="313">
        <f t="shared" si="87"/>
        <v>3.1752</v>
      </c>
      <c r="I277" s="313">
        <f t="shared" si="87"/>
        <v>0.8514</v>
      </c>
      <c r="J277" s="313">
        <f t="shared" si="87"/>
        <v>0.9765</v>
      </c>
      <c r="K277" s="216" t="s">
        <v>410</v>
      </c>
      <c r="L277" s="216"/>
      <c r="M277" s="216"/>
      <c r="N277" s="317"/>
      <c r="O277" s="216"/>
      <c r="P277" s="216"/>
      <c r="Q277" s="216"/>
      <c r="R277" s="216"/>
      <c r="S277" s="216"/>
      <c r="T277" s="216"/>
      <c r="U277" s="216"/>
      <c r="V277" s="216"/>
      <c r="W277" s="216"/>
      <c r="Z277" s="197"/>
      <c r="AA277" s="295"/>
      <c r="AB277" s="198"/>
      <c r="AC277" s="295"/>
      <c r="AD277" s="198"/>
      <c r="AE277" s="198"/>
      <c r="AF277" s="274"/>
    </row>
    <row r="278" spans="2:32">
      <c r="B278" s="314" t="s">
        <v>500</v>
      </c>
      <c r="C278" s="313" t="e">
        <f>#REF!</f>
        <v>#REF!</v>
      </c>
      <c r="D278" s="313">
        <f t="shared" ref="D278:J278" si="88">D23*AI237</f>
        <v>0.0954</v>
      </c>
      <c r="E278" s="313">
        <f t="shared" si="88"/>
        <v>0</v>
      </c>
      <c r="F278" s="313">
        <f t="shared" si="88"/>
        <v>0</v>
      </c>
      <c r="G278" s="313">
        <f t="shared" si="88"/>
        <v>1.2564</v>
      </c>
      <c r="H278" s="313">
        <f t="shared" si="88"/>
        <v>3.0321</v>
      </c>
      <c r="I278" s="313">
        <f t="shared" si="88"/>
        <v>0.7767</v>
      </c>
      <c r="J278" s="313">
        <f t="shared" si="88"/>
        <v>0.8199</v>
      </c>
      <c r="K278" s="216" t="s">
        <v>410</v>
      </c>
      <c r="L278" s="216"/>
      <c r="M278" s="216"/>
      <c r="N278" s="216"/>
      <c r="O278" s="216"/>
      <c r="P278" s="216"/>
      <c r="Q278" s="216"/>
      <c r="R278" s="216"/>
      <c r="S278" s="216"/>
      <c r="T278" s="216"/>
      <c r="U278" s="216"/>
      <c r="V278" s="216"/>
      <c r="W278" s="216"/>
      <c r="Z278" s="197"/>
      <c r="AA278" s="295"/>
      <c r="AB278" s="198"/>
      <c r="AC278" s="295"/>
      <c r="AD278" s="198"/>
      <c r="AE278" s="198"/>
      <c r="AF278" s="274"/>
    </row>
    <row r="279" spans="2:32">
      <c r="B279" s="314" t="s">
        <v>501</v>
      </c>
      <c r="C279" s="313" t="e">
        <f>#REF!</f>
        <v>#REF!</v>
      </c>
      <c r="D279" s="313">
        <f t="shared" ref="D279:J279" si="89">D24*AI238</f>
        <v>0.0918</v>
      </c>
      <c r="E279" s="313">
        <f t="shared" si="89"/>
        <v>0.6048</v>
      </c>
      <c r="F279" s="313">
        <f t="shared" si="89"/>
        <v>0.1143</v>
      </c>
      <c r="G279" s="313">
        <f t="shared" si="89"/>
        <v>0</v>
      </c>
      <c r="H279" s="313">
        <f t="shared" si="89"/>
        <v>2.628</v>
      </c>
      <c r="I279" s="313">
        <f t="shared" si="89"/>
        <v>0.5076</v>
      </c>
      <c r="J279" s="313">
        <f t="shared" si="89"/>
        <v>0.8802</v>
      </c>
      <c r="K279" s="216" t="s">
        <v>410</v>
      </c>
      <c r="L279" s="216"/>
      <c r="M279" s="216"/>
      <c r="N279" s="216"/>
      <c r="O279" s="216"/>
      <c r="P279" s="216"/>
      <c r="Q279" s="216"/>
      <c r="R279" s="216"/>
      <c r="S279" s="216"/>
      <c r="T279" s="216"/>
      <c r="U279" s="216"/>
      <c r="V279" s="216"/>
      <c r="W279" s="216"/>
      <c r="Z279" s="197"/>
      <c r="AA279" s="295"/>
      <c r="AB279" s="198"/>
      <c r="AC279" s="295"/>
      <c r="AD279" s="198"/>
      <c r="AE279" s="198"/>
      <c r="AF279" s="274"/>
    </row>
    <row r="280" spans="2:32">
      <c r="B280" s="314" t="s">
        <v>502</v>
      </c>
      <c r="C280" s="313" t="e">
        <f>#REF!</f>
        <v>#REF!</v>
      </c>
      <c r="D280" s="313">
        <f t="shared" ref="D280:J280" si="90">D25*AI239</f>
        <v>0.1269</v>
      </c>
      <c r="E280" s="313">
        <f t="shared" si="90"/>
        <v>0.3159</v>
      </c>
      <c r="F280" s="313">
        <f t="shared" si="90"/>
        <v>0.3168</v>
      </c>
      <c r="G280" s="313">
        <f t="shared" si="90"/>
        <v>0.2952</v>
      </c>
      <c r="H280" s="313">
        <f t="shared" si="90"/>
        <v>2.799</v>
      </c>
      <c r="I280" s="313">
        <f t="shared" si="90"/>
        <v>0.6093</v>
      </c>
      <c r="J280" s="313">
        <f t="shared" si="90"/>
        <v>0.8802</v>
      </c>
      <c r="K280" s="216" t="s">
        <v>410</v>
      </c>
      <c r="L280" s="216"/>
      <c r="M280" s="216"/>
      <c r="N280" s="216"/>
      <c r="O280" s="216"/>
      <c r="P280" s="216"/>
      <c r="Q280" s="216"/>
      <c r="R280" s="216"/>
      <c r="S280" s="216"/>
      <c r="T280" s="216"/>
      <c r="U280" s="216"/>
      <c r="V280" s="216"/>
      <c r="W280" s="216"/>
      <c r="Z280" s="197"/>
      <c r="AA280" s="295"/>
      <c r="AB280" s="198"/>
      <c r="AC280" s="295"/>
      <c r="AD280" s="198"/>
      <c r="AE280" s="198"/>
      <c r="AF280" s="274"/>
    </row>
    <row r="281" spans="2:32">
      <c r="B281" s="314" t="s">
        <v>503</v>
      </c>
      <c r="C281" s="313" t="e">
        <f>#REF!</f>
        <v>#REF!</v>
      </c>
      <c r="D281" s="313">
        <f t="shared" ref="D281:J281" si="91">D26*AI240</f>
        <v>0.1224</v>
      </c>
      <c r="E281" s="313">
        <f t="shared" si="91"/>
        <v>0.4572</v>
      </c>
      <c r="F281" s="313">
        <f t="shared" si="91"/>
        <v>0.1836</v>
      </c>
      <c r="G281" s="313">
        <f t="shared" si="91"/>
        <v>0.2565</v>
      </c>
      <c r="H281" s="313">
        <f t="shared" si="91"/>
        <v>2.763</v>
      </c>
      <c r="I281" s="313">
        <f t="shared" si="91"/>
        <v>0.5949</v>
      </c>
      <c r="J281" s="313">
        <f t="shared" si="91"/>
        <v>0.8829</v>
      </c>
      <c r="K281" s="216" t="s">
        <v>410</v>
      </c>
      <c r="L281" s="216"/>
      <c r="M281" s="216"/>
      <c r="N281" s="216"/>
      <c r="O281" s="216"/>
      <c r="P281" s="216"/>
      <c r="Q281" s="216"/>
      <c r="R281" s="216"/>
      <c r="S281" s="216"/>
      <c r="T281" s="216"/>
      <c r="U281" s="216"/>
      <c r="V281" s="216"/>
      <c r="W281" s="216"/>
      <c r="Z281" s="197"/>
      <c r="AA281" s="295"/>
      <c r="AB281" s="198"/>
      <c r="AC281" s="295"/>
      <c r="AD281" s="198"/>
      <c r="AE281" s="198"/>
      <c r="AF281" s="274"/>
    </row>
    <row r="282" spans="2:32">
      <c r="B282" s="314" t="s">
        <v>504</v>
      </c>
      <c r="C282" s="313" t="e">
        <f>#REF!</f>
        <v>#REF!</v>
      </c>
      <c r="D282" s="313">
        <f t="shared" ref="D282:J282" si="92">D27*AI241</f>
        <v>0.1062</v>
      </c>
      <c r="E282" s="313">
        <f t="shared" si="92"/>
        <v>0.4779</v>
      </c>
      <c r="F282" s="313">
        <f t="shared" si="92"/>
        <v>0.1602</v>
      </c>
      <c r="G282" s="313">
        <f t="shared" si="92"/>
        <v>0.1494</v>
      </c>
      <c r="H282" s="313">
        <f t="shared" si="92"/>
        <v>2.7153</v>
      </c>
      <c r="I282" s="313">
        <f t="shared" si="92"/>
        <v>0.5445</v>
      </c>
      <c r="J282" s="313">
        <f t="shared" si="92"/>
        <v>0.864</v>
      </c>
      <c r="K282" s="216" t="s">
        <v>410</v>
      </c>
      <c r="L282" s="216"/>
      <c r="M282" s="216"/>
      <c r="N282" s="216"/>
      <c r="O282" s="216"/>
      <c r="P282" s="216"/>
      <c r="Q282" s="216"/>
      <c r="R282" s="216"/>
      <c r="S282" s="216"/>
      <c r="T282" s="216"/>
      <c r="U282" s="216"/>
      <c r="V282" s="216"/>
      <c r="W282" s="216"/>
      <c r="Z282" s="197"/>
      <c r="AA282" s="295"/>
      <c r="AB282" s="198"/>
      <c r="AC282" s="295"/>
      <c r="AD282" s="198"/>
      <c r="AE282" s="198"/>
      <c r="AF282" s="274"/>
    </row>
    <row r="283" spans="2:32">
      <c r="B283" s="314" t="s">
        <v>505</v>
      </c>
      <c r="C283" s="313" t="e">
        <f>#REF!</f>
        <v>#REF!</v>
      </c>
      <c r="D283" s="313">
        <f t="shared" ref="D283:J283" si="93">D28*AI242</f>
        <v>0.09</v>
      </c>
      <c r="E283" s="313">
        <f t="shared" si="93"/>
        <v>0.54</v>
      </c>
      <c r="F283" s="313">
        <f t="shared" si="93"/>
        <v>0.0675</v>
      </c>
      <c r="G283" s="313">
        <f t="shared" si="93"/>
        <v>0.063</v>
      </c>
      <c r="H283" s="313">
        <f t="shared" si="93"/>
        <v>2.6289</v>
      </c>
      <c r="I283" s="313">
        <f t="shared" si="93"/>
        <v>0.4941</v>
      </c>
      <c r="J283" s="313">
        <f t="shared" si="93"/>
        <v>0.8649</v>
      </c>
      <c r="K283" s="216" t="s">
        <v>410</v>
      </c>
      <c r="L283" s="216"/>
      <c r="M283" s="216"/>
      <c r="N283" s="216"/>
      <c r="O283" s="216"/>
      <c r="P283" s="216"/>
      <c r="Q283" s="216"/>
      <c r="R283" s="216"/>
      <c r="S283" s="216"/>
      <c r="T283" s="216"/>
      <c r="U283" s="216"/>
      <c r="V283" s="216"/>
      <c r="W283" s="216"/>
      <c r="Z283" s="197"/>
      <c r="AA283" s="295"/>
      <c r="AB283" s="198"/>
      <c r="AC283" s="295"/>
      <c r="AD283" s="198"/>
      <c r="AE283" s="198"/>
      <c r="AF283" s="274"/>
    </row>
    <row r="284" spans="26:32">
      <c r="Z284" s="197"/>
      <c r="AA284" s="198"/>
      <c r="AB284" s="198"/>
      <c r="AC284" s="198"/>
      <c r="AD284" s="198"/>
      <c r="AE284" s="198"/>
      <c r="AF284" s="274"/>
    </row>
    <row r="285" spans="26:32">
      <c r="Z285" s="197"/>
      <c r="AA285" s="198"/>
      <c r="AB285" s="198"/>
      <c r="AC285" s="198"/>
      <c r="AD285" s="198"/>
      <c r="AE285" s="198"/>
      <c r="AF285" s="274"/>
    </row>
    <row r="286" spans="26:32">
      <c r="Z286" s="197"/>
      <c r="AA286" s="198"/>
      <c r="AB286" s="198"/>
      <c r="AC286" s="198"/>
      <c r="AD286" s="198"/>
      <c r="AE286" s="198"/>
      <c r="AF286" s="274"/>
    </row>
    <row r="287" spans="26:32">
      <c r="Z287" s="197"/>
      <c r="AA287" s="198"/>
      <c r="AB287" s="198"/>
      <c r="AC287" s="198"/>
      <c r="AD287" s="198"/>
      <c r="AE287" s="198"/>
      <c r="AF287" s="274"/>
    </row>
    <row r="288" s="197" customFormat="1" spans="27:32">
      <c r="AA288" s="198"/>
      <c r="AB288" s="198"/>
      <c r="AC288" s="198"/>
      <c r="AD288" s="198"/>
      <c r="AE288" s="198"/>
      <c r="AF288" s="198"/>
    </row>
    <row r="289" s="197" customFormat="1" spans="4:32">
      <c r="D289" s="198"/>
      <c r="E289" s="198"/>
      <c r="F289" s="198"/>
      <c r="G289" s="198"/>
      <c r="H289" s="198"/>
      <c r="AA289" s="198"/>
      <c r="AB289" s="198"/>
      <c r="AC289" s="198"/>
      <c r="AD289" s="198"/>
      <c r="AE289" s="198"/>
      <c r="AF289" s="198"/>
    </row>
    <row r="290" spans="27:32">
      <c r="AA290" s="274"/>
      <c r="AB290" s="274"/>
      <c r="AC290" s="274"/>
      <c r="AD290" s="274"/>
      <c r="AE290" s="274"/>
      <c r="AF290" s="274"/>
    </row>
    <row r="291" spans="27:32">
      <c r="AA291" s="274"/>
      <c r="AB291" s="274"/>
      <c r="AC291" s="274"/>
      <c r="AD291" s="274"/>
      <c r="AE291" s="274"/>
      <c r="AF291" s="274"/>
    </row>
    <row r="292" spans="27:32">
      <c r="AA292" s="274"/>
      <c r="AB292" s="274"/>
      <c r="AC292" s="274"/>
      <c r="AD292" s="274"/>
      <c r="AE292" s="274"/>
      <c r="AF292" s="274"/>
    </row>
    <row r="320" s="198" customFormat="1"/>
    <row r="321" s="198" customFormat="1" spans="3:5">
      <c r="C321" s="295"/>
      <c r="E321" s="295"/>
    </row>
    <row r="322" s="198" customFormat="1" spans="3:5">
      <c r="C322" s="295"/>
      <c r="E322" s="295"/>
    </row>
    <row r="323" s="198" customFormat="1" spans="3:5">
      <c r="C323" s="295"/>
      <c r="E323" s="295"/>
    </row>
    <row r="324" s="198" customFormat="1" spans="3:5">
      <c r="C324" s="295"/>
      <c r="E324" s="295"/>
    </row>
    <row r="325" s="198" customFormat="1" spans="3:5">
      <c r="C325" s="295"/>
      <c r="E325" s="295"/>
    </row>
    <row r="326" s="198" customFormat="1" spans="3:5">
      <c r="C326" s="295"/>
      <c r="E326" s="295"/>
    </row>
    <row r="327" s="198" customFormat="1" spans="3:5">
      <c r="C327" s="295"/>
      <c r="E327" s="295"/>
    </row>
    <row r="328" s="198" customFormat="1" spans="3:5">
      <c r="C328" s="295"/>
      <c r="E328" s="295"/>
    </row>
    <row r="329" s="198" customFormat="1" spans="3:5">
      <c r="C329" s="295"/>
      <c r="E329" s="295"/>
    </row>
    <row r="330" s="198" customFormat="1" spans="3:5">
      <c r="C330" s="295"/>
      <c r="E330" s="295"/>
    </row>
    <row r="331" s="198" customFormat="1" spans="3:5">
      <c r="C331" s="295"/>
      <c r="E331" s="295"/>
    </row>
    <row r="332" s="198" customFormat="1" spans="3:5">
      <c r="C332" s="295"/>
      <c r="E332" s="295"/>
    </row>
    <row r="333" s="198" customFormat="1" spans="3:5">
      <c r="C333" s="295"/>
      <c r="E333" s="295"/>
    </row>
    <row r="334" s="198" customFormat="1" spans="3:5">
      <c r="C334" s="295"/>
      <c r="E334" s="295"/>
    </row>
    <row r="335" s="198" customFormat="1" spans="3:5">
      <c r="C335" s="295"/>
      <c r="E335" s="295"/>
    </row>
    <row r="336" s="198" customFormat="1" spans="3:5">
      <c r="C336" s="295"/>
      <c r="E336" s="295"/>
    </row>
    <row r="337" s="198" customFormat="1" spans="3:5">
      <c r="C337" s="295"/>
      <c r="E337" s="295"/>
    </row>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ht="14.5" spans="4:5">
      <c r="D347" s="226"/>
      <c r="E347" s="226"/>
    </row>
    <row r="348" s="198" customFormat="1" spans="4:10">
      <c r="D348" s="318"/>
      <c r="E348" s="318"/>
      <c r="F348" s="318"/>
      <c r="G348" s="318"/>
      <c r="H348" s="318"/>
      <c r="I348" s="318"/>
      <c r="J348" s="318"/>
    </row>
    <row r="349" s="198" customFormat="1"/>
    <row r="350" s="198" customFormat="1"/>
    <row r="351" s="198" customFormat="1"/>
    <row r="352" s="198" customFormat="1"/>
    <row r="353" s="198" customFormat="1"/>
    <row r="354" s="198" customFormat="1"/>
    <row r="355" s="198" customFormat="1" ht="14.5" spans="14:22">
      <c r="N355" s="319"/>
      <c r="O355" s="319"/>
      <c r="P355" s="319"/>
      <c r="Q355" s="319"/>
      <c r="R355" s="252"/>
      <c r="S355" s="252"/>
      <c r="T355" s="252"/>
      <c r="U355" s="252"/>
      <c r="V355" s="252"/>
    </row>
    <row r="356" s="198" customFormat="1" spans="3:22">
      <c r="C356" s="295"/>
      <c r="D356" s="295"/>
      <c r="E356" s="295"/>
      <c r="F356" s="295"/>
      <c r="G356" s="295"/>
      <c r="H356" s="295"/>
      <c r="I356" s="295"/>
      <c r="J356" s="295"/>
      <c r="N356" s="320"/>
      <c r="O356" s="319"/>
      <c r="P356" s="319"/>
      <c r="Q356" s="319"/>
      <c r="R356" s="319"/>
      <c r="S356" s="319"/>
      <c r="T356" s="319"/>
      <c r="U356" s="319"/>
      <c r="V356" s="319"/>
    </row>
    <row r="357" s="198" customFormat="1" spans="3:22">
      <c r="C357" s="295"/>
      <c r="D357" s="295"/>
      <c r="E357" s="295"/>
      <c r="F357" s="295"/>
      <c r="G357" s="295"/>
      <c r="H357" s="295"/>
      <c r="I357" s="295"/>
      <c r="J357" s="295"/>
      <c r="N357" s="320"/>
      <c r="O357" s="319"/>
      <c r="P357" s="319"/>
      <c r="Q357" s="319"/>
      <c r="R357" s="319"/>
      <c r="S357" s="319"/>
      <c r="T357" s="319"/>
      <c r="U357" s="319"/>
      <c r="V357" s="319"/>
    </row>
    <row r="358" s="198" customFormat="1" spans="3:22">
      <c r="C358" s="295"/>
      <c r="D358" s="295"/>
      <c r="E358" s="295"/>
      <c r="F358" s="295"/>
      <c r="G358" s="295"/>
      <c r="H358" s="295"/>
      <c r="I358" s="295"/>
      <c r="J358" s="295"/>
      <c r="N358" s="321"/>
      <c r="O358" s="319"/>
      <c r="P358" s="319"/>
      <c r="Q358" s="319"/>
      <c r="R358" s="319"/>
      <c r="S358" s="319"/>
      <c r="T358" s="319"/>
      <c r="U358" s="319"/>
      <c r="V358" s="319"/>
    </row>
    <row r="359" s="198" customFormat="1" spans="3:22">
      <c r="C359" s="295"/>
      <c r="D359" s="295"/>
      <c r="E359" s="295"/>
      <c r="F359" s="295"/>
      <c r="G359" s="295"/>
      <c r="H359" s="295"/>
      <c r="I359" s="295"/>
      <c r="J359" s="295"/>
      <c r="N359" s="320"/>
      <c r="O359" s="319"/>
      <c r="P359" s="319"/>
      <c r="Q359" s="319"/>
      <c r="R359" s="319"/>
      <c r="S359" s="319"/>
      <c r="T359" s="319"/>
      <c r="U359" s="319"/>
      <c r="V359" s="319"/>
    </row>
    <row r="360" s="198" customFormat="1" spans="3:22">
      <c r="C360" s="295"/>
      <c r="D360" s="295"/>
      <c r="E360" s="295"/>
      <c r="F360" s="295"/>
      <c r="G360" s="295"/>
      <c r="H360" s="295"/>
      <c r="I360" s="295"/>
      <c r="J360" s="295"/>
      <c r="N360" s="320"/>
      <c r="O360" s="319"/>
      <c r="P360" s="319"/>
      <c r="Q360" s="319"/>
      <c r="R360" s="319"/>
      <c r="S360" s="319"/>
      <c r="T360" s="319"/>
      <c r="U360" s="319"/>
      <c r="V360" s="319"/>
    </row>
    <row r="361" s="198" customFormat="1" spans="3:22">
      <c r="C361" s="295"/>
      <c r="D361" s="295"/>
      <c r="E361" s="295"/>
      <c r="F361" s="295"/>
      <c r="G361" s="295"/>
      <c r="H361" s="295"/>
      <c r="I361" s="295"/>
      <c r="J361" s="295"/>
      <c r="N361" s="320"/>
      <c r="O361" s="319"/>
      <c r="P361" s="319"/>
      <c r="Q361" s="319"/>
      <c r="R361" s="319"/>
      <c r="S361" s="319"/>
      <c r="T361" s="319"/>
      <c r="U361" s="319"/>
      <c r="V361" s="319"/>
    </row>
    <row r="362" s="198" customFormat="1" spans="3:22">
      <c r="C362" s="295"/>
      <c r="D362" s="295"/>
      <c r="E362" s="295"/>
      <c r="F362" s="295"/>
      <c r="G362" s="295"/>
      <c r="H362" s="295"/>
      <c r="I362" s="295"/>
      <c r="J362" s="295"/>
      <c r="N362" s="320"/>
      <c r="O362" s="319"/>
      <c r="P362" s="319"/>
      <c r="Q362" s="319"/>
      <c r="R362" s="319"/>
      <c r="S362" s="319"/>
      <c r="T362" s="319"/>
      <c r="U362" s="319"/>
      <c r="V362" s="319"/>
    </row>
    <row r="363" s="198" customFormat="1" ht="14.5" spans="3:22">
      <c r="C363" s="295"/>
      <c r="D363" s="295"/>
      <c r="E363" s="295"/>
      <c r="F363" s="295"/>
      <c r="G363" s="295"/>
      <c r="H363" s="295"/>
      <c r="I363" s="295"/>
      <c r="J363" s="295"/>
      <c r="N363" s="320"/>
      <c r="O363" s="319"/>
      <c r="P363" s="319"/>
      <c r="Q363" s="319"/>
      <c r="R363" s="319"/>
      <c r="S363" s="319"/>
      <c r="T363" s="252"/>
      <c r="U363" s="252"/>
      <c r="V363" s="252"/>
    </row>
    <row r="364" s="198" customFormat="1" spans="3:10">
      <c r="C364" s="295"/>
      <c r="D364" s="295"/>
      <c r="E364" s="295"/>
      <c r="F364" s="295"/>
      <c r="G364" s="295"/>
      <c r="H364" s="295"/>
      <c r="I364" s="295"/>
      <c r="J364" s="295"/>
    </row>
    <row r="365" s="198" customFormat="1" spans="3:10">
      <c r="C365" s="295"/>
      <c r="D365" s="295"/>
      <c r="E365" s="295"/>
      <c r="F365" s="295"/>
      <c r="G365" s="295"/>
      <c r="H365" s="295"/>
      <c r="I365" s="295"/>
      <c r="J365" s="295"/>
    </row>
    <row r="366" s="198" customFormat="1" spans="3:10">
      <c r="C366" s="295"/>
      <c r="D366" s="295"/>
      <c r="E366" s="295"/>
      <c r="F366" s="295"/>
      <c r="G366" s="295"/>
      <c r="H366" s="295"/>
      <c r="I366" s="295"/>
      <c r="J366" s="295"/>
    </row>
    <row r="367" s="198" customFormat="1" spans="3:10">
      <c r="C367" s="295"/>
      <c r="D367" s="295"/>
      <c r="E367" s="295"/>
      <c r="F367" s="295"/>
      <c r="G367" s="295"/>
      <c r="H367" s="295"/>
      <c r="I367" s="295"/>
      <c r="J367" s="295"/>
    </row>
    <row r="368" s="198" customFormat="1" spans="3:10">
      <c r="C368" s="295"/>
      <c r="D368" s="295"/>
      <c r="E368" s="295"/>
      <c r="F368" s="295"/>
      <c r="G368" s="295"/>
      <c r="H368" s="295"/>
      <c r="I368" s="295"/>
      <c r="J368" s="295"/>
    </row>
    <row r="369" s="198" customFormat="1" spans="3:10">
      <c r="C369" s="295"/>
      <c r="D369" s="295"/>
      <c r="E369" s="295"/>
      <c r="F369" s="295"/>
      <c r="G369" s="295"/>
      <c r="H369" s="295"/>
      <c r="I369" s="295"/>
      <c r="J369" s="295"/>
    </row>
    <row r="370" s="198" customFormat="1"/>
    <row r="371" s="198" customFormat="1"/>
    <row r="372" s="198" customFormat="1"/>
    <row r="373" s="198" customFormat="1"/>
    <row r="374" s="198" customFormat="1" spans="3:3">
      <c r="C374" s="273"/>
    </row>
    <row r="375" s="198" customFormat="1" spans="3:3">
      <c r="C375" s="273"/>
    </row>
    <row r="376" s="198" customFormat="1" spans="3:3">
      <c r="C376" s="273"/>
    </row>
    <row r="377" s="198" customFormat="1" spans="3:3">
      <c r="C377" s="273"/>
    </row>
    <row r="378" s="198" customFormat="1" spans="3:3">
      <c r="C378" s="273"/>
    </row>
    <row r="379" s="198" customFormat="1" spans="3:3">
      <c r="C379" s="273"/>
    </row>
    <row r="380" s="198" customFormat="1" spans="3:3">
      <c r="C380" s="273"/>
    </row>
    <row r="381" s="198" customFormat="1" spans="3:5">
      <c r="C381" s="295"/>
      <c r="D381" s="297"/>
      <c r="E381" s="295"/>
    </row>
    <row r="382" s="198" customFormat="1" spans="3:5">
      <c r="C382" s="295"/>
      <c r="D382" s="297"/>
      <c r="E382" s="295"/>
    </row>
    <row r="383" s="198" customFormat="1" spans="3:5">
      <c r="C383" s="295"/>
      <c r="D383" s="297"/>
      <c r="E383" s="295"/>
    </row>
    <row r="384" s="198" customFormat="1" spans="3:5">
      <c r="C384" s="295"/>
      <c r="D384" s="297"/>
      <c r="E384" s="295"/>
    </row>
    <row r="385" s="198" customFormat="1" spans="3:5">
      <c r="C385" s="295"/>
      <c r="D385" s="297"/>
      <c r="E385" s="295"/>
    </row>
    <row r="386" s="198" customFormat="1" spans="3:5">
      <c r="C386" s="295"/>
      <c r="D386" s="297"/>
      <c r="E386" s="295"/>
    </row>
    <row r="387" s="198" customFormat="1" spans="3:5">
      <c r="C387" s="295"/>
      <c r="D387" s="297"/>
      <c r="E387" s="295"/>
    </row>
    <row r="388" s="198" customFormat="1" spans="3:5">
      <c r="C388" s="295"/>
      <c r="D388" s="297"/>
      <c r="E388" s="295"/>
    </row>
    <row r="389" s="198" customFormat="1" spans="3:5">
      <c r="C389" s="295"/>
      <c r="D389" s="297"/>
      <c r="E389" s="295"/>
    </row>
    <row r="390" s="198" customFormat="1" spans="3:5">
      <c r="C390" s="295"/>
      <c r="D390" s="297"/>
      <c r="E390" s="295"/>
    </row>
    <row r="391" s="198" customFormat="1" spans="3:5">
      <c r="C391" s="295"/>
      <c r="D391" s="297"/>
      <c r="E391" s="295"/>
    </row>
    <row r="392" s="198" customFormat="1" spans="3:5">
      <c r="C392" s="295"/>
      <c r="D392" s="297"/>
      <c r="E392" s="295"/>
    </row>
    <row r="393" s="198" customFormat="1" spans="3:5">
      <c r="C393" s="295"/>
      <c r="D393" s="297"/>
      <c r="E393" s="295"/>
    </row>
    <row r="394" s="198" customFormat="1" spans="3:5">
      <c r="C394" s="295"/>
      <c r="D394" s="297"/>
      <c r="E394" s="295"/>
    </row>
    <row r="395" s="198" customFormat="1"/>
    <row r="396" s="198" customFormat="1"/>
    <row r="397" s="198" customFormat="1"/>
    <row r="398" s="198" customFormat="1"/>
    <row r="399" s="198" customFormat="1"/>
    <row r="400" s="198" customFormat="1"/>
    <row r="401" s="198" customFormat="1"/>
    <row r="402" s="198" customFormat="1"/>
    <row r="403" s="198"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AW83"/>
  <sheetViews>
    <sheetView tabSelected="1" zoomScale="40" zoomScaleNormal="40" workbookViewId="0">
      <selection activeCell="J61" sqref="J61"/>
    </sheetView>
  </sheetViews>
  <sheetFormatPr defaultColWidth="9" defaultRowHeight="14.5"/>
  <cols>
    <col min="4" max="4" width="19.0909090909091" customWidth="1"/>
    <col min="5" max="5" width="51.7272727272727" customWidth="1"/>
    <col min="6" max="6" width="12" customWidth="1"/>
    <col min="7" max="7" width="9.90909090909091" customWidth="1"/>
    <col min="8" max="8" width="19.0909090909091" customWidth="1"/>
    <col min="10" max="10" width="14" customWidth="1"/>
    <col min="11" max="11" width="26" customWidth="1"/>
    <col min="12" max="12" width="20.3636363636364" customWidth="1"/>
    <col min="13" max="13" width="9.09090909090909"/>
    <col min="16" max="16" width="19.0909090909091" customWidth="1"/>
    <col min="17" max="17" width="40.4545454545455" customWidth="1"/>
    <col min="18" max="18" width="44.7272727272727" customWidth="1"/>
    <col min="19" max="19" width="12.8181818181818"/>
    <col min="20" max="20" width="14.6363636363636" customWidth="1"/>
    <col min="21" max="21" width="12.8181818181818"/>
    <col min="22" max="22" width="14.2727272727273" customWidth="1"/>
    <col min="23" max="23" width="20.9090909090909" customWidth="1"/>
    <col min="24" max="24" width="15" customWidth="1"/>
    <col min="25" max="26" width="12.8181818181818"/>
    <col min="28" max="28" width="14" customWidth="1"/>
    <col min="29" max="29" width="26" customWidth="1"/>
    <col min="30" max="30" width="40.4545454545455" customWidth="1"/>
    <col min="31" max="31" width="44.7272727272727" customWidth="1"/>
    <col min="32" max="33" width="12.8181818181818"/>
    <col min="34" max="34" width="13.2727272727273" customWidth="1"/>
    <col min="35" max="35" width="20.5454545454545" customWidth="1"/>
    <col min="36" max="39" width="12.8181818181818"/>
    <col min="40" max="40" width="11.2727272727273" customWidth="1"/>
    <col min="41" max="41" width="20.5454545454545" customWidth="1"/>
    <col min="46" max="46" width="11.4545454545455" customWidth="1"/>
    <col min="47" max="47" width="20.5454545454545" customWidth="1"/>
    <col min="48" max="48" width="18.1818181818182" customWidth="1"/>
    <col min="53" max="53" width="20.5454545454545" customWidth="1"/>
  </cols>
  <sheetData>
    <row r="1" customHeight="1" spans="1:1">
      <c r="A1" t="s">
        <v>514</v>
      </c>
    </row>
    <row r="3" customHeight="1" spans="4:5">
      <c r="D3" s="152" t="s">
        <v>515</v>
      </c>
      <c r="E3" s="152" t="s">
        <v>282</v>
      </c>
    </row>
    <row r="4" spans="4:49">
      <c r="D4" s="153" t="s">
        <v>228</v>
      </c>
      <c r="E4" s="154">
        <v>5.654</v>
      </c>
      <c r="F4" s="155"/>
      <c r="G4" s="155"/>
      <c r="H4" s="49"/>
      <c r="I4" s="49"/>
      <c r="J4" s="168"/>
      <c r="K4" s="168"/>
      <c r="L4" s="168" t="s">
        <v>506</v>
      </c>
      <c r="M4" s="168"/>
      <c r="N4" s="169"/>
      <c r="O4" s="169"/>
      <c r="P4" s="169"/>
      <c r="Q4" s="169"/>
      <c r="R4" s="168" t="s">
        <v>506</v>
      </c>
      <c r="S4" s="169"/>
      <c r="T4" s="169"/>
      <c r="U4" s="169"/>
      <c r="V4" s="169"/>
      <c r="W4" s="169"/>
      <c r="X4" s="168" t="s">
        <v>506</v>
      </c>
      <c r="Y4" s="169"/>
      <c r="Z4" s="169"/>
      <c r="AA4" s="169"/>
      <c r="AB4" s="169"/>
      <c r="AC4" s="169"/>
      <c r="AD4" s="169" t="s">
        <v>506</v>
      </c>
      <c r="AE4" s="169"/>
      <c r="AF4" s="169"/>
      <c r="AG4" s="169"/>
      <c r="AH4" s="169"/>
      <c r="AI4" s="169"/>
      <c r="AJ4" s="168" t="s">
        <v>506</v>
      </c>
      <c r="AK4" s="169"/>
      <c r="AL4" s="169"/>
      <c r="AM4" s="169"/>
      <c r="AN4" s="169"/>
      <c r="AO4" s="169"/>
      <c r="AP4" s="168" t="s">
        <v>506</v>
      </c>
      <c r="AQ4" s="169"/>
      <c r="AR4" s="190"/>
      <c r="AS4" s="190"/>
      <c r="AT4" s="169"/>
      <c r="AU4" s="169"/>
      <c r="AV4" s="168" t="s">
        <v>506</v>
      </c>
      <c r="AW4" s="169"/>
    </row>
    <row r="5" spans="4:49">
      <c r="D5" s="153" t="s">
        <v>235</v>
      </c>
      <c r="E5" s="154">
        <v>6.645</v>
      </c>
      <c r="F5" s="156"/>
      <c r="G5" s="157"/>
      <c r="H5" s="49"/>
      <c r="I5" s="49"/>
      <c r="J5" s="170" t="s">
        <v>183</v>
      </c>
      <c r="K5" s="168" t="s">
        <v>79</v>
      </c>
      <c r="L5" s="171" t="s">
        <v>191</v>
      </c>
      <c r="M5" s="168">
        <v>2019</v>
      </c>
      <c r="N5" s="169"/>
      <c r="O5" s="169"/>
      <c r="P5" s="170" t="s">
        <v>183</v>
      </c>
      <c r="Q5" s="169" t="s">
        <v>79</v>
      </c>
      <c r="R5" s="169" t="s">
        <v>191</v>
      </c>
      <c r="S5" s="169">
        <v>2019</v>
      </c>
      <c r="T5" s="169"/>
      <c r="U5" s="169"/>
      <c r="V5" s="170" t="s">
        <v>183</v>
      </c>
      <c r="W5" s="169" t="s">
        <v>79</v>
      </c>
      <c r="X5" s="169" t="s">
        <v>191</v>
      </c>
      <c r="Y5" s="169">
        <v>2019</v>
      </c>
      <c r="Z5" s="169"/>
      <c r="AA5" s="169"/>
      <c r="AB5" s="170" t="s">
        <v>183</v>
      </c>
      <c r="AC5" s="169" t="s">
        <v>79</v>
      </c>
      <c r="AD5" s="169" t="s">
        <v>191</v>
      </c>
      <c r="AE5" s="169">
        <v>2019</v>
      </c>
      <c r="AF5" s="169"/>
      <c r="AG5" s="169"/>
      <c r="AH5" s="170" t="s">
        <v>183</v>
      </c>
      <c r="AI5" s="169" t="s">
        <v>79</v>
      </c>
      <c r="AJ5" s="169" t="s">
        <v>191</v>
      </c>
      <c r="AK5" s="169">
        <v>2019</v>
      </c>
      <c r="AL5" s="169"/>
      <c r="AM5" s="169"/>
      <c r="AN5" s="170" t="s">
        <v>183</v>
      </c>
      <c r="AO5" s="169" t="s">
        <v>79</v>
      </c>
      <c r="AP5" s="169" t="s">
        <v>191</v>
      </c>
      <c r="AQ5" s="169">
        <v>2019</v>
      </c>
      <c r="AR5" s="190"/>
      <c r="AS5" s="190"/>
      <c r="AT5" s="170" t="s">
        <v>183</v>
      </c>
      <c r="AU5" s="169" t="s">
        <v>79</v>
      </c>
      <c r="AV5" s="169" t="s">
        <v>191</v>
      </c>
      <c r="AW5" s="169">
        <v>2019</v>
      </c>
    </row>
    <row r="6" ht="16" spans="4:49">
      <c r="D6" s="153" t="s">
        <v>241</v>
      </c>
      <c r="E6" s="154">
        <v>5.363</v>
      </c>
      <c r="F6" s="156"/>
      <c r="G6" s="158"/>
      <c r="H6" s="49"/>
      <c r="I6" s="49"/>
      <c r="J6" s="168" t="s">
        <v>410</v>
      </c>
      <c r="K6" s="172" t="s">
        <v>253</v>
      </c>
      <c r="L6" s="171" t="s">
        <v>218</v>
      </c>
      <c r="M6" s="173">
        <f>T58</f>
        <v>0.0768666666666667</v>
      </c>
      <c r="N6" s="169"/>
      <c r="O6" s="169"/>
      <c r="P6" s="168" t="s">
        <v>410</v>
      </c>
      <c r="Q6" s="172" t="s">
        <v>260</v>
      </c>
      <c r="R6" s="171" t="s">
        <v>218</v>
      </c>
      <c r="S6" s="176">
        <f>U58</f>
        <v>0.0714333333333333</v>
      </c>
      <c r="T6" s="169"/>
      <c r="U6" s="169"/>
      <c r="V6" s="168" t="s">
        <v>410</v>
      </c>
      <c r="W6" s="172" t="s">
        <v>267</v>
      </c>
      <c r="X6" s="171" t="s">
        <v>218</v>
      </c>
      <c r="Y6" s="176">
        <f>V58</f>
        <v>0.0713333333333333</v>
      </c>
      <c r="Z6" s="169"/>
      <c r="AA6" s="169"/>
      <c r="AB6" s="168" t="s">
        <v>410</v>
      </c>
      <c r="AC6" s="172" t="s">
        <v>273</v>
      </c>
      <c r="AD6" s="171" t="s">
        <v>218</v>
      </c>
      <c r="AE6" s="176">
        <f>W58</f>
        <v>0.0725666666666666</v>
      </c>
      <c r="AF6" s="169"/>
      <c r="AG6" s="169"/>
      <c r="AH6" s="168" t="s">
        <v>410</v>
      </c>
      <c r="AI6" s="172" t="s">
        <v>246</v>
      </c>
      <c r="AJ6" s="171" t="s">
        <v>218</v>
      </c>
      <c r="AK6" s="176">
        <f>X58</f>
        <v>0.0771333333333333</v>
      </c>
      <c r="AL6" s="169"/>
      <c r="AM6" s="169"/>
      <c r="AN6" s="168" t="s">
        <v>410</v>
      </c>
      <c r="AO6" s="172" t="s">
        <v>240</v>
      </c>
      <c r="AP6" s="171" t="s">
        <v>218</v>
      </c>
      <c r="AQ6" s="176">
        <f>Y58</f>
        <v>0.0425333333333333</v>
      </c>
      <c r="AR6" s="190"/>
      <c r="AS6" s="190"/>
      <c r="AT6" s="168" t="s">
        <v>410</v>
      </c>
      <c r="AU6" s="172" t="s">
        <v>234</v>
      </c>
      <c r="AV6" s="171" t="s">
        <v>218</v>
      </c>
      <c r="AW6" s="176">
        <f>Z58</f>
        <v>0.0473</v>
      </c>
    </row>
    <row r="7" ht="16" spans="4:49">
      <c r="D7" s="153" t="s">
        <v>333</v>
      </c>
      <c r="E7" s="154">
        <v>5.937</v>
      </c>
      <c r="F7" s="156"/>
      <c r="G7" s="158"/>
      <c r="H7" s="49"/>
      <c r="I7" s="49"/>
      <c r="J7" s="168" t="s">
        <v>410</v>
      </c>
      <c r="K7" s="172" t="s">
        <v>253</v>
      </c>
      <c r="L7" s="143" t="s">
        <v>516</v>
      </c>
      <c r="M7" s="173">
        <f>T59</f>
        <v>0.218266666666667</v>
      </c>
      <c r="N7" s="169"/>
      <c r="O7" s="169"/>
      <c r="P7" s="168" t="s">
        <v>410</v>
      </c>
      <c r="Q7" s="172" t="s">
        <v>260</v>
      </c>
      <c r="R7" s="143" t="s">
        <v>516</v>
      </c>
      <c r="S7" s="176">
        <f>U59</f>
        <v>0.2069</v>
      </c>
      <c r="T7" s="169"/>
      <c r="U7" s="169"/>
      <c r="V7" s="168" t="s">
        <v>410</v>
      </c>
      <c r="W7" s="172" t="s">
        <v>267</v>
      </c>
      <c r="X7" s="143" t="s">
        <v>516</v>
      </c>
      <c r="Y7" s="176">
        <f>V59</f>
        <v>0.207166666666667</v>
      </c>
      <c r="Z7" s="169"/>
      <c r="AA7" s="169"/>
      <c r="AB7" s="168" t="s">
        <v>410</v>
      </c>
      <c r="AC7" s="172" t="s">
        <v>273</v>
      </c>
      <c r="AD7" s="143" t="s">
        <v>516</v>
      </c>
      <c r="AE7" s="176">
        <f>W59</f>
        <v>0.2015</v>
      </c>
      <c r="AF7" s="169"/>
      <c r="AG7" s="169"/>
      <c r="AH7" s="168" t="s">
        <v>410</v>
      </c>
      <c r="AI7" s="172" t="s">
        <v>246</v>
      </c>
      <c r="AJ7" s="143" t="s">
        <v>516</v>
      </c>
      <c r="AK7" s="176">
        <f>X59</f>
        <v>0.213833333333333</v>
      </c>
      <c r="AL7" s="169"/>
      <c r="AM7" s="169"/>
      <c r="AN7" s="168" t="s">
        <v>410</v>
      </c>
      <c r="AO7" s="172" t="s">
        <v>240</v>
      </c>
      <c r="AP7" s="143" t="s">
        <v>516</v>
      </c>
      <c r="AQ7" s="176">
        <f>Y59</f>
        <v>0.0924666666666667</v>
      </c>
      <c r="AR7" s="190"/>
      <c r="AS7" s="190"/>
      <c r="AT7" s="168" t="s">
        <v>410</v>
      </c>
      <c r="AU7" s="172" t="s">
        <v>234</v>
      </c>
      <c r="AV7" s="143" t="s">
        <v>516</v>
      </c>
      <c r="AW7" s="176">
        <f>Z59</f>
        <v>0.171166666666667</v>
      </c>
    </row>
    <row r="8" customHeight="1" spans="4:49">
      <c r="D8" s="153" t="s">
        <v>334</v>
      </c>
      <c r="E8" s="154">
        <v>5.845</v>
      </c>
      <c r="F8" s="156"/>
      <c r="G8" s="158"/>
      <c r="H8" s="49"/>
      <c r="I8" s="49"/>
      <c r="J8" s="168" t="s">
        <v>410</v>
      </c>
      <c r="K8" s="172" t="s">
        <v>253</v>
      </c>
      <c r="L8" s="143" t="s">
        <v>517</v>
      </c>
      <c r="M8" s="173">
        <f>T60</f>
        <v>0.573166666666667</v>
      </c>
      <c r="N8" s="169"/>
      <c r="O8" s="169"/>
      <c r="P8" s="168" t="s">
        <v>410</v>
      </c>
      <c r="Q8" s="172" t="s">
        <v>260</v>
      </c>
      <c r="R8" s="143" t="s">
        <v>517</v>
      </c>
      <c r="S8" s="176">
        <f>U60</f>
        <v>0.545466666666667</v>
      </c>
      <c r="T8" s="169"/>
      <c r="U8" s="169"/>
      <c r="V8" s="168" t="s">
        <v>410</v>
      </c>
      <c r="W8" s="172" t="s">
        <v>267</v>
      </c>
      <c r="X8" s="143" t="s">
        <v>517</v>
      </c>
      <c r="Y8" s="176">
        <f>V60</f>
        <v>0.547266666666667</v>
      </c>
      <c r="Z8" s="169"/>
      <c r="AA8" s="169"/>
      <c r="AB8" s="168" t="s">
        <v>410</v>
      </c>
      <c r="AC8" s="172" t="s">
        <v>273</v>
      </c>
      <c r="AD8" s="143" t="s">
        <v>517</v>
      </c>
      <c r="AE8" s="176">
        <f>W60</f>
        <v>0.539833333333333</v>
      </c>
      <c r="AF8" s="169"/>
      <c r="AG8" s="169"/>
      <c r="AH8" s="168" t="s">
        <v>410</v>
      </c>
      <c r="AI8" s="172" t="s">
        <v>246</v>
      </c>
      <c r="AJ8" s="143" t="s">
        <v>517</v>
      </c>
      <c r="AK8" s="176">
        <f>X60</f>
        <v>0.583566666666667</v>
      </c>
      <c r="AL8" s="169"/>
      <c r="AM8" s="169"/>
      <c r="AN8" s="168" t="s">
        <v>410</v>
      </c>
      <c r="AO8" s="172" t="s">
        <v>240</v>
      </c>
      <c r="AP8" s="143" t="s">
        <v>517</v>
      </c>
      <c r="AQ8" s="176">
        <f>Y60</f>
        <v>0.399233333333333</v>
      </c>
      <c r="AR8" s="190"/>
      <c r="AS8" s="190"/>
      <c r="AT8" s="168" t="s">
        <v>410</v>
      </c>
      <c r="AU8" s="172" t="s">
        <v>234</v>
      </c>
      <c r="AV8" s="143" t="s">
        <v>517</v>
      </c>
      <c r="AW8" s="176">
        <f>Z60</f>
        <v>0.466366666666667</v>
      </c>
    </row>
    <row r="9" ht="16" spans="4:49">
      <c r="D9" s="153" t="s">
        <v>335</v>
      </c>
      <c r="E9" s="154">
        <v>5.575</v>
      </c>
      <c r="F9" s="156"/>
      <c r="G9" s="158"/>
      <c r="H9" s="49"/>
      <c r="I9" s="49"/>
      <c r="J9" s="168" t="s">
        <v>410</v>
      </c>
      <c r="K9" s="172" t="s">
        <v>253</v>
      </c>
      <c r="L9" s="143" t="s">
        <v>518</v>
      </c>
      <c r="M9" s="173">
        <f>T61</f>
        <v>0.1279</v>
      </c>
      <c r="N9" s="169"/>
      <c r="O9" s="169"/>
      <c r="P9" s="168" t="s">
        <v>410</v>
      </c>
      <c r="Q9" s="172" t="s">
        <v>260</v>
      </c>
      <c r="R9" s="143" t="s">
        <v>518</v>
      </c>
      <c r="S9" s="176">
        <f>U61</f>
        <v>0.134133333333333</v>
      </c>
      <c r="T9" s="169"/>
      <c r="U9" s="169"/>
      <c r="V9" s="168" t="s">
        <v>410</v>
      </c>
      <c r="W9" s="172" t="s">
        <v>267</v>
      </c>
      <c r="X9" s="143" t="s">
        <v>518</v>
      </c>
      <c r="Y9" s="176">
        <f>V61</f>
        <v>0.140733333333333</v>
      </c>
      <c r="Z9" s="169"/>
      <c r="AA9" s="169"/>
      <c r="AB9" s="168" t="s">
        <v>410</v>
      </c>
      <c r="AC9" s="172" t="s">
        <v>273</v>
      </c>
      <c r="AD9" s="143" t="s">
        <v>518</v>
      </c>
      <c r="AE9" s="176">
        <f>W61</f>
        <v>0.150333333333333</v>
      </c>
      <c r="AF9" s="169"/>
      <c r="AG9" s="169"/>
      <c r="AH9" s="168" t="s">
        <v>410</v>
      </c>
      <c r="AI9" s="172" t="s">
        <v>246</v>
      </c>
      <c r="AJ9" s="143" t="s">
        <v>518</v>
      </c>
      <c r="AK9" s="176">
        <f>X61</f>
        <v>0.161266666666667</v>
      </c>
      <c r="AL9" s="169"/>
      <c r="AM9" s="169"/>
      <c r="AN9" s="168" t="s">
        <v>410</v>
      </c>
      <c r="AO9" s="172" t="s">
        <v>240</v>
      </c>
      <c r="AP9" s="143" t="s">
        <v>518</v>
      </c>
      <c r="AQ9" s="176">
        <f>Y61</f>
        <v>0.0574</v>
      </c>
      <c r="AR9" s="190"/>
      <c r="AS9" s="190"/>
      <c r="AT9" s="168" t="s">
        <v>410</v>
      </c>
      <c r="AU9" s="172" t="s">
        <v>234</v>
      </c>
      <c r="AV9" s="143" t="s">
        <v>518</v>
      </c>
      <c r="AW9" s="176">
        <f>Z61</f>
        <v>0.0956666666666667</v>
      </c>
    </row>
    <row r="10" spans="4:43">
      <c r="D10" s="153" t="s">
        <v>336</v>
      </c>
      <c r="E10" s="154">
        <v>5.276</v>
      </c>
      <c r="F10" s="159"/>
      <c r="G10" s="158"/>
      <c r="H10" s="49"/>
      <c r="I10" s="49"/>
      <c r="J10" s="168"/>
      <c r="K10" s="49"/>
      <c r="L10" s="139"/>
      <c r="M10" s="174"/>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row>
    <row r="11" spans="4:11">
      <c r="D11" s="160"/>
      <c r="E11" s="160"/>
      <c r="G11" s="161"/>
      <c r="H11" s="162"/>
      <c r="I11" s="162"/>
      <c r="J11" s="168"/>
      <c r="K11" s="162"/>
    </row>
    <row r="12" spans="4:11">
      <c r="D12" s="160"/>
      <c r="E12" s="160"/>
      <c r="G12" s="161"/>
      <c r="H12" s="162"/>
      <c r="I12" s="162"/>
      <c r="J12" s="168"/>
      <c r="K12" s="162"/>
    </row>
    <row r="13" customHeight="1" spans="4:12">
      <c r="D13" s="160"/>
      <c r="E13" s="160"/>
      <c r="F13" s="163"/>
      <c r="G13" s="161"/>
      <c r="H13" s="162"/>
      <c r="K13" s="175"/>
      <c r="L13" s="175"/>
    </row>
    <row r="14" spans="4:12">
      <c r="D14" s="160"/>
      <c r="E14" s="160"/>
      <c r="F14" s="163"/>
      <c r="G14" s="161"/>
      <c r="H14" s="162"/>
      <c r="K14" s="175"/>
      <c r="L14" s="175"/>
    </row>
    <row r="15" spans="4:12">
      <c r="D15" s="160"/>
      <c r="E15" s="160"/>
      <c r="F15" s="163"/>
      <c r="G15" s="161"/>
      <c r="H15" s="162"/>
      <c r="K15" s="175"/>
      <c r="L15" s="175"/>
    </row>
    <row r="16" spans="4:12">
      <c r="D16" s="162"/>
      <c r="E16" s="160"/>
      <c r="F16" s="163"/>
      <c r="G16" s="161"/>
      <c r="H16" s="162"/>
      <c r="K16" s="175"/>
      <c r="L16" s="175"/>
    </row>
    <row r="17" spans="4:12">
      <c r="D17" s="164"/>
      <c r="E17" s="160"/>
      <c r="F17" s="165"/>
      <c r="G17" s="164"/>
      <c r="H17" s="162"/>
      <c r="K17" s="175"/>
      <c r="L17" s="175"/>
    </row>
    <row r="18" spans="4:12">
      <c r="D18" s="162"/>
      <c r="E18" s="162"/>
      <c r="F18" s="162"/>
      <c r="G18" s="162"/>
      <c r="H18" s="162"/>
      <c r="K18" s="175"/>
      <c r="L18" s="175"/>
    </row>
    <row r="19" spans="4:12">
      <c r="D19" s="162"/>
      <c r="E19" s="162"/>
      <c r="F19" s="162"/>
      <c r="G19" s="162"/>
      <c r="H19" s="162"/>
      <c r="K19" s="175"/>
      <c r="L19" s="175"/>
    </row>
    <row r="20" spans="4:11">
      <c r="D20" s="162"/>
      <c r="E20" s="162"/>
      <c r="F20" s="162"/>
      <c r="G20" s="162"/>
      <c r="H20" s="162"/>
      <c r="I20" s="162"/>
      <c r="J20" s="162"/>
      <c r="K20" s="162"/>
    </row>
    <row r="21" spans="4:30">
      <c r="D21" s="162"/>
      <c r="E21" s="162"/>
      <c r="F21" s="162"/>
      <c r="G21" s="162"/>
      <c r="H21" s="162"/>
      <c r="I21" s="162"/>
      <c r="J21" s="162"/>
      <c r="K21" s="162"/>
      <c r="Q21" t="s">
        <v>519</v>
      </c>
      <c r="AD21" t="s">
        <v>519</v>
      </c>
    </row>
    <row r="22" ht="15.5" spans="4:39">
      <c r="D22" s="166" t="s">
        <v>520</v>
      </c>
      <c r="E22" s="166" t="s">
        <v>521</v>
      </c>
      <c r="F22" s="166"/>
      <c r="G22" s="166"/>
      <c r="H22" s="166" t="s">
        <v>522</v>
      </c>
      <c r="I22" s="166"/>
      <c r="Q22" s="177" t="s">
        <v>523</v>
      </c>
      <c r="R22" s="177" t="s">
        <v>524</v>
      </c>
      <c r="S22" s="178" t="s">
        <v>525</v>
      </c>
      <c r="T22" s="178"/>
      <c r="U22" s="178"/>
      <c r="V22" s="178"/>
      <c r="W22" s="178"/>
      <c r="X22" s="178"/>
      <c r="Y22" s="178"/>
      <c r="Z22" s="178"/>
      <c r="AD22" s="177" t="s">
        <v>523</v>
      </c>
      <c r="AE22" s="177" t="s">
        <v>526</v>
      </c>
      <c r="AF22" s="178" t="s">
        <v>525</v>
      </c>
      <c r="AG22" s="178"/>
      <c r="AH22" s="178"/>
      <c r="AI22" s="178"/>
      <c r="AJ22" s="178"/>
      <c r="AK22" s="178"/>
      <c r="AL22" s="178"/>
      <c r="AM22" s="178"/>
    </row>
    <row r="23" ht="15.5" spans="4:39">
      <c r="D23" s="166"/>
      <c r="E23" s="166"/>
      <c r="F23" s="166"/>
      <c r="G23" s="166"/>
      <c r="H23" s="166"/>
      <c r="I23" s="166"/>
      <c r="L23" t="s">
        <v>278</v>
      </c>
      <c r="Q23" s="177"/>
      <c r="R23" s="177"/>
      <c r="S23" s="178" t="s">
        <v>527</v>
      </c>
      <c r="T23" s="178" t="s">
        <v>333</v>
      </c>
      <c r="U23" s="178" t="s">
        <v>334</v>
      </c>
      <c r="V23" s="178" t="s">
        <v>335</v>
      </c>
      <c r="W23" s="178" t="s">
        <v>336</v>
      </c>
      <c r="X23" s="178" t="s">
        <v>241</v>
      </c>
      <c r="Y23" s="178" t="s">
        <v>528</v>
      </c>
      <c r="Z23" s="178" t="s">
        <v>529</v>
      </c>
      <c r="AD23" s="177"/>
      <c r="AE23" s="177"/>
      <c r="AF23" s="178" t="s">
        <v>527</v>
      </c>
      <c r="AG23" s="178" t="s">
        <v>333</v>
      </c>
      <c r="AH23" s="178" t="s">
        <v>334</v>
      </c>
      <c r="AI23" s="178" t="s">
        <v>335</v>
      </c>
      <c r="AJ23" s="178" t="s">
        <v>336</v>
      </c>
      <c r="AK23" s="178" t="s">
        <v>241</v>
      </c>
      <c r="AL23" s="178" t="s">
        <v>528</v>
      </c>
      <c r="AM23" s="178" t="s">
        <v>529</v>
      </c>
    </row>
    <row r="24" ht="15.5" spans="4:39">
      <c r="D24" s="166"/>
      <c r="E24" s="166"/>
      <c r="F24" s="166"/>
      <c r="G24" s="166"/>
      <c r="H24" s="166"/>
      <c r="I24" s="166"/>
      <c r="L24" t="s">
        <v>280</v>
      </c>
      <c r="Q24" s="177" t="s">
        <v>530</v>
      </c>
      <c r="R24" s="179" t="s">
        <v>531</v>
      </c>
      <c r="S24" s="180">
        <f>AF24/1000</f>
        <v>1.2113</v>
      </c>
      <c r="T24" s="180">
        <f t="shared" ref="T24:Z24" si="0">AG24/1000</f>
        <v>0.9907</v>
      </c>
      <c r="U24" s="180">
        <f t="shared" si="0"/>
        <v>0.9524</v>
      </c>
      <c r="V24" s="180">
        <f t="shared" si="0"/>
        <v>0.961</v>
      </c>
      <c r="W24" s="180">
        <f t="shared" si="0"/>
        <v>0.9587</v>
      </c>
      <c r="X24" s="180">
        <f t="shared" si="0"/>
        <v>1.0302</v>
      </c>
      <c r="Y24" s="180">
        <f t="shared" si="0"/>
        <v>0.5861</v>
      </c>
      <c r="Z24" s="180">
        <f t="shared" si="0"/>
        <v>0.775</v>
      </c>
      <c r="AD24" s="177" t="s">
        <v>530</v>
      </c>
      <c r="AE24" s="179" t="s">
        <v>531</v>
      </c>
      <c r="AF24" s="180">
        <v>1211.3</v>
      </c>
      <c r="AG24" s="180">
        <v>990.7</v>
      </c>
      <c r="AH24" s="180">
        <v>952.4</v>
      </c>
      <c r="AI24" s="180">
        <v>961</v>
      </c>
      <c r="AJ24" s="180">
        <v>958.7</v>
      </c>
      <c r="AK24" s="180">
        <v>1030.2</v>
      </c>
      <c r="AL24" s="180">
        <v>586.1</v>
      </c>
      <c r="AM24" s="180">
        <v>775</v>
      </c>
    </row>
    <row r="25" ht="15.5" spans="4:39">
      <c r="D25" s="166" t="s">
        <v>532</v>
      </c>
      <c r="E25" s="167">
        <v>0.849885259424328</v>
      </c>
      <c r="F25" s="166"/>
      <c r="G25" s="166"/>
      <c r="H25" s="166"/>
      <c r="I25" s="167"/>
      <c r="L25" t="s">
        <v>283</v>
      </c>
      <c r="Q25" s="177"/>
      <c r="R25" s="179" t="s">
        <v>533</v>
      </c>
      <c r="S25" s="180">
        <f t="shared" ref="S25:S38" si="1">AF25/1000</f>
        <v>1.1037</v>
      </c>
      <c r="T25" s="180">
        <f t="shared" ref="T25:Z25" si="2">AG25/1000</f>
        <v>0.9139</v>
      </c>
      <c r="U25" s="180">
        <f t="shared" si="2"/>
        <v>0.8811</v>
      </c>
      <c r="V25" s="180">
        <f t="shared" si="2"/>
        <v>0.8898</v>
      </c>
      <c r="W25" s="180">
        <f t="shared" si="2"/>
        <v>0.8862</v>
      </c>
      <c r="X25" s="180">
        <f t="shared" si="2"/>
        <v>0.9532</v>
      </c>
      <c r="Y25" s="180">
        <f t="shared" si="2"/>
        <v>0.5437</v>
      </c>
      <c r="Z25" s="180">
        <f t="shared" si="2"/>
        <v>0.7278</v>
      </c>
      <c r="AD25" s="177"/>
      <c r="AE25" s="179" t="s">
        <v>533</v>
      </c>
      <c r="AF25" s="180">
        <v>1103.7</v>
      </c>
      <c r="AG25" s="180">
        <v>913.9</v>
      </c>
      <c r="AH25" s="180">
        <v>881.1</v>
      </c>
      <c r="AI25" s="180">
        <v>889.8</v>
      </c>
      <c r="AJ25" s="180">
        <v>886.2</v>
      </c>
      <c r="AK25" s="180">
        <v>953.2</v>
      </c>
      <c r="AL25" s="180">
        <v>543.7</v>
      </c>
      <c r="AM25" s="180">
        <v>727.8</v>
      </c>
    </row>
    <row r="26" ht="16" spans="4:39">
      <c r="D26" s="143" t="s">
        <v>534</v>
      </c>
      <c r="E26" s="167">
        <v>0.3112562174477</v>
      </c>
      <c r="F26" s="166"/>
      <c r="G26" s="166"/>
      <c r="H26" s="143" t="s">
        <v>532</v>
      </c>
      <c r="I26" s="167">
        <v>0.0771418690026146</v>
      </c>
      <c r="L26" t="s">
        <v>285</v>
      </c>
      <c r="Q26" s="177"/>
      <c r="R26" s="179" t="s">
        <v>535</v>
      </c>
      <c r="S26" s="180">
        <f t="shared" si="1"/>
        <v>0.2673</v>
      </c>
      <c r="T26" s="180">
        <f t="shared" ref="T26:Z26" si="3">AG26/1000</f>
        <v>0.2026</v>
      </c>
      <c r="U26" s="180">
        <f t="shared" si="3"/>
        <v>0.1913</v>
      </c>
      <c r="V26" s="180">
        <f t="shared" si="3"/>
        <v>0.1915</v>
      </c>
      <c r="W26" s="180">
        <f t="shared" si="3"/>
        <v>0.1859</v>
      </c>
      <c r="X26" s="180">
        <f t="shared" si="3"/>
        <v>0.1982</v>
      </c>
      <c r="Y26" s="180">
        <f t="shared" si="3"/>
        <v>0.0768</v>
      </c>
      <c r="Z26" s="180">
        <f t="shared" si="3"/>
        <v>0.1555</v>
      </c>
      <c r="AD26" s="177"/>
      <c r="AE26" s="179" t="s">
        <v>535</v>
      </c>
      <c r="AF26" s="180">
        <v>267.3</v>
      </c>
      <c r="AG26" s="180">
        <v>202.6</v>
      </c>
      <c r="AH26" s="180">
        <v>191.3</v>
      </c>
      <c r="AI26" s="180">
        <v>191.5</v>
      </c>
      <c r="AJ26" s="180">
        <v>185.9</v>
      </c>
      <c r="AK26" s="180">
        <v>198.2</v>
      </c>
      <c r="AL26" s="180">
        <v>76.8</v>
      </c>
      <c r="AM26" s="180">
        <v>155.5</v>
      </c>
    </row>
    <row r="27" ht="15.5" spans="4:39">
      <c r="D27" s="166" t="s">
        <v>536</v>
      </c>
      <c r="E27" s="167">
        <v>0.350548191468732</v>
      </c>
      <c r="F27" s="166"/>
      <c r="G27" s="166"/>
      <c r="H27" s="166" t="s">
        <v>534</v>
      </c>
      <c r="I27" s="167">
        <v>0.173447629484096</v>
      </c>
      <c r="Q27" s="177"/>
      <c r="R27" s="179" t="s">
        <v>537</v>
      </c>
      <c r="S27" s="180">
        <f t="shared" si="1"/>
        <v>0.6925</v>
      </c>
      <c r="T27" s="180">
        <f t="shared" ref="T27:Z27" si="4">AG27/1000</f>
        <v>0.5838</v>
      </c>
      <c r="U27" s="180">
        <f t="shared" si="4"/>
        <v>0.5561</v>
      </c>
      <c r="V27" s="180">
        <f t="shared" si="4"/>
        <v>0.5579</v>
      </c>
      <c r="W27" s="180">
        <f t="shared" si="4"/>
        <v>0.5505</v>
      </c>
      <c r="X27" s="180">
        <f t="shared" si="4"/>
        <v>0.5942</v>
      </c>
      <c r="Y27" s="180">
        <f t="shared" si="4"/>
        <v>0.4099</v>
      </c>
      <c r="Z27" s="180">
        <f t="shared" si="4"/>
        <v>0.477</v>
      </c>
      <c r="AD27" s="177"/>
      <c r="AE27" s="179" t="s">
        <v>537</v>
      </c>
      <c r="AF27" s="180">
        <v>692.5</v>
      </c>
      <c r="AG27" s="180">
        <v>583.8</v>
      </c>
      <c r="AH27" s="180">
        <v>556.1</v>
      </c>
      <c r="AI27" s="180">
        <v>557.9</v>
      </c>
      <c r="AJ27" s="180">
        <v>550.5</v>
      </c>
      <c r="AK27" s="180">
        <v>594.2</v>
      </c>
      <c r="AL27" s="180">
        <v>409.9</v>
      </c>
      <c r="AM27" s="180">
        <v>477</v>
      </c>
    </row>
    <row r="28" ht="15.5" spans="4:39">
      <c r="D28" s="166" t="s">
        <v>218</v>
      </c>
      <c r="E28" s="167">
        <v>0.0931782486350968</v>
      </c>
      <c r="F28" s="166"/>
      <c r="G28" s="166"/>
      <c r="H28" s="166" t="s">
        <v>536</v>
      </c>
      <c r="I28" s="167">
        <v>0.164771576734476</v>
      </c>
      <c r="Q28" s="177"/>
      <c r="R28" s="179" t="s">
        <v>538</v>
      </c>
      <c r="S28" s="180">
        <f t="shared" si="1"/>
        <v>0.144</v>
      </c>
      <c r="T28" s="180">
        <f t="shared" ref="T28:Z28" si="5">AG28/1000</f>
        <v>0.1275</v>
      </c>
      <c r="U28" s="180">
        <f t="shared" si="5"/>
        <v>0.1337</v>
      </c>
      <c r="V28" s="180">
        <f t="shared" si="5"/>
        <v>0.1403</v>
      </c>
      <c r="W28" s="180">
        <f t="shared" si="5"/>
        <v>0.1499</v>
      </c>
      <c r="X28" s="180">
        <f t="shared" si="5"/>
        <v>0.1608</v>
      </c>
      <c r="Y28" s="180">
        <f t="shared" si="5"/>
        <v>0.057</v>
      </c>
      <c r="Z28" s="180">
        <f t="shared" si="5"/>
        <v>0.0952</v>
      </c>
      <c r="AD28" s="177"/>
      <c r="AE28" s="179" t="s">
        <v>538</v>
      </c>
      <c r="AF28" s="180">
        <v>144</v>
      </c>
      <c r="AG28" s="180">
        <v>127.5</v>
      </c>
      <c r="AH28" s="180">
        <v>133.7</v>
      </c>
      <c r="AI28" s="180">
        <v>140.3</v>
      </c>
      <c r="AJ28" s="180">
        <v>149.9</v>
      </c>
      <c r="AK28" s="180">
        <v>160.8</v>
      </c>
      <c r="AL28" s="180">
        <v>57</v>
      </c>
      <c r="AM28" s="180">
        <v>95.2</v>
      </c>
    </row>
    <row r="29" ht="15.5" spans="4:39">
      <c r="D29" s="166"/>
      <c r="E29" s="166"/>
      <c r="F29" s="166"/>
      <c r="G29" s="166"/>
      <c r="H29" t="s">
        <v>218</v>
      </c>
      <c r="I29">
        <v>0.0271220715202237</v>
      </c>
      <c r="Q29" s="177" t="s">
        <v>391</v>
      </c>
      <c r="R29" s="179" t="s">
        <v>531</v>
      </c>
      <c r="S29" s="180">
        <f t="shared" si="1"/>
        <v>1.2171</v>
      </c>
      <c r="T29" s="180">
        <f t="shared" ref="T29:Z29" si="6">AG29/1000</f>
        <v>0.9964</v>
      </c>
      <c r="U29" s="180">
        <f t="shared" si="6"/>
        <v>0.9582</v>
      </c>
      <c r="V29" s="180">
        <f t="shared" si="6"/>
        <v>0.9668</v>
      </c>
      <c r="W29" s="180">
        <f t="shared" si="6"/>
        <v>0.9644</v>
      </c>
      <c r="X29" s="180">
        <f t="shared" si="6"/>
        <v>1.036</v>
      </c>
      <c r="Y29" s="180">
        <f t="shared" si="6"/>
        <v>0.5919</v>
      </c>
      <c r="Z29" s="180">
        <f t="shared" si="6"/>
        <v>0.7808</v>
      </c>
      <c r="AD29" s="177" t="s">
        <v>391</v>
      </c>
      <c r="AE29" s="179" t="s">
        <v>531</v>
      </c>
      <c r="AF29" s="180">
        <v>1217.1</v>
      </c>
      <c r="AG29" s="180">
        <v>996.4</v>
      </c>
      <c r="AH29" s="180">
        <v>958.2</v>
      </c>
      <c r="AI29" s="180">
        <v>966.8</v>
      </c>
      <c r="AJ29" s="180">
        <v>964.4</v>
      </c>
      <c r="AK29" s="180">
        <v>1036</v>
      </c>
      <c r="AL29" s="180">
        <v>591.9</v>
      </c>
      <c r="AM29" s="180">
        <v>780.8</v>
      </c>
    </row>
    <row r="30" ht="15.5" spans="4:39">
      <c r="D30" s="166"/>
      <c r="E30" s="166"/>
      <c r="F30" s="166"/>
      <c r="G30" s="166"/>
      <c r="H30" s="166"/>
      <c r="I30" s="166"/>
      <c r="Q30" s="177"/>
      <c r="R30" s="179" t="s">
        <v>533</v>
      </c>
      <c r="S30" s="180">
        <f t="shared" si="1"/>
        <v>1.1098</v>
      </c>
      <c r="T30" s="180">
        <f t="shared" ref="T30:Z30" si="7">AG30/1000</f>
        <v>0.92</v>
      </c>
      <c r="U30" s="180">
        <f t="shared" si="7"/>
        <v>0.8872</v>
      </c>
      <c r="V30" s="180">
        <f t="shared" si="7"/>
        <v>0.8959</v>
      </c>
      <c r="W30" s="180">
        <f t="shared" si="7"/>
        <v>0.8923</v>
      </c>
      <c r="X30" s="180">
        <f t="shared" si="7"/>
        <v>0.9593</v>
      </c>
      <c r="Y30" s="180">
        <f t="shared" si="7"/>
        <v>0.5498</v>
      </c>
      <c r="Z30" s="180">
        <f t="shared" si="7"/>
        <v>0.7339</v>
      </c>
      <c r="AD30" s="177"/>
      <c r="AE30" s="179" t="s">
        <v>533</v>
      </c>
      <c r="AF30" s="180">
        <v>1109.8</v>
      </c>
      <c r="AG30" s="180">
        <v>920</v>
      </c>
      <c r="AH30" s="180">
        <v>887.2</v>
      </c>
      <c r="AI30" s="180">
        <v>895.9</v>
      </c>
      <c r="AJ30" s="180">
        <v>892.3</v>
      </c>
      <c r="AK30" s="180">
        <v>959.3</v>
      </c>
      <c r="AL30" s="180">
        <v>549.8</v>
      </c>
      <c r="AM30" s="180">
        <v>733.9</v>
      </c>
    </row>
    <row r="31" ht="15.5" spans="4:39">
      <c r="D31" s="166" t="s">
        <v>539</v>
      </c>
      <c r="E31" s="166"/>
      <c r="F31" s="166"/>
      <c r="G31" s="166"/>
      <c r="H31" s="166" t="s">
        <v>540</v>
      </c>
      <c r="I31" s="166"/>
      <c r="Q31" s="177"/>
      <c r="R31" s="179" t="s">
        <v>535</v>
      </c>
      <c r="S31" s="180">
        <f t="shared" si="1"/>
        <v>0.2802</v>
      </c>
      <c r="T31" s="180">
        <f t="shared" ref="T31:Z31" si="8">AG31/1000</f>
        <v>0.2156</v>
      </c>
      <c r="U31" s="180">
        <f t="shared" si="8"/>
        <v>0.2042</v>
      </c>
      <c r="V31" s="180">
        <f t="shared" si="8"/>
        <v>0.2045</v>
      </c>
      <c r="W31" s="180">
        <f t="shared" si="8"/>
        <v>0.1988</v>
      </c>
      <c r="X31" s="180">
        <f t="shared" si="8"/>
        <v>0.2111</v>
      </c>
      <c r="Y31" s="180">
        <f t="shared" si="8"/>
        <v>0.0898</v>
      </c>
      <c r="Z31" s="180">
        <f t="shared" si="8"/>
        <v>0.1685</v>
      </c>
      <c r="AD31" s="177"/>
      <c r="AE31" s="179" t="s">
        <v>535</v>
      </c>
      <c r="AF31" s="180">
        <v>280.2</v>
      </c>
      <c r="AG31" s="180">
        <v>215.6</v>
      </c>
      <c r="AH31" s="180">
        <v>204.2</v>
      </c>
      <c r="AI31" s="180">
        <v>204.5</v>
      </c>
      <c r="AJ31" s="180">
        <v>198.8</v>
      </c>
      <c r="AK31" s="180">
        <v>211.1</v>
      </c>
      <c r="AL31" s="180">
        <v>89.8</v>
      </c>
      <c r="AM31" s="180">
        <v>168.5</v>
      </c>
    </row>
    <row r="32" ht="15.5" spans="4:39">
      <c r="D32" s="166"/>
      <c r="E32" s="166"/>
      <c r="F32" s="166"/>
      <c r="G32" s="166"/>
      <c r="H32" s="166"/>
      <c r="I32" s="166"/>
      <c r="Q32" s="177"/>
      <c r="R32" s="179" t="s">
        <v>537</v>
      </c>
      <c r="S32" s="180">
        <f t="shared" si="1"/>
        <v>0.6846</v>
      </c>
      <c r="T32" s="180">
        <f t="shared" ref="T32:Z32" si="9">AG32/1000</f>
        <v>0.5759</v>
      </c>
      <c r="U32" s="180">
        <f t="shared" si="9"/>
        <v>0.5482</v>
      </c>
      <c r="V32" s="180">
        <f t="shared" si="9"/>
        <v>0.55</v>
      </c>
      <c r="W32" s="180">
        <f t="shared" si="9"/>
        <v>0.5426</v>
      </c>
      <c r="X32" s="180">
        <f t="shared" si="9"/>
        <v>0.5863</v>
      </c>
      <c r="Y32" s="180">
        <f t="shared" si="9"/>
        <v>0.402</v>
      </c>
      <c r="Z32" s="180">
        <f t="shared" si="9"/>
        <v>0.4691</v>
      </c>
      <c r="AD32" s="177"/>
      <c r="AE32" s="179" t="s">
        <v>537</v>
      </c>
      <c r="AF32" s="180">
        <v>684.6</v>
      </c>
      <c r="AG32" s="180">
        <v>575.9</v>
      </c>
      <c r="AH32" s="180">
        <v>548.2</v>
      </c>
      <c r="AI32" s="180">
        <v>550</v>
      </c>
      <c r="AJ32" s="180">
        <v>542.6</v>
      </c>
      <c r="AK32" s="180">
        <v>586.3</v>
      </c>
      <c r="AL32" s="180">
        <v>402</v>
      </c>
      <c r="AM32" s="180">
        <v>469.1</v>
      </c>
    </row>
    <row r="33" ht="15.5" spans="4:39">
      <c r="D33" s="166"/>
      <c r="E33" s="166"/>
      <c r="F33" s="166"/>
      <c r="G33" s="166"/>
      <c r="H33" s="166"/>
      <c r="I33" s="166"/>
      <c r="Q33" s="177"/>
      <c r="R33" s="179" t="s">
        <v>538</v>
      </c>
      <c r="S33" s="180">
        <f t="shared" si="1"/>
        <v>0.145</v>
      </c>
      <c r="T33" s="180">
        <f t="shared" ref="T33:Z33" si="10">AG33/1000</f>
        <v>0.1285</v>
      </c>
      <c r="U33" s="180">
        <f t="shared" si="10"/>
        <v>0.1347</v>
      </c>
      <c r="V33" s="180">
        <f t="shared" si="10"/>
        <v>0.1413</v>
      </c>
      <c r="W33" s="180">
        <f t="shared" si="10"/>
        <v>0.1509</v>
      </c>
      <c r="X33" s="180">
        <f t="shared" si="10"/>
        <v>0.1619</v>
      </c>
      <c r="Y33" s="180">
        <f t="shared" si="10"/>
        <v>0.058</v>
      </c>
      <c r="Z33" s="180">
        <f t="shared" si="10"/>
        <v>0.0963</v>
      </c>
      <c r="AD33" s="177"/>
      <c r="AE33" s="179" t="s">
        <v>538</v>
      </c>
      <c r="AF33" s="180">
        <v>145</v>
      </c>
      <c r="AG33" s="180">
        <v>128.5</v>
      </c>
      <c r="AH33" s="180">
        <v>134.7</v>
      </c>
      <c r="AI33" s="180">
        <v>141.3</v>
      </c>
      <c r="AJ33" s="180">
        <v>150.9</v>
      </c>
      <c r="AK33" s="180">
        <v>161.9</v>
      </c>
      <c r="AL33" s="180">
        <v>58</v>
      </c>
      <c r="AM33" s="180">
        <v>96.3</v>
      </c>
    </row>
    <row r="34" ht="15.5" spans="4:39">
      <c r="D34" s="166"/>
      <c r="E34" s="166"/>
      <c r="F34" s="166"/>
      <c r="G34" s="166"/>
      <c r="H34" s="166"/>
      <c r="I34" s="166"/>
      <c r="Q34" s="177" t="s">
        <v>401</v>
      </c>
      <c r="R34" s="179" t="s">
        <v>531</v>
      </c>
      <c r="S34" s="180">
        <f t="shared" si="1"/>
        <v>1.2222</v>
      </c>
      <c r="T34" s="180">
        <f t="shared" ref="T34:Z34" si="11">AG34/1000</f>
        <v>1.0015</v>
      </c>
      <c r="U34" s="180">
        <f t="shared" si="11"/>
        <v>0.9633</v>
      </c>
      <c r="V34" s="180">
        <f t="shared" si="11"/>
        <v>0.9719</v>
      </c>
      <c r="W34" s="180">
        <f t="shared" si="11"/>
        <v>0.9695</v>
      </c>
      <c r="X34" s="180">
        <f t="shared" si="11"/>
        <v>1.0411</v>
      </c>
      <c r="Y34" s="180">
        <f t="shared" si="11"/>
        <v>0.597</v>
      </c>
      <c r="Z34" s="180">
        <f t="shared" si="11"/>
        <v>0.7858</v>
      </c>
      <c r="AD34" s="177" t="s">
        <v>401</v>
      </c>
      <c r="AE34" s="179" t="s">
        <v>531</v>
      </c>
      <c r="AF34" s="180">
        <v>1222.2</v>
      </c>
      <c r="AG34" s="180">
        <v>1001.5</v>
      </c>
      <c r="AH34" s="180">
        <v>963.3</v>
      </c>
      <c r="AI34" s="180">
        <v>971.9</v>
      </c>
      <c r="AJ34" s="180">
        <v>969.5</v>
      </c>
      <c r="AK34" s="180">
        <v>1041.1</v>
      </c>
      <c r="AL34" s="180">
        <v>597</v>
      </c>
      <c r="AM34" s="180">
        <v>785.8</v>
      </c>
    </row>
    <row r="35" ht="15.5" spans="4:39">
      <c r="D35" s="166" t="s">
        <v>532</v>
      </c>
      <c r="E35" s="167">
        <v>0.0855073856427328</v>
      </c>
      <c r="F35" s="166"/>
      <c r="G35" s="166"/>
      <c r="H35" s="166" t="s">
        <v>532</v>
      </c>
      <c r="I35" s="167">
        <v>0.00754366993411565</v>
      </c>
      <c r="Q35" s="177"/>
      <c r="R35" s="179" t="s">
        <v>533</v>
      </c>
      <c r="S35" s="180">
        <f t="shared" si="1"/>
        <v>1.1139</v>
      </c>
      <c r="T35" s="180">
        <f t="shared" ref="T35:Z35" si="12">AG35/1000</f>
        <v>0.9241</v>
      </c>
      <c r="U35" s="180">
        <f t="shared" si="12"/>
        <v>0.8913</v>
      </c>
      <c r="V35" s="180">
        <f t="shared" si="12"/>
        <v>0.9</v>
      </c>
      <c r="W35" s="180">
        <f t="shared" si="12"/>
        <v>0.8964</v>
      </c>
      <c r="X35" s="180">
        <f t="shared" si="12"/>
        <v>0.9634</v>
      </c>
      <c r="Y35" s="180">
        <f t="shared" si="12"/>
        <v>0.5539</v>
      </c>
      <c r="Z35" s="180">
        <f t="shared" si="12"/>
        <v>0.738</v>
      </c>
      <c r="AD35" s="177"/>
      <c r="AE35" s="179" t="s">
        <v>533</v>
      </c>
      <c r="AF35" s="180">
        <v>1113.9</v>
      </c>
      <c r="AG35" s="180">
        <v>924.1</v>
      </c>
      <c r="AH35" s="180">
        <v>891.3</v>
      </c>
      <c r="AI35" s="180">
        <v>900</v>
      </c>
      <c r="AJ35" s="180">
        <v>896.4</v>
      </c>
      <c r="AK35" s="180">
        <v>963.4</v>
      </c>
      <c r="AL35" s="180">
        <v>553.9</v>
      </c>
      <c r="AM35" s="180">
        <v>738</v>
      </c>
    </row>
    <row r="36" ht="16" spans="4:39">
      <c r="D36" s="143" t="s">
        <v>534</v>
      </c>
      <c r="E36" s="167">
        <v>0.243549068348169</v>
      </c>
      <c r="F36" s="166"/>
      <c r="G36" s="166"/>
      <c r="H36" s="143" t="s">
        <v>534</v>
      </c>
      <c r="I36" s="167">
        <v>0.00964402202282824</v>
      </c>
      <c r="Q36" s="177"/>
      <c r="R36" s="179" t="s">
        <v>535</v>
      </c>
      <c r="S36" s="180">
        <f t="shared" si="1"/>
        <v>0.3012</v>
      </c>
      <c r="T36" s="180">
        <f t="shared" ref="T36:Z36" si="13">AG36/1000</f>
        <v>0.2366</v>
      </c>
      <c r="U36" s="180">
        <f t="shared" si="13"/>
        <v>0.2252</v>
      </c>
      <c r="V36" s="180">
        <f t="shared" si="13"/>
        <v>0.2255</v>
      </c>
      <c r="W36" s="180">
        <f t="shared" si="13"/>
        <v>0.2198</v>
      </c>
      <c r="X36" s="180">
        <f t="shared" si="13"/>
        <v>0.2322</v>
      </c>
      <c r="Y36" s="180">
        <f t="shared" si="13"/>
        <v>0.1108</v>
      </c>
      <c r="Z36" s="180">
        <f t="shared" si="13"/>
        <v>0.1895</v>
      </c>
      <c r="AD36" s="177"/>
      <c r="AE36" s="179" t="s">
        <v>535</v>
      </c>
      <c r="AF36" s="180">
        <v>301.2</v>
      </c>
      <c r="AG36" s="180">
        <v>236.6</v>
      </c>
      <c r="AH36" s="180">
        <v>225.2</v>
      </c>
      <c r="AI36" s="180">
        <v>225.5</v>
      </c>
      <c r="AJ36" s="180">
        <v>219.8</v>
      </c>
      <c r="AK36" s="180">
        <v>232.2</v>
      </c>
      <c r="AL36" s="180">
        <v>110.8</v>
      </c>
      <c r="AM36" s="180">
        <v>189.5</v>
      </c>
    </row>
    <row r="37" ht="15.5" spans="4:39">
      <c r="D37" s="166" t="s">
        <v>536</v>
      </c>
      <c r="E37" s="167">
        <v>0.0737387019806453</v>
      </c>
      <c r="F37" s="166"/>
      <c r="G37" s="166"/>
      <c r="H37" s="166" t="s">
        <v>536</v>
      </c>
      <c r="I37" s="167">
        <v>0.0033822506091063</v>
      </c>
      <c r="Q37" s="177"/>
      <c r="R37" s="179" t="s">
        <v>537</v>
      </c>
      <c r="S37" s="180">
        <f t="shared" si="1"/>
        <v>0.6684</v>
      </c>
      <c r="T37" s="180">
        <f t="shared" ref="T37:Z37" si="14">AG37/1000</f>
        <v>0.5598</v>
      </c>
      <c r="U37" s="180">
        <f t="shared" si="14"/>
        <v>0.5321</v>
      </c>
      <c r="V37" s="180">
        <f t="shared" si="14"/>
        <v>0.5339</v>
      </c>
      <c r="W37" s="180">
        <f t="shared" si="14"/>
        <v>0.5264</v>
      </c>
      <c r="X37" s="180">
        <f t="shared" si="14"/>
        <v>0.5702</v>
      </c>
      <c r="Y37" s="180">
        <f t="shared" si="14"/>
        <v>0.3858</v>
      </c>
      <c r="Z37" s="180">
        <f t="shared" si="14"/>
        <v>0.453</v>
      </c>
      <c r="AD37" s="177"/>
      <c r="AE37" s="179" t="s">
        <v>537</v>
      </c>
      <c r="AF37" s="180">
        <v>668.4</v>
      </c>
      <c r="AG37" s="180">
        <v>559.8</v>
      </c>
      <c r="AH37" s="180">
        <v>532.1</v>
      </c>
      <c r="AI37" s="180">
        <v>533.9</v>
      </c>
      <c r="AJ37" s="180">
        <v>526.4</v>
      </c>
      <c r="AK37" s="180">
        <v>570.2</v>
      </c>
      <c r="AL37" s="180">
        <v>385.8</v>
      </c>
      <c r="AM37" s="180">
        <v>453</v>
      </c>
    </row>
    <row r="38" ht="15.5" spans="4:39">
      <c r="D38" s="166" t="s">
        <v>218</v>
      </c>
      <c r="E38" s="167">
        <v>0.0493834170867725</v>
      </c>
      <c r="F38" s="166"/>
      <c r="G38" s="166"/>
      <c r="H38" s="166" t="s">
        <v>218</v>
      </c>
      <c r="I38" s="167">
        <v>0.00443422496396983</v>
      </c>
      <c r="Q38" s="177"/>
      <c r="R38" s="179" t="s">
        <v>538</v>
      </c>
      <c r="S38" s="180">
        <f t="shared" si="1"/>
        <v>0.1442</v>
      </c>
      <c r="T38" s="180">
        <f t="shared" ref="T38:Z38" si="15">AG38/1000</f>
        <v>0.1277</v>
      </c>
      <c r="U38" s="180">
        <f t="shared" si="15"/>
        <v>0.134</v>
      </c>
      <c r="V38" s="180">
        <f t="shared" si="15"/>
        <v>0.1406</v>
      </c>
      <c r="W38" s="180">
        <f t="shared" si="15"/>
        <v>0.1502</v>
      </c>
      <c r="X38" s="180">
        <f t="shared" si="15"/>
        <v>0.1611</v>
      </c>
      <c r="Y38" s="180">
        <f t="shared" si="15"/>
        <v>0.0572</v>
      </c>
      <c r="Z38" s="180">
        <f t="shared" si="15"/>
        <v>0.0955</v>
      </c>
      <c r="AD38" s="177"/>
      <c r="AE38" s="179" t="s">
        <v>538</v>
      </c>
      <c r="AF38" s="180">
        <v>144.2</v>
      </c>
      <c r="AG38" s="180">
        <v>127.7</v>
      </c>
      <c r="AH38" s="180">
        <v>134</v>
      </c>
      <c r="AI38" s="180">
        <v>140.6</v>
      </c>
      <c r="AJ38" s="180">
        <v>150.2</v>
      </c>
      <c r="AK38" s="180">
        <v>161.1</v>
      </c>
      <c r="AL38" s="180">
        <v>57.2</v>
      </c>
      <c r="AM38" s="180">
        <v>95.5</v>
      </c>
    </row>
    <row r="39" ht="15.5" spans="4:39">
      <c r="D39" s="166"/>
      <c r="E39" s="166"/>
      <c r="F39" s="166"/>
      <c r="G39" s="166"/>
      <c r="H39" s="166"/>
      <c r="I39" s="166"/>
      <c r="Q39" s="178"/>
      <c r="R39" s="178"/>
      <c r="S39" s="180"/>
      <c r="T39" s="180"/>
      <c r="U39" s="180"/>
      <c r="V39" s="180"/>
      <c r="W39" s="180"/>
      <c r="X39" s="180"/>
      <c r="Y39" s="180"/>
      <c r="Z39" s="180"/>
      <c r="AD39" s="178"/>
      <c r="AE39" s="178"/>
      <c r="AF39" s="180"/>
      <c r="AG39" s="180"/>
      <c r="AH39" s="180"/>
      <c r="AI39" s="180"/>
      <c r="AJ39" s="180"/>
      <c r="AK39" s="180"/>
      <c r="AL39" s="180"/>
      <c r="AM39" s="180"/>
    </row>
    <row r="40" ht="15.5" spans="4:39">
      <c r="D40" s="166"/>
      <c r="E40" s="166"/>
      <c r="F40" s="166"/>
      <c r="G40" s="166"/>
      <c r="H40" s="166"/>
      <c r="I40" s="166"/>
      <c r="Q40" s="178" t="s">
        <v>541</v>
      </c>
      <c r="R40" s="178"/>
      <c r="S40" s="178"/>
      <c r="T40" s="178"/>
      <c r="U40" s="178"/>
      <c r="V40" s="178"/>
      <c r="W40" s="178"/>
      <c r="X40" s="178"/>
      <c r="Y40" s="178"/>
      <c r="Z40" s="178"/>
      <c r="AD40" s="178" t="s">
        <v>541</v>
      </c>
      <c r="AE40" s="178"/>
      <c r="AF40" s="178"/>
      <c r="AG40" s="178"/>
      <c r="AH40" s="178"/>
      <c r="AI40" s="178"/>
      <c r="AJ40" s="178"/>
      <c r="AK40" s="178"/>
      <c r="AL40" s="178"/>
      <c r="AM40" s="178"/>
    </row>
    <row r="41" ht="15.5" spans="4:9">
      <c r="D41" s="166" t="s">
        <v>542</v>
      </c>
      <c r="E41" s="166"/>
      <c r="F41" s="166"/>
      <c r="G41" s="166"/>
      <c r="H41" s="166" t="s">
        <v>543</v>
      </c>
      <c r="I41" s="166"/>
    </row>
    <row r="42" ht="15.5" spans="4:9">
      <c r="D42" s="166"/>
      <c r="E42" s="166"/>
      <c r="F42" s="166"/>
      <c r="G42" s="166"/>
      <c r="H42" s="166"/>
      <c r="I42" s="166"/>
    </row>
    <row r="43" ht="15.5" spans="4:39">
      <c r="D43" s="166"/>
      <c r="E43" s="166"/>
      <c r="F43" s="166"/>
      <c r="G43" s="166"/>
      <c r="H43" s="166"/>
      <c r="I43" s="166"/>
      <c r="S43" s="178" t="s">
        <v>527</v>
      </c>
      <c r="T43" s="178" t="s">
        <v>333</v>
      </c>
      <c r="U43" s="178" t="s">
        <v>334</v>
      </c>
      <c r="V43" s="178" t="s">
        <v>335</v>
      </c>
      <c r="W43" s="178" t="s">
        <v>336</v>
      </c>
      <c r="X43" s="178" t="s">
        <v>241</v>
      </c>
      <c r="Y43" s="178" t="s">
        <v>528</v>
      </c>
      <c r="Z43" s="178" t="s">
        <v>529</v>
      </c>
      <c r="AD43" s="185" t="s">
        <v>544</v>
      </c>
      <c r="AE43" s="185" t="s">
        <v>526</v>
      </c>
      <c r="AF43" s="185" t="s">
        <v>545</v>
      </c>
      <c r="AG43" s="185"/>
      <c r="AH43" s="185"/>
      <c r="AI43" s="185"/>
      <c r="AJ43" s="185"/>
      <c r="AK43" s="185"/>
      <c r="AL43" s="185"/>
      <c r="AM43" s="185"/>
    </row>
    <row r="44" ht="15.5" spans="4:39">
      <c r="D44" s="166"/>
      <c r="E44" s="166"/>
      <c r="F44" s="166"/>
      <c r="G44" s="166"/>
      <c r="H44" s="166"/>
      <c r="I44" s="166"/>
      <c r="Q44" s="97" t="s">
        <v>530</v>
      </c>
      <c r="R44" s="181" t="s">
        <v>218</v>
      </c>
      <c r="S44" s="182">
        <f>S24-S25</f>
        <v>0.1076</v>
      </c>
      <c r="T44" s="183">
        <f t="shared" ref="T44:Z44" si="16">T24-T25</f>
        <v>0.0768000000000001</v>
      </c>
      <c r="U44" s="183">
        <f t="shared" si="16"/>
        <v>0.0713</v>
      </c>
      <c r="V44" s="183">
        <f t="shared" si="16"/>
        <v>0.0712</v>
      </c>
      <c r="W44" s="183">
        <f t="shared" si="16"/>
        <v>0.0724999999999999</v>
      </c>
      <c r="X44" s="183">
        <f t="shared" si="16"/>
        <v>0.077</v>
      </c>
      <c r="Y44" s="183">
        <f t="shared" si="16"/>
        <v>0.0424</v>
      </c>
      <c r="Z44" s="183">
        <f t="shared" si="16"/>
        <v>0.0472</v>
      </c>
      <c r="AD44" s="185"/>
      <c r="AE44" s="185"/>
      <c r="AF44" s="186" t="s">
        <v>546</v>
      </c>
      <c r="AG44" s="186" t="s">
        <v>333</v>
      </c>
      <c r="AH44" s="186" t="s">
        <v>334</v>
      </c>
      <c r="AI44" s="186" t="s">
        <v>335</v>
      </c>
      <c r="AJ44" s="186" t="s">
        <v>336</v>
      </c>
      <c r="AK44" s="186" t="s">
        <v>241</v>
      </c>
      <c r="AL44" s="186" t="s">
        <v>413</v>
      </c>
      <c r="AM44" s="186" t="s">
        <v>411</v>
      </c>
    </row>
    <row r="45" ht="15.5" spans="4:39">
      <c r="D45" s="166" t="s">
        <v>532</v>
      </c>
      <c r="E45" s="167">
        <v>0.000928132911392405</v>
      </c>
      <c r="F45" s="166"/>
      <c r="G45" s="166"/>
      <c r="H45" s="166" t="s">
        <v>532</v>
      </c>
      <c r="I45" s="167">
        <v>0.0163858049041521</v>
      </c>
      <c r="Q45" s="97"/>
      <c r="R45" s="184" t="s">
        <v>535</v>
      </c>
      <c r="S45" s="182">
        <f t="shared" ref="S45:S51" si="17">S26</f>
        <v>0.2673</v>
      </c>
      <c r="T45" s="183">
        <f t="shared" ref="T45:Z45" si="18">T26</f>
        <v>0.2026</v>
      </c>
      <c r="U45" s="183">
        <f t="shared" si="18"/>
        <v>0.1913</v>
      </c>
      <c r="V45" s="183">
        <f t="shared" si="18"/>
        <v>0.1915</v>
      </c>
      <c r="W45" s="183">
        <f t="shared" si="18"/>
        <v>0.1859</v>
      </c>
      <c r="X45" s="183">
        <f t="shared" si="18"/>
        <v>0.1982</v>
      </c>
      <c r="Y45" s="183">
        <f t="shared" si="18"/>
        <v>0.0768</v>
      </c>
      <c r="Z45" s="183">
        <f t="shared" si="18"/>
        <v>0.1555</v>
      </c>
      <c r="AD45" s="185" t="s">
        <v>530</v>
      </c>
      <c r="AE45" s="187" t="s">
        <v>547</v>
      </c>
      <c r="AF45" s="188">
        <f>AF24-AF25</f>
        <v>107.6</v>
      </c>
      <c r="AG45" s="188">
        <f t="shared" ref="AG45:AM45" si="19">AG24-AG25</f>
        <v>76.8000000000001</v>
      </c>
      <c r="AH45" s="188">
        <f t="shared" si="19"/>
        <v>71.3</v>
      </c>
      <c r="AI45" s="188">
        <f t="shared" si="19"/>
        <v>71.2</v>
      </c>
      <c r="AJ45" s="188">
        <f t="shared" si="19"/>
        <v>72.5</v>
      </c>
      <c r="AK45" s="188">
        <f t="shared" si="19"/>
        <v>77</v>
      </c>
      <c r="AL45" s="188">
        <f t="shared" si="19"/>
        <v>42.4</v>
      </c>
      <c r="AM45" s="188">
        <f t="shared" si="19"/>
        <v>47.2</v>
      </c>
    </row>
    <row r="46" ht="16" spans="4:39">
      <c r="D46" s="143" t="s">
        <v>534</v>
      </c>
      <c r="E46" s="167">
        <v>0.00161588607594937</v>
      </c>
      <c r="F46" s="166"/>
      <c r="G46" s="166"/>
      <c r="H46" s="143" t="s">
        <v>534</v>
      </c>
      <c r="I46" s="167">
        <v>0.0223155838561589</v>
      </c>
      <c r="Q46" s="97"/>
      <c r="R46" s="184" t="s">
        <v>537</v>
      </c>
      <c r="S46" s="182">
        <f t="shared" si="17"/>
        <v>0.6925</v>
      </c>
      <c r="T46" s="183">
        <f t="shared" ref="T46:Z46" si="20">T27</f>
        <v>0.5838</v>
      </c>
      <c r="U46" s="183">
        <f t="shared" si="20"/>
        <v>0.5561</v>
      </c>
      <c r="V46" s="183">
        <f t="shared" si="20"/>
        <v>0.5579</v>
      </c>
      <c r="W46" s="183">
        <f t="shared" si="20"/>
        <v>0.5505</v>
      </c>
      <c r="X46" s="183">
        <f t="shared" si="20"/>
        <v>0.5942</v>
      </c>
      <c r="Y46" s="183">
        <f t="shared" si="20"/>
        <v>0.4099</v>
      </c>
      <c r="Z46" s="183">
        <f t="shared" si="20"/>
        <v>0.477</v>
      </c>
      <c r="AD46" s="185"/>
      <c r="AE46" s="187" t="s">
        <v>548</v>
      </c>
      <c r="AF46" s="188">
        <f>AF26</f>
        <v>267.3</v>
      </c>
      <c r="AG46" s="188">
        <f t="shared" ref="AG46:AM46" si="21">AG26</f>
        <v>202.6</v>
      </c>
      <c r="AH46" s="188">
        <f t="shared" si="21"/>
        <v>191.3</v>
      </c>
      <c r="AI46" s="188">
        <f t="shared" si="21"/>
        <v>191.5</v>
      </c>
      <c r="AJ46" s="188">
        <f t="shared" si="21"/>
        <v>185.9</v>
      </c>
      <c r="AK46" s="188">
        <f t="shared" si="21"/>
        <v>198.2</v>
      </c>
      <c r="AL46" s="188">
        <f t="shared" si="21"/>
        <v>76.8</v>
      </c>
      <c r="AM46" s="188">
        <f t="shared" si="21"/>
        <v>155.5</v>
      </c>
    </row>
    <row r="47" ht="15.5" spans="4:39">
      <c r="D47" s="166" t="s">
        <v>536</v>
      </c>
      <c r="E47" s="167">
        <v>0.00227025316455696</v>
      </c>
      <c r="F47" s="166"/>
      <c r="G47" s="166"/>
      <c r="H47" s="166" t="s">
        <v>536</v>
      </c>
      <c r="I47" s="167">
        <v>0.00895182580411215</v>
      </c>
      <c r="Q47" s="97"/>
      <c r="R47" s="184" t="s">
        <v>538</v>
      </c>
      <c r="S47" s="182">
        <f t="shared" si="17"/>
        <v>0.144</v>
      </c>
      <c r="T47" s="183">
        <f t="shared" ref="T47:Z47" si="22">T28</f>
        <v>0.1275</v>
      </c>
      <c r="U47" s="183">
        <f t="shared" si="22"/>
        <v>0.1337</v>
      </c>
      <c r="V47" s="183">
        <f t="shared" si="22"/>
        <v>0.1403</v>
      </c>
      <c r="W47" s="183">
        <f t="shared" si="22"/>
        <v>0.1499</v>
      </c>
      <c r="X47" s="183">
        <f t="shared" si="22"/>
        <v>0.1608</v>
      </c>
      <c r="Y47" s="183">
        <f t="shared" si="22"/>
        <v>0.057</v>
      </c>
      <c r="Z47" s="183">
        <f t="shared" si="22"/>
        <v>0.0952</v>
      </c>
      <c r="AD47" s="185"/>
      <c r="AE47" s="187" t="s">
        <v>549</v>
      </c>
      <c r="AF47" s="188">
        <f>AF27</f>
        <v>692.5</v>
      </c>
      <c r="AG47" s="188">
        <f t="shared" ref="AG47:AM47" si="23">AG27</f>
        <v>583.8</v>
      </c>
      <c r="AH47" s="188">
        <f t="shared" si="23"/>
        <v>556.1</v>
      </c>
      <c r="AI47" s="188">
        <f t="shared" si="23"/>
        <v>557.9</v>
      </c>
      <c r="AJ47" s="188">
        <f t="shared" si="23"/>
        <v>550.5</v>
      </c>
      <c r="AK47" s="188">
        <f t="shared" si="23"/>
        <v>594.2</v>
      </c>
      <c r="AL47" s="188">
        <f t="shared" si="23"/>
        <v>409.9</v>
      </c>
      <c r="AM47" s="188">
        <f t="shared" si="23"/>
        <v>477</v>
      </c>
    </row>
    <row r="48" ht="15.5" spans="4:39">
      <c r="D48" s="166" t="s">
        <v>218</v>
      </c>
      <c r="E48" s="167">
        <v>0.000520822784810127</v>
      </c>
      <c r="F48" s="166"/>
      <c r="G48" s="166"/>
      <c r="H48" s="166" t="s">
        <v>218</v>
      </c>
      <c r="I48" s="167">
        <v>0.011493567371473</v>
      </c>
      <c r="Q48" s="97" t="s">
        <v>391</v>
      </c>
      <c r="R48" s="181" t="s">
        <v>218</v>
      </c>
      <c r="S48" s="182">
        <f>S29-S30</f>
        <v>0.1073</v>
      </c>
      <c r="T48" s="183">
        <f t="shared" ref="T48:Z48" si="24">T29-T30</f>
        <v>0.0763999999999999</v>
      </c>
      <c r="U48" s="183">
        <f t="shared" si="24"/>
        <v>0.071</v>
      </c>
      <c r="V48" s="183">
        <f t="shared" si="24"/>
        <v>0.0709</v>
      </c>
      <c r="W48" s="183">
        <f t="shared" si="24"/>
        <v>0.0720999999999999</v>
      </c>
      <c r="X48" s="183">
        <f t="shared" si="24"/>
        <v>0.0767000000000001</v>
      </c>
      <c r="Y48" s="183">
        <f t="shared" si="24"/>
        <v>0.0421</v>
      </c>
      <c r="Z48" s="183">
        <f t="shared" si="24"/>
        <v>0.0468999999999999</v>
      </c>
      <c r="AD48" s="185"/>
      <c r="AE48" s="187" t="s">
        <v>550</v>
      </c>
      <c r="AF48" s="188">
        <f>AF28</f>
        <v>144</v>
      </c>
      <c r="AG48" s="188">
        <f t="shared" ref="AG48:AM48" si="25">AG28</f>
        <v>127.5</v>
      </c>
      <c r="AH48" s="188">
        <f t="shared" si="25"/>
        <v>133.7</v>
      </c>
      <c r="AI48" s="188">
        <f t="shared" si="25"/>
        <v>140.3</v>
      </c>
      <c r="AJ48" s="188">
        <f t="shared" si="25"/>
        <v>149.9</v>
      </c>
      <c r="AK48" s="188">
        <f t="shared" si="25"/>
        <v>160.8</v>
      </c>
      <c r="AL48" s="188">
        <f t="shared" si="25"/>
        <v>57</v>
      </c>
      <c r="AM48" s="188">
        <f t="shared" si="25"/>
        <v>95.2</v>
      </c>
    </row>
    <row r="49" ht="15.5" spans="4:39">
      <c r="D49" s="166"/>
      <c r="E49" s="166"/>
      <c r="F49" s="166"/>
      <c r="G49" s="166"/>
      <c r="H49" s="166"/>
      <c r="I49" s="166"/>
      <c r="Q49" s="97"/>
      <c r="R49" s="184" t="s">
        <v>535</v>
      </c>
      <c r="S49" s="182">
        <f t="shared" ref="S49:S55" si="26">S31</f>
        <v>0.2802</v>
      </c>
      <c r="T49" s="183">
        <f t="shared" ref="T49:Z49" si="27">T31</f>
        <v>0.2156</v>
      </c>
      <c r="U49" s="183">
        <f t="shared" si="27"/>
        <v>0.2042</v>
      </c>
      <c r="V49" s="183">
        <f t="shared" si="27"/>
        <v>0.2045</v>
      </c>
      <c r="W49" s="183">
        <f t="shared" si="27"/>
        <v>0.1988</v>
      </c>
      <c r="X49" s="183">
        <f t="shared" si="27"/>
        <v>0.2111</v>
      </c>
      <c r="Y49" s="183">
        <f t="shared" si="27"/>
        <v>0.0898</v>
      </c>
      <c r="Z49" s="183">
        <f t="shared" si="27"/>
        <v>0.1685</v>
      </c>
      <c r="AD49" s="185" t="s">
        <v>391</v>
      </c>
      <c r="AE49" s="187" t="s">
        <v>547</v>
      </c>
      <c r="AF49" s="188">
        <f>AF29-AF30</f>
        <v>107.3</v>
      </c>
      <c r="AG49" s="188">
        <f t="shared" ref="AG49:AM49" si="28">AG29-AG30</f>
        <v>76.4</v>
      </c>
      <c r="AH49" s="188">
        <f t="shared" si="28"/>
        <v>71</v>
      </c>
      <c r="AI49" s="188">
        <f t="shared" si="28"/>
        <v>70.9</v>
      </c>
      <c r="AJ49" s="188">
        <f t="shared" si="28"/>
        <v>72.1</v>
      </c>
      <c r="AK49" s="188">
        <f t="shared" si="28"/>
        <v>76.7</v>
      </c>
      <c r="AL49" s="188">
        <f t="shared" si="28"/>
        <v>42.1</v>
      </c>
      <c r="AM49" s="188">
        <f t="shared" si="28"/>
        <v>46.9</v>
      </c>
    </row>
    <row r="50" ht="15.5" spans="4:39">
      <c r="D50" s="166"/>
      <c r="E50" s="166"/>
      <c r="F50" s="166"/>
      <c r="G50" s="166"/>
      <c r="H50" s="166"/>
      <c r="I50" s="166"/>
      <c r="Q50" s="97"/>
      <c r="R50" s="184" t="s">
        <v>537</v>
      </c>
      <c r="S50" s="182">
        <f t="shared" si="26"/>
        <v>0.6846</v>
      </c>
      <c r="T50" s="183">
        <f t="shared" ref="T50:Z50" si="29">T32</f>
        <v>0.5759</v>
      </c>
      <c r="U50" s="183">
        <f t="shared" si="29"/>
        <v>0.5482</v>
      </c>
      <c r="V50" s="183">
        <f t="shared" si="29"/>
        <v>0.55</v>
      </c>
      <c r="W50" s="183">
        <f t="shared" si="29"/>
        <v>0.5426</v>
      </c>
      <c r="X50" s="183">
        <f t="shared" si="29"/>
        <v>0.5863</v>
      </c>
      <c r="Y50" s="183">
        <f t="shared" si="29"/>
        <v>0.402</v>
      </c>
      <c r="Z50" s="183">
        <f t="shared" si="29"/>
        <v>0.4691</v>
      </c>
      <c r="AD50" s="185"/>
      <c r="AE50" s="187" t="s">
        <v>548</v>
      </c>
      <c r="AF50" s="188">
        <f>AF31</f>
        <v>280.2</v>
      </c>
      <c r="AG50" s="188">
        <f t="shared" ref="AG50:AM50" si="30">AG31</f>
        <v>215.6</v>
      </c>
      <c r="AH50" s="188">
        <f t="shared" si="30"/>
        <v>204.2</v>
      </c>
      <c r="AI50" s="188">
        <f t="shared" si="30"/>
        <v>204.5</v>
      </c>
      <c r="AJ50" s="188">
        <f t="shared" si="30"/>
        <v>198.8</v>
      </c>
      <c r="AK50" s="188">
        <f t="shared" si="30"/>
        <v>211.1</v>
      </c>
      <c r="AL50" s="188">
        <f t="shared" si="30"/>
        <v>89.8</v>
      </c>
      <c r="AM50" s="188">
        <f t="shared" si="30"/>
        <v>168.5</v>
      </c>
    </row>
    <row r="51" ht="15.5" spans="4:39">
      <c r="D51" s="166" t="s">
        <v>551</v>
      </c>
      <c r="E51" s="166"/>
      <c r="F51" s="166"/>
      <c r="G51" s="166"/>
      <c r="H51" s="166"/>
      <c r="I51" s="166"/>
      <c r="Q51" s="97"/>
      <c r="R51" s="184" t="s">
        <v>538</v>
      </c>
      <c r="S51" s="182">
        <f t="shared" si="26"/>
        <v>0.145</v>
      </c>
      <c r="T51" s="183">
        <f t="shared" ref="T51:Z51" si="31">T33</f>
        <v>0.1285</v>
      </c>
      <c r="U51" s="183">
        <f t="shared" si="31"/>
        <v>0.1347</v>
      </c>
      <c r="V51" s="183">
        <f t="shared" si="31"/>
        <v>0.1413</v>
      </c>
      <c r="W51" s="183">
        <f t="shared" si="31"/>
        <v>0.1509</v>
      </c>
      <c r="X51" s="183">
        <f t="shared" si="31"/>
        <v>0.1619</v>
      </c>
      <c r="Y51" s="183">
        <f t="shared" si="31"/>
        <v>0.058</v>
      </c>
      <c r="Z51" s="183">
        <f t="shared" si="31"/>
        <v>0.0963</v>
      </c>
      <c r="AD51" s="185"/>
      <c r="AE51" s="187" t="s">
        <v>549</v>
      </c>
      <c r="AF51" s="188">
        <f>AF32</f>
        <v>684.6</v>
      </c>
      <c r="AG51" s="188">
        <f t="shared" ref="AG51:AM51" si="32">AG32</f>
        <v>575.9</v>
      </c>
      <c r="AH51" s="188">
        <f t="shared" si="32"/>
        <v>548.2</v>
      </c>
      <c r="AI51" s="188">
        <f t="shared" si="32"/>
        <v>550</v>
      </c>
      <c r="AJ51" s="188">
        <f t="shared" si="32"/>
        <v>542.6</v>
      </c>
      <c r="AK51" s="188">
        <f t="shared" si="32"/>
        <v>586.3</v>
      </c>
      <c r="AL51" s="188">
        <f t="shared" si="32"/>
        <v>402</v>
      </c>
      <c r="AM51" s="188">
        <f t="shared" si="32"/>
        <v>469.1</v>
      </c>
    </row>
    <row r="52" ht="15.5" spans="4:39">
      <c r="D52" s="166"/>
      <c r="E52" s="166"/>
      <c r="F52" s="166"/>
      <c r="G52" s="166"/>
      <c r="H52" s="166"/>
      <c r="I52" s="166"/>
      <c r="Q52" s="97" t="s">
        <v>401</v>
      </c>
      <c r="R52" s="181" t="s">
        <v>218</v>
      </c>
      <c r="S52" s="182">
        <f>S34-S35</f>
        <v>0.1083</v>
      </c>
      <c r="T52" s="183">
        <f t="shared" ref="T52:Z52" si="33">T34-T35</f>
        <v>0.0774</v>
      </c>
      <c r="U52" s="183">
        <f t="shared" si="33"/>
        <v>0.072</v>
      </c>
      <c r="V52" s="183">
        <f t="shared" si="33"/>
        <v>0.0719</v>
      </c>
      <c r="W52" s="183">
        <f t="shared" si="33"/>
        <v>0.0731000000000001</v>
      </c>
      <c r="X52" s="183">
        <f t="shared" si="33"/>
        <v>0.0777</v>
      </c>
      <c r="Y52" s="183">
        <f t="shared" si="33"/>
        <v>0.0431</v>
      </c>
      <c r="Z52" s="183">
        <f t="shared" si="33"/>
        <v>0.0478</v>
      </c>
      <c r="AD52" s="185"/>
      <c r="AE52" s="187" t="s">
        <v>550</v>
      </c>
      <c r="AF52" s="188">
        <f>AF33</f>
        <v>145</v>
      </c>
      <c r="AG52" s="188">
        <f t="shared" ref="AG52:AM52" si="34">AG33</f>
        <v>128.5</v>
      </c>
      <c r="AH52" s="188">
        <f t="shared" si="34"/>
        <v>134.7</v>
      </c>
      <c r="AI52" s="188">
        <f t="shared" si="34"/>
        <v>141.3</v>
      </c>
      <c r="AJ52" s="188">
        <f t="shared" si="34"/>
        <v>150.9</v>
      </c>
      <c r="AK52" s="188">
        <f t="shared" si="34"/>
        <v>161.9</v>
      </c>
      <c r="AL52" s="188">
        <f t="shared" si="34"/>
        <v>58</v>
      </c>
      <c r="AM52" s="188">
        <f t="shared" si="34"/>
        <v>96.3</v>
      </c>
    </row>
    <row r="53" ht="15.5" spans="4:39">
      <c r="D53" s="166"/>
      <c r="E53" s="166"/>
      <c r="F53" s="166"/>
      <c r="G53" s="166"/>
      <c r="H53" s="166"/>
      <c r="I53" s="166"/>
      <c r="Q53" s="97"/>
      <c r="R53" s="184" t="s">
        <v>535</v>
      </c>
      <c r="S53" s="182">
        <f>S36</f>
        <v>0.3012</v>
      </c>
      <c r="T53" s="183">
        <f t="shared" ref="T53:Z53" si="35">T36</f>
        <v>0.2366</v>
      </c>
      <c r="U53" s="183">
        <f t="shared" si="35"/>
        <v>0.2252</v>
      </c>
      <c r="V53" s="183">
        <f t="shared" si="35"/>
        <v>0.2255</v>
      </c>
      <c r="W53" s="183">
        <f t="shared" si="35"/>
        <v>0.2198</v>
      </c>
      <c r="X53" s="183">
        <f t="shared" si="35"/>
        <v>0.2322</v>
      </c>
      <c r="Y53" s="183">
        <f t="shared" si="35"/>
        <v>0.1108</v>
      </c>
      <c r="Z53" s="183">
        <f t="shared" si="35"/>
        <v>0.1895</v>
      </c>
      <c r="AD53" s="185" t="s">
        <v>401</v>
      </c>
      <c r="AE53" s="187" t="s">
        <v>547</v>
      </c>
      <c r="AF53" s="188">
        <f>AF34-AF35</f>
        <v>108.3</v>
      </c>
      <c r="AG53" s="188">
        <f t="shared" ref="AG53:AM53" si="36">AG34-AG35</f>
        <v>77.4</v>
      </c>
      <c r="AH53" s="188">
        <f t="shared" si="36"/>
        <v>72</v>
      </c>
      <c r="AI53" s="188">
        <f t="shared" si="36"/>
        <v>71.9</v>
      </c>
      <c r="AJ53" s="188">
        <f t="shared" si="36"/>
        <v>73.1</v>
      </c>
      <c r="AK53" s="188">
        <f t="shared" si="36"/>
        <v>77.6999999999999</v>
      </c>
      <c r="AL53" s="188">
        <f t="shared" si="36"/>
        <v>43.1</v>
      </c>
      <c r="AM53" s="188">
        <f t="shared" si="36"/>
        <v>47.8</v>
      </c>
    </row>
    <row r="54" ht="15.5" spans="4:39">
      <c r="D54" s="166"/>
      <c r="E54" s="166"/>
      <c r="F54" s="166"/>
      <c r="G54" s="166"/>
      <c r="H54" s="166"/>
      <c r="I54" s="166"/>
      <c r="Q54" s="97"/>
      <c r="R54" s="184" t="s">
        <v>537</v>
      </c>
      <c r="S54" s="182">
        <f>S37</f>
        <v>0.6684</v>
      </c>
      <c r="T54" s="183">
        <f t="shared" ref="T54:Z54" si="37">T37</f>
        <v>0.5598</v>
      </c>
      <c r="U54" s="183">
        <f t="shared" si="37"/>
        <v>0.5321</v>
      </c>
      <c r="V54" s="183">
        <f t="shared" si="37"/>
        <v>0.5339</v>
      </c>
      <c r="W54" s="183">
        <f t="shared" si="37"/>
        <v>0.5264</v>
      </c>
      <c r="X54" s="183">
        <f t="shared" si="37"/>
        <v>0.5702</v>
      </c>
      <c r="Y54" s="183">
        <f t="shared" si="37"/>
        <v>0.3858</v>
      </c>
      <c r="Z54" s="183">
        <f t="shared" si="37"/>
        <v>0.453</v>
      </c>
      <c r="AD54" s="185"/>
      <c r="AE54" s="187" t="s">
        <v>548</v>
      </c>
      <c r="AF54" s="188">
        <f>AF36</f>
        <v>301.2</v>
      </c>
      <c r="AG54" s="188">
        <f t="shared" ref="AG54:AM54" si="38">AG36</f>
        <v>236.6</v>
      </c>
      <c r="AH54" s="188">
        <f t="shared" si="38"/>
        <v>225.2</v>
      </c>
      <c r="AI54" s="188">
        <f t="shared" si="38"/>
        <v>225.5</v>
      </c>
      <c r="AJ54" s="188">
        <f t="shared" si="38"/>
        <v>219.8</v>
      </c>
      <c r="AK54" s="188">
        <f t="shared" si="38"/>
        <v>232.2</v>
      </c>
      <c r="AL54" s="188">
        <f t="shared" si="38"/>
        <v>110.8</v>
      </c>
      <c r="AM54" s="188">
        <f t="shared" si="38"/>
        <v>189.5</v>
      </c>
    </row>
    <row r="55" ht="15.5" spans="4:39">
      <c r="D55" s="166" t="s">
        <v>532</v>
      </c>
      <c r="E55" s="167">
        <v>0.012897375</v>
      </c>
      <c r="F55" s="166"/>
      <c r="G55" s="166"/>
      <c r="H55" s="166"/>
      <c r="I55" s="166"/>
      <c r="Q55" s="97"/>
      <c r="R55" s="184" t="s">
        <v>538</v>
      </c>
      <c r="S55" s="182">
        <f>S38</f>
        <v>0.1442</v>
      </c>
      <c r="T55" s="183">
        <f t="shared" ref="T55:Z55" si="39">T38</f>
        <v>0.1277</v>
      </c>
      <c r="U55" s="183">
        <f t="shared" si="39"/>
        <v>0.134</v>
      </c>
      <c r="V55" s="183">
        <f t="shared" si="39"/>
        <v>0.1406</v>
      </c>
      <c r="W55" s="183">
        <f t="shared" si="39"/>
        <v>0.1502</v>
      </c>
      <c r="X55" s="183">
        <f t="shared" si="39"/>
        <v>0.1611</v>
      </c>
      <c r="Y55" s="183">
        <f t="shared" si="39"/>
        <v>0.0572</v>
      </c>
      <c r="Z55" s="183">
        <f t="shared" si="39"/>
        <v>0.0955</v>
      </c>
      <c r="AD55" s="185"/>
      <c r="AE55" s="187" t="s">
        <v>549</v>
      </c>
      <c r="AF55" s="188">
        <f>AF37</f>
        <v>668.4</v>
      </c>
      <c r="AG55" s="188">
        <f t="shared" ref="AG55:AM55" si="40">AG37</f>
        <v>559.8</v>
      </c>
      <c r="AH55" s="188">
        <f t="shared" si="40"/>
        <v>532.1</v>
      </c>
      <c r="AI55" s="188">
        <f t="shared" si="40"/>
        <v>533.9</v>
      </c>
      <c r="AJ55" s="188">
        <f t="shared" si="40"/>
        <v>526.4</v>
      </c>
      <c r="AK55" s="188">
        <f t="shared" si="40"/>
        <v>570.2</v>
      </c>
      <c r="AL55" s="188">
        <f t="shared" si="40"/>
        <v>385.8</v>
      </c>
      <c r="AM55" s="188">
        <f t="shared" si="40"/>
        <v>453</v>
      </c>
    </row>
    <row r="56" ht="16" spans="4:39">
      <c r="D56" s="143" t="s">
        <v>534</v>
      </c>
      <c r="E56" s="167">
        <v>0.040563695</v>
      </c>
      <c r="F56" s="166"/>
      <c r="G56" s="166"/>
      <c r="H56" s="166"/>
      <c r="I56" s="166"/>
      <c r="AD56" s="185"/>
      <c r="AE56" s="187" t="s">
        <v>550</v>
      </c>
      <c r="AF56" s="188">
        <f>AF38</f>
        <v>144.2</v>
      </c>
      <c r="AG56" s="188">
        <f t="shared" ref="AG56:AM56" si="41">AG38</f>
        <v>127.7</v>
      </c>
      <c r="AH56" s="188">
        <f t="shared" si="41"/>
        <v>134</v>
      </c>
      <c r="AI56" s="188">
        <f t="shared" si="41"/>
        <v>140.6</v>
      </c>
      <c r="AJ56" s="188">
        <f t="shared" si="41"/>
        <v>150.2</v>
      </c>
      <c r="AK56" s="188">
        <f t="shared" si="41"/>
        <v>161.1</v>
      </c>
      <c r="AL56" s="188">
        <f t="shared" si="41"/>
        <v>57.2</v>
      </c>
      <c r="AM56" s="188">
        <f t="shared" si="41"/>
        <v>95.5</v>
      </c>
    </row>
    <row r="57" ht="15.5" spans="4:39">
      <c r="D57" s="166" t="s">
        <v>536</v>
      </c>
      <c r="E57" s="167">
        <v>0.03346882</v>
      </c>
      <c r="F57" s="166"/>
      <c r="G57" s="166"/>
      <c r="H57" s="166"/>
      <c r="I57" s="166"/>
      <c r="AD57" s="189" t="s">
        <v>552</v>
      </c>
      <c r="AE57" s="187" t="s">
        <v>547</v>
      </c>
      <c r="AF57" s="188">
        <f>AVERAGE(AF45,AF49,AF53)</f>
        <v>107.733333333333</v>
      </c>
      <c r="AG57" s="188">
        <f t="shared" ref="AG57:AM57" si="42">AVERAGE(AG45,AG49,AG53)</f>
        <v>76.8666666666667</v>
      </c>
      <c r="AH57" s="188">
        <f t="shared" si="42"/>
        <v>71.4333333333333</v>
      </c>
      <c r="AI57" s="188">
        <f t="shared" si="42"/>
        <v>71.3333333333333</v>
      </c>
      <c r="AJ57" s="188">
        <f t="shared" si="42"/>
        <v>72.5666666666667</v>
      </c>
      <c r="AK57" s="188">
        <f t="shared" si="42"/>
        <v>77.1333333333333</v>
      </c>
      <c r="AL57" s="188">
        <f t="shared" si="42"/>
        <v>42.5333333333333</v>
      </c>
      <c r="AM57" s="188">
        <f t="shared" si="42"/>
        <v>47.3</v>
      </c>
    </row>
    <row r="58" ht="15.5" spans="4:39">
      <c r="D58" s="166" t="s">
        <v>218</v>
      </c>
      <c r="E58" s="167">
        <v>0.004364535</v>
      </c>
      <c r="F58" s="166"/>
      <c r="G58" s="166"/>
      <c r="H58" s="166"/>
      <c r="I58" s="166"/>
      <c r="Q58" s="97" t="s">
        <v>553</v>
      </c>
      <c r="R58" s="181" t="s">
        <v>218</v>
      </c>
      <c r="S58" s="159">
        <f>AVERAGE(S44,S48,S52)</f>
        <v>0.107733333333333</v>
      </c>
      <c r="T58">
        <f t="shared" ref="T58:Z58" si="43">AVERAGE(T44,T48,T52)</f>
        <v>0.0768666666666667</v>
      </c>
      <c r="U58">
        <f t="shared" si="43"/>
        <v>0.0714333333333333</v>
      </c>
      <c r="V58">
        <f t="shared" si="43"/>
        <v>0.0713333333333333</v>
      </c>
      <c r="W58">
        <f t="shared" si="43"/>
        <v>0.0725666666666666</v>
      </c>
      <c r="X58">
        <f t="shared" si="43"/>
        <v>0.0771333333333333</v>
      </c>
      <c r="Y58">
        <f t="shared" si="43"/>
        <v>0.0425333333333333</v>
      </c>
      <c r="Z58">
        <f t="shared" si="43"/>
        <v>0.0473</v>
      </c>
      <c r="AD58" s="189"/>
      <c r="AE58" s="187" t="s">
        <v>548</v>
      </c>
      <c r="AF58" s="188">
        <f>AVERAGE(AF46,AF50,AF54)</f>
        <v>282.9</v>
      </c>
      <c r="AG58" s="188">
        <f t="shared" ref="AG58:AM58" si="44">AVERAGE(AG46,AG50,AG54)</f>
        <v>218.266666666667</v>
      </c>
      <c r="AH58" s="188">
        <f t="shared" si="44"/>
        <v>206.9</v>
      </c>
      <c r="AI58" s="188">
        <f t="shared" si="44"/>
        <v>207.166666666667</v>
      </c>
      <c r="AJ58" s="188">
        <f t="shared" si="44"/>
        <v>201.5</v>
      </c>
      <c r="AK58" s="188">
        <f t="shared" si="44"/>
        <v>213.833333333333</v>
      </c>
      <c r="AL58" s="188">
        <f t="shared" si="44"/>
        <v>92.4666666666667</v>
      </c>
      <c r="AM58" s="188">
        <f t="shared" si="44"/>
        <v>171.166666666667</v>
      </c>
    </row>
    <row r="59" ht="15.5" spans="17:39">
      <c r="Q59" s="97"/>
      <c r="R59" s="184" t="s">
        <v>535</v>
      </c>
      <c r="S59" s="159">
        <f>AVERAGE(S45,S49,S53)</f>
        <v>0.2829</v>
      </c>
      <c r="T59">
        <f t="shared" ref="T59:Z59" si="45">AVERAGE(T45,T49,T53)</f>
        <v>0.218266666666667</v>
      </c>
      <c r="U59">
        <f t="shared" si="45"/>
        <v>0.2069</v>
      </c>
      <c r="V59">
        <f t="shared" si="45"/>
        <v>0.207166666666667</v>
      </c>
      <c r="W59">
        <f t="shared" si="45"/>
        <v>0.2015</v>
      </c>
      <c r="X59">
        <f t="shared" si="45"/>
        <v>0.213833333333333</v>
      </c>
      <c r="Y59">
        <f t="shared" si="45"/>
        <v>0.0924666666666667</v>
      </c>
      <c r="Z59">
        <f t="shared" si="45"/>
        <v>0.171166666666667</v>
      </c>
      <c r="AD59" s="189"/>
      <c r="AE59" s="187" t="s">
        <v>549</v>
      </c>
      <c r="AF59" s="188">
        <f>AVERAGE(AF47,AF51,AF55)</f>
        <v>681.833333333333</v>
      </c>
      <c r="AG59" s="188">
        <f t="shared" ref="AG59:AM59" si="46">AVERAGE(AG47,AG51,AG55)</f>
        <v>573.166666666667</v>
      </c>
      <c r="AH59" s="188">
        <f t="shared" si="46"/>
        <v>545.466666666667</v>
      </c>
      <c r="AI59" s="188">
        <f t="shared" si="46"/>
        <v>547.266666666667</v>
      </c>
      <c r="AJ59" s="188">
        <f t="shared" si="46"/>
        <v>539.833333333333</v>
      </c>
      <c r="AK59" s="188">
        <f t="shared" si="46"/>
        <v>583.566666666667</v>
      </c>
      <c r="AL59" s="188">
        <f t="shared" si="46"/>
        <v>399.233333333333</v>
      </c>
      <c r="AM59" s="188">
        <f t="shared" si="46"/>
        <v>466.366666666667</v>
      </c>
    </row>
    <row r="60" ht="15.5" spans="17:39">
      <c r="Q60" s="97"/>
      <c r="R60" s="184" t="s">
        <v>537</v>
      </c>
      <c r="S60" s="159">
        <f>AVERAGE(S46,S50,S54)</f>
        <v>0.681833333333333</v>
      </c>
      <c r="T60">
        <f t="shared" ref="T60:Z60" si="47">AVERAGE(T46,T50,T54)</f>
        <v>0.573166666666667</v>
      </c>
      <c r="U60">
        <f t="shared" si="47"/>
        <v>0.545466666666667</v>
      </c>
      <c r="V60">
        <f t="shared" si="47"/>
        <v>0.547266666666667</v>
      </c>
      <c r="W60">
        <f t="shared" si="47"/>
        <v>0.539833333333333</v>
      </c>
      <c r="X60">
        <f t="shared" si="47"/>
        <v>0.583566666666667</v>
      </c>
      <c r="Y60">
        <f t="shared" si="47"/>
        <v>0.399233333333333</v>
      </c>
      <c r="Z60">
        <f t="shared" si="47"/>
        <v>0.466366666666667</v>
      </c>
      <c r="AD60" s="189"/>
      <c r="AE60" s="187" t="s">
        <v>550</v>
      </c>
      <c r="AF60" s="188">
        <f>AVERAGE(AF48,AF52,AF56)</f>
        <v>144.4</v>
      </c>
      <c r="AG60" s="188">
        <f t="shared" ref="AG60:AM60" si="48">AVERAGE(AG48,AG52,AG56)</f>
        <v>127.9</v>
      </c>
      <c r="AH60" s="188">
        <f t="shared" si="48"/>
        <v>134.133333333333</v>
      </c>
      <c r="AI60" s="188">
        <f t="shared" si="48"/>
        <v>140.733333333333</v>
      </c>
      <c r="AJ60" s="188">
        <f t="shared" si="48"/>
        <v>150.333333333333</v>
      </c>
      <c r="AK60" s="188">
        <f t="shared" si="48"/>
        <v>161.266666666667</v>
      </c>
      <c r="AL60" s="188">
        <f t="shared" si="48"/>
        <v>57.4</v>
      </c>
      <c r="AM60" s="188">
        <f t="shared" si="48"/>
        <v>95.6666666666667</v>
      </c>
    </row>
    <row r="61" ht="15.5" spans="17:26">
      <c r="Q61" s="97"/>
      <c r="R61" s="184" t="s">
        <v>538</v>
      </c>
      <c r="S61" s="159">
        <f>AVERAGE(S47,S51,S55)</f>
        <v>0.1444</v>
      </c>
      <c r="T61">
        <f t="shared" ref="T61:Z61" si="49">AVERAGE(T47,T51,T55)</f>
        <v>0.1279</v>
      </c>
      <c r="U61">
        <f t="shared" si="49"/>
        <v>0.134133333333333</v>
      </c>
      <c r="V61">
        <f t="shared" si="49"/>
        <v>0.140733333333333</v>
      </c>
      <c r="W61">
        <f t="shared" si="49"/>
        <v>0.150333333333333</v>
      </c>
      <c r="X61">
        <f t="shared" si="49"/>
        <v>0.161266666666667</v>
      </c>
      <c r="Y61">
        <f t="shared" si="49"/>
        <v>0.0574</v>
      </c>
      <c r="Z61">
        <f t="shared" si="49"/>
        <v>0.0956666666666667</v>
      </c>
    </row>
    <row r="67" ht="15.5" spans="4:30">
      <c r="D67" s="191"/>
      <c r="E67" s="191"/>
      <c r="F67" s="191"/>
      <c r="G67" s="192"/>
      <c r="H67" s="191"/>
      <c r="I67" s="191"/>
      <c r="J67" s="191"/>
      <c r="K67" s="192"/>
      <c r="L67" s="191"/>
      <c r="M67" s="191"/>
      <c r="N67" s="191"/>
      <c r="O67" s="192"/>
      <c r="P67" s="191"/>
      <c r="Q67" s="191"/>
      <c r="R67" s="191"/>
      <c r="S67" s="192"/>
      <c r="T67" s="191"/>
      <c r="U67" s="191"/>
      <c r="V67" s="191"/>
      <c r="W67" s="192"/>
      <c r="X67" s="191"/>
      <c r="Y67" s="191"/>
      <c r="Z67" s="191"/>
      <c r="AA67" s="192"/>
      <c r="AB67" s="191"/>
      <c r="AC67" s="191"/>
      <c r="AD67" s="191"/>
    </row>
    <row r="68" s="151" customFormat="1" ht="15.5" spans="1:30">
      <c r="A68" s="151" t="s">
        <v>554</v>
      </c>
      <c r="D68" s="193" t="s">
        <v>79</v>
      </c>
      <c r="E68" s="193" t="s">
        <v>191</v>
      </c>
      <c r="F68" s="193">
        <v>2019</v>
      </c>
      <c r="G68" s="194"/>
      <c r="H68" s="193" t="s">
        <v>79</v>
      </c>
      <c r="I68" s="193" t="s">
        <v>191</v>
      </c>
      <c r="J68" s="193">
        <v>2019</v>
      </c>
      <c r="K68" s="194"/>
      <c r="L68" s="193" t="s">
        <v>79</v>
      </c>
      <c r="M68" s="193" t="s">
        <v>191</v>
      </c>
      <c r="N68" s="193">
        <v>2019</v>
      </c>
      <c r="O68" s="194"/>
      <c r="P68" s="193" t="s">
        <v>79</v>
      </c>
      <c r="Q68" s="193" t="s">
        <v>191</v>
      </c>
      <c r="R68" s="193">
        <v>2019</v>
      </c>
      <c r="S68" s="194"/>
      <c r="T68" s="193" t="s">
        <v>79</v>
      </c>
      <c r="U68" s="193" t="s">
        <v>191</v>
      </c>
      <c r="V68" s="193">
        <v>2019</v>
      </c>
      <c r="W68" s="194"/>
      <c r="X68" s="193" t="s">
        <v>79</v>
      </c>
      <c r="Y68" s="193" t="s">
        <v>191</v>
      </c>
      <c r="Z68" s="193">
        <v>2019</v>
      </c>
      <c r="AA68" s="194"/>
      <c r="AB68" s="193" t="s">
        <v>79</v>
      </c>
      <c r="AC68" s="193" t="s">
        <v>191</v>
      </c>
      <c r="AD68" s="193">
        <v>2019</v>
      </c>
    </row>
    <row r="69" s="151" customFormat="1" ht="15.5" spans="4:30">
      <c r="D69" s="194" t="s">
        <v>366</v>
      </c>
      <c r="E69" s="195" t="s">
        <v>534</v>
      </c>
      <c r="F69" s="194">
        <v>0.00359735099337748</v>
      </c>
      <c r="G69" s="194"/>
      <c r="H69" s="194" t="s">
        <v>367</v>
      </c>
      <c r="I69" s="195" t="s">
        <v>534</v>
      </c>
      <c r="J69" s="194">
        <v>0.00370884353741497</v>
      </c>
      <c r="K69" s="194"/>
      <c r="L69" s="194" t="s">
        <v>368</v>
      </c>
      <c r="M69" s="195" t="s">
        <v>534</v>
      </c>
      <c r="N69" s="194">
        <v>0.00392167832167832</v>
      </c>
      <c r="O69" s="194"/>
      <c r="P69" s="194" t="s">
        <v>369</v>
      </c>
      <c r="Q69" s="195" t="s">
        <v>534</v>
      </c>
      <c r="R69" s="194">
        <v>0.00403971631205674</v>
      </c>
      <c r="S69" s="194"/>
      <c r="T69" s="194" t="s">
        <v>365</v>
      </c>
      <c r="U69" s="195" t="s">
        <v>534</v>
      </c>
      <c r="V69" s="194">
        <v>0.00413900709219858</v>
      </c>
      <c r="W69" s="194"/>
      <c r="X69" s="194" t="s">
        <v>364</v>
      </c>
      <c r="Y69" s="195" t="s">
        <v>534</v>
      </c>
      <c r="Z69" s="194">
        <v>0.00373591549295775</v>
      </c>
      <c r="AA69" s="194"/>
      <c r="AB69" s="194" t="s">
        <v>363</v>
      </c>
      <c r="AC69" s="195" t="s">
        <v>534</v>
      </c>
      <c r="AD69" s="194">
        <v>0.00525925925925926</v>
      </c>
    </row>
    <row r="70" s="151" customFormat="1" ht="15.5" spans="4:30">
      <c r="D70" s="194"/>
      <c r="E70" s="195" t="s">
        <v>536</v>
      </c>
      <c r="F70" s="194">
        <v>0.00158940397350993</v>
      </c>
      <c r="G70" s="194"/>
      <c r="H70" s="194"/>
      <c r="I70" s="195" t="s">
        <v>536</v>
      </c>
      <c r="J70" s="194">
        <v>0.00163265306122449</v>
      </c>
      <c r="K70" s="194"/>
      <c r="L70" s="194"/>
      <c r="M70" s="195" t="s">
        <v>536</v>
      </c>
      <c r="N70" s="194">
        <v>0.00167832167832168</v>
      </c>
      <c r="O70" s="194"/>
      <c r="P70" s="194"/>
      <c r="Q70" s="195" t="s">
        <v>536</v>
      </c>
      <c r="R70" s="194">
        <v>0.00170212765957447</v>
      </c>
      <c r="S70" s="194"/>
      <c r="T70" s="194"/>
      <c r="U70" s="195" t="s">
        <v>536</v>
      </c>
      <c r="V70" s="194">
        <v>0.00170212765957447</v>
      </c>
      <c r="W70" s="194"/>
      <c r="X70" s="194"/>
      <c r="Y70" s="195" t="s">
        <v>536</v>
      </c>
      <c r="Z70" s="194">
        <v>0.00211267605633803</v>
      </c>
      <c r="AA70" s="194"/>
      <c r="AB70" s="194"/>
      <c r="AC70" s="195" t="s">
        <v>536</v>
      </c>
      <c r="AD70" s="194">
        <v>0.00296296296296296</v>
      </c>
    </row>
    <row r="71" s="151" customFormat="1" ht="15.5" spans="4:30">
      <c r="D71" s="194"/>
      <c r="E71" s="195" t="s">
        <v>218</v>
      </c>
      <c r="F71" s="194">
        <v>0.00115761589403974</v>
      </c>
      <c r="G71" s="194"/>
      <c r="H71" s="194"/>
      <c r="I71" s="195" t="s">
        <v>218</v>
      </c>
      <c r="J71" s="194">
        <v>0.0011891156462585</v>
      </c>
      <c r="K71" s="194"/>
      <c r="L71" s="194"/>
      <c r="M71" s="195" t="s">
        <v>218</v>
      </c>
      <c r="N71" s="194">
        <v>0.00123916083916084</v>
      </c>
      <c r="O71" s="194"/>
      <c r="P71" s="194"/>
      <c r="Q71" s="195" t="s">
        <v>218</v>
      </c>
      <c r="R71" s="194">
        <v>0.00126524822695035</v>
      </c>
      <c r="S71" s="194"/>
      <c r="T71" s="194"/>
      <c r="U71" s="195" t="s">
        <v>218</v>
      </c>
      <c r="V71" s="194">
        <v>0.00127943262411348</v>
      </c>
      <c r="W71" s="194"/>
      <c r="X71" s="194"/>
      <c r="Y71" s="195" t="s">
        <v>218</v>
      </c>
      <c r="Z71" s="194">
        <v>0.00138732394366197</v>
      </c>
      <c r="AA71" s="194"/>
      <c r="AB71" s="194"/>
      <c r="AC71" s="195" t="s">
        <v>218</v>
      </c>
      <c r="AD71" s="194">
        <v>0.00197530864197531</v>
      </c>
    </row>
    <row r="72" s="151" customFormat="1" ht="15.5" spans="4:30">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row>
    <row r="73" s="151" customFormat="1" ht="15.5" spans="4:30">
      <c r="D73" s="193"/>
      <c r="E73" s="193"/>
      <c r="F73" s="193"/>
      <c r="G73" s="194"/>
      <c r="H73" s="193"/>
      <c r="I73" s="193"/>
      <c r="J73" s="193"/>
      <c r="K73" s="194"/>
      <c r="L73" s="193"/>
      <c r="M73" s="193"/>
      <c r="N73" s="193"/>
      <c r="O73" s="194"/>
      <c r="P73" s="193"/>
      <c r="Q73" s="193"/>
      <c r="R73" s="193"/>
      <c r="S73" s="194"/>
      <c r="T73" s="193"/>
      <c r="U73" s="193"/>
      <c r="V73" s="193"/>
      <c r="W73" s="194"/>
      <c r="X73" s="193"/>
      <c r="Y73" s="193"/>
      <c r="Z73" s="193"/>
      <c r="AA73" s="194"/>
      <c r="AB73" s="193"/>
      <c r="AC73" s="193"/>
      <c r="AD73" s="193"/>
    </row>
    <row r="74" s="151" customFormat="1" ht="15.5" spans="4:30">
      <c r="D74" s="193" t="s">
        <v>79</v>
      </c>
      <c r="E74" s="193" t="s">
        <v>191</v>
      </c>
      <c r="F74" s="193">
        <v>2019</v>
      </c>
      <c r="G74" s="194"/>
      <c r="H74" s="193" t="s">
        <v>79</v>
      </c>
      <c r="I74" s="193" t="s">
        <v>191</v>
      </c>
      <c r="J74" s="193">
        <v>2019</v>
      </c>
      <c r="K74" s="194"/>
      <c r="L74" s="193" t="s">
        <v>79</v>
      </c>
      <c r="M74" s="193" t="s">
        <v>191</v>
      </c>
      <c r="N74" s="193">
        <v>2019</v>
      </c>
      <c r="O74" s="194"/>
      <c r="P74" s="193" t="s">
        <v>79</v>
      </c>
      <c r="Q74" s="193" t="s">
        <v>191</v>
      </c>
      <c r="R74" s="193">
        <v>2019</v>
      </c>
      <c r="S74" s="194"/>
      <c r="T74" s="193" t="s">
        <v>79</v>
      </c>
      <c r="U74" s="193" t="s">
        <v>191</v>
      </c>
      <c r="V74" s="193">
        <v>2019</v>
      </c>
      <c r="W74" s="194"/>
      <c r="X74" s="193" t="s">
        <v>79</v>
      </c>
      <c r="Y74" s="193" t="s">
        <v>191</v>
      </c>
      <c r="Z74" s="193">
        <v>2019</v>
      </c>
      <c r="AA74" s="194"/>
      <c r="AB74" s="193" t="s">
        <v>79</v>
      </c>
      <c r="AC74" s="193" t="s">
        <v>191</v>
      </c>
      <c r="AD74" s="193">
        <v>2019</v>
      </c>
    </row>
    <row r="75" s="151" customFormat="1" ht="15.5" spans="4:30">
      <c r="D75" s="194" t="s">
        <v>373</v>
      </c>
      <c r="E75" s="195" t="s">
        <v>534</v>
      </c>
      <c r="F75" s="194">
        <v>0.0208158940397351</v>
      </c>
      <c r="G75" s="194"/>
      <c r="H75" s="194" t="s">
        <v>374</v>
      </c>
      <c r="I75" s="195" t="s">
        <v>534</v>
      </c>
      <c r="J75" s="194">
        <v>0.0208068027210884</v>
      </c>
      <c r="K75" s="194"/>
      <c r="L75" s="194" t="s">
        <v>375</v>
      </c>
      <c r="M75" s="195" t="s">
        <v>534</v>
      </c>
      <c r="N75" s="194">
        <v>0.021165034965035</v>
      </c>
      <c r="O75" s="194"/>
      <c r="P75" s="194" t="s">
        <v>376</v>
      </c>
      <c r="Q75" s="195" t="s">
        <v>534</v>
      </c>
      <c r="R75" s="194">
        <v>0.0206425531914894</v>
      </c>
      <c r="S75" s="194"/>
      <c r="T75" s="194" t="s">
        <v>372</v>
      </c>
      <c r="U75" s="195" t="s">
        <v>534</v>
      </c>
      <c r="V75" s="194">
        <v>0.0205148936170213</v>
      </c>
      <c r="W75" s="194"/>
      <c r="X75" s="194" t="s">
        <v>371</v>
      </c>
      <c r="Y75" s="195" t="s">
        <v>534</v>
      </c>
      <c r="Z75" s="194">
        <v>0.0303802816901408</v>
      </c>
      <c r="AA75" s="194"/>
      <c r="AB75" s="194" t="s">
        <v>370</v>
      </c>
      <c r="AC75" s="195" t="s">
        <v>534</v>
      </c>
      <c r="AD75" s="194">
        <v>0.0100148148148148</v>
      </c>
    </row>
    <row r="76" s="151" customFormat="1" ht="15.5" spans="4:30">
      <c r="D76" s="194"/>
      <c r="E76" s="195" t="s">
        <v>536</v>
      </c>
      <c r="F76" s="194">
        <v>0.00158940397350993</v>
      </c>
      <c r="G76" s="194"/>
      <c r="H76" s="194"/>
      <c r="I76" s="195" t="s">
        <v>536</v>
      </c>
      <c r="J76" s="194">
        <v>0.00163265306122449</v>
      </c>
      <c r="K76" s="194"/>
      <c r="L76" s="194"/>
      <c r="M76" s="195" t="s">
        <v>536</v>
      </c>
      <c r="N76" s="194">
        <v>0.00167832167832168</v>
      </c>
      <c r="O76" s="194"/>
      <c r="P76" s="194"/>
      <c r="Q76" s="195" t="s">
        <v>536</v>
      </c>
      <c r="R76" s="194">
        <v>0.00170212765957447</v>
      </c>
      <c r="S76" s="194"/>
      <c r="T76" s="194"/>
      <c r="U76" s="195" t="s">
        <v>536</v>
      </c>
      <c r="V76" s="194">
        <v>0.00170212765957447</v>
      </c>
      <c r="W76" s="194"/>
      <c r="X76" s="194"/>
      <c r="Y76" s="195" t="s">
        <v>536</v>
      </c>
      <c r="Z76" s="194">
        <v>0.00211267605633803</v>
      </c>
      <c r="AA76" s="194"/>
      <c r="AB76" s="194"/>
      <c r="AC76" s="195" t="s">
        <v>536</v>
      </c>
      <c r="AD76" s="194">
        <v>0.00296296296296296</v>
      </c>
    </row>
    <row r="77" s="151" customFormat="1" ht="15.5" spans="4:30">
      <c r="D77" s="194"/>
      <c r="E77" s="195" t="s">
        <v>218</v>
      </c>
      <c r="F77" s="194">
        <v>0.0378198675496689</v>
      </c>
      <c r="G77" s="194"/>
      <c r="H77" s="194"/>
      <c r="I77" s="195" t="s">
        <v>218</v>
      </c>
      <c r="J77" s="194">
        <v>0.0376013605442177</v>
      </c>
      <c r="K77" s="194"/>
      <c r="L77" s="194"/>
      <c r="M77" s="195" t="s">
        <v>218</v>
      </c>
      <c r="N77" s="194">
        <v>0.0381636363636364</v>
      </c>
      <c r="O77" s="194"/>
      <c r="P77" s="194"/>
      <c r="Q77" s="195" t="s">
        <v>218</v>
      </c>
      <c r="R77" s="194">
        <v>0.0369177304964539</v>
      </c>
      <c r="S77" s="194"/>
      <c r="T77" s="194"/>
      <c r="U77" s="195" t="s">
        <v>218</v>
      </c>
      <c r="V77" s="194">
        <v>0.0365205673758865</v>
      </c>
      <c r="W77" s="194"/>
      <c r="X77" s="194"/>
      <c r="Y77" s="195" t="s">
        <v>218</v>
      </c>
      <c r="Z77" s="194">
        <v>0.0581584507042253</v>
      </c>
      <c r="AA77" s="194"/>
      <c r="AB77" s="194"/>
      <c r="AC77" s="195" t="s">
        <v>218</v>
      </c>
      <c r="AD77" s="194">
        <v>0.00534320987654321</v>
      </c>
    </row>
    <row r="78" s="151" customFormat="1" ht="15.5" spans="4:30">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row>
    <row r="79" s="151" customFormat="1" ht="15.5" spans="4:30">
      <c r="D79" s="193"/>
      <c r="E79" s="193"/>
      <c r="F79" s="193"/>
      <c r="G79" s="194"/>
      <c r="H79" s="193"/>
      <c r="I79" s="193"/>
      <c r="J79" s="193"/>
      <c r="K79" s="194"/>
      <c r="L79" s="193"/>
      <c r="M79" s="193"/>
      <c r="N79" s="193"/>
      <c r="O79" s="194"/>
      <c r="P79" s="193"/>
      <c r="Q79" s="193"/>
      <c r="R79" s="193"/>
      <c r="S79" s="194"/>
      <c r="T79" s="193"/>
      <c r="U79" s="193"/>
      <c r="V79" s="193"/>
      <c r="W79" s="194"/>
      <c r="X79" s="193"/>
      <c r="Y79" s="193"/>
      <c r="Z79" s="193"/>
      <c r="AA79" s="194"/>
      <c r="AB79" s="193"/>
      <c r="AC79" s="193"/>
      <c r="AD79" s="193"/>
    </row>
    <row r="80" s="151" customFormat="1" ht="15.5" spans="4:30">
      <c r="D80" s="193" t="s">
        <v>79</v>
      </c>
      <c r="E80" s="193" t="s">
        <v>191</v>
      </c>
      <c r="F80" s="193">
        <v>2019</v>
      </c>
      <c r="G80" s="194"/>
      <c r="H80" s="193" t="s">
        <v>79</v>
      </c>
      <c r="I80" s="193" t="s">
        <v>191</v>
      </c>
      <c r="J80" s="193">
        <v>2019</v>
      </c>
      <c r="K80" s="194"/>
      <c r="L80" s="193" t="s">
        <v>79</v>
      </c>
      <c r="M80" s="193" t="s">
        <v>191</v>
      </c>
      <c r="N80" s="193">
        <v>2019</v>
      </c>
      <c r="O80" s="194"/>
      <c r="P80" s="193" t="s">
        <v>79</v>
      </c>
      <c r="Q80" s="193" t="s">
        <v>191</v>
      </c>
      <c r="R80" s="193">
        <v>2019</v>
      </c>
      <c r="S80" s="194"/>
      <c r="T80" s="193" t="s">
        <v>79</v>
      </c>
      <c r="U80" s="193" t="s">
        <v>191</v>
      </c>
      <c r="V80" s="193">
        <v>2019</v>
      </c>
      <c r="W80" s="194"/>
      <c r="X80" s="193" t="s">
        <v>79</v>
      </c>
      <c r="Y80" s="193" t="s">
        <v>191</v>
      </c>
      <c r="Z80" s="193">
        <v>2019</v>
      </c>
      <c r="AA80" s="194"/>
      <c r="AB80" s="193" t="s">
        <v>79</v>
      </c>
      <c r="AC80" s="193" t="s">
        <v>191</v>
      </c>
      <c r="AD80" s="193">
        <v>2019</v>
      </c>
    </row>
    <row r="81" s="151" customFormat="1" ht="15.5" spans="4:30">
      <c r="D81" s="194" t="s">
        <v>380</v>
      </c>
      <c r="E81" s="195" t="s">
        <v>534</v>
      </c>
      <c r="F81" s="194">
        <v>0.00482119205298013</v>
      </c>
      <c r="G81" s="194"/>
      <c r="H81" s="194" t="s">
        <v>381</v>
      </c>
      <c r="I81" s="195" t="s">
        <v>534</v>
      </c>
      <c r="J81" s="194">
        <v>0.00489795918367347</v>
      </c>
      <c r="K81" s="194"/>
      <c r="L81" s="194" t="s">
        <v>382</v>
      </c>
      <c r="M81" s="195" t="s">
        <v>534</v>
      </c>
      <c r="N81" s="194">
        <v>0.00502097902097902</v>
      </c>
      <c r="O81" s="194"/>
      <c r="P81" s="194" t="s">
        <v>383</v>
      </c>
      <c r="Q81" s="195" t="s">
        <v>534</v>
      </c>
      <c r="R81" s="194">
        <v>0.00502127659574468</v>
      </c>
      <c r="S81" s="194"/>
      <c r="T81" s="194" t="s">
        <v>379</v>
      </c>
      <c r="U81" s="195" t="s">
        <v>534</v>
      </c>
      <c r="V81" s="194">
        <v>0.00504964539007092</v>
      </c>
      <c r="W81" s="194"/>
      <c r="X81" s="194" t="s">
        <v>378</v>
      </c>
      <c r="Y81" s="195" t="s">
        <v>534</v>
      </c>
      <c r="Z81" s="194">
        <v>0.00667253521126761</v>
      </c>
      <c r="AA81" s="194"/>
      <c r="AB81" s="194" t="s">
        <v>377</v>
      </c>
      <c r="AC81" s="195" t="s">
        <v>534</v>
      </c>
      <c r="AD81" s="194">
        <v>0.00906172839506173</v>
      </c>
    </row>
    <row r="82" s="151" customFormat="1" ht="15.5" spans="4:30">
      <c r="D82" s="194"/>
      <c r="E82" s="195" t="s">
        <v>536</v>
      </c>
      <c r="F82" s="194">
        <v>0.00158940397350993</v>
      </c>
      <c r="G82" s="194"/>
      <c r="H82" s="194"/>
      <c r="I82" s="195" t="s">
        <v>536</v>
      </c>
      <c r="J82" s="194">
        <v>0.00163265306122449</v>
      </c>
      <c r="K82" s="194"/>
      <c r="L82" s="194"/>
      <c r="M82" s="195" t="s">
        <v>536</v>
      </c>
      <c r="N82" s="194">
        <v>0.00167832167832168</v>
      </c>
      <c r="O82" s="194"/>
      <c r="P82" s="194"/>
      <c r="Q82" s="195" t="s">
        <v>536</v>
      </c>
      <c r="R82" s="194">
        <v>0.00170212765957447</v>
      </c>
      <c r="S82" s="194"/>
      <c r="T82" s="194"/>
      <c r="U82" s="195" t="s">
        <v>536</v>
      </c>
      <c r="V82" s="194">
        <v>0.00170212765957447</v>
      </c>
      <c r="W82" s="194"/>
      <c r="X82" s="194"/>
      <c r="Y82" s="195" t="s">
        <v>536</v>
      </c>
      <c r="Z82" s="194">
        <v>0.00211267605633803</v>
      </c>
      <c r="AA82" s="194"/>
      <c r="AB82" s="194"/>
      <c r="AC82" s="195" t="s">
        <v>536</v>
      </c>
      <c r="AD82" s="194">
        <v>0.00296296296296296</v>
      </c>
    </row>
    <row r="83" ht="15.5" spans="4:30">
      <c r="D83" s="192"/>
      <c r="E83" s="196" t="s">
        <v>218</v>
      </c>
      <c r="F83" s="192">
        <v>0.030887417218543</v>
      </c>
      <c r="G83" s="192"/>
      <c r="H83" s="192"/>
      <c r="I83" s="196" t="s">
        <v>218</v>
      </c>
      <c r="J83" s="192">
        <v>0.0306530612244898</v>
      </c>
      <c r="K83" s="192"/>
      <c r="L83" s="192"/>
      <c r="M83" s="196" t="s">
        <v>218</v>
      </c>
      <c r="N83" s="192">
        <v>0.0312727272727273</v>
      </c>
      <c r="O83" s="192"/>
      <c r="P83" s="192"/>
      <c r="Q83" s="196" t="s">
        <v>218</v>
      </c>
      <c r="R83" s="192">
        <v>0.0303404255319149</v>
      </c>
      <c r="S83" s="192"/>
      <c r="T83" s="192"/>
      <c r="U83" s="196" t="s">
        <v>218</v>
      </c>
      <c r="V83" s="192">
        <v>0.031177304964539</v>
      </c>
      <c r="W83" s="192"/>
      <c r="X83" s="192"/>
      <c r="Y83" s="196" t="s">
        <v>218</v>
      </c>
      <c r="Z83" s="192">
        <v>0.0334154929577465</v>
      </c>
      <c r="AA83" s="192"/>
      <c r="AB83" s="192"/>
      <c r="AC83" s="196" t="s">
        <v>218</v>
      </c>
      <c r="AD83" s="192">
        <v>0.0459506172839506</v>
      </c>
    </row>
  </sheetData>
  <mergeCells count="21">
    <mergeCell ref="AF43:AM43"/>
    <mergeCell ref="Q22:Q23"/>
    <mergeCell ref="Q24:Q28"/>
    <mergeCell ref="Q29:Q33"/>
    <mergeCell ref="Q34:Q38"/>
    <mergeCell ref="Q44:Q47"/>
    <mergeCell ref="Q48:Q51"/>
    <mergeCell ref="Q52:Q55"/>
    <mergeCell ref="Q58:Q61"/>
    <mergeCell ref="R22:R23"/>
    <mergeCell ref="AD22:AD23"/>
    <mergeCell ref="AD24:AD28"/>
    <mergeCell ref="AD29:AD33"/>
    <mergeCell ref="AD34:AD38"/>
    <mergeCell ref="AD43:AD44"/>
    <mergeCell ref="AD45:AD48"/>
    <mergeCell ref="AD49:AD52"/>
    <mergeCell ref="AD53:AD56"/>
    <mergeCell ref="AD57:AD60"/>
    <mergeCell ref="AE22:AE23"/>
    <mergeCell ref="AE43:AE44"/>
  </mergeCells>
  <pageMargins left="0.7" right="0.7" top="0.75" bottom="0.75" header="0.3" footer="0.3"/>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BR188"/>
  <sheetViews>
    <sheetView zoomScale="44" zoomScaleNormal="44" workbookViewId="0">
      <selection activeCell="AM187" sqref="AM187"/>
    </sheetView>
  </sheetViews>
  <sheetFormatPr defaultColWidth="8.72727272727273" defaultRowHeight="14.5"/>
  <cols>
    <col min="2" max="2" width="43.8181818181818" customWidth="1"/>
    <col min="21" max="21" width="19.2727272727273"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70">
      <c r="A1" s="121" t="s">
        <v>555</v>
      </c>
      <c r="B1" s="121"/>
      <c r="C1" s="121"/>
      <c r="D1" s="121"/>
      <c r="E1" s="121"/>
      <c r="F1" s="121"/>
      <c r="G1" s="121"/>
      <c r="H1" s="121"/>
      <c r="I1" s="121"/>
      <c r="J1" s="121"/>
      <c r="K1" s="123"/>
      <c r="L1" s="123" t="s">
        <v>282</v>
      </c>
      <c r="M1" s="123"/>
      <c r="N1" s="123"/>
      <c r="O1" s="123"/>
      <c r="P1" s="123"/>
      <c r="Q1" s="123"/>
      <c r="R1" s="123"/>
      <c r="S1" s="123"/>
      <c r="T1" s="123"/>
      <c r="U1" s="123"/>
      <c r="V1" s="123"/>
      <c r="W1" s="123" t="s">
        <v>556</v>
      </c>
      <c r="X1" s="123"/>
      <c r="Y1" s="123"/>
      <c r="Z1" s="123"/>
      <c r="AA1" s="123"/>
      <c r="AB1" s="134" t="s">
        <v>557</v>
      </c>
      <c r="AC1" s="134"/>
      <c r="AD1" s="123"/>
      <c r="AE1" s="123"/>
      <c r="AF1" s="123" t="s">
        <v>558</v>
      </c>
      <c r="AG1" s="123"/>
      <c r="AH1" s="123"/>
      <c r="AI1" s="123"/>
      <c r="AJ1" s="123"/>
      <c r="AK1" s="123"/>
      <c r="AL1" s="123"/>
      <c r="AM1" s="123"/>
      <c r="AN1" s="123"/>
      <c r="AO1" s="123" t="s">
        <v>559</v>
      </c>
      <c r="AP1" s="123"/>
      <c r="AQ1" s="123"/>
      <c r="AR1" s="123"/>
      <c r="AS1" s="123"/>
      <c r="AT1" s="123"/>
      <c r="AU1" s="123"/>
      <c r="AZ1" s="121" t="s">
        <v>555</v>
      </c>
      <c r="BA1" s="121"/>
      <c r="BB1" s="121"/>
      <c r="BC1" s="121"/>
      <c r="BD1" s="121"/>
      <c r="BE1" s="121"/>
      <c r="BF1" s="121"/>
      <c r="BG1" s="121"/>
      <c r="BH1" s="121"/>
      <c r="BI1" s="121"/>
      <c r="BJ1" s="123"/>
      <c r="BK1" s="123"/>
      <c r="BL1" s="123"/>
      <c r="BM1" s="123"/>
      <c r="BN1" s="123"/>
      <c r="BO1" s="123"/>
      <c r="BP1" s="123"/>
      <c r="BQ1" s="123"/>
      <c r="BR1" s="123"/>
    </row>
    <row r="2" ht="30" customHeight="1" spans="1:70">
      <c r="A2" s="121" t="s">
        <v>523</v>
      </c>
      <c r="B2" s="121" t="s">
        <v>526</v>
      </c>
      <c r="C2" s="121" t="s">
        <v>525</v>
      </c>
      <c r="D2" s="121"/>
      <c r="E2" s="121"/>
      <c r="F2" s="121"/>
      <c r="G2" s="121"/>
      <c r="H2" s="121"/>
      <c r="I2" s="121"/>
      <c r="J2" s="121"/>
      <c r="K2" s="123"/>
      <c r="L2" s="123"/>
      <c r="M2" s="123"/>
      <c r="N2" s="123"/>
      <c r="O2" s="123"/>
      <c r="P2" s="123"/>
      <c r="Q2" s="123"/>
      <c r="R2" s="123"/>
      <c r="S2" s="123"/>
      <c r="T2" s="123"/>
      <c r="U2" s="123"/>
      <c r="V2" s="132" t="s">
        <v>560</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Z2" s="121" t="s">
        <v>523</v>
      </c>
      <c r="BA2" s="121" t="s">
        <v>561</v>
      </c>
      <c r="BB2" s="121" t="s">
        <v>525</v>
      </c>
      <c r="BC2" s="121"/>
      <c r="BD2" s="121"/>
      <c r="BE2" s="121"/>
      <c r="BF2" s="121"/>
      <c r="BG2" s="121"/>
      <c r="BH2" s="121"/>
      <c r="BI2" s="121"/>
      <c r="BJ2" s="123"/>
      <c r="BK2" s="123"/>
      <c r="BL2" s="123"/>
      <c r="BM2" s="123"/>
      <c r="BN2" s="123"/>
      <c r="BO2" s="123"/>
      <c r="BP2" s="123"/>
      <c r="BQ2" s="123"/>
      <c r="BR2" s="123"/>
    </row>
    <row r="3" ht="30" spans="1:70">
      <c r="A3" s="121"/>
      <c r="B3" s="121"/>
      <c r="C3" s="122" t="s">
        <v>527</v>
      </c>
      <c r="D3" s="123" t="s">
        <v>333</v>
      </c>
      <c r="E3" s="123" t="s">
        <v>334</v>
      </c>
      <c r="F3" s="124" t="s">
        <v>335</v>
      </c>
      <c r="G3" s="123" t="s">
        <v>336</v>
      </c>
      <c r="H3" s="123" t="s">
        <v>241</v>
      </c>
      <c r="I3" s="123" t="s">
        <v>528</v>
      </c>
      <c r="J3" s="123" t="s">
        <v>529</v>
      </c>
      <c r="K3" s="123"/>
      <c r="L3" s="129" t="s">
        <v>527</v>
      </c>
      <c r="M3" s="123" t="s">
        <v>333</v>
      </c>
      <c r="N3" s="123" t="s">
        <v>334</v>
      </c>
      <c r="O3" s="123" t="s">
        <v>335</v>
      </c>
      <c r="P3" s="123" t="s">
        <v>336</v>
      </c>
      <c r="Q3" s="123" t="s">
        <v>241</v>
      </c>
      <c r="R3" s="123" t="s">
        <v>528</v>
      </c>
      <c r="S3" s="123" t="s">
        <v>529</v>
      </c>
      <c r="T3" s="123"/>
      <c r="U3" s="123"/>
      <c r="V3" s="132" t="s">
        <v>562</v>
      </c>
      <c r="W3" s="123" t="s">
        <v>333</v>
      </c>
      <c r="X3" s="123" t="s">
        <v>334</v>
      </c>
      <c r="Y3" s="124" t="s">
        <v>335</v>
      </c>
      <c r="Z3" s="123" t="s">
        <v>336</v>
      </c>
      <c r="AA3" s="123" t="s">
        <v>241</v>
      </c>
      <c r="AB3" s="135" t="s">
        <v>528</v>
      </c>
      <c r="AC3" s="135" t="s">
        <v>529</v>
      </c>
      <c r="AD3" s="123"/>
      <c r="AE3" s="123"/>
      <c r="AF3" s="123" t="s">
        <v>333</v>
      </c>
      <c r="AG3" s="123" t="s">
        <v>334</v>
      </c>
      <c r="AH3" s="124" t="s">
        <v>335</v>
      </c>
      <c r="AI3" s="123" t="s">
        <v>336</v>
      </c>
      <c r="AJ3" s="123" t="s">
        <v>241</v>
      </c>
      <c r="AK3" s="135" t="s">
        <v>528</v>
      </c>
      <c r="AL3" s="135" t="s">
        <v>529</v>
      </c>
      <c r="AM3" s="123"/>
      <c r="AN3" s="123"/>
      <c r="AO3" s="123" t="s">
        <v>333</v>
      </c>
      <c r="AP3" s="123" t="s">
        <v>334</v>
      </c>
      <c r="AQ3" s="124" t="s">
        <v>335</v>
      </c>
      <c r="AR3" s="123" t="s">
        <v>336</v>
      </c>
      <c r="AS3" s="123" t="s">
        <v>241</v>
      </c>
      <c r="AT3" s="135" t="s">
        <v>528</v>
      </c>
      <c r="AU3" s="135" t="s">
        <v>529</v>
      </c>
      <c r="AZ3" s="121"/>
      <c r="BA3" s="121"/>
      <c r="BB3" s="122" t="s">
        <v>527</v>
      </c>
      <c r="BC3" s="123" t="s">
        <v>333</v>
      </c>
      <c r="BD3" s="123" t="s">
        <v>334</v>
      </c>
      <c r="BE3" s="124" t="s">
        <v>335</v>
      </c>
      <c r="BF3" s="123" t="s">
        <v>336</v>
      </c>
      <c r="BG3" s="123" t="s">
        <v>241</v>
      </c>
      <c r="BH3" s="123" t="s">
        <v>528</v>
      </c>
      <c r="BI3" s="123" t="s">
        <v>529</v>
      </c>
      <c r="BJ3" s="123"/>
      <c r="BK3" s="129"/>
      <c r="BL3" s="123"/>
      <c r="BM3" s="123"/>
      <c r="BN3" s="123"/>
      <c r="BO3" s="123"/>
      <c r="BP3" s="123"/>
      <c r="BQ3" s="123"/>
      <c r="BR3" s="123"/>
    </row>
    <row r="4" ht="15.5" customHeight="1" spans="1:70">
      <c r="A4" s="121" t="s">
        <v>530</v>
      </c>
      <c r="B4" s="125" t="s">
        <v>531</v>
      </c>
      <c r="C4" s="126">
        <f>BB4/1000</f>
        <v>0.8374</v>
      </c>
      <c r="D4" s="126">
        <f t="shared" ref="D4:J4" si="0">BC4/1000</f>
        <v>0.8081</v>
      </c>
      <c r="E4" s="126">
        <f t="shared" si="0"/>
        <v>0.7705</v>
      </c>
      <c r="F4" s="126">
        <f t="shared" si="0"/>
        <v>0.76</v>
      </c>
      <c r="G4" s="126">
        <f t="shared" si="0"/>
        <v>0.7551</v>
      </c>
      <c r="H4" s="126">
        <f t="shared" si="0"/>
        <v>0.796</v>
      </c>
      <c r="I4" s="126">
        <f t="shared" si="0"/>
        <v>0.76</v>
      </c>
      <c r="J4" s="126">
        <f t="shared" si="0"/>
        <v>0.76</v>
      </c>
      <c r="K4" s="123"/>
      <c r="L4" s="129"/>
      <c r="M4" s="130">
        <v>5.937</v>
      </c>
      <c r="N4" s="130">
        <v>5.845</v>
      </c>
      <c r="O4" s="130">
        <v>5.575</v>
      </c>
      <c r="P4" s="130">
        <v>5.276</v>
      </c>
      <c r="Q4" s="130">
        <v>5.363</v>
      </c>
      <c r="R4" s="130">
        <v>6.645</v>
      </c>
      <c r="S4" s="130">
        <v>5.654</v>
      </c>
      <c r="T4" s="130"/>
      <c r="U4" s="121" t="s">
        <v>530</v>
      </c>
      <c r="V4" s="125" t="s">
        <v>531</v>
      </c>
      <c r="W4" s="133">
        <f t="shared" ref="W4:AC4" si="1">D4/M4</f>
        <v>0.136112514738083</v>
      </c>
      <c r="X4" s="133">
        <f t="shared" si="1"/>
        <v>0.131822070145423</v>
      </c>
      <c r="Y4" s="133">
        <f t="shared" si="1"/>
        <v>0.136322869955157</v>
      </c>
      <c r="Z4" s="133">
        <f t="shared" si="1"/>
        <v>0.143119787717968</v>
      </c>
      <c r="AA4" s="133">
        <f t="shared" si="1"/>
        <v>0.148424389334328</v>
      </c>
      <c r="AB4" s="136">
        <f t="shared" si="1"/>
        <v>0.114371708051166</v>
      </c>
      <c r="AC4" s="136">
        <f t="shared" si="1"/>
        <v>0.134418111071808</v>
      </c>
      <c r="AD4" s="123"/>
      <c r="AE4" s="123"/>
      <c r="AF4" s="133">
        <f>W4</f>
        <v>0.136112514738083</v>
      </c>
      <c r="AG4" s="133">
        <f>X4</f>
        <v>0.131822070145423</v>
      </c>
      <c r="AH4" s="133">
        <f>Y4</f>
        <v>0.136322869955157</v>
      </c>
      <c r="AI4" s="133">
        <f>Z4</f>
        <v>0.143119787717968</v>
      </c>
      <c r="AJ4" s="133">
        <f>AA4</f>
        <v>0.148424389334328</v>
      </c>
      <c r="AK4" s="137">
        <f>AB4*1.15</f>
        <v>0.131527464258841</v>
      </c>
      <c r="AL4" s="137">
        <f>AC4*1.15</f>
        <v>0.154580827732579</v>
      </c>
      <c r="AM4" s="123"/>
      <c r="AN4" s="123"/>
      <c r="AO4" s="133">
        <f>W4</f>
        <v>0.136112514738083</v>
      </c>
      <c r="AP4" s="133">
        <f>X4</f>
        <v>0.131822070145423</v>
      </c>
      <c r="AQ4" s="133">
        <f>Y4</f>
        <v>0.136322869955157</v>
      </c>
      <c r="AR4" s="133">
        <f>Z4</f>
        <v>0.143119787717968</v>
      </c>
      <c r="AS4" s="133">
        <f>AA4</f>
        <v>0.148424389334328</v>
      </c>
      <c r="AT4" s="137">
        <f>AB4*0.85</f>
        <v>0.0972159518434914</v>
      </c>
      <c r="AU4" s="137">
        <f>AC4*0.85</f>
        <v>0.114255394411036</v>
      </c>
      <c r="AZ4" s="121" t="s">
        <v>530</v>
      </c>
      <c r="BA4" s="125" t="s">
        <v>531</v>
      </c>
      <c r="BB4" s="126">
        <v>837.4</v>
      </c>
      <c r="BC4" s="133">
        <v>808.1</v>
      </c>
      <c r="BD4" s="133">
        <v>770.5</v>
      </c>
      <c r="BE4" s="133">
        <v>760</v>
      </c>
      <c r="BF4" s="133">
        <v>755.1</v>
      </c>
      <c r="BG4" s="133">
        <v>796</v>
      </c>
      <c r="BH4" s="133">
        <v>760</v>
      </c>
      <c r="BI4" s="133">
        <v>760</v>
      </c>
      <c r="BJ4" s="123"/>
      <c r="BK4" s="129"/>
      <c r="BL4" s="130"/>
      <c r="BM4" s="130"/>
      <c r="BN4" s="130"/>
      <c r="BO4" s="130"/>
      <c r="BP4" s="130"/>
      <c r="BQ4" s="130"/>
      <c r="BR4" s="130"/>
    </row>
    <row r="5" ht="15.5" spans="1:70">
      <c r="A5" s="121"/>
      <c r="B5" s="125" t="s">
        <v>533</v>
      </c>
      <c r="C5" s="126">
        <f t="shared" ref="C5:C18" si="2">BB5/1000</f>
        <v>0.7701</v>
      </c>
      <c r="D5" s="126">
        <f t="shared" ref="D5:J5" si="3">BC5/1000</f>
        <v>0.7457</v>
      </c>
      <c r="E5" s="126">
        <f t="shared" si="3"/>
        <v>0.7115</v>
      </c>
      <c r="F5" s="126">
        <f t="shared" si="3"/>
        <v>0.7021</v>
      </c>
      <c r="G5" s="126">
        <f t="shared" si="3"/>
        <v>0.6948</v>
      </c>
      <c r="H5" s="126">
        <f t="shared" si="3"/>
        <v>0.7338</v>
      </c>
      <c r="I5" s="126">
        <f t="shared" si="3"/>
        <v>0.7021</v>
      </c>
      <c r="J5" s="126">
        <f t="shared" si="3"/>
        <v>0.7021</v>
      </c>
      <c r="K5" s="123"/>
      <c r="L5" s="123"/>
      <c r="M5" s="131">
        <v>5.937</v>
      </c>
      <c r="N5" s="131">
        <v>5.845</v>
      </c>
      <c r="O5" s="131">
        <v>5.575</v>
      </c>
      <c r="P5" s="131">
        <v>5.276</v>
      </c>
      <c r="Q5" s="131">
        <v>5.363</v>
      </c>
      <c r="R5" s="131">
        <v>6.645</v>
      </c>
      <c r="S5" s="131">
        <v>5.654</v>
      </c>
      <c r="T5" s="131"/>
      <c r="U5" s="121"/>
      <c r="V5" s="125" t="s">
        <v>533</v>
      </c>
      <c r="W5" s="133">
        <f t="shared" ref="W5:W18" si="4">D5/M5</f>
        <v>0.125602155971029</v>
      </c>
      <c r="X5" s="133">
        <f t="shared" ref="X5:X18" si="5">E5/N5</f>
        <v>0.121727972626176</v>
      </c>
      <c r="Y5" s="133">
        <f t="shared" ref="Y5:Y18" si="6">F5/O5</f>
        <v>0.125937219730942</v>
      </c>
      <c r="Z5" s="133">
        <f t="shared" ref="Z5:Z18" si="7">G5/P5</f>
        <v>0.131690674753601</v>
      </c>
      <c r="AA5" s="133">
        <f t="shared" ref="AA5:AA18" si="8">H5/Q5</f>
        <v>0.136826403132575</v>
      </c>
      <c r="AB5" s="136">
        <f t="shared" ref="AB5:AB18" si="9">I5/R5</f>
        <v>0.105658389766742</v>
      </c>
      <c r="AC5" s="136">
        <f t="shared" ref="AC5:AC18" si="10">J5/S5</f>
        <v>0.124177573399363</v>
      </c>
      <c r="AD5" s="123"/>
      <c r="AE5" s="123"/>
      <c r="AF5" s="133">
        <f t="shared" ref="AF5:AF18" si="11">W5</f>
        <v>0.125602155971029</v>
      </c>
      <c r="AG5" s="133">
        <f t="shared" ref="AG5:AG18" si="12">X5</f>
        <v>0.121727972626176</v>
      </c>
      <c r="AH5" s="133">
        <f t="shared" ref="AH5:AH18" si="13">Y5</f>
        <v>0.125937219730942</v>
      </c>
      <c r="AI5" s="133">
        <f t="shared" ref="AI5:AI18" si="14">Z5</f>
        <v>0.131690674753601</v>
      </c>
      <c r="AJ5" s="133">
        <f t="shared" ref="AJ5:AJ18" si="15">AA5</f>
        <v>0.136826403132575</v>
      </c>
      <c r="AK5" s="137">
        <f t="shared" ref="AK5:AK18" si="16">AB5*1.15</f>
        <v>0.121507148231753</v>
      </c>
      <c r="AL5" s="137">
        <f t="shared" ref="AL5:AL18" si="17">AC5*1.15</f>
        <v>0.142804209409268</v>
      </c>
      <c r="AM5" s="123"/>
      <c r="AN5" s="123"/>
      <c r="AO5" s="133">
        <f t="shared" ref="AO5:AO18" si="18">W5</f>
        <v>0.125602155971029</v>
      </c>
      <c r="AP5" s="133">
        <f t="shared" ref="AP5:AP18" si="19">X5</f>
        <v>0.121727972626176</v>
      </c>
      <c r="AQ5" s="133">
        <f t="shared" ref="AQ5:AQ18" si="20">Y5</f>
        <v>0.125937219730942</v>
      </c>
      <c r="AR5" s="133">
        <f t="shared" ref="AR5:AR18" si="21">Z5</f>
        <v>0.131690674753601</v>
      </c>
      <c r="AS5" s="133">
        <f t="shared" ref="AS5:AS18" si="22">AA5</f>
        <v>0.136826403132575</v>
      </c>
      <c r="AT5" s="137">
        <f t="shared" ref="AT5:AT18" si="23">AB5*0.85</f>
        <v>0.0898096313017306</v>
      </c>
      <c r="AU5" s="137">
        <f t="shared" ref="AU5:AU18" si="24">AC5*0.85</f>
        <v>0.105550937389459</v>
      </c>
      <c r="AZ5" s="121"/>
      <c r="BA5" s="125" t="s">
        <v>533</v>
      </c>
      <c r="BB5" s="126">
        <v>770.1</v>
      </c>
      <c r="BC5" s="133">
        <v>745.7</v>
      </c>
      <c r="BD5" s="133">
        <v>711.5</v>
      </c>
      <c r="BE5" s="133">
        <v>702.1</v>
      </c>
      <c r="BF5" s="133">
        <v>694.8</v>
      </c>
      <c r="BG5" s="133">
        <v>733.8</v>
      </c>
      <c r="BH5" s="133">
        <v>702.1</v>
      </c>
      <c r="BI5" s="133">
        <v>702.1</v>
      </c>
      <c r="BJ5" s="123"/>
      <c r="BK5" s="123"/>
      <c r="BL5" s="131"/>
      <c r="BM5" s="131"/>
      <c r="BN5" s="131"/>
      <c r="BO5" s="131"/>
      <c r="BP5" s="131"/>
      <c r="BQ5" s="131"/>
      <c r="BR5" s="131"/>
    </row>
    <row r="6" ht="15.5" spans="1:70">
      <c r="A6" s="121"/>
      <c r="B6" s="125" t="s">
        <v>535</v>
      </c>
      <c r="C6" s="126">
        <f t="shared" si="2"/>
        <v>0.1986</v>
      </c>
      <c r="D6" s="126">
        <f t="shared" ref="D6:J6" si="25">BC6/1000</f>
        <v>0.1717</v>
      </c>
      <c r="E6" s="126">
        <f t="shared" si="25"/>
        <v>0.1611</v>
      </c>
      <c r="F6" s="126">
        <f t="shared" si="25"/>
        <v>0.1579</v>
      </c>
      <c r="G6" s="126">
        <f t="shared" si="25"/>
        <v>0.1521</v>
      </c>
      <c r="H6" s="126">
        <f t="shared" si="25"/>
        <v>0.1588</v>
      </c>
      <c r="I6" s="126">
        <f t="shared" si="25"/>
        <v>0.1579</v>
      </c>
      <c r="J6" s="126">
        <f t="shared" si="25"/>
        <v>0.1579</v>
      </c>
      <c r="K6" s="123"/>
      <c r="L6" s="123"/>
      <c r="M6" s="131">
        <v>5.937</v>
      </c>
      <c r="N6" s="131">
        <v>5.845</v>
      </c>
      <c r="O6" s="131">
        <v>5.575</v>
      </c>
      <c r="P6" s="131">
        <v>5.276</v>
      </c>
      <c r="Q6" s="131">
        <v>5.363</v>
      </c>
      <c r="R6" s="131">
        <v>6.645</v>
      </c>
      <c r="S6" s="131">
        <v>5.654</v>
      </c>
      <c r="T6" s="131"/>
      <c r="U6" s="121"/>
      <c r="V6" s="125" t="s">
        <v>535</v>
      </c>
      <c r="W6" s="133">
        <f t="shared" si="4"/>
        <v>0.0289203301330638</v>
      </c>
      <c r="X6" s="133">
        <f t="shared" si="5"/>
        <v>0.0275620188195039</v>
      </c>
      <c r="Y6" s="133">
        <f t="shared" si="6"/>
        <v>0.028322869955157</v>
      </c>
      <c r="Z6" s="133">
        <f t="shared" si="7"/>
        <v>0.0288286580742987</v>
      </c>
      <c r="AA6" s="133">
        <f t="shared" si="8"/>
        <v>0.0296102927465971</v>
      </c>
      <c r="AB6" s="136">
        <f t="shared" si="9"/>
        <v>0.0237622272385252</v>
      </c>
      <c r="AC6" s="136">
        <f t="shared" si="10"/>
        <v>0.0279271312345242</v>
      </c>
      <c r="AD6" s="123"/>
      <c r="AE6" s="123"/>
      <c r="AF6" s="133">
        <f t="shared" si="11"/>
        <v>0.0289203301330638</v>
      </c>
      <c r="AG6" s="133">
        <f t="shared" si="12"/>
        <v>0.0275620188195039</v>
      </c>
      <c r="AH6" s="133">
        <f t="shared" si="13"/>
        <v>0.028322869955157</v>
      </c>
      <c r="AI6" s="133">
        <f t="shared" si="14"/>
        <v>0.0288286580742987</v>
      </c>
      <c r="AJ6" s="133">
        <f t="shared" si="15"/>
        <v>0.0296102927465971</v>
      </c>
      <c r="AK6" s="137">
        <f t="shared" si="16"/>
        <v>0.027326561324304</v>
      </c>
      <c r="AL6" s="137">
        <f t="shared" si="17"/>
        <v>0.0321162009197029</v>
      </c>
      <c r="AM6" s="123"/>
      <c r="AN6" s="123"/>
      <c r="AO6" s="133">
        <f t="shared" si="18"/>
        <v>0.0289203301330638</v>
      </c>
      <c r="AP6" s="133">
        <f t="shared" si="19"/>
        <v>0.0275620188195039</v>
      </c>
      <c r="AQ6" s="133">
        <f t="shared" si="20"/>
        <v>0.028322869955157</v>
      </c>
      <c r="AR6" s="133">
        <f t="shared" si="21"/>
        <v>0.0288286580742987</v>
      </c>
      <c r="AS6" s="133">
        <f t="shared" si="22"/>
        <v>0.0296102927465971</v>
      </c>
      <c r="AT6" s="137">
        <f t="shared" si="23"/>
        <v>0.0201978931527464</v>
      </c>
      <c r="AU6" s="137">
        <f t="shared" si="24"/>
        <v>0.0237380615493456</v>
      </c>
      <c r="AZ6" s="121"/>
      <c r="BA6" s="125" t="s">
        <v>535</v>
      </c>
      <c r="BB6" s="126">
        <v>198.6</v>
      </c>
      <c r="BC6" s="133">
        <v>171.7</v>
      </c>
      <c r="BD6" s="133">
        <v>161.1</v>
      </c>
      <c r="BE6" s="133">
        <v>157.9</v>
      </c>
      <c r="BF6" s="133">
        <v>152.1</v>
      </c>
      <c r="BG6" s="133">
        <v>158.8</v>
      </c>
      <c r="BH6" s="133">
        <v>157.9</v>
      </c>
      <c r="BI6" s="133">
        <v>157.9</v>
      </c>
      <c r="BJ6" s="123"/>
      <c r="BK6" s="123"/>
      <c r="BL6" s="131"/>
      <c r="BM6" s="131"/>
      <c r="BN6" s="131"/>
      <c r="BO6" s="131"/>
      <c r="BP6" s="131"/>
      <c r="BQ6" s="131"/>
      <c r="BR6" s="131"/>
    </row>
    <row r="7" ht="15.5" spans="1:70">
      <c r="A7" s="121"/>
      <c r="B7" s="125" t="s">
        <v>537</v>
      </c>
      <c r="C7" s="126">
        <f t="shared" si="2"/>
        <v>0.487</v>
      </c>
      <c r="D7" s="126">
        <f t="shared" ref="D7:J7" si="26">BC7/1000</f>
        <v>0.4967</v>
      </c>
      <c r="E7" s="126">
        <f t="shared" si="26"/>
        <v>0.4758</v>
      </c>
      <c r="F7" s="126">
        <f t="shared" si="26"/>
        <v>0.4705</v>
      </c>
      <c r="G7" s="126">
        <f t="shared" si="26"/>
        <v>0.4665</v>
      </c>
      <c r="H7" s="126">
        <f t="shared" si="26"/>
        <v>0.496</v>
      </c>
      <c r="I7" s="126">
        <f t="shared" si="26"/>
        <v>0.4705</v>
      </c>
      <c r="J7" s="126">
        <f t="shared" si="26"/>
        <v>0.4705</v>
      </c>
      <c r="K7" s="123"/>
      <c r="L7" s="123"/>
      <c r="M7" s="131">
        <v>5.937</v>
      </c>
      <c r="N7" s="131">
        <v>5.845</v>
      </c>
      <c r="O7" s="131">
        <v>5.575</v>
      </c>
      <c r="P7" s="131">
        <v>5.276</v>
      </c>
      <c r="Q7" s="131">
        <v>5.363</v>
      </c>
      <c r="R7" s="131">
        <v>6.645</v>
      </c>
      <c r="S7" s="131">
        <v>5.654</v>
      </c>
      <c r="T7" s="131"/>
      <c r="U7" s="121"/>
      <c r="V7" s="125" t="s">
        <v>537</v>
      </c>
      <c r="W7" s="133">
        <f t="shared" si="4"/>
        <v>0.0836617820448038</v>
      </c>
      <c r="X7" s="133">
        <f t="shared" si="5"/>
        <v>0.0814029084687767</v>
      </c>
      <c r="Y7" s="133">
        <f t="shared" si="6"/>
        <v>0.0843946188340807</v>
      </c>
      <c r="Z7" s="133">
        <f t="shared" si="7"/>
        <v>0.0884192570128886</v>
      </c>
      <c r="AA7" s="133">
        <f t="shared" si="8"/>
        <v>0.092485549132948</v>
      </c>
      <c r="AB7" s="136">
        <f t="shared" si="9"/>
        <v>0.0708051166290444</v>
      </c>
      <c r="AC7" s="136">
        <f t="shared" si="10"/>
        <v>0.0832154227095861</v>
      </c>
      <c r="AD7" s="123"/>
      <c r="AE7" s="123"/>
      <c r="AF7" s="133">
        <f t="shared" si="11"/>
        <v>0.0836617820448038</v>
      </c>
      <c r="AG7" s="133">
        <f t="shared" si="12"/>
        <v>0.0814029084687767</v>
      </c>
      <c r="AH7" s="133">
        <f t="shared" si="13"/>
        <v>0.0843946188340807</v>
      </c>
      <c r="AI7" s="133">
        <f t="shared" si="14"/>
        <v>0.0884192570128886</v>
      </c>
      <c r="AJ7" s="133">
        <f t="shared" si="15"/>
        <v>0.092485549132948</v>
      </c>
      <c r="AK7" s="137">
        <f t="shared" si="16"/>
        <v>0.0814258841234011</v>
      </c>
      <c r="AL7" s="137">
        <f t="shared" si="17"/>
        <v>0.0956977361160241</v>
      </c>
      <c r="AM7" s="123"/>
      <c r="AN7" s="123"/>
      <c r="AO7" s="133">
        <f t="shared" si="18"/>
        <v>0.0836617820448038</v>
      </c>
      <c r="AP7" s="133">
        <f t="shared" si="19"/>
        <v>0.0814029084687767</v>
      </c>
      <c r="AQ7" s="133">
        <f t="shared" si="20"/>
        <v>0.0843946188340807</v>
      </c>
      <c r="AR7" s="133">
        <f t="shared" si="21"/>
        <v>0.0884192570128886</v>
      </c>
      <c r="AS7" s="133">
        <f t="shared" si="22"/>
        <v>0.092485549132948</v>
      </c>
      <c r="AT7" s="137">
        <f t="shared" si="23"/>
        <v>0.0601843491346877</v>
      </c>
      <c r="AU7" s="137">
        <f t="shared" si="24"/>
        <v>0.0707331093031482</v>
      </c>
      <c r="AZ7" s="121"/>
      <c r="BA7" s="125" t="s">
        <v>537</v>
      </c>
      <c r="BB7" s="126">
        <v>487</v>
      </c>
      <c r="BC7" s="133">
        <v>496.7</v>
      </c>
      <c r="BD7" s="133">
        <v>475.8</v>
      </c>
      <c r="BE7" s="133">
        <v>470.5</v>
      </c>
      <c r="BF7" s="133">
        <v>466.5</v>
      </c>
      <c r="BG7" s="133">
        <v>496</v>
      </c>
      <c r="BH7" s="133">
        <v>470.5</v>
      </c>
      <c r="BI7" s="133">
        <v>470.5</v>
      </c>
      <c r="BJ7" s="123"/>
      <c r="BK7" s="123"/>
      <c r="BL7" s="131"/>
      <c r="BM7" s="131"/>
      <c r="BN7" s="131"/>
      <c r="BO7" s="131"/>
      <c r="BP7" s="131"/>
      <c r="BQ7" s="131"/>
      <c r="BR7" s="131"/>
    </row>
    <row r="8" ht="15.5" spans="1:70">
      <c r="A8" s="121"/>
      <c r="B8" s="125" t="s">
        <v>538</v>
      </c>
      <c r="C8" s="126">
        <f t="shared" si="2"/>
        <v>0.0845</v>
      </c>
      <c r="D8" s="126">
        <f t="shared" ref="D8:J8" si="27">BC8/1000</f>
        <v>0.0773</v>
      </c>
      <c r="E8" s="126">
        <f t="shared" si="27"/>
        <v>0.0745</v>
      </c>
      <c r="F8" s="126">
        <f t="shared" si="27"/>
        <v>0.0736</v>
      </c>
      <c r="G8" s="126">
        <f t="shared" si="27"/>
        <v>0.0761</v>
      </c>
      <c r="H8" s="126">
        <f t="shared" si="27"/>
        <v>0.0789</v>
      </c>
      <c r="I8" s="126">
        <f t="shared" si="27"/>
        <v>0.0736</v>
      </c>
      <c r="J8" s="126">
        <f t="shared" si="27"/>
        <v>0.0736</v>
      </c>
      <c r="K8" s="123"/>
      <c r="L8" s="123"/>
      <c r="M8" s="131">
        <v>5.937</v>
      </c>
      <c r="N8" s="131">
        <v>5.845</v>
      </c>
      <c r="O8" s="131">
        <v>5.575</v>
      </c>
      <c r="P8" s="131">
        <v>5.276</v>
      </c>
      <c r="Q8" s="131">
        <v>5.363</v>
      </c>
      <c r="R8" s="131">
        <v>6.645</v>
      </c>
      <c r="S8" s="131">
        <v>5.654</v>
      </c>
      <c r="T8" s="131"/>
      <c r="U8" s="121"/>
      <c r="V8" s="125" t="s">
        <v>538</v>
      </c>
      <c r="W8" s="133">
        <f t="shared" si="4"/>
        <v>0.0130200437931615</v>
      </c>
      <c r="X8" s="133">
        <f t="shared" si="5"/>
        <v>0.0127459366980325</v>
      </c>
      <c r="Y8" s="133">
        <f t="shared" si="6"/>
        <v>0.0132017937219731</v>
      </c>
      <c r="Z8" s="133">
        <f t="shared" si="7"/>
        <v>0.0144238059135709</v>
      </c>
      <c r="AA8" s="133">
        <f t="shared" si="8"/>
        <v>0.0147119149729629</v>
      </c>
      <c r="AB8" s="136">
        <f t="shared" si="9"/>
        <v>0.0110759969902182</v>
      </c>
      <c r="AC8" s="136">
        <f t="shared" si="10"/>
        <v>0.0130173328616908</v>
      </c>
      <c r="AD8" s="123"/>
      <c r="AE8" s="123"/>
      <c r="AF8" s="133">
        <f t="shared" si="11"/>
        <v>0.0130200437931615</v>
      </c>
      <c r="AG8" s="133">
        <f t="shared" si="12"/>
        <v>0.0127459366980325</v>
      </c>
      <c r="AH8" s="133">
        <f t="shared" si="13"/>
        <v>0.0132017937219731</v>
      </c>
      <c r="AI8" s="133">
        <f t="shared" si="14"/>
        <v>0.0144238059135709</v>
      </c>
      <c r="AJ8" s="133">
        <f t="shared" si="15"/>
        <v>0.0147119149729629</v>
      </c>
      <c r="AK8" s="137">
        <f t="shared" si="16"/>
        <v>0.0127373965387509</v>
      </c>
      <c r="AL8" s="137">
        <f t="shared" si="17"/>
        <v>0.0149699327909445</v>
      </c>
      <c r="AM8" s="123"/>
      <c r="AN8" s="123"/>
      <c r="AO8" s="133">
        <f t="shared" si="18"/>
        <v>0.0130200437931615</v>
      </c>
      <c r="AP8" s="133">
        <f t="shared" si="19"/>
        <v>0.0127459366980325</v>
      </c>
      <c r="AQ8" s="133">
        <f t="shared" si="20"/>
        <v>0.0132017937219731</v>
      </c>
      <c r="AR8" s="133">
        <f t="shared" si="21"/>
        <v>0.0144238059135709</v>
      </c>
      <c r="AS8" s="133">
        <f t="shared" si="22"/>
        <v>0.0147119149729629</v>
      </c>
      <c r="AT8" s="137">
        <f t="shared" si="23"/>
        <v>0.00941459744168548</v>
      </c>
      <c r="AU8" s="137">
        <f t="shared" si="24"/>
        <v>0.0110647329324372</v>
      </c>
      <c r="AZ8" s="121"/>
      <c r="BA8" s="125" t="s">
        <v>538</v>
      </c>
      <c r="BB8" s="126">
        <v>84.5</v>
      </c>
      <c r="BC8" s="133">
        <v>77.3</v>
      </c>
      <c r="BD8" s="133">
        <v>74.5</v>
      </c>
      <c r="BE8" s="133">
        <v>73.6</v>
      </c>
      <c r="BF8" s="133">
        <v>76.1</v>
      </c>
      <c r="BG8" s="133">
        <v>78.9</v>
      </c>
      <c r="BH8" s="133">
        <v>73.6</v>
      </c>
      <c r="BI8" s="133">
        <v>73.6</v>
      </c>
      <c r="BJ8" s="123"/>
      <c r="BK8" s="123"/>
      <c r="BL8" s="131"/>
      <c r="BM8" s="131"/>
      <c r="BN8" s="131"/>
      <c r="BO8" s="131"/>
      <c r="BP8" s="131"/>
      <c r="BQ8" s="131"/>
      <c r="BR8" s="131"/>
    </row>
    <row r="9" ht="15.5" customHeight="1" spans="1:70">
      <c r="A9" s="121" t="s">
        <v>391</v>
      </c>
      <c r="B9" s="125" t="s">
        <v>531</v>
      </c>
      <c r="C9" s="126">
        <f t="shared" si="2"/>
        <v>0.855</v>
      </c>
      <c r="D9" s="126">
        <f t="shared" ref="D9:J9" si="28">BC9/1000</f>
        <v>0.8241</v>
      </c>
      <c r="E9" s="126">
        <f t="shared" si="28"/>
        <v>0.7857</v>
      </c>
      <c r="F9" s="126">
        <f t="shared" si="28"/>
        <v>0.775</v>
      </c>
      <c r="G9" s="126">
        <f t="shared" si="28"/>
        <v>0.7702</v>
      </c>
      <c r="H9" s="126">
        <f t="shared" si="28"/>
        <v>0.8116</v>
      </c>
      <c r="I9" s="126">
        <f t="shared" si="28"/>
        <v>0.775</v>
      </c>
      <c r="J9" s="126">
        <f t="shared" si="28"/>
        <v>0.775</v>
      </c>
      <c r="K9" s="123"/>
      <c r="L9" s="123"/>
      <c r="M9" s="131">
        <v>5.937</v>
      </c>
      <c r="N9" s="131">
        <v>5.845</v>
      </c>
      <c r="O9" s="131">
        <v>5.575</v>
      </c>
      <c r="P9" s="131">
        <v>5.276</v>
      </c>
      <c r="Q9" s="131">
        <v>5.363</v>
      </c>
      <c r="R9" s="131">
        <v>6.645</v>
      </c>
      <c r="S9" s="131">
        <v>5.654</v>
      </c>
      <c r="T9" s="131"/>
      <c r="U9" s="121" t="s">
        <v>391</v>
      </c>
      <c r="V9" s="125" t="s">
        <v>531</v>
      </c>
      <c r="W9" s="133">
        <f t="shared" si="4"/>
        <v>0.138807478524507</v>
      </c>
      <c r="X9" s="133">
        <f t="shared" si="5"/>
        <v>0.134422583404619</v>
      </c>
      <c r="Y9" s="133">
        <f t="shared" si="6"/>
        <v>0.139013452914798</v>
      </c>
      <c r="Z9" s="133">
        <f t="shared" si="7"/>
        <v>0.145981804397271</v>
      </c>
      <c r="AA9" s="133">
        <f t="shared" si="8"/>
        <v>0.1513332090248</v>
      </c>
      <c r="AB9" s="136">
        <f t="shared" si="9"/>
        <v>0.116629044394281</v>
      </c>
      <c r="AC9" s="136">
        <f t="shared" si="10"/>
        <v>0.13707110010612</v>
      </c>
      <c r="AD9" s="123"/>
      <c r="AE9" s="123"/>
      <c r="AF9" s="133">
        <f t="shared" si="11"/>
        <v>0.138807478524507</v>
      </c>
      <c r="AG9" s="133">
        <f t="shared" si="12"/>
        <v>0.134422583404619</v>
      </c>
      <c r="AH9" s="133">
        <f t="shared" si="13"/>
        <v>0.139013452914798</v>
      </c>
      <c r="AI9" s="133">
        <f t="shared" si="14"/>
        <v>0.145981804397271</v>
      </c>
      <c r="AJ9" s="133">
        <f t="shared" si="15"/>
        <v>0.1513332090248</v>
      </c>
      <c r="AK9" s="137">
        <f t="shared" si="16"/>
        <v>0.134123401053424</v>
      </c>
      <c r="AL9" s="137">
        <f t="shared" si="17"/>
        <v>0.157631765122037</v>
      </c>
      <c r="AM9" s="123"/>
      <c r="AN9" s="123"/>
      <c r="AO9" s="133">
        <f t="shared" si="18"/>
        <v>0.138807478524507</v>
      </c>
      <c r="AP9" s="133">
        <f t="shared" si="19"/>
        <v>0.134422583404619</v>
      </c>
      <c r="AQ9" s="133">
        <f t="shared" si="20"/>
        <v>0.139013452914798</v>
      </c>
      <c r="AR9" s="133">
        <f t="shared" si="21"/>
        <v>0.145981804397271</v>
      </c>
      <c r="AS9" s="133">
        <f t="shared" si="22"/>
        <v>0.1513332090248</v>
      </c>
      <c r="AT9" s="137">
        <f t="shared" si="23"/>
        <v>0.0991346877351392</v>
      </c>
      <c r="AU9" s="137">
        <f t="shared" si="24"/>
        <v>0.116510435090202</v>
      </c>
      <c r="AZ9" s="121" t="s">
        <v>391</v>
      </c>
      <c r="BA9" s="125" t="s">
        <v>531</v>
      </c>
      <c r="BB9" s="126">
        <v>855</v>
      </c>
      <c r="BC9" s="133">
        <v>824.1</v>
      </c>
      <c r="BD9" s="133">
        <v>785.7</v>
      </c>
      <c r="BE9" s="133">
        <v>775</v>
      </c>
      <c r="BF9" s="133">
        <v>770.2</v>
      </c>
      <c r="BG9" s="133">
        <v>811.6</v>
      </c>
      <c r="BH9" s="133">
        <v>775</v>
      </c>
      <c r="BI9" s="133">
        <v>775</v>
      </c>
      <c r="BJ9" s="123"/>
      <c r="BK9" s="123"/>
      <c r="BL9" s="131"/>
      <c r="BM9" s="131"/>
      <c r="BN9" s="131"/>
      <c r="BO9" s="131"/>
      <c r="BP9" s="131"/>
      <c r="BQ9" s="131"/>
      <c r="BR9" s="131"/>
    </row>
    <row r="10" ht="15.5" spans="1:70">
      <c r="A10" s="121"/>
      <c r="B10" s="125" t="s">
        <v>533</v>
      </c>
      <c r="C10" s="126">
        <f t="shared" si="2"/>
        <v>0.7888</v>
      </c>
      <c r="D10" s="126">
        <f t="shared" ref="D10:J10" si="29">BC10/1000</f>
        <v>0.7626</v>
      </c>
      <c r="E10" s="126">
        <f t="shared" si="29"/>
        <v>0.7275</v>
      </c>
      <c r="F10" s="126">
        <f t="shared" si="29"/>
        <v>0.7179</v>
      </c>
      <c r="G10" s="126">
        <f t="shared" si="29"/>
        <v>0.7107</v>
      </c>
      <c r="H10" s="126">
        <f t="shared" si="29"/>
        <v>0.7503</v>
      </c>
      <c r="I10" s="126">
        <f t="shared" si="29"/>
        <v>0.7179</v>
      </c>
      <c r="J10" s="126">
        <f t="shared" si="29"/>
        <v>0.7179</v>
      </c>
      <c r="K10" s="123"/>
      <c r="L10" s="123"/>
      <c r="M10" s="131">
        <v>5.937</v>
      </c>
      <c r="N10" s="131">
        <v>5.845</v>
      </c>
      <c r="O10" s="131">
        <v>5.575</v>
      </c>
      <c r="P10" s="131">
        <v>5.276</v>
      </c>
      <c r="Q10" s="131">
        <v>5.363</v>
      </c>
      <c r="R10" s="131">
        <v>6.645</v>
      </c>
      <c r="S10" s="131">
        <v>5.654</v>
      </c>
      <c r="T10" s="131"/>
      <c r="U10" s="121"/>
      <c r="V10" s="125" t="s">
        <v>533</v>
      </c>
      <c r="W10" s="133">
        <f t="shared" si="4"/>
        <v>0.12844871147044</v>
      </c>
      <c r="X10" s="133">
        <f t="shared" si="5"/>
        <v>0.124465355004277</v>
      </c>
      <c r="Y10" s="133">
        <f t="shared" si="6"/>
        <v>0.12877130044843</v>
      </c>
      <c r="Z10" s="133">
        <f t="shared" si="7"/>
        <v>0.134704321455648</v>
      </c>
      <c r="AA10" s="133">
        <f t="shared" si="8"/>
        <v>0.139903039343651</v>
      </c>
      <c r="AB10" s="136">
        <f t="shared" si="9"/>
        <v>0.10803611738149</v>
      </c>
      <c r="AC10" s="136">
        <f t="shared" si="10"/>
        <v>0.126972055182172</v>
      </c>
      <c r="AD10" s="123"/>
      <c r="AE10" s="123"/>
      <c r="AF10" s="133">
        <f t="shared" si="11"/>
        <v>0.12844871147044</v>
      </c>
      <c r="AG10" s="133">
        <f t="shared" si="12"/>
        <v>0.124465355004277</v>
      </c>
      <c r="AH10" s="133">
        <f t="shared" si="13"/>
        <v>0.12877130044843</v>
      </c>
      <c r="AI10" s="133">
        <f t="shared" si="14"/>
        <v>0.134704321455648</v>
      </c>
      <c r="AJ10" s="133">
        <f t="shared" si="15"/>
        <v>0.139903039343651</v>
      </c>
      <c r="AK10" s="137">
        <f t="shared" si="16"/>
        <v>0.124241534988713</v>
      </c>
      <c r="AL10" s="137">
        <f t="shared" si="17"/>
        <v>0.146017863459498</v>
      </c>
      <c r="AM10" s="123"/>
      <c r="AN10" s="123"/>
      <c r="AO10" s="133">
        <f t="shared" si="18"/>
        <v>0.12844871147044</v>
      </c>
      <c r="AP10" s="133">
        <f t="shared" si="19"/>
        <v>0.124465355004277</v>
      </c>
      <c r="AQ10" s="133">
        <f t="shared" si="20"/>
        <v>0.12877130044843</v>
      </c>
      <c r="AR10" s="133">
        <f t="shared" si="21"/>
        <v>0.134704321455648</v>
      </c>
      <c r="AS10" s="133">
        <f t="shared" si="22"/>
        <v>0.139903039343651</v>
      </c>
      <c r="AT10" s="137">
        <f t="shared" si="23"/>
        <v>0.0918306997742664</v>
      </c>
      <c r="AU10" s="137">
        <f t="shared" si="24"/>
        <v>0.107926246904846</v>
      </c>
      <c r="AZ10" s="121"/>
      <c r="BA10" s="125" t="s">
        <v>533</v>
      </c>
      <c r="BB10" s="126">
        <v>788.8</v>
      </c>
      <c r="BC10" s="133">
        <v>762.6</v>
      </c>
      <c r="BD10" s="133">
        <v>727.5</v>
      </c>
      <c r="BE10" s="133">
        <v>717.9</v>
      </c>
      <c r="BF10" s="133">
        <v>710.7</v>
      </c>
      <c r="BG10" s="133">
        <v>750.3</v>
      </c>
      <c r="BH10" s="133">
        <v>717.9</v>
      </c>
      <c r="BI10" s="133">
        <v>717.9</v>
      </c>
      <c r="BJ10" s="123"/>
      <c r="BK10" s="123"/>
      <c r="BL10" s="131"/>
      <c r="BM10" s="131"/>
      <c r="BN10" s="131"/>
      <c r="BO10" s="131"/>
      <c r="BP10" s="131"/>
      <c r="BQ10" s="131"/>
      <c r="BR10" s="131"/>
    </row>
    <row r="11" ht="15.5" spans="1:70">
      <c r="A11" s="121"/>
      <c r="B11" s="125" t="s">
        <v>535</v>
      </c>
      <c r="C11" s="126">
        <f t="shared" si="2"/>
        <v>0.2381</v>
      </c>
      <c r="D11" s="126">
        <f t="shared" ref="D11:J11" si="30">BC11/1000</f>
        <v>0.2075</v>
      </c>
      <c r="E11" s="126">
        <f t="shared" si="30"/>
        <v>0.1951</v>
      </c>
      <c r="F11" s="126">
        <f t="shared" si="30"/>
        <v>0.1916</v>
      </c>
      <c r="G11" s="126">
        <f t="shared" si="30"/>
        <v>0.186</v>
      </c>
      <c r="H11" s="126">
        <f t="shared" si="30"/>
        <v>0.1938</v>
      </c>
      <c r="I11" s="126">
        <f t="shared" si="30"/>
        <v>0.1916</v>
      </c>
      <c r="J11" s="126">
        <f t="shared" si="30"/>
        <v>0.1916</v>
      </c>
      <c r="K11" s="123"/>
      <c r="L11" s="123"/>
      <c r="M11" s="131">
        <v>5.937</v>
      </c>
      <c r="N11" s="131">
        <v>5.845</v>
      </c>
      <c r="O11" s="131">
        <v>5.575</v>
      </c>
      <c r="P11" s="131">
        <v>5.276</v>
      </c>
      <c r="Q11" s="131">
        <v>5.363</v>
      </c>
      <c r="R11" s="131">
        <v>6.645</v>
      </c>
      <c r="S11" s="131">
        <v>5.654</v>
      </c>
      <c r="T11" s="131"/>
      <c r="U11" s="121"/>
      <c r="V11" s="125" t="s">
        <v>535</v>
      </c>
      <c r="W11" s="133">
        <f t="shared" si="4"/>
        <v>0.0349503116051878</v>
      </c>
      <c r="X11" s="133">
        <f t="shared" si="5"/>
        <v>0.0333789563729684</v>
      </c>
      <c r="Y11" s="133">
        <f t="shared" si="6"/>
        <v>0.0343677130044843</v>
      </c>
      <c r="Z11" s="133">
        <f t="shared" si="7"/>
        <v>0.035253980288097</v>
      </c>
      <c r="AA11" s="133">
        <f t="shared" si="8"/>
        <v>0.0361364907700914</v>
      </c>
      <c r="AB11" s="136">
        <f t="shared" si="9"/>
        <v>0.0288337095560572</v>
      </c>
      <c r="AC11" s="136">
        <f t="shared" si="10"/>
        <v>0.0338875132649452</v>
      </c>
      <c r="AD11" s="123"/>
      <c r="AE11" s="123"/>
      <c r="AF11" s="133">
        <f t="shared" si="11"/>
        <v>0.0349503116051878</v>
      </c>
      <c r="AG11" s="133">
        <f t="shared" si="12"/>
        <v>0.0333789563729684</v>
      </c>
      <c r="AH11" s="133">
        <f t="shared" si="13"/>
        <v>0.0343677130044843</v>
      </c>
      <c r="AI11" s="133">
        <f t="shared" si="14"/>
        <v>0.035253980288097</v>
      </c>
      <c r="AJ11" s="133">
        <f t="shared" si="15"/>
        <v>0.0361364907700914</v>
      </c>
      <c r="AK11" s="137">
        <f t="shared" si="16"/>
        <v>0.0331587659894658</v>
      </c>
      <c r="AL11" s="137">
        <f t="shared" si="17"/>
        <v>0.0389706402546869</v>
      </c>
      <c r="AM11" s="123"/>
      <c r="AN11" s="123"/>
      <c r="AO11" s="133">
        <f t="shared" si="18"/>
        <v>0.0349503116051878</v>
      </c>
      <c r="AP11" s="133">
        <f t="shared" si="19"/>
        <v>0.0333789563729684</v>
      </c>
      <c r="AQ11" s="133">
        <f t="shared" si="20"/>
        <v>0.0343677130044843</v>
      </c>
      <c r="AR11" s="133">
        <f t="shared" si="21"/>
        <v>0.035253980288097</v>
      </c>
      <c r="AS11" s="133">
        <f t="shared" si="22"/>
        <v>0.0361364907700914</v>
      </c>
      <c r="AT11" s="137">
        <f t="shared" si="23"/>
        <v>0.0245086531226486</v>
      </c>
      <c r="AU11" s="137">
        <f t="shared" si="24"/>
        <v>0.0288043862752034</v>
      </c>
      <c r="AZ11" s="121"/>
      <c r="BA11" s="125" t="s">
        <v>535</v>
      </c>
      <c r="BB11" s="126">
        <v>238.1</v>
      </c>
      <c r="BC11" s="133">
        <v>207.5</v>
      </c>
      <c r="BD11" s="133">
        <v>195.1</v>
      </c>
      <c r="BE11" s="133">
        <v>191.6</v>
      </c>
      <c r="BF11" s="133">
        <v>186</v>
      </c>
      <c r="BG11" s="133">
        <v>193.8</v>
      </c>
      <c r="BH11" s="133">
        <v>191.6</v>
      </c>
      <c r="BI11" s="133">
        <v>191.6</v>
      </c>
      <c r="BJ11" s="123"/>
      <c r="BK11" s="123"/>
      <c r="BL11" s="131"/>
      <c r="BM11" s="131"/>
      <c r="BN11" s="131"/>
      <c r="BO11" s="131"/>
      <c r="BP11" s="131"/>
      <c r="BQ11" s="131"/>
      <c r="BR11" s="131"/>
    </row>
    <row r="12" ht="15.5" spans="1:70">
      <c r="A12" s="121"/>
      <c r="B12" s="125" t="s">
        <v>537</v>
      </c>
      <c r="C12" s="126">
        <f t="shared" si="2"/>
        <v>0.4629</v>
      </c>
      <c r="D12" s="126">
        <f t="shared" ref="D12:J12" si="31">BC12/1000</f>
        <v>0.4749</v>
      </c>
      <c r="E12" s="126">
        <f t="shared" si="31"/>
        <v>0.4551</v>
      </c>
      <c r="F12" s="126">
        <f t="shared" si="31"/>
        <v>0.45</v>
      </c>
      <c r="G12" s="126">
        <f t="shared" si="31"/>
        <v>0.4459</v>
      </c>
      <c r="H12" s="126">
        <f t="shared" si="31"/>
        <v>0.4747</v>
      </c>
      <c r="I12" s="126">
        <f t="shared" si="31"/>
        <v>0.45</v>
      </c>
      <c r="J12" s="126">
        <f t="shared" si="31"/>
        <v>0.45</v>
      </c>
      <c r="K12" s="123"/>
      <c r="L12" s="123"/>
      <c r="M12" s="131">
        <v>5.937</v>
      </c>
      <c r="N12" s="131">
        <v>5.845</v>
      </c>
      <c r="O12" s="131">
        <v>5.575</v>
      </c>
      <c r="P12" s="131">
        <v>5.276</v>
      </c>
      <c r="Q12" s="131">
        <v>5.363</v>
      </c>
      <c r="R12" s="131">
        <v>6.645</v>
      </c>
      <c r="S12" s="131">
        <v>5.654</v>
      </c>
      <c r="T12" s="131"/>
      <c r="U12" s="121"/>
      <c r="V12" s="125" t="s">
        <v>537</v>
      </c>
      <c r="W12" s="133">
        <f t="shared" si="4"/>
        <v>0.0799898938858009</v>
      </c>
      <c r="X12" s="133">
        <f t="shared" si="5"/>
        <v>0.0778614200171086</v>
      </c>
      <c r="Y12" s="133">
        <f t="shared" si="6"/>
        <v>0.0807174887892377</v>
      </c>
      <c r="Z12" s="133">
        <f t="shared" si="7"/>
        <v>0.0845147839272176</v>
      </c>
      <c r="AA12" s="133">
        <f t="shared" si="8"/>
        <v>0.08851389147865</v>
      </c>
      <c r="AB12" s="136">
        <f t="shared" si="9"/>
        <v>0.0677200902934537</v>
      </c>
      <c r="AC12" s="136">
        <f t="shared" si="10"/>
        <v>0.0795896710293598</v>
      </c>
      <c r="AD12" s="123"/>
      <c r="AE12" s="123"/>
      <c r="AF12" s="133">
        <f t="shared" si="11"/>
        <v>0.0799898938858009</v>
      </c>
      <c r="AG12" s="133">
        <f t="shared" si="12"/>
        <v>0.0778614200171086</v>
      </c>
      <c r="AH12" s="133">
        <f t="shared" si="13"/>
        <v>0.0807174887892377</v>
      </c>
      <c r="AI12" s="133">
        <f t="shared" si="14"/>
        <v>0.0845147839272176</v>
      </c>
      <c r="AJ12" s="133">
        <f t="shared" si="15"/>
        <v>0.08851389147865</v>
      </c>
      <c r="AK12" s="137">
        <f t="shared" si="16"/>
        <v>0.0778781038374718</v>
      </c>
      <c r="AL12" s="137">
        <f t="shared" si="17"/>
        <v>0.0915281216837637</v>
      </c>
      <c r="AM12" s="123"/>
      <c r="AN12" s="123"/>
      <c r="AO12" s="133">
        <f t="shared" si="18"/>
        <v>0.0799898938858009</v>
      </c>
      <c r="AP12" s="133">
        <f t="shared" si="19"/>
        <v>0.0778614200171086</v>
      </c>
      <c r="AQ12" s="133">
        <f t="shared" si="20"/>
        <v>0.0807174887892377</v>
      </c>
      <c r="AR12" s="133">
        <f t="shared" si="21"/>
        <v>0.0845147839272176</v>
      </c>
      <c r="AS12" s="133">
        <f t="shared" si="22"/>
        <v>0.08851389147865</v>
      </c>
      <c r="AT12" s="137">
        <f t="shared" si="23"/>
        <v>0.0575620767494357</v>
      </c>
      <c r="AU12" s="137">
        <f t="shared" si="24"/>
        <v>0.0676512203749558</v>
      </c>
      <c r="AZ12" s="121"/>
      <c r="BA12" s="125" t="s">
        <v>537</v>
      </c>
      <c r="BB12" s="126">
        <v>462.9</v>
      </c>
      <c r="BC12" s="133">
        <v>474.9</v>
      </c>
      <c r="BD12" s="133">
        <v>455.1</v>
      </c>
      <c r="BE12" s="133">
        <v>450</v>
      </c>
      <c r="BF12" s="133">
        <v>445.9</v>
      </c>
      <c r="BG12" s="133">
        <v>474.7</v>
      </c>
      <c r="BH12" s="133">
        <v>450</v>
      </c>
      <c r="BI12" s="133">
        <v>450</v>
      </c>
      <c r="BJ12" s="123"/>
      <c r="BK12" s="123"/>
      <c r="BL12" s="131"/>
      <c r="BM12" s="131"/>
      <c r="BN12" s="131"/>
      <c r="BO12" s="131"/>
      <c r="BP12" s="131"/>
      <c r="BQ12" s="131"/>
      <c r="BR12" s="131"/>
    </row>
    <row r="13" ht="15.5" spans="1:70">
      <c r="A13" s="121"/>
      <c r="B13" s="125" t="s">
        <v>538</v>
      </c>
      <c r="C13" s="126">
        <f t="shared" si="2"/>
        <v>0.0877</v>
      </c>
      <c r="D13" s="126">
        <f t="shared" ref="D13:J13" si="32">BC13/1000</f>
        <v>0.0802</v>
      </c>
      <c r="E13" s="126">
        <f t="shared" si="32"/>
        <v>0.0772</v>
      </c>
      <c r="F13" s="126">
        <f t="shared" si="32"/>
        <v>0.0763</v>
      </c>
      <c r="G13" s="126">
        <f t="shared" si="32"/>
        <v>0.0789</v>
      </c>
      <c r="H13" s="126">
        <f t="shared" si="32"/>
        <v>0.0817</v>
      </c>
      <c r="I13" s="126">
        <f t="shared" si="32"/>
        <v>0.0763</v>
      </c>
      <c r="J13" s="126">
        <f t="shared" si="32"/>
        <v>0.0763</v>
      </c>
      <c r="K13" s="123"/>
      <c r="L13" s="123"/>
      <c r="M13" s="131">
        <v>5.937</v>
      </c>
      <c r="N13" s="131">
        <v>5.845</v>
      </c>
      <c r="O13" s="131">
        <v>5.575</v>
      </c>
      <c r="P13" s="131">
        <v>5.276</v>
      </c>
      <c r="Q13" s="131">
        <v>5.363</v>
      </c>
      <c r="R13" s="131">
        <v>6.645</v>
      </c>
      <c r="S13" s="131">
        <v>5.654</v>
      </c>
      <c r="T13" s="131"/>
      <c r="U13" s="121"/>
      <c r="V13" s="125" t="s">
        <v>538</v>
      </c>
      <c r="W13" s="133">
        <f t="shared" si="4"/>
        <v>0.0135085059794509</v>
      </c>
      <c r="X13" s="133">
        <f t="shared" si="5"/>
        <v>0.013207869974337</v>
      </c>
      <c r="Y13" s="133">
        <f t="shared" si="6"/>
        <v>0.0136860986547085</v>
      </c>
      <c r="Z13" s="133">
        <f t="shared" si="7"/>
        <v>0.0149545109931767</v>
      </c>
      <c r="AA13" s="133">
        <f t="shared" si="8"/>
        <v>0.0152340108148424</v>
      </c>
      <c r="AB13" s="136">
        <f t="shared" si="9"/>
        <v>0.0114823175319789</v>
      </c>
      <c r="AC13" s="136">
        <f t="shared" si="10"/>
        <v>0.013494870887867</v>
      </c>
      <c r="AD13" s="123"/>
      <c r="AE13" s="123"/>
      <c r="AF13" s="133">
        <f t="shared" si="11"/>
        <v>0.0135085059794509</v>
      </c>
      <c r="AG13" s="133">
        <f t="shared" si="12"/>
        <v>0.013207869974337</v>
      </c>
      <c r="AH13" s="133">
        <f t="shared" si="13"/>
        <v>0.0136860986547085</v>
      </c>
      <c r="AI13" s="133">
        <f t="shared" si="14"/>
        <v>0.0149545109931767</v>
      </c>
      <c r="AJ13" s="133">
        <f t="shared" si="15"/>
        <v>0.0152340108148424</v>
      </c>
      <c r="AK13" s="137">
        <f t="shared" si="16"/>
        <v>0.0132046651617758</v>
      </c>
      <c r="AL13" s="137">
        <f t="shared" si="17"/>
        <v>0.015519101521047</v>
      </c>
      <c r="AM13" s="123"/>
      <c r="AN13" s="123"/>
      <c r="AO13" s="133">
        <f t="shared" si="18"/>
        <v>0.0135085059794509</v>
      </c>
      <c r="AP13" s="133">
        <f t="shared" si="19"/>
        <v>0.013207869974337</v>
      </c>
      <c r="AQ13" s="133">
        <f t="shared" si="20"/>
        <v>0.0136860986547085</v>
      </c>
      <c r="AR13" s="133">
        <f t="shared" si="21"/>
        <v>0.0149545109931767</v>
      </c>
      <c r="AS13" s="133">
        <f t="shared" si="22"/>
        <v>0.0152340108148424</v>
      </c>
      <c r="AT13" s="137">
        <f t="shared" si="23"/>
        <v>0.00975996990218209</v>
      </c>
      <c r="AU13" s="137">
        <f t="shared" si="24"/>
        <v>0.0114706402546869</v>
      </c>
      <c r="AZ13" s="121"/>
      <c r="BA13" s="125" t="s">
        <v>538</v>
      </c>
      <c r="BB13" s="126">
        <v>87.7</v>
      </c>
      <c r="BC13" s="133">
        <v>80.2</v>
      </c>
      <c r="BD13" s="133">
        <v>77.2</v>
      </c>
      <c r="BE13" s="133">
        <v>76.3</v>
      </c>
      <c r="BF13" s="133">
        <v>78.9</v>
      </c>
      <c r="BG13" s="133">
        <v>81.7</v>
      </c>
      <c r="BH13" s="133">
        <v>76.3</v>
      </c>
      <c r="BI13" s="133">
        <v>76.3</v>
      </c>
      <c r="BJ13" s="123"/>
      <c r="BK13" s="123"/>
      <c r="BL13" s="131"/>
      <c r="BM13" s="131"/>
      <c r="BN13" s="131"/>
      <c r="BO13" s="131"/>
      <c r="BP13" s="131"/>
      <c r="BQ13" s="131"/>
      <c r="BR13" s="131"/>
    </row>
    <row r="14" ht="15.5" customHeight="1" spans="1:70">
      <c r="A14" s="121" t="s">
        <v>401</v>
      </c>
      <c r="B14" s="125" t="s">
        <v>531</v>
      </c>
      <c r="C14" s="126">
        <f t="shared" si="2"/>
        <v>0.8705</v>
      </c>
      <c r="D14" s="126">
        <f t="shared" ref="D14:J14" si="33">BC14/1000</f>
        <v>0.8381</v>
      </c>
      <c r="E14" s="126">
        <f t="shared" si="33"/>
        <v>0.799</v>
      </c>
      <c r="F14" s="126">
        <f t="shared" si="33"/>
        <v>0.7882</v>
      </c>
      <c r="G14" s="126">
        <f t="shared" si="33"/>
        <v>0.7835</v>
      </c>
      <c r="H14" s="126">
        <f t="shared" si="33"/>
        <v>0.8253</v>
      </c>
      <c r="I14" s="126">
        <f t="shared" si="33"/>
        <v>0.7882</v>
      </c>
      <c r="J14" s="126">
        <f t="shared" si="33"/>
        <v>0.7882</v>
      </c>
      <c r="K14" s="123"/>
      <c r="L14" s="123"/>
      <c r="M14" s="131">
        <v>5.937</v>
      </c>
      <c r="N14" s="131">
        <v>5.845</v>
      </c>
      <c r="O14" s="131">
        <v>5.575</v>
      </c>
      <c r="P14" s="131">
        <v>5.276</v>
      </c>
      <c r="Q14" s="131">
        <v>5.363</v>
      </c>
      <c r="R14" s="131">
        <v>6.645</v>
      </c>
      <c r="S14" s="131">
        <v>5.654</v>
      </c>
      <c r="T14" s="131"/>
      <c r="U14" s="121" t="s">
        <v>401</v>
      </c>
      <c r="V14" s="125" t="s">
        <v>531</v>
      </c>
      <c r="W14" s="133">
        <f t="shared" si="4"/>
        <v>0.141165571837628</v>
      </c>
      <c r="X14" s="133">
        <f t="shared" si="5"/>
        <v>0.136698032506416</v>
      </c>
      <c r="Y14" s="133">
        <f t="shared" si="6"/>
        <v>0.141381165919283</v>
      </c>
      <c r="Z14" s="133">
        <f t="shared" si="7"/>
        <v>0.148502653525398</v>
      </c>
      <c r="AA14" s="133">
        <f t="shared" si="8"/>
        <v>0.153887749393996</v>
      </c>
      <c r="AB14" s="136">
        <f t="shared" si="9"/>
        <v>0.118615500376223</v>
      </c>
      <c r="AC14" s="136">
        <f t="shared" si="10"/>
        <v>0.139405730456314</v>
      </c>
      <c r="AD14" s="123"/>
      <c r="AE14" s="123"/>
      <c r="AF14" s="133">
        <f t="shared" si="11"/>
        <v>0.141165571837628</v>
      </c>
      <c r="AG14" s="133">
        <f t="shared" si="12"/>
        <v>0.136698032506416</v>
      </c>
      <c r="AH14" s="133">
        <f t="shared" si="13"/>
        <v>0.141381165919283</v>
      </c>
      <c r="AI14" s="133">
        <f t="shared" si="14"/>
        <v>0.148502653525398</v>
      </c>
      <c r="AJ14" s="133">
        <f t="shared" si="15"/>
        <v>0.153887749393996</v>
      </c>
      <c r="AK14" s="137">
        <f t="shared" si="16"/>
        <v>0.136407825432656</v>
      </c>
      <c r="AL14" s="137">
        <f t="shared" si="17"/>
        <v>0.160316590024761</v>
      </c>
      <c r="AM14" s="123"/>
      <c r="AN14" s="123"/>
      <c r="AO14" s="133">
        <f t="shared" si="18"/>
        <v>0.141165571837628</v>
      </c>
      <c r="AP14" s="133">
        <f t="shared" si="19"/>
        <v>0.136698032506416</v>
      </c>
      <c r="AQ14" s="133">
        <f t="shared" si="20"/>
        <v>0.141381165919283</v>
      </c>
      <c r="AR14" s="133">
        <f t="shared" si="21"/>
        <v>0.148502653525398</v>
      </c>
      <c r="AS14" s="133">
        <f t="shared" si="22"/>
        <v>0.153887749393996</v>
      </c>
      <c r="AT14" s="137">
        <f t="shared" si="23"/>
        <v>0.100823175319789</v>
      </c>
      <c r="AU14" s="137">
        <f t="shared" si="24"/>
        <v>0.118494870887867</v>
      </c>
      <c r="AZ14" s="121" t="s">
        <v>401</v>
      </c>
      <c r="BA14" s="125" t="s">
        <v>531</v>
      </c>
      <c r="BB14" s="126">
        <v>870.5</v>
      </c>
      <c r="BC14" s="133">
        <v>838.1</v>
      </c>
      <c r="BD14" s="133">
        <v>799</v>
      </c>
      <c r="BE14" s="133">
        <v>788.2</v>
      </c>
      <c r="BF14" s="133">
        <v>783.5</v>
      </c>
      <c r="BG14" s="133">
        <v>825.3</v>
      </c>
      <c r="BH14" s="133">
        <v>788.2</v>
      </c>
      <c r="BI14" s="133">
        <v>788.2</v>
      </c>
      <c r="BJ14" s="123"/>
      <c r="BK14" s="123"/>
      <c r="BL14" s="131"/>
      <c r="BM14" s="131"/>
      <c r="BN14" s="131"/>
      <c r="BO14" s="131"/>
      <c r="BP14" s="131"/>
      <c r="BQ14" s="131"/>
      <c r="BR14" s="131"/>
    </row>
    <row r="15" ht="15.5" spans="1:70">
      <c r="A15" s="121"/>
      <c r="B15" s="125" t="s">
        <v>533</v>
      </c>
      <c r="C15" s="126">
        <f t="shared" si="2"/>
        <v>0.8012</v>
      </c>
      <c r="D15" s="126">
        <f t="shared" ref="D15:J15" si="34">BC15/1000</f>
        <v>0.7738</v>
      </c>
      <c r="E15" s="126">
        <f t="shared" si="34"/>
        <v>0.7382</v>
      </c>
      <c r="F15" s="126">
        <f t="shared" si="34"/>
        <v>0.7285</v>
      </c>
      <c r="G15" s="126">
        <f t="shared" si="34"/>
        <v>0.7214</v>
      </c>
      <c r="H15" s="126">
        <f t="shared" si="34"/>
        <v>0.7613</v>
      </c>
      <c r="I15" s="126">
        <f t="shared" si="34"/>
        <v>0.7285</v>
      </c>
      <c r="J15" s="126">
        <f t="shared" si="34"/>
        <v>0.7285</v>
      </c>
      <c r="K15" s="123"/>
      <c r="L15" s="123"/>
      <c r="M15" s="131">
        <v>5.937</v>
      </c>
      <c r="N15" s="131">
        <v>5.845</v>
      </c>
      <c r="O15" s="131">
        <v>5.575</v>
      </c>
      <c r="P15" s="131">
        <v>5.276</v>
      </c>
      <c r="Q15" s="131">
        <v>5.363</v>
      </c>
      <c r="R15" s="131">
        <v>6.645</v>
      </c>
      <c r="S15" s="131">
        <v>5.654</v>
      </c>
      <c r="T15" s="131"/>
      <c r="U15" s="121"/>
      <c r="V15" s="125" t="s">
        <v>533</v>
      </c>
      <c r="W15" s="133">
        <f t="shared" si="4"/>
        <v>0.130335186120936</v>
      </c>
      <c r="X15" s="133">
        <f t="shared" si="5"/>
        <v>0.126295979469632</v>
      </c>
      <c r="Y15" s="133">
        <f t="shared" si="6"/>
        <v>0.13067264573991</v>
      </c>
      <c r="Z15" s="133">
        <f t="shared" si="7"/>
        <v>0.136732373009856</v>
      </c>
      <c r="AA15" s="133">
        <f t="shared" si="8"/>
        <v>0.141954130151035</v>
      </c>
      <c r="AB15" s="136">
        <f t="shared" si="9"/>
        <v>0.109631301730625</v>
      </c>
      <c r="AC15" s="136">
        <f t="shared" si="10"/>
        <v>0.128846834099752</v>
      </c>
      <c r="AD15" s="123"/>
      <c r="AE15" s="123"/>
      <c r="AF15" s="133">
        <f t="shared" si="11"/>
        <v>0.130335186120936</v>
      </c>
      <c r="AG15" s="133">
        <f t="shared" si="12"/>
        <v>0.126295979469632</v>
      </c>
      <c r="AH15" s="133">
        <f t="shared" si="13"/>
        <v>0.13067264573991</v>
      </c>
      <c r="AI15" s="133">
        <f t="shared" si="14"/>
        <v>0.136732373009856</v>
      </c>
      <c r="AJ15" s="133">
        <f t="shared" si="15"/>
        <v>0.141954130151035</v>
      </c>
      <c r="AK15" s="137">
        <f t="shared" si="16"/>
        <v>0.126075996990218</v>
      </c>
      <c r="AL15" s="137">
        <f t="shared" si="17"/>
        <v>0.148173859214715</v>
      </c>
      <c r="AM15" s="123"/>
      <c r="AN15" s="123"/>
      <c r="AO15" s="133">
        <f t="shared" si="18"/>
        <v>0.130335186120936</v>
      </c>
      <c r="AP15" s="133">
        <f t="shared" si="19"/>
        <v>0.126295979469632</v>
      </c>
      <c r="AQ15" s="133">
        <f t="shared" si="20"/>
        <v>0.13067264573991</v>
      </c>
      <c r="AR15" s="133">
        <f t="shared" si="21"/>
        <v>0.136732373009856</v>
      </c>
      <c r="AS15" s="133">
        <f t="shared" si="22"/>
        <v>0.141954130151035</v>
      </c>
      <c r="AT15" s="137">
        <f t="shared" si="23"/>
        <v>0.0931866064710309</v>
      </c>
      <c r="AU15" s="137">
        <f t="shared" si="24"/>
        <v>0.10951980898479</v>
      </c>
      <c r="AZ15" s="121"/>
      <c r="BA15" s="125" t="s">
        <v>533</v>
      </c>
      <c r="BB15" s="126">
        <v>801.2</v>
      </c>
      <c r="BC15" s="133">
        <v>773.8</v>
      </c>
      <c r="BD15" s="133">
        <v>738.2</v>
      </c>
      <c r="BE15" s="133">
        <v>728.5</v>
      </c>
      <c r="BF15" s="133">
        <v>721.4</v>
      </c>
      <c r="BG15" s="133">
        <v>761.3</v>
      </c>
      <c r="BH15" s="133">
        <v>728.5</v>
      </c>
      <c r="BI15" s="133">
        <v>728.5</v>
      </c>
      <c r="BJ15" s="123"/>
      <c r="BK15" s="123"/>
      <c r="BL15" s="131"/>
      <c r="BM15" s="131"/>
      <c r="BN15" s="131"/>
      <c r="BO15" s="131"/>
      <c r="BP15" s="131"/>
      <c r="BQ15" s="131"/>
      <c r="BR15" s="131"/>
    </row>
    <row r="16" ht="15.5" spans="1:70">
      <c r="A16" s="121"/>
      <c r="B16" s="125" t="s">
        <v>535</v>
      </c>
      <c r="C16" s="126">
        <f t="shared" si="2"/>
        <v>0.3021</v>
      </c>
      <c r="D16" s="126">
        <f t="shared" ref="D16:J16" si="35">BC16/1000</f>
        <v>0.2654</v>
      </c>
      <c r="E16" s="126">
        <f t="shared" si="35"/>
        <v>0.2502</v>
      </c>
      <c r="F16" s="126">
        <f t="shared" si="35"/>
        <v>0.246</v>
      </c>
      <c r="G16" s="126">
        <f t="shared" si="35"/>
        <v>0.2408</v>
      </c>
      <c r="H16" s="126">
        <f t="shared" si="35"/>
        <v>0.2506</v>
      </c>
      <c r="I16" s="126">
        <f t="shared" si="35"/>
        <v>0.246</v>
      </c>
      <c r="J16" s="126">
        <f t="shared" si="35"/>
        <v>0.246</v>
      </c>
      <c r="K16" s="123"/>
      <c r="L16" s="123"/>
      <c r="M16" s="131">
        <v>5.937</v>
      </c>
      <c r="N16" s="131">
        <v>5.845</v>
      </c>
      <c r="O16" s="131">
        <v>5.575</v>
      </c>
      <c r="P16" s="131">
        <v>5.276</v>
      </c>
      <c r="Q16" s="131">
        <v>5.363</v>
      </c>
      <c r="R16" s="131">
        <v>6.645</v>
      </c>
      <c r="S16" s="131">
        <v>5.654</v>
      </c>
      <c r="T16" s="131"/>
      <c r="U16" s="121"/>
      <c r="V16" s="125" t="s">
        <v>535</v>
      </c>
      <c r="W16" s="133">
        <f t="shared" si="4"/>
        <v>0.0447027118073101</v>
      </c>
      <c r="X16" s="133">
        <f t="shared" si="5"/>
        <v>0.0428058169375535</v>
      </c>
      <c r="Y16" s="133">
        <f t="shared" si="6"/>
        <v>0.0441255605381166</v>
      </c>
      <c r="Z16" s="133">
        <f t="shared" si="7"/>
        <v>0.0456406368460955</v>
      </c>
      <c r="AA16" s="133">
        <f t="shared" si="8"/>
        <v>0.0467275778482193</v>
      </c>
      <c r="AB16" s="136">
        <f t="shared" si="9"/>
        <v>0.037020316027088</v>
      </c>
      <c r="AC16" s="136">
        <f t="shared" si="10"/>
        <v>0.0435090201627167</v>
      </c>
      <c r="AD16" s="123"/>
      <c r="AE16" s="123"/>
      <c r="AF16" s="133">
        <f t="shared" si="11"/>
        <v>0.0447027118073101</v>
      </c>
      <c r="AG16" s="133">
        <f t="shared" si="12"/>
        <v>0.0428058169375535</v>
      </c>
      <c r="AH16" s="133">
        <f t="shared" si="13"/>
        <v>0.0441255605381166</v>
      </c>
      <c r="AI16" s="133">
        <f t="shared" si="14"/>
        <v>0.0456406368460955</v>
      </c>
      <c r="AJ16" s="133">
        <f t="shared" si="15"/>
        <v>0.0467275778482193</v>
      </c>
      <c r="AK16" s="137">
        <f t="shared" si="16"/>
        <v>0.0425733634311512</v>
      </c>
      <c r="AL16" s="137">
        <f t="shared" si="17"/>
        <v>0.0500353731871242</v>
      </c>
      <c r="AM16" s="123"/>
      <c r="AN16" s="123"/>
      <c r="AO16" s="133">
        <f t="shared" si="18"/>
        <v>0.0447027118073101</v>
      </c>
      <c r="AP16" s="133">
        <f t="shared" si="19"/>
        <v>0.0428058169375535</v>
      </c>
      <c r="AQ16" s="133">
        <f t="shared" si="20"/>
        <v>0.0441255605381166</v>
      </c>
      <c r="AR16" s="133">
        <f t="shared" si="21"/>
        <v>0.0456406368460955</v>
      </c>
      <c r="AS16" s="133">
        <f t="shared" si="22"/>
        <v>0.0467275778482193</v>
      </c>
      <c r="AT16" s="137">
        <f t="shared" si="23"/>
        <v>0.0314672686230248</v>
      </c>
      <c r="AU16" s="137">
        <f t="shared" si="24"/>
        <v>0.0369826671383092</v>
      </c>
      <c r="AZ16" s="121"/>
      <c r="BA16" s="125" t="s">
        <v>535</v>
      </c>
      <c r="BB16" s="126">
        <v>302.1</v>
      </c>
      <c r="BC16" s="133">
        <v>265.4</v>
      </c>
      <c r="BD16" s="133">
        <v>250.2</v>
      </c>
      <c r="BE16" s="133">
        <v>246</v>
      </c>
      <c r="BF16" s="133">
        <v>240.8</v>
      </c>
      <c r="BG16" s="133">
        <v>250.6</v>
      </c>
      <c r="BH16" s="133">
        <v>246</v>
      </c>
      <c r="BI16" s="133">
        <v>246</v>
      </c>
      <c r="BJ16" s="123"/>
      <c r="BK16" s="123"/>
      <c r="BL16" s="131"/>
      <c r="BM16" s="131"/>
      <c r="BN16" s="131"/>
      <c r="BO16" s="131"/>
      <c r="BP16" s="131"/>
      <c r="BQ16" s="131"/>
      <c r="BR16" s="131"/>
    </row>
    <row r="17" ht="15.5" spans="1:70">
      <c r="A17" s="121"/>
      <c r="B17" s="125" t="s">
        <v>537</v>
      </c>
      <c r="C17" s="126">
        <f t="shared" si="2"/>
        <v>0.4137</v>
      </c>
      <c r="D17" s="126">
        <f t="shared" ref="D17:J17" si="36">BC17/1000</f>
        <v>0.4304</v>
      </c>
      <c r="E17" s="126">
        <f t="shared" si="36"/>
        <v>0.4127</v>
      </c>
      <c r="F17" s="126">
        <f t="shared" si="36"/>
        <v>0.4081</v>
      </c>
      <c r="G17" s="126">
        <f t="shared" si="36"/>
        <v>0.4037</v>
      </c>
      <c r="H17" s="126">
        <f t="shared" si="36"/>
        <v>0.4311</v>
      </c>
      <c r="I17" s="126">
        <f t="shared" si="36"/>
        <v>0.4081</v>
      </c>
      <c r="J17" s="126">
        <f t="shared" si="36"/>
        <v>0.4081</v>
      </c>
      <c r="K17" s="123"/>
      <c r="L17" s="123"/>
      <c r="M17" s="131">
        <v>5.937</v>
      </c>
      <c r="N17" s="131">
        <v>5.845</v>
      </c>
      <c r="O17" s="131">
        <v>5.575</v>
      </c>
      <c r="P17" s="131">
        <v>5.276</v>
      </c>
      <c r="Q17" s="131">
        <v>5.363</v>
      </c>
      <c r="R17" s="131">
        <v>6.645</v>
      </c>
      <c r="S17" s="131">
        <v>5.654</v>
      </c>
      <c r="T17" s="131"/>
      <c r="U17" s="121"/>
      <c r="V17" s="125" t="s">
        <v>537</v>
      </c>
      <c r="W17" s="133">
        <f t="shared" si="4"/>
        <v>0.0724945258548088</v>
      </c>
      <c r="X17" s="133">
        <f t="shared" si="5"/>
        <v>0.0706073567151412</v>
      </c>
      <c r="Y17" s="133">
        <f t="shared" si="6"/>
        <v>0.0732017937219731</v>
      </c>
      <c r="Z17" s="133">
        <f t="shared" si="7"/>
        <v>0.076516300227445</v>
      </c>
      <c r="AA17" s="133">
        <f t="shared" si="8"/>
        <v>0.0803841133693828</v>
      </c>
      <c r="AB17" s="136">
        <f t="shared" si="9"/>
        <v>0.0614145974416855</v>
      </c>
      <c r="AC17" s="136">
        <f t="shared" si="10"/>
        <v>0.0721789883268483</v>
      </c>
      <c r="AD17" s="123"/>
      <c r="AE17" s="123"/>
      <c r="AF17" s="133">
        <f t="shared" si="11"/>
        <v>0.0724945258548088</v>
      </c>
      <c r="AG17" s="133">
        <f t="shared" si="12"/>
        <v>0.0706073567151412</v>
      </c>
      <c r="AH17" s="133">
        <f t="shared" si="13"/>
        <v>0.0732017937219731</v>
      </c>
      <c r="AI17" s="133">
        <f t="shared" si="14"/>
        <v>0.076516300227445</v>
      </c>
      <c r="AJ17" s="133">
        <f t="shared" si="15"/>
        <v>0.0803841133693828</v>
      </c>
      <c r="AK17" s="137">
        <f t="shared" si="16"/>
        <v>0.0706267870579383</v>
      </c>
      <c r="AL17" s="137">
        <f t="shared" si="17"/>
        <v>0.0830058365758755</v>
      </c>
      <c r="AM17" s="123"/>
      <c r="AN17" s="123"/>
      <c r="AO17" s="133">
        <f t="shared" si="18"/>
        <v>0.0724945258548088</v>
      </c>
      <c r="AP17" s="133">
        <f t="shared" si="19"/>
        <v>0.0706073567151412</v>
      </c>
      <c r="AQ17" s="133">
        <f t="shared" si="20"/>
        <v>0.0732017937219731</v>
      </c>
      <c r="AR17" s="133">
        <f t="shared" si="21"/>
        <v>0.076516300227445</v>
      </c>
      <c r="AS17" s="133">
        <f t="shared" si="22"/>
        <v>0.0803841133693828</v>
      </c>
      <c r="AT17" s="137">
        <f t="shared" si="23"/>
        <v>0.0522024078254327</v>
      </c>
      <c r="AU17" s="137">
        <f t="shared" si="24"/>
        <v>0.061352140077821</v>
      </c>
      <c r="AZ17" s="121"/>
      <c r="BA17" s="125" t="s">
        <v>537</v>
      </c>
      <c r="BB17" s="126">
        <v>413.7</v>
      </c>
      <c r="BC17" s="133">
        <v>430.4</v>
      </c>
      <c r="BD17" s="133">
        <v>412.7</v>
      </c>
      <c r="BE17" s="133">
        <v>408.1</v>
      </c>
      <c r="BF17" s="133">
        <v>403.7</v>
      </c>
      <c r="BG17" s="133">
        <v>431.1</v>
      </c>
      <c r="BH17" s="133">
        <v>408.1</v>
      </c>
      <c r="BI17" s="133">
        <v>408.1</v>
      </c>
      <c r="BJ17" s="123"/>
      <c r="BK17" s="123"/>
      <c r="BL17" s="131"/>
      <c r="BM17" s="131"/>
      <c r="BN17" s="131"/>
      <c r="BO17" s="131"/>
      <c r="BP17" s="131"/>
      <c r="BQ17" s="131"/>
      <c r="BR17" s="131"/>
    </row>
    <row r="18" ht="15.5" spans="1:70">
      <c r="A18" s="121"/>
      <c r="B18" s="125" t="s">
        <v>538</v>
      </c>
      <c r="C18" s="126">
        <f t="shared" si="2"/>
        <v>0.0853</v>
      </c>
      <c r="D18" s="126">
        <f t="shared" ref="D18:J18" si="37">BC18/1000</f>
        <v>0.0781</v>
      </c>
      <c r="E18" s="126">
        <f t="shared" si="37"/>
        <v>0.0752</v>
      </c>
      <c r="F18" s="126">
        <f t="shared" si="37"/>
        <v>0.0743</v>
      </c>
      <c r="G18" s="126">
        <f t="shared" si="37"/>
        <v>0.0768</v>
      </c>
      <c r="H18" s="126">
        <f t="shared" si="37"/>
        <v>0.0797</v>
      </c>
      <c r="I18" s="126">
        <f t="shared" si="37"/>
        <v>0.0743</v>
      </c>
      <c r="J18" s="126">
        <f t="shared" si="37"/>
        <v>0.0743</v>
      </c>
      <c r="K18" s="123"/>
      <c r="L18" s="123"/>
      <c r="M18" s="131">
        <v>5.937</v>
      </c>
      <c r="N18" s="131">
        <v>5.845</v>
      </c>
      <c r="O18" s="131">
        <v>5.575</v>
      </c>
      <c r="P18" s="131">
        <v>5.276</v>
      </c>
      <c r="Q18" s="131">
        <v>5.363</v>
      </c>
      <c r="R18" s="131">
        <v>6.645</v>
      </c>
      <c r="S18" s="131">
        <v>5.654</v>
      </c>
      <c r="T18" s="131"/>
      <c r="U18" s="121"/>
      <c r="V18" s="125" t="s">
        <v>538</v>
      </c>
      <c r="W18" s="133">
        <f t="shared" si="4"/>
        <v>0.0131547919824827</v>
      </c>
      <c r="X18" s="133">
        <f t="shared" si="5"/>
        <v>0.0128656971770744</v>
      </c>
      <c r="Y18" s="133">
        <f t="shared" si="6"/>
        <v>0.0133273542600897</v>
      </c>
      <c r="Z18" s="133">
        <f t="shared" si="7"/>
        <v>0.0145564821834723</v>
      </c>
      <c r="AA18" s="133">
        <f t="shared" si="8"/>
        <v>0.0148610852134999</v>
      </c>
      <c r="AB18" s="136">
        <f t="shared" si="9"/>
        <v>0.0111813393528969</v>
      </c>
      <c r="AC18" s="136">
        <f t="shared" si="10"/>
        <v>0.0131411390166254</v>
      </c>
      <c r="AD18" s="123"/>
      <c r="AE18" s="123"/>
      <c r="AF18" s="133">
        <f t="shared" si="11"/>
        <v>0.0131547919824827</v>
      </c>
      <c r="AG18" s="133">
        <f t="shared" si="12"/>
        <v>0.0128656971770744</v>
      </c>
      <c r="AH18" s="133">
        <f t="shared" si="13"/>
        <v>0.0133273542600897</v>
      </c>
      <c r="AI18" s="133">
        <f t="shared" si="14"/>
        <v>0.0145564821834723</v>
      </c>
      <c r="AJ18" s="133">
        <f t="shared" si="15"/>
        <v>0.0148610852134999</v>
      </c>
      <c r="AK18" s="137">
        <f t="shared" si="16"/>
        <v>0.0128585402558315</v>
      </c>
      <c r="AL18" s="137">
        <f t="shared" si="17"/>
        <v>0.0151123098691192</v>
      </c>
      <c r="AM18" s="123"/>
      <c r="AN18" s="123"/>
      <c r="AO18" s="133">
        <f t="shared" si="18"/>
        <v>0.0131547919824827</v>
      </c>
      <c r="AP18" s="133">
        <f t="shared" si="19"/>
        <v>0.0128656971770744</v>
      </c>
      <c r="AQ18" s="133">
        <f t="shared" si="20"/>
        <v>0.0133273542600897</v>
      </c>
      <c r="AR18" s="133">
        <f t="shared" si="21"/>
        <v>0.0145564821834723</v>
      </c>
      <c r="AS18" s="133">
        <f t="shared" si="22"/>
        <v>0.0148610852134999</v>
      </c>
      <c r="AT18" s="137">
        <f t="shared" si="23"/>
        <v>0.00950413844996238</v>
      </c>
      <c r="AU18" s="137">
        <f t="shared" si="24"/>
        <v>0.0111699681641316</v>
      </c>
      <c r="AZ18" s="121"/>
      <c r="BA18" s="125" t="s">
        <v>538</v>
      </c>
      <c r="BB18" s="126">
        <v>85.3</v>
      </c>
      <c r="BC18" s="133">
        <v>78.1</v>
      </c>
      <c r="BD18" s="133">
        <v>75.2</v>
      </c>
      <c r="BE18" s="133">
        <v>74.3</v>
      </c>
      <c r="BF18" s="133">
        <v>76.8</v>
      </c>
      <c r="BG18" s="133">
        <v>79.7</v>
      </c>
      <c r="BH18" s="133">
        <v>74.3</v>
      </c>
      <c r="BI18" s="133">
        <v>74.3</v>
      </c>
      <c r="BJ18" s="123"/>
      <c r="BK18" s="123"/>
      <c r="BL18" s="131"/>
      <c r="BM18" s="131"/>
      <c r="BN18" s="131"/>
      <c r="BO18" s="131"/>
      <c r="BP18" s="131"/>
      <c r="BQ18" s="131"/>
      <c r="BR18" s="131"/>
    </row>
    <row r="19" ht="15.5" spans="1:70">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Z19" s="123"/>
      <c r="BA19" s="123"/>
      <c r="BB19" s="122"/>
      <c r="BC19" s="123"/>
      <c r="BD19" s="123"/>
      <c r="BE19" s="123"/>
      <c r="BF19" s="123"/>
      <c r="BG19" s="123"/>
      <c r="BH19" s="123"/>
      <c r="BI19" s="123"/>
      <c r="BJ19" s="123"/>
      <c r="BK19" s="123"/>
      <c r="BL19" s="123"/>
      <c r="BM19" s="123"/>
      <c r="BN19" s="123"/>
      <c r="BO19" s="123"/>
      <c r="BP19" s="123"/>
      <c r="BQ19" s="123"/>
      <c r="BR19" s="123"/>
    </row>
    <row r="20" ht="15.5" spans="1:70">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Z20" s="123"/>
      <c r="BA20" s="123"/>
      <c r="BB20" s="122"/>
      <c r="BC20" s="123"/>
      <c r="BD20" s="123"/>
      <c r="BE20" s="123"/>
      <c r="BF20" s="123"/>
      <c r="BG20" s="123"/>
      <c r="BH20" s="123"/>
      <c r="BI20" s="123"/>
      <c r="BJ20" s="123"/>
      <c r="BK20" s="123"/>
      <c r="BL20" s="123"/>
      <c r="BM20" s="123"/>
      <c r="BN20" s="123"/>
      <c r="BO20" s="123"/>
      <c r="BP20" s="123"/>
      <c r="BQ20" s="123"/>
      <c r="BR20" s="123"/>
    </row>
    <row r="21" ht="15.5" customHeight="1" spans="1:70">
      <c r="A21" s="121" t="s">
        <v>563</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Z21" s="121" t="s">
        <v>563</v>
      </c>
      <c r="BA21" s="121"/>
      <c r="BB21" s="121"/>
      <c r="BC21" s="121"/>
      <c r="BD21" s="121"/>
      <c r="BE21" s="121"/>
      <c r="BF21" s="121"/>
      <c r="BG21" s="121"/>
      <c r="BH21" s="121"/>
      <c r="BI21" s="121"/>
      <c r="BJ21" s="123"/>
      <c r="BK21" s="123"/>
      <c r="BL21" s="123"/>
      <c r="BM21" s="123"/>
      <c r="BN21" s="123"/>
      <c r="BO21" s="123"/>
      <c r="BP21" s="123"/>
      <c r="BQ21" s="123"/>
      <c r="BR21" s="123"/>
    </row>
    <row r="22" ht="15.5" customHeight="1" spans="1:70">
      <c r="A22" s="121" t="s">
        <v>523</v>
      </c>
      <c r="B22" s="121" t="s">
        <v>564</v>
      </c>
      <c r="C22" s="121" t="s">
        <v>525</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Z22" s="121" t="s">
        <v>523</v>
      </c>
      <c r="BA22" s="121" t="s">
        <v>564</v>
      </c>
      <c r="BB22" s="121" t="s">
        <v>525</v>
      </c>
      <c r="BC22" s="121"/>
      <c r="BD22" s="121"/>
      <c r="BE22" s="121"/>
      <c r="BF22" s="121"/>
      <c r="BG22" s="121"/>
      <c r="BH22" s="121"/>
      <c r="BI22" s="121"/>
      <c r="BJ22" s="123"/>
      <c r="BK22" s="123"/>
      <c r="BL22" s="123"/>
      <c r="BM22" s="123"/>
      <c r="BN22" s="123"/>
      <c r="BO22" s="123"/>
      <c r="BP22" s="123"/>
      <c r="BQ22" s="123"/>
      <c r="BR22" s="123"/>
    </row>
    <row r="23" ht="30" spans="1:70">
      <c r="A23" s="121"/>
      <c r="B23" s="121"/>
      <c r="C23" s="122" t="s">
        <v>527</v>
      </c>
      <c r="D23" s="123" t="s">
        <v>333</v>
      </c>
      <c r="E23" s="123" t="s">
        <v>334</v>
      </c>
      <c r="F23" s="124" t="s">
        <v>335</v>
      </c>
      <c r="G23" s="123" t="s">
        <v>336</v>
      </c>
      <c r="H23" s="123" t="s">
        <v>241</v>
      </c>
      <c r="I23" s="123" t="s">
        <v>528</v>
      </c>
      <c r="J23" s="123" t="s">
        <v>529</v>
      </c>
      <c r="K23" s="123"/>
      <c r="L23" s="123"/>
      <c r="M23" s="123" t="s">
        <v>333</v>
      </c>
      <c r="N23" s="123" t="s">
        <v>334</v>
      </c>
      <c r="O23" s="123" t="s">
        <v>335</v>
      </c>
      <c r="P23" s="123" t="s">
        <v>336</v>
      </c>
      <c r="Q23" s="123" t="s">
        <v>241</v>
      </c>
      <c r="R23" s="123" t="s">
        <v>528</v>
      </c>
      <c r="S23" s="123" t="s">
        <v>529</v>
      </c>
      <c r="T23" s="123"/>
      <c r="U23" s="123"/>
      <c r="V23" s="132" t="s">
        <v>562</v>
      </c>
      <c r="W23" s="123" t="s">
        <v>333</v>
      </c>
      <c r="X23" s="123" t="s">
        <v>334</v>
      </c>
      <c r="Y23" s="124" t="s">
        <v>335</v>
      </c>
      <c r="Z23" s="123" t="s">
        <v>336</v>
      </c>
      <c r="AA23" s="123" t="s">
        <v>241</v>
      </c>
      <c r="AB23" s="135" t="s">
        <v>528</v>
      </c>
      <c r="AC23" s="135" t="s">
        <v>529</v>
      </c>
      <c r="AD23" s="123"/>
      <c r="AE23" s="123"/>
      <c r="AF23" s="123" t="s">
        <v>333</v>
      </c>
      <c r="AG23" s="123" t="s">
        <v>334</v>
      </c>
      <c r="AH23" s="124" t="s">
        <v>335</v>
      </c>
      <c r="AI23" s="123" t="s">
        <v>336</v>
      </c>
      <c r="AJ23" s="123" t="s">
        <v>241</v>
      </c>
      <c r="AK23" s="135" t="s">
        <v>528</v>
      </c>
      <c r="AL23" s="135" t="s">
        <v>529</v>
      </c>
      <c r="AM23" s="123"/>
      <c r="AN23" s="123"/>
      <c r="AO23" s="123" t="s">
        <v>333</v>
      </c>
      <c r="AP23" s="123" t="s">
        <v>334</v>
      </c>
      <c r="AQ23" s="124" t="s">
        <v>335</v>
      </c>
      <c r="AR23" s="123" t="s">
        <v>336</v>
      </c>
      <c r="AS23" s="123" t="s">
        <v>241</v>
      </c>
      <c r="AT23" s="135" t="s">
        <v>528</v>
      </c>
      <c r="AU23" s="135" t="s">
        <v>529</v>
      </c>
      <c r="AZ23" s="121"/>
      <c r="BA23" s="121"/>
      <c r="BB23" s="122" t="s">
        <v>527</v>
      </c>
      <c r="BC23" s="123" t="s">
        <v>333</v>
      </c>
      <c r="BD23" s="123" t="s">
        <v>334</v>
      </c>
      <c r="BE23" s="124" t="s">
        <v>335</v>
      </c>
      <c r="BF23" s="123" t="s">
        <v>336</v>
      </c>
      <c r="BG23" s="123" t="s">
        <v>241</v>
      </c>
      <c r="BH23" s="123" t="s">
        <v>528</v>
      </c>
      <c r="BI23" s="123" t="s">
        <v>529</v>
      </c>
      <c r="BJ23" s="123"/>
      <c r="BK23" s="123"/>
      <c r="BL23" s="123"/>
      <c r="BM23" s="123"/>
      <c r="BN23" s="123"/>
      <c r="BO23" s="123"/>
      <c r="BP23" s="123"/>
      <c r="BQ23" s="123"/>
      <c r="BR23" s="123"/>
    </row>
    <row r="24" ht="15.5" customHeight="1" spans="1:70">
      <c r="A24" s="121" t="s">
        <v>530</v>
      </c>
      <c r="B24" s="125" t="s">
        <v>531</v>
      </c>
      <c r="C24" s="126">
        <f>BB24/1000</f>
        <v>0.8898</v>
      </c>
      <c r="D24" s="126">
        <f t="shared" ref="D24:J24" si="38">BC24/1000</f>
        <v>0.8432</v>
      </c>
      <c r="E24" s="126">
        <f t="shared" si="38"/>
        <v>0.8038</v>
      </c>
      <c r="F24" s="126">
        <f t="shared" si="38"/>
        <v>0.7946</v>
      </c>
      <c r="G24" s="126">
        <f t="shared" si="38"/>
        <v>0.7665</v>
      </c>
      <c r="H24" s="126">
        <f t="shared" si="38"/>
        <v>0.8066</v>
      </c>
      <c r="I24" s="126">
        <f t="shared" si="38"/>
        <v>0.7946</v>
      </c>
      <c r="J24" s="126">
        <f t="shared" si="38"/>
        <v>0.7946</v>
      </c>
      <c r="K24" s="123"/>
      <c r="L24" s="123"/>
      <c r="M24" s="130">
        <v>5.937</v>
      </c>
      <c r="N24" s="130">
        <v>5.845</v>
      </c>
      <c r="O24" s="130">
        <v>5.575</v>
      </c>
      <c r="P24" s="130">
        <v>5.276</v>
      </c>
      <c r="Q24" s="130">
        <v>5.363</v>
      </c>
      <c r="R24" s="130">
        <v>6.645</v>
      </c>
      <c r="S24" s="130">
        <v>5.654</v>
      </c>
      <c r="T24" s="130"/>
      <c r="U24" s="121" t="s">
        <v>530</v>
      </c>
      <c r="V24" s="125" t="s">
        <v>531</v>
      </c>
      <c r="W24" s="133">
        <f t="shared" ref="W24:AC24" si="39">D24/M24</f>
        <v>0.142024591544551</v>
      </c>
      <c r="X24" s="133">
        <f t="shared" si="39"/>
        <v>0.137519247219846</v>
      </c>
      <c r="Y24" s="133">
        <f t="shared" si="39"/>
        <v>0.142529147982063</v>
      </c>
      <c r="Z24" s="133">
        <f t="shared" si="39"/>
        <v>0.145280515542077</v>
      </c>
      <c r="AA24" s="133">
        <f t="shared" si="39"/>
        <v>0.150400895021443</v>
      </c>
      <c r="AB24" s="136">
        <f t="shared" si="39"/>
        <v>0.119578630549285</v>
      </c>
      <c r="AC24" s="136">
        <f t="shared" si="39"/>
        <v>0.140537672444287</v>
      </c>
      <c r="AD24" s="123"/>
      <c r="AE24" s="123"/>
      <c r="AF24" s="133">
        <f t="shared" ref="AF24:AJ24" si="40">W24</f>
        <v>0.142024591544551</v>
      </c>
      <c r="AG24" s="133">
        <f t="shared" si="40"/>
        <v>0.137519247219846</v>
      </c>
      <c r="AH24" s="133">
        <f t="shared" si="40"/>
        <v>0.142529147982063</v>
      </c>
      <c r="AI24" s="133">
        <f t="shared" si="40"/>
        <v>0.145280515542077</v>
      </c>
      <c r="AJ24" s="133">
        <f t="shared" si="40"/>
        <v>0.150400895021443</v>
      </c>
      <c r="AK24" s="137">
        <f t="shared" ref="AK24:AK38" si="41">AB24*1.15</f>
        <v>0.137515425131678</v>
      </c>
      <c r="AL24" s="137">
        <f t="shared" ref="AL24:AL38" si="42">AC24*1.15</f>
        <v>0.16161832331093</v>
      </c>
      <c r="AM24" s="123"/>
      <c r="AN24" s="123"/>
      <c r="AO24" s="133">
        <f t="shared" ref="AO24:AS24" si="43">W24</f>
        <v>0.142024591544551</v>
      </c>
      <c r="AP24" s="133">
        <f t="shared" si="43"/>
        <v>0.137519247219846</v>
      </c>
      <c r="AQ24" s="133">
        <f t="shared" si="43"/>
        <v>0.142529147982063</v>
      </c>
      <c r="AR24" s="133">
        <f t="shared" si="43"/>
        <v>0.145280515542077</v>
      </c>
      <c r="AS24" s="133">
        <f t="shared" si="43"/>
        <v>0.150400895021443</v>
      </c>
      <c r="AT24" s="137">
        <f t="shared" ref="AT24:AT38" si="44">AB24*0.85</f>
        <v>0.101641835966892</v>
      </c>
      <c r="AU24" s="137">
        <f t="shared" ref="AU24:AU38" si="45">AC24*0.85</f>
        <v>0.119457021577644</v>
      </c>
      <c r="AZ24" s="121" t="s">
        <v>530</v>
      </c>
      <c r="BA24" s="125" t="s">
        <v>531</v>
      </c>
      <c r="BB24" s="126">
        <v>889.8</v>
      </c>
      <c r="BC24" s="133">
        <v>843.2</v>
      </c>
      <c r="BD24" s="133">
        <v>803.8</v>
      </c>
      <c r="BE24" s="133">
        <v>794.6</v>
      </c>
      <c r="BF24" s="133">
        <v>766.5</v>
      </c>
      <c r="BG24" s="133">
        <v>806.6</v>
      </c>
      <c r="BH24" s="133">
        <v>794.6</v>
      </c>
      <c r="BI24" s="133">
        <v>794.6</v>
      </c>
      <c r="BJ24" s="123"/>
      <c r="BK24" s="123"/>
      <c r="BL24" s="130"/>
      <c r="BM24" s="130"/>
      <c r="BN24" s="130"/>
      <c r="BO24" s="130"/>
      <c r="BP24" s="130"/>
      <c r="BQ24" s="130"/>
      <c r="BR24" s="130"/>
    </row>
    <row r="25" ht="15.5" spans="1:70">
      <c r="A25" s="121"/>
      <c r="B25" s="125" t="s">
        <v>533</v>
      </c>
      <c r="C25" s="126">
        <f t="shared" ref="C25:C38" si="46">BB25/1000</f>
        <v>0.8124</v>
      </c>
      <c r="D25" s="126">
        <f t="shared" ref="D25:J25" si="47">BC25/1000</f>
        <v>0.7746</v>
      </c>
      <c r="E25" s="126">
        <f t="shared" si="47"/>
        <v>0.739</v>
      </c>
      <c r="F25" s="126">
        <f t="shared" si="47"/>
        <v>0.7307</v>
      </c>
      <c r="G25" s="126">
        <f t="shared" si="47"/>
        <v>0.7045</v>
      </c>
      <c r="H25" s="126">
        <f t="shared" si="47"/>
        <v>0.7424</v>
      </c>
      <c r="I25" s="126">
        <f t="shared" si="47"/>
        <v>0.7307</v>
      </c>
      <c r="J25" s="126">
        <f t="shared" si="47"/>
        <v>0.7307</v>
      </c>
      <c r="K25" s="123"/>
      <c r="L25" s="123"/>
      <c r="M25" s="131">
        <v>5.937</v>
      </c>
      <c r="N25" s="131">
        <v>5.845</v>
      </c>
      <c r="O25" s="131">
        <v>5.575</v>
      </c>
      <c r="P25" s="131">
        <v>5.276</v>
      </c>
      <c r="Q25" s="131">
        <v>5.363</v>
      </c>
      <c r="R25" s="131">
        <v>6.645</v>
      </c>
      <c r="S25" s="131">
        <v>5.654</v>
      </c>
      <c r="T25" s="131"/>
      <c r="U25" s="121"/>
      <c r="V25" s="125" t="s">
        <v>533</v>
      </c>
      <c r="W25" s="133">
        <f t="shared" ref="W25:AC25" si="48">D25/M25</f>
        <v>0.130469934310258</v>
      </c>
      <c r="X25" s="133">
        <f t="shared" si="48"/>
        <v>0.126432848588537</v>
      </c>
      <c r="Y25" s="133">
        <f t="shared" si="48"/>
        <v>0.131067264573991</v>
      </c>
      <c r="Z25" s="133">
        <f t="shared" si="48"/>
        <v>0.133529188779378</v>
      </c>
      <c r="AA25" s="133">
        <f t="shared" si="48"/>
        <v>0.138429983218348</v>
      </c>
      <c r="AB25" s="136">
        <f t="shared" si="48"/>
        <v>0.109962377727615</v>
      </c>
      <c r="AC25" s="136">
        <f t="shared" si="48"/>
        <v>0.129235939158118</v>
      </c>
      <c r="AD25" s="123"/>
      <c r="AE25" s="123"/>
      <c r="AF25" s="133">
        <f t="shared" ref="AF25:AJ25" si="49">W25</f>
        <v>0.130469934310258</v>
      </c>
      <c r="AG25" s="133">
        <f t="shared" si="49"/>
        <v>0.126432848588537</v>
      </c>
      <c r="AH25" s="133">
        <f t="shared" si="49"/>
        <v>0.131067264573991</v>
      </c>
      <c r="AI25" s="133">
        <f t="shared" si="49"/>
        <v>0.133529188779378</v>
      </c>
      <c r="AJ25" s="133">
        <f t="shared" si="49"/>
        <v>0.138429983218348</v>
      </c>
      <c r="AK25" s="137">
        <f t="shared" si="41"/>
        <v>0.126456734386757</v>
      </c>
      <c r="AL25" s="137">
        <f t="shared" si="42"/>
        <v>0.148621330031836</v>
      </c>
      <c r="AM25" s="123"/>
      <c r="AN25" s="123"/>
      <c r="AO25" s="133">
        <f t="shared" ref="AO25:AS25" si="50">W25</f>
        <v>0.130469934310258</v>
      </c>
      <c r="AP25" s="133">
        <f t="shared" si="50"/>
        <v>0.126432848588537</v>
      </c>
      <c r="AQ25" s="133">
        <f t="shared" si="50"/>
        <v>0.131067264573991</v>
      </c>
      <c r="AR25" s="133">
        <f t="shared" si="50"/>
        <v>0.133529188779378</v>
      </c>
      <c r="AS25" s="133">
        <f t="shared" si="50"/>
        <v>0.138429983218348</v>
      </c>
      <c r="AT25" s="137">
        <f t="shared" si="44"/>
        <v>0.0934680210684725</v>
      </c>
      <c r="AU25" s="137">
        <f t="shared" si="45"/>
        <v>0.1098505482844</v>
      </c>
      <c r="AZ25" s="121"/>
      <c r="BA25" s="125" t="s">
        <v>533</v>
      </c>
      <c r="BB25" s="126">
        <v>812.4</v>
      </c>
      <c r="BC25" s="133">
        <v>774.6</v>
      </c>
      <c r="BD25" s="133">
        <v>739</v>
      </c>
      <c r="BE25" s="133">
        <v>730.7</v>
      </c>
      <c r="BF25" s="133">
        <v>704.5</v>
      </c>
      <c r="BG25" s="133">
        <v>742.4</v>
      </c>
      <c r="BH25" s="133">
        <v>730.7</v>
      </c>
      <c r="BI25" s="133">
        <v>730.7</v>
      </c>
      <c r="BJ25" s="123"/>
      <c r="BK25" s="123"/>
      <c r="BL25" s="131"/>
      <c r="BM25" s="131"/>
      <c r="BN25" s="131"/>
      <c r="BO25" s="131"/>
      <c r="BP25" s="131"/>
      <c r="BQ25" s="131"/>
      <c r="BR25" s="131"/>
    </row>
    <row r="26" ht="15.5" spans="1:70">
      <c r="A26" s="121"/>
      <c r="B26" s="125" t="s">
        <v>535</v>
      </c>
      <c r="C26" s="126">
        <f t="shared" si="46"/>
        <v>0.1699</v>
      </c>
      <c r="D26" s="126">
        <f t="shared" ref="D26:J26" si="51">BC26/1000</f>
        <v>0.1497</v>
      </c>
      <c r="E26" s="126">
        <f t="shared" si="51"/>
        <v>0.1418</v>
      </c>
      <c r="F26" s="126">
        <f t="shared" si="51"/>
        <v>0.1399</v>
      </c>
      <c r="G26" s="126">
        <f t="shared" si="51"/>
        <v>0.1359</v>
      </c>
      <c r="H26" s="126">
        <f t="shared" si="51"/>
        <v>0.1408</v>
      </c>
      <c r="I26" s="126">
        <f t="shared" si="51"/>
        <v>0.1399</v>
      </c>
      <c r="J26" s="126">
        <f t="shared" si="51"/>
        <v>0.1399</v>
      </c>
      <c r="K26" s="123"/>
      <c r="L26" s="123"/>
      <c r="M26" s="131">
        <v>5.937</v>
      </c>
      <c r="N26" s="131">
        <v>5.845</v>
      </c>
      <c r="O26" s="131">
        <v>5.575</v>
      </c>
      <c r="P26" s="131">
        <v>5.276</v>
      </c>
      <c r="Q26" s="131">
        <v>5.363</v>
      </c>
      <c r="R26" s="131">
        <v>6.645</v>
      </c>
      <c r="S26" s="131">
        <v>5.654</v>
      </c>
      <c r="T26" s="131"/>
      <c r="U26" s="121"/>
      <c r="V26" s="125" t="s">
        <v>535</v>
      </c>
      <c r="W26" s="133">
        <f t="shared" ref="W26:AC26" si="52">D26/M26</f>
        <v>0.0252147549267307</v>
      </c>
      <c r="X26" s="133">
        <f t="shared" si="52"/>
        <v>0.0242600513259196</v>
      </c>
      <c r="Y26" s="133">
        <f t="shared" si="52"/>
        <v>0.0250941704035874</v>
      </c>
      <c r="Z26" s="133">
        <f t="shared" si="52"/>
        <v>0.0257581501137225</v>
      </c>
      <c r="AA26" s="133">
        <f t="shared" si="52"/>
        <v>0.0262539623345143</v>
      </c>
      <c r="AB26" s="136">
        <f t="shared" si="52"/>
        <v>0.0210534236267871</v>
      </c>
      <c r="AC26" s="136">
        <f t="shared" si="52"/>
        <v>0.0247435443933498</v>
      </c>
      <c r="AD26" s="123"/>
      <c r="AE26" s="123"/>
      <c r="AF26" s="133">
        <f t="shared" ref="AF26:AJ26" si="53">W26</f>
        <v>0.0252147549267307</v>
      </c>
      <c r="AG26" s="133">
        <f t="shared" si="53"/>
        <v>0.0242600513259196</v>
      </c>
      <c r="AH26" s="133">
        <f t="shared" si="53"/>
        <v>0.0250941704035874</v>
      </c>
      <c r="AI26" s="133">
        <f t="shared" si="53"/>
        <v>0.0257581501137225</v>
      </c>
      <c r="AJ26" s="133">
        <f t="shared" si="53"/>
        <v>0.0262539623345143</v>
      </c>
      <c r="AK26" s="137">
        <f t="shared" si="41"/>
        <v>0.0242114371708051</v>
      </c>
      <c r="AL26" s="137">
        <f t="shared" si="42"/>
        <v>0.0284550760523523</v>
      </c>
      <c r="AM26" s="123"/>
      <c r="AN26" s="123"/>
      <c r="AO26" s="133">
        <f t="shared" ref="AO26:AS26" si="54">W26</f>
        <v>0.0252147549267307</v>
      </c>
      <c r="AP26" s="133">
        <f t="shared" si="54"/>
        <v>0.0242600513259196</v>
      </c>
      <c r="AQ26" s="133">
        <f t="shared" si="54"/>
        <v>0.0250941704035874</v>
      </c>
      <c r="AR26" s="133">
        <f t="shared" si="54"/>
        <v>0.0257581501137225</v>
      </c>
      <c r="AS26" s="133">
        <f t="shared" si="54"/>
        <v>0.0262539623345143</v>
      </c>
      <c r="AT26" s="137">
        <f t="shared" si="44"/>
        <v>0.017895410082769</v>
      </c>
      <c r="AU26" s="137">
        <f t="shared" si="45"/>
        <v>0.0210320127343474</v>
      </c>
      <c r="AZ26" s="121"/>
      <c r="BA26" s="125" t="s">
        <v>535</v>
      </c>
      <c r="BB26" s="126">
        <v>169.9</v>
      </c>
      <c r="BC26" s="133">
        <v>149.7</v>
      </c>
      <c r="BD26" s="133">
        <v>141.8</v>
      </c>
      <c r="BE26" s="133">
        <v>139.9</v>
      </c>
      <c r="BF26" s="133">
        <v>135.9</v>
      </c>
      <c r="BG26" s="133">
        <v>140.8</v>
      </c>
      <c r="BH26" s="133">
        <v>139.9</v>
      </c>
      <c r="BI26" s="133">
        <v>139.9</v>
      </c>
      <c r="BJ26" s="123"/>
      <c r="BK26" s="123"/>
      <c r="BL26" s="131"/>
      <c r="BM26" s="131"/>
      <c r="BN26" s="131"/>
      <c r="BO26" s="131"/>
      <c r="BP26" s="131"/>
      <c r="BQ26" s="131"/>
      <c r="BR26" s="131"/>
    </row>
    <row r="27" ht="15.5" spans="1:70">
      <c r="A27" s="121"/>
      <c r="B27" s="125" t="s">
        <v>537</v>
      </c>
      <c r="C27" s="126">
        <f t="shared" si="46"/>
        <v>0.5978</v>
      </c>
      <c r="D27" s="126">
        <f t="shared" ref="D27:J27" si="55">BC27/1000</f>
        <v>0.5807</v>
      </c>
      <c r="E27" s="126">
        <f t="shared" si="55"/>
        <v>0.554</v>
      </c>
      <c r="F27" s="126">
        <f t="shared" si="55"/>
        <v>0.5478</v>
      </c>
      <c r="G27" s="126">
        <f t="shared" si="55"/>
        <v>0.526</v>
      </c>
      <c r="H27" s="126">
        <f t="shared" si="55"/>
        <v>0.5575</v>
      </c>
      <c r="I27" s="126">
        <f t="shared" si="55"/>
        <v>0.5478</v>
      </c>
      <c r="J27" s="126">
        <f t="shared" si="55"/>
        <v>0.5478</v>
      </c>
      <c r="K27" s="123"/>
      <c r="L27" s="123"/>
      <c r="M27" s="131">
        <v>5.937</v>
      </c>
      <c r="N27" s="131">
        <v>5.845</v>
      </c>
      <c r="O27" s="131">
        <v>5.575</v>
      </c>
      <c r="P27" s="131">
        <v>5.276</v>
      </c>
      <c r="Q27" s="131">
        <v>5.363</v>
      </c>
      <c r="R27" s="131">
        <v>6.645</v>
      </c>
      <c r="S27" s="131">
        <v>5.654</v>
      </c>
      <c r="T27" s="131"/>
      <c r="U27" s="121"/>
      <c r="V27" s="125" t="s">
        <v>537</v>
      </c>
      <c r="W27" s="133">
        <f t="shared" ref="W27:AC27" si="56">D27/M27</f>
        <v>0.0978103419235304</v>
      </c>
      <c r="X27" s="133">
        <f t="shared" si="56"/>
        <v>0.0947818648417451</v>
      </c>
      <c r="Y27" s="133">
        <f t="shared" si="56"/>
        <v>0.0982600896860986</v>
      </c>
      <c r="Z27" s="133">
        <f t="shared" si="56"/>
        <v>0.099696739954511</v>
      </c>
      <c r="AA27" s="133">
        <f t="shared" si="56"/>
        <v>0.103953011374231</v>
      </c>
      <c r="AB27" s="136">
        <f t="shared" si="56"/>
        <v>0.0824379232505643</v>
      </c>
      <c r="AC27" s="136">
        <f t="shared" si="56"/>
        <v>0.0968871595330739</v>
      </c>
      <c r="AD27" s="123"/>
      <c r="AE27" s="123"/>
      <c r="AF27" s="133">
        <f t="shared" ref="AF27:AJ27" si="57">W27</f>
        <v>0.0978103419235304</v>
      </c>
      <c r="AG27" s="133">
        <f t="shared" si="57"/>
        <v>0.0947818648417451</v>
      </c>
      <c r="AH27" s="133">
        <f t="shared" si="57"/>
        <v>0.0982600896860986</v>
      </c>
      <c r="AI27" s="133">
        <f t="shared" si="57"/>
        <v>0.099696739954511</v>
      </c>
      <c r="AJ27" s="133">
        <f t="shared" si="57"/>
        <v>0.103953011374231</v>
      </c>
      <c r="AK27" s="137">
        <f t="shared" si="41"/>
        <v>0.094803611738149</v>
      </c>
      <c r="AL27" s="137">
        <f t="shared" si="42"/>
        <v>0.111420233463035</v>
      </c>
      <c r="AM27" s="123"/>
      <c r="AN27" s="123"/>
      <c r="AO27" s="133">
        <f t="shared" ref="AO27:AS27" si="58">W27</f>
        <v>0.0978103419235304</v>
      </c>
      <c r="AP27" s="133">
        <f t="shared" si="58"/>
        <v>0.0947818648417451</v>
      </c>
      <c r="AQ27" s="133">
        <f t="shared" si="58"/>
        <v>0.0982600896860986</v>
      </c>
      <c r="AR27" s="133">
        <f t="shared" si="58"/>
        <v>0.099696739954511</v>
      </c>
      <c r="AS27" s="133">
        <f t="shared" si="58"/>
        <v>0.103953011374231</v>
      </c>
      <c r="AT27" s="137">
        <f t="shared" si="44"/>
        <v>0.0700722347629797</v>
      </c>
      <c r="AU27" s="137">
        <f t="shared" si="45"/>
        <v>0.0823540856031128</v>
      </c>
      <c r="AZ27" s="121"/>
      <c r="BA27" s="125" t="s">
        <v>537</v>
      </c>
      <c r="BB27" s="126">
        <v>597.8</v>
      </c>
      <c r="BC27" s="133">
        <v>580.7</v>
      </c>
      <c r="BD27" s="133">
        <v>554</v>
      </c>
      <c r="BE27" s="133">
        <v>547.8</v>
      </c>
      <c r="BF27" s="133">
        <v>526</v>
      </c>
      <c r="BG27" s="133">
        <v>557.5</v>
      </c>
      <c r="BH27" s="133">
        <v>547.8</v>
      </c>
      <c r="BI27" s="133">
        <v>547.8</v>
      </c>
      <c r="BJ27" s="123"/>
      <c r="BK27" s="123"/>
      <c r="BL27" s="131"/>
      <c r="BM27" s="131"/>
      <c r="BN27" s="131"/>
      <c r="BO27" s="131"/>
      <c r="BP27" s="131"/>
      <c r="BQ27" s="131"/>
      <c r="BR27" s="131"/>
    </row>
    <row r="28" ht="15.5" spans="1:70">
      <c r="A28" s="121"/>
      <c r="B28" s="125" t="s">
        <v>538</v>
      </c>
      <c r="C28" s="126">
        <f t="shared" si="46"/>
        <v>0.085</v>
      </c>
      <c r="D28" s="126">
        <f t="shared" ref="D28:J28" si="59">BC28/1000</f>
        <v>0.0786</v>
      </c>
      <c r="E28" s="126">
        <f t="shared" si="59"/>
        <v>0.0763</v>
      </c>
      <c r="F28" s="126">
        <f t="shared" si="59"/>
        <v>0.0759</v>
      </c>
      <c r="G28" s="126">
        <f t="shared" si="59"/>
        <v>0.0737</v>
      </c>
      <c r="H28" s="126">
        <f t="shared" si="59"/>
        <v>0.076</v>
      </c>
      <c r="I28" s="126">
        <f t="shared" si="59"/>
        <v>0.0759</v>
      </c>
      <c r="J28" s="126">
        <f t="shared" si="59"/>
        <v>0.0759</v>
      </c>
      <c r="K28" s="123"/>
      <c r="L28" s="123"/>
      <c r="M28" s="131">
        <v>5.937</v>
      </c>
      <c r="N28" s="131">
        <v>5.845</v>
      </c>
      <c r="O28" s="131">
        <v>5.575</v>
      </c>
      <c r="P28" s="131">
        <v>5.276</v>
      </c>
      <c r="Q28" s="131">
        <v>5.363</v>
      </c>
      <c r="R28" s="131">
        <v>6.645</v>
      </c>
      <c r="S28" s="131">
        <v>5.654</v>
      </c>
      <c r="T28" s="131"/>
      <c r="U28" s="121"/>
      <c r="V28" s="125" t="s">
        <v>538</v>
      </c>
      <c r="W28" s="133">
        <f t="shared" ref="W28:AC28" si="60">D28/M28</f>
        <v>0.0132390096008085</v>
      </c>
      <c r="X28" s="133">
        <f t="shared" si="60"/>
        <v>0.0130538922155689</v>
      </c>
      <c r="Y28" s="133">
        <f t="shared" si="60"/>
        <v>0.0136143497757848</v>
      </c>
      <c r="Z28" s="133">
        <f t="shared" si="60"/>
        <v>0.0139689158453374</v>
      </c>
      <c r="AA28" s="133">
        <f t="shared" si="60"/>
        <v>0.0141711728510162</v>
      </c>
      <c r="AB28" s="136">
        <f t="shared" si="60"/>
        <v>0.0114221218961625</v>
      </c>
      <c r="AC28" s="136">
        <f t="shared" si="60"/>
        <v>0.0134241245136187</v>
      </c>
      <c r="AD28" s="123"/>
      <c r="AE28" s="123"/>
      <c r="AF28" s="133">
        <f t="shared" ref="AF28:AJ28" si="61">W28</f>
        <v>0.0132390096008085</v>
      </c>
      <c r="AG28" s="133">
        <f t="shared" si="61"/>
        <v>0.0130538922155689</v>
      </c>
      <c r="AH28" s="133">
        <f t="shared" si="61"/>
        <v>0.0136143497757848</v>
      </c>
      <c r="AI28" s="133">
        <f t="shared" si="61"/>
        <v>0.0139689158453374</v>
      </c>
      <c r="AJ28" s="133">
        <f t="shared" si="61"/>
        <v>0.0141711728510162</v>
      </c>
      <c r="AK28" s="137">
        <f t="shared" si="41"/>
        <v>0.0131354401805869</v>
      </c>
      <c r="AL28" s="137">
        <f t="shared" si="42"/>
        <v>0.0154377431906615</v>
      </c>
      <c r="AM28" s="123"/>
      <c r="AN28" s="123"/>
      <c r="AO28" s="133">
        <f t="shared" ref="AO28:AS28" si="62">W28</f>
        <v>0.0132390096008085</v>
      </c>
      <c r="AP28" s="133">
        <f t="shared" si="62"/>
        <v>0.0130538922155689</v>
      </c>
      <c r="AQ28" s="133">
        <f t="shared" si="62"/>
        <v>0.0136143497757848</v>
      </c>
      <c r="AR28" s="133">
        <f t="shared" si="62"/>
        <v>0.0139689158453374</v>
      </c>
      <c r="AS28" s="133">
        <f t="shared" si="62"/>
        <v>0.0141711728510162</v>
      </c>
      <c r="AT28" s="137">
        <f t="shared" si="44"/>
        <v>0.00970880361173815</v>
      </c>
      <c r="AU28" s="137">
        <f t="shared" si="45"/>
        <v>0.0114105058365759</v>
      </c>
      <c r="AZ28" s="121"/>
      <c r="BA28" s="125" t="s">
        <v>538</v>
      </c>
      <c r="BB28" s="126">
        <v>85</v>
      </c>
      <c r="BC28" s="133">
        <v>78.6</v>
      </c>
      <c r="BD28" s="133">
        <v>76.3</v>
      </c>
      <c r="BE28" s="133">
        <v>75.9</v>
      </c>
      <c r="BF28" s="133">
        <v>73.7</v>
      </c>
      <c r="BG28" s="133">
        <v>76</v>
      </c>
      <c r="BH28" s="133">
        <v>75.9</v>
      </c>
      <c r="BI28" s="133">
        <v>75.9</v>
      </c>
      <c r="BJ28" s="123"/>
      <c r="BK28" s="123"/>
      <c r="BL28" s="131"/>
      <c r="BM28" s="131"/>
      <c r="BN28" s="131"/>
      <c r="BO28" s="131"/>
      <c r="BP28" s="131"/>
      <c r="BQ28" s="131"/>
      <c r="BR28" s="131"/>
    </row>
    <row r="29" ht="15.5" customHeight="1" spans="1:70">
      <c r="A29" s="121" t="s">
        <v>391</v>
      </c>
      <c r="B29" s="125" t="s">
        <v>531</v>
      </c>
      <c r="C29" s="126">
        <f t="shared" si="46"/>
        <v>0.9068</v>
      </c>
      <c r="D29" s="126">
        <f t="shared" ref="D29:J29" si="63">BC29/1000</f>
        <v>0.8586</v>
      </c>
      <c r="E29" s="126">
        <f t="shared" si="63"/>
        <v>0.8184</v>
      </c>
      <c r="F29" s="126">
        <f t="shared" si="63"/>
        <v>0.8091</v>
      </c>
      <c r="G29" s="126">
        <f t="shared" si="63"/>
        <v>0.7811</v>
      </c>
      <c r="H29" s="126">
        <f t="shared" si="63"/>
        <v>0.8217</v>
      </c>
      <c r="I29" s="126">
        <f t="shared" si="63"/>
        <v>0.8091</v>
      </c>
      <c r="J29" s="126">
        <f t="shared" si="63"/>
        <v>0.8091</v>
      </c>
      <c r="K29" s="123"/>
      <c r="L29" s="123"/>
      <c r="M29" s="131">
        <v>5.937</v>
      </c>
      <c r="N29" s="131">
        <v>5.845</v>
      </c>
      <c r="O29" s="131">
        <v>5.575</v>
      </c>
      <c r="P29" s="131">
        <v>5.276</v>
      </c>
      <c r="Q29" s="131">
        <v>5.363</v>
      </c>
      <c r="R29" s="131">
        <v>6.645</v>
      </c>
      <c r="S29" s="131">
        <v>5.654</v>
      </c>
      <c r="T29" s="131"/>
      <c r="U29" s="121" t="s">
        <v>391</v>
      </c>
      <c r="V29" s="125" t="s">
        <v>531</v>
      </c>
      <c r="W29" s="133">
        <f t="shared" ref="W29:AC29" si="64">D29/M29</f>
        <v>0.144618494188984</v>
      </c>
      <c r="X29" s="133">
        <f t="shared" si="64"/>
        <v>0.140017108639863</v>
      </c>
      <c r="Y29" s="133">
        <f t="shared" si="64"/>
        <v>0.145130044843049</v>
      </c>
      <c r="Z29" s="133">
        <f t="shared" si="64"/>
        <v>0.148047763457165</v>
      </c>
      <c r="AA29" s="133">
        <f t="shared" si="64"/>
        <v>0.153216483311579</v>
      </c>
      <c r="AB29" s="136">
        <f t="shared" si="64"/>
        <v>0.12176072234763</v>
      </c>
      <c r="AC29" s="136">
        <f t="shared" si="64"/>
        <v>0.143102228510789</v>
      </c>
      <c r="AD29" s="123"/>
      <c r="AE29" s="123"/>
      <c r="AF29" s="133">
        <f t="shared" ref="AF29:AJ29" si="65">W29</f>
        <v>0.144618494188984</v>
      </c>
      <c r="AG29" s="133">
        <f t="shared" si="65"/>
        <v>0.140017108639863</v>
      </c>
      <c r="AH29" s="133">
        <f t="shared" si="65"/>
        <v>0.145130044843049</v>
      </c>
      <c r="AI29" s="133">
        <f t="shared" si="65"/>
        <v>0.148047763457165</v>
      </c>
      <c r="AJ29" s="133">
        <f t="shared" si="65"/>
        <v>0.153216483311579</v>
      </c>
      <c r="AK29" s="137">
        <f t="shared" si="41"/>
        <v>0.140024830699774</v>
      </c>
      <c r="AL29" s="137">
        <f t="shared" si="42"/>
        <v>0.164567562787407</v>
      </c>
      <c r="AM29" s="123"/>
      <c r="AN29" s="123"/>
      <c r="AO29" s="133">
        <f t="shared" ref="AO29:AS29" si="66">W29</f>
        <v>0.144618494188984</v>
      </c>
      <c r="AP29" s="133">
        <f t="shared" si="66"/>
        <v>0.140017108639863</v>
      </c>
      <c r="AQ29" s="133">
        <f t="shared" si="66"/>
        <v>0.145130044843049</v>
      </c>
      <c r="AR29" s="133">
        <f t="shared" si="66"/>
        <v>0.148047763457165</v>
      </c>
      <c r="AS29" s="133">
        <f t="shared" si="66"/>
        <v>0.153216483311579</v>
      </c>
      <c r="AT29" s="137">
        <f t="shared" si="44"/>
        <v>0.103496613995485</v>
      </c>
      <c r="AU29" s="137">
        <f t="shared" si="45"/>
        <v>0.12163689423417</v>
      </c>
      <c r="AZ29" s="121" t="s">
        <v>391</v>
      </c>
      <c r="BA29" s="125" t="s">
        <v>531</v>
      </c>
      <c r="BB29" s="126">
        <v>906.8</v>
      </c>
      <c r="BC29" s="133">
        <v>858.6</v>
      </c>
      <c r="BD29" s="133">
        <v>818.4</v>
      </c>
      <c r="BE29" s="133">
        <v>809.1</v>
      </c>
      <c r="BF29" s="133">
        <v>781.1</v>
      </c>
      <c r="BG29" s="133">
        <v>821.7</v>
      </c>
      <c r="BH29" s="133">
        <v>809.1</v>
      </c>
      <c r="BI29" s="133">
        <v>809.1</v>
      </c>
      <c r="BJ29" s="123"/>
      <c r="BK29" s="123"/>
      <c r="BL29" s="131"/>
      <c r="BM29" s="131"/>
      <c r="BN29" s="131"/>
      <c r="BO29" s="131"/>
      <c r="BP29" s="131"/>
      <c r="BQ29" s="131"/>
      <c r="BR29" s="131"/>
    </row>
    <row r="30" ht="15.5" spans="1:70">
      <c r="A30" s="121"/>
      <c r="B30" s="125" t="s">
        <v>533</v>
      </c>
      <c r="C30" s="126">
        <f t="shared" si="46"/>
        <v>0.8303</v>
      </c>
      <c r="D30" s="126">
        <f t="shared" ref="D30:J30" si="67">BC30/1000</f>
        <v>0.7909</v>
      </c>
      <c r="E30" s="126">
        <f t="shared" si="67"/>
        <v>0.7545</v>
      </c>
      <c r="F30" s="126">
        <f t="shared" si="67"/>
        <v>0.746</v>
      </c>
      <c r="G30" s="126">
        <f t="shared" si="67"/>
        <v>0.7199</v>
      </c>
      <c r="H30" s="126">
        <f t="shared" si="67"/>
        <v>0.7584</v>
      </c>
      <c r="I30" s="126">
        <f t="shared" si="67"/>
        <v>0.746</v>
      </c>
      <c r="J30" s="126">
        <f t="shared" si="67"/>
        <v>0.746</v>
      </c>
      <c r="K30" s="123"/>
      <c r="L30" s="123"/>
      <c r="M30" s="131">
        <v>5.937</v>
      </c>
      <c r="N30" s="131">
        <v>5.845</v>
      </c>
      <c r="O30" s="131">
        <v>5.575</v>
      </c>
      <c r="P30" s="131">
        <v>5.276</v>
      </c>
      <c r="Q30" s="131">
        <v>5.363</v>
      </c>
      <c r="R30" s="131">
        <v>6.645</v>
      </c>
      <c r="S30" s="131">
        <v>5.654</v>
      </c>
      <c r="T30" s="131"/>
      <c r="U30" s="121"/>
      <c r="V30" s="125" t="s">
        <v>533</v>
      </c>
      <c r="W30" s="133">
        <f t="shared" ref="W30:AC30" si="68">D30/M30</f>
        <v>0.133215428667677</v>
      </c>
      <c r="X30" s="133">
        <f t="shared" si="68"/>
        <v>0.129084687767322</v>
      </c>
      <c r="Y30" s="133">
        <f t="shared" si="68"/>
        <v>0.133811659192825</v>
      </c>
      <c r="Z30" s="133">
        <f t="shared" si="68"/>
        <v>0.13644806671721</v>
      </c>
      <c r="AA30" s="133">
        <f t="shared" si="68"/>
        <v>0.141413388029088</v>
      </c>
      <c r="AB30" s="136">
        <f t="shared" si="68"/>
        <v>0.112264860797592</v>
      </c>
      <c r="AC30" s="136">
        <f t="shared" si="68"/>
        <v>0.131941987973116</v>
      </c>
      <c r="AD30" s="123"/>
      <c r="AE30" s="123"/>
      <c r="AF30" s="133">
        <f t="shared" ref="AF30:AJ30" si="69">W30</f>
        <v>0.133215428667677</v>
      </c>
      <c r="AG30" s="133">
        <f t="shared" si="69"/>
        <v>0.129084687767322</v>
      </c>
      <c r="AH30" s="133">
        <f t="shared" si="69"/>
        <v>0.133811659192825</v>
      </c>
      <c r="AI30" s="133">
        <f t="shared" si="69"/>
        <v>0.13644806671721</v>
      </c>
      <c r="AJ30" s="133">
        <f t="shared" si="69"/>
        <v>0.141413388029088</v>
      </c>
      <c r="AK30" s="137">
        <f t="shared" si="41"/>
        <v>0.129104589917231</v>
      </c>
      <c r="AL30" s="137">
        <f t="shared" si="42"/>
        <v>0.151733286169084</v>
      </c>
      <c r="AM30" s="123"/>
      <c r="AN30" s="123"/>
      <c r="AO30" s="133">
        <f t="shared" ref="AO30:AS30" si="70">W30</f>
        <v>0.133215428667677</v>
      </c>
      <c r="AP30" s="133">
        <f t="shared" si="70"/>
        <v>0.129084687767322</v>
      </c>
      <c r="AQ30" s="133">
        <f t="shared" si="70"/>
        <v>0.133811659192825</v>
      </c>
      <c r="AR30" s="133">
        <f t="shared" si="70"/>
        <v>0.13644806671721</v>
      </c>
      <c r="AS30" s="133">
        <f t="shared" si="70"/>
        <v>0.141413388029088</v>
      </c>
      <c r="AT30" s="137">
        <f t="shared" si="44"/>
        <v>0.0954251316779534</v>
      </c>
      <c r="AU30" s="137">
        <f t="shared" si="45"/>
        <v>0.112150689777149</v>
      </c>
      <c r="AZ30" s="121"/>
      <c r="BA30" s="125" t="s">
        <v>533</v>
      </c>
      <c r="BB30" s="126">
        <v>830.3</v>
      </c>
      <c r="BC30" s="133">
        <v>790.9</v>
      </c>
      <c r="BD30" s="133">
        <v>754.5</v>
      </c>
      <c r="BE30" s="133">
        <v>746</v>
      </c>
      <c r="BF30" s="133">
        <v>719.9</v>
      </c>
      <c r="BG30" s="133">
        <v>758.4</v>
      </c>
      <c r="BH30" s="133">
        <v>746</v>
      </c>
      <c r="BI30" s="133">
        <v>746</v>
      </c>
      <c r="BJ30" s="123"/>
      <c r="BK30" s="123"/>
      <c r="BL30" s="131"/>
      <c r="BM30" s="131"/>
      <c r="BN30" s="131"/>
      <c r="BO30" s="131"/>
      <c r="BP30" s="131"/>
      <c r="BQ30" s="131"/>
      <c r="BR30" s="131"/>
    </row>
    <row r="31" ht="15.5" spans="1:70">
      <c r="A31" s="121"/>
      <c r="B31" s="125" t="s">
        <v>535</v>
      </c>
      <c r="C31" s="126">
        <f t="shared" si="46"/>
        <v>0.2079</v>
      </c>
      <c r="D31" s="126">
        <f t="shared" ref="D31:J31" si="71">BC31/1000</f>
        <v>0.1842</v>
      </c>
      <c r="E31" s="126">
        <f t="shared" si="71"/>
        <v>0.1746</v>
      </c>
      <c r="F31" s="126">
        <f t="shared" si="71"/>
        <v>0.1724</v>
      </c>
      <c r="G31" s="126">
        <f t="shared" si="71"/>
        <v>0.1687</v>
      </c>
      <c r="H31" s="126">
        <f t="shared" si="71"/>
        <v>0.1747</v>
      </c>
      <c r="I31" s="126">
        <f t="shared" si="71"/>
        <v>0.1724</v>
      </c>
      <c r="J31" s="126">
        <f t="shared" si="71"/>
        <v>0.1724</v>
      </c>
      <c r="K31" s="123"/>
      <c r="L31" s="123"/>
      <c r="M31" s="131">
        <v>5.937</v>
      </c>
      <c r="N31" s="131">
        <v>5.845</v>
      </c>
      <c r="O31" s="131">
        <v>5.575</v>
      </c>
      <c r="P31" s="131">
        <v>5.276</v>
      </c>
      <c r="Q31" s="131">
        <v>5.363</v>
      </c>
      <c r="R31" s="131">
        <v>6.645</v>
      </c>
      <c r="S31" s="131">
        <v>5.654</v>
      </c>
      <c r="T31" s="131"/>
      <c r="U31" s="121"/>
      <c r="V31" s="125" t="s">
        <v>535</v>
      </c>
      <c r="W31" s="133">
        <f t="shared" ref="W31:AC31" si="72">D31/M31</f>
        <v>0.0310257705912077</v>
      </c>
      <c r="X31" s="133">
        <f t="shared" si="72"/>
        <v>0.0298716852010265</v>
      </c>
      <c r="Y31" s="133">
        <f t="shared" si="72"/>
        <v>0.0309237668161435</v>
      </c>
      <c r="Z31" s="133">
        <f t="shared" si="72"/>
        <v>0.0319749810462472</v>
      </c>
      <c r="AA31" s="133">
        <f t="shared" si="72"/>
        <v>0.0325750512772702</v>
      </c>
      <c r="AB31" s="136">
        <f t="shared" si="72"/>
        <v>0.0259443190368698</v>
      </c>
      <c r="AC31" s="136">
        <f t="shared" si="72"/>
        <v>0.0304916873010258</v>
      </c>
      <c r="AD31" s="123"/>
      <c r="AE31" s="123"/>
      <c r="AF31" s="133">
        <f t="shared" ref="AF31:AJ31" si="73">W31</f>
        <v>0.0310257705912077</v>
      </c>
      <c r="AG31" s="133">
        <f t="shared" si="73"/>
        <v>0.0298716852010265</v>
      </c>
      <c r="AH31" s="133">
        <f t="shared" si="73"/>
        <v>0.0309237668161435</v>
      </c>
      <c r="AI31" s="133">
        <f t="shared" si="73"/>
        <v>0.0319749810462472</v>
      </c>
      <c r="AJ31" s="133">
        <f t="shared" si="73"/>
        <v>0.0325750512772702</v>
      </c>
      <c r="AK31" s="137">
        <f t="shared" si="41"/>
        <v>0.0298359668924003</v>
      </c>
      <c r="AL31" s="137">
        <f t="shared" si="42"/>
        <v>0.0350654403961797</v>
      </c>
      <c r="AM31" s="123"/>
      <c r="AN31" s="123"/>
      <c r="AO31" s="133">
        <f t="shared" ref="AO31:AS31" si="74">W31</f>
        <v>0.0310257705912077</v>
      </c>
      <c r="AP31" s="133">
        <f t="shared" si="74"/>
        <v>0.0298716852010265</v>
      </c>
      <c r="AQ31" s="133">
        <f t="shared" si="74"/>
        <v>0.0309237668161435</v>
      </c>
      <c r="AR31" s="133">
        <f t="shared" si="74"/>
        <v>0.0319749810462472</v>
      </c>
      <c r="AS31" s="133">
        <f t="shared" si="74"/>
        <v>0.0325750512772702</v>
      </c>
      <c r="AT31" s="137">
        <f t="shared" si="44"/>
        <v>0.0220526711813394</v>
      </c>
      <c r="AU31" s="137">
        <f t="shared" si="45"/>
        <v>0.0259179342058719</v>
      </c>
      <c r="AZ31" s="121"/>
      <c r="BA31" s="125" t="s">
        <v>535</v>
      </c>
      <c r="BB31" s="126">
        <v>207.9</v>
      </c>
      <c r="BC31" s="133">
        <v>184.2</v>
      </c>
      <c r="BD31" s="133">
        <v>174.6</v>
      </c>
      <c r="BE31" s="133">
        <v>172.4</v>
      </c>
      <c r="BF31" s="133">
        <v>168.7</v>
      </c>
      <c r="BG31" s="133">
        <v>174.7</v>
      </c>
      <c r="BH31" s="133">
        <v>172.4</v>
      </c>
      <c r="BI31" s="133">
        <v>172.4</v>
      </c>
      <c r="BJ31" s="123"/>
      <c r="BK31" s="123"/>
      <c r="BL31" s="131"/>
      <c r="BM31" s="131"/>
      <c r="BN31" s="131"/>
      <c r="BO31" s="131"/>
      <c r="BP31" s="131"/>
      <c r="BQ31" s="131"/>
      <c r="BR31" s="131"/>
    </row>
    <row r="32" ht="15.5" spans="1:70">
      <c r="A32" s="121"/>
      <c r="B32" s="125" t="s">
        <v>537</v>
      </c>
      <c r="C32" s="126">
        <f t="shared" si="46"/>
        <v>0.5747</v>
      </c>
      <c r="D32" s="126">
        <f t="shared" ref="D32:J32" si="75">BC32/1000</f>
        <v>0.5597</v>
      </c>
      <c r="E32" s="126">
        <f t="shared" si="75"/>
        <v>0.534</v>
      </c>
      <c r="F32" s="126">
        <f t="shared" si="75"/>
        <v>0.528</v>
      </c>
      <c r="G32" s="126">
        <f t="sh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 r="S32" s="131">
        <v>5.654</v>
      </c>
      <c r="T32" s="131"/>
      <c r="U32" s="121"/>
      <c r="V32" s="125" t="s">
        <v>537</v>
      </c>
      <c r="W32" s="133">
        <f t="shared" ref="W32:AC32" si="76">D32/M32</f>
        <v>0.0942732019538488</v>
      </c>
      <c r="X32" s="133">
        <f t="shared" si="76"/>
        <v>0.0913601368691189</v>
      </c>
      <c r="Y32" s="133">
        <f t="shared" si="76"/>
        <v>0.0947085201793722</v>
      </c>
      <c r="Z32" s="133">
        <f t="shared" si="76"/>
        <v>0.0959249431387415</v>
      </c>
      <c r="AA32" s="133">
        <f t="shared" si="76"/>
        <v>0.100111877680403</v>
      </c>
      <c r="AB32" s="136">
        <f t="shared" si="76"/>
        <v>0.0794582392776524</v>
      </c>
      <c r="AC32" s="136">
        <f t="shared" si="76"/>
        <v>0.0933852140077821</v>
      </c>
      <c r="AD32" s="123"/>
      <c r="AE32" s="123"/>
      <c r="AF32" s="133">
        <f t="shared" ref="AF32:AJ32" si="77">W32</f>
        <v>0.0942732019538488</v>
      </c>
      <c r="AG32" s="133">
        <f t="shared" si="77"/>
        <v>0.0913601368691189</v>
      </c>
      <c r="AH32" s="133">
        <f t="shared" si="77"/>
        <v>0.0947085201793722</v>
      </c>
      <c r="AI32" s="133">
        <f t="shared" si="77"/>
        <v>0.0959249431387415</v>
      </c>
      <c r="AJ32" s="133">
        <f t="shared" si="77"/>
        <v>0.100111877680403</v>
      </c>
      <c r="AK32" s="137">
        <f t="shared" si="41"/>
        <v>0.0913769751693002</v>
      </c>
      <c r="AL32" s="137">
        <f t="shared" si="42"/>
        <v>0.107392996108949</v>
      </c>
      <c r="AM32" s="123"/>
      <c r="AN32" s="123"/>
      <c r="AO32" s="133">
        <f t="shared" ref="AO32:AS32" si="78">W32</f>
        <v>0.0942732019538488</v>
      </c>
      <c r="AP32" s="133">
        <f t="shared" si="78"/>
        <v>0.0913601368691189</v>
      </c>
      <c r="AQ32" s="133">
        <f t="shared" si="78"/>
        <v>0.0947085201793722</v>
      </c>
      <c r="AR32" s="133">
        <f t="shared" si="78"/>
        <v>0.0959249431387415</v>
      </c>
      <c r="AS32" s="133">
        <f t="shared" si="78"/>
        <v>0.100111877680403</v>
      </c>
      <c r="AT32" s="137">
        <f t="shared" si="44"/>
        <v>0.0675395033860045</v>
      </c>
      <c r="AU32" s="137">
        <f t="shared" si="45"/>
        <v>0.0793774319066148</v>
      </c>
      <c r="AZ32" s="121"/>
      <c r="BA32" s="125" t="s">
        <v>537</v>
      </c>
      <c r="BB32" s="126">
        <v>574.7</v>
      </c>
      <c r="BC32" s="133">
        <v>559.7</v>
      </c>
      <c r="BD32" s="133">
        <v>534</v>
      </c>
      <c r="BE32" s="133">
        <v>528</v>
      </c>
      <c r="BF32" s="133">
        <v>506.1</v>
      </c>
      <c r="BG32" s="133">
        <v>536.9</v>
      </c>
      <c r="BH32" s="133">
        <v>528</v>
      </c>
      <c r="BI32" s="133">
        <v>528</v>
      </c>
      <c r="BJ32" s="123"/>
      <c r="BK32" s="123"/>
      <c r="BL32" s="131"/>
      <c r="BM32" s="131"/>
      <c r="BN32" s="131"/>
      <c r="BO32" s="131"/>
      <c r="BP32" s="131"/>
      <c r="BQ32" s="131"/>
      <c r="BR32" s="131"/>
    </row>
    <row r="33" ht="15.5" spans="1:70">
      <c r="A33" s="121"/>
      <c r="B33" s="125" t="s">
        <v>538</v>
      </c>
      <c r="C33" s="126">
        <f t="shared" si="46"/>
        <v>0.088</v>
      </c>
      <c r="D33" s="126">
        <f t="shared" ref="D33:J33" si="79">BC33/1000</f>
        <v>0.0814</v>
      </c>
      <c r="E33" s="126">
        <f t="shared" si="79"/>
        <v>0.079</v>
      </c>
      <c r="F33" s="126">
        <f t="shared" si="79"/>
        <v>0.0785</v>
      </c>
      <c r="G33" s="126">
        <f t="shared" si="79"/>
        <v>0.0764</v>
      </c>
      <c r="H33" s="126">
        <f t="shared" si="79"/>
        <v>0.0787</v>
      </c>
      <c r="I33" s="126">
        <f t="shared" si="79"/>
        <v>0.0785</v>
      </c>
      <c r="J33" s="126">
        <f t="shared" si="79"/>
        <v>0.0785</v>
      </c>
      <c r="K33" s="123"/>
      <c r="L33" s="123"/>
      <c r="M33" s="131">
        <v>5.937</v>
      </c>
      <c r="N33" s="131">
        <v>5.845</v>
      </c>
      <c r="O33" s="131">
        <v>5.575</v>
      </c>
      <c r="P33" s="131">
        <v>5.276</v>
      </c>
      <c r="Q33" s="131">
        <v>5.363</v>
      </c>
      <c r="R33" s="131">
        <v>6.645</v>
      </c>
      <c r="S33" s="131">
        <v>5.654</v>
      </c>
      <c r="T33" s="131"/>
      <c r="U33" s="121"/>
      <c r="V33" s="125" t="s">
        <v>538</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41"/>
        <v>0.0135854025583145</v>
      </c>
      <c r="AL33" s="137">
        <f t="shared" si="4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44"/>
        <v>0.0100413844996238</v>
      </c>
      <c r="AU33" s="137">
        <f t="shared" si="45"/>
        <v>0.0118013795542978</v>
      </c>
      <c r="AZ33" s="121"/>
      <c r="BA33" s="125" t="s">
        <v>538</v>
      </c>
      <c r="BB33" s="126">
        <v>88</v>
      </c>
      <c r="BC33" s="133">
        <v>81.4</v>
      </c>
      <c r="BD33" s="133">
        <v>79</v>
      </c>
      <c r="BE33" s="133">
        <v>78.5</v>
      </c>
      <c r="BF33" s="133">
        <v>76.4</v>
      </c>
      <c r="BG33" s="133">
        <v>78.7</v>
      </c>
      <c r="BH33" s="133">
        <v>78.5</v>
      </c>
      <c r="BI33" s="133">
        <v>78.5</v>
      </c>
      <c r="BJ33" s="123"/>
      <c r="BK33" s="123"/>
      <c r="BL33" s="131"/>
      <c r="BM33" s="131"/>
      <c r="BN33" s="131"/>
      <c r="BO33" s="131"/>
      <c r="BP33" s="131"/>
      <c r="BQ33" s="131"/>
      <c r="BR33" s="131"/>
    </row>
    <row r="34" ht="15.5" customHeight="1" spans="1:70">
      <c r="A34" s="121" t="s">
        <v>401</v>
      </c>
      <c r="B34" s="125" t="s">
        <v>531</v>
      </c>
      <c r="C34" s="126">
        <f t="shared" si="46"/>
        <v>0.9217</v>
      </c>
      <c r="D34" s="126">
        <f t="shared" ref="D34:J34" si="83">BC34/1000</f>
        <v>0.8721</v>
      </c>
      <c r="E34" s="126">
        <f t="shared" si="83"/>
        <v>0.8313</v>
      </c>
      <c r="F34" s="126">
        <f t="shared" si="83"/>
        <v>0.8218</v>
      </c>
      <c r="G34" s="126">
        <f t="shared" si="83"/>
        <v>0.794</v>
      </c>
      <c r="H34" s="126">
        <f t="shared" si="83"/>
        <v>0.835</v>
      </c>
      <c r="I34" s="126">
        <f t="shared" si="83"/>
        <v>0.8218</v>
      </c>
      <c r="J34" s="126">
        <f t="shared" si="83"/>
        <v>0.8218</v>
      </c>
      <c r="K34" s="123"/>
      <c r="L34" s="123"/>
      <c r="M34" s="131">
        <v>5.937</v>
      </c>
      <c r="N34" s="131">
        <v>5.845</v>
      </c>
      <c r="O34" s="131">
        <v>5.575</v>
      </c>
      <c r="P34" s="131">
        <v>5.276</v>
      </c>
      <c r="Q34" s="131">
        <v>5.363</v>
      </c>
      <c r="R34" s="131">
        <v>6.645</v>
      </c>
      <c r="S34" s="131">
        <v>5.654</v>
      </c>
      <c r="T34" s="131"/>
      <c r="U34" s="121" t="s">
        <v>401</v>
      </c>
      <c r="V34" s="125" t="s">
        <v>531</v>
      </c>
      <c r="W34" s="133">
        <f t="shared" ref="W34:AC34" si="84">D34/M34</f>
        <v>0.14689236988378</v>
      </c>
      <c r="X34" s="133">
        <f t="shared" si="84"/>
        <v>0.142224123182207</v>
      </c>
      <c r="Y34" s="133">
        <f t="shared" si="84"/>
        <v>0.147408071748879</v>
      </c>
      <c r="Z34" s="133">
        <f t="shared" si="84"/>
        <v>0.15049279757392</v>
      </c>
      <c r="AA34" s="133">
        <f t="shared" si="84"/>
        <v>0.155696438560507</v>
      </c>
      <c r="AB34" s="136">
        <f t="shared" si="84"/>
        <v>0.123671933784801</v>
      </c>
      <c r="AC34" s="136">
        <f t="shared" si="84"/>
        <v>0.145348425893173</v>
      </c>
      <c r="AD34" s="123"/>
      <c r="AE34" s="123"/>
      <c r="AF34" s="133">
        <f t="shared" ref="AF34:AJ34" si="85">W34</f>
        <v>0.14689236988378</v>
      </c>
      <c r="AG34" s="133">
        <f t="shared" si="85"/>
        <v>0.142224123182207</v>
      </c>
      <c r="AH34" s="133">
        <f t="shared" si="85"/>
        <v>0.147408071748879</v>
      </c>
      <c r="AI34" s="133">
        <f t="shared" si="85"/>
        <v>0.15049279757392</v>
      </c>
      <c r="AJ34" s="133">
        <f t="shared" si="85"/>
        <v>0.155696438560507</v>
      </c>
      <c r="AK34" s="137">
        <f t="shared" si="41"/>
        <v>0.142222723852521</v>
      </c>
      <c r="AL34" s="137">
        <f t="shared" si="42"/>
        <v>0.167150689777149</v>
      </c>
      <c r="AM34" s="123"/>
      <c r="AN34" s="123"/>
      <c r="AO34" s="133">
        <f t="shared" ref="AO34:AS34" si="86">W34</f>
        <v>0.14689236988378</v>
      </c>
      <c r="AP34" s="133">
        <f t="shared" si="86"/>
        <v>0.142224123182207</v>
      </c>
      <c r="AQ34" s="133">
        <f t="shared" si="86"/>
        <v>0.147408071748879</v>
      </c>
      <c r="AR34" s="133">
        <f t="shared" si="86"/>
        <v>0.15049279757392</v>
      </c>
      <c r="AS34" s="133">
        <f t="shared" si="86"/>
        <v>0.155696438560507</v>
      </c>
      <c r="AT34" s="137">
        <f t="shared" si="44"/>
        <v>0.105121143717081</v>
      </c>
      <c r="AU34" s="137">
        <f t="shared" si="45"/>
        <v>0.123546162009197</v>
      </c>
      <c r="AZ34" s="121" t="s">
        <v>401</v>
      </c>
      <c r="BA34" s="125" t="s">
        <v>531</v>
      </c>
      <c r="BB34" s="126">
        <v>921.7</v>
      </c>
      <c r="BC34" s="133">
        <v>872.1</v>
      </c>
      <c r="BD34" s="133">
        <v>831.3</v>
      </c>
      <c r="BE34" s="133">
        <v>821.8</v>
      </c>
      <c r="BF34" s="133">
        <v>794</v>
      </c>
      <c r="BG34" s="133">
        <v>835</v>
      </c>
      <c r="BH34" s="133">
        <v>821.8</v>
      </c>
      <c r="BI34" s="133">
        <v>821.8</v>
      </c>
      <c r="BJ34" s="123"/>
      <c r="BK34" s="123"/>
      <c r="BL34" s="131"/>
      <c r="BM34" s="131"/>
      <c r="BN34" s="131"/>
      <c r="BO34" s="131"/>
      <c r="BP34" s="131"/>
      <c r="BQ34" s="131"/>
      <c r="BR34" s="131"/>
    </row>
    <row r="35" ht="15.5" spans="1:70">
      <c r="A35" s="121"/>
      <c r="B35" s="125" t="s">
        <v>533</v>
      </c>
      <c r="C35" s="126">
        <f t="shared" si="46"/>
        <v>0.8422</v>
      </c>
      <c r="D35" s="126">
        <f t="shared" ref="D35:J35" si="87">BC35/1000</f>
        <v>0.8018</v>
      </c>
      <c r="E35" s="126">
        <f t="shared" si="87"/>
        <v>0.7648</v>
      </c>
      <c r="F35" s="126">
        <f t="shared" si="87"/>
        <v>0.7562</v>
      </c>
      <c r="G35" s="126">
        <f t="shared" si="87"/>
        <v>0.7302</v>
      </c>
      <c r="H35" s="126">
        <f t="shared" si="87"/>
        <v>0.7691</v>
      </c>
      <c r="I35" s="126">
        <f t="shared" si="87"/>
        <v>0.7562</v>
      </c>
      <c r="J35" s="126">
        <f t="shared" si="87"/>
        <v>0.7562</v>
      </c>
      <c r="K35" s="123"/>
      <c r="L35" s="123"/>
      <c r="M35" s="131">
        <v>5.937</v>
      </c>
      <c r="N35" s="131">
        <v>5.845</v>
      </c>
      <c r="O35" s="131">
        <v>5.575</v>
      </c>
      <c r="P35" s="131">
        <v>5.276</v>
      </c>
      <c r="Q35" s="131">
        <v>5.363</v>
      </c>
      <c r="R35" s="131">
        <v>6.645</v>
      </c>
      <c r="S35" s="131">
        <v>5.654</v>
      </c>
      <c r="T35" s="131"/>
      <c r="U35" s="121"/>
      <c r="V35" s="125" t="s">
        <v>533</v>
      </c>
      <c r="W35" s="133">
        <f t="shared" ref="W35:AC35" si="88">D35/M35</f>
        <v>0.135051372747179</v>
      </c>
      <c r="X35" s="133">
        <f t="shared" si="88"/>
        <v>0.130846877673225</v>
      </c>
      <c r="Y35" s="133">
        <f t="shared" si="88"/>
        <v>0.135641255605381</v>
      </c>
      <c r="Z35" s="133">
        <f t="shared" si="88"/>
        <v>0.138400303260046</v>
      </c>
      <c r="AA35" s="133">
        <f t="shared" si="88"/>
        <v>0.143408539996271</v>
      </c>
      <c r="AB35" s="136">
        <f t="shared" si="88"/>
        <v>0.11379984951091</v>
      </c>
      <c r="AC35" s="136">
        <f t="shared" si="88"/>
        <v>0.133746020516449</v>
      </c>
      <c r="AD35" s="123"/>
      <c r="AE35" s="123"/>
      <c r="AF35" s="133">
        <f t="shared" ref="AF35:AJ35" si="89">W35</f>
        <v>0.135051372747179</v>
      </c>
      <c r="AG35" s="133">
        <f t="shared" si="89"/>
        <v>0.130846877673225</v>
      </c>
      <c r="AH35" s="133">
        <f t="shared" si="89"/>
        <v>0.135641255605381</v>
      </c>
      <c r="AI35" s="133">
        <f t="shared" si="89"/>
        <v>0.138400303260046</v>
      </c>
      <c r="AJ35" s="133">
        <f t="shared" si="89"/>
        <v>0.143408539996271</v>
      </c>
      <c r="AK35" s="137">
        <f t="shared" si="41"/>
        <v>0.130869826937547</v>
      </c>
      <c r="AL35" s="137">
        <f t="shared" si="42"/>
        <v>0.153807923593916</v>
      </c>
      <c r="AM35" s="123"/>
      <c r="AN35" s="123"/>
      <c r="AO35" s="133">
        <f t="shared" ref="AO35:AS35" si="90">W35</f>
        <v>0.135051372747179</v>
      </c>
      <c r="AP35" s="133">
        <f t="shared" si="90"/>
        <v>0.130846877673225</v>
      </c>
      <c r="AQ35" s="133">
        <f t="shared" si="90"/>
        <v>0.135641255605381</v>
      </c>
      <c r="AR35" s="133">
        <f t="shared" si="90"/>
        <v>0.138400303260046</v>
      </c>
      <c r="AS35" s="133">
        <f t="shared" si="90"/>
        <v>0.143408539996271</v>
      </c>
      <c r="AT35" s="137">
        <f t="shared" si="44"/>
        <v>0.0967298720842739</v>
      </c>
      <c r="AU35" s="137">
        <f t="shared" si="45"/>
        <v>0.113684117438981</v>
      </c>
      <c r="AZ35" s="121"/>
      <c r="BA35" s="125" t="s">
        <v>533</v>
      </c>
      <c r="BB35" s="126">
        <v>842.2</v>
      </c>
      <c r="BC35" s="133">
        <v>801.8</v>
      </c>
      <c r="BD35" s="133">
        <v>764.8</v>
      </c>
      <c r="BE35" s="133">
        <v>756.2</v>
      </c>
      <c r="BF35" s="133">
        <v>730.2</v>
      </c>
      <c r="BG35" s="133">
        <v>769.1</v>
      </c>
      <c r="BH35" s="133">
        <v>756.2</v>
      </c>
      <c r="BI35" s="133">
        <v>756.2</v>
      </c>
      <c r="BJ35" s="123"/>
      <c r="BK35" s="123"/>
      <c r="BL35" s="131"/>
      <c r="BM35" s="131"/>
      <c r="BN35" s="131"/>
      <c r="BO35" s="131"/>
      <c r="BP35" s="131"/>
      <c r="BQ35" s="131"/>
      <c r="BR35" s="131"/>
    </row>
    <row r="36" ht="15.5" spans="1:70">
      <c r="A36" s="121"/>
      <c r="B36" s="125" t="s">
        <v>535</v>
      </c>
      <c r="C36" s="126">
        <f t="shared" si="46"/>
        <v>0.2694</v>
      </c>
      <c r="D36" s="126">
        <f t="shared" ref="D36:J36" si="91">BC36/1000</f>
        <v>0.2401</v>
      </c>
      <c r="E36" s="126">
        <f t="shared" si="91"/>
        <v>0.2278</v>
      </c>
      <c r="F36" s="126">
        <f t="shared" si="91"/>
        <v>0.2249</v>
      </c>
      <c r="G36" s="126">
        <f t="shared" si="91"/>
        <v>0.2217</v>
      </c>
      <c r="H36" s="126">
        <f t="shared" si="91"/>
        <v>0.2296</v>
      </c>
      <c r="I36" s="126">
        <f t="shared" si="91"/>
        <v>0.2249</v>
      </c>
      <c r="J36" s="126">
        <f t="shared" si="91"/>
        <v>0.2249</v>
      </c>
      <c r="K36" s="123"/>
      <c r="L36" s="123"/>
      <c r="M36" s="131">
        <v>5.937</v>
      </c>
      <c r="N36" s="131">
        <v>5.845</v>
      </c>
      <c r="O36" s="131">
        <v>5.575</v>
      </c>
      <c r="P36" s="131">
        <v>5.276</v>
      </c>
      <c r="Q36" s="131">
        <v>5.363</v>
      </c>
      <c r="R36" s="131">
        <v>6.645</v>
      </c>
      <c r="S36" s="131">
        <v>5.654</v>
      </c>
      <c r="T36" s="131"/>
      <c r="U36" s="121"/>
      <c r="V36" s="125" t="s">
        <v>535</v>
      </c>
      <c r="W36" s="133">
        <f t="shared" ref="W36:AC36" si="92">D36/M36</f>
        <v>0.0404413003200269</v>
      </c>
      <c r="X36" s="133">
        <f t="shared" si="92"/>
        <v>0.0389734816082122</v>
      </c>
      <c r="Y36" s="133">
        <f t="shared" si="92"/>
        <v>0.0403408071748879</v>
      </c>
      <c r="Z36" s="133">
        <f t="shared" si="92"/>
        <v>0.0420204700530705</v>
      </c>
      <c r="AA36" s="133">
        <f t="shared" si="92"/>
        <v>0.0428118590341227</v>
      </c>
      <c r="AB36" s="136">
        <f t="shared" si="92"/>
        <v>0.0338449962377728</v>
      </c>
      <c r="AC36" s="136">
        <f t="shared" si="92"/>
        <v>0.0397771489211178</v>
      </c>
      <c r="AD36" s="123"/>
      <c r="AE36" s="123"/>
      <c r="AF36" s="133">
        <f t="shared" ref="AF36:AJ36" si="93">W36</f>
        <v>0.0404413003200269</v>
      </c>
      <c r="AG36" s="133">
        <f t="shared" si="93"/>
        <v>0.0389734816082122</v>
      </c>
      <c r="AH36" s="133">
        <f t="shared" si="93"/>
        <v>0.0403408071748879</v>
      </c>
      <c r="AI36" s="133">
        <f t="shared" si="93"/>
        <v>0.0420204700530705</v>
      </c>
      <c r="AJ36" s="133">
        <f t="shared" si="93"/>
        <v>0.0428118590341227</v>
      </c>
      <c r="AK36" s="137">
        <f t="shared" si="41"/>
        <v>0.0389217456734387</v>
      </c>
      <c r="AL36" s="137">
        <f t="shared" si="42"/>
        <v>0.0457437212592855</v>
      </c>
      <c r="AM36" s="123"/>
      <c r="AN36" s="123"/>
      <c r="AO36" s="133">
        <f t="shared" ref="AO36:AS36" si="94">W36</f>
        <v>0.0404413003200269</v>
      </c>
      <c r="AP36" s="133">
        <f t="shared" si="94"/>
        <v>0.0389734816082122</v>
      </c>
      <c r="AQ36" s="133">
        <f t="shared" si="94"/>
        <v>0.0403408071748879</v>
      </c>
      <c r="AR36" s="133">
        <f t="shared" si="94"/>
        <v>0.0420204700530705</v>
      </c>
      <c r="AS36" s="133">
        <f t="shared" si="94"/>
        <v>0.0428118590341227</v>
      </c>
      <c r="AT36" s="137">
        <f t="shared" si="44"/>
        <v>0.0287682468021069</v>
      </c>
      <c r="AU36" s="137">
        <f t="shared" si="45"/>
        <v>0.0338105765829501</v>
      </c>
      <c r="AZ36" s="121"/>
      <c r="BA36" s="125" t="s">
        <v>535</v>
      </c>
      <c r="BB36" s="126">
        <v>269.4</v>
      </c>
      <c r="BC36" s="133">
        <v>240.1</v>
      </c>
      <c r="BD36" s="133">
        <v>227.8</v>
      </c>
      <c r="BE36" s="133">
        <v>224.9</v>
      </c>
      <c r="BF36" s="133">
        <v>221.7</v>
      </c>
      <c r="BG36" s="133">
        <v>229.6</v>
      </c>
      <c r="BH36" s="133">
        <v>224.9</v>
      </c>
      <c r="BI36" s="133">
        <v>224.9</v>
      </c>
      <c r="BJ36" s="123"/>
      <c r="BK36" s="123"/>
      <c r="BL36" s="131"/>
      <c r="BM36" s="131"/>
      <c r="BN36" s="131"/>
      <c r="BO36" s="131"/>
      <c r="BP36" s="131"/>
      <c r="BQ36" s="131"/>
      <c r="BR36" s="131"/>
    </row>
    <row r="37" ht="15.5" spans="1:70">
      <c r="A37" s="121"/>
      <c r="B37" s="125" t="s">
        <v>537</v>
      </c>
      <c r="C37" s="126">
        <f t="shared" si="46"/>
        <v>0.5273</v>
      </c>
      <c r="D37" s="126">
        <f t="shared" ref="D37:J37" si="95">BC37/1000</f>
        <v>0.5167</v>
      </c>
      <c r="E37" s="126">
        <f t="shared" si="95"/>
        <v>0.4931</v>
      </c>
      <c r="F37" s="126">
        <f t="shared" si="95"/>
        <v>0.4875</v>
      </c>
      <c r="G37" s="126">
        <f t="shared" si="95"/>
        <v>0.4653</v>
      </c>
      <c r="H37" s="126">
        <f t="shared" si="95"/>
        <v>0.4946</v>
      </c>
      <c r="I37" s="126">
        <f t="shared" si="95"/>
        <v>0.4875</v>
      </c>
      <c r="J37" s="126">
        <f t="shared" si="95"/>
        <v>0.4875</v>
      </c>
      <c r="K37" s="123"/>
      <c r="L37" s="123"/>
      <c r="M37" s="131">
        <v>5.937</v>
      </c>
      <c r="N37" s="131">
        <v>5.845</v>
      </c>
      <c r="O37" s="131">
        <v>5.575</v>
      </c>
      <c r="P37" s="131">
        <v>5.276</v>
      </c>
      <c r="Q37" s="131">
        <v>5.363</v>
      </c>
      <c r="R37" s="131">
        <v>6.645</v>
      </c>
      <c r="S37" s="131">
        <v>5.654</v>
      </c>
      <c r="T37" s="131"/>
      <c r="U37" s="121"/>
      <c r="V37" s="125" t="s">
        <v>537</v>
      </c>
      <c r="W37" s="133">
        <f t="shared" ref="W37:AC37" si="96">D37/M37</f>
        <v>0.0870304867778339</v>
      </c>
      <c r="X37" s="133">
        <f t="shared" si="96"/>
        <v>0.0843627031650984</v>
      </c>
      <c r="Y37" s="133">
        <f t="shared" si="96"/>
        <v>0.0874439461883408</v>
      </c>
      <c r="Z37" s="133">
        <f t="shared" si="96"/>
        <v>0.0881918119787718</v>
      </c>
      <c r="AA37" s="133">
        <f t="shared" si="96"/>
        <v>0.0922245012120082</v>
      </c>
      <c r="AB37" s="136">
        <f t="shared" si="96"/>
        <v>0.0733634311512415</v>
      </c>
      <c r="AC37" s="136">
        <f t="shared" si="96"/>
        <v>0.0862221436151397</v>
      </c>
      <c r="AD37" s="123"/>
      <c r="AE37" s="123"/>
      <c r="AF37" s="133">
        <f t="shared" ref="AF37:AJ37" si="97">W37</f>
        <v>0.0870304867778339</v>
      </c>
      <c r="AG37" s="133">
        <f t="shared" si="97"/>
        <v>0.0843627031650984</v>
      </c>
      <c r="AH37" s="133">
        <f t="shared" si="97"/>
        <v>0.0874439461883408</v>
      </c>
      <c r="AI37" s="133">
        <f t="shared" si="97"/>
        <v>0.0881918119787718</v>
      </c>
      <c r="AJ37" s="133">
        <f t="shared" si="97"/>
        <v>0.0922245012120082</v>
      </c>
      <c r="AK37" s="137">
        <f t="shared" si="41"/>
        <v>0.0843679458239278</v>
      </c>
      <c r="AL37" s="137">
        <f t="shared" si="42"/>
        <v>0.0991554651574107</v>
      </c>
      <c r="AM37" s="123"/>
      <c r="AN37" s="123"/>
      <c r="AO37" s="133">
        <f t="shared" ref="AO37:AS37" si="98">W37</f>
        <v>0.0870304867778339</v>
      </c>
      <c r="AP37" s="133">
        <f t="shared" si="98"/>
        <v>0.0843627031650984</v>
      </c>
      <c r="AQ37" s="133">
        <f t="shared" si="98"/>
        <v>0.0874439461883408</v>
      </c>
      <c r="AR37" s="133">
        <f t="shared" si="98"/>
        <v>0.0881918119787718</v>
      </c>
      <c r="AS37" s="133">
        <f t="shared" si="98"/>
        <v>0.0922245012120082</v>
      </c>
      <c r="AT37" s="137">
        <f t="shared" si="44"/>
        <v>0.0623589164785553</v>
      </c>
      <c r="AU37" s="137">
        <f t="shared" si="45"/>
        <v>0.0732888220728688</v>
      </c>
      <c r="AZ37" s="121"/>
      <c r="BA37" s="125" t="s">
        <v>537</v>
      </c>
      <c r="BB37" s="126">
        <v>527.3</v>
      </c>
      <c r="BC37" s="133">
        <v>516.7</v>
      </c>
      <c r="BD37" s="133">
        <v>493.1</v>
      </c>
      <c r="BE37" s="133">
        <v>487.5</v>
      </c>
      <c r="BF37" s="133">
        <v>465.3</v>
      </c>
      <c r="BG37" s="133">
        <v>494.6</v>
      </c>
      <c r="BH37" s="133">
        <v>487.5</v>
      </c>
      <c r="BI37" s="133">
        <v>487.5</v>
      </c>
      <c r="BJ37" s="123"/>
      <c r="BK37" s="123"/>
      <c r="BL37" s="131"/>
      <c r="BM37" s="131"/>
      <c r="BN37" s="131"/>
      <c r="BO37" s="131"/>
      <c r="BP37" s="131"/>
      <c r="BQ37" s="131"/>
      <c r="BR37" s="131"/>
    </row>
    <row r="38" ht="15.5" spans="1:70">
      <c r="A38" s="121"/>
      <c r="B38" s="125" t="s">
        <v>538</v>
      </c>
      <c r="C38" s="126">
        <f t="shared" si="46"/>
        <v>0.0858</v>
      </c>
      <c r="D38" s="126">
        <f t="shared" ref="D38:J38" si="99">BC38/1000</f>
        <v>0.0793</v>
      </c>
      <c r="E38" s="126">
        <f t="shared" si="99"/>
        <v>0.0771</v>
      </c>
      <c r="F38" s="126">
        <f t="shared" si="99"/>
        <v>0.0766</v>
      </c>
      <c r="G38" s="126">
        <f t="shared" si="99"/>
        <v>0.0744</v>
      </c>
      <c r="H38" s="126">
        <f t="shared" si="99"/>
        <v>0.0767</v>
      </c>
      <c r="I38" s="126">
        <f t="shared" si="99"/>
        <v>0.0766</v>
      </c>
      <c r="J38" s="126">
        <f t="shared" si="99"/>
        <v>0.0766</v>
      </c>
      <c r="K38" s="123"/>
      <c r="L38" s="123"/>
      <c r="M38" s="131">
        <v>5.937</v>
      </c>
      <c r="N38" s="131">
        <v>5.845</v>
      </c>
      <c r="O38" s="131">
        <v>5.575</v>
      </c>
      <c r="P38" s="131">
        <v>5.276</v>
      </c>
      <c r="Q38" s="131">
        <v>5.363</v>
      </c>
      <c r="R38" s="131">
        <v>6.645</v>
      </c>
      <c r="S38" s="131">
        <v>5.654</v>
      </c>
      <c r="T38" s="131"/>
      <c r="U38" s="121"/>
      <c r="V38" s="125" t="s">
        <v>538</v>
      </c>
      <c r="W38" s="133">
        <f t="shared" ref="W38:AC38" si="100">D38/M38</f>
        <v>0.0133569142664645</v>
      </c>
      <c r="X38" s="133">
        <f t="shared" si="100"/>
        <v>0.0131907613344739</v>
      </c>
      <c r="Y38" s="133">
        <f t="shared" si="100"/>
        <v>0.0137399103139013</v>
      </c>
      <c r="Z38" s="133">
        <f t="shared" si="100"/>
        <v>0.0141015921152388</v>
      </c>
      <c r="AA38" s="133">
        <f t="shared" si="100"/>
        <v>0.0143016968114861</v>
      </c>
      <c r="AB38" s="136">
        <f t="shared" si="100"/>
        <v>0.0115274642588412</v>
      </c>
      <c r="AC38" s="136">
        <f t="shared" si="100"/>
        <v>0.0135479306685532</v>
      </c>
      <c r="AD38" s="123"/>
      <c r="AE38" s="123"/>
      <c r="AF38" s="133">
        <f t="shared" ref="AF38:AJ38" si="101">W38</f>
        <v>0.0133569142664645</v>
      </c>
      <c r="AG38" s="133">
        <f t="shared" si="101"/>
        <v>0.0131907613344739</v>
      </c>
      <c r="AH38" s="133">
        <f t="shared" si="101"/>
        <v>0.0137399103139013</v>
      </c>
      <c r="AI38" s="133">
        <f t="shared" si="101"/>
        <v>0.0141015921152388</v>
      </c>
      <c r="AJ38" s="133">
        <f t="shared" si="101"/>
        <v>0.0143016968114861</v>
      </c>
      <c r="AK38" s="137">
        <f t="shared" si="41"/>
        <v>0.0132565838976674</v>
      </c>
      <c r="AL38" s="137">
        <f t="shared" si="42"/>
        <v>0.0155801202688362</v>
      </c>
      <c r="AM38" s="123"/>
      <c r="AN38" s="123"/>
      <c r="AO38" s="133">
        <f t="shared" ref="AO38:AS38" si="102">W38</f>
        <v>0.0133569142664645</v>
      </c>
      <c r="AP38" s="133">
        <f t="shared" si="102"/>
        <v>0.0131907613344739</v>
      </c>
      <c r="AQ38" s="133">
        <f t="shared" si="102"/>
        <v>0.0137399103139013</v>
      </c>
      <c r="AR38" s="133">
        <f t="shared" si="102"/>
        <v>0.0141015921152388</v>
      </c>
      <c r="AS38" s="133">
        <f t="shared" si="102"/>
        <v>0.0143016968114861</v>
      </c>
      <c r="AT38" s="137">
        <f t="shared" si="44"/>
        <v>0.00979834462001505</v>
      </c>
      <c r="AU38" s="137">
        <f t="shared" si="45"/>
        <v>0.0115157410682703</v>
      </c>
      <c r="AZ38" s="121"/>
      <c r="BA38" s="125" t="s">
        <v>538</v>
      </c>
      <c r="BB38" s="126">
        <v>85.8</v>
      </c>
      <c r="BC38" s="133">
        <v>79.3</v>
      </c>
      <c r="BD38" s="133">
        <v>77.1</v>
      </c>
      <c r="BE38" s="133">
        <v>76.6</v>
      </c>
      <c r="BF38" s="133">
        <v>74.4</v>
      </c>
      <c r="BG38" s="133">
        <v>76.7</v>
      </c>
      <c r="BH38" s="133">
        <v>76.6</v>
      </c>
      <c r="BI38" s="133">
        <v>76.6</v>
      </c>
      <c r="BJ38" s="123"/>
      <c r="BK38" s="123"/>
      <c r="BL38" s="131"/>
      <c r="BM38" s="131"/>
      <c r="BN38" s="131"/>
      <c r="BO38" s="131"/>
      <c r="BP38" s="131"/>
      <c r="BQ38" s="131"/>
      <c r="BR38" s="131"/>
    </row>
    <row r="39" ht="15.5" spans="1:70">
      <c r="A39" s="123"/>
      <c r="B39" s="123"/>
      <c r="C39" s="122"/>
      <c r="D39" s="123"/>
      <c r="E39" s="123"/>
      <c r="F39" s="123"/>
      <c r="G39" s="123"/>
      <c r="H39" s="123"/>
      <c r="I39" s="123"/>
      <c r="J39" s="123"/>
      <c r="K39" s="123"/>
      <c r="L39" s="123"/>
      <c r="M39" s="123"/>
      <c r="N39" s="123"/>
      <c r="O39" s="123"/>
      <c r="P39" s="123"/>
      <c r="Q39" s="123"/>
      <c r="R39" s="123"/>
      <c r="S39" s="123"/>
      <c r="T39" s="123"/>
      <c r="AZ39" s="123"/>
      <c r="BA39" s="123"/>
      <c r="BB39" s="122"/>
      <c r="BC39" s="123"/>
      <c r="BD39" s="123"/>
      <c r="BE39" s="123"/>
      <c r="BF39" s="123"/>
      <c r="BG39" s="123"/>
      <c r="BH39" s="123"/>
      <c r="BI39" s="123"/>
      <c r="BJ39" s="123"/>
      <c r="BK39" s="123"/>
      <c r="BL39" s="123"/>
      <c r="BM39" s="123"/>
      <c r="BN39" s="123"/>
      <c r="BO39" s="123"/>
      <c r="BP39" s="123"/>
      <c r="BQ39" s="123"/>
      <c r="BR39" s="123"/>
    </row>
    <row r="40" ht="15.5" spans="1:70">
      <c r="A40" s="123"/>
      <c r="B40" s="123"/>
      <c r="C40" s="122"/>
      <c r="D40" s="123"/>
      <c r="E40" s="123"/>
      <c r="F40" s="123"/>
      <c r="G40" s="123"/>
      <c r="H40" s="123"/>
      <c r="I40" s="123"/>
      <c r="J40" s="123"/>
      <c r="K40" s="123"/>
      <c r="L40" s="123"/>
      <c r="M40" s="123"/>
      <c r="N40" s="123"/>
      <c r="O40" s="123"/>
      <c r="P40" s="123"/>
      <c r="Q40" s="123"/>
      <c r="R40" s="123"/>
      <c r="S40" s="123"/>
      <c r="T40" s="123"/>
      <c r="AZ40" s="123"/>
      <c r="BA40" s="123"/>
      <c r="BB40" s="122"/>
      <c r="BC40" s="123"/>
      <c r="BD40" s="123"/>
      <c r="BE40" s="123"/>
      <c r="BF40" s="123"/>
      <c r="BG40" s="123"/>
      <c r="BH40" s="123"/>
      <c r="BI40" s="123"/>
      <c r="BJ40" s="123"/>
      <c r="BK40" s="123"/>
      <c r="BL40" s="123"/>
      <c r="BM40" s="123"/>
      <c r="BN40" s="123"/>
      <c r="BO40" s="123"/>
      <c r="BP40" s="123"/>
      <c r="BQ40" s="123"/>
      <c r="BR40" s="123"/>
    </row>
    <row r="41" ht="15.5" customHeight="1" spans="1:70">
      <c r="A41" s="121" t="s">
        <v>565</v>
      </c>
      <c r="B41" s="121"/>
      <c r="C41" s="121"/>
      <c r="D41" s="121"/>
      <c r="E41" s="121"/>
      <c r="F41" s="121"/>
      <c r="G41" s="121"/>
      <c r="H41" s="121"/>
      <c r="I41" s="121"/>
      <c r="J41" s="121"/>
      <c r="K41" s="123"/>
      <c r="L41" s="123"/>
      <c r="M41" s="123"/>
      <c r="N41" s="123"/>
      <c r="O41" s="123"/>
      <c r="P41" s="123"/>
      <c r="Q41" s="123"/>
      <c r="R41" s="123"/>
      <c r="S41" s="123"/>
      <c r="T41" s="123"/>
      <c r="AZ41" s="121" t="s">
        <v>565</v>
      </c>
      <c r="BA41" s="121"/>
      <c r="BB41" s="121"/>
      <c r="BC41" s="121"/>
      <c r="BD41" s="121"/>
      <c r="BE41" s="121"/>
      <c r="BF41" s="121"/>
      <c r="BG41" s="121"/>
      <c r="BH41" s="121"/>
      <c r="BI41" s="121"/>
      <c r="BJ41" s="123"/>
      <c r="BK41" s="123"/>
      <c r="BL41" s="123"/>
      <c r="BM41" s="123"/>
      <c r="BN41" s="123"/>
      <c r="BO41" s="123"/>
      <c r="BP41" s="123"/>
      <c r="BQ41" s="123"/>
      <c r="BR41" s="123"/>
    </row>
    <row r="42" ht="15.5" customHeight="1" spans="1:70">
      <c r="A42" s="121" t="s">
        <v>523</v>
      </c>
      <c r="B42" s="121" t="s">
        <v>564</v>
      </c>
      <c r="C42" s="121" t="s">
        <v>525</v>
      </c>
      <c r="D42" s="121"/>
      <c r="E42" s="121"/>
      <c r="F42" s="121"/>
      <c r="G42" s="121"/>
      <c r="H42" s="121"/>
      <c r="I42" s="121"/>
      <c r="J42" s="121"/>
      <c r="K42" s="123"/>
      <c r="L42" s="123"/>
      <c r="M42" s="123"/>
      <c r="N42" s="123"/>
      <c r="O42" s="123"/>
      <c r="P42" s="123"/>
      <c r="Q42" s="123"/>
      <c r="R42" s="123"/>
      <c r="S42" s="123"/>
      <c r="T42" s="123"/>
      <c r="AZ42" s="121" t="s">
        <v>523</v>
      </c>
      <c r="BA42" s="121" t="s">
        <v>564</v>
      </c>
      <c r="BB42" s="121" t="s">
        <v>525</v>
      </c>
      <c r="BC42" s="121"/>
      <c r="BD42" s="121"/>
      <c r="BE42" s="121"/>
      <c r="BF42" s="121"/>
      <c r="BG42" s="121"/>
      <c r="BH42" s="121"/>
      <c r="BI42" s="121"/>
      <c r="BJ42" s="123"/>
      <c r="BK42" s="123"/>
      <c r="BL42" s="123"/>
      <c r="BM42" s="123"/>
      <c r="BN42" s="123"/>
      <c r="BO42" s="123"/>
      <c r="BP42" s="123"/>
      <c r="BQ42" s="123"/>
      <c r="BR42" s="123"/>
    </row>
    <row r="43" ht="30" spans="1:70">
      <c r="A43" s="121"/>
      <c r="B43" s="121"/>
      <c r="C43" s="122" t="s">
        <v>527</v>
      </c>
      <c r="D43" s="123" t="s">
        <v>333</v>
      </c>
      <c r="E43" s="123" t="s">
        <v>334</v>
      </c>
      <c r="F43" s="124" t="s">
        <v>335</v>
      </c>
      <c r="G43" s="123" t="s">
        <v>336</v>
      </c>
      <c r="H43" s="123" t="s">
        <v>241</v>
      </c>
      <c r="I43" s="123" t="s">
        <v>528</v>
      </c>
      <c r="J43" s="123" t="s">
        <v>529</v>
      </c>
      <c r="K43" s="123"/>
      <c r="L43" s="123"/>
      <c r="M43" s="123" t="s">
        <v>333</v>
      </c>
      <c r="N43" s="123" t="s">
        <v>334</v>
      </c>
      <c r="O43" s="123" t="s">
        <v>335</v>
      </c>
      <c r="P43" s="123" t="s">
        <v>336</v>
      </c>
      <c r="Q43" s="123" t="s">
        <v>241</v>
      </c>
      <c r="R43" s="123" t="s">
        <v>528</v>
      </c>
      <c r="S43" s="123" t="s">
        <v>529</v>
      </c>
      <c r="T43" s="123"/>
      <c r="U43" s="123"/>
      <c r="V43" s="132" t="s">
        <v>562</v>
      </c>
      <c r="W43" s="123" t="s">
        <v>333</v>
      </c>
      <c r="X43" s="123" t="s">
        <v>334</v>
      </c>
      <c r="Y43" s="124" t="s">
        <v>335</v>
      </c>
      <c r="Z43" s="123" t="s">
        <v>336</v>
      </c>
      <c r="AA43" s="123" t="s">
        <v>241</v>
      </c>
      <c r="AB43" s="135" t="s">
        <v>528</v>
      </c>
      <c r="AC43" s="135" t="s">
        <v>529</v>
      </c>
      <c r="AD43" s="123"/>
      <c r="AE43" s="123"/>
      <c r="AF43" s="123" t="s">
        <v>333</v>
      </c>
      <c r="AG43" s="123" t="s">
        <v>334</v>
      </c>
      <c r="AH43" s="124" t="s">
        <v>335</v>
      </c>
      <c r="AI43" s="123" t="s">
        <v>336</v>
      </c>
      <c r="AJ43" s="123" t="s">
        <v>241</v>
      </c>
      <c r="AK43" s="135" t="s">
        <v>528</v>
      </c>
      <c r="AL43" s="135" t="s">
        <v>529</v>
      </c>
      <c r="AO43" s="123" t="s">
        <v>333</v>
      </c>
      <c r="AP43" s="123" t="s">
        <v>334</v>
      </c>
      <c r="AQ43" s="124" t="s">
        <v>335</v>
      </c>
      <c r="AR43" s="123" t="s">
        <v>336</v>
      </c>
      <c r="AS43" s="123" t="s">
        <v>241</v>
      </c>
      <c r="AT43" s="135" t="s">
        <v>528</v>
      </c>
      <c r="AU43" s="135" t="s">
        <v>529</v>
      </c>
      <c r="AZ43" s="121"/>
      <c r="BA43" s="121"/>
      <c r="BB43" s="122" t="s">
        <v>527</v>
      </c>
      <c r="BC43" s="123" t="s">
        <v>333</v>
      </c>
      <c r="BD43" s="123" t="s">
        <v>334</v>
      </c>
      <c r="BE43" s="124" t="s">
        <v>335</v>
      </c>
      <c r="BF43" s="123" t="s">
        <v>336</v>
      </c>
      <c r="BG43" s="123" t="s">
        <v>241</v>
      </c>
      <c r="BH43" s="123" t="s">
        <v>528</v>
      </c>
      <c r="BI43" s="123" t="s">
        <v>529</v>
      </c>
      <c r="BJ43" s="123"/>
      <c r="BK43" s="123"/>
      <c r="BL43" s="123"/>
      <c r="BM43" s="123"/>
      <c r="BN43" s="123"/>
      <c r="BO43" s="123"/>
      <c r="BP43" s="123"/>
      <c r="BQ43" s="123"/>
      <c r="BR43" s="123"/>
    </row>
    <row r="44" ht="15.5" customHeight="1" spans="1:70">
      <c r="A44" s="121" t="s">
        <v>530</v>
      </c>
      <c r="B44" s="125" t="s">
        <v>531</v>
      </c>
      <c r="C44" s="126">
        <f>BB44/1000</f>
        <v>0.6652</v>
      </c>
      <c r="D44" s="126">
        <f t="shared" ref="D44:J44" si="103">BC44/1000</f>
        <v>0.5864</v>
      </c>
      <c r="E44" s="126">
        <f t="shared" si="103"/>
        <v>0.5679</v>
      </c>
      <c r="F44" s="126">
        <f t="shared" si="103"/>
        <v>0.5636</v>
      </c>
      <c r="G44" s="126">
        <f t="shared" si="103"/>
        <v>0.5409</v>
      </c>
      <c r="H44" s="126">
        <f t="shared" si="103"/>
        <v>0.5521</v>
      </c>
      <c r="I44" s="126">
        <f t="shared" si="103"/>
        <v>0.5636</v>
      </c>
      <c r="J44" s="126">
        <f t="shared" si="103"/>
        <v>0.5636</v>
      </c>
      <c r="K44" s="123"/>
      <c r="L44" s="123"/>
      <c r="M44" s="130">
        <v>5.937</v>
      </c>
      <c r="N44" s="130">
        <v>5.845</v>
      </c>
      <c r="O44" s="130">
        <v>5.575</v>
      </c>
      <c r="P44" s="130">
        <v>5.276</v>
      </c>
      <c r="Q44" s="130">
        <v>5.363</v>
      </c>
      <c r="R44" s="130">
        <v>6.645</v>
      </c>
      <c r="S44" s="130">
        <v>5.654</v>
      </c>
      <c r="T44" s="130"/>
      <c r="U44" s="121" t="s">
        <v>530</v>
      </c>
      <c r="V44" s="125" t="s">
        <v>531</v>
      </c>
      <c r="W44" s="133">
        <f t="shared" ref="W44:AC44" si="104">D44/M44</f>
        <v>0.098770422772444</v>
      </c>
      <c r="X44" s="133">
        <f t="shared" si="104"/>
        <v>0.0971599657827203</v>
      </c>
      <c r="Y44" s="133">
        <f t="shared" si="104"/>
        <v>0.101094170403587</v>
      </c>
      <c r="Z44" s="133">
        <f t="shared" si="104"/>
        <v>0.102520849128127</v>
      </c>
      <c r="AA44" s="133">
        <f t="shared" si="104"/>
        <v>0.102946112250606</v>
      </c>
      <c r="AB44" s="136">
        <f t="shared" si="104"/>
        <v>0.0848156508653123</v>
      </c>
      <c r="AC44" s="136">
        <f t="shared" si="104"/>
        <v>0.0996816413158826</v>
      </c>
      <c r="AD44" s="123"/>
      <c r="AE44" s="123"/>
      <c r="AF44" s="133">
        <f t="shared" ref="AF44:AJ44" si="105">W44</f>
        <v>0.098770422772444</v>
      </c>
      <c r="AG44" s="133">
        <f t="shared" si="105"/>
        <v>0.0971599657827203</v>
      </c>
      <c r="AH44" s="133">
        <f t="shared" si="105"/>
        <v>0.101094170403587</v>
      </c>
      <c r="AI44" s="133">
        <f t="shared" si="105"/>
        <v>0.102520849128127</v>
      </c>
      <c r="AJ44" s="133">
        <f t="shared" si="105"/>
        <v>0.102946112250606</v>
      </c>
      <c r="AK44" s="137">
        <f t="shared" ref="AK44:AK58" si="106">AB44*1.15</f>
        <v>0.0975379984951091</v>
      </c>
      <c r="AL44" s="137">
        <f t="shared" ref="AL44:AL58" si="107">AC44*1.15</f>
        <v>0.114633887513265</v>
      </c>
      <c r="AO44" s="133">
        <f t="shared" ref="AO44:AS44" si="108">W44</f>
        <v>0.098770422772444</v>
      </c>
      <c r="AP44" s="133">
        <f t="shared" si="108"/>
        <v>0.0971599657827203</v>
      </c>
      <c r="AQ44" s="133">
        <f t="shared" si="108"/>
        <v>0.101094170403587</v>
      </c>
      <c r="AR44" s="133">
        <f t="shared" si="108"/>
        <v>0.102520849128127</v>
      </c>
      <c r="AS44" s="133">
        <f t="shared" si="108"/>
        <v>0.102946112250606</v>
      </c>
      <c r="AT44" s="137">
        <f t="shared" ref="AT44:AT58" si="109">AB44*0.85</f>
        <v>0.0720933032355154</v>
      </c>
      <c r="AU44" s="137">
        <f t="shared" ref="AU44:AU58" si="110">AC44*0.85</f>
        <v>0.0847293951185002</v>
      </c>
      <c r="AZ44" s="121" t="s">
        <v>530</v>
      </c>
      <c r="BA44" s="125" t="s">
        <v>531</v>
      </c>
      <c r="BB44" s="126">
        <v>665.2</v>
      </c>
      <c r="BC44" s="133">
        <v>586.4</v>
      </c>
      <c r="BD44" s="133">
        <v>567.9</v>
      </c>
      <c r="BE44" s="133">
        <v>563.6</v>
      </c>
      <c r="BF44" s="133">
        <v>540.9</v>
      </c>
      <c r="BG44" s="133">
        <v>552.1</v>
      </c>
      <c r="BH44" s="133">
        <v>563.6</v>
      </c>
      <c r="BI44" s="133">
        <v>563.6</v>
      </c>
      <c r="BJ44" s="123"/>
      <c r="BK44" s="123"/>
      <c r="BL44" s="130"/>
      <c r="BM44" s="130"/>
      <c r="BN44" s="130"/>
      <c r="BO44" s="130"/>
      <c r="BP44" s="130"/>
      <c r="BQ44" s="130"/>
      <c r="BR44" s="130"/>
    </row>
    <row r="45" ht="15.5" spans="1:70">
      <c r="A45" s="121"/>
      <c r="B45" s="125" t="s">
        <v>533</v>
      </c>
      <c r="C45" s="126">
        <f t="shared" ref="C45:C58" si="111">BB45/1000</f>
        <v>0.6092</v>
      </c>
      <c r="D45" s="126">
        <f t="shared" ref="D45:J45" si="112">BC45/1000</f>
        <v>0.5396</v>
      </c>
      <c r="E45" s="126">
        <f t="shared" si="112"/>
        <v>0.5232</v>
      </c>
      <c r="F45" s="126">
        <f t="shared" si="112"/>
        <v>0.5193</v>
      </c>
      <c r="G45" s="126">
        <f t="shared" si="112"/>
        <v>0.499</v>
      </c>
      <c r="H45" s="126">
        <f t="shared" si="112"/>
        <v>0.5091</v>
      </c>
      <c r="I45" s="126">
        <f t="shared" si="112"/>
        <v>0.5193</v>
      </c>
      <c r="J45" s="126">
        <f t="shared" si="112"/>
        <v>0.5193</v>
      </c>
      <c r="K45" s="123"/>
      <c r="L45" s="123"/>
      <c r="M45" s="131">
        <v>5.937</v>
      </c>
      <c r="N45" s="131">
        <v>5.845</v>
      </c>
      <c r="O45" s="131">
        <v>5.575</v>
      </c>
      <c r="P45" s="131">
        <v>5.276</v>
      </c>
      <c r="Q45" s="131">
        <v>5.363</v>
      </c>
      <c r="R45" s="131">
        <v>6.645</v>
      </c>
      <c r="S45" s="131">
        <v>5.654</v>
      </c>
      <c r="T45" s="131"/>
      <c r="U45" s="121"/>
      <c r="V45" s="125" t="s">
        <v>533</v>
      </c>
      <c r="W45" s="133">
        <f t="shared" ref="W45:AC45" si="113">D45/M45</f>
        <v>0.0908876536971534</v>
      </c>
      <c r="X45" s="133">
        <f t="shared" si="113"/>
        <v>0.0895124037639008</v>
      </c>
      <c r="Y45" s="133">
        <f t="shared" si="113"/>
        <v>0.0931479820627803</v>
      </c>
      <c r="Z45" s="133">
        <f t="shared" si="113"/>
        <v>0.094579226686884</v>
      </c>
      <c r="AA45" s="133">
        <f t="shared" si="113"/>
        <v>0.0949282118217415</v>
      </c>
      <c r="AB45" s="136">
        <f t="shared" si="113"/>
        <v>0.0781489841986456</v>
      </c>
      <c r="AC45" s="136">
        <f t="shared" si="113"/>
        <v>0.0918464803678811</v>
      </c>
      <c r="AD45" s="123"/>
      <c r="AE45" s="123"/>
      <c r="AF45" s="133">
        <f t="shared" ref="AF45:AJ45" si="114">W45</f>
        <v>0.0908876536971534</v>
      </c>
      <c r="AG45" s="133">
        <f t="shared" si="114"/>
        <v>0.0895124037639008</v>
      </c>
      <c r="AH45" s="133">
        <f t="shared" si="114"/>
        <v>0.0931479820627803</v>
      </c>
      <c r="AI45" s="133">
        <f t="shared" si="114"/>
        <v>0.094579226686884</v>
      </c>
      <c r="AJ45" s="133">
        <f t="shared" si="114"/>
        <v>0.0949282118217415</v>
      </c>
      <c r="AK45" s="137">
        <f t="shared" si="106"/>
        <v>0.0898713318284424</v>
      </c>
      <c r="AL45" s="137">
        <f t="shared" si="107"/>
        <v>0.105623452423063</v>
      </c>
      <c r="AO45" s="133">
        <f t="shared" ref="AO45:AS45" si="115">W45</f>
        <v>0.0908876536971534</v>
      </c>
      <c r="AP45" s="133">
        <f t="shared" si="115"/>
        <v>0.0895124037639008</v>
      </c>
      <c r="AQ45" s="133">
        <f t="shared" si="115"/>
        <v>0.0931479820627803</v>
      </c>
      <c r="AR45" s="133">
        <f t="shared" si="115"/>
        <v>0.094579226686884</v>
      </c>
      <c r="AS45" s="133">
        <f t="shared" si="115"/>
        <v>0.0949282118217415</v>
      </c>
      <c r="AT45" s="137">
        <f t="shared" si="109"/>
        <v>0.0664266365688488</v>
      </c>
      <c r="AU45" s="137">
        <f t="shared" si="110"/>
        <v>0.078069508312699</v>
      </c>
      <c r="AZ45" s="121"/>
      <c r="BA45" s="125" t="s">
        <v>533</v>
      </c>
      <c r="BB45" s="126">
        <v>609.2</v>
      </c>
      <c r="BC45" s="133">
        <v>539.6</v>
      </c>
      <c r="BD45" s="133">
        <v>523.2</v>
      </c>
      <c r="BE45" s="133">
        <v>519.3</v>
      </c>
      <c r="BF45" s="133">
        <v>499</v>
      </c>
      <c r="BG45" s="133">
        <v>509.1</v>
      </c>
      <c r="BH45" s="133">
        <v>519.3</v>
      </c>
      <c r="BI45" s="133">
        <v>519.3</v>
      </c>
      <c r="BJ45" s="123"/>
      <c r="BK45" s="123"/>
      <c r="BL45" s="131"/>
      <c r="BM45" s="131"/>
      <c r="BN45" s="131"/>
      <c r="BO45" s="131"/>
      <c r="BP45" s="131"/>
      <c r="BQ45" s="131"/>
      <c r="BR45" s="131"/>
    </row>
    <row r="46" ht="15.5" spans="1:70">
      <c r="A46" s="121"/>
      <c r="B46" s="125" t="s">
        <v>535</v>
      </c>
      <c r="C46" s="126">
        <f t="shared" si="111"/>
        <v>0.1429</v>
      </c>
      <c r="D46" s="126">
        <f t="shared" ref="D46:J46" si="116">BC46/1000</f>
        <v>0.1194</v>
      </c>
      <c r="E46" s="126">
        <f t="shared" si="116"/>
        <v>0.114</v>
      </c>
      <c r="F46" s="126">
        <f t="shared" si="116"/>
        <v>0.1127</v>
      </c>
      <c r="G46" s="126">
        <f t="shared" si="116"/>
        <v>0.1061</v>
      </c>
      <c r="H46" s="126">
        <f t="shared" si="116"/>
        <v>0.1094</v>
      </c>
      <c r="I46" s="126">
        <f t="shared" si="116"/>
        <v>0.1127</v>
      </c>
      <c r="J46" s="126">
        <f t="shared" si="116"/>
        <v>0.1127</v>
      </c>
      <c r="K46" s="123"/>
      <c r="L46" s="123"/>
      <c r="M46" s="131">
        <v>5.937</v>
      </c>
      <c r="N46" s="131">
        <v>5.845</v>
      </c>
      <c r="O46" s="131">
        <v>5.575</v>
      </c>
      <c r="P46" s="131">
        <v>5.276</v>
      </c>
      <c r="Q46" s="131">
        <v>5.363</v>
      </c>
      <c r="R46" s="131">
        <v>6.645</v>
      </c>
      <c r="S46" s="131">
        <v>5.654</v>
      </c>
      <c r="T46" s="131"/>
      <c r="U46" s="121"/>
      <c r="V46" s="125" t="s">
        <v>535</v>
      </c>
      <c r="W46" s="133">
        <f t="shared" ref="W46:AC46" si="117">D46/M46</f>
        <v>0.02011116725619</v>
      </c>
      <c r="X46" s="133">
        <f t="shared" si="117"/>
        <v>0.0195038494439692</v>
      </c>
      <c r="Y46" s="133">
        <f t="shared" si="117"/>
        <v>0.0202152466367713</v>
      </c>
      <c r="Z46" s="133">
        <f t="shared" si="117"/>
        <v>0.0201099317664898</v>
      </c>
      <c r="AA46" s="133">
        <f t="shared" si="117"/>
        <v>0.0203990303934365</v>
      </c>
      <c r="AB46" s="136">
        <f t="shared" si="117"/>
        <v>0.0169601203912716</v>
      </c>
      <c r="AC46" s="136">
        <f t="shared" si="117"/>
        <v>0.0199327909444641</v>
      </c>
      <c r="AD46" s="123"/>
      <c r="AE46" s="123"/>
      <c r="AF46" s="133">
        <f t="shared" ref="AF46:AJ46" si="118">W46</f>
        <v>0.02011116725619</v>
      </c>
      <c r="AG46" s="133">
        <f t="shared" si="118"/>
        <v>0.0195038494439692</v>
      </c>
      <c r="AH46" s="133">
        <f t="shared" si="118"/>
        <v>0.0202152466367713</v>
      </c>
      <c r="AI46" s="133">
        <f t="shared" si="118"/>
        <v>0.0201099317664898</v>
      </c>
      <c r="AJ46" s="133">
        <f t="shared" si="118"/>
        <v>0.0203990303934365</v>
      </c>
      <c r="AK46" s="137">
        <f t="shared" si="106"/>
        <v>0.0195041384499624</v>
      </c>
      <c r="AL46" s="137">
        <f t="shared" si="107"/>
        <v>0.0229227095861337</v>
      </c>
      <c r="AO46" s="133">
        <f t="shared" ref="AO46:AS46" si="119">W46</f>
        <v>0.02011116725619</v>
      </c>
      <c r="AP46" s="133">
        <f t="shared" si="119"/>
        <v>0.0195038494439692</v>
      </c>
      <c r="AQ46" s="133">
        <f t="shared" si="119"/>
        <v>0.0202152466367713</v>
      </c>
      <c r="AR46" s="133">
        <f t="shared" si="119"/>
        <v>0.0201099317664898</v>
      </c>
      <c r="AS46" s="133">
        <f t="shared" si="119"/>
        <v>0.0203990303934365</v>
      </c>
      <c r="AT46" s="137">
        <f t="shared" si="109"/>
        <v>0.0144161023325809</v>
      </c>
      <c r="AU46" s="137">
        <f t="shared" si="110"/>
        <v>0.0169428723027945</v>
      </c>
      <c r="AZ46" s="121"/>
      <c r="BA46" s="125" t="s">
        <v>535</v>
      </c>
      <c r="BB46" s="126">
        <v>142.9</v>
      </c>
      <c r="BC46" s="133">
        <v>119.4</v>
      </c>
      <c r="BD46" s="133">
        <v>114</v>
      </c>
      <c r="BE46" s="133">
        <v>112.7</v>
      </c>
      <c r="BF46" s="133">
        <v>106.1</v>
      </c>
      <c r="BG46" s="133">
        <v>109.4</v>
      </c>
      <c r="BH46" s="133">
        <v>112.7</v>
      </c>
      <c r="BI46" s="133">
        <v>112.7</v>
      </c>
      <c r="BJ46" s="123"/>
      <c r="BK46" s="123"/>
      <c r="BL46" s="131"/>
      <c r="BM46" s="131"/>
      <c r="BN46" s="131"/>
      <c r="BO46" s="131"/>
      <c r="BP46" s="131"/>
      <c r="BQ46" s="131"/>
      <c r="BR46" s="131"/>
    </row>
    <row r="47" ht="15.5" spans="1:70">
      <c r="A47" s="121"/>
      <c r="B47" s="125" t="s">
        <v>537</v>
      </c>
      <c r="C47" s="126">
        <f t="shared" si="111"/>
        <v>0.4256</v>
      </c>
      <c r="D47" s="126">
        <f t="shared" ref="D47:J47" si="120">BC47/1000</f>
        <v>0.3807</v>
      </c>
      <c r="E47" s="126">
        <f t="shared" si="120"/>
        <v>0.3703</v>
      </c>
      <c r="F47" s="126">
        <f t="shared" si="120"/>
        <v>0.3679</v>
      </c>
      <c r="G47" s="126">
        <f t="shared" si="120"/>
        <v>0.3552</v>
      </c>
      <c r="H47" s="126">
        <f t="shared" si="120"/>
        <v>0.3613</v>
      </c>
      <c r="I47" s="126">
        <f t="shared" si="120"/>
        <v>0.3679</v>
      </c>
      <c r="J47" s="126">
        <f t="shared" si="120"/>
        <v>0.3679</v>
      </c>
      <c r="K47" s="123"/>
      <c r="L47" s="123"/>
      <c r="M47" s="131">
        <v>5.937</v>
      </c>
      <c r="N47" s="131">
        <v>5.845</v>
      </c>
      <c r="O47" s="131">
        <v>5.575</v>
      </c>
      <c r="P47" s="131">
        <v>5.276</v>
      </c>
      <c r="Q47" s="131">
        <v>5.363</v>
      </c>
      <c r="R47" s="131">
        <v>6.645</v>
      </c>
      <c r="S47" s="131">
        <v>5.654</v>
      </c>
      <c r="T47" s="131"/>
      <c r="U47" s="121"/>
      <c r="V47" s="125" t="s">
        <v>537</v>
      </c>
      <c r="W47" s="133">
        <f t="shared" ref="W47:AC47" si="121">D47/M47</f>
        <v>0.0641232945932289</v>
      </c>
      <c r="X47" s="133">
        <f t="shared" si="121"/>
        <v>0.0633532934131737</v>
      </c>
      <c r="Y47" s="133">
        <f t="shared" si="121"/>
        <v>0.0659910313901345</v>
      </c>
      <c r="Z47" s="133">
        <f t="shared" si="121"/>
        <v>0.0673237300985595</v>
      </c>
      <c r="AA47" s="133">
        <f t="shared" si="121"/>
        <v>0.0673690098825284</v>
      </c>
      <c r="AB47" s="136">
        <f t="shared" si="121"/>
        <v>0.055364936042137</v>
      </c>
      <c r="AC47" s="136">
        <f t="shared" si="121"/>
        <v>0.0650689777148921</v>
      </c>
      <c r="AD47" s="123"/>
      <c r="AE47" s="123"/>
      <c r="AF47" s="133">
        <f t="shared" ref="AF47:AJ47" si="122">W47</f>
        <v>0.0641232945932289</v>
      </c>
      <c r="AG47" s="133">
        <f t="shared" si="122"/>
        <v>0.0633532934131737</v>
      </c>
      <c r="AH47" s="133">
        <f t="shared" si="122"/>
        <v>0.0659910313901345</v>
      </c>
      <c r="AI47" s="133">
        <f t="shared" si="122"/>
        <v>0.0673237300985595</v>
      </c>
      <c r="AJ47" s="133">
        <f t="shared" si="122"/>
        <v>0.0673690098825284</v>
      </c>
      <c r="AK47" s="137">
        <f t="shared" si="106"/>
        <v>0.0636696764484575</v>
      </c>
      <c r="AL47" s="137">
        <f t="shared" si="107"/>
        <v>0.0748293243721259</v>
      </c>
      <c r="AO47" s="133">
        <f t="shared" ref="AO47:AS47" si="123">W47</f>
        <v>0.0641232945932289</v>
      </c>
      <c r="AP47" s="133">
        <f t="shared" si="123"/>
        <v>0.0633532934131737</v>
      </c>
      <c r="AQ47" s="133">
        <f t="shared" si="123"/>
        <v>0.0659910313901345</v>
      </c>
      <c r="AR47" s="133">
        <f t="shared" si="123"/>
        <v>0.0673237300985595</v>
      </c>
      <c r="AS47" s="133">
        <f t="shared" si="123"/>
        <v>0.0673690098825284</v>
      </c>
      <c r="AT47" s="137">
        <f t="shared" si="109"/>
        <v>0.0470601956358164</v>
      </c>
      <c r="AU47" s="137">
        <f t="shared" si="110"/>
        <v>0.0553086310576583</v>
      </c>
      <c r="AZ47" s="121"/>
      <c r="BA47" s="125" t="s">
        <v>537</v>
      </c>
      <c r="BB47" s="126">
        <v>425.6</v>
      </c>
      <c r="BC47" s="133">
        <v>380.7</v>
      </c>
      <c r="BD47" s="133">
        <v>370.3</v>
      </c>
      <c r="BE47" s="133">
        <v>367.9</v>
      </c>
      <c r="BF47" s="133">
        <v>355.2</v>
      </c>
      <c r="BG47" s="133">
        <v>361.3</v>
      </c>
      <c r="BH47" s="133">
        <v>367.9</v>
      </c>
      <c r="BI47" s="133">
        <v>367.9</v>
      </c>
      <c r="BJ47" s="123"/>
      <c r="BK47" s="123"/>
      <c r="BL47" s="131"/>
      <c r="BM47" s="131"/>
      <c r="BN47" s="131"/>
      <c r="BO47" s="131"/>
      <c r="BP47" s="131"/>
      <c r="BQ47" s="131"/>
      <c r="BR47" s="131"/>
    </row>
    <row r="48" ht="15.5" spans="1:70">
      <c r="A48" s="121"/>
      <c r="B48" s="125" t="s">
        <v>538</v>
      </c>
      <c r="C48" s="126">
        <f t="shared" si="111"/>
        <v>0.0846</v>
      </c>
      <c r="D48" s="126">
        <f t="shared" ref="D48:J48" si="124">BC48/1000</f>
        <v>0.077</v>
      </c>
      <c r="E48" s="126">
        <f t="shared" si="124"/>
        <v>0.0749</v>
      </c>
      <c r="F48" s="126">
        <f t="shared" si="124"/>
        <v>0.0744</v>
      </c>
      <c r="G48" s="126">
        <f t="shared" si="124"/>
        <v>0.0717</v>
      </c>
      <c r="H48" s="126">
        <f t="shared" si="124"/>
        <v>0.0731</v>
      </c>
      <c r="I48" s="126">
        <f t="shared" si="124"/>
        <v>0.0744</v>
      </c>
      <c r="J48" s="126">
        <f t="shared" si="124"/>
        <v>0.0744</v>
      </c>
      <c r="K48" s="123"/>
      <c r="L48" s="123"/>
      <c r="M48" s="131">
        <v>5.937</v>
      </c>
      <c r="N48" s="131">
        <v>5.845</v>
      </c>
      <c r="O48" s="131">
        <v>5.575</v>
      </c>
      <c r="P48" s="131">
        <v>5.276</v>
      </c>
      <c r="Q48" s="131">
        <v>5.363</v>
      </c>
      <c r="R48" s="131">
        <v>6.645</v>
      </c>
      <c r="S48" s="131">
        <v>5.654</v>
      </c>
      <c r="T48" s="131"/>
      <c r="U48" s="121"/>
      <c r="V48" s="125" t="s">
        <v>538</v>
      </c>
      <c r="W48" s="133">
        <f t="shared" ref="W48:AC48" si="125">D48/M48</f>
        <v>0.0129695132221661</v>
      </c>
      <c r="X48" s="133">
        <f t="shared" si="125"/>
        <v>0.012814371257485</v>
      </c>
      <c r="Y48" s="133">
        <f t="shared" si="125"/>
        <v>0.0133452914798206</v>
      </c>
      <c r="Z48" s="133">
        <f t="shared" si="125"/>
        <v>0.0135898407884761</v>
      </c>
      <c r="AA48" s="133">
        <f t="shared" si="125"/>
        <v>0.0136304307290695</v>
      </c>
      <c r="AB48" s="136">
        <f t="shared" si="125"/>
        <v>0.011196388261851</v>
      </c>
      <c r="AC48" s="136">
        <f t="shared" si="125"/>
        <v>0.0131588256101875</v>
      </c>
      <c r="AD48" s="123"/>
      <c r="AE48" s="123"/>
      <c r="AF48" s="133">
        <f t="shared" ref="AF48:AJ48" si="126">W48</f>
        <v>0.0129695132221661</v>
      </c>
      <c r="AG48" s="133">
        <f t="shared" si="126"/>
        <v>0.012814371257485</v>
      </c>
      <c r="AH48" s="133">
        <f t="shared" si="126"/>
        <v>0.0133452914798206</v>
      </c>
      <c r="AI48" s="133">
        <f t="shared" si="126"/>
        <v>0.0135898407884761</v>
      </c>
      <c r="AJ48" s="133">
        <f t="shared" si="126"/>
        <v>0.0136304307290695</v>
      </c>
      <c r="AK48" s="137">
        <f t="shared" si="106"/>
        <v>0.0128758465011287</v>
      </c>
      <c r="AL48" s="137">
        <f t="shared" si="107"/>
        <v>0.0151326494517156</v>
      </c>
      <c r="AO48" s="133">
        <f t="shared" ref="AO48:AS48" si="127">W48</f>
        <v>0.0129695132221661</v>
      </c>
      <c r="AP48" s="133">
        <f t="shared" si="127"/>
        <v>0.012814371257485</v>
      </c>
      <c r="AQ48" s="133">
        <f t="shared" si="127"/>
        <v>0.0133452914798206</v>
      </c>
      <c r="AR48" s="133">
        <f t="shared" si="127"/>
        <v>0.0135898407884761</v>
      </c>
      <c r="AS48" s="133">
        <f t="shared" si="127"/>
        <v>0.0136304307290695</v>
      </c>
      <c r="AT48" s="137">
        <f t="shared" si="109"/>
        <v>0.00951693002257336</v>
      </c>
      <c r="AU48" s="137">
        <f t="shared" si="110"/>
        <v>0.0111850017686594</v>
      </c>
      <c r="AZ48" s="121"/>
      <c r="BA48" s="125" t="s">
        <v>538</v>
      </c>
      <c r="BB48" s="126">
        <v>84.6</v>
      </c>
      <c r="BC48" s="133">
        <v>77</v>
      </c>
      <c r="BD48" s="133">
        <v>74.9</v>
      </c>
      <c r="BE48" s="133">
        <v>74.4</v>
      </c>
      <c r="BF48" s="133">
        <v>71.7</v>
      </c>
      <c r="BG48" s="133">
        <v>73.1</v>
      </c>
      <c r="BH48" s="133">
        <v>74.4</v>
      </c>
      <c r="BI48" s="133">
        <v>74.4</v>
      </c>
      <c r="BJ48" s="123"/>
      <c r="BK48" s="123"/>
      <c r="BL48" s="131"/>
      <c r="BM48" s="131"/>
      <c r="BN48" s="131"/>
      <c r="BO48" s="131"/>
      <c r="BP48" s="131"/>
      <c r="BQ48" s="131"/>
      <c r="BR48" s="131"/>
    </row>
    <row r="49" ht="15.5" customHeight="1" spans="1:70">
      <c r="A49" s="121" t="s">
        <v>391</v>
      </c>
      <c r="B49" s="125" t="s">
        <v>531</v>
      </c>
      <c r="C49" s="126">
        <f t="shared" si="111"/>
        <v>0.6792</v>
      </c>
      <c r="D49" s="126">
        <f t="shared" ref="D49:J49" si="128">BC49/1000</f>
        <v>0.5984</v>
      </c>
      <c r="E49" s="126">
        <f t="shared" si="128"/>
        <v>0.5794</v>
      </c>
      <c r="F49" s="126">
        <f t="shared" si="128"/>
        <v>0.575</v>
      </c>
      <c r="G49" s="126">
        <f t="shared" si="128"/>
        <v>0.5517</v>
      </c>
      <c r="H49" s="126">
        <f t="shared" si="128"/>
        <v>0.5632</v>
      </c>
      <c r="I49" s="126">
        <f t="shared" si="128"/>
        <v>0.575</v>
      </c>
      <c r="J49" s="126">
        <f t="shared" si="128"/>
        <v>0.575</v>
      </c>
      <c r="K49" s="123"/>
      <c r="L49" s="123"/>
      <c r="M49" s="131">
        <v>5.937</v>
      </c>
      <c r="N49" s="131">
        <v>5.845</v>
      </c>
      <c r="O49" s="131">
        <v>5.575</v>
      </c>
      <c r="P49" s="131">
        <v>5.276</v>
      </c>
      <c r="Q49" s="131">
        <v>5.363</v>
      </c>
      <c r="R49" s="131">
        <v>6.645</v>
      </c>
      <c r="S49" s="131">
        <v>5.654</v>
      </c>
      <c r="T49" s="131"/>
      <c r="U49" s="121" t="s">
        <v>391</v>
      </c>
      <c r="V49" s="125" t="s">
        <v>531</v>
      </c>
      <c r="W49" s="133">
        <f t="shared" ref="W49:AC49" si="129">D49/M49</f>
        <v>0.100791645612262</v>
      </c>
      <c r="X49" s="133">
        <f t="shared" si="129"/>
        <v>0.0991274593669803</v>
      </c>
      <c r="Y49" s="133">
        <f t="shared" si="129"/>
        <v>0.103139013452915</v>
      </c>
      <c r="Z49" s="133">
        <f t="shared" si="129"/>
        <v>0.104567854435178</v>
      </c>
      <c r="AA49" s="133">
        <f t="shared" si="129"/>
        <v>0.105015849338057</v>
      </c>
      <c r="AB49" s="136">
        <f t="shared" si="129"/>
        <v>0.0865312264860798</v>
      </c>
      <c r="AC49" s="136">
        <f t="shared" si="129"/>
        <v>0.10169791298196</v>
      </c>
      <c r="AD49" s="123"/>
      <c r="AE49" s="123"/>
      <c r="AF49" s="133">
        <f t="shared" ref="AF49:AJ49" si="130">W49</f>
        <v>0.100791645612262</v>
      </c>
      <c r="AG49" s="133">
        <f t="shared" si="130"/>
        <v>0.0991274593669803</v>
      </c>
      <c r="AH49" s="133">
        <f t="shared" si="130"/>
        <v>0.103139013452915</v>
      </c>
      <c r="AI49" s="133">
        <f t="shared" si="130"/>
        <v>0.104567854435178</v>
      </c>
      <c r="AJ49" s="133">
        <f t="shared" si="130"/>
        <v>0.105015849338057</v>
      </c>
      <c r="AK49" s="137">
        <f t="shared" si="106"/>
        <v>0.0995109104589917</v>
      </c>
      <c r="AL49" s="137">
        <f t="shared" si="107"/>
        <v>0.116952599929254</v>
      </c>
      <c r="AO49" s="133">
        <f t="shared" ref="AO49:AS49" si="131">W49</f>
        <v>0.100791645612262</v>
      </c>
      <c r="AP49" s="133">
        <f t="shared" si="131"/>
        <v>0.0991274593669803</v>
      </c>
      <c r="AQ49" s="133">
        <f t="shared" si="131"/>
        <v>0.103139013452915</v>
      </c>
      <c r="AR49" s="133">
        <f t="shared" si="131"/>
        <v>0.104567854435178</v>
      </c>
      <c r="AS49" s="133">
        <f t="shared" si="131"/>
        <v>0.105015849338057</v>
      </c>
      <c r="AT49" s="137">
        <f t="shared" si="109"/>
        <v>0.0735515425131678</v>
      </c>
      <c r="AU49" s="137">
        <f t="shared" si="110"/>
        <v>0.0864432260346657</v>
      </c>
      <c r="AZ49" s="121" t="s">
        <v>391</v>
      </c>
      <c r="BA49" s="125" t="s">
        <v>531</v>
      </c>
      <c r="BB49" s="126">
        <v>679.2</v>
      </c>
      <c r="BC49" s="133">
        <v>598.4</v>
      </c>
      <c r="BD49" s="133">
        <v>579.4</v>
      </c>
      <c r="BE49" s="133">
        <v>575</v>
      </c>
      <c r="BF49" s="133">
        <v>551.7</v>
      </c>
      <c r="BG49" s="133">
        <v>563.2</v>
      </c>
      <c r="BH49" s="133">
        <v>575</v>
      </c>
      <c r="BI49" s="133">
        <v>575</v>
      </c>
      <c r="BJ49" s="123"/>
      <c r="BK49" s="123"/>
      <c r="BL49" s="131"/>
      <c r="BM49" s="131"/>
      <c r="BN49" s="131"/>
      <c r="BO49" s="131"/>
      <c r="BP49" s="131"/>
      <c r="BQ49" s="131"/>
      <c r="BR49" s="131"/>
    </row>
    <row r="50" ht="15.5" spans="1:70">
      <c r="A50" s="121"/>
      <c r="B50" s="125" t="s">
        <v>533</v>
      </c>
      <c r="C50" s="126">
        <f t="shared" si="111"/>
        <v>0.6241</v>
      </c>
      <c r="D50" s="126">
        <f t="shared" ref="D50:J50" si="132">BC50/1000</f>
        <v>0.5523</v>
      </c>
      <c r="E50" s="126">
        <f t="shared" si="132"/>
        <v>0.5353</v>
      </c>
      <c r="F50" s="126">
        <f t="shared" si="132"/>
        <v>0.5314</v>
      </c>
      <c r="G50" s="126">
        <f t="shared" si="132"/>
        <v>0.5105</v>
      </c>
      <c r="H50" s="126">
        <f t="shared" si="132"/>
        <v>0.5209</v>
      </c>
      <c r="I50" s="126">
        <f t="shared" si="132"/>
        <v>0.5314</v>
      </c>
      <c r="J50" s="126">
        <f t="shared" si="132"/>
        <v>0.5314</v>
      </c>
      <c r="K50" s="123"/>
      <c r="L50" s="123"/>
      <c r="M50" s="131">
        <v>5.937</v>
      </c>
      <c r="N50" s="131">
        <v>5.845</v>
      </c>
      <c r="O50" s="131">
        <v>5.575</v>
      </c>
      <c r="P50" s="131">
        <v>5.276</v>
      </c>
      <c r="Q50" s="131">
        <v>5.363</v>
      </c>
      <c r="R50" s="131">
        <v>6.645</v>
      </c>
      <c r="S50" s="131">
        <v>5.654</v>
      </c>
      <c r="T50" s="131"/>
      <c r="U50" s="121"/>
      <c r="V50" s="125" t="s">
        <v>533</v>
      </c>
      <c r="W50" s="133">
        <f t="shared" ref="W50:AC50" si="133">D50/M50</f>
        <v>0.0930267812026276</v>
      </c>
      <c r="X50" s="133">
        <f t="shared" si="133"/>
        <v>0.0915825491873396</v>
      </c>
      <c r="Y50" s="133">
        <f t="shared" si="133"/>
        <v>0.0953183856502242</v>
      </c>
      <c r="Z50" s="133">
        <f t="shared" si="133"/>
        <v>0.0967589082638362</v>
      </c>
      <c r="AA50" s="133">
        <f t="shared" si="133"/>
        <v>0.0971284728696625</v>
      </c>
      <c r="AB50" s="136">
        <f t="shared" si="133"/>
        <v>0.0799699021820918</v>
      </c>
      <c r="AC50" s="136">
        <f t="shared" si="133"/>
        <v>0.0939865581888928</v>
      </c>
      <c r="AD50" s="123"/>
      <c r="AE50" s="123"/>
      <c r="AF50" s="133">
        <f t="shared" ref="AF50:AJ50" si="134">W50</f>
        <v>0.0930267812026276</v>
      </c>
      <c r="AG50" s="133">
        <f t="shared" si="134"/>
        <v>0.0915825491873396</v>
      </c>
      <c r="AH50" s="133">
        <f t="shared" si="134"/>
        <v>0.0953183856502242</v>
      </c>
      <c r="AI50" s="133">
        <f t="shared" si="134"/>
        <v>0.0967589082638362</v>
      </c>
      <c r="AJ50" s="133">
        <f t="shared" si="134"/>
        <v>0.0971284728696625</v>
      </c>
      <c r="AK50" s="137">
        <f t="shared" si="106"/>
        <v>0.0919653875094056</v>
      </c>
      <c r="AL50" s="137">
        <f t="shared" si="107"/>
        <v>0.108084541917227</v>
      </c>
      <c r="AO50" s="133">
        <f t="shared" ref="AO50:AS50" si="135">W50</f>
        <v>0.0930267812026276</v>
      </c>
      <c r="AP50" s="133">
        <f t="shared" si="135"/>
        <v>0.0915825491873396</v>
      </c>
      <c r="AQ50" s="133">
        <f t="shared" si="135"/>
        <v>0.0953183856502242</v>
      </c>
      <c r="AR50" s="133">
        <f t="shared" si="135"/>
        <v>0.0967589082638362</v>
      </c>
      <c r="AS50" s="133">
        <f t="shared" si="135"/>
        <v>0.0971284728696625</v>
      </c>
      <c r="AT50" s="137">
        <f t="shared" si="109"/>
        <v>0.067974416854778</v>
      </c>
      <c r="AU50" s="137">
        <f t="shared" si="110"/>
        <v>0.0798885744605589</v>
      </c>
      <c r="AZ50" s="121"/>
      <c r="BA50" s="125" t="s">
        <v>533</v>
      </c>
      <c r="BB50" s="126">
        <v>624.1</v>
      </c>
      <c r="BC50" s="133">
        <v>552.3</v>
      </c>
      <c r="BD50" s="133">
        <v>535.3</v>
      </c>
      <c r="BE50" s="133">
        <v>531.4</v>
      </c>
      <c r="BF50" s="133">
        <v>510.5</v>
      </c>
      <c r="BG50" s="133">
        <v>520.9</v>
      </c>
      <c r="BH50" s="133">
        <v>531.4</v>
      </c>
      <c r="BI50" s="133">
        <v>531.4</v>
      </c>
      <c r="BJ50" s="123"/>
      <c r="BK50" s="123"/>
      <c r="BL50" s="131"/>
      <c r="BM50" s="131"/>
      <c r="BN50" s="131"/>
      <c r="BO50" s="131"/>
      <c r="BP50" s="131"/>
      <c r="BQ50" s="131"/>
      <c r="BR50" s="131"/>
    </row>
    <row r="51" ht="15.5" spans="1:70">
      <c r="A51" s="121"/>
      <c r="B51" s="125" t="s">
        <v>535</v>
      </c>
      <c r="C51" s="126">
        <f t="shared" si="111"/>
        <v>0.1745</v>
      </c>
      <c r="D51" s="126">
        <f t="shared" ref="D51:J51" si="136">BC51/1000</f>
        <v>0.1463</v>
      </c>
      <c r="E51" s="126">
        <f t="shared" si="136"/>
        <v>0.1398</v>
      </c>
      <c r="F51" s="126">
        <f t="shared" si="136"/>
        <v>0.1383</v>
      </c>
      <c r="G51" s="126">
        <f t="shared" si="136"/>
        <v>0.1304</v>
      </c>
      <c r="H51" s="126">
        <f t="shared" si="136"/>
        <v>0.1343</v>
      </c>
      <c r="I51" s="126">
        <f t="shared" si="136"/>
        <v>0.1383</v>
      </c>
      <c r="J51" s="126">
        <f t="shared" si="136"/>
        <v>0.1383</v>
      </c>
      <c r="K51" s="123"/>
      <c r="L51" s="123"/>
      <c r="M51" s="131">
        <v>5.937</v>
      </c>
      <c r="N51" s="131">
        <v>5.845</v>
      </c>
      <c r="O51" s="131">
        <v>5.575</v>
      </c>
      <c r="P51" s="131">
        <v>5.276</v>
      </c>
      <c r="Q51" s="131">
        <v>5.363</v>
      </c>
      <c r="R51" s="131">
        <v>6.645</v>
      </c>
      <c r="S51" s="131">
        <v>5.654</v>
      </c>
      <c r="T51" s="131"/>
      <c r="U51" s="121"/>
      <c r="V51" s="125" t="s">
        <v>535</v>
      </c>
      <c r="W51" s="133">
        <f t="shared" ref="W51:AC51" si="137">D51/M51</f>
        <v>0.0246420751221155</v>
      </c>
      <c r="X51" s="133">
        <f t="shared" si="137"/>
        <v>0.023917878528657</v>
      </c>
      <c r="Y51" s="133">
        <f t="shared" si="137"/>
        <v>0.0248071748878924</v>
      </c>
      <c r="Z51" s="133">
        <f t="shared" si="137"/>
        <v>0.0247156937073541</v>
      </c>
      <c r="AA51" s="133">
        <f t="shared" si="137"/>
        <v>0.025041954130151</v>
      </c>
      <c r="AB51" s="136">
        <f t="shared" si="137"/>
        <v>0.0208126410835214</v>
      </c>
      <c r="AC51" s="136">
        <f t="shared" si="137"/>
        <v>0.0244605588963566</v>
      </c>
      <c r="AD51" s="123"/>
      <c r="AE51" s="123"/>
      <c r="AF51" s="133">
        <f t="shared" ref="AF51:AJ51" si="138">W51</f>
        <v>0.0246420751221155</v>
      </c>
      <c r="AG51" s="133">
        <f t="shared" si="138"/>
        <v>0.023917878528657</v>
      </c>
      <c r="AH51" s="133">
        <f t="shared" si="138"/>
        <v>0.0248071748878924</v>
      </c>
      <c r="AI51" s="133">
        <f t="shared" si="138"/>
        <v>0.0247156937073541</v>
      </c>
      <c r="AJ51" s="133">
        <f t="shared" si="138"/>
        <v>0.025041954130151</v>
      </c>
      <c r="AK51" s="137">
        <f t="shared" si="106"/>
        <v>0.0239345372460497</v>
      </c>
      <c r="AL51" s="137">
        <f t="shared" si="107"/>
        <v>0.02812964273081</v>
      </c>
      <c r="AO51" s="133">
        <f t="shared" ref="AO51:AS51" si="139">W51</f>
        <v>0.0246420751221155</v>
      </c>
      <c r="AP51" s="133">
        <f t="shared" si="139"/>
        <v>0.023917878528657</v>
      </c>
      <c r="AQ51" s="133">
        <f t="shared" si="139"/>
        <v>0.0248071748878924</v>
      </c>
      <c r="AR51" s="133">
        <f t="shared" si="139"/>
        <v>0.0247156937073541</v>
      </c>
      <c r="AS51" s="133">
        <f t="shared" si="139"/>
        <v>0.025041954130151</v>
      </c>
      <c r="AT51" s="137">
        <f t="shared" si="109"/>
        <v>0.0176907449209932</v>
      </c>
      <c r="AU51" s="137">
        <f t="shared" si="110"/>
        <v>0.0207914750619031</v>
      </c>
      <c r="AZ51" s="121"/>
      <c r="BA51" s="125" t="s">
        <v>535</v>
      </c>
      <c r="BB51" s="126">
        <v>174.5</v>
      </c>
      <c r="BC51" s="133">
        <v>146.3</v>
      </c>
      <c r="BD51" s="133">
        <v>139.8</v>
      </c>
      <c r="BE51" s="133">
        <v>138.3</v>
      </c>
      <c r="BF51" s="133">
        <v>130.4</v>
      </c>
      <c r="BG51" s="133">
        <v>134.3</v>
      </c>
      <c r="BH51" s="133">
        <v>138.3</v>
      </c>
      <c r="BI51" s="133">
        <v>138.3</v>
      </c>
      <c r="BJ51" s="123"/>
      <c r="BK51" s="123"/>
      <c r="BL51" s="131"/>
      <c r="BM51" s="131"/>
      <c r="BN51" s="131"/>
      <c r="BO51" s="131"/>
      <c r="BP51" s="131"/>
      <c r="BQ51" s="131"/>
      <c r="BR51" s="131"/>
    </row>
    <row r="52" ht="15.5" spans="1:70">
      <c r="A52" s="121"/>
      <c r="B52" s="125" t="s">
        <v>537</v>
      </c>
      <c r="C52" s="126">
        <f t="shared" si="111"/>
        <v>0.4064</v>
      </c>
      <c r="D52" s="126">
        <f t="shared" ref="D52:J52" si="140">BC52/1000</f>
        <v>0.3643</v>
      </c>
      <c r="E52" s="126">
        <f t="shared" si="140"/>
        <v>0.3546</v>
      </c>
      <c r="F52" s="126">
        <f t="shared" si="140"/>
        <v>0.3523</v>
      </c>
      <c r="G52" s="126">
        <f t="shared" si="140"/>
        <v>0.3404</v>
      </c>
      <c r="H52" s="126">
        <f t="shared" si="140"/>
        <v>0.3462</v>
      </c>
      <c r="I52" s="126">
        <f t="shared" si="140"/>
        <v>0.3523</v>
      </c>
      <c r="J52" s="126">
        <f t="shared" si="140"/>
        <v>0.3523</v>
      </c>
      <c r="K52" s="123"/>
      <c r="L52" s="123"/>
      <c r="M52" s="131">
        <v>5.937</v>
      </c>
      <c r="N52" s="131">
        <v>5.845</v>
      </c>
      <c r="O52" s="131">
        <v>5.575</v>
      </c>
      <c r="P52" s="131">
        <v>5.276</v>
      </c>
      <c r="Q52" s="131">
        <v>5.363</v>
      </c>
      <c r="R52" s="131">
        <v>6.645</v>
      </c>
      <c r="S52" s="131">
        <v>5.654</v>
      </c>
      <c r="T52" s="131"/>
      <c r="U52" s="121"/>
      <c r="V52" s="125" t="s">
        <v>537</v>
      </c>
      <c r="W52" s="133">
        <f t="shared" ref="W52:AC52" si="141">D52/M52</f>
        <v>0.0613609567121442</v>
      </c>
      <c r="X52" s="133">
        <f t="shared" si="141"/>
        <v>0.0606672369546621</v>
      </c>
      <c r="Y52" s="133">
        <f t="shared" si="141"/>
        <v>0.0631928251121076</v>
      </c>
      <c r="Z52" s="133">
        <f t="shared" si="141"/>
        <v>0.0645185746777862</v>
      </c>
      <c r="AA52" s="133">
        <f t="shared" si="141"/>
        <v>0.0645534215923923</v>
      </c>
      <c r="AB52" s="136">
        <f t="shared" si="141"/>
        <v>0.0530173062452972</v>
      </c>
      <c r="AC52" s="136">
        <f t="shared" si="141"/>
        <v>0.0623098691192076</v>
      </c>
      <c r="AD52" s="123"/>
      <c r="AE52" s="123"/>
      <c r="AF52" s="133">
        <f t="shared" ref="AF52:AJ52" si="142">W52</f>
        <v>0.0613609567121442</v>
      </c>
      <c r="AG52" s="133">
        <f t="shared" si="142"/>
        <v>0.0606672369546621</v>
      </c>
      <c r="AH52" s="133">
        <f t="shared" si="142"/>
        <v>0.0631928251121076</v>
      </c>
      <c r="AI52" s="133">
        <f t="shared" si="142"/>
        <v>0.0645185746777862</v>
      </c>
      <c r="AJ52" s="133">
        <f t="shared" si="142"/>
        <v>0.0645534215923923</v>
      </c>
      <c r="AK52" s="137">
        <f t="shared" si="106"/>
        <v>0.0609699021820918</v>
      </c>
      <c r="AL52" s="137">
        <f t="shared" si="107"/>
        <v>0.0716563494870888</v>
      </c>
      <c r="AO52" s="133">
        <f t="shared" ref="AO52:AS52" si="143">W52</f>
        <v>0.0613609567121442</v>
      </c>
      <c r="AP52" s="133">
        <f t="shared" si="143"/>
        <v>0.0606672369546621</v>
      </c>
      <c r="AQ52" s="133">
        <f t="shared" si="143"/>
        <v>0.0631928251121076</v>
      </c>
      <c r="AR52" s="133">
        <f t="shared" si="143"/>
        <v>0.0645185746777862</v>
      </c>
      <c r="AS52" s="133">
        <f t="shared" si="143"/>
        <v>0.0645534215923923</v>
      </c>
      <c r="AT52" s="137">
        <f t="shared" si="109"/>
        <v>0.0450647103085026</v>
      </c>
      <c r="AU52" s="137">
        <f t="shared" si="110"/>
        <v>0.0529633887513265</v>
      </c>
      <c r="AZ52" s="121"/>
      <c r="BA52" s="125" t="s">
        <v>537</v>
      </c>
      <c r="BB52" s="126">
        <v>406.4</v>
      </c>
      <c r="BC52" s="133">
        <v>364.3</v>
      </c>
      <c r="BD52" s="133">
        <v>354.6</v>
      </c>
      <c r="BE52" s="133">
        <v>352.3</v>
      </c>
      <c r="BF52" s="133">
        <v>340.4</v>
      </c>
      <c r="BG52" s="133">
        <v>346.2</v>
      </c>
      <c r="BH52" s="133">
        <v>352.3</v>
      </c>
      <c r="BI52" s="133">
        <v>352.3</v>
      </c>
      <c r="BJ52" s="123"/>
      <c r="BK52" s="123"/>
      <c r="BL52" s="131"/>
      <c r="BM52" s="131"/>
      <c r="BN52" s="131"/>
      <c r="BO52" s="131"/>
      <c r="BP52" s="131"/>
      <c r="BQ52" s="131"/>
      <c r="BR52" s="131"/>
    </row>
    <row r="53" ht="15.5" spans="1:70">
      <c r="A53" s="121"/>
      <c r="B53" s="125" t="s">
        <v>538</v>
      </c>
      <c r="C53" s="126">
        <f t="shared" si="111"/>
        <v>0.0872</v>
      </c>
      <c r="D53" s="126">
        <f t="shared" ref="D53:J53" si="144">BC53/1000</f>
        <v>0.0791</v>
      </c>
      <c r="E53" s="126">
        <f t="shared" si="144"/>
        <v>0.077</v>
      </c>
      <c r="F53" s="126">
        <f t="shared" si="144"/>
        <v>0.0765</v>
      </c>
      <c r="G53" s="126">
        <f t="shared" si="144"/>
        <v>0.0737</v>
      </c>
      <c r="H53" s="126">
        <f t="shared" si="144"/>
        <v>0.0751</v>
      </c>
      <c r="I53" s="126">
        <f t="shared" si="144"/>
        <v>0.0765</v>
      </c>
      <c r="J53" s="126">
        <f t="shared" si="144"/>
        <v>0.0765</v>
      </c>
      <c r="K53" s="123"/>
      <c r="L53" s="123"/>
      <c r="M53" s="131">
        <v>5.937</v>
      </c>
      <c r="N53" s="131">
        <v>5.845</v>
      </c>
      <c r="O53" s="131">
        <v>5.575</v>
      </c>
      <c r="P53" s="131">
        <v>5.276</v>
      </c>
      <c r="Q53" s="131">
        <v>5.363</v>
      </c>
      <c r="R53" s="131">
        <v>6.645</v>
      </c>
      <c r="S53" s="131">
        <v>5.654</v>
      </c>
      <c r="T53" s="131"/>
      <c r="U53" s="121"/>
      <c r="V53" s="125" t="s">
        <v>538</v>
      </c>
      <c r="W53" s="133">
        <f t="shared" ref="W53:AC53" si="145">D53/M53</f>
        <v>0.0133232272191342</v>
      </c>
      <c r="X53" s="133">
        <f t="shared" si="145"/>
        <v>0.0131736526946108</v>
      </c>
      <c r="Y53" s="133">
        <f t="shared" si="145"/>
        <v>0.0137219730941704</v>
      </c>
      <c r="Z53" s="133">
        <f t="shared" si="145"/>
        <v>0.0139689158453374</v>
      </c>
      <c r="AA53" s="133">
        <f t="shared" si="145"/>
        <v>0.0140033563304121</v>
      </c>
      <c r="AB53" s="136">
        <f t="shared" si="145"/>
        <v>0.0115124153498871</v>
      </c>
      <c r="AC53" s="136">
        <f t="shared" si="145"/>
        <v>0.0135302440749912</v>
      </c>
      <c r="AD53" s="123"/>
      <c r="AE53" s="123"/>
      <c r="AF53" s="133">
        <f t="shared" ref="AF53:AJ53" si="146">W53</f>
        <v>0.0133232272191342</v>
      </c>
      <c r="AG53" s="133">
        <f t="shared" si="146"/>
        <v>0.0131736526946108</v>
      </c>
      <c r="AH53" s="133">
        <f t="shared" si="146"/>
        <v>0.0137219730941704</v>
      </c>
      <c r="AI53" s="133">
        <f t="shared" si="146"/>
        <v>0.0139689158453374</v>
      </c>
      <c r="AJ53" s="133">
        <f t="shared" si="146"/>
        <v>0.0140033563304121</v>
      </c>
      <c r="AK53" s="137">
        <f t="shared" si="106"/>
        <v>0.0132392776523702</v>
      </c>
      <c r="AL53" s="137">
        <f t="shared" si="107"/>
        <v>0.0155597806862398</v>
      </c>
      <c r="AO53" s="133">
        <f t="shared" ref="AO53:AS53" si="147">W53</f>
        <v>0.0133232272191342</v>
      </c>
      <c r="AP53" s="133">
        <f t="shared" si="147"/>
        <v>0.0131736526946108</v>
      </c>
      <c r="AQ53" s="133">
        <f t="shared" si="147"/>
        <v>0.0137219730941704</v>
      </c>
      <c r="AR53" s="133">
        <f t="shared" si="147"/>
        <v>0.0139689158453374</v>
      </c>
      <c r="AS53" s="133">
        <f t="shared" si="147"/>
        <v>0.0140033563304121</v>
      </c>
      <c r="AT53" s="137">
        <f t="shared" si="109"/>
        <v>0.00978555304740406</v>
      </c>
      <c r="AU53" s="137">
        <f t="shared" si="110"/>
        <v>0.0115007074637425</v>
      </c>
      <c r="AZ53" s="121"/>
      <c r="BA53" s="125" t="s">
        <v>538</v>
      </c>
      <c r="BB53" s="126">
        <v>87.2</v>
      </c>
      <c r="BC53" s="133">
        <v>79.1</v>
      </c>
      <c r="BD53" s="133">
        <v>77</v>
      </c>
      <c r="BE53" s="133">
        <v>76.5</v>
      </c>
      <c r="BF53" s="133">
        <v>73.7</v>
      </c>
      <c r="BG53" s="133">
        <v>75.1</v>
      </c>
      <c r="BH53" s="133">
        <v>76.5</v>
      </c>
      <c r="BI53" s="133">
        <v>76.5</v>
      </c>
      <c r="BJ53" s="123"/>
      <c r="BK53" s="123"/>
      <c r="BL53" s="131"/>
      <c r="BM53" s="131"/>
      <c r="BN53" s="131"/>
      <c r="BO53" s="131"/>
      <c r="BP53" s="131"/>
      <c r="BQ53" s="131"/>
      <c r="BR53" s="131"/>
    </row>
    <row r="54" ht="15.5" customHeight="1" spans="1:70">
      <c r="A54" s="121" t="s">
        <v>401</v>
      </c>
      <c r="B54" s="125" t="s">
        <v>531</v>
      </c>
      <c r="C54" s="126">
        <f t="shared" si="111"/>
        <v>0.6916</v>
      </c>
      <c r="D54" s="126">
        <f t="shared" ref="D54:J54" si="148">BC54/1000</f>
        <v>0.6089</v>
      </c>
      <c r="E54" s="126">
        <f t="shared" si="148"/>
        <v>0.5895</v>
      </c>
      <c r="F54" s="126">
        <f t="shared" si="148"/>
        <v>0.585</v>
      </c>
      <c r="G54" s="126">
        <f t="shared" si="148"/>
        <v>0.5612</v>
      </c>
      <c r="H54" s="126">
        <f t="shared" si="148"/>
        <v>0.573</v>
      </c>
      <c r="I54" s="126">
        <f t="shared" si="148"/>
        <v>0.585</v>
      </c>
      <c r="J54" s="126">
        <f t="shared" si="148"/>
        <v>0.585</v>
      </c>
      <c r="K54" s="123"/>
      <c r="L54" s="123"/>
      <c r="M54" s="131">
        <v>5.937</v>
      </c>
      <c r="N54" s="131">
        <v>5.845</v>
      </c>
      <c r="O54" s="131">
        <v>5.575</v>
      </c>
      <c r="P54" s="131">
        <v>5.276</v>
      </c>
      <c r="Q54" s="131">
        <v>5.363</v>
      </c>
      <c r="R54" s="131">
        <v>6.645</v>
      </c>
      <c r="S54" s="131">
        <v>5.654</v>
      </c>
      <c r="T54" s="131"/>
      <c r="U54" s="121" t="s">
        <v>401</v>
      </c>
      <c r="V54" s="125" t="s">
        <v>531</v>
      </c>
      <c r="W54" s="133">
        <f t="shared" ref="W54:AC54" si="149">D54/M54</f>
        <v>0.102560215597103</v>
      </c>
      <c r="X54" s="133">
        <f t="shared" si="149"/>
        <v>0.100855431993157</v>
      </c>
      <c r="Y54" s="133">
        <f t="shared" si="149"/>
        <v>0.104932735426009</v>
      </c>
      <c r="Z54" s="133">
        <f t="shared" si="149"/>
        <v>0.106368460955269</v>
      </c>
      <c r="AA54" s="133">
        <f t="shared" si="149"/>
        <v>0.106843184784635</v>
      </c>
      <c r="AB54" s="136">
        <f t="shared" si="149"/>
        <v>0.0880361173814898</v>
      </c>
      <c r="AC54" s="136">
        <f t="shared" si="149"/>
        <v>0.103466572338168</v>
      </c>
      <c r="AD54" s="123"/>
      <c r="AE54" s="123"/>
      <c r="AF54" s="133">
        <f t="shared" ref="AF54:AJ54" si="150">W54</f>
        <v>0.102560215597103</v>
      </c>
      <c r="AG54" s="133">
        <f t="shared" si="150"/>
        <v>0.100855431993157</v>
      </c>
      <c r="AH54" s="133">
        <f t="shared" si="150"/>
        <v>0.104932735426009</v>
      </c>
      <c r="AI54" s="133">
        <f t="shared" si="150"/>
        <v>0.106368460955269</v>
      </c>
      <c r="AJ54" s="133">
        <f t="shared" si="150"/>
        <v>0.106843184784635</v>
      </c>
      <c r="AK54" s="137">
        <f t="shared" si="106"/>
        <v>0.101241534988713</v>
      </c>
      <c r="AL54" s="137">
        <f t="shared" si="107"/>
        <v>0.118986558188893</v>
      </c>
      <c r="AO54" s="133">
        <f t="shared" ref="AO54:AS54" si="151">W54</f>
        <v>0.102560215597103</v>
      </c>
      <c r="AP54" s="133">
        <f t="shared" si="151"/>
        <v>0.100855431993157</v>
      </c>
      <c r="AQ54" s="133">
        <f t="shared" si="151"/>
        <v>0.104932735426009</v>
      </c>
      <c r="AR54" s="133">
        <f t="shared" si="151"/>
        <v>0.106368460955269</v>
      </c>
      <c r="AS54" s="133">
        <f t="shared" si="151"/>
        <v>0.106843184784635</v>
      </c>
      <c r="AT54" s="137">
        <f t="shared" si="109"/>
        <v>0.0748306997742664</v>
      </c>
      <c r="AU54" s="137">
        <f t="shared" si="110"/>
        <v>0.0879465864874425</v>
      </c>
      <c r="AZ54" s="121" t="s">
        <v>401</v>
      </c>
      <c r="BA54" s="125" t="s">
        <v>531</v>
      </c>
      <c r="BB54" s="126">
        <v>691.6</v>
      </c>
      <c r="BC54" s="133">
        <v>608.9</v>
      </c>
      <c r="BD54" s="133">
        <v>589.5</v>
      </c>
      <c r="BE54" s="133">
        <v>585</v>
      </c>
      <c r="BF54" s="133">
        <v>561.2</v>
      </c>
      <c r="BG54" s="133">
        <v>573</v>
      </c>
      <c r="BH54" s="133">
        <v>585</v>
      </c>
      <c r="BI54" s="133">
        <v>585</v>
      </c>
      <c r="BJ54" s="123"/>
      <c r="BK54" s="123"/>
      <c r="BL54" s="131"/>
      <c r="BM54" s="131"/>
      <c r="BN54" s="131"/>
      <c r="BO54" s="131"/>
      <c r="BP54" s="131"/>
      <c r="BQ54" s="131"/>
      <c r="BR54" s="131"/>
    </row>
    <row r="55" ht="15.5" spans="1:70">
      <c r="A55" s="121"/>
      <c r="B55" s="125" t="s">
        <v>533</v>
      </c>
      <c r="C55" s="126">
        <f t="shared" si="111"/>
        <v>0.634</v>
      </c>
      <c r="D55" s="126">
        <f t="shared" ref="D55:J55" si="152">BC55/1000</f>
        <v>0.5608</v>
      </c>
      <c r="E55" s="126">
        <f t="shared" si="152"/>
        <v>0.5435</v>
      </c>
      <c r="F55" s="126">
        <f t="shared" si="152"/>
        <v>0.5394</v>
      </c>
      <c r="G55" s="126">
        <f t="shared" si="152"/>
        <v>0.5181</v>
      </c>
      <c r="H55" s="126">
        <f t="shared" si="152"/>
        <v>0.5287</v>
      </c>
      <c r="I55" s="126">
        <f t="shared" si="152"/>
        <v>0.5394</v>
      </c>
      <c r="J55" s="126">
        <f t="shared" si="152"/>
        <v>0.5394</v>
      </c>
      <c r="K55" s="123"/>
      <c r="L55" s="123"/>
      <c r="M55" s="131">
        <v>5.937</v>
      </c>
      <c r="N55" s="131">
        <v>5.845</v>
      </c>
      <c r="O55" s="131">
        <v>5.575</v>
      </c>
      <c r="P55" s="131">
        <v>5.276</v>
      </c>
      <c r="Q55" s="131">
        <v>5.363</v>
      </c>
      <c r="R55" s="131">
        <v>6.645</v>
      </c>
      <c r="S55" s="131">
        <v>5.654</v>
      </c>
      <c r="T55" s="131"/>
      <c r="U55" s="121"/>
      <c r="V55" s="125" t="s">
        <v>533</v>
      </c>
      <c r="W55" s="133">
        <f t="shared" ref="W55:AC55" si="153">D55/M55</f>
        <v>0.0944584807141654</v>
      </c>
      <c r="X55" s="133">
        <f t="shared" si="153"/>
        <v>0.0929854576561163</v>
      </c>
      <c r="Y55" s="133">
        <f t="shared" si="153"/>
        <v>0.0967533632286995</v>
      </c>
      <c r="Z55" s="133">
        <f t="shared" si="153"/>
        <v>0.098199393479909</v>
      </c>
      <c r="AA55" s="133">
        <f t="shared" si="153"/>
        <v>0.0985828827148984</v>
      </c>
      <c r="AB55" s="136">
        <f t="shared" si="153"/>
        <v>0.0811738148984199</v>
      </c>
      <c r="AC55" s="136">
        <f t="shared" si="153"/>
        <v>0.0954014856738592</v>
      </c>
      <c r="AD55" s="123"/>
      <c r="AE55" s="123"/>
      <c r="AF55" s="133">
        <f t="shared" ref="AF55:AJ55" si="154">W55</f>
        <v>0.0944584807141654</v>
      </c>
      <c r="AG55" s="133">
        <f t="shared" si="154"/>
        <v>0.0929854576561163</v>
      </c>
      <c r="AH55" s="133">
        <f t="shared" si="154"/>
        <v>0.0967533632286995</v>
      </c>
      <c r="AI55" s="133">
        <f t="shared" si="154"/>
        <v>0.098199393479909</v>
      </c>
      <c r="AJ55" s="133">
        <f t="shared" si="154"/>
        <v>0.0985828827148984</v>
      </c>
      <c r="AK55" s="137">
        <f t="shared" si="106"/>
        <v>0.0933498871331828</v>
      </c>
      <c r="AL55" s="137">
        <f t="shared" si="107"/>
        <v>0.109711708524938</v>
      </c>
      <c r="AO55" s="133">
        <f t="shared" ref="AO55:AS55" si="155">W55</f>
        <v>0.0944584807141654</v>
      </c>
      <c r="AP55" s="133">
        <f t="shared" si="155"/>
        <v>0.0929854576561163</v>
      </c>
      <c r="AQ55" s="133">
        <f t="shared" si="155"/>
        <v>0.0967533632286995</v>
      </c>
      <c r="AR55" s="133">
        <f t="shared" si="155"/>
        <v>0.098199393479909</v>
      </c>
      <c r="AS55" s="133">
        <f t="shared" si="155"/>
        <v>0.0985828827148984</v>
      </c>
      <c r="AT55" s="137">
        <f t="shared" si="109"/>
        <v>0.0689977426636569</v>
      </c>
      <c r="AU55" s="137">
        <f t="shared" si="110"/>
        <v>0.0810912628227803</v>
      </c>
      <c r="AZ55" s="121"/>
      <c r="BA55" s="125" t="s">
        <v>533</v>
      </c>
      <c r="BB55" s="126">
        <v>634</v>
      </c>
      <c r="BC55" s="133">
        <v>560.8</v>
      </c>
      <c r="BD55" s="133">
        <v>543.5</v>
      </c>
      <c r="BE55" s="133">
        <v>539.4</v>
      </c>
      <c r="BF55" s="133">
        <v>518.1</v>
      </c>
      <c r="BG55" s="133">
        <v>528.7</v>
      </c>
      <c r="BH55" s="133">
        <v>539.4</v>
      </c>
      <c r="BI55" s="133">
        <v>539.4</v>
      </c>
      <c r="BJ55" s="123"/>
      <c r="BK55" s="123"/>
      <c r="BL55" s="131"/>
      <c r="BM55" s="131"/>
      <c r="BN55" s="131"/>
      <c r="BO55" s="131"/>
      <c r="BP55" s="131"/>
      <c r="BQ55" s="131"/>
      <c r="BR55" s="131"/>
    </row>
    <row r="56" ht="15.5" spans="1:70">
      <c r="A56" s="121"/>
      <c r="B56" s="125" t="s">
        <v>535</v>
      </c>
      <c r="C56" s="126">
        <f t="shared" si="111"/>
        <v>0.2256</v>
      </c>
      <c r="D56" s="126">
        <f t="shared" ref="D56:J56" si="156">BC56/1000</f>
        <v>0.1898</v>
      </c>
      <c r="E56" s="126">
        <f t="shared" si="156"/>
        <v>0.1816</v>
      </c>
      <c r="F56" s="126">
        <f t="shared" si="156"/>
        <v>0.1797</v>
      </c>
      <c r="G56" s="126">
        <f t="shared" si="156"/>
        <v>0.1697</v>
      </c>
      <c r="H56" s="126">
        <f t="shared" si="156"/>
        <v>0.1747</v>
      </c>
      <c r="I56" s="126">
        <f t="shared" si="156"/>
        <v>0.1797</v>
      </c>
      <c r="J56" s="126">
        <f t="shared" si="156"/>
        <v>0.1797</v>
      </c>
      <c r="K56" s="123"/>
      <c r="L56" s="123"/>
      <c r="M56" s="131">
        <v>5.937</v>
      </c>
      <c r="N56" s="131">
        <v>5.845</v>
      </c>
      <c r="O56" s="131">
        <v>5.575</v>
      </c>
      <c r="P56" s="131">
        <v>5.276</v>
      </c>
      <c r="Q56" s="131">
        <v>5.363</v>
      </c>
      <c r="R56" s="131">
        <v>6.645</v>
      </c>
      <c r="S56" s="131">
        <v>5.654</v>
      </c>
      <c r="T56" s="131"/>
      <c r="U56" s="121"/>
      <c r="V56" s="125" t="s">
        <v>535</v>
      </c>
      <c r="W56" s="133">
        <f t="shared" ref="W56:AC56" si="157">D56/M56</f>
        <v>0.0319690079164561</v>
      </c>
      <c r="X56" s="133">
        <f t="shared" si="157"/>
        <v>0.0310692899914457</v>
      </c>
      <c r="Y56" s="133">
        <f t="shared" si="157"/>
        <v>0.0322331838565022</v>
      </c>
      <c r="Z56" s="133">
        <f t="shared" si="157"/>
        <v>0.0321645185746778</v>
      </c>
      <c r="AA56" s="133">
        <f t="shared" si="157"/>
        <v>0.0325750512772702</v>
      </c>
      <c r="AB56" s="136">
        <f t="shared" si="157"/>
        <v>0.0270428893905192</v>
      </c>
      <c r="AC56" s="136">
        <f t="shared" si="157"/>
        <v>0.0317828086310577</v>
      </c>
      <c r="AD56" s="123"/>
      <c r="AE56" s="123"/>
      <c r="AF56" s="133">
        <f t="shared" ref="AF56:AJ56" si="158">W56</f>
        <v>0.0319690079164561</v>
      </c>
      <c r="AG56" s="133">
        <f t="shared" si="158"/>
        <v>0.0310692899914457</v>
      </c>
      <c r="AH56" s="133">
        <f t="shared" si="158"/>
        <v>0.0322331838565022</v>
      </c>
      <c r="AI56" s="133">
        <f t="shared" si="158"/>
        <v>0.0321645185746778</v>
      </c>
      <c r="AJ56" s="133">
        <f t="shared" si="158"/>
        <v>0.0325750512772702</v>
      </c>
      <c r="AK56" s="137">
        <f t="shared" si="106"/>
        <v>0.0310993227990971</v>
      </c>
      <c r="AL56" s="137">
        <f t="shared" si="107"/>
        <v>0.0365502299257163</v>
      </c>
      <c r="AO56" s="133">
        <f t="shared" ref="AO56:AS56" si="159">W56</f>
        <v>0.0319690079164561</v>
      </c>
      <c r="AP56" s="133">
        <f t="shared" si="159"/>
        <v>0.0310692899914457</v>
      </c>
      <c r="AQ56" s="133">
        <f t="shared" si="159"/>
        <v>0.0322331838565022</v>
      </c>
      <c r="AR56" s="133">
        <f t="shared" si="159"/>
        <v>0.0321645185746778</v>
      </c>
      <c r="AS56" s="133">
        <f t="shared" si="159"/>
        <v>0.0325750512772702</v>
      </c>
      <c r="AT56" s="137">
        <f t="shared" si="109"/>
        <v>0.0229864559819413</v>
      </c>
      <c r="AU56" s="137">
        <f t="shared" si="110"/>
        <v>0.027015387336399</v>
      </c>
      <c r="AZ56" s="121"/>
      <c r="BA56" s="125" t="s">
        <v>535</v>
      </c>
      <c r="BB56" s="126">
        <v>225.6</v>
      </c>
      <c r="BC56" s="133">
        <v>189.8</v>
      </c>
      <c r="BD56" s="133">
        <v>181.6</v>
      </c>
      <c r="BE56" s="133">
        <v>179.7</v>
      </c>
      <c r="BF56" s="133">
        <v>169.7</v>
      </c>
      <c r="BG56" s="133">
        <v>174.7</v>
      </c>
      <c r="BH56" s="133">
        <v>179.7</v>
      </c>
      <c r="BI56" s="133">
        <v>179.7</v>
      </c>
      <c r="BJ56" s="123"/>
      <c r="BK56" s="123"/>
      <c r="BL56" s="131"/>
      <c r="BM56" s="131"/>
      <c r="BN56" s="131"/>
      <c r="BO56" s="131"/>
      <c r="BP56" s="131"/>
      <c r="BQ56" s="131"/>
      <c r="BR56" s="131"/>
    </row>
    <row r="57" ht="15.5" spans="1:70">
      <c r="A57" s="121"/>
      <c r="B57" s="125" t="s">
        <v>537</v>
      </c>
      <c r="C57" s="126">
        <f t="shared" si="111"/>
        <v>0.3671</v>
      </c>
      <c r="D57" s="126">
        <f t="shared" ref="D57:J57" si="160">BC57/1000</f>
        <v>0.3308</v>
      </c>
      <c r="E57" s="126">
        <f t="shared" si="160"/>
        <v>0.3224</v>
      </c>
      <c r="F57" s="126">
        <f t="shared" si="160"/>
        <v>0.3205</v>
      </c>
      <c r="G57" s="126">
        <f t="shared" si="160"/>
        <v>0.3101</v>
      </c>
      <c r="H57" s="126">
        <f t="shared" si="160"/>
        <v>0.3151</v>
      </c>
      <c r="I57" s="126">
        <f t="shared" si="160"/>
        <v>0.3205</v>
      </c>
      <c r="J57" s="126">
        <f t="shared" si="160"/>
        <v>0.3205</v>
      </c>
      <c r="K57" s="123"/>
      <c r="L57" s="123"/>
      <c r="M57" s="131">
        <v>5.937</v>
      </c>
      <c r="N57" s="131">
        <v>5.845</v>
      </c>
      <c r="O57" s="131">
        <v>5.575</v>
      </c>
      <c r="P57" s="131">
        <v>5.276</v>
      </c>
      <c r="Q57" s="131">
        <v>5.363</v>
      </c>
      <c r="R57" s="131">
        <v>6.645</v>
      </c>
      <c r="S57" s="131">
        <v>5.654</v>
      </c>
      <c r="T57" s="131"/>
      <c r="U57" s="121"/>
      <c r="V57" s="125" t="s">
        <v>537</v>
      </c>
      <c r="W57" s="133">
        <f t="shared" ref="W57:AC57" si="161">D57/M57</f>
        <v>0.0557183762843187</v>
      </c>
      <c r="X57" s="133">
        <f t="shared" si="161"/>
        <v>0.055158254918734</v>
      </c>
      <c r="Y57" s="133">
        <f t="shared" si="161"/>
        <v>0.0574887892376682</v>
      </c>
      <c r="Z57" s="133">
        <f t="shared" si="161"/>
        <v>0.0587755875663381</v>
      </c>
      <c r="AA57" s="133">
        <f t="shared" si="161"/>
        <v>0.0587544284915159</v>
      </c>
      <c r="AB57" s="136">
        <f t="shared" si="161"/>
        <v>0.0482317531978932</v>
      </c>
      <c r="AC57" s="136">
        <f t="shared" si="161"/>
        <v>0.0566855323664662</v>
      </c>
      <c r="AD57" s="123"/>
      <c r="AE57" s="123"/>
      <c r="AF57" s="133">
        <f t="shared" ref="AF57:AJ57" si="162">W57</f>
        <v>0.0557183762843187</v>
      </c>
      <c r="AG57" s="133">
        <f t="shared" si="162"/>
        <v>0.055158254918734</v>
      </c>
      <c r="AH57" s="133">
        <f t="shared" si="162"/>
        <v>0.0574887892376682</v>
      </c>
      <c r="AI57" s="133">
        <f t="shared" si="162"/>
        <v>0.0587755875663381</v>
      </c>
      <c r="AJ57" s="133">
        <f t="shared" si="162"/>
        <v>0.0587544284915159</v>
      </c>
      <c r="AK57" s="137">
        <f t="shared" si="106"/>
        <v>0.0554665161775771</v>
      </c>
      <c r="AL57" s="137">
        <f t="shared" si="107"/>
        <v>0.0651883622214361</v>
      </c>
      <c r="AO57" s="133">
        <f t="shared" ref="AO57:AS57" si="163">W57</f>
        <v>0.0557183762843187</v>
      </c>
      <c r="AP57" s="133">
        <f t="shared" si="163"/>
        <v>0.055158254918734</v>
      </c>
      <c r="AQ57" s="133">
        <f t="shared" si="163"/>
        <v>0.0574887892376682</v>
      </c>
      <c r="AR57" s="133">
        <f t="shared" si="163"/>
        <v>0.0587755875663381</v>
      </c>
      <c r="AS57" s="133">
        <f t="shared" si="163"/>
        <v>0.0587544284915159</v>
      </c>
      <c r="AT57" s="137">
        <f t="shared" si="109"/>
        <v>0.0409969902182092</v>
      </c>
      <c r="AU57" s="137">
        <f t="shared" si="110"/>
        <v>0.0481827025114963</v>
      </c>
      <c r="AZ57" s="121"/>
      <c r="BA57" s="125" t="s">
        <v>537</v>
      </c>
      <c r="BB57" s="126">
        <v>367.1</v>
      </c>
      <c r="BC57" s="133">
        <v>330.8</v>
      </c>
      <c r="BD57" s="133">
        <v>322.4</v>
      </c>
      <c r="BE57" s="133">
        <v>320.5</v>
      </c>
      <c r="BF57" s="133">
        <v>310.1</v>
      </c>
      <c r="BG57" s="133">
        <v>315.1</v>
      </c>
      <c r="BH57" s="133">
        <v>320.5</v>
      </c>
      <c r="BI57" s="133">
        <v>320.5</v>
      </c>
      <c r="BJ57" s="123"/>
      <c r="BK57" s="123"/>
      <c r="BL57" s="131"/>
      <c r="BM57" s="131"/>
      <c r="BN57" s="131"/>
      <c r="BO57" s="131"/>
      <c r="BP57" s="131"/>
      <c r="BQ57" s="131"/>
      <c r="BR57" s="131"/>
    </row>
    <row r="58" ht="15.5" spans="1:70">
      <c r="A58" s="121"/>
      <c r="B58" s="125" t="s">
        <v>538</v>
      </c>
      <c r="C58" s="126">
        <f t="shared" si="111"/>
        <v>0.0853</v>
      </c>
      <c r="D58" s="126">
        <f t="shared" ref="D58:J58" si="164">BC58/1000</f>
        <v>0.0775</v>
      </c>
      <c r="E58" s="126">
        <f t="shared" si="164"/>
        <v>0.0755</v>
      </c>
      <c r="F58" s="126">
        <f t="shared" si="164"/>
        <v>0.075</v>
      </c>
      <c r="G58" s="126">
        <f t="shared" si="164"/>
        <v>0.0722</v>
      </c>
      <c r="H58" s="126">
        <f t="shared" si="164"/>
        <v>0.0736</v>
      </c>
      <c r="I58" s="126">
        <f t="shared" si="164"/>
        <v>0.075</v>
      </c>
      <c r="J58" s="126">
        <f t="shared" si="164"/>
        <v>0.075</v>
      </c>
      <c r="K58" s="123"/>
      <c r="L58" s="123"/>
      <c r="M58" s="131">
        <v>5.937</v>
      </c>
      <c r="N58" s="131">
        <v>5.845</v>
      </c>
      <c r="O58" s="131">
        <v>5.575</v>
      </c>
      <c r="P58" s="131">
        <v>5.276</v>
      </c>
      <c r="Q58" s="131">
        <v>5.363</v>
      </c>
      <c r="R58" s="131">
        <v>6.645</v>
      </c>
      <c r="S58" s="131">
        <v>5.654</v>
      </c>
      <c r="T58" s="131"/>
      <c r="U58" s="121"/>
      <c r="V58" s="125" t="s">
        <v>538</v>
      </c>
      <c r="W58" s="133">
        <f t="shared" ref="W58:AC58" si="165">D58/M58</f>
        <v>0.0130537308404918</v>
      </c>
      <c r="X58" s="133">
        <f t="shared" si="165"/>
        <v>0.0129170230966638</v>
      </c>
      <c r="Y58" s="133">
        <f t="shared" si="165"/>
        <v>0.0134529147982063</v>
      </c>
      <c r="Z58" s="133">
        <f t="shared" si="165"/>
        <v>0.0136846095526914</v>
      </c>
      <c r="AA58" s="133">
        <f t="shared" si="165"/>
        <v>0.0137236621294052</v>
      </c>
      <c r="AB58" s="136">
        <f t="shared" si="165"/>
        <v>0.0112866817155756</v>
      </c>
      <c r="AC58" s="136">
        <f t="shared" si="165"/>
        <v>0.01326494517156</v>
      </c>
      <c r="AD58" s="123"/>
      <c r="AE58" s="123"/>
      <c r="AF58" s="133">
        <f t="shared" ref="AF58:AJ58" si="166">W58</f>
        <v>0.0130537308404918</v>
      </c>
      <c r="AG58" s="133">
        <f t="shared" si="166"/>
        <v>0.0129170230966638</v>
      </c>
      <c r="AH58" s="133">
        <f t="shared" si="166"/>
        <v>0.0134529147982063</v>
      </c>
      <c r="AI58" s="133">
        <f t="shared" si="166"/>
        <v>0.0136846095526914</v>
      </c>
      <c r="AJ58" s="133">
        <f t="shared" si="166"/>
        <v>0.0137236621294052</v>
      </c>
      <c r="AK58" s="137">
        <f t="shared" si="106"/>
        <v>0.012979683972912</v>
      </c>
      <c r="AL58" s="137">
        <f t="shared" si="107"/>
        <v>0.0152546869472939</v>
      </c>
      <c r="AO58" s="133">
        <f t="shared" ref="AO58:AS58" si="167">W58</f>
        <v>0.0130537308404918</v>
      </c>
      <c r="AP58" s="133">
        <f t="shared" si="167"/>
        <v>0.0129170230966638</v>
      </c>
      <c r="AQ58" s="133">
        <f t="shared" si="167"/>
        <v>0.0134529147982063</v>
      </c>
      <c r="AR58" s="133">
        <f t="shared" si="167"/>
        <v>0.0136846095526914</v>
      </c>
      <c r="AS58" s="133">
        <f t="shared" si="167"/>
        <v>0.0137236621294052</v>
      </c>
      <c r="AT58" s="137">
        <f t="shared" si="109"/>
        <v>0.00959367945823928</v>
      </c>
      <c r="AU58" s="137">
        <f t="shared" si="110"/>
        <v>0.011275203395826</v>
      </c>
      <c r="AZ58" s="121"/>
      <c r="BA58" s="125" t="s">
        <v>538</v>
      </c>
      <c r="BB58" s="126">
        <v>85.3</v>
      </c>
      <c r="BC58" s="133">
        <v>77.5</v>
      </c>
      <c r="BD58" s="133">
        <v>75.5</v>
      </c>
      <c r="BE58" s="133">
        <v>75</v>
      </c>
      <c r="BF58" s="133">
        <v>72.2</v>
      </c>
      <c r="BG58" s="133">
        <v>73.6</v>
      </c>
      <c r="BH58" s="133">
        <v>75</v>
      </c>
      <c r="BI58" s="133">
        <v>75</v>
      </c>
      <c r="BJ58" s="123"/>
      <c r="BK58" s="123"/>
      <c r="BL58" s="131"/>
      <c r="BM58" s="131"/>
      <c r="BN58" s="131"/>
      <c r="BO58" s="131"/>
      <c r="BP58" s="131"/>
      <c r="BQ58" s="131"/>
      <c r="BR58" s="131"/>
    </row>
    <row r="59" ht="15.5" spans="1:70">
      <c r="A59" s="123"/>
      <c r="B59" s="123"/>
      <c r="C59" s="122"/>
      <c r="D59" s="123"/>
      <c r="E59" s="123"/>
      <c r="F59" s="123"/>
      <c r="G59" s="123"/>
      <c r="H59" s="123"/>
      <c r="I59" s="123"/>
      <c r="J59" s="123"/>
      <c r="K59" s="123"/>
      <c r="L59" s="123"/>
      <c r="M59" s="123"/>
      <c r="N59" s="123"/>
      <c r="O59" s="123"/>
      <c r="P59" s="123"/>
      <c r="Q59" s="123"/>
      <c r="R59" s="123"/>
      <c r="S59" s="123"/>
      <c r="T59" s="123"/>
      <c r="AZ59" s="123"/>
      <c r="BA59" s="123"/>
      <c r="BB59" s="122"/>
      <c r="BC59" s="123"/>
      <c r="BD59" s="123"/>
      <c r="BE59" s="123"/>
      <c r="BF59" s="123"/>
      <c r="BG59" s="123"/>
      <c r="BH59" s="123"/>
      <c r="BI59" s="123"/>
      <c r="BJ59" s="123"/>
      <c r="BK59" s="123"/>
      <c r="BL59" s="123"/>
      <c r="BM59" s="123"/>
      <c r="BN59" s="123"/>
      <c r="BO59" s="123"/>
      <c r="BP59" s="123"/>
      <c r="BQ59" s="123"/>
      <c r="BR59" s="123"/>
    </row>
    <row r="60" ht="15.5" spans="1:70">
      <c r="A60" s="123" t="s">
        <v>541</v>
      </c>
      <c r="B60" s="123"/>
      <c r="C60" s="122"/>
      <c r="D60" s="123"/>
      <c r="E60" s="123"/>
      <c r="F60" s="123"/>
      <c r="G60" s="123"/>
      <c r="H60" s="123"/>
      <c r="I60" s="123"/>
      <c r="J60" s="123"/>
      <c r="K60" s="123"/>
      <c r="L60" s="123"/>
      <c r="M60" s="123"/>
      <c r="N60" s="123"/>
      <c r="O60" s="123"/>
      <c r="P60" s="123"/>
      <c r="Q60" s="123"/>
      <c r="R60" s="123"/>
      <c r="S60" s="123"/>
      <c r="T60" s="123"/>
      <c r="AZ60" s="123" t="s">
        <v>541</v>
      </c>
      <c r="BA60" s="123"/>
      <c r="BB60" s="122"/>
      <c r="BC60" s="123"/>
      <c r="BD60" s="123"/>
      <c r="BE60" s="123"/>
      <c r="BF60" s="123"/>
      <c r="BG60" s="123"/>
      <c r="BH60" s="123"/>
      <c r="BI60" s="123"/>
      <c r="BJ60" s="123"/>
      <c r="BK60" s="123"/>
      <c r="BL60" s="123"/>
      <c r="BM60" s="123"/>
      <c r="BN60" s="123"/>
      <c r="BO60" s="123"/>
      <c r="BP60" s="123"/>
      <c r="BQ60" s="123"/>
      <c r="BR60" s="123"/>
    </row>
    <row r="61" ht="15.5" spans="1:70">
      <c r="A61" s="123" t="s">
        <v>566</v>
      </c>
      <c r="B61" s="123"/>
      <c r="C61" s="122"/>
      <c r="D61" s="123"/>
      <c r="E61" s="123"/>
      <c r="F61" s="123"/>
      <c r="G61" s="123"/>
      <c r="H61" s="123"/>
      <c r="I61" s="123"/>
      <c r="J61" s="123"/>
      <c r="K61" s="123"/>
      <c r="L61" s="123"/>
      <c r="M61" s="123"/>
      <c r="N61" s="123"/>
      <c r="O61" s="123"/>
      <c r="P61" s="123"/>
      <c r="Q61" s="123"/>
      <c r="R61" s="123"/>
      <c r="S61" s="123"/>
      <c r="T61" s="123"/>
      <c r="AZ61" s="123" t="s">
        <v>566</v>
      </c>
      <c r="BA61" s="123"/>
      <c r="BB61" s="122"/>
      <c r="BC61" s="123"/>
      <c r="BD61" s="123"/>
      <c r="BE61" s="123"/>
      <c r="BF61" s="123"/>
      <c r="BG61" s="123"/>
      <c r="BH61" s="123"/>
      <c r="BI61" s="123"/>
      <c r="BJ61" s="123"/>
      <c r="BK61" s="123"/>
      <c r="BL61" s="123"/>
      <c r="BM61" s="123"/>
      <c r="BN61" s="123"/>
      <c r="BO61" s="123"/>
      <c r="BP61" s="123"/>
      <c r="BQ61" s="123"/>
      <c r="BR61" s="123"/>
    </row>
    <row r="62" ht="15.5" spans="1:70">
      <c r="A62" s="123" t="s">
        <v>567</v>
      </c>
      <c r="B62" s="123"/>
      <c r="C62" s="122"/>
      <c r="D62" s="123"/>
      <c r="E62" s="123"/>
      <c r="F62" s="123"/>
      <c r="G62" s="123"/>
      <c r="H62" s="123"/>
      <c r="I62" s="123"/>
      <c r="J62" s="123"/>
      <c r="K62" s="123"/>
      <c r="L62" s="123"/>
      <c r="M62" s="123"/>
      <c r="N62" s="123"/>
      <c r="O62" s="123"/>
      <c r="P62" s="123"/>
      <c r="Q62" s="123"/>
      <c r="R62" s="123"/>
      <c r="S62" s="123"/>
      <c r="T62" s="123"/>
      <c r="AZ62" s="123" t="s">
        <v>567</v>
      </c>
      <c r="BA62" s="123"/>
      <c r="BB62" s="122"/>
      <c r="BC62" s="123"/>
      <c r="BD62" s="123"/>
      <c r="BE62" s="123"/>
      <c r="BF62" s="123"/>
      <c r="BG62" s="123"/>
      <c r="BH62" s="123"/>
      <c r="BI62" s="123"/>
      <c r="BJ62" s="123"/>
      <c r="BK62" s="123"/>
      <c r="BL62" s="123"/>
      <c r="BM62" s="123"/>
      <c r="BN62" s="123"/>
      <c r="BO62" s="123"/>
      <c r="BP62" s="123"/>
      <c r="BQ62" s="123"/>
      <c r="BR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333</v>
      </c>
      <c r="X72" s="123" t="s">
        <v>334</v>
      </c>
      <c r="Y72" s="124" t="s">
        <v>335</v>
      </c>
      <c r="Z72" s="123" t="s">
        <v>336</v>
      </c>
      <c r="AA72" s="123" t="s">
        <v>241</v>
      </c>
      <c r="AB72" s="135" t="s">
        <v>528</v>
      </c>
      <c r="AC72" s="135" t="s">
        <v>529</v>
      </c>
      <c r="AD72" s="123"/>
      <c r="AE72" s="123"/>
      <c r="AF72" s="123" t="s">
        <v>333</v>
      </c>
      <c r="AG72" s="123" t="s">
        <v>334</v>
      </c>
      <c r="AH72" s="124" t="s">
        <v>335</v>
      </c>
      <c r="AI72" s="123" t="s">
        <v>336</v>
      </c>
      <c r="AJ72" s="123" t="s">
        <v>241</v>
      </c>
      <c r="AK72" s="135" t="s">
        <v>528</v>
      </c>
      <c r="AL72" s="135" t="s">
        <v>529</v>
      </c>
      <c r="AM72" s="123"/>
      <c r="AN72" s="123"/>
      <c r="AO72" s="123" t="s">
        <v>333</v>
      </c>
      <c r="AP72" s="123" t="s">
        <v>334</v>
      </c>
      <c r="AQ72" s="124" t="s">
        <v>335</v>
      </c>
      <c r="AR72" s="123" t="s">
        <v>336</v>
      </c>
      <c r="AS72" s="123" t="s">
        <v>241</v>
      </c>
      <c r="AT72" s="135" t="s">
        <v>528</v>
      </c>
      <c r="AU72" s="135" t="s">
        <v>529</v>
      </c>
    </row>
    <row r="73" spans="21:47">
      <c r="U73" s="121" t="s">
        <v>530</v>
      </c>
      <c r="V73" s="138" t="s">
        <v>218</v>
      </c>
      <c r="W73">
        <f>W4-W5</f>
        <v>0.0105103587670541</v>
      </c>
      <c r="X73">
        <f t="shared" ref="X73:AC73" si="168">X4-X5</f>
        <v>0.0100940975192472</v>
      </c>
      <c r="Y73">
        <f t="shared" si="168"/>
        <v>0.0103856502242152</v>
      </c>
      <c r="Z73">
        <f t="shared" si="168"/>
        <v>0.0114291129643669</v>
      </c>
      <c r="AA73">
        <f t="shared" si="168"/>
        <v>0.0115979862017528</v>
      </c>
      <c r="AB73">
        <f t="shared" si="168"/>
        <v>0.00871331828442437</v>
      </c>
      <c r="AC73">
        <f t="shared" si="168"/>
        <v>0.0102405376724443</v>
      </c>
      <c r="AF73">
        <f t="shared" ref="AF73:AL73" si="169">AF4-AF5</f>
        <v>0.0105103587670541</v>
      </c>
      <c r="AG73">
        <f t="shared" si="169"/>
        <v>0.0100940975192472</v>
      </c>
      <c r="AH73">
        <f t="shared" si="169"/>
        <v>0.0103856502242152</v>
      </c>
      <c r="AI73">
        <f t="shared" si="169"/>
        <v>0.0114291129643669</v>
      </c>
      <c r="AJ73">
        <f t="shared" si="169"/>
        <v>0.0115979862017528</v>
      </c>
      <c r="AK73">
        <f t="shared" si="169"/>
        <v>0.010020316027088</v>
      </c>
      <c r="AL73">
        <f t="shared" si="169"/>
        <v>0.0117766183233109</v>
      </c>
      <c r="AO73">
        <f t="shared" ref="AO73:AU73" si="170">AO4-AO5</f>
        <v>0.0105103587670541</v>
      </c>
      <c r="AP73">
        <f t="shared" si="170"/>
        <v>0.0100940975192472</v>
      </c>
      <c r="AQ73">
        <f t="shared" si="170"/>
        <v>0.0103856502242152</v>
      </c>
      <c r="AR73">
        <f t="shared" si="170"/>
        <v>0.0114291129643669</v>
      </c>
      <c r="AS73">
        <f t="shared" si="170"/>
        <v>0.0115979862017528</v>
      </c>
      <c r="AT73">
        <f t="shared" si="170"/>
        <v>0.00740632054176073</v>
      </c>
      <c r="AU73">
        <f t="shared" si="170"/>
        <v>0.00870445702157763</v>
      </c>
    </row>
    <row r="74" spans="21:47">
      <c r="U74" s="121"/>
      <c r="V74" s="139" t="s">
        <v>532</v>
      </c>
      <c r="W74">
        <f>W6</f>
        <v>0.0289203301330638</v>
      </c>
      <c r="X74">
        <f t="shared" ref="X74:AC74" si="171">X6</f>
        <v>0.0275620188195039</v>
      </c>
      <c r="Y74">
        <f t="shared" si="171"/>
        <v>0.028322869955157</v>
      </c>
      <c r="Z74">
        <f t="shared" si="171"/>
        <v>0.0288286580742987</v>
      </c>
      <c r="AA74">
        <f t="shared" si="171"/>
        <v>0.0296102927465971</v>
      </c>
      <c r="AB74">
        <f t="shared" si="171"/>
        <v>0.0237622272385252</v>
      </c>
      <c r="AC74">
        <f t="shared" si="171"/>
        <v>0.0279271312345242</v>
      </c>
      <c r="AF74">
        <f t="shared" ref="AF74:AL74" si="172">AF6</f>
        <v>0.0289203301330638</v>
      </c>
      <c r="AG74">
        <f t="shared" si="172"/>
        <v>0.0275620188195039</v>
      </c>
      <c r="AH74">
        <f t="shared" si="172"/>
        <v>0.028322869955157</v>
      </c>
      <c r="AI74">
        <f t="shared" si="172"/>
        <v>0.0288286580742987</v>
      </c>
      <c r="AJ74">
        <f t="shared" si="172"/>
        <v>0.0296102927465971</v>
      </c>
      <c r="AK74">
        <f t="shared" si="172"/>
        <v>0.027326561324304</v>
      </c>
      <c r="AL74">
        <f t="shared" si="172"/>
        <v>0.0321162009197029</v>
      </c>
      <c r="AO74">
        <f t="shared" ref="AO74:AU74" si="173">AO6</f>
        <v>0.0289203301330638</v>
      </c>
      <c r="AP74">
        <f t="shared" si="173"/>
        <v>0.0275620188195039</v>
      </c>
      <c r="AQ74">
        <f t="shared" si="173"/>
        <v>0.028322869955157</v>
      </c>
      <c r="AR74">
        <f t="shared" si="173"/>
        <v>0.0288286580742987</v>
      </c>
      <c r="AS74">
        <f t="shared" si="173"/>
        <v>0.0296102927465971</v>
      </c>
      <c r="AT74">
        <f t="shared" si="173"/>
        <v>0.0201978931527464</v>
      </c>
      <c r="AU74">
        <f t="shared" si="173"/>
        <v>0.0237380615493456</v>
      </c>
    </row>
    <row r="75" spans="21:47">
      <c r="U75" s="121"/>
      <c r="V75" s="138" t="s">
        <v>534</v>
      </c>
      <c r="W75">
        <f>W7</f>
        <v>0.0836617820448038</v>
      </c>
      <c r="X75">
        <f t="shared" ref="X75:AC75" si="174">X7</f>
        <v>0.0814029084687767</v>
      </c>
      <c r="Y75">
        <f t="shared" si="174"/>
        <v>0.0843946188340807</v>
      </c>
      <c r="Z75">
        <f t="shared" si="174"/>
        <v>0.0884192570128886</v>
      </c>
      <c r="AA75">
        <f t="shared" si="174"/>
        <v>0.092485549132948</v>
      </c>
      <c r="AB75">
        <f t="shared" si="174"/>
        <v>0.0708051166290444</v>
      </c>
      <c r="AC75">
        <f t="shared" si="174"/>
        <v>0.0832154227095861</v>
      </c>
      <c r="AF75">
        <f t="shared" ref="AF75:AL75" si="175">AF7</f>
        <v>0.0836617820448038</v>
      </c>
      <c r="AG75">
        <f t="shared" si="175"/>
        <v>0.0814029084687767</v>
      </c>
      <c r="AH75">
        <f t="shared" si="175"/>
        <v>0.0843946188340807</v>
      </c>
      <c r="AI75">
        <f t="shared" si="175"/>
        <v>0.0884192570128886</v>
      </c>
      <c r="AJ75">
        <f t="shared" si="175"/>
        <v>0.092485549132948</v>
      </c>
      <c r="AK75">
        <f t="shared" si="175"/>
        <v>0.0814258841234011</v>
      </c>
      <c r="AL75">
        <f t="shared" si="175"/>
        <v>0.0956977361160241</v>
      </c>
      <c r="AO75">
        <f t="shared" ref="AO75:AU75" si="176">AO7</f>
        <v>0.0836617820448038</v>
      </c>
      <c r="AP75">
        <f t="shared" si="176"/>
        <v>0.0814029084687767</v>
      </c>
      <c r="AQ75">
        <f t="shared" si="176"/>
        <v>0.0843946188340807</v>
      </c>
      <c r="AR75">
        <f t="shared" si="176"/>
        <v>0.0884192570128886</v>
      </c>
      <c r="AS75">
        <f t="shared" si="176"/>
        <v>0.092485549132948</v>
      </c>
      <c r="AT75">
        <f t="shared" si="176"/>
        <v>0.0601843491346877</v>
      </c>
      <c r="AU75">
        <f t="shared" si="176"/>
        <v>0.0707331093031482</v>
      </c>
    </row>
    <row r="76" spans="21:47">
      <c r="U76" s="121"/>
      <c r="V76" s="138" t="s">
        <v>536</v>
      </c>
      <c r="W76">
        <f>W8</f>
        <v>0.0130200437931615</v>
      </c>
      <c r="X76">
        <f t="shared" ref="X76:AC76" si="177">X8</f>
        <v>0.0127459366980325</v>
      </c>
      <c r="Y76">
        <f t="shared" si="177"/>
        <v>0.0132017937219731</v>
      </c>
      <c r="Z76">
        <f t="shared" si="177"/>
        <v>0.0144238059135709</v>
      </c>
      <c r="AA76">
        <f t="shared" si="177"/>
        <v>0.0147119149729629</v>
      </c>
      <c r="AB76">
        <f t="shared" si="177"/>
        <v>0.0110759969902182</v>
      </c>
      <c r="AC76">
        <f t="shared" si="177"/>
        <v>0.0130173328616908</v>
      </c>
      <c r="AF76">
        <f t="shared" ref="AF76:AL76" si="178">AF8</f>
        <v>0.0130200437931615</v>
      </c>
      <c r="AG76">
        <f t="shared" si="178"/>
        <v>0.0127459366980325</v>
      </c>
      <c r="AH76">
        <f t="shared" si="178"/>
        <v>0.0132017937219731</v>
      </c>
      <c r="AI76">
        <f t="shared" si="178"/>
        <v>0.0144238059135709</v>
      </c>
      <c r="AJ76">
        <f t="shared" si="178"/>
        <v>0.0147119149729629</v>
      </c>
      <c r="AK76">
        <f t="shared" si="178"/>
        <v>0.0127373965387509</v>
      </c>
      <c r="AL76">
        <f t="shared" si="178"/>
        <v>0.0149699327909445</v>
      </c>
      <c r="AO76">
        <f t="shared" ref="AO76:AU76" si="179">AO8</f>
        <v>0.0130200437931615</v>
      </c>
      <c r="AP76">
        <f t="shared" si="179"/>
        <v>0.0127459366980325</v>
      </c>
      <c r="AQ76">
        <f t="shared" si="179"/>
        <v>0.0132017937219731</v>
      </c>
      <c r="AR76">
        <f t="shared" si="179"/>
        <v>0.0144238059135709</v>
      </c>
      <c r="AS76">
        <f t="shared" si="179"/>
        <v>0.0147119149729629</v>
      </c>
      <c r="AT76">
        <f t="shared" si="179"/>
        <v>0.00941459744168548</v>
      </c>
      <c r="AU76">
        <f t="shared" si="179"/>
        <v>0.0110647329324372</v>
      </c>
    </row>
    <row r="77" spans="21:47">
      <c r="U77" s="121" t="s">
        <v>391</v>
      </c>
      <c r="V77" s="138" t="s">
        <v>218</v>
      </c>
      <c r="W77">
        <f>W9-W10</f>
        <v>0.0103587670540677</v>
      </c>
      <c r="X77">
        <f t="shared" ref="X77:AC77" si="180">X9-X10</f>
        <v>0.00995722840034217</v>
      </c>
      <c r="Y77">
        <f t="shared" si="180"/>
        <v>0.0102421524663677</v>
      </c>
      <c r="Z77">
        <f t="shared" si="180"/>
        <v>0.0112774829416224</v>
      </c>
      <c r="AA77">
        <f t="shared" si="180"/>
        <v>0.0114301696811486</v>
      </c>
      <c r="AB77">
        <f t="shared" si="180"/>
        <v>0.00859292701279159</v>
      </c>
      <c r="AC77">
        <f t="shared" si="180"/>
        <v>0.0100990449239476</v>
      </c>
      <c r="AF77">
        <f t="shared" ref="AF77:AL77" si="181">AF9-AF10</f>
        <v>0.0103587670540677</v>
      </c>
      <c r="AG77">
        <f t="shared" si="181"/>
        <v>0.00995722840034217</v>
      </c>
      <c r="AH77">
        <f t="shared" si="181"/>
        <v>0.0102421524663677</v>
      </c>
      <c r="AI77">
        <f t="shared" si="181"/>
        <v>0.0112774829416224</v>
      </c>
      <c r="AJ77">
        <f t="shared" si="181"/>
        <v>0.0114301696811486</v>
      </c>
      <c r="AK77">
        <f t="shared" si="181"/>
        <v>0.00988186606471032</v>
      </c>
      <c r="AL77">
        <f t="shared" si="181"/>
        <v>0.0116139016625398</v>
      </c>
      <c r="AO77">
        <f t="shared" ref="AO77:AU77" si="182">AO9-AO10</f>
        <v>0.0103587670540677</v>
      </c>
      <c r="AP77">
        <f t="shared" si="182"/>
        <v>0.00995722840034217</v>
      </c>
      <c r="AQ77">
        <f t="shared" si="182"/>
        <v>0.0102421524663677</v>
      </c>
      <c r="AR77">
        <f t="shared" si="182"/>
        <v>0.0112774829416224</v>
      </c>
      <c r="AS77">
        <f t="shared" si="182"/>
        <v>0.0114301696811486</v>
      </c>
      <c r="AT77">
        <f t="shared" si="182"/>
        <v>0.00730398796087285</v>
      </c>
      <c r="AU77">
        <f t="shared" si="182"/>
        <v>0.00858418818535549</v>
      </c>
    </row>
    <row r="78" spans="21:47">
      <c r="U78" s="121"/>
      <c r="V78" s="139" t="s">
        <v>532</v>
      </c>
      <c r="W78">
        <f>W11</f>
        <v>0.0349503116051878</v>
      </c>
      <c r="X78">
        <f t="shared" ref="X78:AC78" si="183">X11</f>
        <v>0.0333789563729684</v>
      </c>
      <c r="Y78">
        <f t="shared" si="183"/>
        <v>0.0343677130044843</v>
      </c>
      <c r="Z78">
        <f t="shared" si="183"/>
        <v>0.035253980288097</v>
      </c>
      <c r="AA78">
        <f t="shared" si="183"/>
        <v>0.0361364907700914</v>
      </c>
      <c r="AB78">
        <f t="shared" si="183"/>
        <v>0.0288337095560572</v>
      </c>
      <c r="AC78">
        <f t="shared" si="183"/>
        <v>0.0338875132649452</v>
      </c>
      <c r="AF78">
        <f t="shared" ref="AF78:AL78" si="184">AF11</f>
        <v>0.0349503116051878</v>
      </c>
      <c r="AG78">
        <f t="shared" si="184"/>
        <v>0.0333789563729684</v>
      </c>
      <c r="AH78">
        <f t="shared" si="184"/>
        <v>0.0343677130044843</v>
      </c>
      <c r="AI78">
        <f t="shared" si="184"/>
        <v>0.035253980288097</v>
      </c>
      <c r="AJ78">
        <f t="shared" si="184"/>
        <v>0.0361364907700914</v>
      </c>
      <c r="AK78">
        <f t="shared" si="184"/>
        <v>0.0331587659894658</v>
      </c>
      <c r="AL78">
        <f t="shared" si="184"/>
        <v>0.0389706402546869</v>
      </c>
      <c r="AO78">
        <f t="shared" ref="AO78:AU78" si="185">AO11</f>
        <v>0.0349503116051878</v>
      </c>
      <c r="AP78">
        <f t="shared" si="185"/>
        <v>0.0333789563729684</v>
      </c>
      <c r="AQ78">
        <f t="shared" si="185"/>
        <v>0.0343677130044843</v>
      </c>
      <c r="AR78">
        <f t="shared" si="185"/>
        <v>0.035253980288097</v>
      </c>
      <c r="AS78">
        <f t="shared" si="185"/>
        <v>0.0361364907700914</v>
      </c>
      <c r="AT78">
        <f t="shared" si="185"/>
        <v>0.0245086531226486</v>
      </c>
      <c r="AU78">
        <f t="shared" si="185"/>
        <v>0.0288043862752034</v>
      </c>
    </row>
    <row r="79" ht="15.5" spans="21:47">
      <c r="U79" s="121"/>
      <c r="V79" s="138" t="s">
        <v>534</v>
      </c>
      <c r="W79">
        <f>W12</f>
        <v>0.0799898938858009</v>
      </c>
      <c r="X79">
        <f t="shared" ref="X79:AC79" si="186">X12</f>
        <v>0.0778614200171086</v>
      </c>
      <c r="Y79">
        <f t="shared" si="186"/>
        <v>0.0807174887892377</v>
      </c>
      <c r="Z79">
        <f t="shared" si="186"/>
        <v>0.0845147839272176</v>
      </c>
      <c r="AA79">
        <f t="shared" si="186"/>
        <v>0.08851389147865</v>
      </c>
      <c r="AB79">
        <f t="shared" si="186"/>
        <v>0.0677200902934537</v>
      </c>
      <c r="AC79">
        <f t="shared" si="186"/>
        <v>0.0795896710293598</v>
      </c>
      <c r="AD79" s="123"/>
      <c r="AE79" s="123"/>
      <c r="AF79">
        <f t="shared" ref="AF79:AL79" si="187">AF12</f>
        <v>0.0799898938858009</v>
      </c>
      <c r="AG79">
        <f t="shared" si="187"/>
        <v>0.0778614200171086</v>
      </c>
      <c r="AH79">
        <f t="shared" si="187"/>
        <v>0.0807174887892377</v>
      </c>
      <c r="AI79">
        <f t="shared" si="187"/>
        <v>0.0845147839272176</v>
      </c>
      <c r="AJ79">
        <f t="shared" si="187"/>
        <v>0.08851389147865</v>
      </c>
      <c r="AK79">
        <f t="shared" si="187"/>
        <v>0.0778781038374718</v>
      </c>
      <c r="AL79">
        <f t="shared" si="187"/>
        <v>0.0915281216837637</v>
      </c>
      <c r="AM79" s="123"/>
      <c r="AN79" s="123"/>
      <c r="AO79">
        <f t="shared" ref="AO79:AU79" si="188">AO12</f>
        <v>0.0799898938858009</v>
      </c>
      <c r="AP79">
        <f t="shared" si="188"/>
        <v>0.0778614200171086</v>
      </c>
      <c r="AQ79">
        <f t="shared" si="188"/>
        <v>0.0807174887892377</v>
      </c>
      <c r="AR79">
        <f t="shared" si="188"/>
        <v>0.0845147839272176</v>
      </c>
      <c r="AS79">
        <f t="shared" si="188"/>
        <v>0.08851389147865</v>
      </c>
      <c r="AT79">
        <f t="shared" si="188"/>
        <v>0.0575620767494357</v>
      </c>
      <c r="AU79">
        <f t="shared" si="188"/>
        <v>0.0676512203749558</v>
      </c>
    </row>
    <row r="80" ht="15.5" spans="21:47">
      <c r="U80" s="121"/>
      <c r="V80" s="138" t="s">
        <v>536</v>
      </c>
      <c r="W80">
        <f>W13</f>
        <v>0.0135085059794509</v>
      </c>
      <c r="X80">
        <f t="shared" ref="X80:AC80" si="189">X13</f>
        <v>0.013207869974337</v>
      </c>
      <c r="Y80">
        <f t="shared" si="189"/>
        <v>0.0136860986547085</v>
      </c>
      <c r="Z80">
        <f t="shared" si="189"/>
        <v>0.0149545109931767</v>
      </c>
      <c r="AA80">
        <f t="shared" si="189"/>
        <v>0.0152340108148424</v>
      </c>
      <c r="AB80">
        <f t="shared" si="189"/>
        <v>0.0114823175319789</v>
      </c>
      <c r="AC80">
        <f t="shared" si="189"/>
        <v>0.013494870887867</v>
      </c>
      <c r="AD80" s="123"/>
      <c r="AE80" s="123"/>
      <c r="AF80">
        <f t="shared" ref="AF80:AL80" si="190">AF13</f>
        <v>0.0135085059794509</v>
      </c>
      <c r="AG80">
        <f t="shared" si="190"/>
        <v>0.013207869974337</v>
      </c>
      <c r="AH80">
        <f t="shared" si="190"/>
        <v>0.0136860986547085</v>
      </c>
      <c r="AI80">
        <f t="shared" si="190"/>
        <v>0.0149545109931767</v>
      </c>
      <c r="AJ80">
        <f t="shared" si="190"/>
        <v>0.0152340108148424</v>
      </c>
      <c r="AK80">
        <f t="shared" si="190"/>
        <v>0.0132046651617758</v>
      </c>
      <c r="AL80">
        <f t="shared" si="190"/>
        <v>0.015519101521047</v>
      </c>
      <c r="AM80" s="123"/>
      <c r="AN80" s="123"/>
      <c r="AO80">
        <f t="shared" ref="AO80:AU80" si="191">AO13</f>
        <v>0.0135085059794509</v>
      </c>
      <c r="AP80">
        <f t="shared" si="191"/>
        <v>0.013207869974337</v>
      </c>
      <c r="AQ80">
        <f t="shared" si="191"/>
        <v>0.0136860986547085</v>
      </c>
      <c r="AR80">
        <f t="shared" si="191"/>
        <v>0.0149545109931767</v>
      </c>
      <c r="AS80">
        <f t="shared" si="191"/>
        <v>0.0152340108148424</v>
      </c>
      <c r="AT80">
        <f t="shared" si="191"/>
        <v>0.00975996990218209</v>
      </c>
      <c r="AU80">
        <f t="shared" si="191"/>
        <v>0.0114706402546869</v>
      </c>
    </row>
    <row r="81" ht="15.5" spans="21:47">
      <c r="U81" s="121" t="s">
        <v>568</v>
      </c>
      <c r="V81" s="138" t="s">
        <v>218</v>
      </c>
      <c r="W81" s="123">
        <f>W14-W15</f>
        <v>0.010830385716692</v>
      </c>
      <c r="X81" s="123">
        <f t="shared" ref="X81:AC81" si="192">X14-X15</f>
        <v>0.0104020530367836</v>
      </c>
      <c r="Y81" s="123">
        <f t="shared" si="192"/>
        <v>0.0107085201793722</v>
      </c>
      <c r="Z81" s="123">
        <f t="shared" si="192"/>
        <v>0.0117702805155421</v>
      </c>
      <c r="AA81" s="123">
        <f t="shared" si="192"/>
        <v>0.011933619242961</v>
      </c>
      <c r="AB81" s="123">
        <f t="shared" si="192"/>
        <v>0.00898419864559818</v>
      </c>
      <c r="AC81" s="123">
        <f t="shared" si="192"/>
        <v>0.0105588963565617</v>
      </c>
      <c r="AD81" s="123"/>
      <c r="AE81" s="123"/>
      <c r="AF81" s="123">
        <f t="shared" ref="AF81:AL81" si="193">AF14-AF15</f>
        <v>0.010830385716692</v>
      </c>
      <c r="AG81" s="123">
        <f t="shared" si="193"/>
        <v>0.0104020530367836</v>
      </c>
      <c r="AH81" s="123">
        <f t="shared" si="193"/>
        <v>0.0107085201793722</v>
      </c>
      <c r="AI81" s="123">
        <f t="shared" si="193"/>
        <v>0.0117702805155421</v>
      </c>
      <c r="AJ81" s="123">
        <f t="shared" si="193"/>
        <v>0.011933619242961</v>
      </c>
      <c r="AK81" s="123">
        <f t="shared" si="193"/>
        <v>0.0103318284424379</v>
      </c>
      <c r="AL81" s="123">
        <f t="shared" si="193"/>
        <v>0.012142730810046</v>
      </c>
      <c r="AM81" s="123"/>
      <c r="AN81" s="123"/>
      <c r="AO81" s="123">
        <f t="shared" ref="AO81:AU81" si="194">AO14-AO15</f>
        <v>0.010830385716692</v>
      </c>
      <c r="AP81" s="123">
        <f t="shared" si="194"/>
        <v>0.0104020530367836</v>
      </c>
      <c r="AQ81" s="123">
        <f t="shared" si="194"/>
        <v>0.0107085201793722</v>
      </c>
      <c r="AR81" s="123">
        <f t="shared" si="194"/>
        <v>0.0117702805155421</v>
      </c>
      <c r="AS81" s="123">
        <f t="shared" si="194"/>
        <v>0.011933619242961</v>
      </c>
      <c r="AT81" s="123">
        <f t="shared" si="194"/>
        <v>0.00763656884875846</v>
      </c>
      <c r="AU81" s="123">
        <f t="shared" si="194"/>
        <v>0.00897506190307747</v>
      </c>
    </row>
    <row r="82" ht="15.5" spans="21:47">
      <c r="U82" s="121"/>
      <c r="V82" s="139" t="s">
        <v>532</v>
      </c>
      <c r="W82" s="123">
        <f>W16</f>
        <v>0.0447027118073101</v>
      </c>
      <c r="X82" s="123">
        <f t="shared" ref="X82:AC82" si="195">X16</f>
        <v>0.0428058169375535</v>
      </c>
      <c r="Y82" s="123">
        <f t="shared" si="195"/>
        <v>0.0441255605381166</v>
      </c>
      <c r="Z82" s="123">
        <f t="shared" si="195"/>
        <v>0.0456406368460955</v>
      </c>
      <c r="AA82" s="123">
        <f t="shared" si="195"/>
        <v>0.0467275778482193</v>
      </c>
      <c r="AB82" s="123">
        <f t="shared" si="195"/>
        <v>0.037020316027088</v>
      </c>
      <c r="AC82" s="123">
        <f t="shared" si="195"/>
        <v>0.0435090201627167</v>
      </c>
      <c r="AD82" s="123"/>
      <c r="AE82" s="123"/>
      <c r="AF82" s="123">
        <f t="shared" ref="AF82:AL82" si="196">AF16</f>
        <v>0.0447027118073101</v>
      </c>
      <c r="AG82" s="123">
        <f t="shared" si="196"/>
        <v>0.0428058169375535</v>
      </c>
      <c r="AH82" s="123">
        <f t="shared" si="196"/>
        <v>0.0441255605381166</v>
      </c>
      <c r="AI82" s="123">
        <f t="shared" si="196"/>
        <v>0.0456406368460955</v>
      </c>
      <c r="AJ82" s="123">
        <f t="shared" si="196"/>
        <v>0.0467275778482193</v>
      </c>
      <c r="AK82" s="123">
        <f t="shared" si="196"/>
        <v>0.0425733634311512</v>
      </c>
      <c r="AL82" s="123">
        <f t="shared" si="196"/>
        <v>0.0500353731871242</v>
      </c>
      <c r="AM82" s="123"/>
      <c r="AN82" s="123"/>
      <c r="AO82" s="123">
        <f t="shared" ref="AO82:AU82" si="197">AO16</f>
        <v>0.0447027118073101</v>
      </c>
      <c r="AP82" s="123">
        <f t="shared" si="197"/>
        <v>0.0428058169375535</v>
      </c>
      <c r="AQ82" s="123">
        <f t="shared" si="197"/>
        <v>0.0441255605381166</v>
      </c>
      <c r="AR82" s="123">
        <f t="shared" si="197"/>
        <v>0.0456406368460955</v>
      </c>
      <c r="AS82" s="123">
        <f t="shared" si="197"/>
        <v>0.0467275778482193</v>
      </c>
      <c r="AT82" s="123">
        <f t="shared" si="197"/>
        <v>0.0314672686230248</v>
      </c>
      <c r="AU82" s="123">
        <f t="shared" si="197"/>
        <v>0.0369826671383092</v>
      </c>
    </row>
    <row r="83" ht="15.5" spans="21:47">
      <c r="U83" s="121"/>
      <c r="V83" s="138" t="s">
        <v>534</v>
      </c>
      <c r="W83" s="123">
        <f>W17</f>
        <v>0.0724945258548088</v>
      </c>
      <c r="X83" s="123">
        <f t="shared" ref="X83:AC83" si="198">X17</f>
        <v>0.0706073567151412</v>
      </c>
      <c r="Y83" s="123">
        <f t="shared" si="198"/>
        <v>0.0732017937219731</v>
      </c>
      <c r="Z83" s="123">
        <f t="shared" si="198"/>
        <v>0.076516300227445</v>
      </c>
      <c r="AA83" s="123">
        <f t="shared" si="198"/>
        <v>0.0803841133693828</v>
      </c>
      <c r="AB83" s="123">
        <f t="shared" si="198"/>
        <v>0.0614145974416855</v>
      </c>
      <c r="AC83" s="123">
        <f t="shared" si="198"/>
        <v>0.0721789883268483</v>
      </c>
      <c r="AD83" s="123"/>
      <c r="AE83" s="123"/>
      <c r="AF83" s="123">
        <f t="shared" ref="AF83:AL83" si="199">AF17</f>
        <v>0.0724945258548088</v>
      </c>
      <c r="AG83" s="123">
        <f t="shared" si="199"/>
        <v>0.0706073567151412</v>
      </c>
      <c r="AH83" s="123">
        <f t="shared" si="199"/>
        <v>0.0732017937219731</v>
      </c>
      <c r="AI83" s="123">
        <f t="shared" si="199"/>
        <v>0.076516300227445</v>
      </c>
      <c r="AJ83" s="123">
        <f t="shared" si="199"/>
        <v>0.0803841133693828</v>
      </c>
      <c r="AK83" s="123">
        <f t="shared" si="199"/>
        <v>0.0706267870579383</v>
      </c>
      <c r="AL83" s="123">
        <f t="shared" si="199"/>
        <v>0.0830058365758755</v>
      </c>
      <c r="AM83" s="123"/>
      <c r="AN83" s="123"/>
      <c r="AO83" s="123">
        <f t="shared" ref="AO83:AU83" si="200">AO17</f>
        <v>0.0724945258548088</v>
      </c>
      <c r="AP83" s="123">
        <f t="shared" si="200"/>
        <v>0.0706073567151412</v>
      </c>
      <c r="AQ83" s="123">
        <f t="shared" si="200"/>
        <v>0.0732017937219731</v>
      </c>
      <c r="AR83" s="123">
        <f t="shared" si="200"/>
        <v>0.076516300227445</v>
      </c>
      <c r="AS83" s="123">
        <f t="shared" si="200"/>
        <v>0.0803841133693828</v>
      </c>
      <c r="AT83" s="123">
        <f t="shared" si="200"/>
        <v>0.0522024078254327</v>
      </c>
      <c r="AU83" s="123">
        <f t="shared" si="200"/>
        <v>0.061352140077821</v>
      </c>
    </row>
    <row r="84" ht="15.5" spans="21:47">
      <c r="U84" s="121"/>
      <c r="V84" s="138" t="s">
        <v>536</v>
      </c>
      <c r="W84" s="123">
        <f>W18</f>
        <v>0.0131547919824827</v>
      </c>
      <c r="X84" s="123">
        <f t="shared" ref="X84:AC84" si="201">X18</f>
        <v>0.0128656971770744</v>
      </c>
      <c r="Y84" s="123">
        <f t="shared" si="201"/>
        <v>0.0133273542600897</v>
      </c>
      <c r="Z84" s="123">
        <f t="shared" si="201"/>
        <v>0.0145564821834723</v>
      </c>
      <c r="AA84" s="123">
        <f t="shared" si="201"/>
        <v>0.0148610852134999</v>
      </c>
      <c r="AB84" s="123">
        <f t="shared" si="201"/>
        <v>0.0111813393528969</v>
      </c>
      <c r="AC84" s="123">
        <f t="shared" si="201"/>
        <v>0.0131411390166254</v>
      </c>
      <c r="AD84" s="123"/>
      <c r="AE84" s="123"/>
      <c r="AF84" s="123">
        <f t="shared" ref="AF84:AL84" si="202">AF18</f>
        <v>0.0131547919824827</v>
      </c>
      <c r="AG84" s="123">
        <f t="shared" si="202"/>
        <v>0.0128656971770744</v>
      </c>
      <c r="AH84" s="123">
        <f t="shared" si="202"/>
        <v>0.0133273542600897</v>
      </c>
      <c r="AI84" s="123">
        <f t="shared" si="202"/>
        <v>0.0145564821834723</v>
      </c>
      <c r="AJ84" s="123">
        <f t="shared" si="202"/>
        <v>0.0148610852134999</v>
      </c>
      <c r="AK84" s="123">
        <f t="shared" si="202"/>
        <v>0.0128585402558315</v>
      </c>
      <c r="AL84" s="123">
        <f t="shared" si="202"/>
        <v>0.0151123098691192</v>
      </c>
      <c r="AM84" s="123"/>
      <c r="AN84" s="123"/>
      <c r="AO84" s="123">
        <f t="shared" ref="AO84:AU84" si="203">AO18</f>
        <v>0.0131547919824827</v>
      </c>
      <c r="AP84" s="123">
        <f t="shared" si="203"/>
        <v>0.0128656971770744</v>
      </c>
      <c r="AQ84" s="123">
        <f t="shared" si="203"/>
        <v>0.0133273542600897</v>
      </c>
      <c r="AR84" s="123">
        <f t="shared" si="203"/>
        <v>0.0145564821834723</v>
      </c>
      <c r="AS84" s="123">
        <f t="shared" si="203"/>
        <v>0.0148610852134999</v>
      </c>
      <c r="AT84" s="123">
        <f t="shared" si="203"/>
        <v>0.00950413844996238</v>
      </c>
      <c r="AU84" s="123">
        <f t="shared" si="203"/>
        <v>0.0111699681641316</v>
      </c>
    </row>
    <row r="85" ht="15.5" spans="21:47">
      <c r="U85" s="121" t="s">
        <v>569</v>
      </c>
      <c r="V85" s="138" t="s">
        <v>218</v>
      </c>
      <c r="W85" s="123">
        <f>AVERAGE(W73,W77,W81)</f>
        <v>0.0105665038459379</v>
      </c>
      <c r="X85" s="123">
        <f t="shared" ref="X85:AC85" si="204">AVERAGE(X73,X77,X81)</f>
        <v>0.010151126318791</v>
      </c>
      <c r="Y85" s="123">
        <f t="shared" si="204"/>
        <v>0.0104454409566517</v>
      </c>
      <c r="Z85" s="123">
        <f t="shared" si="204"/>
        <v>0.0114922921405105</v>
      </c>
      <c r="AA85" s="123">
        <f t="shared" si="204"/>
        <v>0.0116539250419541</v>
      </c>
      <c r="AB85" s="123">
        <f t="shared" si="204"/>
        <v>0.00876348131427138</v>
      </c>
      <c r="AC85" s="123">
        <f t="shared" si="204"/>
        <v>0.0102994929843179</v>
      </c>
      <c r="AD85" s="123"/>
      <c r="AE85" s="123"/>
      <c r="AF85" s="123">
        <f t="shared" ref="AF85:AL85" si="205">AVERAGE(AF73,AF77,AF81)</f>
        <v>0.0105665038459379</v>
      </c>
      <c r="AG85" s="123">
        <f t="shared" si="205"/>
        <v>0.010151126318791</v>
      </c>
      <c r="AH85" s="123">
        <f t="shared" si="205"/>
        <v>0.0104454409566517</v>
      </c>
      <c r="AI85" s="123">
        <f t="shared" si="205"/>
        <v>0.0114922921405105</v>
      </c>
      <c r="AJ85" s="123">
        <f t="shared" si="205"/>
        <v>0.0116539250419541</v>
      </c>
      <c r="AK85" s="123">
        <f t="shared" si="205"/>
        <v>0.0100780035114121</v>
      </c>
      <c r="AL85" s="123">
        <f t="shared" si="205"/>
        <v>0.0118444169319656</v>
      </c>
      <c r="AM85" s="123"/>
      <c r="AN85" s="123"/>
      <c r="AO85" s="123">
        <f t="shared" ref="AO85:AU85" si="206">AVERAGE(AO73,AO77,AO81)</f>
        <v>0.0105665038459379</v>
      </c>
      <c r="AP85" s="123">
        <f t="shared" si="206"/>
        <v>0.010151126318791</v>
      </c>
      <c r="AQ85" s="123">
        <f t="shared" si="206"/>
        <v>0.0104454409566517</v>
      </c>
      <c r="AR85" s="123">
        <f t="shared" si="206"/>
        <v>0.0114922921405105</v>
      </c>
      <c r="AS85" s="123">
        <f t="shared" si="206"/>
        <v>0.0116539250419541</v>
      </c>
      <c r="AT85" s="123">
        <f t="shared" si="206"/>
        <v>0.00744895911713068</v>
      </c>
      <c r="AU85" s="123">
        <f t="shared" si="206"/>
        <v>0.00875456903667019</v>
      </c>
    </row>
    <row r="86" ht="15.5" spans="21:47">
      <c r="U86" s="121"/>
      <c r="V86" s="139" t="s">
        <v>532</v>
      </c>
      <c r="W86" s="123">
        <f>AVERAGE(W74,W78,W82)</f>
        <v>0.0361911178485206</v>
      </c>
      <c r="X86" s="123">
        <f t="shared" ref="X86:AC86" si="207">AVERAGE(X74,X78,X82)</f>
        <v>0.0345822640433419</v>
      </c>
      <c r="Y86" s="123">
        <f t="shared" si="207"/>
        <v>0.0356053811659193</v>
      </c>
      <c r="Z86" s="123">
        <f t="shared" si="207"/>
        <v>0.0365744250694971</v>
      </c>
      <c r="AA86" s="123">
        <f t="shared" si="207"/>
        <v>0.0374914537883026</v>
      </c>
      <c r="AB86" s="123">
        <f t="shared" si="207"/>
        <v>0.0298720842738901</v>
      </c>
      <c r="AC86" s="123">
        <f t="shared" si="207"/>
        <v>0.0351078882207287</v>
      </c>
      <c r="AD86" s="123"/>
      <c r="AE86" s="123"/>
      <c r="AF86" s="123">
        <f t="shared" ref="AF86:AL86" si="208">AVERAGE(AF74,AF78,AF82)</f>
        <v>0.0361911178485206</v>
      </c>
      <c r="AG86" s="123">
        <f t="shared" si="208"/>
        <v>0.0345822640433419</v>
      </c>
      <c r="AH86" s="123">
        <f t="shared" si="208"/>
        <v>0.0356053811659193</v>
      </c>
      <c r="AI86" s="123">
        <f t="shared" si="208"/>
        <v>0.0365744250694971</v>
      </c>
      <c r="AJ86" s="123">
        <f t="shared" si="208"/>
        <v>0.0374914537883026</v>
      </c>
      <c r="AK86" s="123">
        <f t="shared" si="208"/>
        <v>0.0343528969149737</v>
      </c>
      <c r="AL86" s="123">
        <f t="shared" si="208"/>
        <v>0.040374071453838</v>
      </c>
      <c r="AM86" s="123"/>
      <c r="AN86" s="123"/>
      <c r="AO86" s="123">
        <f t="shared" ref="AO86:AU86" si="209">AVERAGE(AO74,AO78,AO82)</f>
        <v>0.0361911178485206</v>
      </c>
      <c r="AP86" s="123">
        <f t="shared" si="209"/>
        <v>0.0345822640433419</v>
      </c>
      <c r="AQ86" s="123">
        <f t="shared" si="209"/>
        <v>0.0356053811659193</v>
      </c>
      <c r="AR86" s="123">
        <f t="shared" si="209"/>
        <v>0.0365744250694971</v>
      </c>
      <c r="AS86" s="123">
        <f t="shared" si="209"/>
        <v>0.0374914537883026</v>
      </c>
      <c r="AT86" s="123">
        <f t="shared" si="209"/>
        <v>0.0253912716328066</v>
      </c>
      <c r="AU86" s="123">
        <f t="shared" si="209"/>
        <v>0.0298417049876194</v>
      </c>
    </row>
    <row r="87" ht="15.5" spans="21:47">
      <c r="U87" s="121"/>
      <c r="V87" s="138" t="s">
        <v>534</v>
      </c>
      <c r="W87" s="123">
        <f>AVERAGE(W75,W79,W83)</f>
        <v>0.0787154005951378</v>
      </c>
      <c r="X87" s="123">
        <f t="shared" ref="X87:AC87" si="210">AVERAGE(X75,X79,X83)</f>
        <v>0.0766238950670089</v>
      </c>
      <c r="Y87" s="123">
        <f t="shared" si="210"/>
        <v>0.0794379671150972</v>
      </c>
      <c r="Z87" s="123">
        <f t="shared" si="210"/>
        <v>0.0831501137225171</v>
      </c>
      <c r="AA87" s="123">
        <f t="shared" si="210"/>
        <v>0.0871278513269936</v>
      </c>
      <c r="AB87" s="123">
        <f t="shared" si="210"/>
        <v>0.0666466014547279</v>
      </c>
      <c r="AC87" s="123">
        <f t="shared" si="210"/>
        <v>0.0783280273552647</v>
      </c>
      <c r="AD87" s="123"/>
      <c r="AE87" s="123"/>
      <c r="AF87" s="123">
        <f t="shared" ref="AF87:AL87" si="211">AVERAGE(AF75,AF79,AF83)</f>
        <v>0.0787154005951378</v>
      </c>
      <c r="AG87" s="123">
        <f t="shared" si="211"/>
        <v>0.0766238950670089</v>
      </c>
      <c r="AH87" s="123">
        <f t="shared" si="211"/>
        <v>0.0794379671150972</v>
      </c>
      <c r="AI87" s="123">
        <f t="shared" si="211"/>
        <v>0.0831501137225171</v>
      </c>
      <c r="AJ87" s="123">
        <f t="shared" si="211"/>
        <v>0.0871278513269936</v>
      </c>
      <c r="AK87" s="123">
        <f t="shared" si="211"/>
        <v>0.0766435916729371</v>
      </c>
      <c r="AL87" s="123">
        <f t="shared" si="211"/>
        <v>0.0900772314585544</v>
      </c>
      <c r="AM87" s="123"/>
      <c r="AN87" s="123"/>
      <c r="AO87" s="123">
        <f t="shared" ref="AO87:AU87" si="212">AVERAGE(AO75,AO79,AO83)</f>
        <v>0.0787154005951378</v>
      </c>
      <c r="AP87" s="123">
        <f t="shared" si="212"/>
        <v>0.0766238950670089</v>
      </c>
      <c r="AQ87" s="123">
        <f t="shared" si="212"/>
        <v>0.0794379671150972</v>
      </c>
      <c r="AR87" s="123">
        <f t="shared" si="212"/>
        <v>0.0831501137225171</v>
      </c>
      <c r="AS87" s="123">
        <f t="shared" si="212"/>
        <v>0.0871278513269936</v>
      </c>
      <c r="AT87" s="123">
        <f t="shared" si="212"/>
        <v>0.0566496112365187</v>
      </c>
      <c r="AU87" s="123">
        <f t="shared" si="212"/>
        <v>0.066578823251975</v>
      </c>
    </row>
    <row r="88" ht="15.5" spans="21:47">
      <c r="U88" s="121"/>
      <c r="V88" s="138" t="s">
        <v>536</v>
      </c>
      <c r="W88" s="123">
        <f>AVERAGE(W76,W80,W84)</f>
        <v>0.0132277805850317</v>
      </c>
      <c r="X88" s="123">
        <f t="shared" ref="X88:AC88" si="213">AVERAGE(X76,X80,X84)</f>
        <v>0.0129398346164813</v>
      </c>
      <c r="Y88" s="123">
        <f t="shared" si="213"/>
        <v>0.0134050822122571</v>
      </c>
      <c r="Z88" s="123">
        <f t="shared" si="213"/>
        <v>0.0146449330300733</v>
      </c>
      <c r="AA88" s="123">
        <f t="shared" si="213"/>
        <v>0.0149356703337684</v>
      </c>
      <c r="AB88" s="123">
        <f t="shared" si="213"/>
        <v>0.011246551291698</v>
      </c>
      <c r="AC88" s="123">
        <f t="shared" si="213"/>
        <v>0.0132177809220611</v>
      </c>
      <c r="AD88" s="123"/>
      <c r="AE88" s="123"/>
      <c r="AF88" s="123">
        <f t="shared" ref="AF88:AL88" si="214">AVERAGE(AF76,AF80,AF84)</f>
        <v>0.0132277805850317</v>
      </c>
      <c r="AG88" s="123">
        <f t="shared" si="214"/>
        <v>0.0129398346164813</v>
      </c>
      <c r="AH88" s="123">
        <f t="shared" si="214"/>
        <v>0.0134050822122571</v>
      </c>
      <c r="AI88" s="123">
        <f t="shared" si="214"/>
        <v>0.0146449330300733</v>
      </c>
      <c r="AJ88" s="123">
        <f t="shared" si="214"/>
        <v>0.0149356703337684</v>
      </c>
      <c r="AK88" s="123">
        <f t="shared" si="214"/>
        <v>0.0129335339854527</v>
      </c>
      <c r="AL88" s="123">
        <f t="shared" si="214"/>
        <v>0.0152004480603702</v>
      </c>
      <c r="AM88" s="123"/>
      <c r="AN88" s="123"/>
      <c r="AO88" s="123">
        <f t="shared" ref="AO88:AU88" si="215">AVERAGE(AO76,AO80,AO84)</f>
        <v>0.0132277805850317</v>
      </c>
      <c r="AP88" s="123">
        <f t="shared" si="215"/>
        <v>0.0129398346164813</v>
      </c>
      <c r="AQ88" s="123">
        <f t="shared" si="215"/>
        <v>0.0134050822122571</v>
      </c>
      <c r="AR88" s="123">
        <f t="shared" si="215"/>
        <v>0.0146449330300733</v>
      </c>
      <c r="AS88" s="123">
        <f t="shared" si="215"/>
        <v>0.0149356703337684</v>
      </c>
      <c r="AT88" s="123">
        <f t="shared" si="215"/>
        <v>0.00955956859794332</v>
      </c>
      <c r="AU88" s="123">
        <f t="shared" si="215"/>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333</v>
      </c>
      <c r="X92" s="123" t="s">
        <v>334</v>
      </c>
      <c r="Y92" s="124" t="s">
        <v>335</v>
      </c>
      <c r="Z92" s="123" t="s">
        <v>336</v>
      </c>
      <c r="AA92" s="123" t="s">
        <v>241</v>
      </c>
      <c r="AB92" s="135" t="s">
        <v>528</v>
      </c>
      <c r="AC92" s="135" t="s">
        <v>529</v>
      </c>
      <c r="AD92" s="123"/>
      <c r="AE92" s="123"/>
      <c r="AF92" s="123" t="s">
        <v>333</v>
      </c>
      <c r="AG92" s="123" t="s">
        <v>334</v>
      </c>
      <c r="AH92" s="124" t="s">
        <v>335</v>
      </c>
      <c r="AI92" s="123" t="s">
        <v>336</v>
      </c>
      <c r="AJ92" s="123" t="s">
        <v>241</v>
      </c>
      <c r="AK92" s="135" t="s">
        <v>528</v>
      </c>
      <c r="AL92" s="135" t="s">
        <v>529</v>
      </c>
      <c r="AM92" s="123"/>
      <c r="AN92" s="123"/>
      <c r="AO92" s="123" t="s">
        <v>333</v>
      </c>
      <c r="AP92" s="123" t="s">
        <v>334</v>
      </c>
      <c r="AQ92" s="124" t="s">
        <v>335</v>
      </c>
      <c r="AR92" s="123" t="s">
        <v>336</v>
      </c>
      <c r="AS92" s="123" t="s">
        <v>241</v>
      </c>
      <c r="AT92" s="135" t="s">
        <v>528</v>
      </c>
      <c r="AU92" s="135" t="s">
        <v>529</v>
      </c>
    </row>
    <row r="93" spans="21:47">
      <c r="U93" s="121" t="s">
        <v>530</v>
      </c>
      <c r="V93" s="138" t="s">
        <v>218</v>
      </c>
      <c r="W93">
        <f t="shared" ref="W93:AC93" si="216">W24-W25</f>
        <v>0.0115546572342934</v>
      </c>
      <c r="X93">
        <f t="shared" si="216"/>
        <v>0.0110863986313088</v>
      </c>
      <c r="Y93">
        <f t="shared" si="216"/>
        <v>0.0114618834080717</v>
      </c>
      <c r="Z93">
        <f t="shared" si="216"/>
        <v>0.011751326762699</v>
      </c>
      <c r="AA93">
        <f t="shared" si="216"/>
        <v>0.0119709118030953</v>
      </c>
      <c r="AB93">
        <f t="shared" si="216"/>
        <v>0.00961625282167042</v>
      </c>
      <c r="AC93">
        <f t="shared" si="216"/>
        <v>0.0113017332861691</v>
      </c>
      <c r="AF93">
        <f t="shared" ref="AF93:AL93" si="217">AF24-AF25</f>
        <v>0.0115546572342934</v>
      </c>
      <c r="AG93">
        <f t="shared" si="217"/>
        <v>0.0110863986313088</v>
      </c>
      <c r="AH93">
        <f t="shared" si="217"/>
        <v>0.0114618834080717</v>
      </c>
      <c r="AI93">
        <f t="shared" si="217"/>
        <v>0.011751326762699</v>
      </c>
      <c r="AJ93">
        <f t="shared" si="217"/>
        <v>0.0119709118030953</v>
      </c>
      <c r="AK93">
        <f t="shared" si="217"/>
        <v>0.011058690744921</v>
      </c>
      <c r="AL93">
        <f t="shared" si="217"/>
        <v>0.0129969932790944</v>
      </c>
      <c r="AO93">
        <f t="shared" ref="AO93:AU93" si="218">AO24-AO25</f>
        <v>0.0115546572342934</v>
      </c>
      <c r="AP93">
        <f t="shared" si="218"/>
        <v>0.0110863986313088</v>
      </c>
      <c r="AQ93">
        <f t="shared" si="218"/>
        <v>0.0114618834080717</v>
      </c>
      <c r="AR93">
        <f t="shared" si="218"/>
        <v>0.011751326762699</v>
      </c>
      <c r="AS93">
        <f t="shared" si="218"/>
        <v>0.0119709118030953</v>
      </c>
      <c r="AT93">
        <f t="shared" si="218"/>
        <v>0.00817381489841985</v>
      </c>
      <c r="AU93">
        <f t="shared" si="218"/>
        <v>0.00960647329324371</v>
      </c>
    </row>
    <row r="94" spans="21:47">
      <c r="U94" s="121"/>
      <c r="V94" s="139" t="s">
        <v>532</v>
      </c>
      <c r="W94">
        <f t="shared" ref="W94:AC94" si="219">W26</f>
        <v>0.0252147549267307</v>
      </c>
      <c r="X94">
        <f t="shared" si="219"/>
        <v>0.0242600513259196</v>
      </c>
      <c r="Y94">
        <f t="shared" si="219"/>
        <v>0.0250941704035874</v>
      </c>
      <c r="Z94">
        <f t="shared" si="219"/>
        <v>0.0257581501137225</v>
      </c>
      <c r="AA94">
        <f t="shared" si="219"/>
        <v>0.0262539623345143</v>
      </c>
      <c r="AB94">
        <f t="shared" si="219"/>
        <v>0.0210534236267871</v>
      </c>
      <c r="AC94">
        <f t="shared" si="219"/>
        <v>0.0247435443933498</v>
      </c>
      <c r="AF94">
        <f t="shared" ref="AF94:AL94" si="220">AF26</f>
        <v>0.0252147549267307</v>
      </c>
      <c r="AG94">
        <f t="shared" si="220"/>
        <v>0.0242600513259196</v>
      </c>
      <c r="AH94">
        <f t="shared" si="220"/>
        <v>0.0250941704035874</v>
      </c>
      <c r="AI94">
        <f t="shared" si="220"/>
        <v>0.0257581501137225</v>
      </c>
      <c r="AJ94">
        <f t="shared" si="220"/>
        <v>0.0262539623345143</v>
      </c>
      <c r="AK94">
        <f t="shared" si="220"/>
        <v>0.0242114371708051</v>
      </c>
      <c r="AL94">
        <f t="shared" si="220"/>
        <v>0.0284550760523523</v>
      </c>
      <c r="AO94">
        <f t="shared" ref="AO94:AU94" si="221">AO26</f>
        <v>0.0252147549267307</v>
      </c>
      <c r="AP94">
        <f t="shared" si="221"/>
        <v>0.0242600513259196</v>
      </c>
      <c r="AQ94">
        <f t="shared" si="221"/>
        <v>0.0250941704035874</v>
      </c>
      <c r="AR94">
        <f t="shared" si="221"/>
        <v>0.0257581501137225</v>
      </c>
      <c r="AS94">
        <f t="shared" si="221"/>
        <v>0.0262539623345143</v>
      </c>
      <c r="AT94">
        <f t="shared" si="221"/>
        <v>0.017895410082769</v>
      </c>
      <c r="AU94">
        <f t="shared" si="221"/>
        <v>0.0210320127343474</v>
      </c>
    </row>
    <row r="95" spans="21:47">
      <c r="U95" s="121"/>
      <c r="V95" s="138" t="s">
        <v>534</v>
      </c>
      <c r="W95">
        <f t="shared" ref="W95:AC95" si="222">W27</f>
        <v>0.0978103419235304</v>
      </c>
      <c r="X95">
        <f t="shared" si="222"/>
        <v>0.0947818648417451</v>
      </c>
      <c r="Y95">
        <f t="shared" si="222"/>
        <v>0.0982600896860986</v>
      </c>
      <c r="Z95">
        <f t="shared" si="222"/>
        <v>0.099696739954511</v>
      </c>
      <c r="AA95">
        <f t="shared" si="222"/>
        <v>0.103953011374231</v>
      </c>
      <c r="AB95">
        <f t="shared" si="222"/>
        <v>0.0824379232505643</v>
      </c>
      <c r="AC95">
        <f t="shared" si="222"/>
        <v>0.0968871595330739</v>
      </c>
      <c r="AF95">
        <f t="shared" ref="AF95:AL95" si="223">AF27</f>
        <v>0.0978103419235304</v>
      </c>
      <c r="AG95">
        <f t="shared" si="223"/>
        <v>0.0947818648417451</v>
      </c>
      <c r="AH95">
        <f t="shared" si="223"/>
        <v>0.0982600896860986</v>
      </c>
      <c r="AI95">
        <f t="shared" si="223"/>
        <v>0.099696739954511</v>
      </c>
      <c r="AJ95">
        <f t="shared" si="223"/>
        <v>0.103953011374231</v>
      </c>
      <c r="AK95">
        <f t="shared" si="223"/>
        <v>0.094803611738149</v>
      </c>
      <c r="AL95">
        <f t="shared" si="223"/>
        <v>0.111420233463035</v>
      </c>
      <c r="AO95">
        <f t="shared" ref="AO95:AU95" si="224">AO27</f>
        <v>0.0978103419235304</v>
      </c>
      <c r="AP95">
        <f t="shared" si="224"/>
        <v>0.0947818648417451</v>
      </c>
      <c r="AQ95">
        <f t="shared" si="224"/>
        <v>0.0982600896860986</v>
      </c>
      <c r="AR95">
        <f t="shared" si="224"/>
        <v>0.099696739954511</v>
      </c>
      <c r="AS95">
        <f t="shared" si="224"/>
        <v>0.103953011374231</v>
      </c>
      <c r="AT95">
        <f t="shared" si="224"/>
        <v>0.0700722347629797</v>
      </c>
      <c r="AU95">
        <f t="shared" si="224"/>
        <v>0.0823540856031128</v>
      </c>
    </row>
    <row r="96" spans="21:47">
      <c r="U96" s="121"/>
      <c r="V96" s="138" t="s">
        <v>536</v>
      </c>
      <c r="W96">
        <f t="shared" ref="W96:AC96" si="225">W28</f>
        <v>0.0132390096008085</v>
      </c>
      <c r="X96">
        <f t="shared" si="225"/>
        <v>0.0130538922155689</v>
      </c>
      <c r="Y96">
        <f t="shared" si="225"/>
        <v>0.0136143497757848</v>
      </c>
      <c r="Z96">
        <f t="shared" si="225"/>
        <v>0.0139689158453374</v>
      </c>
      <c r="AA96">
        <f t="shared" si="225"/>
        <v>0.0141711728510162</v>
      </c>
      <c r="AB96">
        <f t="shared" si="225"/>
        <v>0.0114221218961625</v>
      </c>
      <c r="AC96">
        <f t="shared" si="225"/>
        <v>0.0134241245136187</v>
      </c>
      <c r="AF96">
        <f t="shared" ref="AF96:AL96" si="226">AF28</f>
        <v>0.0132390096008085</v>
      </c>
      <c r="AG96">
        <f t="shared" si="226"/>
        <v>0.0130538922155689</v>
      </c>
      <c r="AH96">
        <f t="shared" si="226"/>
        <v>0.0136143497757848</v>
      </c>
      <c r="AI96">
        <f t="shared" si="226"/>
        <v>0.0139689158453374</v>
      </c>
      <c r="AJ96">
        <f t="shared" si="226"/>
        <v>0.0141711728510162</v>
      </c>
      <c r="AK96">
        <f t="shared" si="226"/>
        <v>0.0131354401805869</v>
      </c>
      <c r="AL96">
        <f t="shared" si="226"/>
        <v>0.0154377431906615</v>
      </c>
      <c r="AO96">
        <f t="shared" ref="AO96:AU96" si="227">AO28</f>
        <v>0.0132390096008085</v>
      </c>
      <c r="AP96">
        <f t="shared" si="227"/>
        <v>0.0130538922155689</v>
      </c>
      <c r="AQ96">
        <f t="shared" si="227"/>
        <v>0.0136143497757848</v>
      </c>
      <c r="AR96">
        <f t="shared" si="227"/>
        <v>0.0139689158453374</v>
      </c>
      <c r="AS96">
        <f t="shared" si="227"/>
        <v>0.0141711728510162</v>
      </c>
      <c r="AT96">
        <f t="shared" si="227"/>
        <v>0.00970880361173815</v>
      </c>
      <c r="AU96">
        <f t="shared" si="227"/>
        <v>0.0114105058365759</v>
      </c>
    </row>
    <row r="97" spans="21:47">
      <c r="U97" s="121" t="s">
        <v>391</v>
      </c>
      <c r="V97" s="138" t="s">
        <v>218</v>
      </c>
      <c r="W97">
        <f t="shared" ref="W97:AC97" si="228">W29-W30</f>
        <v>0.0114030655213071</v>
      </c>
      <c r="X97">
        <f t="shared" si="228"/>
        <v>0.0109324208725406</v>
      </c>
      <c r="Y97">
        <f t="shared" si="228"/>
        <v>0.0113183856502242</v>
      </c>
      <c r="Z97">
        <f t="shared" si="228"/>
        <v>0.0115996967399545</v>
      </c>
      <c r="AA97">
        <f t="shared" si="228"/>
        <v>0.0118030952824912</v>
      </c>
      <c r="AB97">
        <f t="shared" si="228"/>
        <v>0.00949586155003763</v>
      </c>
      <c r="AC97">
        <f t="shared" si="228"/>
        <v>0.0111602405376725</v>
      </c>
      <c r="AF97">
        <f t="shared" ref="AF97:AL97" si="229">AF29-AF30</f>
        <v>0.0114030655213071</v>
      </c>
      <c r="AG97">
        <f t="shared" si="229"/>
        <v>0.0109324208725406</v>
      </c>
      <c r="AH97">
        <f t="shared" si="229"/>
        <v>0.0113183856502242</v>
      </c>
      <c r="AI97">
        <f t="shared" si="229"/>
        <v>0.0115996967399545</v>
      </c>
      <c r="AJ97">
        <f t="shared" si="229"/>
        <v>0.0118030952824912</v>
      </c>
      <c r="AK97">
        <f t="shared" si="229"/>
        <v>0.0109202407825433</v>
      </c>
      <c r="AL97">
        <f t="shared" si="229"/>
        <v>0.0128342766183233</v>
      </c>
      <c r="AO97">
        <f t="shared" ref="AO97:AU97" si="230">AO29-AO30</f>
        <v>0.0114030655213071</v>
      </c>
      <c r="AP97">
        <f t="shared" si="230"/>
        <v>0.0109324208725406</v>
      </c>
      <c r="AQ97">
        <f t="shared" si="230"/>
        <v>0.0113183856502242</v>
      </c>
      <c r="AR97">
        <f t="shared" si="230"/>
        <v>0.0115996967399545</v>
      </c>
      <c r="AS97">
        <f t="shared" si="230"/>
        <v>0.0118030952824912</v>
      </c>
      <c r="AT97">
        <f t="shared" si="230"/>
        <v>0.00807148231753198</v>
      </c>
      <c r="AU97">
        <f t="shared" si="230"/>
        <v>0.00948620445702159</v>
      </c>
    </row>
    <row r="98" spans="21:47">
      <c r="U98" s="121"/>
      <c r="V98" s="139" t="s">
        <v>532</v>
      </c>
      <c r="W98">
        <f t="shared" ref="W98:AC98" si="231">W31</f>
        <v>0.0310257705912077</v>
      </c>
      <c r="X98">
        <f t="shared" si="231"/>
        <v>0.0298716852010265</v>
      </c>
      <c r="Y98">
        <f t="shared" si="231"/>
        <v>0.0309237668161435</v>
      </c>
      <c r="Z98">
        <f t="shared" si="231"/>
        <v>0.0319749810462472</v>
      </c>
      <c r="AA98">
        <f t="shared" si="231"/>
        <v>0.0325750512772702</v>
      </c>
      <c r="AB98">
        <f t="shared" si="231"/>
        <v>0.0259443190368698</v>
      </c>
      <c r="AC98">
        <f t="shared" si="231"/>
        <v>0.0304916873010258</v>
      </c>
      <c r="AF98">
        <f t="shared" ref="AF98:AL98" si="232">AF31</f>
        <v>0.0310257705912077</v>
      </c>
      <c r="AG98">
        <f t="shared" si="232"/>
        <v>0.0298716852010265</v>
      </c>
      <c r="AH98">
        <f t="shared" si="232"/>
        <v>0.0309237668161435</v>
      </c>
      <c r="AI98">
        <f t="shared" si="232"/>
        <v>0.0319749810462472</v>
      </c>
      <c r="AJ98">
        <f t="shared" si="232"/>
        <v>0.0325750512772702</v>
      </c>
      <c r="AK98">
        <f t="shared" si="232"/>
        <v>0.0298359668924003</v>
      </c>
      <c r="AL98">
        <f t="shared" si="232"/>
        <v>0.0350654403961797</v>
      </c>
      <c r="AO98">
        <f t="shared" ref="AO98:AU98" si="233">AO31</f>
        <v>0.0310257705912077</v>
      </c>
      <c r="AP98">
        <f t="shared" si="233"/>
        <v>0.0298716852010265</v>
      </c>
      <c r="AQ98">
        <f t="shared" si="233"/>
        <v>0.0309237668161435</v>
      </c>
      <c r="AR98">
        <f t="shared" si="233"/>
        <v>0.0319749810462472</v>
      </c>
      <c r="AS98">
        <f t="shared" si="233"/>
        <v>0.0325750512772702</v>
      </c>
      <c r="AT98">
        <f t="shared" si="233"/>
        <v>0.0220526711813394</v>
      </c>
      <c r="AU98">
        <f t="shared" si="233"/>
        <v>0.0259179342058719</v>
      </c>
    </row>
    <row r="99" ht="15.5" spans="21:47">
      <c r="U99" s="121"/>
      <c r="V99" s="138" t="s">
        <v>534</v>
      </c>
      <c r="W99">
        <f t="shared" ref="W99:AC99" si="234">W32</f>
        <v>0.0942732019538488</v>
      </c>
      <c r="X99">
        <f t="shared" si="234"/>
        <v>0.0913601368691189</v>
      </c>
      <c r="Y99">
        <f t="shared" si="234"/>
        <v>0.0947085201793722</v>
      </c>
      <c r="Z99">
        <f t="shared" si="234"/>
        <v>0.0959249431387415</v>
      </c>
      <c r="AA99">
        <f t="shared" si="234"/>
        <v>0.100111877680403</v>
      </c>
      <c r="AB99">
        <f t="shared" si="234"/>
        <v>0.0794582392776524</v>
      </c>
      <c r="AC99">
        <f t="shared" si="234"/>
        <v>0.0933852140077821</v>
      </c>
      <c r="AD99" s="123"/>
      <c r="AE99" s="123"/>
      <c r="AF99">
        <f t="shared" ref="AF99:AL99" si="235">AF32</f>
        <v>0.0942732019538488</v>
      </c>
      <c r="AG99">
        <f t="shared" si="235"/>
        <v>0.0913601368691189</v>
      </c>
      <c r="AH99">
        <f t="shared" si="235"/>
        <v>0.0947085201793722</v>
      </c>
      <c r="AI99">
        <f t="shared" si="235"/>
        <v>0.0959249431387415</v>
      </c>
      <c r="AJ99">
        <f t="shared" si="235"/>
        <v>0.100111877680403</v>
      </c>
      <c r="AK99">
        <f t="shared" si="235"/>
        <v>0.0913769751693002</v>
      </c>
      <c r="AL99">
        <f t="shared" si="235"/>
        <v>0.107392996108949</v>
      </c>
      <c r="AM99" s="123"/>
      <c r="AN99" s="123"/>
      <c r="AO99">
        <f t="shared" ref="AO99:AU99" si="236">AO32</f>
        <v>0.0942732019538488</v>
      </c>
      <c r="AP99">
        <f t="shared" si="236"/>
        <v>0.0913601368691189</v>
      </c>
      <c r="AQ99">
        <f t="shared" si="236"/>
        <v>0.0947085201793722</v>
      </c>
      <c r="AR99">
        <f t="shared" si="236"/>
        <v>0.0959249431387415</v>
      </c>
      <c r="AS99">
        <f t="shared" si="236"/>
        <v>0.100111877680403</v>
      </c>
      <c r="AT99">
        <f t="shared" si="236"/>
        <v>0.0675395033860045</v>
      </c>
      <c r="AU99">
        <f t="shared" si="236"/>
        <v>0.0793774319066148</v>
      </c>
    </row>
    <row r="100" ht="15.5" spans="21:47">
      <c r="U100" s="121"/>
      <c r="V100" s="138" t="s">
        <v>536</v>
      </c>
      <c r="W100">
        <f t="shared" ref="W100:AC100" si="237">W33</f>
        <v>0.0137106282634327</v>
      </c>
      <c r="X100">
        <f t="shared" si="237"/>
        <v>0.0135158254918734</v>
      </c>
      <c r="Y100">
        <f t="shared" si="237"/>
        <v>0.0140807174887892</v>
      </c>
      <c r="Z100">
        <f t="shared" si="237"/>
        <v>0.0144806671721001</v>
      </c>
      <c r="AA100">
        <f t="shared" si="237"/>
        <v>0.0146746224128286</v>
      </c>
      <c r="AB100">
        <f t="shared" si="237"/>
        <v>0.0118133935289691</v>
      </c>
      <c r="AC100">
        <f t="shared" si="237"/>
        <v>0.0138839759462328</v>
      </c>
      <c r="AD100" s="123"/>
      <c r="AE100" s="123"/>
      <c r="AF100">
        <f t="shared" ref="AF100:AL100" si="238">AF33</f>
        <v>0.0137106282634327</v>
      </c>
      <c r="AG100">
        <f t="shared" si="238"/>
        <v>0.0135158254918734</v>
      </c>
      <c r="AH100">
        <f t="shared" si="238"/>
        <v>0.0140807174887892</v>
      </c>
      <c r="AI100">
        <f t="shared" si="238"/>
        <v>0.0144806671721001</v>
      </c>
      <c r="AJ100">
        <f t="shared" si="238"/>
        <v>0.0146746224128286</v>
      </c>
      <c r="AK100">
        <f t="shared" si="238"/>
        <v>0.0135854025583145</v>
      </c>
      <c r="AL100">
        <f t="shared" si="238"/>
        <v>0.0159665723381677</v>
      </c>
      <c r="AM100" s="123"/>
      <c r="AN100" s="123"/>
      <c r="AO100">
        <f t="shared" ref="AO100:AU100" si="239">AO33</f>
        <v>0.0137106282634327</v>
      </c>
      <c r="AP100">
        <f t="shared" si="239"/>
        <v>0.0135158254918734</v>
      </c>
      <c r="AQ100">
        <f t="shared" si="239"/>
        <v>0.0140807174887892</v>
      </c>
      <c r="AR100">
        <f t="shared" si="239"/>
        <v>0.0144806671721001</v>
      </c>
      <c r="AS100">
        <f t="shared" si="239"/>
        <v>0.0146746224128286</v>
      </c>
      <c r="AT100">
        <f t="shared" si="239"/>
        <v>0.0100413844996238</v>
      </c>
      <c r="AU100">
        <f t="shared" si="239"/>
        <v>0.0118013795542978</v>
      </c>
    </row>
    <row r="101" ht="15.5" spans="21:47">
      <c r="U101" s="121" t="s">
        <v>568</v>
      </c>
      <c r="V101" s="138" t="s">
        <v>218</v>
      </c>
      <c r="W101" s="123">
        <f t="shared" ref="W101:AC101" si="240">W34-W35</f>
        <v>0.011840997136601</v>
      </c>
      <c r="X101" s="123">
        <f t="shared" si="240"/>
        <v>0.011377245508982</v>
      </c>
      <c r="Y101" s="123">
        <f t="shared" si="240"/>
        <v>0.0117668161434977</v>
      </c>
      <c r="Z101" s="123">
        <f t="shared" si="240"/>
        <v>0.0120924943138741</v>
      </c>
      <c r="AA101" s="123">
        <f t="shared" si="240"/>
        <v>0.0122878985642364</v>
      </c>
      <c r="AB101" s="123">
        <f t="shared" si="240"/>
        <v>0.00987208427389014</v>
      </c>
      <c r="AC101" s="123">
        <f t="shared" si="240"/>
        <v>0.0116024053767244</v>
      </c>
      <c r="AD101" s="123"/>
      <c r="AE101" s="123"/>
      <c r="AF101" s="123">
        <f t="shared" ref="AF101:AL101" si="241">AF34-AF35</f>
        <v>0.011840997136601</v>
      </c>
      <c r="AG101" s="123">
        <f t="shared" si="241"/>
        <v>0.011377245508982</v>
      </c>
      <c r="AH101" s="123">
        <f t="shared" si="241"/>
        <v>0.0117668161434977</v>
      </c>
      <c r="AI101" s="123">
        <f t="shared" si="241"/>
        <v>0.0120924943138741</v>
      </c>
      <c r="AJ101" s="123">
        <f t="shared" si="241"/>
        <v>0.0122878985642364</v>
      </c>
      <c r="AK101" s="123">
        <f t="shared" si="241"/>
        <v>0.0113528969149737</v>
      </c>
      <c r="AL101" s="123">
        <f t="shared" si="241"/>
        <v>0.0133427661832331</v>
      </c>
      <c r="AM101" s="123"/>
      <c r="AN101" s="123"/>
      <c r="AO101" s="123">
        <f t="shared" ref="AO101:AU101" si="242">AO34-AO35</f>
        <v>0.011840997136601</v>
      </c>
      <c r="AP101" s="123">
        <f t="shared" si="242"/>
        <v>0.011377245508982</v>
      </c>
      <c r="AQ101" s="123">
        <f t="shared" si="242"/>
        <v>0.0117668161434977</v>
      </c>
      <c r="AR101" s="123">
        <f t="shared" si="242"/>
        <v>0.0120924943138741</v>
      </c>
      <c r="AS101" s="123">
        <f t="shared" si="242"/>
        <v>0.0122878985642364</v>
      </c>
      <c r="AT101" s="123">
        <f t="shared" si="242"/>
        <v>0.00839127163280662</v>
      </c>
      <c r="AU101" s="123">
        <f t="shared" si="242"/>
        <v>0.00986204457021578</v>
      </c>
    </row>
    <row r="102" ht="15.5" spans="21:47">
      <c r="U102" s="121"/>
      <c r="V102" s="139" t="s">
        <v>532</v>
      </c>
      <c r="W102" s="123">
        <f t="shared" ref="W102:AC102" si="243">W36</f>
        <v>0.0404413003200269</v>
      </c>
      <c r="X102" s="123">
        <f t="shared" si="243"/>
        <v>0.0389734816082122</v>
      </c>
      <c r="Y102" s="123">
        <f t="shared" si="243"/>
        <v>0.0403408071748879</v>
      </c>
      <c r="Z102" s="123">
        <f t="shared" si="243"/>
        <v>0.0420204700530705</v>
      </c>
      <c r="AA102" s="123">
        <f t="shared" si="243"/>
        <v>0.0428118590341227</v>
      </c>
      <c r="AB102" s="123">
        <f t="shared" si="243"/>
        <v>0.0338449962377728</v>
      </c>
      <c r="AC102" s="123">
        <f t="shared" si="243"/>
        <v>0.0397771489211178</v>
      </c>
      <c r="AD102" s="123"/>
      <c r="AE102" s="123"/>
      <c r="AF102" s="123">
        <f t="shared" ref="AF102:AL102" si="244">AF36</f>
        <v>0.0404413003200269</v>
      </c>
      <c r="AG102" s="123">
        <f t="shared" si="244"/>
        <v>0.0389734816082122</v>
      </c>
      <c r="AH102" s="123">
        <f t="shared" si="244"/>
        <v>0.0403408071748879</v>
      </c>
      <c r="AI102" s="123">
        <f t="shared" si="244"/>
        <v>0.0420204700530705</v>
      </c>
      <c r="AJ102" s="123">
        <f t="shared" si="244"/>
        <v>0.0428118590341227</v>
      </c>
      <c r="AK102" s="123">
        <f t="shared" si="244"/>
        <v>0.0389217456734387</v>
      </c>
      <c r="AL102" s="123">
        <f t="shared" si="244"/>
        <v>0.0457437212592855</v>
      </c>
      <c r="AM102" s="123"/>
      <c r="AN102" s="123"/>
      <c r="AO102" s="123">
        <f t="shared" ref="AO102:AU102" si="245">AO36</f>
        <v>0.0404413003200269</v>
      </c>
      <c r="AP102" s="123">
        <f t="shared" si="245"/>
        <v>0.0389734816082122</v>
      </c>
      <c r="AQ102" s="123">
        <f t="shared" si="245"/>
        <v>0.0403408071748879</v>
      </c>
      <c r="AR102" s="123">
        <f t="shared" si="245"/>
        <v>0.0420204700530705</v>
      </c>
      <c r="AS102" s="123">
        <f t="shared" si="245"/>
        <v>0.0428118590341227</v>
      </c>
      <c r="AT102" s="123">
        <f t="shared" si="245"/>
        <v>0.0287682468021069</v>
      </c>
      <c r="AU102" s="123">
        <f t="shared" si="245"/>
        <v>0.0338105765829501</v>
      </c>
    </row>
    <row r="103" ht="15.5" spans="21:47">
      <c r="U103" s="121"/>
      <c r="V103" s="138" t="s">
        <v>534</v>
      </c>
      <c r="W103" s="123">
        <f t="shared" ref="W103:AC103" si="246">W37</f>
        <v>0.0870304867778339</v>
      </c>
      <c r="X103" s="123">
        <f t="shared" si="246"/>
        <v>0.0843627031650984</v>
      </c>
      <c r="Y103" s="123">
        <f t="shared" si="246"/>
        <v>0.0874439461883408</v>
      </c>
      <c r="Z103" s="123">
        <f t="shared" si="246"/>
        <v>0.0881918119787718</v>
      </c>
      <c r="AA103" s="123">
        <f t="shared" si="246"/>
        <v>0.0922245012120082</v>
      </c>
      <c r="AB103" s="123">
        <f t="shared" si="246"/>
        <v>0.0733634311512415</v>
      </c>
      <c r="AC103" s="123">
        <f t="shared" si="246"/>
        <v>0.0862221436151397</v>
      </c>
      <c r="AD103" s="123"/>
      <c r="AE103" s="123"/>
      <c r="AF103" s="123">
        <f t="shared" ref="AF103:AL103" si="247">AF37</f>
        <v>0.0870304867778339</v>
      </c>
      <c r="AG103" s="123">
        <f t="shared" si="247"/>
        <v>0.0843627031650984</v>
      </c>
      <c r="AH103" s="123">
        <f t="shared" si="247"/>
        <v>0.0874439461883408</v>
      </c>
      <c r="AI103" s="123">
        <f t="shared" si="247"/>
        <v>0.0881918119787718</v>
      </c>
      <c r="AJ103" s="123">
        <f t="shared" si="247"/>
        <v>0.0922245012120082</v>
      </c>
      <c r="AK103" s="123">
        <f t="shared" si="247"/>
        <v>0.0843679458239278</v>
      </c>
      <c r="AL103" s="123">
        <f t="shared" si="247"/>
        <v>0.0991554651574107</v>
      </c>
      <c r="AM103" s="123"/>
      <c r="AN103" s="123"/>
      <c r="AO103" s="123">
        <f t="shared" ref="AO103:AU103" si="248">AO37</f>
        <v>0.0870304867778339</v>
      </c>
      <c r="AP103" s="123">
        <f t="shared" si="248"/>
        <v>0.0843627031650984</v>
      </c>
      <c r="AQ103" s="123">
        <f t="shared" si="248"/>
        <v>0.0874439461883408</v>
      </c>
      <c r="AR103" s="123">
        <f t="shared" si="248"/>
        <v>0.0881918119787718</v>
      </c>
      <c r="AS103" s="123">
        <f t="shared" si="248"/>
        <v>0.0922245012120082</v>
      </c>
      <c r="AT103" s="123">
        <f t="shared" si="248"/>
        <v>0.0623589164785553</v>
      </c>
      <c r="AU103" s="123">
        <f t="shared" si="248"/>
        <v>0.0732888220728688</v>
      </c>
    </row>
    <row r="104" ht="15.5" spans="21:47">
      <c r="U104" s="121"/>
      <c r="V104" s="138" t="s">
        <v>536</v>
      </c>
      <c r="W104" s="123">
        <f t="shared" ref="W104:AC104" si="249">W38</f>
        <v>0.0133569142664645</v>
      </c>
      <c r="X104" s="123">
        <f t="shared" si="249"/>
        <v>0.0131907613344739</v>
      </c>
      <c r="Y104" s="123">
        <f t="shared" si="249"/>
        <v>0.0137399103139013</v>
      </c>
      <c r="Z104" s="123">
        <f t="shared" si="249"/>
        <v>0.0141015921152388</v>
      </c>
      <c r="AA104" s="123">
        <f t="shared" si="249"/>
        <v>0.0143016968114861</v>
      </c>
      <c r="AB104" s="123">
        <f t="shared" si="249"/>
        <v>0.0115274642588412</v>
      </c>
      <c r="AC104" s="123">
        <f t="shared" si="249"/>
        <v>0.0135479306685532</v>
      </c>
      <c r="AD104" s="123"/>
      <c r="AE104" s="123"/>
      <c r="AF104" s="123">
        <f t="shared" ref="AF104:AL104" si="250">AF38</f>
        <v>0.0133569142664645</v>
      </c>
      <c r="AG104" s="123">
        <f t="shared" si="250"/>
        <v>0.0131907613344739</v>
      </c>
      <c r="AH104" s="123">
        <f t="shared" si="250"/>
        <v>0.0137399103139013</v>
      </c>
      <c r="AI104" s="123">
        <f t="shared" si="250"/>
        <v>0.0141015921152388</v>
      </c>
      <c r="AJ104" s="123">
        <f t="shared" si="250"/>
        <v>0.0143016968114861</v>
      </c>
      <c r="AK104" s="123">
        <f t="shared" si="250"/>
        <v>0.0132565838976674</v>
      </c>
      <c r="AL104" s="123">
        <f t="shared" si="250"/>
        <v>0.0155801202688362</v>
      </c>
      <c r="AM104" s="123"/>
      <c r="AN104" s="123"/>
      <c r="AO104" s="123">
        <f t="shared" ref="AO104:AU104" si="251">AO38</f>
        <v>0.0133569142664645</v>
      </c>
      <c r="AP104" s="123">
        <f t="shared" si="251"/>
        <v>0.0131907613344739</v>
      </c>
      <c r="AQ104" s="123">
        <f t="shared" si="251"/>
        <v>0.0137399103139013</v>
      </c>
      <c r="AR104" s="123">
        <f t="shared" si="251"/>
        <v>0.0141015921152388</v>
      </c>
      <c r="AS104" s="123">
        <f t="shared" si="251"/>
        <v>0.0143016968114861</v>
      </c>
      <c r="AT104" s="123">
        <f t="shared" si="251"/>
        <v>0.00979834462001505</v>
      </c>
      <c r="AU104" s="123">
        <f t="shared" si="251"/>
        <v>0.0115157410682703</v>
      </c>
    </row>
    <row r="105" ht="15.5" spans="21:47">
      <c r="U105" s="121" t="s">
        <v>569</v>
      </c>
      <c r="V105" s="138" t="s">
        <v>218</v>
      </c>
      <c r="W105" s="123">
        <f t="shared" ref="W105:AC105" si="252">AVERAGE(W93,W97,W101)</f>
        <v>0.0115995732974005</v>
      </c>
      <c r="X105" s="123">
        <f t="shared" si="252"/>
        <v>0.0111320216709438</v>
      </c>
      <c r="Y105" s="123">
        <f t="shared" si="252"/>
        <v>0.0115156950672646</v>
      </c>
      <c r="Z105" s="123">
        <f t="shared" si="252"/>
        <v>0.0118145059388425</v>
      </c>
      <c r="AA105" s="123">
        <f t="shared" si="252"/>
        <v>0.0120206352166076</v>
      </c>
      <c r="AB105" s="123">
        <f t="shared" si="252"/>
        <v>0.00966139954853273</v>
      </c>
      <c r="AC105" s="123">
        <f t="shared" si="252"/>
        <v>0.0113547930668553</v>
      </c>
      <c r="AD105" s="123"/>
      <c r="AE105" s="123"/>
      <c r="AF105" s="123">
        <f t="shared" ref="AF105:AL105" si="253">AVERAGE(AF93,AF97,AF101)</f>
        <v>0.0115995732974005</v>
      </c>
      <c r="AG105" s="123">
        <f t="shared" si="253"/>
        <v>0.0111320216709438</v>
      </c>
      <c r="AH105" s="123">
        <f t="shared" si="253"/>
        <v>0.0115156950672646</v>
      </c>
      <c r="AI105" s="123">
        <f t="shared" si="253"/>
        <v>0.0118145059388425</v>
      </c>
      <c r="AJ105" s="123">
        <f t="shared" si="253"/>
        <v>0.0120206352166076</v>
      </c>
      <c r="AK105" s="123">
        <f t="shared" si="253"/>
        <v>0.0111106094808126</v>
      </c>
      <c r="AL105" s="123">
        <f t="shared" si="253"/>
        <v>0.0130580120268836</v>
      </c>
      <c r="AM105" s="123"/>
      <c r="AN105" s="123"/>
      <c r="AO105" s="123">
        <f t="shared" ref="AO105:AU105" si="254">AVERAGE(AO93,AO97,AO101)</f>
        <v>0.0115995732974005</v>
      </c>
      <c r="AP105" s="123">
        <f t="shared" si="254"/>
        <v>0.0111320216709438</v>
      </c>
      <c r="AQ105" s="123">
        <f t="shared" si="254"/>
        <v>0.0115156950672646</v>
      </c>
      <c r="AR105" s="123">
        <f t="shared" si="254"/>
        <v>0.0118145059388425</v>
      </c>
      <c r="AS105" s="123">
        <f t="shared" si="254"/>
        <v>0.0120206352166076</v>
      </c>
      <c r="AT105" s="123">
        <f t="shared" si="254"/>
        <v>0.00821218961625282</v>
      </c>
      <c r="AU105" s="123">
        <f t="shared" si="254"/>
        <v>0.00965157410682702</v>
      </c>
    </row>
    <row r="106" ht="15.5" spans="21:47">
      <c r="U106" s="121"/>
      <c r="V106" s="139" t="s">
        <v>532</v>
      </c>
      <c r="W106" s="123">
        <f t="shared" ref="W106:AC106" si="255">AVERAGE(W94,W98,W102)</f>
        <v>0.0322272752793218</v>
      </c>
      <c r="X106" s="123">
        <f t="shared" si="255"/>
        <v>0.0310350727117194</v>
      </c>
      <c r="Y106" s="123">
        <f t="shared" si="255"/>
        <v>0.0321195814648729</v>
      </c>
      <c r="Z106" s="123">
        <f t="shared" si="255"/>
        <v>0.0332512004043467</v>
      </c>
      <c r="AA106" s="123">
        <f t="shared" si="255"/>
        <v>0.033880290881969</v>
      </c>
      <c r="AB106" s="123">
        <f t="shared" si="255"/>
        <v>0.0269475796338099</v>
      </c>
      <c r="AC106" s="123">
        <f t="shared" si="255"/>
        <v>0.0316707935384978</v>
      </c>
      <c r="AD106" s="123"/>
      <c r="AE106" s="123"/>
      <c r="AF106" s="123">
        <f t="shared" ref="AF106:AL106" si="256">AVERAGE(AF94,AF98,AF102)</f>
        <v>0.0322272752793218</v>
      </c>
      <c r="AG106" s="123">
        <f t="shared" si="256"/>
        <v>0.0310350727117194</v>
      </c>
      <c r="AH106" s="123">
        <f t="shared" si="256"/>
        <v>0.0321195814648729</v>
      </c>
      <c r="AI106" s="123">
        <f t="shared" si="256"/>
        <v>0.0332512004043467</v>
      </c>
      <c r="AJ106" s="123">
        <f t="shared" si="256"/>
        <v>0.033880290881969</v>
      </c>
      <c r="AK106" s="123">
        <f t="shared" si="256"/>
        <v>0.0309897165788814</v>
      </c>
      <c r="AL106" s="123">
        <f t="shared" si="256"/>
        <v>0.0364214125692725</v>
      </c>
      <c r="AM106" s="123"/>
      <c r="AN106" s="123"/>
      <c r="AO106" s="123">
        <f t="shared" ref="AO106:AU106" si="257">AVERAGE(AO94,AO98,AO102)</f>
        <v>0.0322272752793218</v>
      </c>
      <c r="AP106" s="123">
        <f t="shared" si="257"/>
        <v>0.0310350727117194</v>
      </c>
      <c r="AQ106" s="123">
        <f t="shared" si="257"/>
        <v>0.0321195814648729</v>
      </c>
      <c r="AR106" s="123">
        <f t="shared" si="257"/>
        <v>0.0332512004043467</v>
      </c>
      <c r="AS106" s="123">
        <f t="shared" si="257"/>
        <v>0.033880290881969</v>
      </c>
      <c r="AT106" s="123">
        <f t="shared" si="257"/>
        <v>0.0229054426887384</v>
      </c>
      <c r="AU106" s="123">
        <f t="shared" si="257"/>
        <v>0.0269201745077231</v>
      </c>
    </row>
    <row r="107" ht="15.5" spans="21:47">
      <c r="U107" s="121"/>
      <c r="V107" s="138" t="s">
        <v>534</v>
      </c>
      <c r="W107" s="123">
        <f t="shared" ref="W107:AC107" si="258">AVERAGE(W95,W99,W103)</f>
        <v>0.0930380102184044</v>
      </c>
      <c r="X107" s="123">
        <f t="shared" si="258"/>
        <v>0.0901682349586541</v>
      </c>
      <c r="Y107" s="123">
        <f t="shared" si="258"/>
        <v>0.0934708520179372</v>
      </c>
      <c r="Z107" s="123">
        <f t="shared" si="258"/>
        <v>0.0946044983573414</v>
      </c>
      <c r="AA107" s="123">
        <f t="shared" si="258"/>
        <v>0.0987631300888806</v>
      </c>
      <c r="AB107" s="123">
        <f t="shared" si="258"/>
        <v>0.0784198645598194</v>
      </c>
      <c r="AC107" s="123">
        <f t="shared" si="258"/>
        <v>0.0921648390519986</v>
      </c>
      <c r="AD107" s="123"/>
      <c r="AE107" s="123"/>
      <c r="AF107" s="123">
        <f t="shared" ref="AF107:AL107" si="259">AVERAGE(AF95,AF99,AF103)</f>
        <v>0.0930380102184044</v>
      </c>
      <c r="AG107" s="123">
        <f t="shared" si="259"/>
        <v>0.0901682349586541</v>
      </c>
      <c r="AH107" s="123">
        <f t="shared" si="259"/>
        <v>0.0934708520179372</v>
      </c>
      <c r="AI107" s="123">
        <f t="shared" si="259"/>
        <v>0.0946044983573414</v>
      </c>
      <c r="AJ107" s="123">
        <f t="shared" si="259"/>
        <v>0.0987631300888806</v>
      </c>
      <c r="AK107" s="123">
        <f t="shared" si="259"/>
        <v>0.0901828442437923</v>
      </c>
      <c r="AL107" s="123">
        <f t="shared" si="259"/>
        <v>0.105989564909798</v>
      </c>
      <c r="AM107" s="123"/>
      <c r="AN107" s="123"/>
      <c r="AO107" s="123">
        <f t="shared" ref="AO107:AU107" si="260">AVERAGE(AO95,AO99,AO103)</f>
        <v>0.0930380102184044</v>
      </c>
      <c r="AP107" s="123">
        <f t="shared" si="260"/>
        <v>0.0901682349586541</v>
      </c>
      <c r="AQ107" s="123">
        <f t="shared" si="260"/>
        <v>0.0934708520179372</v>
      </c>
      <c r="AR107" s="123">
        <f t="shared" si="260"/>
        <v>0.0946044983573414</v>
      </c>
      <c r="AS107" s="123">
        <f t="shared" si="260"/>
        <v>0.0987631300888806</v>
      </c>
      <c r="AT107" s="123">
        <f t="shared" si="260"/>
        <v>0.0666568848758465</v>
      </c>
      <c r="AU107" s="123">
        <f t="shared" si="260"/>
        <v>0.0783401131941988</v>
      </c>
    </row>
    <row r="108" ht="15.5" spans="21:47">
      <c r="U108" s="121"/>
      <c r="V108" s="138" t="s">
        <v>536</v>
      </c>
      <c r="W108" s="123">
        <f t="shared" ref="W108:AC108" si="261">AVERAGE(W96,W100,W104)</f>
        <v>0.0134355173769019</v>
      </c>
      <c r="X108" s="123">
        <f t="shared" si="261"/>
        <v>0.0132534930139721</v>
      </c>
      <c r="Y108" s="123">
        <f t="shared" si="261"/>
        <v>0.0138116591928251</v>
      </c>
      <c r="Z108" s="123">
        <f t="shared" si="261"/>
        <v>0.0141837250442254</v>
      </c>
      <c r="AA108" s="123">
        <f t="shared" si="261"/>
        <v>0.0143824973584437</v>
      </c>
      <c r="AB108" s="123">
        <f t="shared" si="261"/>
        <v>0.0115876598946576</v>
      </c>
      <c r="AC108" s="123">
        <f t="shared" si="261"/>
        <v>0.0136186770428016</v>
      </c>
      <c r="AD108" s="123"/>
      <c r="AE108" s="123"/>
      <c r="AF108" s="123">
        <f t="shared" ref="AF108:AL108" si="262">AVERAGE(AF96,AF100,AF104)</f>
        <v>0.0134355173769019</v>
      </c>
      <c r="AG108" s="123">
        <f t="shared" si="262"/>
        <v>0.0132534930139721</v>
      </c>
      <c r="AH108" s="123">
        <f t="shared" si="262"/>
        <v>0.0138116591928251</v>
      </c>
      <c r="AI108" s="123">
        <f t="shared" si="262"/>
        <v>0.0141837250442254</v>
      </c>
      <c r="AJ108" s="123">
        <f t="shared" si="262"/>
        <v>0.0143824973584437</v>
      </c>
      <c r="AK108" s="123">
        <f t="shared" si="262"/>
        <v>0.0133258088788563</v>
      </c>
      <c r="AL108" s="123">
        <f t="shared" si="262"/>
        <v>0.0156614785992218</v>
      </c>
      <c r="AM108" s="123"/>
      <c r="AN108" s="123"/>
      <c r="AO108" s="123">
        <f t="shared" ref="AO108:AU108" si="263">AVERAGE(AO96,AO100,AO104)</f>
        <v>0.0134355173769019</v>
      </c>
      <c r="AP108" s="123">
        <f t="shared" si="263"/>
        <v>0.0132534930139721</v>
      </c>
      <c r="AQ108" s="123">
        <f t="shared" si="263"/>
        <v>0.0138116591928251</v>
      </c>
      <c r="AR108" s="123">
        <f t="shared" si="263"/>
        <v>0.0141837250442254</v>
      </c>
      <c r="AS108" s="123">
        <f t="shared" si="263"/>
        <v>0.0143824973584437</v>
      </c>
      <c r="AT108" s="123">
        <f t="shared" si="263"/>
        <v>0.00984951091045899</v>
      </c>
      <c r="AU108" s="123">
        <f t="shared" si="263"/>
        <v>0.0115758754863813</v>
      </c>
    </row>
    <row r="112" ht="15.5" spans="21:47">
      <c r="U112" s="123"/>
      <c r="V112" s="123"/>
      <c r="W112" s="123" t="s">
        <v>333</v>
      </c>
      <c r="X112" s="123" t="s">
        <v>334</v>
      </c>
      <c r="Y112" s="124" t="s">
        <v>335</v>
      </c>
      <c r="Z112" s="123" t="s">
        <v>336</v>
      </c>
      <c r="AA112" s="123" t="s">
        <v>241</v>
      </c>
      <c r="AB112" s="135" t="s">
        <v>528</v>
      </c>
      <c r="AC112" s="135" t="s">
        <v>529</v>
      </c>
      <c r="AD112" s="123"/>
      <c r="AE112" s="123"/>
      <c r="AF112" s="123" t="s">
        <v>333</v>
      </c>
      <c r="AG112" s="123" t="s">
        <v>334</v>
      </c>
      <c r="AH112" s="124" t="s">
        <v>335</v>
      </c>
      <c r="AI112" s="123" t="s">
        <v>336</v>
      </c>
      <c r="AJ112" s="123" t="s">
        <v>241</v>
      </c>
      <c r="AK112" s="135" t="s">
        <v>528</v>
      </c>
      <c r="AL112" s="135" t="s">
        <v>529</v>
      </c>
      <c r="AM112" s="123"/>
      <c r="AN112" s="123"/>
      <c r="AO112" s="123" t="s">
        <v>333</v>
      </c>
      <c r="AP112" s="123" t="s">
        <v>334</v>
      </c>
      <c r="AQ112" s="124" t="s">
        <v>335</v>
      </c>
      <c r="AR112" s="123" t="s">
        <v>336</v>
      </c>
      <c r="AS112" s="123" t="s">
        <v>241</v>
      </c>
      <c r="AT112" s="135" t="s">
        <v>528</v>
      </c>
      <c r="AU112" s="135" t="s">
        <v>529</v>
      </c>
    </row>
    <row r="113" spans="21:47">
      <c r="U113" s="121" t="s">
        <v>530</v>
      </c>
      <c r="V113" s="138" t="s">
        <v>218</v>
      </c>
      <c r="W113">
        <f t="shared" ref="W113:AC113" si="264">W44-W45</f>
        <v>0.00788276907529056</v>
      </c>
      <c r="X113">
        <f t="shared" si="264"/>
        <v>0.00764756201881948</v>
      </c>
      <c r="Y113">
        <f t="shared" si="264"/>
        <v>0.00794618834080718</v>
      </c>
      <c r="Z113">
        <f t="shared" si="264"/>
        <v>0.00794162244124336</v>
      </c>
      <c r="AA113">
        <f t="shared" si="264"/>
        <v>0.00801790042886445</v>
      </c>
      <c r="AB113">
        <f t="shared" si="264"/>
        <v>0.00666666666666667</v>
      </c>
      <c r="AC113">
        <f t="shared" si="264"/>
        <v>0.00783516094800141</v>
      </c>
      <c r="AF113">
        <f t="shared" ref="AF113:AL113" si="265">AF44-AF45</f>
        <v>0.00788276907529056</v>
      </c>
      <c r="AG113">
        <f t="shared" si="265"/>
        <v>0.00764756201881948</v>
      </c>
      <c r="AH113">
        <f t="shared" si="265"/>
        <v>0.00794618834080718</v>
      </c>
      <c r="AI113">
        <f t="shared" si="265"/>
        <v>0.00794162244124336</v>
      </c>
      <c r="AJ113">
        <f t="shared" si="265"/>
        <v>0.00801790042886445</v>
      </c>
      <c r="AK113">
        <f t="shared" si="265"/>
        <v>0.00766666666666667</v>
      </c>
      <c r="AL113">
        <f t="shared" si="265"/>
        <v>0.00901043509020162</v>
      </c>
      <c r="AO113">
        <f t="shared" ref="AO113:AU113" si="266">AO44-AO45</f>
        <v>0.00788276907529056</v>
      </c>
      <c r="AP113">
        <f t="shared" si="266"/>
        <v>0.00764756201881948</v>
      </c>
      <c r="AQ113">
        <f t="shared" si="266"/>
        <v>0.00794618834080718</v>
      </c>
      <c r="AR113">
        <f t="shared" si="266"/>
        <v>0.00794162244124336</v>
      </c>
      <c r="AS113">
        <f t="shared" si="266"/>
        <v>0.00801790042886445</v>
      </c>
      <c r="AT113">
        <f t="shared" si="266"/>
        <v>0.00566666666666667</v>
      </c>
      <c r="AU113">
        <f t="shared" si="266"/>
        <v>0.00665988680580119</v>
      </c>
    </row>
    <row r="114" spans="21:47">
      <c r="U114" s="121"/>
      <c r="V114" s="139" t="s">
        <v>532</v>
      </c>
      <c r="W114">
        <f t="shared" ref="W114:AC114" si="267">W46</f>
        <v>0.02011116725619</v>
      </c>
      <c r="X114">
        <f t="shared" si="267"/>
        <v>0.0195038494439692</v>
      </c>
      <c r="Y114">
        <f t="shared" si="267"/>
        <v>0.0202152466367713</v>
      </c>
      <c r="Z114">
        <f t="shared" si="267"/>
        <v>0.0201099317664898</v>
      </c>
      <c r="AA114">
        <f t="shared" si="267"/>
        <v>0.0203990303934365</v>
      </c>
      <c r="AB114">
        <f t="shared" si="267"/>
        <v>0.0169601203912716</v>
      </c>
      <c r="AC114">
        <f t="shared" si="267"/>
        <v>0.0199327909444641</v>
      </c>
      <c r="AF114">
        <f t="shared" ref="AF114:AL114" si="268">AF46</f>
        <v>0.02011116725619</v>
      </c>
      <c r="AG114">
        <f t="shared" si="268"/>
        <v>0.0195038494439692</v>
      </c>
      <c r="AH114">
        <f t="shared" si="268"/>
        <v>0.0202152466367713</v>
      </c>
      <c r="AI114">
        <f t="shared" si="268"/>
        <v>0.0201099317664898</v>
      </c>
      <c r="AJ114">
        <f t="shared" si="268"/>
        <v>0.0203990303934365</v>
      </c>
      <c r="AK114">
        <f t="shared" si="268"/>
        <v>0.0195041384499624</v>
      </c>
      <c r="AL114">
        <f t="shared" si="268"/>
        <v>0.0229227095861337</v>
      </c>
      <c r="AO114">
        <f t="shared" ref="AO114:AU114" si="269">AO46</f>
        <v>0.02011116725619</v>
      </c>
      <c r="AP114">
        <f t="shared" si="269"/>
        <v>0.0195038494439692</v>
      </c>
      <c r="AQ114">
        <f t="shared" si="269"/>
        <v>0.0202152466367713</v>
      </c>
      <c r="AR114">
        <f t="shared" si="269"/>
        <v>0.0201099317664898</v>
      </c>
      <c r="AS114">
        <f t="shared" si="269"/>
        <v>0.0203990303934365</v>
      </c>
      <c r="AT114">
        <f t="shared" si="269"/>
        <v>0.0144161023325809</v>
      </c>
      <c r="AU114">
        <f t="shared" si="269"/>
        <v>0.0169428723027945</v>
      </c>
    </row>
    <row r="115" spans="21:47">
      <c r="U115" s="121"/>
      <c r="V115" s="138" t="s">
        <v>534</v>
      </c>
      <c r="W115">
        <f t="shared" ref="W115:AC115" si="270">W47</f>
        <v>0.0641232945932289</v>
      </c>
      <c r="X115">
        <f t="shared" si="270"/>
        <v>0.0633532934131737</v>
      </c>
      <c r="Y115">
        <f t="shared" si="270"/>
        <v>0.0659910313901345</v>
      </c>
      <c r="Z115">
        <f t="shared" si="270"/>
        <v>0.0673237300985595</v>
      </c>
      <c r="AA115">
        <f t="shared" si="270"/>
        <v>0.0673690098825284</v>
      </c>
      <c r="AB115">
        <f t="shared" si="270"/>
        <v>0.055364936042137</v>
      </c>
      <c r="AC115">
        <f t="shared" si="270"/>
        <v>0.0650689777148921</v>
      </c>
      <c r="AF115">
        <f t="shared" ref="AF115:AL115" si="271">AF47</f>
        <v>0.0641232945932289</v>
      </c>
      <c r="AG115">
        <f t="shared" si="271"/>
        <v>0.0633532934131737</v>
      </c>
      <c r="AH115">
        <f t="shared" si="271"/>
        <v>0.0659910313901345</v>
      </c>
      <c r="AI115">
        <f t="shared" si="271"/>
        <v>0.0673237300985595</v>
      </c>
      <c r="AJ115">
        <f t="shared" si="271"/>
        <v>0.0673690098825284</v>
      </c>
      <c r="AK115">
        <f t="shared" si="271"/>
        <v>0.0636696764484575</v>
      </c>
      <c r="AL115">
        <f t="shared" si="271"/>
        <v>0.0748293243721259</v>
      </c>
      <c r="AO115">
        <f t="shared" ref="AO115:AU115" si="272">AO47</f>
        <v>0.0641232945932289</v>
      </c>
      <c r="AP115">
        <f t="shared" si="272"/>
        <v>0.0633532934131737</v>
      </c>
      <c r="AQ115">
        <f t="shared" si="272"/>
        <v>0.0659910313901345</v>
      </c>
      <c r="AR115">
        <f t="shared" si="272"/>
        <v>0.0673237300985595</v>
      </c>
      <c r="AS115">
        <f t="shared" si="272"/>
        <v>0.0673690098825284</v>
      </c>
      <c r="AT115">
        <f t="shared" si="272"/>
        <v>0.0470601956358164</v>
      </c>
      <c r="AU115">
        <f t="shared" si="272"/>
        <v>0.0553086310576583</v>
      </c>
    </row>
    <row r="116" spans="21:47">
      <c r="U116" s="121"/>
      <c r="V116" s="138" t="s">
        <v>536</v>
      </c>
      <c r="W116">
        <f t="shared" ref="W116:AC116" si="273">W48</f>
        <v>0.0129695132221661</v>
      </c>
      <c r="X116">
        <f t="shared" si="273"/>
        <v>0.012814371257485</v>
      </c>
      <c r="Y116">
        <f t="shared" si="273"/>
        <v>0.0133452914798206</v>
      </c>
      <c r="Z116">
        <f t="shared" si="273"/>
        <v>0.0135898407884761</v>
      </c>
      <c r="AA116">
        <f t="shared" si="273"/>
        <v>0.0136304307290695</v>
      </c>
      <c r="AB116">
        <f t="shared" si="273"/>
        <v>0.011196388261851</v>
      </c>
      <c r="AC116">
        <f t="shared" si="273"/>
        <v>0.0131588256101875</v>
      </c>
      <c r="AF116">
        <f t="shared" ref="AF116:AL116" si="274">AF48</f>
        <v>0.0129695132221661</v>
      </c>
      <c r="AG116">
        <f t="shared" si="274"/>
        <v>0.012814371257485</v>
      </c>
      <c r="AH116">
        <f t="shared" si="274"/>
        <v>0.0133452914798206</v>
      </c>
      <c r="AI116">
        <f t="shared" si="274"/>
        <v>0.0135898407884761</v>
      </c>
      <c r="AJ116">
        <f t="shared" si="274"/>
        <v>0.0136304307290695</v>
      </c>
      <c r="AK116">
        <f t="shared" si="274"/>
        <v>0.0128758465011287</v>
      </c>
      <c r="AL116">
        <f t="shared" si="274"/>
        <v>0.0151326494517156</v>
      </c>
      <c r="AO116">
        <f t="shared" ref="AO116:AU116" si="275">AO48</f>
        <v>0.0129695132221661</v>
      </c>
      <c r="AP116">
        <f t="shared" si="275"/>
        <v>0.012814371257485</v>
      </c>
      <c r="AQ116">
        <f t="shared" si="275"/>
        <v>0.0133452914798206</v>
      </c>
      <c r="AR116">
        <f t="shared" si="275"/>
        <v>0.0135898407884761</v>
      </c>
      <c r="AS116">
        <f t="shared" si="275"/>
        <v>0.0136304307290695</v>
      </c>
      <c r="AT116">
        <f t="shared" si="275"/>
        <v>0.00951693002257336</v>
      </c>
      <c r="AU116">
        <f t="shared" si="275"/>
        <v>0.0111850017686594</v>
      </c>
    </row>
    <row r="117" spans="21:47">
      <c r="U117" s="121" t="s">
        <v>391</v>
      </c>
      <c r="V117" s="138" t="s">
        <v>218</v>
      </c>
      <c r="W117">
        <f t="shared" ref="W117:AC117" si="276">W49-W50</f>
        <v>0.0077648644096345</v>
      </c>
      <c r="X117">
        <f t="shared" si="276"/>
        <v>0.00754491017964072</v>
      </c>
      <c r="Y117">
        <f t="shared" si="276"/>
        <v>0.00782062780269058</v>
      </c>
      <c r="Z117">
        <f t="shared" si="276"/>
        <v>0.00780894617134195</v>
      </c>
      <c r="AA117">
        <f t="shared" si="276"/>
        <v>0.00788737646839455</v>
      </c>
      <c r="AB117">
        <f t="shared" si="276"/>
        <v>0.00656132430398797</v>
      </c>
      <c r="AC117">
        <f t="shared" si="276"/>
        <v>0.00771135479306685</v>
      </c>
      <c r="AF117">
        <f t="shared" ref="AF117:AL117" si="277">AF49-AF50</f>
        <v>0.0077648644096345</v>
      </c>
      <c r="AG117">
        <f t="shared" si="277"/>
        <v>0.00754491017964072</v>
      </c>
      <c r="AH117">
        <f t="shared" si="277"/>
        <v>0.00782062780269058</v>
      </c>
      <c r="AI117">
        <f t="shared" si="277"/>
        <v>0.00780894617134195</v>
      </c>
      <c r="AJ117">
        <f t="shared" si="277"/>
        <v>0.00788737646839455</v>
      </c>
      <c r="AK117">
        <f t="shared" si="277"/>
        <v>0.00754552294958616</v>
      </c>
      <c r="AL117">
        <f t="shared" si="277"/>
        <v>0.00886805801202688</v>
      </c>
      <c r="AO117">
        <f t="shared" ref="AO117:AU117" si="278">AO49-AO50</f>
        <v>0.0077648644096345</v>
      </c>
      <c r="AP117">
        <f t="shared" si="278"/>
        <v>0.00754491017964072</v>
      </c>
      <c r="AQ117">
        <f t="shared" si="278"/>
        <v>0.00782062780269058</v>
      </c>
      <c r="AR117">
        <f t="shared" si="278"/>
        <v>0.00780894617134195</v>
      </c>
      <c r="AS117">
        <f t="shared" si="278"/>
        <v>0.00788737646839455</v>
      </c>
      <c r="AT117">
        <f t="shared" si="278"/>
        <v>0.00557712565838978</v>
      </c>
      <c r="AU117">
        <f t="shared" si="278"/>
        <v>0.00655465157410683</v>
      </c>
    </row>
    <row r="118" spans="21:47">
      <c r="U118" s="121"/>
      <c r="V118" s="139" t="s">
        <v>532</v>
      </c>
      <c r="W118">
        <f t="shared" ref="W118:AC118" si="279">W51</f>
        <v>0.0246420751221155</v>
      </c>
      <c r="X118">
        <f t="shared" si="279"/>
        <v>0.023917878528657</v>
      </c>
      <c r="Y118">
        <f t="shared" si="279"/>
        <v>0.0248071748878924</v>
      </c>
      <c r="Z118">
        <f t="shared" si="279"/>
        <v>0.0247156937073541</v>
      </c>
      <c r="AA118">
        <f t="shared" si="279"/>
        <v>0.025041954130151</v>
      </c>
      <c r="AB118">
        <f t="shared" si="279"/>
        <v>0.0208126410835214</v>
      </c>
      <c r="AC118">
        <f t="shared" si="279"/>
        <v>0.0244605588963566</v>
      </c>
      <c r="AF118">
        <f t="shared" ref="AF118:AL118" si="280">AF51</f>
        <v>0.0246420751221155</v>
      </c>
      <c r="AG118">
        <f t="shared" si="280"/>
        <v>0.023917878528657</v>
      </c>
      <c r="AH118">
        <f t="shared" si="280"/>
        <v>0.0248071748878924</v>
      </c>
      <c r="AI118">
        <f t="shared" si="280"/>
        <v>0.0247156937073541</v>
      </c>
      <c r="AJ118">
        <f t="shared" si="280"/>
        <v>0.025041954130151</v>
      </c>
      <c r="AK118">
        <f t="shared" si="280"/>
        <v>0.0239345372460497</v>
      </c>
      <c r="AL118">
        <f t="shared" si="280"/>
        <v>0.02812964273081</v>
      </c>
      <c r="AO118">
        <f t="shared" ref="AO118:AU118" si="281">AO51</f>
        <v>0.0246420751221155</v>
      </c>
      <c r="AP118">
        <f t="shared" si="281"/>
        <v>0.023917878528657</v>
      </c>
      <c r="AQ118">
        <f t="shared" si="281"/>
        <v>0.0248071748878924</v>
      </c>
      <c r="AR118">
        <f t="shared" si="281"/>
        <v>0.0247156937073541</v>
      </c>
      <c r="AS118">
        <f t="shared" si="281"/>
        <v>0.025041954130151</v>
      </c>
      <c r="AT118">
        <f t="shared" si="281"/>
        <v>0.0176907449209932</v>
      </c>
      <c r="AU118">
        <f t="shared" si="281"/>
        <v>0.0207914750619031</v>
      </c>
    </row>
    <row r="119" ht="15.5" spans="21:47">
      <c r="U119" s="121"/>
      <c r="V119" s="138" t="s">
        <v>534</v>
      </c>
      <c r="W119">
        <f t="shared" ref="W119:AC119" si="282">W52</f>
        <v>0.0613609567121442</v>
      </c>
      <c r="X119">
        <f t="shared" si="282"/>
        <v>0.0606672369546621</v>
      </c>
      <c r="Y119">
        <f t="shared" si="282"/>
        <v>0.0631928251121076</v>
      </c>
      <c r="Z119">
        <f t="shared" si="282"/>
        <v>0.0645185746777862</v>
      </c>
      <c r="AA119">
        <f t="shared" si="282"/>
        <v>0.0645534215923923</v>
      </c>
      <c r="AB119">
        <f t="shared" si="282"/>
        <v>0.0530173062452972</v>
      </c>
      <c r="AC119">
        <f t="shared" si="282"/>
        <v>0.0623098691192076</v>
      </c>
      <c r="AD119" s="123"/>
      <c r="AE119" s="123"/>
      <c r="AF119">
        <f t="shared" ref="AF119:AL119" si="283">AF52</f>
        <v>0.0613609567121442</v>
      </c>
      <c r="AG119">
        <f t="shared" si="283"/>
        <v>0.0606672369546621</v>
      </c>
      <c r="AH119">
        <f t="shared" si="283"/>
        <v>0.0631928251121076</v>
      </c>
      <c r="AI119">
        <f t="shared" si="283"/>
        <v>0.0645185746777862</v>
      </c>
      <c r="AJ119">
        <f t="shared" si="283"/>
        <v>0.0645534215923923</v>
      </c>
      <c r="AK119">
        <f t="shared" si="283"/>
        <v>0.0609699021820918</v>
      </c>
      <c r="AL119">
        <f t="shared" si="283"/>
        <v>0.0716563494870888</v>
      </c>
      <c r="AM119" s="123"/>
      <c r="AN119" s="123"/>
      <c r="AO119">
        <f t="shared" ref="AO119:AU119" si="284">AO52</f>
        <v>0.0613609567121442</v>
      </c>
      <c r="AP119">
        <f t="shared" si="284"/>
        <v>0.0606672369546621</v>
      </c>
      <c r="AQ119">
        <f t="shared" si="284"/>
        <v>0.0631928251121076</v>
      </c>
      <c r="AR119">
        <f t="shared" si="284"/>
        <v>0.0645185746777862</v>
      </c>
      <c r="AS119">
        <f t="shared" si="284"/>
        <v>0.0645534215923923</v>
      </c>
      <c r="AT119">
        <f t="shared" si="284"/>
        <v>0.0450647103085026</v>
      </c>
      <c r="AU119">
        <f t="shared" si="284"/>
        <v>0.0529633887513265</v>
      </c>
    </row>
    <row r="120" ht="15.5" spans="21:47">
      <c r="U120" s="121"/>
      <c r="V120" s="138" t="s">
        <v>536</v>
      </c>
      <c r="W120">
        <f t="shared" ref="W120:AC120" si="285">W53</f>
        <v>0.0133232272191342</v>
      </c>
      <c r="X120">
        <f t="shared" si="285"/>
        <v>0.0131736526946108</v>
      </c>
      <c r="Y120">
        <f t="shared" si="285"/>
        <v>0.0137219730941704</v>
      </c>
      <c r="Z120">
        <f t="shared" si="285"/>
        <v>0.0139689158453374</v>
      </c>
      <c r="AA120">
        <f t="shared" si="285"/>
        <v>0.0140033563304121</v>
      </c>
      <c r="AB120">
        <f t="shared" si="285"/>
        <v>0.0115124153498871</v>
      </c>
      <c r="AC120">
        <f t="shared" si="285"/>
        <v>0.0135302440749912</v>
      </c>
      <c r="AD120" s="123"/>
      <c r="AE120" s="123"/>
      <c r="AF120">
        <f t="shared" ref="AF120:AL120" si="286">AF53</f>
        <v>0.0133232272191342</v>
      </c>
      <c r="AG120">
        <f t="shared" si="286"/>
        <v>0.0131736526946108</v>
      </c>
      <c r="AH120">
        <f t="shared" si="286"/>
        <v>0.0137219730941704</v>
      </c>
      <c r="AI120">
        <f t="shared" si="286"/>
        <v>0.0139689158453374</v>
      </c>
      <c r="AJ120">
        <f t="shared" si="286"/>
        <v>0.0140033563304121</v>
      </c>
      <c r="AK120">
        <f t="shared" si="286"/>
        <v>0.0132392776523702</v>
      </c>
      <c r="AL120">
        <f t="shared" si="286"/>
        <v>0.0155597806862398</v>
      </c>
      <c r="AM120" s="123"/>
      <c r="AN120" s="123"/>
      <c r="AO120">
        <f t="shared" ref="AO120:AU120" si="287">AO53</f>
        <v>0.0133232272191342</v>
      </c>
      <c r="AP120">
        <f t="shared" si="287"/>
        <v>0.0131736526946108</v>
      </c>
      <c r="AQ120">
        <f t="shared" si="287"/>
        <v>0.0137219730941704</v>
      </c>
      <c r="AR120">
        <f t="shared" si="287"/>
        <v>0.0139689158453374</v>
      </c>
      <c r="AS120">
        <f t="shared" si="287"/>
        <v>0.0140033563304121</v>
      </c>
      <c r="AT120">
        <f t="shared" si="287"/>
        <v>0.00978555304740406</v>
      </c>
      <c r="AU120">
        <f t="shared" si="287"/>
        <v>0.0115007074637425</v>
      </c>
    </row>
    <row r="121" ht="15.5" spans="21:47">
      <c r="U121" s="121" t="s">
        <v>568</v>
      </c>
      <c r="V121" s="138" t="s">
        <v>218</v>
      </c>
      <c r="W121" s="123">
        <f t="shared" ref="W121:AC121" si="288">W54-W55</f>
        <v>0.00810173488293751</v>
      </c>
      <c r="X121" s="123">
        <f t="shared" si="288"/>
        <v>0.00786997433704022</v>
      </c>
      <c r="Y121" s="123">
        <f t="shared" si="288"/>
        <v>0.00817937219730942</v>
      </c>
      <c r="Z121" s="123">
        <f t="shared" si="288"/>
        <v>0.00816906747536013</v>
      </c>
      <c r="AA121" s="123">
        <f t="shared" si="288"/>
        <v>0.00826030206973706</v>
      </c>
      <c r="AB121" s="123">
        <f t="shared" si="288"/>
        <v>0.00686230248306997</v>
      </c>
      <c r="AC121" s="123">
        <f t="shared" si="288"/>
        <v>0.00806508666430845</v>
      </c>
      <c r="AD121" s="123"/>
      <c r="AE121" s="123"/>
      <c r="AF121" s="123">
        <f t="shared" ref="AF121:AL121" si="289">AF54-AF55</f>
        <v>0.00810173488293751</v>
      </c>
      <c r="AG121" s="123">
        <f t="shared" si="289"/>
        <v>0.00786997433704022</v>
      </c>
      <c r="AH121" s="123">
        <f t="shared" si="289"/>
        <v>0.00817937219730942</v>
      </c>
      <c r="AI121" s="123">
        <f t="shared" si="289"/>
        <v>0.00816906747536013</v>
      </c>
      <c r="AJ121" s="123">
        <f t="shared" si="289"/>
        <v>0.00826030206973706</v>
      </c>
      <c r="AK121" s="123">
        <f t="shared" si="289"/>
        <v>0.00789164785553047</v>
      </c>
      <c r="AL121" s="123">
        <f t="shared" si="289"/>
        <v>0.00927484966395473</v>
      </c>
      <c r="AM121" s="123"/>
      <c r="AN121" s="123"/>
      <c r="AO121" s="123">
        <f t="shared" ref="AO121:AU121" si="290">AO54-AO55</f>
        <v>0.00810173488293751</v>
      </c>
      <c r="AP121" s="123">
        <f t="shared" si="290"/>
        <v>0.00786997433704022</v>
      </c>
      <c r="AQ121" s="123">
        <f t="shared" si="290"/>
        <v>0.00817937219730942</v>
      </c>
      <c r="AR121" s="123">
        <f t="shared" si="290"/>
        <v>0.00816906747536013</v>
      </c>
      <c r="AS121" s="123">
        <f t="shared" si="290"/>
        <v>0.00826030206973706</v>
      </c>
      <c r="AT121" s="123">
        <f t="shared" si="290"/>
        <v>0.00583295711060948</v>
      </c>
      <c r="AU121" s="123">
        <f t="shared" si="290"/>
        <v>0.00685532366466218</v>
      </c>
    </row>
    <row r="122" ht="15.5" spans="21:47">
      <c r="U122" s="121"/>
      <c r="V122" s="139" t="s">
        <v>532</v>
      </c>
      <c r="W122" s="123">
        <f t="shared" ref="W122:AC122" si="291">W56</f>
        <v>0.0319690079164561</v>
      </c>
      <c r="X122" s="123">
        <f t="shared" si="291"/>
        <v>0.0310692899914457</v>
      </c>
      <c r="Y122" s="123">
        <f t="shared" si="291"/>
        <v>0.0322331838565022</v>
      </c>
      <c r="Z122" s="123">
        <f t="shared" si="291"/>
        <v>0.0321645185746778</v>
      </c>
      <c r="AA122" s="123">
        <f t="shared" si="291"/>
        <v>0.0325750512772702</v>
      </c>
      <c r="AB122" s="123">
        <f t="shared" si="291"/>
        <v>0.0270428893905192</v>
      </c>
      <c r="AC122" s="123">
        <f t="shared" si="291"/>
        <v>0.0317828086310577</v>
      </c>
      <c r="AD122" s="123"/>
      <c r="AE122" s="123"/>
      <c r="AF122" s="123">
        <f t="shared" ref="AF122:AL122" si="292">AF56</f>
        <v>0.0319690079164561</v>
      </c>
      <c r="AG122" s="123">
        <f t="shared" si="292"/>
        <v>0.0310692899914457</v>
      </c>
      <c r="AH122" s="123">
        <f t="shared" si="292"/>
        <v>0.0322331838565022</v>
      </c>
      <c r="AI122" s="123">
        <f t="shared" si="292"/>
        <v>0.0321645185746778</v>
      </c>
      <c r="AJ122" s="123">
        <f t="shared" si="292"/>
        <v>0.0325750512772702</v>
      </c>
      <c r="AK122" s="123">
        <f t="shared" si="292"/>
        <v>0.0310993227990971</v>
      </c>
      <c r="AL122" s="123">
        <f t="shared" si="292"/>
        <v>0.0365502299257163</v>
      </c>
      <c r="AM122" s="123"/>
      <c r="AN122" s="123"/>
      <c r="AO122" s="123">
        <f t="shared" ref="AO122:AU122" si="293">AO56</f>
        <v>0.0319690079164561</v>
      </c>
      <c r="AP122" s="123">
        <f t="shared" si="293"/>
        <v>0.0310692899914457</v>
      </c>
      <c r="AQ122" s="123">
        <f t="shared" si="293"/>
        <v>0.0322331838565022</v>
      </c>
      <c r="AR122" s="123">
        <f t="shared" si="293"/>
        <v>0.0321645185746778</v>
      </c>
      <c r="AS122" s="123">
        <f t="shared" si="293"/>
        <v>0.0325750512772702</v>
      </c>
      <c r="AT122" s="123">
        <f t="shared" si="293"/>
        <v>0.0229864559819413</v>
      </c>
      <c r="AU122" s="123">
        <f t="shared" si="293"/>
        <v>0.027015387336399</v>
      </c>
    </row>
    <row r="123" ht="15.5" spans="21:47">
      <c r="U123" s="121"/>
      <c r="V123" s="138" t="s">
        <v>534</v>
      </c>
      <c r="W123" s="123">
        <f t="shared" ref="W123:AC123" si="294">W57</f>
        <v>0.0557183762843187</v>
      </c>
      <c r="X123" s="123">
        <f t="shared" si="294"/>
        <v>0.055158254918734</v>
      </c>
      <c r="Y123" s="123">
        <f t="shared" si="294"/>
        <v>0.0574887892376682</v>
      </c>
      <c r="Z123" s="123">
        <f t="shared" si="294"/>
        <v>0.0587755875663381</v>
      </c>
      <c r="AA123" s="123">
        <f t="shared" si="294"/>
        <v>0.0587544284915159</v>
      </c>
      <c r="AB123" s="123">
        <f t="shared" si="294"/>
        <v>0.0482317531978932</v>
      </c>
      <c r="AC123" s="123">
        <f t="shared" si="294"/>
        <v>0.0566855323664662</v>
      </c>
      <c r="AD123" s="123"/>
      <c r="AE123" s="123"/>
      <c r="AF123" s="123">
        <f t="shared" ref="AF123:AL123" si="295">AF57</f>
        <v>0.0557183762843187</v>
      </c>
      <c r="AG123" s="123">
        <f t="shared" si="295"/>
        <v>0.055158254918734</v>
      </c>
      <c r="AH123" s="123">
        <f t="shared" si="295"/>
        <v>0.0574887892376682</v>
      </c>
      <c r="AI123" s="123">
        <f t="shared" si="295"/>
        <v>0.0587755875663381</v>
      </c>
      <c r="AJ123" s="123">
        <f t="shared" si="295"/>
        <v>0.0587544284915159</v>
      </c>
      <c r="AK123" s="123">
        <f t="shared" si="295"/>
        <v>0.0554665161775771</v>
      </c>
      <c r="AL123" s="123">
        <f t="shared" si="295"/>
        <v>0.0651883622214361</v>
      </c>
      <c r="AM123" s="123"/>
      <c r="AN123" s="123"/>
      <c r="AO123" s="123">
        <f t="shared" ref="AO123:AU123" si="296">AO57</f>
        <v>0.0557183762843187</v>
      </c>
      <c r="AP123" s="123">
        <f t="shared" si="296"/>
        <v>0.055158254918734</v>
      </c>
      <c r="AQ123" s="123">
        <f t="shared" si="296"/>
        <v>0.0574887892376682</v>
      </c>
      <c r="AR123" s="123">
        <f t="shared" si="296"/>
        <v>0.0587755875663381</v>
      </c>
      <c r="AS123" s="123">
        <f t="shared" si="296"/>
        <v>0.0587544284915159</v>
      </c>
      <c r="AT123" s="123">
        <f t="shared" si="296"/>
        <v>0.0409969902182092</v>
      </c>
      <c r="AU123" s="123">
        <f t="shared" si="296"/>
        <v>0.0481827025114963</v>
      </c>
    </row>
    <row r="124" ht="15.5" spans="21:47">
      <c r="U124" s="121"/>
      <c r="V124" s="138" t="s">
        <v>536</v>
      </c>
      <c r="W124" s="123">
        <f t="shared" ref="W124:AC124" si="297">W58</f>
        <v>0.0130537308404918</v>
      </c>
      <c r="X124" s="123">
        <f t="shared" si="297"/>
        <v>0.0129170230966638</v>
      </c>
      <c r="Y124" s="123">
        <f t="shared" si="297"/>
        <v>0.0134529147982063</v>
      </c>
      <c r="Z124" s="123">
        <f t="shared" si="297"/>
        <v>0.0136846095526914</v>
      </c>
      <c r="AA124" s="123">
        <f t="shared" si="297"/>
        <v>0.0137236621294052</v>
      </c>
      <c r="AB124" s="123">
        <f t="shared" si="297"/>
        <v>0.0112866817155756</v>
      </c>
      <c r="AC124" s="123">
        <f t="shared" si="297"/>
        <v>0.01326494517156</v>
      </c>
      <c r="AD124" s="123"/>
      <c r="AE124" s="123"/>
      <c r="AF124" s="123">
        <f t="shared" ref="AF124:AL124" si="298">AF58</f>
        <v>0.0130537308404918</v>
      </c>
      <c r="AG124" s="123">
        <f t="shared" si="298"/>
        <v>0.0129170230966638</v>
      </c>
      <c r="AH124" s="123">
        <f t="shared" si="298"/>
        <v>0.0134529147982063</v>
      </c>
      <c r="AI124" s="123">
        <f t="shared" si="298"/>
        <v>0.0136846095526914</v>
      </c>
      <c r="AJ124" s="123">
        <f t="shared" si="298"/>
        <v>0.0137236621294052</v>
      </c>
      <c r="AK124" s="123">
        <f t="shared" si="298"/>
        <v>0.012979683972912</v>
      </c>
      <c r="AL124" s="123">
        <f t="shared" si="298"/>
        <v>0.0152546869472939</v>
      </c>
      <c r="AM124" s="123"/>
      <c r="AN124" s="123"/>
      <c r="AO124" s="123">
        <f t="shared" ref="AO124:AU124" si="299">AO58</f>
        <v>0.0130537308404918</v>
      </c>
      <c r="AP124" s="123">
        <f t="shared" si="299"/>
        <v>0.0129170230966638</v>
      </c>
      <c r="AQ124" s="123">
        <f t="shared" si="299"/>
        <v>0.0134529147982063</v>
      </c>
      <c r="AR124" s="123">
        <f t="shared" si="299"/>
        <v>0.0136846095526914</v>
      </c>
      <c r="AS124" s="123">
        <f t="shared" si="299"/>
        <v>0.0137236621294052</v>
      </c>
      <c r="AT124" s="123">
        <f t="shared" si="299"/>
        <v>0.00959367945823928</v>
      </c>
      <c r="AU124" s="123">
        <f t="shared" si="299"/>
        <v>0.011275203395826</v>
      </c>
    </row>
    <row r="125" ht="15.5" spans="21:47">
      <c r="U125" s="121" t="s">
        <v>569</v>
      </c>
      <c r="V125" s="138" t="s">
        <v>218</v>
      </c>
      <c r="W125" s="123">
        <f t="shared" ref="W125:AC125" si="300">AVERAGE(W113,W117,W121)</f>
        <v>0.00791645612262086</v>
      </c>
      <c r="X125" s="123">
        <f t="shared" si="300"/>
        <v>0.00768748217850014</v>
      </c>
      <c r="Y125" s="123">
        <f t="shared" si="300"/>
        <v>0.00798206278026906</v>
      </c>
      <c r="Z125" s="123">
        <f t="shared" si="300"/>
        <v>0.00797321202931515</v>
      </c>
      <c r="AA125" s="123">
        <f t="shared" si="300"/>
        <v>0.00805519298899869</v>
      </c>
      <c r="AB125" s="123">
        <f t="shared" si="300"/>
        <v>0.00669676448457487</v>
      </c>
      <c r="AC125" s="123">
        <f t="shared" si="300"/>
        <v>0.00787053413512557</v>
      </c>
      <c r="AD125" s="123"/>
      <c r="AE125" s="123"/>
      <c r="AF125" s="123">
        <f t="shared" ref="AF125:AL125" si="301">AVERAGE(AF113,AF117,AF121)</f>
        <v>0.00791645612262086</v>
      </c>
      <c r="AG125" s="123">
        <f t="shared" si="301"/>
        <v>0.00768748217850014</v>
      </c>
      <c r="AH125" s="123">
        <f t="shared" si="301"/>
        <v>0.00798206278026906</v>
      </c>
      <c r="AI125" s="123">
        <f t="shared" si="301"/>
        <v>0.00797321202931515</v>
      </c>
      <c r="AJ125" s="123">
        <f t="shared" si="301"/>
        <v>0.00805519298899869</v>
      </c>
      <c r="AK125" s="123">
        <f t="shared" si="301"/>
        <v>0.0077012791572611</v>
      </c>
      <c r="AL125" s="123">
        <f t="shared" si="301"/>
        <v>0.00905111425539441</v>
      </c>
      <c r="AM125" s="123"/>
      <c r="AN125" s="123"/>
      <c r="AO125" s="123">
        <f t="shared" ref="AO125:AU125" si="302">AVERAGE(AO113,AO117,AO121)</f>
        <v>0.00791645612262086</v>
      </c>
      <c r="AP125" s="123">
        <f t="shared" si="302"/>
        <v>0.00768748217850014</v>
      </c>
      <c r="AQ125" s="123">
        <f t="shared" si="302"/>
        <v>0.00798206278026906</v>
      </c>
      <c r="AR125" s="123">
        <f t="shared" si="302"/>
        <v>0.00797321202931515</v>
      </c>
      <c r="AS125" s="123">
        <f t="shared" si="302"/>
        <v>0.00805519298899869</v>
      </c>
      <c r="AT125" s="123">
        <f t="shared" si="302"/>
        <v>0.00569224981188864</v>
      </c>
      <c r="AU125" s="123">
        <f t="shared" si="302"/>
        <v>0.00668995401485673</v>
      </c>
    </row>
    <row r="126" ht="15.5" spans="21:47">
      <c r="U126" s="121"/>
      <c r="V126" s="139" t="s">
        <v>532</v>
      </c>
      <c r="W126" s="123">
        <f t="shared" ref="W126:AC126" si="303">AVERAGE(W114,W118,W122)</f>
        <v>0.0255740834315872</v>
      </c>
      <c r="X126" s="123">
        <f t="shared" si="303"/>
        <v>0.0248303393213573</v>
      </c>
      <c r="Y126" s="123">
        <f t="shared" si="303"/>
        <v>0.0257518684603886</v>
      </c>
      <c r="Z126" s="123">
        <f t="shared" si="303"/>
        <v>0.0256633813495072</v>
      </c>
      <c r="AA126" s="123">
        <f t="shared" si="303"/>
        <v>0.0260053452669526</v>
      </c>
      <c r="AB126" s="123">
        <f t="shared" si="303"/>
        <v>0.0216052169551041</v>
      </c>
      <c r="AC126" s="123">
        <f t="shared" si="303"/>
        <v>0.0253920528239594</v>
      </c>
      <c r="AD126" s="123"/>
      <c r="AE126" s="123"/>
      <c r="AF126" s="123">
        <f t="shared" ref="AF126:AL126" si="304">AVERAGE(AF114,AF118,AF122)</f>
        <v>0.0255740834315872</v>
      </c>
      <c r="AG126" s="123">
        <f t="shared" si="304"/>
        <v>0.0248303393213573</v>
      </c>
      <c r="AH126" s="123">
        <f t="shared" si="304"/>
        <v>0.0257518684603886</v>
      </c>
      <c r="AI126" s="123">
        <f t="shared" si="304"/>
        <v>0.0256633813495072</v>
      </c>
      <c r="AJ126" s="123">
        <f t="shared" si="304"/>
        <v>0.0260053452669526</v>
      </c>
      <c r="AK126" s="123">
        <f t="shared" si="304"/>
        <v>0.0248459994983697</v>
      </c>
      <c r="AL126" s="123">
        <f t="shared" si="304"/>
        <v>0.0292008607475534</v>
      </c>
      <c r="AM126" s="123"/>
      <c r="AN126" s="123"/>
      <c r="AO126" s="123">
        <f t="shared" ref="AO126:AU126" si="305">AVERAGE(AO114,AO118,AO122)</f>
        <v>0.0255740834315872</v>
      </c>
      <c r="AP126" s="123">
        <f t="shared" si="305"/>
        <v>0.0248303393213573</v>
      </c>
      <c r="AQ126" s="123">
        <f t="shared" si="305"/>
        <v>0.0257518684603886</v>
      </c>
      <c r="AR126" s="123">
        <f t="shared" si="305"/>
        <v>0.0256633813495072</v>
      </c>
      <c r="AS126" s="123">
        <f t="shared" si="305"/>
        <v>0.0260053452669526</v>
      </c>
      <c r="AT126" s="123">
        <f t="shared" si="305"/>
        <v>0.0183644344118385</v>
      </c>
      <c r="AU126" s="123">
        <f t="shared" si="305"/>
        <v>0.0215832449003655</v>
      </c>
    </row>
    <row r="127" ht="15.5" spans="21:47">
      <c r="U127" s="121"/>
      <c r="V127" s="138" t="s">
        <v>534</v>
      </c>
      <c r="W127" s="123">
        <f t="shared" ref="W127:AC127" si="306">AVERAGE(W115,W119,W123)</f>
        <v>0.0604008758632306</v>
      </c>
      <c r="X127" s="123">
        <f t="shared" si="306"/>
        <v>0.0597262617621899</v>
      </c>
      <c r="Y127" s="123">
        <f t="shared" si="306"/>
        <v>0.0622242152466368</v>
      </c>
      <c r="Z127" s="123">
        <f t="shared" si="306"/>
        <v>0.0635392974475613</v>
      </c>
      <c r="AA127" s="123">
        <f t="shared" si="306"/>
        <v>0.0635589533221456</v>
      </c>
      <c r="AB127" s="123">
        <f t="shared" si="306"/>
        <v>0.0522046651617758</v>
      </c>
      <c r="AC127" s="123">
        <f t="shared" si="306"/>
        <v>0.0613547930668553</v>
      </c>
      <c r="AD127" s="123"/>
      <c r="AE127" s="123"/>
      <c r="AF127" s="123">
        <f t="shared" ref="AF127:AL127" si="307">AVERAGE(AF115,AF119,AF123)</f>
        <v>0.0604008758632306</v>
      </c>
      <c r="AG127" s="123">
        <f t="shared" si="307"/>
        <v>0.0597262617621899</v>
      </c>
      <c r="AH127" s="123">
        <f t="shared" si="307"/>
        <v>0.0622242152466368</v>
      </c>
      <c r="AI127" s="123">
        <f t="shared" si="307"/>
        <v>0.0635392974475613</v>
      </c>
      <c r="AJ127" s="123">
        <f t="shared" si="307"/>
        <v>0.0635589533221456</v>
      </c>
      <c r="AK127" s="123">
        <f t="shared" si="307"/>
        <v>0.0600353649360421</v>
      </c>
      <c r="AL127" s="123">
        <f t="shared" si="307"/>
        <v>0.0705580120268836</v>
      </c>
      <c r="AM127" s="123"/>
      <c r="AN127" s="123"/>
      <c r="AO127" s="123">
        <f t="shared" ref="AO127:AU127" si="308">AVERAGE(AO115,AO119,AO123)</f>
        <v>0.0604008758632306</v>
      </c>
      <c r="AP127" s="123">
        <f t="shared" si="308"/>
        <v>0.0597262617621899</v>
      </c>
      <c r="AQ127" s="123">
        <f t="shared" si="308"/>
        <v>0.0622242152466368</v>
      </c>
      <c r="AR127" s="123">
        <f t="shared" si="308"/>
        <v>0.0635392974475613</v>
      </c>
      <c r="AS127" s="123">
        <f t="shared" si="308"/>
        <v>0.0635589533221456</v>
      </c>
      <c r="AT127" s="123">
        <f t="shared" si="308"/>
        <v>0.0443739653875094</v>
      </c>
      <c r="AU127" s="123">
        <f t="shared" si="308"/>
        <v>0.052151574106827</v>
      </c>
    </row>
    <row r="128" ht="15.5" spans="21:47">
      <c r="U128" s="121"/>
      <c r="V128" s="138" t="s">
        <v>536</v>
      </c>
      <c r="W128" s="123">
        <f t="shared" ref="W128:AC128" si="309">AVERAGE(W116,W120,W124)</f>
        <v>0.013115490427264</v>
      </c>
      <c r="X128" s="123">
        <f t="shared" si="309"/>
        <v>0.0129683490162532</v>
      </c>
      <c r="Y128" s="123">
        <f t="shared" si="309"/>
        <v>0.0135067264573991</v>
      </c>
      <c r="Z128" s="123">
        <f t="shared" si="309"/>
        <v>0.013747788728835</v>
      </c>
      <c r="AA128" s="123">
        <f t="shared" si="309"/>
        <v>0.0137858163962956</v>
      </c>
      <c r="AB128" s="123">
        <f t="shared" si="309"/>
        <v>0.0113318284424379</v>
      </c>
      <c r="AC128" s="123">
        <f t="shared" si="309"/>
        <v>0.0133180049522462</v>
      </c>
      <c r="AD128" s="123"/>
      <c r="AE128" s="123"/>
      <c r="AF128" s="123">
        <f t="shared" ref="AF128:AL128" si="310">AVERAGE(AF116,AF120,AF124)</f>
        <v>0.013115490427264</v>
      </c>
      <c r="AG128" s="123">
        <f t="shared" si="310"/>
        <v>0.0129683490162532</v>
      </c>
      <c r="AH128" s="123">
        <f t="shared" si="310"/>
        <v>0.0135067264573991</v>
      </c>
      <c r="AI128" s="123">
        <f t="shared" si="310"/>
        <v>0.013747788728835</v>
      </c>
      <c r="AJ128" s="123">
        <f t="shared" si="310"/>
        <v>0.0137858163962956</v>
      </c>
      <c r="AK128" s="123">
        <f t="shared" si="310"/>
        <v>0.0130316027088036</v>
      </c>
      <c r="AL128" s="123">
        <f t="shared" si="310"/>
        <v>0.0153157056950831</v>
      </c>
      <c r="AM128" s="123"/>
      <c r="AN128" s="123"/>
      <c r="AO128" s="123">
        <f t="shared" ref="AO128:AU128" si="311">AVERAGE(AO116,AO120,AO124)</f>
        <v>0.013115490427264</v>
      </c>
      <c r="AP128" s="123">
        <f t="shared" si="311"/>
        <v>0.0129683490162532</v>
      </c>
      <c r="AQ128" s="123">
        <f t="shared" si="311"/>
        <v>0.0135067264573991</v>
      </c>
      <c r="AR128" s="123">
        <f t="shared" si="311"/>
        <v>0.013747788728835</v>
      </c>
      <c r="AS128" s="123">
        <f t="shared" si="311"/>
        <v>0.0137858163962956</v>
      </c>
      <c r="AT128" s="123">
        <f t="shared" si="311"/>
        <v>0.00963205417607224</v>
      </c>
      <c r="AU128" s="123">
        <f t="shared" si="311"/>
        <v>0.0113203042094093</v>
      </c>
    </row>
    <row r="160" ht="15.5" spans="21:47">
      <c r="U160" s="140"/>
      <c r="V160" s="140" t="s">
        <v>506</v>
      </c>
      <c r="W160" s="140"/>
      <c r="X160" s="141"/>
      <c r="Y160" s="140"/>
      <c r="Z160" s="140" t="s">
        <v>506</v>
      </c>
      <c r="AA160" s="140"/>
      <c r="AB160" s="141"/>
      <c r="AC160" s="140"/>
      <c r="AD160" s="140" t="s">
        <v>506</v>
      </c>
      <c r="AE160" s="140"/>
      <c r="AF160" s="141"/>
      <c r="AG160" s="140"/>
      <c r="AH160" s="140" t="s">
        <v>506</v>
      </c>
      <c r="AI160" s="140"/>
      <c r="AJ160" s="141"/>
      <c r="AK160" s="140"/>
      <c r="AL160" s="140" t="s">
        <v>506</v>
      </c>
      <c r="AM160" s="140"/>
      <c r="AN160" s="141"/>
      <c r="AO160" s="140"/>
      <c r="AP160" s="140" t="s">
        <v>506</v>
      </c>
      <c r="AQ160" s="140"/>
      <c r="AR160" s="141"/>
      <c r="AS160" s="140"/>
      <c r="AT160" s="140" t="s">
        <v>506</v>
      </c>
      <c r="AU160" s="140"/>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0" t="s">
        <v>79</v>
      </c>
      <c r="AP161" s="140" t="s">
        <v>191</v>
      </c>
      <c r="AQ161" s="140">
        <v>2019</v>
      </c>
      <c r="AR161" s="141"/>
      <c r="AS161" s="140" t="s">
        <v>79</v>
      </c>
      <c r="AT161" s="140" t="s">
        <v>191</v>
      </c>
      <c r="AU161" s="140">
        <v>2019</v>
      </c>
    </row>
    <row r="162" ht="15.5" spans="21:47">
      <c r="U162" s="141" t="s">
        <v>366</v>
      </c>
      <c r="V162" s="142" t="s">
        <v>218</v>
      </c>
      <c r="W162" s="141">
        <f>W85</f>
        <v>0.0105665038459379</v>
      </c>
      <c r="X162" s="141"/>
      <c r="Y162" s="141" t="s">
        <v>367</v>
      </c>
      <c r="Z162" s="142" t="s">
        <v>218</v>
      </c>
      <c r="AA162" s="141">
        <f>X85</f>
        <v>0.010151126318791</v>
      </c>
      <c r="AB162" s="141"/>
      <c r="AC162" s="141" t="s">
        <v>368</v>
      </c>
      <c r="AD162" s="142" t="s">
        <v>218</v>
      </c>
      <c r="AE162" s="141">
        <f>Y85</f>
        <v>0.0104454409566517</v>
      </c>
      <c r="AF162" s="141"/>
      <c r="AG162" s="141" t="s">
        <v>369</v>
      </c>
      <c r="AH162" s="142" t="s">
        <v>218</v>
      </c>
      <c r="AI162" s="141">
        <f>Z85</f>
        <v>0.0114922921405105</v>
      </c>
      <c r="AJ162" s="141"/>
      <c r="AK162" s="141" t="s">
        <v>365</v>
      </c>
      <c r="AL162" s="142" t="s">
        <v>218</v>
      </c>
      <c r="AM162" s="141">
        <f>AA85</f>
        <v>0.0116539250419541</v>
      </c>
      <c r="AN162" s="141"/>
      <c r="AO162" s="141" t="s">
        <v>364</v>
      </c>
      <c r="AP162" s="142" t="s">
        <v>218</v>
      </c>
      <c r="AQ162" s="141">
        <f>AB85</f>
        <v>0.00876348131427138</v>
      </c>
      <c r="AR162" s="141"/>
      <c r="AS162" s="141" t="s">
        <v>363</v>
      </c>
      <c r="AT162" s="142" t="s">
        <v>218</v>
      </c>
      <c r="AU162" s="141">
        <f>AC85</f>
        <v>0.0102994929843179</v>
      </c>
    </row>
    <row r="163" ht="16" spans="21:47">
      <c r="U163" s="141"/>
      <c r="V163" s="143" t="s">
        <v>516</v>
      </c>
      <c r="W163" s="141">
        <f>W86</f>
        <v>0.0361911178485206</v>
      </c>
      <c r="X163" s="141"/>
      <c r="Y163" s="141"/>
      <c r="Z163" s="143" t="s">
        <v>516</v>
      </c>
      <c r="AA163" s="141">
        <f>X86</f>
        <v>0.0345822640433419</v>
      </c>
      <c r="AB163" s="141"/>
      <c r="AC163" s="141"/>
      <c r="AD163" s="143" t="s">
        <v>516</v>
      </c>
      <c r="AE163" s="141">
        <f>Y86</f>
        <v>0.0356053811659193</v>
      </c>
      <c r="AF163" s="141"/>
      <c r="AG163" s="141"/>
      <c r="AH163" s="143" t="s">
        <v>516</v>
      </c>
      <c r="AI163" s="141">
        <f>Z86</f>
        <v>0.0365744250694971</v>
      </c>
      <c r="AJ163" s="141"/>
      <c r="AK163" s="141"/>
      <c r="AL163" s="143" t="s">
        <v>516</v>
      </c>
      <c r="AM163" s="141">
        <f>AA86</f>
        <v>0.0374914537883026</v>
      </c>
      <c r="AN163" s="141"/>
      <c r="AO163" s="141"/>
      <c r="AP163" s="143" t="s">
        <v>516</v>
      </c>
      <c r="AQ163" s="141">
        <f>AB86</f>
        <v>0.0298720842738901</v>
      </c>
      <c r="AR163" s="141"/>
      <c r="AS163" s="141"/>
      <c r="AT163" s="143" t="s">
        <v>516</v>
      </c>
      <c r="AU163" s="141">
        <f>AC86</f>
        <v>0.0351078882207287</v>
      </c>
    </row>
    <row r="164" ht="16" spans="21:47">
      <c r="U164" s="141"/>
      <c r="V164" s="143" t="s">
        <v>517</v>
      </c>
      <c r="W164" s="141">
        <f>W87</f>
        <v>0.0787154005951378</v>
      </c>
      <c r="X164" s="141"/>
      <c r="Y164" s="141"/>
      <c r="Z164" s="143" t="s">
        <v>517</v>
      </c>
      <c r="AA164" s="141">
        <f>X87</f>
        <v>0.0766238950670089</v>
      </c>
      <c r="AB164" s="141"/>
      <c r="AC164" s="141"/>
      <c r="AD164" s="143" t="s">
        <v>517</v>
      </c>
      <c r="AE164" s="141">
        <f>Y87</f>
        <v>0.0794379671150972</v>
      </c>
      <c r="AF164" s="141"/>
      <c r="AG164" s="141"/>
      <c r="AH164" s="143" t="s">
        <v>517</v>
      </c>
      <c r="AI164" s="141">
        <f>Z87</f>
        <v>0.0831501137225171</v>
      </c>
      <c r="AJ164" s="141"/>
      <c r="AK164" s="141"/>
      <c r="AL164" s="143" t="s">
        <v>517</v>
      </c>
      <c r="AM164" s="141">
        <f>AA87</f>
        <v>0.0871278513269936</v>
      </c>
      <c r="AN164" s="141"/>
      <c r="AO164" s="141"/>
      <c r="AP164" s="143" t="s">
        <v>517</v>
      </c>
      <c r="AQ164" s="141">
        <f>AB87</f>
        <v>0.0666466014547279</v>
      </c>
      <c r="AR164" s="141"/>
      <c r="AS164" s="141"/>
      <c r="AT164" s="143" t="s">
        <v>517</v>
      </c>
      <c r="AU164" s="141">
        <f>AC87</f>
        <v>0.0783280273552647</v>
      </c>
    </row>
    <row r="165" ht="16" spans="21:47">
      <c r="U165" s="144"/>
      <c r="V165" s="143" t="s">
        <v>518</v>
      </c>
      <c r="W165" s="141">
        <f>W88</f>
        <v>0.0132277805850317</v>
      </c>
      <c r="X165" s="144"/>
      <c r="Y165" s="144"/>
      <c r="Z165" s="143" t="s">
        <v>518</v>
      </c>
      <c r="AA165" s="141">
        <f>X88</f>
        <v>0.0129398346164813</v>
      </c>
      <c r="AB165" s="144"/>
      <c r="AC165" s="144"/>
      <c r="AD165" s="143" t="s">
        <v>518</v>
      </c>
      <c r="AE165" s="141">
        <f>Y88</f>
        <v>0.0134050822122571</v>
      </c>
      <c r="AF165" s="144"/>
      <c r="AG165" s="144"/>
      <c r="AH165" s="143" t="s">
        <v>518</v>
      </c>
      <c r="AI165" s="141">
        <f>Z88</f>
        <v>0.0146449330300733</v>
      </c>
      <c r="AJ165" s="144"/>
      <c r="AK165" s="144"/>
      <c r="AL165" s="143" t="s">
        <v>518</v>
      </c>
      <c r="AM165" s="141">
        <f>AA88</f>
        <v>0.0149356703337684</v>
      </c>
      <c r="AN165" s="144"/>
      <c r="AO165" s="144"/>
      <c r="AP165" s="143" t="s">
        <v>518</v>
      </c>
      <c r="AQ165" s="141">
        <f>AB88</f>
        <v>0.011246551291698</v>
      </c>
      <c r="AR165" s="144"/>
      <c r="AS165" s="144"/>
      <c r="AT165" s="143" t="s">
        <v>518</v>
      </c>
      <c r="AU165" s="141">
        <f>AC88</f>
        <v>0.0132177809220611</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row>
    <row r="172" ht="15.5" spans="21:47">
      <c r="U172" s="140"/>
      <c r="V172" s="140" t="s">
        <v>506</v>
      </c>
      <c r="W172" s="140"/>
      <c r="X172" s="141"/>
      <c r="Y172" s="140"/>
      <c r="Z172" s="140" t="s">
        <v>506</v>
      </c>
      <c r="AA172" s="140"/>
      <c r="AB172" s="141"/>
      <c r="AC172" s="140"/>
      <c r="AD172" s="140" t="s">
        <v>506</v>
      </c>
      <c r="AE172" s="140"/>
      <c r="AF172" s="141"/>
      <c r="AG172" s="140"/>
      <c r="AH172" s="140" t="s">
        <v>506</v>
      </c>
      <c r="AI172" s="140"/>
      <c r="AJ172" s="141"/>
      <c r="AK172" s="140"/>
      <c r="AL172" s="140" t="s">
        <v>506</v>
      </c>
      <c r="AM172" s="140"/>
      <c r="AN172" s="141"/>
      <c r="AO172" s="140"/>
      <c r="AP172" s="140" t="s">
        <v>506</v>
      </c>
      <c r="AQ172" s="140"/>
      <c r="AR172" s="141"/>
      <c r="AS172" s="140"/>
      <c r="AT172" s="140" t="s">
        <v>506</v>
      </c>
      <c r="AU172" s="140"/>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0" t="s">
        <v>79</v>
      </c>
      <c r="AP173" s="140" t="s">
        <v>191</v>
      </c>
      <c r="AQ173" s="140">
        <v>2019</v>
      </c>
      <c r="AR173" s="141"/>
      <c r="AS173" s="140" t="s">
        <v>79</v>
      </c>
      <c r="AT173" s="140" t="s">
        <v>191</v>
      </c>
      <c r="AU173" s="140">
        <v>2019</v>
      </c>
    </row>
    <row r="174" ht="15.5" spans="21:47">
      <c r="U174" s="141" t="s">
        <v>373</v>
      </c>
      <c r="V174" s="142" t="s">
        <v>218</v>
      </c>
      <c r="W174" s="141">
        <f>W105</f>
        <v>0.0115995732974005</v>
      </c>
      <c r="X174" s="141"/>
      <c r="Y174" s="141" t="s">
        <v>374</v>
      </c>
      <c r="Z174" s="142" t="s">
        <v>218</v>
      </c>
      <c r="AA174" s="141">
        <f>X105</f>
        <v>0.0111320216709438</v>
      </c>
      <c r="AB174" s="141"/>
      <c r="AC174" s="141" t="s">
        <v>375</v>
      </c>
      <c r="AD174" s="142" t="s">
        <v>218</v>
      </c>
      <c r="AE174" s="141">
        <f>Y105</f>
        <v>0.0115156950672646</v>
      </c>
      <c r="AF174" s="141"/>
      <c r="AG174" s="141" t="s">
        <v>376</v>
      </c>
      <c r="AH174" s="142" t="s">
        <v>218</v>
      </c>
      <c r="AI174" s="141">
        <f>Z105</f>
        <v>0.0118145059388425</v>
      </c>
      <c r="AJ174" s="141"/>
      <c r="AK174" s="141" t="s">
        <v>372</v>
      </c>
      <c r="AL174" s="142" t="s">
        <v>218</v>
      </c>
      <c r="AM174" s="141">
        <f>AA105</f>
        <v>0.0120206352166076</v>
      </c>
      <c r="AN174" s="141"/>
      <c r="AO174" s="141" t="s">
        <v>371</v>
      </c>
      <c r="AP174" s="142" t="s">
        <v>218</v>
      </c>
      <c r="AQ174" s="141">
        <f>AB105</f>
        <v>0.00966139954853273</v>
      </c>
      <c r="AR174" s="141"/>
      <c r="AS174" s="141" t="s">
        <v>370</v>
      </c>
      <c r="AT174" s="142" t="s">
        <v>218</v>
      </c>
      <c r="AU174" s="141">
        <f>AC105</f>
        <v>0.0113547930668553</v>
      </c>
    </row>
    <row r="175" ht="16" spans="21:47">
      <c r="U175" s="141"/>
      <c r="V175" s="143" t="s">
        <v>516</v>
      </c>
      <c r="W175" s="141">
        <f>W106</f>
        <v>0.0322272752793218</v>
      </c>
      <c r="X175" s="141"/>
      <c r="Y175" s="141"/>
      <c r="Z175" s="143" t="s">
        <v>516</v>
      </c>
      <c r="AA175" s="141">
        <f>X106</f>
        <v>0.0310350727117194</v>
      </c>
      <c r="AB175" s="141"/>
      <c r="AC175" s="141"/>
      <c r="AD175" s="143" t="s">
        <v>516</v>
      </c>
      <c r="AE175" s="141">
        <f>Y106</f>
        <v>0.0321195814648729</v>
      </c>
      <c r="AF175" s="141"/>
      <c r="AG175" s="141"/>
      <c r="AH175" s="143" t="s">
        <v>516</v>
      </c>
      <c r="AI175" s="141">
        <f>Z106</f>
        <v>0.0332512004043467</v>
      </c>
      <c r="AJ175" s="141"/>
      <c r="AK175" s="141"/>
      <c r="AL175" s="143" t="s">
        <v>516</v>
      </c>
      <c r="AM175" s="141">
        <f>AA106</f>
        <v>0.033880290881969</v>
      </c>
      <c r="AN175" s="141"/>
      <c r="AO175" s="141"/>
      <c r="AP175" s="143" t="s">
        <v>516</v>
      </c>
      <c r="AQ175" s="141">
        <f>AB106</f>
        <v>0.0269475796338099</v>
      </c>
      <c r="AR175" s="141"/>
      <c r="AS175" s="141"/>
      <c r="AT175" s="143" t="s">
        <v>516</v>
      </c>
      <c r="AU175" s="141">
        <f>AC106</f>
        <v>0.0316707935384978</v>
      </c>
    </row>
    <row r="176" ht="16" spans="21:47">
      <c r="U176" s="141"/>
      <c r="V176" s="143" t="s">
        <v>517</v>
      </c>
      <c r="W176" s="141">
        <f>W107</f>
        <v>0.0930380102184044</v>
      </c>
      <c r="X176" s="141"/>
      <c r="Y176" s="141"/>
      <c r="Z176" s="143" t="s">
        <v>517</v>
      </c>
      <c r="AA176" s="141">
        <f>X107</f>
        <v>0.0901682349586541</v>
      </c>
      <c r="AB176" s="141"/>
      <c r="AC176" s="141"/>
      <c r="AD176" s="143" t="s">
        <v>517</v>
      </c>
      <c r="AE176" s="141">
        <f>Y107</f>
        <v>0.0934708520179372</v>
      </c>
      <c r="AF176" s="141"/>
      <c r="AG176" s="141"/>
      <c r="AH176" s="143" t="s">
        <v>517</v>
      </c>
      <c r="AI176" s="141">
        <f>Z107</f>
        <v>0.0946044983573414</v>
      </c>
      <c r="AJ176" s="141"/>
      <c r="AK176" s="141"/>
      <c r="AL176" s="143" t="s">
        <v>517</v>
      </c>
      <c r="AM176" s="141">
        <f>AA107</f>
        <v>0.0987631300888806</v>
      </c>
      <c r="AN176" s="141"/>
      <c r="AO176" s="141"/>
      <c r="AP176" s="143" t="s">
        <v>517</v>
      </c>
      <c r="AQ176" s="141">
        <f>AB107</f>
        <v>0.0784198645598194</v>
      </c>
      <c r="AR176" s="141"/>
      <c r="AS176" s="141"/>
      <c r="AT176" s="143" t="s">
        <v>517</v>
      </c>
      <c r="AU176" s="141">
        <f>AC107</f>
        <v>0.0921648390519986</v>
      </c>
    </row>
    <row r="177" ht="16" spans="21:47">
      <c r="U177" s="144"/>
      <c r="V177" s="143" t="s">
        <v>518</v>
      </c>
      <c r="W177" s="141">
        <f>W108</f>
        <v>0.0134355173769019</v>
      </c>
      <c r="X177" s="144"/>
      <c r="Y177" s="144"/>
      <c r="Z177" s="143" t="s">
        <v>518</v>
      </c>
      <c r="AA177" s="141">
        <f>X108</f>
        <v>0.0132534930139721</v>
      </c>
      <c r="AB177" s="144"/>
      <c r="AC177" s="144"/>
      <c r="AD177" s="143" t="s">
        <v>518</v>
      </c>
      <c r="AE177" s="141">
        <f>Y108</f>
        <v>0.0138116591928251</v>
      </c>
      <c r="AF177" s="144"/>
      <c r="AG177" s="144"/>
      <c r="AH177" s="143" t="s">
        <v>518</v>
      </c>
      <c r="AI177" s="141">
        <f>Z108</f>
        <v>0.0141837250442254</v>
      </c>
      <c r="AJ177" s="144"/>
      <c r="AK177" s="144"/>
      <c r="AL177" s="143" t="s">
        <v>518</v>
      </c>
      <c r="AM177" s="141">
        <f>AA108</f>
        <v>0.0143824973584437</v>
      </c>
      <c r="AN177" s="144"/>
      <c r="AO177" s="144"/>
      <c r="AP177" s="143" t="s">
        <v>518</v>
      </c>
      <c r="AQ177" s="141">
        <f>AB108</f>
        <v>0.0115876598946576</v>
      </c>
      <c r="AR177" s="144"/>
      <c r="AS177" s="144"/>
      <c r="AT177" s="143" t="s">
        <v>518</v>
      </c>
      <c r="AU177" s="141">
        <f>AC108</f>
        <v>0.0136186770428016</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row>
    <row r="183" ht="15.5" spans="21:47">
      <c r="U183" s="140"/>
      <c r="V183" s="140" t="s">
        <v>506</v>
      </c>
      <c r="W183" s="140"/>
      <c r="X183" s="141"/>
      <c r="Y183" s="140"/>
      <c r="Z183" s="140" t="s">
        <v>506</v>
      </c>
      <c r="AA183" s="140"/>
      <c r="AB183" s="141"/>
      <c r="AC183" s="140"/>
      <c r="AD183" s="140" t="s">
        <v>506</v>
      </c>
      <c r="AE183" s="140"/>
      <c r="AF183" s="141"/>
      <c r="AG183" s="140"/>
      <c r="AH183" s="140" t="s">
        <v>506</v>
      </c>
      <c r="AI183" s="140"/>
      <c r="AJ183" s="141"/>
      <c r="AK183" s="140"/>
      <c r="AL183" s="140" t="s">
        <v>506</v>
      </c>
      <c r="AM183" s="140"/>
      <c r="AN183" s="141"/>
      <c r="AO183" s="140"/>
      <c r="AP183" s="140" t="s">
        <v>506</v>
      </c>
      <c r="AQ183" s="140"/>
      <c r="AR183" s="141"/>
      <c r="AS183" s="140"/>
      <c r="AT183" s="140" t="s">
        <v>506</v>
      </c>
      <c r="AU183" s="140"/>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0" t="s">
        <v>79</v>
      </c>
      <c r="AP184" s="140" t="s">
        <v>191</v>
      </c>
      <c r="AQ184" s="140">
        <v>2019</v>
      </c>
      <c r="AR184" s="141"/>
      <c r="AS184" s="140" t="s">
        <v>79</v>
      </c>
      <c r="AT184" s="140" t="s">
        <v>191</v>
      </c>
      <c r="AU184" s="140">
        <v>2019</v>
      </c>
    </row>
    <row r="185" ht="15.5" spans="21:47">
      <c r="U185" s="141" t="s">
        <v>380</v>
      </c>
      <c r="V185" s="142" t="s">
        <v>218</v>
      </c>
      <c r="W185" s="141">
        <f>W125</f>
        <v>0.00791645612262086</v>
      </c>
      <c r="X185" s="141"/>
      <c r="Y185" s="141" t="s">
        <v>381</v>
      </c>
      <c r="Z185" s="142" t="s">
        <v>218</v>
      </c>
      <c r="AA185" s="141">
        <f>X125</f>
        <v>0.00768748217850014</v>
      </c>
      <c r="AB185" s="141"/>
      <c r="AC185" s="141" t="s">
        <v>382</v>
      </c>
      <c r="AD185" s="142" t="s">
        <v>218</v>
      </c>
      <c r="AE185" s="141">
        <f>Y125</f>
        <v>0.00798206278026906</v>
      </c>
      <c r="AF185" s="141"/>
      <c r="AG185" s="141" t="s">
        <v>383</v>
      </c>
      <c r="AH185" s="142" t="s">
        <v>218</v>
      </c>
      <c r="AI185" s="141">
        <f>Z125</f>
        <v>0.00797321202931515</v>
      </c>
      <c r="AJ185" s="141"/>
      <c r="AK185" s="141" t="s">
        <v>379</v>
      </c>
      <c r="AL185" s="142" t="s">
        <v>218</v>
      </c>
      <c r="AM185" s="141">
        <f>AA125</f>
        <v>0.00805519298899869</v>
      </c>
      <c r="AN185" s="141"/>
      <c r="AO185" s="141" t="s">
        <v>378</v>
      </c>
      <c r="AP185" s="142" t="s">
        <v>218</v>
      </c>
      <c r="AQ185" s="141">
        <f>AB125</f>
        <v>0.00669676448457487</v>
      </c>
      <c r="AR185" s="141"/>
      <c r="AS185" s="141" t="s">
        <v>377</v>
      </c>
      <c r="AT185" s="142" t="s">
        <v>218</v>
      </c>
      <c r="AU185" s="141">
        <f>AC125</f>
        <v>0.00787053413512557</v>
      </c>
    </row>
    <row r="186" ht="16" spans="21:47">
      <c r="U186" s="141"/>
      <c r="V186" s="143" t="s">
        <v>516</v>
      </c>
      <c r="W186" s="141">
        <f>W126</f>
        <v>0.0255740834315872</v>
      </c>
      <c r="X186" s="141"/>
      <c r="Y186" s="141"/>
      <c r="Z186" s="143" t="s">
        <v>516</v>
      </c>
      <c r="AA186" s="141">
        <f>X126</f>
        <v>0.0248303393213573</v>
      </c>
      <c r="AB186" s="141"/>
      <c r="AC186" s="141"/>
      <c r="AD186" s="143" t="s">
        <v>516</v>
      </c>
      <c r="AE186" s="141">
        <f>Y126</f>
        <v>0.0257518684603886</v>
      </c>
      <c r="AF186" s="141"/>
      <c r="AG186" s="141"/>
      <c r="AH186" s="143" t="s">
        <v>516</v>
      </c>
      <c r="AI186" s="141">
        <f>Z126</f>
        <v>0.0256633813495072</v>
      </c>
      <c r="AJ186" s="141"/>
      <c r="AK186" s="141"/>
      <c r="AL186" s="143" t="s">
        <v>516</v>
      </c>
      <c r="AM186" s="141">
        <f>AA126</f>
        <v>0.0260053452669526</v>
      </c>
      <c r="AN186" s="141"/>
      <c r="AO186" s="141"/>
      <c r="AP186" s="143" t="s">
        <v>516</v>
      </c>
      <c r="AQ186" s="141">
        <f>AB126</f>
        <v>0.0216052169551041</v>
      </c>
      <c r="AR186" s="141"/>
      <c r="AS186" s="141"/>
      <c r="AT186" s="143" t="s">
        <v>516</v>
      </c>
      <c r="AU186" s="141">
        <f>AC126</f>
        <v>0.0253920528239594</v>
      </c>
    </row>
    <row r="187" ht="16" spans="21:47">
      <c r="U187" s="141"/>
      <c r="V187" s="143" t="s">
        <v>517</v>
      </c>
      <c r="W187" s="141">
        <f>W127</f>
        <v>0.0604008758632306</v>
      </c>
      <c r="X187" s="141"/>
      <c r="Y187" s="141"/>
      <c r="Z187" s="143" t="s">
        <v>517</v>
      </c>
      <c r="AA187" s="141">
        <f>X127</f>
        <v>0.0597262617621899</v>
      </c>
      <c r="AB187" s="141"/>
      <c r="AC187" s="141"/>
      <c r="AD187" s="143" t="s">
        <v>517</v>
      </c>
      <c r="AE187" s="141">
        <f>Y127</f>
        <v>0.0622242152466368</v>
      </c>
      <c r="AF187" s="141"/>
      <c r="AG187" s="141"/>
      <c r="AH187" s="143" t="s">
        <v>517</v>
      </c>
      <c r="AI187" s="141">
        <f>Z127</f>
        <v>0.0635392974475613</v>
      </c>
      <c r="AJ187" s="141"/>
      <c r="AK187" s="141"/>
      <c r="AL187" s="143" t="s">
        <v>517</v>
      </c>
      <c r="AM187" s="141">
        <f>AA127</f>
        <v>0.0635589533221456</v>
      </c>
      <c r="AN187" s="141"/>
      <c r="AO187" s="141"/>
      <c r="AP187" s="143" t="s">
        <v>517</v>
      </c>
      <c r="AQ187" s="141">
        <f>AB127</f>
        <v>0.0522046651617758</v>
      </c>
      <c r="AR187" s="141"/>
      <c r="AS187" s="141"/>
      <c r="AT187" s="143" t="s">
        <v>517</v>
      </c>
      <c r="AU187" s="141">
        <f>AC127</f>
        <v>0.0613547930668553</v>
      </c>
    </row>
    <row r="188" ht="16" spans="21:47">
      <c r="U188" s="144"/>
      <c r="V188" s="143" t="s">
        <v>518</v>
      </c>
      <c r="W188" s="141">
        <f>W128</f>
        <v>0.013115490427264</v>
      </c>
      <c r="X188" s="144"/>
      <c r="Y188" s="144"/>
      <c r="Z188" s="143" t="s">
        <v>518</v>
      </c>
      <c r="AA188" s="141">
        <f>X128</f>
        <v>0.0129683490162532</v>
      </c>
      <c r="AB188" s="144"/>
      <c r="AC188" s="144"/>
      <c r="AD188" s="143" t="s">
        <v>518</v>
      </c>
      <c r="AE188" s="141">
        <f>Y128</f>
        <v>0.0135067264573991</v>
      </c>
      <c r="AF188" s="144"/>
      <c r="AG188" s="144"/>
      <c r="AH188" s="143" t="s">
        <v>518</v>
      </c>
      <c r="AI188" s="141">
        <f>Z128</f>
        <v>0.013747788728835</v>
      </c>
      <c r="AJ188" s="144"/>
      <c r="AK188" s="144"/>
      <c r="AL188" s="143" t="s">
        <v>518</v>
      </c>
      <c r="AM188" s="141">
        <f>AA128</f>
        <v>0.0137858163962956</v>
      </c>
      <c r="AN188" s="144"/>
      <c r="AO188" s="144"/>
      <c r="AP188" s="143" t="s">
        <v>518</v>
      </c>
      <c r="AQ188" s="141">
        <f>AB128</f>
        <v>0.0113318284424379</v>
      </c>
      <c r="AR188" s="144"/>
      <c r="AS188" s="144"/>
      <c r="AT188" s="143" t="s">
        <v>518</v>
      </c>
      <c r="AU188" s="141">
        <f>AC128</f>
        <v>0.0133180049522462</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5"/>
  </sheetPr>
  <dimension ref="A1:AU188"/>
  <sheetViews>
    <sheetView zoomScale="54" zoomScaleNormal="54" topLeftCell="AJ159" workbookViewId="0">
      <selection activeCell="AU197" sqref="AU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555</v>
      </c>
      <c r="B1" s="121"/>
      <c r="C1" s="121"/>
      <c r="D1" s="121"/>
      <c r="E1" s="121"/>
      <c r="F1" s="121"/>
      <c r="G1" s="121"/>
      <c r="H1" s="121"/>
      <c r="I1" s="121"/>
      <c r="J1" s="121"/>
      <c r="K1" s="123"/>
      <c r="L1" s="123" t="s">
        <v>282</v>
      </c>
      <c r="M1" s="123"/>
      <c r="N1" s="123"/>
      <c r="O1" s="123"/>
      <c r="P1" s="123"/>
      <c r="Q1" s="123"/>
      <c r="R1" s="123"/>
      <c r="S1" s="123"/>
      <c r="T1" s="123"/>
      <c r="U1" s="123"/>
      <c r="V1" s="123"/>
      <c r="W1" s="123" t="s">
        <v>556</v>
      </c>
      <c r="X1" s="123"/>
      <c r="Y1" s="123"/>
      <c r="Z1" s="123"/>
      <c r="AA1" s="123"/>
      <c r="AB1" s="134" t="s">
        <v>557</v>
      </c>
      <c r="AC1" s="134"/>
      <c r="AD1" s="123"/>
      <c r="AE1" s="123"/>
      <c r="AF1" s="123" t="s">
        <v>558</v>
      </c>
      <c r="AG1" s="123"/>
      <c r="AH1" s="123"/>
      <c r="AI1" s="123"/>
      <c r="AJ1" s="123"/>
      <c r="AK1" s="123"/>
      <c r="AL1" s="123"/>
      <c r="AM1" s="123"/>
      <c r="AN1" s="123"/>
      <c r="AO1" s="123" t="s">
        <v>559</v>
      </c>
      <c r="AP1" s="123"/>
      <c r="AQ1" s="123"/>
      <c r="AR1" s="123"/>
      <c r="AS1" s="123"/>
      <c r="AT1" s="123"/>
      <c r="AU1" s="123"/>
    </row>
    <row r="2" ht="30" customHeight="1" spans="1:47">
      <c r="A2" s="121" t="s">
        <v>523</v>
      </c>
      <c r="B2" s="121" t="s">
        <v>526</v>
      </c>
      <c r="C2" s="121" t="s">
        <v>525</v>
      </c>
      <c r="D2" s="121"/>
      <c r="E2" s="121"/>
      <c r="F2" s="121"/>
      <c r="G2" s="121"/>
      <c r="H2" s="121"/>
      <c r="I2" s="121"/>
      <c r="J2" s="121"/>
      <c r="K2" s="123"/>
      <c r="L2" s="123"/>
      <c r="M2" s="123"/>
      <c r="N2" s="123"/>
      <c r="O2" s="123"/>
      <c r="P2" s="123"/>
      <c r="Q2" s="123"/>
      <c r="R2" s="123"/>
      <c r="S2" s="123"/>
      <c r="T2" s="123"/>
      <c r="U2" s="123"/>
      <c r="V2" s="132" t="s">
        <v>560</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527</v>
      </c>
      <c r="D3" s="123" t="s">
        <v>333</v>
      </c>
      <c r="E3" s="123" t="s">
        <v>334</v>
      </c>
      <c r="F3" s="124" t="s">
        <v>335</v>
      </c>
      <c r="G3" s="123" t="s">
        <v>336</v>
      </c>
      <c r="H3" s="123" t="s">
        <v>241</v>
      </c>
      <c r="I3" s="123" t="s">
        <v>528</v>
      </c>
      <c r="J3" s="123" t="s">
        <v>529</v>
      </c>
      <c r="K3" s="123"/>
      <c r="L3" s="129" t="s">
        <v>527</v>
      </c>
      <c r="M3" s="123" t="s">
        <v>333</v>
      </c>
      <c r="N3" s="123" t="s">
        <v>334</v>
      </c>
      <c r="O3" s="123" t="s">
        <v>335</v>
      </c>
      <c r="P3" s="123" t="s">
        <v>336</v>
      </c>
      <c r="Q3" s="123" t="s">
        <v>241</v>
      </c>
      <c r="R3" s="123" t="s">
        <v>528</v>
      </c>
      <c r="S3" s="123" t="s">
        <v>529</v>
      </c>
      <c r="T3" s="123"/>
      <c r="U3" s="123"/>
      <c r="V3" s="132" t="s">
        <v>562</v>
      </c>
      <c r="W3" s="123" t="s">
        <v>333</v>
      </c>
      <c r="X3" s="123" t="s">
        <v>334</v>
      </c>
      <c r="Y3" s="124" t="s">
        <v>335</v>
      </c>
      <c r="Z3" s="123" t="s">
        <v>336</v>
      </c>
      <c r="AA3" s="123" t="s">
        <v>241</v>
      </c>
      <c r="AB3" s="135" t="s">
        <v>528</v>
      </c>
      <c r="AC3" s="135" t="s">
        <v>529</v>
      </c>
      <c r="AD3" s="123"/>
      <c r="AE3" s="123"/>
      <c r="AF3" s="123" t="s">
        <v>333</v>
      </c>
      <c r="AG3" s="123" t="s">
        <v>334</v>
      </c>
      <c r="AH3" s="124" t="s">
        <v>335</v>
      </c>
      <c r="AI3" s="123" t="s">
        <v>336</v>
      </c>
      <c r="AJ3" s="123" t="s">
        <v>241</v>
      </c>
      <c r="AK3" s="135" t="s">
        <v>528</v>
      </c>
      <c r="AL3" s="135" t="s">
        <v>529</v>
      </c>
      <c r="AM3" s="123"/>
      <c r="AN3" s="123"/>
      <c r="AO3" s="123" t="s">
        <v>333</v>
      </c>
      <c r="AP3" s="123" t="s">
        <v>334</v>
      </c>
      <c r="AQ3" s="124" t="s">
        <v>335</v>
      </c>
      <c r="AR3" s="123" t="s">
        <v>336</v>
      </c>
      <c r="AS3" s="123" t="s">
        <v>241</v>
      </c>
      <c r="AT3" s="135" t="s">
        <v>528</v>
      </c>
      <c r="AU3" s="135" t="s">
        <v>529</v>
      </c>
    </row>
    <row r="4" ht="15.5" customHeight="1" spans="1:47">
      <c r="A4" s="121" t="s">
        <v>530</v>
      </c>
      <c r="B4" s="125" t="s">
        <v>531</v>
      </c>
      <c r="C4" s="126">
        <f>Recyc_energy_use_Anna__SAME!C4</f>
        <v>0.8374</v>
      </c>
      <c r="D4" s="150">
        <f>Recyc_energy_use_Anna__SAME!D4</f>
        <v>0.8081</v>
      </c>
      <c r="E4" s="150">
        <f>Recyc_energy_use_Anna__SAME!E4</f>
        <v>0.7705</v>
      </c>
      <c r="F4" s="150">
        <f>Recyc_energy_use_Anna__SAME!F4</f>
        <v>0.76</v>
      </c>
      <c r="G4" s="150">
        <f>Recyc_energy_use_Anna__SAME!G4</f>
        <v>0.7551</v>
      </c>
      <c r="H4" s="150">
        <f>Recyc_energy_use_Anna__SAME!H4</f>
        <v>0.796</v>
      </c>
      <c r="I4" s="150">
        <f>Recyc_energy_use_Anna__SAME!I4</f>
        <v>0.76</v>
      </c>
      <c r="J4" s="150">
        <f>Recyc_energy_use_Anna__SAME!J4</f>
        <v>0.76</v>
      </c>
      <c r="K4" s="123"/>
      <c r="L4" s="129"/>
      <c r="M4" s="130">
        <v>5.937</v>
      </c>
      <c r="N4" s="130">
        <v>5.845</v>
      </c>
      <c r="O4" s="130">
        <v>5.575</v>
      </c>
      <c r="P4" s="130">
        <v>5.276</v>
      </c>
      <c r="Q4" s="130">
        <v>5.363</v>
      </c>
      <c r="R4" s="130">
        <v>6.645</v>
      </c>
      <c r="S4" s="130">
        <v>5.654</v>
      </c>
      <c r="T4" s="130"/>
      <c r="U4" s="121" t="s">
        <v>530</v>
      </c>
      <c r="V4" s="125" t="s">
        <v>531</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533</v>
      </c>
      <c r="C5" s="126">
        <f>Recyc_energy_use_Anna__SAME!C5</f>
        <v>0.7701</v>
      </c>
      <c r="D5" s="150">
        <f>Recyc_energy_use_Anna__SAME!D5</f>
        <v>0.7457</v>
      </c>
      <c r="E5" s="150">
        <f>Recyc_energy_use_Anna__SAME!E5</f>
        <v>0.7115</v>
      </c>
      <c r="F5" s="150">
        <f>Recyc_energy_use_Anna__SAME!F5</f>
        <v>0.7021</v>
      </c>
      <c r="G5" s="150">
        <f>Recyc_energy_use_Anna__SAME!G5</f>
        <v>0.6948</v>
      </c>
      <c r="H5" s="150">
        <f>Recyc_energy_use_Anna__SAME!H5</f>
        <v>0.7338</v>
      </c>
      <c r="I5" s="150">
        <f>Recyc_energy_use_Anna__SAME!I5</f>
        <v>0.7021</v>
      </c>
      <c r="J5" s="150">
        <f>Recyc_energy_use_Anna__SAME!J5</f>
        <v>0.7021</v>
      </c>
      <c r="K5" s="123"/>
      <c r="L5" s="123"/>
      <c r="M5" s="131">
        <v>5.937</v>
      </c>
      <c r="N5" s="131">
        <v>5.845</v>
      </c>
      <c r="O5" s="131">
        <v>5.575</v>
      </c>
      <c r="P5" s="131">
        <v>5.276</v>
      </c>
      <c r="Q5" s="131">
        <v>5.363</v>
      </c>
      <c r="R5" s="131">
        <v>6.645</v>
      </c>
      <c r="S5" s="131">
        <v>5.654</v>
      </c>
      <c r="T5" s="131"/>
      <c r="U5" s="121"/>
      <c r="V5" s="125" t="s">
        <v>533</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535</v>
      </c>
      <c r="C6" s="126">
        <f>Recyc_energy_use_Anna__SAME!C6</f>
        <v>0.1986</v>
      </c>
      <c r="D6" s="150">
        <f>Recyc_energy_use_Anna__SAME!D6</f>
        <v>0.1717</v>
      </c>
      <c r="E6" s="150">
        <f>Recyc_energy_use_Anna__SAME!E6</f>
        <v>0.1611</v>
      </c>
      <c r="F6" s="150">
        <f>Recyc_energy_use_Anna__SAME!F6</f>
        <v>0.1579</v>
      </c>
      <c r="G6" s="150">
        <f>Recyc_energy_use_Anna__SAME!G6</f>
        <v>0.1521</v>
      </c>
      <c r="H6" s="150">
        <f>Recyc_energy_use_Anna__SAME!H6</f>
        <v>0.1588</v>
      </c>
      <c r="I6" s="150">
        <f>Recyc_energy_use_Anna__SAME!I6</f>
        <v>0.1579</v>
      </c>
      <c r="J6" s="150">
        <f>Recyc_energy_use_Anna__SAME!J6</f>
        <v>0.1579</v>
      </c>
      <c r="K6" s="123"/>
      <c r="L6" s="123"/>
      <c r="M6" s="131">
        <v>5.937</v>
      </c>
      <c r="N6" s="131">
        <v>5.845</v>
      </c>
      <c r="O6" s="131">
        <v>5.575</v>
      </c>
      <c r="P6" s="131">
        <v>5.276</v>
      </c>
      <c r="Q6" s="131">
        <v>5.363</v>
      </c>
      <c r="R6" s="131">
        <v>6.645</v>
      </c>
      <c r="S6" s="131">
        <v>5.654</v>
      </c>
      <c r="T6" s="131"/>
      <c r="U6" s="121"/>
      <c r="V6" s="125" t="s">
        <v>535</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537</v>
      </c>
      <c r="C7" s="126">
        <f>Recyc_energy_use_Anna__SAME!C7</f>
        <v>0.487</v>
      </c>
      <c r="D7" s="150">
        <f>Recyc_energy_use_Anna__SAME!D7</f>
        <v>0.4967</v>
      </c>
      <c r="E7" s="150">
        <f>Recyc_energy_use_Anna__SAME!E7</f>
        <v>0.4758</v>
      </c>
      <c r="F7" s="150">
        <f>Recyc_energy_use_Anna__SAME!F7</f>
        <v>0.4705</v>
      </c>
      <c r="G7" s="150">
        <f>Recyc_energy_use_Anna__SAME!G7</f>
        <v>0.4665</v>
      </c>
      <c r="H7" s="150">
        <f>Recyc_energy_use_Anna__SAME!H7</f>
        <v>0.496</v>
      </c>
      <c r="I7" s="150">
        <f>Recyc_energy_use_Anna__SAME!I7</f>
        <v>0.4705</v>
      </c>
      <c r="J7" s="150">
        <f>Recyc_energy_use_Anna__SAME!J7</f>
        <v>0.4705</v>
      </c>
      <c r="K7" s="123"/>
      <c r="L7" s="123"/>
      <c r="M7" s="131">
        <v>5.937</v>
      </c>
      <c r="N7" s="131">
        <v>5.845</v>
      </c>
      <c r="O7" s="131">
        <v>5.575</v>
      </c>
      <c r="P7" s="131">
        <v>5.276</v>
      </c>
      <c r="Q7" s="131">
        <v>5.363</v>
      </c>
      <c r="R7" s="131">
        <v>6.645</v>
      </c>
      <c r="S7" s="131">
        <v>5.654</v>
      </c>
      <c r="T7" s="131"/>
      <c r="U7" s="121"/>
      <c r="V7" s="125" t="s">
        <v>537</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538</v>
      </c>
      <c r="C8" s="126">
        <f>Recyc_energy_use_Anna__SAME!C8</f>
        <v>0.0845</v>
      </c>
      <c r="D8" s="150">
        <f>Recyc_energy_use_Anna__SAME!D8</f>
        <v>0.0773</v>
      </c>
      <c r="E8" s="150">
        <f>Recyc_energy_use_Anna__SAME!E8</f>
        <v>0.0745</v>
      </c>
      <c r="F8" s="150">
        <f>Recyc_energy_use_Anna__SAME!F8</f>
        <v>0.0736</v>
      </c>
      <c r="G8" s="150">
        <f>Recyc_energy_use_Anna__SAME!G8</f>
        <v>0.0761</v>
      </c>
      <c r="H8" s="150">
        <f>Recyc_energy_use_Anna__SAME!H8</f>
        <v>0.0789</v>
      </c>
      <c r="I8" s="150">
        <f>Recyc_energy_use_Anna__SAME!I8</f>
        <v>0.0736</v>
      </c>
      <c r="J8" s="150">
        <f>Recyc_energy_use_Anna__SAME!J8</f>
        <v>0.0736</v>
      </c>
      <c r="K8" s="123"/>
      <c r="L8" s="123"/>
      <c r="M8" s="131">
        <v>5.937</v>
      </c>
      <c r="N8" s="131">
        <v>5.845</v>
      </c>
      <c r="O8" s="131">
        <v>5.575</v>
      </c>
      <c r="P8" s="131">
        <v>5.276</v>
      </c>
      <c r="Q8" s="131">
        <v>5.363</v>
      </c>
      <c r="R8" s="131">
        <v>6.645</v>
      </c>
      <c r="S8" s="131">
        <v>5.654</v>
      </c>
      <c r="T8" s="131"/>
      <c r="U8" s="121"/>
      <c r="V8" s="125" t="s">
        <v>538</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391</v>
      </c>
      <c r="B9" s="125" t="s">
        <v>531</v>
      </c>
      <c r="C9" s="126">
        <f>Recyc_energy_use_Anna__SAME!C9</f>
        <v>0.855</v>
      </c>
      <c r="D9" s="150">
        <f>Recyc_energy_use_Anna__SAME!D9</f>
        <v>0.8241</v>
      </c>
      <c r="E9" s="150">
        <f>Recyc_energy_use_Anna__SAME!E9</f>
        <v>0.7857</v>
      </c>
      <c r="F9" s="150">
        <f>Recyc_energy_use_Anna__SAME!F9</f>
        <v>0.775</v>
      </c>
      <c r="G9" s="150">
        <f>Recyc_energy_use_Anna__SAME!G9</f>
        <v>0.7702</v>
      </c>
      <c r="H9" s="150">
        <f>Recyc_energy_use_Anna__SAME!H9</f>
        <v>0.8116</v>
      </c>
      <c r="I9" s="150">
        <f>Recyc_energy_use_Anna__SAME!I9</f>
        <v>0.775</v>
      </c>
      <c r="J9" s="150">
        <f>Recyc_energy_use_Anna__SAME!J9</f>
        <v>0.775</v>
      </c>
      <c r="K9" s="123"/>
      <c r="L9" s="123"/>
      <c r="M9" s="131">
        <v>5.937</v>
      </c>
      <c r="N9" s="131">
        <v>5.845</v>
      </c>
      <c r="O9" s="131">
        <v>5.575</v>
      </c>
      <c r="P9" s="131">
        <v>5.276</v>
      </c>
      <c r="Q9" s="131">
        <v>5.363</v>
      </c>
      <c r="R9" s="131">
        <v>6.645</v>
      </c>
      <c r="S9" s="131">
        <v>5.654</v>
      </c>
      <c r="T9" s="131"/>
      <c r="U9" s="121" t="s">
        <v>391</v>
      </c>
      <c r="V9" s="125" t="s">
        <v>531</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533</v>
      </c>
      <c r="C10" s="126">
        <f>Recyc_energy_use_Anna__SAME!C10</f>
        <v>0.7888</v>
      </c>
      <c r="D10" s="150">
        <f>Recyc_energy_use_Anna__SAME!D10</f>
        <v>0.7626</v>
      </c>
      <c r="E10" s="150">
        <f>Recyc_energy_use_Anna__SAME!E10</f>
        <v>0.7275</v>
      </c>
      <c r="F10" s="150">
        <f>Recyc_energy_use_Anna__SAME!F10</f>
        <v>0.7179</v>
      </c>
      <c r="G10" s="150">
        <f>Recyc_energy_use_Anna__SAME!G10</f>
        <v>0.7107</v>
      </c>
      <c r="H10" s="150">
        <f>Recyc_energy_use_Anna__SAME!H10</f>
        <v>0.7503</v>
      </c>
      <c r="I10" s="150">
        <f>Recyc_energy_use_Anna__SAME!I10</f>
        <v>0.7179</v>
      </c>
      <c r="J10" s="150">
        <f>Recyc_energy_use_Anna__SAME!J10</f>
        <v>0.7179</v>
      </c>
      <c r="K10" s="123"/>
      <c r="L10" s="123"/>
      <c r="M10" s="131">
        <v>5.937</v>
      </c>
      <c r="N10" s="131">
        <v>5.845</v>
      </c>
      <c r="O10" s="131">
        <v>5.575</v>
      </c>
      <c r="P10" s="131">
        <v>5.276</v>
      </c>
      <c r="Q10" s="131">
        <v>5.363</v>
      </c>
      <c r="R10" s="131">
        <v>6.645</v>
      </c>
      <c r="S10" s="131">
        <v>5.654</v>
      </c>
      <c r="T10" s="131"/>
      <c r="U10" s="121"/>
      <c r="V10" s="125" t="s">
        <v>533</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535</v>
      </c>
      <c r="C11" s="126">
        <f>Recyc_energy_use_Anna__SAME!C11</f>
        <v>0.2381</v>
      </c>
      <c r="D11" s="150">
        <f>Recyc_energy_use_Anna__SAME!D11</f>
        <v>0.2075</v>
      </c>
      <c r="E11" s="150">
        <f>Recyc_energy_use_Anna__SAME!E11</f>
        <v>0.1951</v>
      </c>
      <c r="F11" s="150">
        <f>Recyc_energy_use_Anna__SAME!F11</f>
        <v>0.1916</v>
      </c>
      <c r="G11" s="150">
        <f>Recyc_energy_use_Anna__SAME!G11</f>
        <v>0.186</v>
      </c>
      <c r="H11" s="150">
        <f>Recyc_energy_use_Anna__SAME!H11</f>
        <v>0.1938</v>
      </c>
      <c r="I11" s="150">
        <f>Recyc_energy_use_Anna__SAME!I11</f>
        <v>0.1916</v>
      </c>
      <c r="J11" s="150">
        <f>Recyc_energy_use_Anna__SAME!J11</f>
        <v>0.1916</v>
      </c>
      <c r="K11" s="123"/>
      <c r="L11" s="123"/>
      <c r="M11" s="131">
        <v>5.937</v>
      </c>
      <c r="N11" s="131">
        <v>5.845</v>
      </c>
      <c r="O11" s="131">
        <v>5.575</v>
      </c>
      <c r="P11" s="131">
        <v>5.276</v>
      </c>
      <c r="Q11" s="131">
        <v>5.363</v>
      </c>
      <c r="R11" s="131">
        <v>6.645</v>
      </c>
      <c r="S11" s="131">
        <v>5.654</v>
      </c>
      <c r="T11" s="131"/>
      <c r="U11" s="121"/>
      <c r="V11" s="125" t="s">
        <v>535</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537</v>
      </c>
      <c r="C12" s="126">
        <f>Recyc_energy_use_Anna__SAME!C12</f>
        <v>0.4629</v>
      </c>
      <c r="D12" s="150">
        <f>Recyc_energy_use_Anna__SAME!D12</f>
        <v>0.4749</v>
      </c>
      <c r="E12" s="150">
        <f>Recyc_energy_use_Anna__SAME!E12</f>
        <v>0.4551</v>
      </c>
      <c r="F12" s="150">
        <f>Recyc_energy_use_Anna__SAME!F12</f>
        <v>0.45</v>
      </c>
      <c r="G12" s="150">
        <f>Recyc_energy_use_Anna__SAME!G12</f>
        <v>0.4459</v>
      </c>
      <c r="H12" s="150">
        <f>Recyc_energy_use_Anna__SAME!H12</f>
        <v>0.4747</v>
      </c>
      <c r="I12" s="150">
        <f>Recyc_energy_use_Anna__SAME!I12</f>
        <v>0.45</v>
      </c>
      <c r="J12" s="150">
        <f>Recyc_energy_use_Anna__SAME!J12</f>
        <v>0.45</v>
      </c>
      <c r="K12" s="123"/>
      <c r="L12" s="123"/>
      <c r="M12" s="131">
        <v>5.937</v>
      </c>
      <c r="N12" s="131">
        <v>5.845</v>
      </c>
      <c r="O12" s="131">
        <v>5.575</v>
      </c>
      <c r="P12" s="131">
        <v>5.276</v>
      </c>
      <c r="Q12" s="131">
        <v>5.363</v>
      </c>
      <c r="R12" s="131">
        <v>6.645</v>
      </c>
      <c r="S12" s="131">
        <v>5.654</v>
      </c>
      <c r="T12" s="131"/>
      <c r="U12" s="121"/>
      <c r="V12" s="125" t="s">
        <v>537</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538</v>
      </c>
      <c r="C13" s="126">
        <f>Recyc_energy_use_Anna__SAME!C13</f>
        <v>0.0877</v>
      </c>
      <c r="D13" s="150">
        <f>Recyc_energy_use_Anna__SAME!D13</f>
        <v>0.0802</v>
      </c>
      <c r="E13" s="150">
        <f>Recyc_energy_use_Anna__SAME!E13</f>
        <v>0.0772</v>
      </c>
      <c r="F13" s="150">
        <f>Recyc_energy_use_Anna__SAME!F13</f>
        <v>0.0763</v>
      </c>
      <c r="G13" s="150">
        <f>Recyc_energy_use_Anna__SAME!G13</f>
        <v>0.0789</v>
      </c>
      <c r="H13" s="150">
        <f>Recyc_energy_use_Anna__SAME!H13</f>
        <v>0.0817</v>
      </c>
      <c r="I13" s="150">
        <f>Recyc_energy_use_Anna__SAME!I13</f>
        <v>0.0763</v>
      </c>
      <c r="J13" s="150">
        <f>Recyc_energy_use_Anna__SAME!J13</f>
        <v>0.0763</v>
      </c>
      <c r="K13" s="123"/>
      <c r="L13" s="123"/>
      <c r="M13" s="131">
        <v>5.937</v>
      </c>
      <c r="N13" s="131">
        <v>5.845</v>
      </c>
      <c r="O13" s="131">
        <v>5.575</v>
      </c>
      <c r="P13" s="131">
        <v>5.276</v>
      </c>
      <c r="Q13" s="131">
        <v>5.363</v>
      </c>
      <c r="R13" s="131">
        <v>6.645</v>
      </c>
      <c r="S13" s="131">
        <v>5.654</v>
      </c>
      <c r="T13" s="131"/>
      <c r="U13" s="121"/>
      <c r="V13" s="125" t="s">
        <v>538</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401</v>
      </c>
      <c r="B14" s="125" t="s">
        <v>531</v>
      </c>
      <c r="C14" s="126">
        <f>Recyc_energy_use_Anna__SAME!C14</f>
        <v>0.8705</v>
      </c>
      <c r="D14" s="150">
        <f>Recyc_energy_use_Anna__SAME!D14</f>
        <v>0.8381</v>
      </c>
      <c r="E14" s="150">
        <f>Recyc_energy_use_Anna__SAME!E14</f>
        <v>0.799</v>
      </c>
      <c r="F14" s="150">
        <f>Recyc_energy_use_Anna__SAME!F14</f>
        <v>0.7882</v>
      </c>
      <c r="G14" s="150">
        <f>Recyc_energy_use_Anna__SAME!G14</f>
        <v>0.7835</v>
      </c>
      <c r="H14" s="150">
        <f>Recyc_energy_use_Anna__SAME!H14</f>
        <v>0.8253</v>
      </c>
      <c r="I14" s="150">
        <f>Recyc_energy_use_Anna__SAME!I14</f>
        <v>0.7882</v>
      </c>
      <c r="J14" s="150">
        <f>Recyc_energy_use_Anna__SAME!J14</f>
        <v>0.7882</v>
      </c>
      <c r="K14" s="123"/>
      <c r="L14" s="123"/>
      <c r="M14" s="131">
        <v>5.937</v>
      </c>
      <c r="N14" s="131">
        <v>5.845</v>
      </c>
      <c r="O14" s="131">
        <v>5.575</v>
      </c>
      <c r="P14" s="131">
        <v>5.276</v>
      </c>
      <c r="Q14" s="131">
        <v>5.363</v>
      </c>
      <c r="R14" s="131">
        <v>6.645</v>
      </c>
      <c r="S14" s="131">
        <v>5.654</v>
      </c>
      <c r="T14" s="131"/>
      <c r="U14" s="121" t="s">
        <v>401</v>
      </c>
      <c r="V14" s="125" t="s">
        <v>531</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533</v>
      </c>
      <c r="C15" s="126">
        <f>Recyc_energy_use_Anna__SAME!C15</f>
        <v>0.8012</v>
      </c>
      <c r="D15" s="150">
        <f>Recyc_energy_use_Anna__SAME!D15</f>
        <v>0.7738</v>
      </c>
      <c r="E15" s="150">
        <f>Recyc_energy_use_Anna__SAME!E15</f>
        <v>0.7382</v>
      </c>
      <c r="F15" s="150">
        <f>Recyc_energy_use_Anna__SAME!F15</f>
        <v>0.7285</v>
      </c>
      <c r="G15" s="150">
        <f>Recyc_energy_use_Anna__SAME!G15</f>
        <v>0.7214</v>
      </c>
      <c r="H15" s="150">
        <f>Recyc_energy_use_Anna__SAME!H15</f>
        <v>0.7613</v>
      </c>
      <c r="I15" s="150">
        <f>Recyc_energy_use_Anna__SAME!I15</f>
        <v>0.7285</v>
      </c>
      <c r="J15" s="150">
        <f>Recyc_energy_use_Anna__SAME!J15</f>
        <v>0.7285</v>
      </c>
      <c r="K15" s="123"/>
      <c r="L15" s="123"/>
      <c r="M15" s="131">
        <v>5.937</v>
      </c>
      <c r="N15" s="131">
        <v>5.845</v>
      </c>
      <c r="O15" s="131">
        <v>5.575</v>
      </c>
      <c r="P15" s="131">
        <v>5.276</v>
      </c>
      <c r="Q15" s="131">
        <v>5.363</v>
      </c>
      <c r="R15" s="131">
        <v>6.645</v>
      </c>
      <c r="S15" s="131">
        <v>5.654</v>
      </c>
      <c r="T15" s="131"/>
      <c r="U15" s="121"/>
      <c r="V15" s="125" t="s">
        <v>533</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535</v>
      </c>
      <c r="C16" s="126">
        <f>Recyc_energy_use_Anna__SAME!C16</f>
        <v>0.3021</v>
      </c>
      <c r="D16" s="150">
        <f>Recyc_energy_use_Anna__SAME!D16</f>
        <v>0.2654</v>
      </c>
      <c r="E16" s="150">
        <f>Recyc_energy_use_Anna__SAME!E16</f>
        <v>0.2502</v>
      </c>
      <c r="F16" s="150">
        <f>Recyc_energy_use_Anna__SAME!F16</f>
        <v>0.246</v>
      </c>
      <c r="G16" s="150">
        <f>Recyc_energy_use_Anna__SAME!G16</f>
        <v>0.2408</v>
      </c>
      <c r="H16" s="150">
        <f>Recyc_energy_use_Anna__SAME!H16</f>
        <v>0.2506</v>
      </c>
      <c r="I16" s="150">
        <f>Recyc_energy_use_Anna__SAME!I16</f>
        <v>0.246</v>
      </c>
      <c r="J16" s="150">
        <f>Recyc_energy_use_Anna__SAME!J16</f>
        <v>0.246</v>
      </c>
      <c r="K16" s="123"/>
      <c r="L16" s="123"/>
      <c r="M16" s="131">
        <v>5.937</v>
      </c>
      <c r="N16" s="131">
        <v>5.845</v>
      </c>
      <c r="O16" s="131">
        <v>5.575</v>
      </c>
      <c r="P16" s="131">
        <v>5.276</v>
      </c>
      <c r="Q16" s="131">
        <v>5.363</v>
      </c>
      <c r="R16" s="131">
        <v>6.645</v>
      </c>
      <c r="S16" s="131">
        <v>5.654</v>
      </c>
      <c r="T16" s="131"/>
      <c r="U16" s="121"/>
      <c r="V16" s="125" t="s">
        <v>535</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537</v>
      </c>
      <c r="C17" s="126">
        <f>Recyc_energy_use_Anna__SAME!C17</f>
        <v>0.4137</v>
      </c>
      <c r="D17" s="150">
        <f>Recyc_energy_use_Anna__SAME!D17</f>
        <v>0.4304</v>
      </c>
      <c r="E17" s="150">
        <f>Recyc_energy_use_Anna__SAME!E17</f>
        <v>0.4127</v>
      </c>
      <c r="F17" s="150">
        <f>Recyc_energy_use_Anna__SAME!F17</f>
        <v>0.4081</v>
      </c>
      <c r="G17" s="150">
        <f>Recyc_energy_use_Anna__SAME!G17</f>
        <v>0.4037</v>
      </c>
      <c r="H17" s="150">
        <f>Recyc_energy_use_Anna__SAME!H17</f>
        <v>0.4311</v>
      </c>
      <c r="I17" s="150">
        <f>Recyc_energy_use_Anna__SAME!I17</f>
        <v>0.4081</v>
      </c>
      <c r="J17" s="150">
        <f>Recyc_energy_use_Anna__SAME!J17</f>
        <v>0.4081</v>
      </c>
      <c r="K17" s="123"/>
      <c r="L17" s="123"/>
      <c r="M17" s="131">
        <v>5.937</v>
      </c>
      <c r="N17" s="131">
        <v>5.845</v>
      </c>
      <c r="O17" s="131">
        <v>5.575</v>
      </c>
      <c r="P17" s="131">
        <v>5.276</v>
      </c>
      <c r="Q17" s="131">
        <v>5.363</v>
      </c>
      <c r="R17" s="131">
        <v>6.645</v>
      </c>
      <c r="S17" s="131">
        <v>5.654</v>
      </c>
      <c r="T17" s="131"/>
      <c r="U17" s="121"/>
      <c r="V17" s="125" t="s">
        <v>537</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538</v>
      </c>
      <c r="C18" s="126">
        <f>Recyc_energy_use_Anna__SAME!C18</f>
        <v>0.0853</v>
      </c>
      <c r="D18" s="150">
        <f>Recyc_energy_use_Anna__SAME!D18</f>
        <v>0.0781</v>
      </c>
      <c r="E18" s="150">
        <f>Recyc_energy_use_Anna__SAME!E18</f>
        <v>0.0752</v>
      </c>
      <c r="F18" s="150">
        <f>Recyc_energy_use_Anna__SAME!F18</f>
        <v>0.0743</v>
      </c>
      <c r="G18" s="150">
        <f>Recyc_energy_use_Anna__SAME!G18</f>
        <v>0.0768</v>
      </c>
      <c r="H18" s="150">
        <f>Recyc_energy_use_Anna__SAME!H18</f>
        <v>0.0797</v>
      </c>
      <c r="I18" s="150">
        <f>Recyc_energy_use_Anna__SAME!I18</f>
        <v>0.0743</v>
      </c>
      <c r="J18" s="150">
        <f>Recyc_energy_use_Anna__SAME!J18</f>
        <v>0.0743</v>
      </c>
      <c r="K18" s="123"/>
      <c r="L18" s="123"/>
      <c r="M18" s="131">
        <v>5.937</v>
      </c>
      <c r="N18" s="131">
        <v>5.845</v>
      </c>
      <c r="O18" s="131">
        <v>5.575</v>
      </c>
      <c r="P18" s="131">
        <v>5.276</v>
      </c>
      <c r="Q18" s="131">
        <v>5.363</v>
      </c>
      <c r="R18" s="131">
        <v>6.645</v>
      </c>
      <c r="S18" s="131">
        <v>5.654</v>
      </c>
      <c r="T18" s="131"/>
      <c r="U18" s="121"/>
      <c r="V18" s="125" t="s">
        <v>538</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563</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523</v>
      </c>
      <c r="B22" s="121" t="s">
        <v>526</v>
      </c>
      <c r="C22" s="121" t="s">
        <v>525</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527</v>
      </c>
      <c r="D23" s="123" t="s">
        <v>333</v>
      </c>
      <c r="E23" s="123" t="s">
        <v>334</v>
      </c>
      <c r="F23" s="124" t="s">
        <v>335</v>
      </c>
      <c r="G23" s="123" t="s">
        <v>336</v>
      </c>
      <c r="H23" s="123" t="s">
        <v>241</v>
      </c>
      <c r="I23" s="123" t="s">
        <v>528</v>
      </c>
      <c r="J23" s="123" t="s">
        <v>529</v>
      </c>
      <c r="K23" s="123"/>
      <c r="L23" s="123"/>
      <c r="M23" s="123" t="s">
        <v>333</v>
      </c>
      <c r="N23" s="123" t="s">
        <v>334</v>
      </c>
      <c r="O23" s="123" t="s">
        <v>335</v>
      </c>
      <c r="P23" s="123" t="s">
        <v>336</v>
      </c>
      <c r="Q23" s="123" t="s">
        <v>241</v>
      </c>
      <c r="R23" s="123" t="s">
        <v>528</v>
      </c>
      <c r="S23" s="123" t="s">
        <v>529</v>
      </c>
      <c r="T23" s="123"/>
      <c r="U23" s="123"/>
      <c r="V23" s="132" t="s">
        <v>562</v>
      </c>
      <c r="W23" s="123" t="s">
        <v>333</v>
      </c>
      <c r="X23" s="123" t="s">
        <v>334</v>
      </c>
      <c r="Y23" s="124" t="s">
        <v>335</v>
      </c>
      <c r="Z23" s="123" t="s">
        <v>336</v>
      </c>
      <c r="AA23" s="123" t="s">
        <v>241</v>
      </c>
      <c r="AB23" s="135" t="s">
        <v>528</v>
      </c>
      <c r="AC23" s="135" t="s">
        <v>529</v>
      </c>
      <c r="AD23" s="123"/>
      <c r="AE23" s="123"/>
      <c r="AF23" s="123" t="s">
        <v>333</v>
      </c>
      <c r="AG23" s="123" t="s">
        <v>334</v>
      </c>
      <c r="AH23" s="124" t="s">
        <v>335</v>
      </c>
      <c r="AI23" s="123" t="s">
        <v>336</v>
      </c>
      <c r="AJ23" s="123" t="s">
        <v>241</v>
      </c>
      <c r="AK23" s="135" t="s">
        <v>528</v>
      </c>
      <c r="AL23" s="135" t="s">
        <v>529</v>
      </c>
      <c r="AM23" s="123"/>
      <c r="AN23" s="123"/>
      <c r="AO23" s="123" t="s">
        <v>333</v>
      </c>
      <c r="AP23" s="123" t="s">
        <v>334</v>
      </c>
      <c r="AQ23" s="124" t="s">
        <v>335</v>
      </c>
      <c r="AR23" s="123" t="s">
        <v>336</v>
      </c>
      <c r="AS23" s="123" t="s">
        <v>241</v>
      </c>
      <c r="AT23" s="135" t="s">
        <v>528</v>
      </c>
      <c r="AU23" s="135" t="s">
        <v>529</v>
      </c>
    </row>
    <row r="24" ht="15.5" customHeight="1" spans="1:47">
      <c r="A24" s="121" t="s">
        <v>530</v>
      </c>
      <c r="B24" s="125" t="s">
        <v>531</v>
      </c>
      <c r="C24" s="126">
        <f>Recyc_energy_use_Anna__SAME!C24</f>
        <v>0.8898</v>
      </c>
      <c r="D24" s="150">
        <f>Recyc_energy_use_Anna__SAME!D24</f>
        <v>0.8432</v>
      </c>
      <c r="E24" s="150">
        <f>Recyc_energy_use_Anna__SAME!E24</f>
        <v>0.8038</v>
      </c>
      <c r="F24" s="150">
        <f>Recyc_energy_use_Anna__SAME!F24</f>
        <v>0.7946</v>
      </c>
      <c r="G24" s="150">
        <f>Recyc_energy_use_Anna__SAME!G24</f>
        <v>0.7665</v>
      </c>
      <c r="H24" s="150">
        <f>Recyc_energy_use_Anna__SAME!H24</f>
        <v>0.8066</v>
      </c>
      <c r="I24" s="150">
        <f>Recyc_energy_use_Anna__SAME!I24</f>
        <v>0.7946</v>
      </c>
      <c r="J24" s="150">
        <f>Recyc_energy_use_Anna__SAME!J24</f>
        <v>0.7946</v>
      </c>
      <c r="K24" s="123"/>
      <c r="L24" s="123"/>
      <c r="M24" s="130">
        <v>5.937</v>
      </c>
      <c r="N24" s="130">
        <v>5.845</v>
      </c>
      <c r="O24" s="130">
        <v>5.575</v>
      </c>
      <c r="P24" s="130">
        <v>5.276</v>
      </c>
      <c r="Q24" s="130">
        <v>5.363</v>
      </c>
      <c r="R24" s="130">
        <v>6.645</v>
      </c>
      <c r="S24" s="130">
        <v>5.654</v>
      </c>
      <c r="T24" s="130"/>
      <c r="U24" s="121" t="s">
        <v>530</v>
      </c>
      <c r="V24" s="125" t="s">
        <v>531</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533</v>
      </c>
      <c r="C25" s="126">
        <f>Recyc_energy_use_Anna__SAME!C25</f>
        <v>0.8124</v>
      </c>
      <c r="D25" s="150">
        <f>Recyc_energy_use_Anna__SAME!D25</f>
        <v>0.7746</v>
      </c>
      <c r="E25" s="150">
        <f>Recyc_energy_use_Anna__SAME!E25</f>
        <v>0.739</v>
      </c>
      <c r="F25" s="150">
        <f>Recyc_energy_use_Anna__SAME!F25</f>
        <v>0.7307</v>
      </c>
      <c r="G25" s="150">
        <f>Recyc_energy_use_Anna__SAME!G25</f>
        <v>0.7045</v>
      </c>
      <c r="H25" s="150">
        <f>Recyc_energy_use_Anna__SAME!H25</f>
        <v>0.7424</v>
      </c>
      <c r="I25" s="150">
        <f>Recyc_energy_use_Anna__SAME!I25</f>
        <v>0.7307</v>
      </c>
      <c r="J25" s="150">
        <f>Recyc_energy_use_Anna__SAME!J25</f>
        <v>0.7307</v>
      </c>
      <c r="K25" s="123"/>
      <c r="L25" s="123"/>
      <c r="M25" s="131">
        <v>5.937</v>
      </c>
      <c r="N25" s="131">
        <v>5.845</v>
      </c>
      <c r="O25" s="131">
        <v>5.575</v>
      </c>
      <c r="P25" s="131">
        <v>5.276</v>
      </c>
      <c r="Q25" s="131">
        <v>5.363</v>
      </c>
      <c r="R25" s="131">
        <v>6.645</v>
      </c>
      <c r="S25" s="131">
        <v>5.654</v>
      </c>
      <c r="T25" s="131"/>
      <c r="U25" s="121"/>
      <c r="V25" s="125" t="s">
        <v>533</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535</v>
      </c>
      <c r="C26" s="126">
        <f>Recyc_energy_use_Anna__SAME!C26</f>
        <v>0.1699</v>
      </c>
      <c r="D26" s="150">
        <f>Recyc_energy_use_Anna__SAME!D26</f>
        <v>0.1497</v>
      </c>
      <c r="E26" s="150">
        <f>Recyc_energy_use_Anna__SAME!E26</f>
        <v>0.1418</v>
      </c>
      <c r="F26" s="150">
        <f>Recyc_energy_use_Anna__SAME!F26</f>
        <v>0.1399</v>
      </c>
      <c r="G26" s="150">
        <f>Recyc_energy_use_Anna__SAME!G26</f>
        <v>0.1359</v>
      </c>
      <c r="H26" s="150">
        <f>Recyc_energy_use_Anna__SAME!H26</f>
        <v>0.1408</v>
      </c>
      <c r="I26" s="150">
        <f>Recyc_energy_use_Anna__SAME!I26</f>
        <v>0.1399</v>
      </c>
      <c r="J26" s="150">
        <f>Recyc_energy_use_Anna__SAME!J26</f>
        <v>0.1399</v>
      </c>
      <c r="K26" s="123"/>
      <c r="L26" s="123"/>
      <c r="M26" s="131">
        <v>5.937</v>
      </c>
      <c r="N26" s="131">
        <v>5.845</v>
      </c>
      <c r="O26" s="131">
        <v>5.575</v>
      </c>
      <c r="P26" s="131">
        <v>5.276</v>
      </c>
      <c r="Q26" s="131">
        <v>5.363</v>
      </c>
      <c r="R26" s="131">
        <v>6.645</v>
      </c>
      <c r="S26" s="131">
        <v>5.654</v>
      </c>
      <c r="T26" s="131"/>
      <c r="U26" s="121"/>
      <c r="V26" s="125" t="s">
        <v>535</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537</v>
      </c>
      <c r="C27" s="126">
        <f>Recyc_energy_use_Anna__SAME!C27</f>
        <v>0.5978</v>
      </c>
      <c r="D27" s="150">
        <f>Recyc_energy_use_Anna__SAME!D27</f>
        <v>0.5807</v>
      </c>
      <c r="E27" s="150">
        <f>Recyc_energy_use_Anna__SAME!E27</f>
        <v>0.554</v>
      </c>
      <c r="F27" s="150">
        <f>Recyc_energy_use_Anna__SAME!F27</f>
        <v>0.5478</v>
      </c>
      <c r="G27" s="150">
        <f>Recyc_energy_use_Anna__SAME!G27</f>
        <v>0.526</v>
      </c>
      <c r="H27" s="150">
        <f>Recyc_energy_use_Anna__SAME!H27</f>
        <v>0.5575</v>
      </c>
      <c r="I27" s="150">
        <f>Recyc_energy_use_Anna__SAME!I27</f>
        <v>0.5478</v>
      </c>
      <c r="J27" s="150">
        <f>Recyc_energy_use_Anna__SAME!J27</f>
        <v>0.5478</v>
      </c>
      <c r="K27" s="123"/>
      <c r="L27" s="123"/>
      <c r="M27" s="131">
        <v>5.937</v>
      </c>
      <c r="N27" s="131">
        <v>5.845</v>
      </c>
      <c r="O27" s="131">
        <v>5.575</v>
      </c>
      <c r="P27" s="131">
        <v>5.276</v>
      </c>
      <c r="Q27" s="131">
        <v>5.363</v>
      </c>
      <c r="R27" s="131">
        <v>6.645</v>
      </c>
      <c r="S27" s="131">
        <v>5.654</v>
      </c>
      <c r="T27" s="131"/>
      <c r="U27" s="121"/>
      <c r="V27" s="125" t="s">
        <v>537</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538</v>
      </c>
      <c r="C28" s="126">
        <f>Recyc_energy_use_Anna__SAME!C28</f>
        <v>0.085</v>
      </c>
      <c r="D28" s="150">
        <f>Recyc_energy_use_Anna__SAME!D28</f>
        <v>0.0786</v>
      </c>
      <c r="E28" s="150">
        <f>Recyc_energy_use_Anna__SAME!E28</f>
        <v>0.0763</v>
      </c>
      <c r="F28" s="150">
        <f>Recyc_energy_use_Anna__SAME!F28</f>
        <v>0.0759</v>
      </c>
      <c r="G28" s="150">
        <f>Recyc_energy_use_Anna__SAME!G28</f>
        <v>0.0737</v>
      </c>
      <c r="H28" s="150">
        <f>Recyc_energy_use_Anna__SAME!H28</f>
        <v>0.076</v>
      </c>
      <c r="I28" s="150">
        <f>Recyc_energy_use_Anna__SAME!I28</f>
        <v>0.0759</v>
      </c>
      <c r="J28" s="150">
        <f>Recyc_energy_use_Anna__SAME!J28</f>
        <v>0.0759</v>
      </c>
      <c r="K28" s="123"/>
      <c r="L28" s="123"/>
      <c r="M28" s="131">
        <v>5.937</v>
      </c>
      <c r="N28" s="131">
        <v>5.845</v>
      </c>
      <c r="O28" s="131">
        <v>5.575</v>
      </c>
      <c r="P28" s="131">
        <v>5.276</v>
      </c>
      <c r="Q28" s="131">
        <v>5.363</v>
      </c>
      <c r="R28" s="131">
        <v>6.645</v>
      </c>
      <c r="S28" s="131">
        <v>5.654</v>
      </c>
      <c r="T28" s="131"/>
      <c r="U28" s="121"/>
      <c r="V28" s="125" t="s">
        <v>538</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391</v>
      </c>
      <c r="B29" s="125" t="s">
        <v>531</v>
      </c>
      <c r="C29" s="126">
        <f>Recyc_energy_use_Anna__SAME!C29</f>
        <v>0.9068</v>
      </c>
      <c r="D29" s="150">
        <f>Recyc_energy_use_Anna__SAME!D29</f>
        <v>0.8586</v>
      </c>
      <c r="E29" s="150">
        <f>Recyc_energy_use_Anna__SAME!E29</f>
        <v>0.8184</v>
      </c>
      <c r="F29" s="150">
        <f>Recyc_energy_use_Anna__SAME!F29</f>
        <v>0.8091</v>
      </c>
      <c r="G29" s="150">
        <f>Recyc_energy_use_Anna__SAME!G29</f>
        <v>0.7811</v>
      </c>
      <c r="H29" s="150">
        <f>Recyc_energy_use_Anna__SAME!H29</f>
        <v>0.8217</v>
      </c>
      <c r="I29" s="150">
        <f>Recyc_energy_use_Anna__SAME!I29</f>
        <v>0.8091</v>
      </c>
      <c r="J29" s="150">
        <f>Recyc_energy_use_Anna__SAME!J29</f>
        <v>0.8091</v>
      </c>
      <c r="K29" s="123"/>
      <c r="L29" s="123"/>
      <c r="M29" s="131">
        <v>5.937</v>
      </c>
      <c r="N29" s="131">
        <v>5.845</v>
      </c>
      <c r="O29" s="131">
        <v>5.575</v>
      </c>
      <c r="P29" s="131">
        <v>5.276</v>
      </c>
      <c r="Q29" s="131">
        <v>5.363</v>
      </c>
      <c r="R29" s="131">
        <v>6.645</v>
      </c>
      <c r="S29" s="131">
        <v>5.654</v>
      </c>
      <c r="T29" s="131"/>
      <c r="U29" s="121" t="s">
        <v>391</v>
      </c>
      <c r="V29" s="125" t="s">
        <v>531</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533</v>
      </c>
      <c r="C30" s="126">
        <f>Recyc_energy_use_Anna__SAME!C30</f>
        <v>0.8303</v>
      </c>
      <c r="D30" s="150">
        <f>Recyc_energy_use_Anna__SAME!D30</f>
        <v>0.7909</v>
      </c>
      <c r="E30" s="150">
        <f>Recyc_energy_use_Anna__SAME!E30</f>
        <v>0.7545</v>
      </c>
      <c r="F30" s="150">
        <f>Recyc_energy_use_Anna__SAME!F30</f>
        <v>0.746</v>
      </c>
      <c r="G30" s="150">
        <f>Recyc_energy_use_Anna__SAME!G30</f>
        <v>0.7199</v>
      </c>
      <c r="H30" s="150">
        <f>Recyc_energy_use_Anna__SAME!H30</f>
        <v>0.7584</v>
      </c>
      <c r="I30" s="150">
        <f>Recyc_energy_use_Anna__SAME!I30</f>
        <v>0.746</v>
      </c>
      <c r="J30" s="150">
        <f>Recyc_energy_use_Anna__SAME!J30</f>
        <v>0.746</v>
      </c>
      <c r="K30" s="123"/>
      <c r="L30" s="123"/>
      <c r="M30" s="131">
        <v>5.937</v>
      </c>
      <c r="N30" s="131">
        <v>5.845</v>
      </c>
      <c r="O30" s="131">
        <v>5.575</v>
      </c>
      <c r="P30" s="131">
        <v>5.276</v>
      </c>
      <c r="Q30" s="131">
        <v>5.363</v>
      </c>
      <c r="R30" s="131">
        <v>6.645</v>
      </c>
      <c r="S30" s="131">
        <v>5.654</v>
      </c>
      <c r="T30" s="131"/>
      <c r="U30" s="121"/>
      <c r="V30" s="125" t="s">
        <v>533</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535</v>
      </c>
      <c r="C31" s="126">
        <f>Recyc_energy_use_Anna__SAME!C31</f>
        <v>0.2079</v>
      </c>
      <c r="D31" s="150">
        <f>Recyc_energy_use_Anna__SAME!D31</f>
        <v>0.1842</v>
      </c>
      <c r="E31" s="150">
        <f>Recyc_energy_use_Anna__SAME!E31</f>
        <v>0.1746</v>
      </c>
      <c r="F31" s="150">
        <f>Recyc_energy_use_Anna__SAME!F31</f>
        <v>0.1724</v>
      </c>
      <c r="G31" s="150">
        <f>Recyc_energy_use_Anna__SAME!G31</f>
        <v>0.1687</v>
      </c>
      <c r="H31" s="150">
        <f>Recyc_energy_use_Anna__SAME!H31</f>
        <v>0.1747</v>
      </c>
      <c r="I31" s="150">
        <f>Recyc_energy_use_Anna__SAME!I31</f>
        <v>0.1724</v>
      </c>
      <c r="J31" s="150">
        <f>Recyc_energy_use_Anna__SAME!J31</f>
        <v>0.1724</v>
      </c>
      <c r="K31" s="123"/>
      <c r="L31" s="123"/>
      <c r="M31" s="131">
        <v>5.937</v>
      </c>
      <c r="N31" s="131">
        <v>5.845</v>
      </c>
      <c r="O31" s="131">
        <v>5.575</v>
      </c>
      <c r="P31" s="131">
        <v>5.276</v>
      </c>
      <c r="Q31" s="131">
        <v>5.363</v>
      </c>
      <c r="R31" s="131">
        <v>6.645</v>
      </c>
      <c r="S31" s="131">
        <v>5.654</v>
      </c>
      <c r="T31" s="131"/>
      <c r="U31" s="121"/>
      <c r="V31" s="125" t="s">
        <v>535</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537</v>
      </c>
      <c r="C32" s="126">
        <f>Recyc_energy_use_Anna__SAME!C32</f>
        <v>0.5747</v>
      </c>
      <c r="D32" s="150">
        <f>Recyc_energy_use_Anna__SAME!D32</f>
        <v>0.5597</v>
      </c>
      <c r="E32" s="150">
        <f>Recyc_energy_use_Anna__SAME!E32</f>
        <v>0.534</v>
      </c>
      <c r="F32" s="150">
        <f>Recyc_energy_use_Anna__SAME!F32</f>
        <v>0.528</v>
      </c>
      <c r="G32" s="150">
        <f>Recyc_energy_use_Anna__SAME!G32</f>
        <v>0.5061</v>
      </c>
      <c r="H32" s="150">
        <f>Recyc_energy_use_Anna__SAME!H32</f>
        <v>0.5369</v>
      </c>
      <c r="I32" s="150">
        <f>Recyc_energy_use_Anna__SAME!I32</f>
        <v>0.528</v>
      </c>
      <c r="J32" s="150">
        <f>Recyc_energy_use_Anna__SAME!J32</f>
        <v>0.528</v>
      </c>
      <c r="K32" s="123"/>
      <c r="L32" s="123"/>
      <c r="M32" s="131">
        <v>5.937</v>
      </c>
      <c r="N32" s="131">
        <v>5.845</v>
      </c>
      <c r="O32" s="131">
        <v>5.575</v>
      </c>
      <c r="P32" s="131">
        <v>5.276</v>
      </c>
      <c r="Q32" s="131">
        <v>5.363</v>
      </c>
      <c r="R32" s="131">
        <v>6.645</v>
      </c>
      <c r="S32" s="131">
        <v>5.654</v>
      </c>
      <c r="T32" s="131"/>
      <c r="U32" s="121"/>
      <c r="V32" s="125" t="s">
        <v>537</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538</v>
      </c>
      <c r="C33" s="126">
        <f>Recyc_energy_use_Anna__SAME!C33</f>
        <v>0.088</v>
      </c>
      <c r="D33" s="150">
        <f>Recyc_energy_use_Anna__SAME!D33</f>
        <v>0.0814</v>
      </c>
      <c r="E33" s="150">
        <f>Recyc_energy_use_Anna__SAME!E33</f>
        <v>0.079</v>
      </c>
      <c r="F33" s="150">
        <f>Recyc_energy_use_Anna__SAME!F33</f>
        <v>0.0785</v>
      </c>
      <c r="G33" s="150">
        <f>Recyc_energy_use_Anna__SAME!G33</f>
        <v>0.0764</v>
      </c>
      <c r="H33" s="150">
        <f>Recyc_energy_use_Anna__SAME!H33</f>
        <v>0.0787</v>
      </c>
      <c r="I33" s="150">
        <f>Recyc_energy_use_Anna__SAME!I33</f>
        <v>0.0785</v>
      </c>
      <c r="J33" s="150">
        <f>Recyc_energy_use_Anna__SAME!J33</f>
        <v>0.0785</v>
      </c>
      <c r="K33" s="123"/>
      <c r="L33" s="123"/>
      <c r="M33" s="131">
        <v>5.937</v>
      </c>
      <c r="N33" s="131">
        <v>5.845</v>
      </c>
      <c r="O33" s="131">
        <v>5.575</v>
      </c>
      <c r="P33" s="131">
        <v>5.276</v>
      </c>
      <c r="Q33" s="131">
        <v>5.363</v>
      </c>
      <c r="R33" s="131">
        <v>6.645</v>
      </c>
      <c r="S33" s="131">
        <v>5.654</v>
      </c>
      <c r="T33" s="131"/>
      <c r="U33" s="121"/>
      <c r="V33" s="125" t="s">
        <v>538</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401</v>
      </c>
      <c r="B34" s="125" t="s">
        <v>531</v>
      </c>
      <c r="C34" s="126">
        <f>Recyc_energy_use_Anna__SAME!C34</f>
        <v>0.9217</v>
      </c>
      <c r="D34" s="150">
        <f>Recyc_energy_use_Anna__SAME!D34</f>
        <v>0.8721</v>
      </c>
      <c r="E34" s="150">
        <f>Recyc_energy_use_Anna__SAME!E34</f>
        <v>0.8313</v>
      </c>
      <c r="F34" s="150">
        <f>Recyc_energy_use_Anna__SAME!F34</f>
        <v>0.8218</v>
      </c>
      <c r="G34" s="150">
        <f>Recyc_energy_use_Anna__SAME!G34</f>
        <v>0.794</v>
      </c>
      <c r="H34" s="150">
        <f>Recyc_energy_use_Anna__SAME!H34</f>
        <v>0.835</v>
      </c>
      <c r="I34" s="150">
        <f>Recyc_energy_use_Anna__SAME!I34</f>
        <v>0.8218</v>
      </c>
      <c r="J34" s="150">
        <f>Recyc_energy_use_Anna__SAME!J34</f>
        <v>0.8218</v>
      </c>
      <c r="K34" s="123"/>
      <c r="L34" s="123"/>
      <c r="M34" s="131">
        <v>5.937</v>
      </c>
      <c r="N34" s="131">
        <v>5.845</v>
      </c>
      <c r="O34" s="131">
        <v>5.575</v>
      </c>
      <c r="P34" s="131">
        <v>5.276</v>
      </c>
      <c r="Q34" s="131">
        <v>5.363</v>
      </c>
      <c r="R34" s="131">
        <v>6.645</v>
      </c>
      <c r="S34" s="131">
        <v>5.654</v>
      </c>
      <c r="T34" s="131"/>
      <c r="U34" s="121" t="s">
        <v>401</v>
      </c>
      <c r="V34" s="125" t="s">
        <v>531</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533</v>
      </c>
      <c r="C35" s="126">
        <f>Recyc_energy_use_Anna__SAME!C35</f>
        <v>0.8422</v>
      </c>
      <c r="D35" s="150">
        <f>Recyc_energy_use_Anna__SAME!D35</f>
        <v>0.8018</v>
      </c>
      <c r="E35" s="150">
        <f>Recyc_energy_use_Anna__SAME!E35</f>
        <v>0.7648</v>
      </c>
      <c r="F35" s="150">
        <f>Recyc_energy_use_Anna__SAME!F35</f>
        <v>0.7562</v>
      </c>
      <c r="G35" s="150">
        <f>Recyc_energy_use_Anna__SAME!G35</f>
        <v>0.7302</v>
      </c>
      <c r="H35" s="150">
        <f>Recyc_energy_use_Anna__SAME!H35</f>
        <v>0.7691</v>
      </c>
      <c r="I35" s="150">
        <f>Recyc_energy_use_Anna__SAME!I35</f>
        <v>0.7562</v>
      </c>
      <c r="J35" s="150">
        <f>Recyc_energy_use_Anna__SAME!J35</f>
        <v>0.7562</v>
      </c>
      <c r="K35" s="123"/>
      <c r="L35" s="123"/>
      <c r="M35" s="131">
        <v>5.937</v>
      </c>
      <c r="N35" s="131">
        <v>5.845</v>
      </c>
      <c r="O35" s="131">
        <v>5.575</v>
      </c>
      <c r="P35" s="131">
        <v>5.276</v>
      </c>
      <c r="Q35" s="131">
        <v>5.363</v>
      </c>
      <c r="R35" s="131">
        <v>6.645</v>
      </c>
      <c r="S35" s="131">
        <v>5.654</v>
      </c>
      <c r="T35" s="131"/>
      <c r="U35" s="121"/>
      <c r="V35" s="125" t="s">
        <v>533</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535</v>
      </c>
      <c r="C36" s="126">
        <f>Recyc_energy_use_Anna__SAME!C36</f>
        <v>0.2694</v>
      </c>
      <c r="D36" s="150">
        <f>Recyc_energy_use_Anna__SAME!D36</f>
        <v>0.2401</v>
      </c>
      <c r="E36" s="150">
        <f>Recyc_energy_use_Anna__SAME!E36</f>
        <v>0.2278</v>
      </c>
      <c r="F36" s="150">
        <f>Recyc_energy_use_Anna__SAME!F36</f>
        <v>0.2249</v>
      </c>
      <c r="G36" s="150">
        <f>Recyc_energy_use_Anna__SAME!G36</f>
        <v>0.2217</v>
      </c>
      <c r="H36" s="150">
        <f>Recyc_energy_use_Anna__SAME!H36</f>
        <v>0.2296</v>
      </c>
      <c r="I36" s="150">
        <f>Recyc_energy_use_Anna__SAME!I36</f>
        <v>0.2249</v>
      </c>
      <c r="J36" s="150">
        <f>Recyc_energy_use_Anna__SAME!J36</f>
        <v>0.2249</v>
      </c>
      <c r="K36" s="123"/>
      <c r="L36" s="123"/>
      <c r="M36" s="131">
        <v>5.937</v>
      </c>
      <c r="N36" s="131">
        <v>5.845</v>
      </c>
      <c r="O36" s="131">
        <v>5.575</v>
      </c>
      <c r="P36" s="131">
        <v>5.276</v>
      </c>
      <c r="Q36" s="131">
        <v>5.363</v>
      </c>
      <c r="R36" s="131">
        <v>6.645</v>
      </c>
      <c r="S36" s="131">
        <v>5.654</v>
      </c>
      <c r="T36" s="131"/>
      <c r="U36" s="121"/>
      <c r="V36" s="125" t="s">
        <v>535</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537</v>
      </c>
      <c r="C37" s="126">
        <f>Recyc_energy_use_Anna__SAME!C37</f>
        <v>0.5273</v>
      </c>
      <c r="D37" s="150">
        <f>Recyc_energy_use_Anna__SAME!D37</f>
        <v>0.5167</v>
      </c>
      <c r="E37" s="150">
        <f>Recyc_energy_use_Anna__SAME!E37</f>
        <v>0.4931</v>
      </c>
      <c r="F37" s="150">
        <f>Recyc_energy_use_Anna__SAME!F37</f>
        <v>0.4875</v>
      </c>
      <c r="G37" s="150">
        <f>Recyc_energy_use_Anna__SAME!G37</f>
        <v>0.4653</v>
      </c>
      <c r="H37" s="150">
        <f>Recyc_energy_use_Anna__SAME!H37</f>
        <v>0.4946</v>
      </c>
      <c r="I37" s="150">
        <f>Recyc_energy_use_Anna__SAME!I37</f>
        <v>0.4875</v>
      </c>
      <c r="J37" s="150">
        <f>Recyc_energy_use_Anna__SAME!J37</f>
        <v>0.4875</v>
      </c>
      <c r="K37" s="123"/>
      <c r="L37" s="123"/>
      <c r="M37" s="131">
        <v>5.937</v>
      </c>
      <c r="N37" s="131">
        <v>5.845</v>
      </c>
      <c r="O37" s="131">
        <v>5.575</v>
      </c>
      <c r="P37" s="131">
        <v>5.276</v>
      </c>
      <c r="Q37" s="131">
        <v>5.363</v>
      </c>
      <c r="R37" s="131">
        <v>6.645</v>
      </c>
      <c r="S37" s="131">
        <v>5.654</v>
      </c>
      <c r="T37" s="131"/>
      <c r="U37" s="121"/>
      <c r="V37" s="125" t="s">
        <v>537</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538</v>
      </c>
      <c r="C38" s="126">
        <f>Recyc_energy_use_Anna__SAME!C38</f>
        <v>0.0858</v>
      </c>
      <c r="D38" s="150">
        <f>Recyc_energy_use_Anna__SAME!D38</f>
        <v>0.0793</v>
      </c>
      <c r="E38" s="150">
        <f>Recyc_energy_use_Anna__SAME!E38</f>
        <v>0.0771</v>
      </c>
      <c r="F38" s="150">
        <f>Recyc_energy_use_Anna__SAME!F38</f>
        <v>0.0766</v>
      </c>
      <c r="G38" s="150">
        <f>Recyc_energy_use_Anna__SAME!G38</f>
        <v>0.0744</v>
      </c>
      <c r="H38" s="150">
        <f>Recyc_energy_use_Anna__SAME!H38</f>
        <v>0.0767</v>
      </c>
      <c r="I38" s="150">
        <f>Recyc_energy_use_Anna__SAME!I38</f>
        <v>0.0766</v>
      </c>
      <c r="J38" s="150">
        <f>Recyc_energy_use_Anna__SAME!J38</f>
        <v>0.0766</v>
      </c>
      <c r="K38" s="123"/>
      <c r="L38" s="123"/>
      <c r="M38" s="131">
        <v>5.937</v>
      </c>
      <c r="N38" s="131">
        <v>5.845</v>
      </c>
      <c r="O38" s="131">
        <v>5.575</v>
      </c>
      <c r="P38" s="131">
        <v>5.276</v>
      </c>
      <c r="Q38" s="131">
        <v>5.363</v>
      </c>
      <c r="R38" s="131">
        <v>6.645</v>
      </c>
      <c r="S38" s="131">
        <v>5.654</v>
      </c>
      <c r="T38" s="131"/>
      <c r="U38" s="121"/>
      <c r="V38" s="125" t="s">
        <v>538</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565</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523</v>
      </c>
      <c r="B42" s="121" t="s">
        <v>564</v>
      </c>
      <c r="C42" s="121" t="s">
        <v>525</v>
      </c>
      <c r="D42" s="121"/>
      <c r="E42" s="121"/>
      <c r="F42" s="121"/>
      <c r="G42" s="121"/>
      <c r="H42" s="121"/>
      <c r="I42" s="121"/>
      <c r="J42" s="121"/>
      <c r="K42" s="123"/>
      <c r="L42" s="123"/>
      <c r="M42" s="123"/>
      <c r="N42" s="123"/>
      <c r="O42" s="123"/>
      <c r="P42" s="123"/>
      <c r="Q42" s="123"/>
      <c r="R42" s="123"/>
      <c r="S42" s="123"/>
      <c r="T42" s="123"/>
    </row>
    <row r="43" ht="30" spans="1:47">
      <c r="A43" s="121"/>
      <c r="B43" s="121"/>
      <c r="C43" s="122" t="s">
        <v>527</v>
      </c>
      <c r="D43" s="123" t="s">
        <v>333</v>
      </c>
      <c r="E43" s="123" t="s">
        <v>334</v>
      </c>
      <c r="F43" s="124" t="s">
        <v>335</v>
      </c>
      <c r="G43" s="123" t="s">
        <v>336</v>
      </c>
      <c r="H43" s="123" t="s">
        <v>241</v>
      </c>
      <c r="I43" s="123" t="s">
        <v>528</v>
      </c>
      <c r="J43" s="123" t="s">
        <v>529</v>
      </c>
      <c r="K43" s="123"/>
      <c r="L43" s="123"/>
      <c r="M43" s="123" t="s">
        <v>333</v>
      </c>
      <c r="N43" s="123" t="s">
        <v>334</v>
      </c>
      <c r="O43" s="123" t="s">
        <v>335</v>
      </c>
      <c r="P43" s="123" t="s">
        <v>336</v>
      </c>
      <c r="Q43" s="123" t="s">
        <v>241</v>
      </c>
      <c r="R43" s="123" t="s">
        <v>528</v>
      </c>
      <c r="S43" s="123" t="s">
        <v>529</v>
      </c>
      <c r="T43" s="123"/>
      <c r="U43" s="123"/>
      <c r="V43" s="132" t="s">
        <v>562</v>
      </c>
      <c r="W43" s="123" t="s">
        <v>333</v>
      </c>
      <c r="X43" s="123" t="s">
        <v>334</v>
      </c>
      <c r="Y43" s="124" t="s">
        <v>335</v>
      </c>
      <c r="Z43" s="123" t="s">
        <v>336</v>
      </c>
      <c r="AA43" s="123" t="s">
        <v>241</v>
      </c>
      <c r="AB43" s="135" t="s">
        <v>528</v>
      </c>
      <c r="AC43" s="135" t="s">
        <v>529</v>
      </c>
      <c r="AD43" s="123"/>
      <c r="AE43" s="123"/>
      <c r="AF43" s="123" t="s">
        <v>333</v>
      </c>
      <c r="AG43" s="123" t="s">
        <v>334</v>
      </c>
      <c r="AH43" s="124" t="s">
        <v>335</v>
      </c>
      <c r="AI43" s="123" t="s">
        <v>336</v>
      </c>
      <c r="AJ43" s="123" t="s">
        <v>241</v>
      </c>
      <c r="AK43" s="135" t="s">
        <v>528</v>
      </c>
      <c r="AL43" s="135" t="s">
        <v>529</v>
      </c>
      <c r="AO43" s="123" t="s">
        <v>333</v>
      </c>
      <c r="AP43" s="123" t="s">
        <v>334</v>
      </c>
      <c r="AQ43" s="124" t="s">
        <v>335</v>
      </c>
      <c r="AR43" s="123" t="s">
        <v>336</v>
      </c>
      <c r="AS43" s="123" t="s">
        <v>241</v>
      </c>
      <c r="AT43" s="135" t="s">
        <v>528</v>
      </c>
      <c r="AU43" s="135" t="s">
        <v>529</v>
      </c>
    </row>
    <row r="44" ht="15.5" customHeight="1" spans="1:47">
      <c r="A44" s="121" t="s">
        <v>530</v>
      </c>
      <c r="B44" s="125" t="s">
        <v>531</v>
      </c>
      <c r="C44" s="126">
        <f>Recyc_energy_use_Anna__SAME!C44</f>
        <v>0.6652</v>
      </c>
      <c r="D44" s="150">
        <f>Recyc_energy_use_Anna__SAME!D44</f>
        <v>0.5864</v>
      </c>
      <c r="E44" s="150">
        <f>Recyc_energy_use_Anna__SAME!E44</f>
        <v>0.5679</v>
      </c>
      <c r="F44" s="150">
        <f>Recyc_energy_use_Anna__SAME!F44</f>
        <v>0.5636</v>
      </c>
      <c r="G44" s="150">
        <f>Recyc_energy_use_Anna__SAME!G44</f>
        <v>0.5409</v>
      </c>
      <c r="H44" s="150">
        <f>Recyc_energy_use_Anna__SAME!H44</f>
        <v>0.5521</v>
      </c>
      <c r="I44" s="150">
        <f>Recyc_energy_use_Anna__SAME!I44</f>
        <v>0.5636</v>
      </c>
      <c r="J44" s="150">
        <f>Recyc_energy_use_Anna__SAME!J44</f>
        <v>0.5636</v>
      </c>
      <c r="K44" s="123"/>
      <c r="L44" s="123"/>
      <c r="M44" s="130">
        <v>5.937</v>
      </c>
      <c r="N44" s="130">
        <v>5.845</v>
      </c>
      <c r="O44" s="130">
        <v>5.575</v>
      </c>
      <c r="P44" s="130">
        <v>5.276</v>
      </c>
      <c r="Q44" s="130">
        <v>5.363</v>
      </c>
      <c r="R44" s="130">
        <v>6.645</v>
      </c>
      <c r="S44" s="130">
        <v>5.654</v>
      </c>
      <c r="T44" s="130"/>
      <c r="U44" s="121" t="s">
        <v>530</v>
      </c>
      <c r="V44" s="125" t="s">
        <v>531</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533</v>
      </c>
      <c r="C45" s="126">
        <f>Recyc_energy_use_Anna__SAME!C45</f>
        <v>0.6092</v>
      </c>
      <c r="D45" s="150">
        <f>Recyc_energy_use_Anna__SAME!D45</f>
        <v>0.5396</v>
      </c>
      <c r="E45" s="150">
        <f>Recyc_energy_use_Anna__SAME!E45</f>
        <v>0.5232</v>
      </c>
      <c r="F45" s="150">
        <f>Recyc_energy_use_Anna__SAME!F45</f>
        <v>0.5193</v>
      </c>
      <c r="G45" s="150">
        <f>Recyc_energy_use_Anna__SAME!G45</f>
        <v>0.499</v>
      </c>
      <c r="H45" s="150">
        <f>Recyc_energy_use_Anna__SAME!H45</f>
        <v>0.5091</v>
      </c>
      <c r="I45" s="150">
        <f>Recyc_energy_use_Anna__SAME!I45</f>
        <v>0.5193</v>
      </c>
      <c r="J45" s="150">
        <f>Recyc_energy_use_Anna__SAME!J45</f>
        <v>0.5193</v>
      </c>
      <c r="K45" s="123"/>
      <c r="L45" s="123"/>
      <c r="M45" s="131">
        <v>5.937</v>
      </c>
      <c r="N45" s="131">
        <v>5.845</v>
      </c>
      <c r="O45" s="131">
        <v>5.575</v>
      </c>
      <c r="P45" s="131">
        <v>5.276</v>
      </c>
      <c r="Q45" s="131">
        <v>5.363</v>
      </c>
      <c r="R45" s="131">
        <v>6.645</v>
      </c>
      <c r="S45" s="131">
        <v>5.654</v>
      </c>
      <c r="T45" s="131"/>
      <c r="U45" s="121"/>
      <c r="V45" s="125" t="s">
        <v>533</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535</v>
      </c>
      <c r="C46" s="126">
        <f>Recyc_energy_use_Anna__SAME!C46</f>
        <v>0.1429</v>
      </c>
      <c r="D46" s="150">
        <f>Recyc_energy_use_Anna__SAME!D46</f>
        <v>0.1194</v>
      </c>
      <c r="E46" s="150">
        <f>Recyc_energy_use_Anna__SAME!E46</f>
        <v>0.114</v>
      </c>
      <c r="F46" s="150">
        <f>Recyc_energy_use_Anna__SAME!F46</f>
        <v>0.1127</v>
      </c>
      <c r="G46" s="150">
        <f>Recyc_energy_use_Anna__SAME!G46</f>
        <v>0.1061</v>
      </c>
      <c r="H46" s="150">
        <f>Recyc_energy_use_Anna__SAME!H46</f>
        <v>0.1094</v>
      </c>
      <c r="I46" s="150">
        <f>Recyc_energy_use_Anna__SAME!I46</f>
        <v>0.1127</v>
      </c>
      <c r="J46" s="150">
        <f>Recyc_energy_use_Anna__SAME!J46</f>
        <v>0.1127</v>
      </c>
      <c r="K46" s="123"/>
      <c r="L46" s="123"/>
      <c r="M46" s="131">
        <v>5.937</v>
      </c>
      <c r="N46" s="131">
        <v>5.845</v>
      </c>
      <c r="O46" s="131">
        <v>5.575</v>
      </c>
      <c r="P46" s="131">
        <v>5.276</v>
      </c>
      <c r="Q46" s="131">
        <v>5.363</v>
      </c>
      <c r="R46" s="131">
        <v>6.645</v>
      </c>
      <c r="S46" s="131">
        <v>5.654</v>
      </c>
      <c r="T46" s="131"/>
      <c r="U46" s="121"/>
      <c r="V46" s="125" t="s">
        <v>535</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537</v>
      </c>
      <c r="C47" s="126">
        <f>Recyc_energy_use_Anna__SAME!C47</f>
        <v>0.4256</v>
      </c>
      <c r="D47" s="150">
        <f>Recyc_energy_use_Anna__SAME!D47</f>
        <v>0.3807</v>
      </c>
      <c r="E47" s="150">
        <f>Recyc_energy_use_Anna__SAME!E47</f>
        <v>0.3703</v>
      </c>
      <c r="F47" s="150">
        <f>Recyc_energy_use_Anna__SAME!F47</f>
        <v>0.3679</v>
      </c>
      <c r="G47" s="150">
        <f>Recyc_energy_use_Anna__SAME!G47</f>
        <v>0.3552</v>
      </c>
      <c r="H47" s="150">
        <f>Recyc_energy_use_Anna__SAME!H47</f>
        <v>0.3613</v>
      </c>
      <c r="I47" s="150">
        <f>Recyc_energy_use_Anna__SAME!I47</f>
        <v>0.3679</v>
      </c>
      <c r="J47" s="150">
        <f>Recyc_energy_use_Anna__SAME!J47</f>
        <v>0.3679</v>
      </c>
      <c r="K47" s="123"/>
      <c r="L47" s="123"/>
      <c r="M47" s="131">
        <v>5.937</v>
      </c>
      <c r="N47" s="131">
        <v>5.845</v>
      </c>
      <c r="O47" s="131">
        <v>5.575</v>
      </c>
      <c r="P47" s="131">
        <v>5.276</v>
      </c>
      <c r="Q47" s="131">
        <v>5.363</v>
      </c>
      <c r="R47" s="131">
        <v>6.645</v>
      </c>
      <c r="S47" s="131">
        <v>5.654</v>
      </c>
      <c r="T47" s="131"/>
      <c r="U47" s="121"/>
      <c r="V47" s="125" t="s">
        <v>537</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538</v>
      </c>
      <c r="C48" s="126">
        <f>Recyc_energy_use_Anna__SAME!C48</f>
        <v>0.0846</v>
      </c>
      <c r="D48" s="150">
        <f>Recyc_energy_use_Anna__SAME!D48</f>
        <v>0.077</v>
      </c>
      <c r="E48" s="150">
        <f>Recyc_energy_use_Anna__SAME!E48</f>
        <v>0.0749</v>
      </c>
      <c r="F48" s="150">
        <f>Recyc_energy_use_Anna__SAME!F48</f>
        <v>0.0744</v>
      </c>
      <c r="G48" s="150">
        <f>Recyc_energy_use_Anna__SAME!G48</f>
        <v>0.0717</v>
      </c>
      <c r="H48" s="150">
        <f>Recyc_energy_use_Anna__SAME!H48</f>
        <v>0.0731</v>
      </c>
      <c r="I48" s="150">
        <f>Recyc_energy_use_Anna__SAME!I48</f>
        <v>0.0744</v>
      </c>
      <c r="J48" s="150">
        <f>Recyc_energy_use_Anna__SAME!J48</f>
        <v>0.0744</v>
      </c>
      <c r="K48" s="123"/>
      <c r="L48" s="123"/>
      <c r="M48" s="131">
        <v>5.937</v>
      </c>
      <c r="N48" s="131">
        <v>5.845</v>
      </c>
      <c r="O48" s="131">
        <v>5.575</v>
      </c>
      <c r="P48" s="131">
        <v>5.276</v>
      </c>
      <c r="Q48" s="131">
        <v>5.363</v>
      </c>
      <c r="R48" s="131">
        <v>6.645</v>
      </c>
      <c r="S48" s="131">
        <v>5.654</v>
      </c>
      <c r="T48" s="131"/>
      <c r="U48" s="121"/>
      <c r="V48" s="125" t="s">
        <v>538</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391</v>
      </c>
      <c r="B49" s="125" t="s">
        <v>531</v>
      </c>
      <c r="C49" s="126">
        <f>Recyc_energy_use_Anna__SAME!C49</f>
        <v>0.6792</v>
      </c>
      <c r="D49" s="150">
        <f>Recyc_energy_use_Anna__SAME!D49</f>
        <v>0.5984</v>
      </c>
      <c r="E49" s="150">
        <f>Recyc_energy_use_Anna__SAME!E49</f>
        <v>0.5794</v>
      </c>
      <c r="F49" s="150">
        <f>Recyc_energy_use_Anna__SAME!F49</f>
        <v>0.575</v>
      </c>
      <c r="G49" s="150">
        <f>Recyc_energy_use_Anna__SAME!G49</f>
        <v>0.5517</v>
      </c>
      <c r="H49" s="150">
        <f>Recyc_energy_use_Anna__SAME!H49</f>
        <v>0.5632</v>
      </c>
      <c r="I49" s="150">
        <f>Recyc_energy_use_Anna__SAME!I49</f>
        <v>0.575</v>
      </c>
      <c r="J49" s="150">
        <f>Recyc_energy_use_Anna__SAME!J49</f>
        <v>0.575</v>
      </c>
      <c r="K49" s="123"/>
      <c r="L49" s="123"/>
      <c r="M49" s="131">
        <v>5.937</v>
      </c>
      <c r="N49" s="131">
        <v>5.845</v>
      </c>
      <c r="O49" s="131">
        <v>5.575</v>
      </c>
      <c r="P49" s="131">
        <v>5.276</v>
      </c>
      <c r="Q49" s="131">
        <v>5.363</v>
      </c>
      <c r="R49" s="131">
        <v>6.645</v>
      </c>
      <c r="S49" s="131">
        <v>5.654</v>
      </c>
      <c r="T49" s="131"/>
      <c r="U49" s="121" t="s">
        <v>391</v>
      </c>
      <c r="V49" s="125" t="s">
        <v>531</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533</v>
      </c>
      <c r="C50" s="126">
        <f>Recyc_energy_use_Anna__SAME!C50</f>
        <v>0.6241</v>
      </c>
      <c r="D50" s="150">
        <f>Recyc_energy_use_Anna__SAME!D50</f>
        <v>0.5523</v>
      </c>
      <c r="E50" s="150">
        <f>Recyc_energy_use_Anna__SAME!E50</f>
        <v>0.5353</v>
      </c>
      <c r="F50" s="150">
        <f>Recyc_energy_use_Anna__SAME!F50</f>
        <v>0.5314</v>
      </c>
      <c r="G50" s="150">
        <f>Recyc_energy_use_Anna__SAME!G50</f>
        <v>0.5105</v>
      </c>
      <c r="H50" s="150">
        <f>Recyc_energy_use_Anna__SAME!H50</f>
        <v>0.5209</v>
      </c>
      <c r="I50" s="150">
        <f>Recyc_energy_use_Anna__SAME!I50</f>
        <v>0.5314</v>
      </c>
      <c r="J50" s="150">
        <f>Recyc_energy_use_Anna__SAME!J50</f>
        <v>0.5314</v>
      </c>
      <c r="K50" s="123"/>
      <c r="L50" s="123"/>
      <c r="M50" s="131">
        <v>5.937</v>
      </c>
      <c r="N50" s="131">
        <v>5.845</v>
      </c>
      <c r="O50" s="131">
        <v>5.575</v>
      </c>
      <c r="P50" s="131">
        <v>5.276</v>
      </c>
      <c r="Q50" s="131">
        <v>5.363</v>
      </c>
      <c r="R50" s="131">
        <v>6.645</v>
      </c>
      <c r="S50" s="131">
        <v>5.654</v>
      </c>
      <c r="T50" s="131"/>
      <c r="U50" s="121"/>
      <c r="V50" s="125" t="s">
        <v>533</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535</v>
      </c>
      <c r="C51" s="126">
        <f>Recyc_energy_use_Anna__SAME!C51</f>
        <v>0.1745</v>
      </c>
      <c r="D51" s="150">
        <f>Recyc_energy_use_Anna__SAME!D51</f>
        <v>0.1463</v>
      </c>
      <c r="E51" s="150">
        <f>Recyc_energy_use_Anna__SAME!E51</f>
        <v>0.1398</v>
      </c>
      <c r="F51" s="150">
        <f>Recyc_energy_use_Anna__SAME!F51</f>
        <v>0.1383</v>
      </c>
      <c r="G51" s="150">
        <f>Recyc_energy_use_Anna__SAME!G51</f>
        <v>0.1304</v>
      </c>
      <c r="H51" s="150">
        <f>Recyc_energy_use_Anna__SAME!H51</f>
        <v>0.1343</v>
      </c>
      <c r="I51" s="150">
        <f>Recyc_energy_use_Anna__SAME!I51</f>
        <v>0.1383</v>
      </c>
      <c r="J51" s="150">
        <f>Recyc_energy_use_Anna__SAME!J51</f>
        <v>0.1383</v>
      </c>
      <c r="K51" s="123"/>
      <c r="L51" s="123"/>
      <c r="M51" s="131">
        <v>5.937</v>
      </c>
      <c r="N51" s="131">
        <v>5.845</v>
      </c>
      <c r="O51" s="131">
        <v>5.575</v>
      </c>
      <c r="P51" s="131">
        <v>5.276</v>
      </c>
      <c r="Q51" s="131">
        <v>5.363</v>
      </c>
      <c r="R51" s="131">
        <v>6.645</v>
      </c>
      <c r="S51" s="131">
        <v>5.654</v>
      </c>
      <c r="T51" s="131"/>
      <c r="U51" s="121"/>
      <c r="V51" s="125" t="s">
        <v>535</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537</v>
      </c>
      <c r="C52" s="126">
        <f>Recyc_energy_use_Anna__SAME!C52</f>
        <v>0.4064</v>
      </c>
      <c r="D52" s="150">
        <f>Recyc_energy_use_Anna__SAME!D52</f>
        <v>0.3643</v>
      </c>
      <c r="E52" s="150">
        <f>Recyc_energy_use_Anna__SAME!E52</f>
        <v>0.3546</v>
      </c>
      <c r="F52" s="150">
        <f>Recyc_energy_use_Anna__SAME!F52</f>
        <v>0.3523</v>
      </c>
      <c r="G52" s="150">
        <f>Recyc_energy_use_Anna__SAME!G52</f>
        <v>0.3404</v>
      </c>
      <c r="H52" s="150">
        <f>Recyc_energy_use_Anna__SAME!H52</f>
        <v>0.3462</v>
      </c>
      <c r="I52" s="150">
        <f>Recyc_energy_use_Anna__SAME!I52</f>
        <v>0.3523</v>
      </c>
      <c r="J52" s="150">
        <f>Recyc_energy_use_Anna__SAME!J52</f>
        <v>0.3523</v>
      </c>
      <c r="K52" s="123"/>
      <c r="L52" s="123"/>
      <c r="M52" s="131">
        <v>5.937</v>
      </c>
      <c r="N52" s="131">
        <v>5.845</v>
      </c>
      <c r="O52" s="131">
        <v>5.575</v>
      </c>
      <c r="P52" s="131">
        <v>5.276</v>
      </c>
      <c r="Q52" s="131">
        <v>5.363</v>
      </c>
      <c r="R52" s="131">
        <v>6.645</v>
      </c>
      <c r="S52" s="131">
        <v>5.654</v>
      </c>
      <c r="T52" s="131"/>
      <c r="U52" s="121"/>
      <c r="V52" s="125" t="s">
        <v>537</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538</v>
      </c>
      <c r="C53" s="126">
        <f>Recyc_energy_use_Anna__SAME!C53</f>
        <v>0.0872</v>
      </c>
      <c r="D53" s="150">
        <f>Recyc_energy_use_Anna__SAME!D53</f>
        <v>0.0791</v>
      </c>
      <c r="E53" s="150">
        <f>Recyc_energy_use_Anna__SAME!E53</f>
        <v>0.077</v>
      </c>
      <c r="F53" s="150">
        <f>Recyc_energy_use_Anna__SAME!F53</f>
        <v>0.0765</v>
      </c>
      <c r="G53" s="150">
        <f>Recyc_energy_use_Anna__SAME!G53</f>
        <v>0.0737</v>
      </c>
      <c r="H53" s="150">
        <f>Recyc_energy_use_Anna__SAME!H53</f>
        <v>0.0751</v>
      </c>
      <c r="I53" s="150">
        <f>Recyc_energy_use_Anna__SAME!I53</f>
        <v>0.0765</v>
      </c>
      <c r="J53" s="150">
        <f>Recyc_energy_use_Anna__SAME!J53</f>
        <v>0.0765</v>
      </c>
      <c r="K53" s="123"/>
      <c r="L53" s="123"/>
      <c r="M53" s="131">
        <v>5.937</v>
      </c>
      <c r="N53" s="131">
        <v>5.845</v>
      </c>
      <c r="O53" s="131">
        <v>5.575</v>
      </c>
      <c r="P53" s="131">
        <v>5.276</v>
      </c>
      <c r="Q53" s="131">
        <v>5.363</v>
      </c>
      <c r="R53" s="131">
        <v>6.645</v>
      </c>
      <c r="S53" s="131">
        <v>5.654</v>
      </c>
      <c r="T53" s="131"/>
      <c r="U53" s="121"/>
      <c r="V53" s="125" t="s">
        <v>538</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401</v>
      </c>
      <c r="B54" s="125" t="s">
        <v>531</v>
      </c>
      <c r="C54" s="126">
        <f>Recyc_energy_use_Anna__SAME!C54</f>
        <v>0.6916</v>
      </c>
      <c r="D54" s="150">
        <f>Recyc_energy_use_Anna__SAME!D54</f>
        <v>0.6089</v>
      </c>
      <c r="E54" s="150">
        <f>Recyc_energy_use_Anna__SAME!E54</f>
        <v>0.5895</v>
      </c>
      <c r="F54" s="150">
        <f>Recyc_energy_use_Anna__SAME!F54</f>
        <v>0.585</v>
      </c>
      <c r="G54" s="150">
        <f>Recyc_energy_use_Anna__SAME!G54</f>
        <v>0.5612</v>
      </c>
      <c r="H54" s="150">
        <f>Recyc_energy_use_Anna__SAME!H54</f>
        <v>0.573</v>
      </c>
      <c r="I54" s="150">
        <f>Recyc_energy_use_Anna__SAME!I54</f>
        <v>0.585</v>
      </c>
      <c r="J54" s="150">
        <f>Recyc_energy_use_Anna__SAME!J54</f>
        <v>0.585</v>
      </c>
      <c r="K54" s="123"/>
      <c r="L54" s="123"/>
      <c r="M54" s="131">
        <v>5.937</v>
      </c>
      <c r="N54" s="131">
        <v>5.845</v>
      </c>
      <c r="O54" s="131">
        <v>5.575</v>
      </c>
      <c r="P54" s="131">
        <v>5.276</v>
      </c>
      <c r="Q54" s="131">
        <v>5.363</v>
      </c>
      <c r="R54" s="131">
        <v>6.645</v>
      </c>
      <c r="S54" s="131">
        <v>5.654</v>
      </c>
      <c r="T54" s="131"/>
      <c r="U54" s="121" t="s">
        <v>401</v>
      </c>
      <c r="V54" s="125" t="s">
        <v>531</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533</v>
      </c>
      <c r="C55" s="126">
        <f>Recyc_energy_use_Anna__SAME!C55</f>
        <v>0.634</v>
      </c>
      <c r="D55" s="150">
        <f>Recyc_energy_use_Anna__SAME!D55</f>
        <v>0.5608</v>
      </c>
      <c r="E55" s="150">
        <f>Recyc_energy_use_Anna__SAME!E55</f>
        <v>0.5435</v>
      </c>
      <c r="F55" s="150">
        <f>Recyc_energy_use_Anna__SAME!F55</f>
        <v>0.5394</v>
      </c>
      <c r="G55" s="150">
        <f>Recyc_energy_use_Anna__SAME!G55</f>
        <v>0.5181</v>
      </c>
      <c r="H55" s="150">
        <f>Recyc_energy_use_Anna__SAME!H55</f>
        <v>0.5287</v>
      </c>
      <c r="I55" s="150">
        <f>Recyc_energy_use_Anna__SAME!I55</f>
        <v>0.5394</v>
      </c>
      <c r="J55" s="150">
        <f>Recyc_energy_use_Anna__SAME!J55</f>
        <v>0.5394</v>
      </c>
      <c r="K55" s="123"/>
      <c r="L55" s="123"/>
      <c r="M55" s="131">
        <v>5.937</v>
      </c>
      <c r="N55" s="131">
        <v>5.845</v>
      </c>
      <c r="O55" s="131">
        <v>5.575</v>
      </c>
      <c r="P55" s="131">
        <v>5.276</v>
      </c>
      <c r="Q55" s="131">
        <v>5.363</v>
      </c>
      <c r="R55" s="131">
        <v>6.645</v>
      </c>
      <c r="S55" s="131">
        <v>5.654</v>
      </c>
      <c r="T55" s="131"/>
      <c r="U55" s="121"/>
      <c r="V55" s="125" t="s">
        <v>533</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535</v>
      </c>
      <c r="C56" s="126">
        <f>Recyc_energy_use_Anna__SAME!C56</f>
        <v>0.2256</v>
      </c>
      <c r="D56" s="150">
        <f>Recyc_energy_use_Anna__SAME!D56</f>
        <v>0.1898</v>
      </c>
      <c r="E56" s="150">
        <f>Recyc_energy_use_Anna__SAME!E56</f>
        <v>0.1816</v>
      </c>
      <c r="F56" s="150">
        <f>Recyc_energy_use_Anna__SAME!F56</f>
        <v>0.1797</v>
      </c>
      <c r="G56" s="150">
        <f>Recyc_energy_use_Anna__SAME!G56</f>
        <v>0.1697</v>
      </c>
      <c r="H56" s="150">
        <f>Recyc_energy_use_Anna__SAME!H56</f>
        <v>0.1747</v>
      </c>
      <c r="I56" s="150">
        <f>Recyc_energy_use_Anna__SAME!I56</f>
        <v>0.1797</v>
      </c>
      <c r="J56" s="150">
        <f>Recyc_energy_use_Anna__SAME!J56</f>
        <v>0.1797</v>
      </c>
      <c r="K56" s="123"/>
      <c r="L56" s="123"/>
      <c r="M56" s="131">
        <v>5.937</v>
      </c>
      <c r="N56" s="131">
        <v>5.845</v>
      </c>
      <c r="O56" s="131">
        <v>5.575</v>
      </c>
      <c r="P56" s="131">
        <v>5.276</v>
      </c>
      <c r="Q56" s="131">
        <v>5.363</v>
      </c>
      <c r="R56" s="131">
        <v>6.645</v>
      </c>
      <c r="S56" s="131">
        <v>5.654</v>
      </c>
      <c r="T56" s="131"/>
      <c r="U56" s="121"/>
      <c r="V56" s="125" t="s">
        <v>535</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537</v>
      </c>
      <c r="C57" s="126">
        <f>Recyc_energy_use_Anna__SAME!C57</f>
        <v>0.3671</v>
      </c>
      <c r="D57" s="150">
        <f>Recyc_energy_use_Anna__SAME!D57</f>
        <v>0.3308</v>
      </c>
      <c r="E57" s="150">
        <f>Recyc_energy_use_Anna__SAME!E57</f>
        <v>0.3224</v>
      </c>
      <c r="F57" s="150">
        <f>Recyc_energy_use_Anna__SAME!F57</f>
        <v>0.3205</v>
      </c>
      <c r="G57" s="150">
        <f>Recyc_energy_use_Anna__SAME!G57</f>
        <v>0.3101</v>
      </c>
      <c r="H57" s="150">
        <f>Recyc_energy_use_Anna__SAME!H57</f>
        <v>0.3151</v>
      </c>
      <c r="I57" s="150">
        <f>Recyc_energy_use_Anna__SAME!I57</f>
        <v>0.3205</v>
      </c>
      <c r="J57" s="150">
        <f>Recyc_energy_use_Anna__SAME!J57</f>
        <v>0.3205</v>
      </c>
      <c r="K57" s="123"/>
      <c r="L57" s="123"/>
      <c r="M57" s="131">
        <v>5.937</v>
      </c>
      <c r="N57" s="131">
        <v>5.845</v>
      </c>
      <c r="O57" s="131">
        <v>5.575</v>
      </c>
      <c r="P57" s="131">
        <v>5.276</v>
      </c>
      <c r="Q57" s="131">
        <v>5.363</v>
      </c>
      <c r="R57" s="131">
        <v>6.645</v>
      </c>
      <c r="S57" s="131">
        <v>5.654</v>
      </c>
      <c r="T57" s="131"/>
      <c r="U57" s="121"/>
      <c r="V57" s="125" t="s">
        <v>537</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538</v>
      </c>
      <c r="C58" s="126">
        <f>Recyc_energy_use_Anna__SAME!C58</f>
        <v>0.0853</v>
      </c>
      <c r="D58" s="150">
        <f>Recyc_energy_use_Anna__SAME!D58</f>
        <v>0.0775</v>
      </c>
      <c r="E58" s="150">
        <f>Recyc_energy_use_Anna__SAME!E58</f>
        <v>0.0755</v>
      </c>
      <c r="F58" s="150">
        <f>Recyc_energy_use_Anna__SAME!F58</f>
        <v>0.075</v>
      </c>
      <c r="G58" s="150">
        <f>Recyc_energy_use_Anna__SAME!G58</f>
        <v>0.0722</v>
      </c>
      <c r="H58" s="150">
        <f>Recyc_energy_use_Anna__SAME!H58</f>
        <v>0.0736</v>
      </c>
      <c r="I58" s="150">
        <f>Recyc_energy_use_Anna__SAME!I58</f>
        <v>0.075</v>
      </c>
      <c r="J58" s="150">
        <f>Recyc_energy_use_Anna__SAME!J58</f>
        <v>0.075</v>
      </c>
      <c r="K58" s="123"/>
      <c r="L58" s="123"/>
      <c r="M58" s="131">
        <v>5.937</v>
      </c>
      <c r="N58" s="131">
        <v>5.845</v>
      </c>
      <c r="O58" s="131">
        <v>5.575</v>
      </c>
      <c r="P58" s="131">
        <v>5.276</v>
      </c>
      <c r="Q58" s="131">
        <v>5.363</v>
      </c>
      <c r="R58" s="131">
        <v>6.645</v>
      </c>
      <c r="S58" s="131">
        <v>5.654</v>
      </c>
      <c r="T58" s="131"/>
      <c r="U58" s="121"/>
      <c r="V58" s="125" t="s">
        <v>538</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3"/>
      <c r="E59" s="123"/>
      <c r="F59" s="123"/>
      <c r="G59" s="123"/>
      <c r="H59" s="123"/>
      <c r="I59" s="123"/>
      <c r="J59" s="123"/>
      <c r="K59" s="123"/>
      <c r="L59" s="123"/>
      <c r="M59" s="123"/>
      <c r="N59" s="123"/>
      <c r="O59" s="123"/>
      <c r="P59" s="123"/>
      <c r="Q59" s="123"/>
      <c r="R59" s="123"/>
      <c r="S59" s="123"/>
      <c r="T59" s="123"/>
    </row>
    <row r="60" ht="15.5" spans="1:20">
      <c r="A60" s="123" t="s">
        <v>541</v>
      </c>
      <c r="B60" s="123"/>
      <c r="C60" s="122"/>
      <c r="D60" s="123"/>
      <c r="E60" s="123"/>
      <c r="F60" s="123"/>
      <c r="G60" s="123"/>
      <c r="H60" s="123"/>
      <c r="I60" s="123"/>
      <c r="J60" s="123"/>
      <c r="K60" s="123"/>
      <c r="L60" s="123"/>
      <c r="M60" s="123"/>
      <c r="N60" s="123"/>
      <c r="O60" s="123"/>
      <c r="P60" s="123"/>
      <c r="Q60" s="123"/>
      <c r="R60" s="123"/>
      <c r="S60" s="123"/>
      <c r="T60" s="123"/>
    </row>
    <row r="61" ht="15.5" spans="1:20">
      <c r="A61" s="123" t="s">
        <v>566</v>
      </c>
      <c r="B61" s="123"/>
      <c r="C61" s="122"/>
      <c r="D61" s="123"/>
      <c r="E61" s="123"/>
      <c r="F61" s="123"/>
      <c r="G61" s="123"/>
      <c r="H61" s="123"/>
      <c r="I61" s="123"/>
      <c r="J61" s="123"/>
      <c r="K61" s="123"/>
      <c r="L61" s="123"/>
      <c r="M61" s="123"/>
      <c r="N61" s="123"/>
      <c r="O61" s="123"/>
      <c r="P61" s="123"/>
      <c r="Q61" s="123"/>
      <c r="R61" s="123"/>
      <c r="S61" s="123"/>
      <c r="T61" s="123"/>
    </row>
    <row r="62" ht="15.5" spans="1:20">
      <c r="A62" s="123" t="s">
        <v>567</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333</v>
      </c>
      <c r="X72" s="123" t="s">
        <v>334</v>
      </c>
      <c r="Y72" s="124" t="s">
        <v>335</v>
      </c>
      <c r="Z72" s="123" t="s">
        <v>336</v>
      </c>
      <c r="AA72" s="123" t="s">
        <v>241</v>
      </c>
      <c r="AB72" s="135" t="s">
        <v>528</v>
      </c>
      <c r="AC72" s="135" t="s">
        <v>529</v>
      </c>
      <c r="AD72" s="123"/>
      <c r="AE72" s="123"/>
      <c r="AF72" s="123" t="s">
        <v>333</v>
      </c>
      <c r="AG72" s="123" t="s">
        <v>334</v>
      </c>
      <c r="AH72" s="124" t="s">
        <v>335</v>
      </c>
      <c r="AI72" s="123" t="s">
        <v>336</v>
      </c>
      <c r="AJ72" s="123" t="s">
        <v>241</v>
      </c>
      <c r="AK72" s="135" t="s">
        <v>528</v>
      </c>
      <c r="AL72" s="135" t="s">
        <v>529</v>
      </c>
      <c r="AM72" s="123"/>
      <c r="AN72" s="123"/>
      <c r="AO72" s="123" t="s">
        <v>333</v>
      </c>
      <c r="AP72" s="123" t="s">
        <v>334</v>
      </c>
      <c r="AQ72" s="124" t="s">
        <v>335</v>
      </c>
      <c r="AR72" s="123" t="s">
        <v>336</v>
      </c>
      <c r="AS72" s="123" t="s">
        <v>241</v>
      </c>
      <c r="AT72" s="135" t="s">
        <v>528</v>
      </c>
      <c r="AU72" s="135" t="s">
        <v>529</v>
      </c>
    </row>
    <row r="73" spans="21:47">
      <c r="U73" s="121" t="s">
        <v>530</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532</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534</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536</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391</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532</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534</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536</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568</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532</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534</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536</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569</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532</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534</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536</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333</v>
      </c>
      <c r="X92" s="123" t="s">
        <v>334</v>
      </c>
      <c r="Y92" s="124" t="s">
        <v>335</v>
      </c>
      <c r="Z92" s="123" t="s">
        <v>336</v>
      </c>
      <c r="AA92" s="123" t="s">
        <v>241</v>
      </c>
      <c r="AB92" s="135" t="s">
        <v>528</v>
      </c>
      <c r="AC92" s="135" t="s">
        <v>529</v>
      </c>
      <c r="AD92" s="123"/>
      <c r="AE92" s="123"/>
      <c r="AF92" s="123" t="s">
        <v>333</v>
      </c>
      <c r="AG92" s="123" t="s">
        <v>334</v>
      </c>
      <c r="AH92" s="124" t="s">
        <v>335</v>
      </c>
      <c r="AI92" s="123" t="s">
        <v>336</v>
      </c>
      <c r="AJ92" s="123" t="s">
        <v>241</v>
      </c>
      <c r="AK92" s="135" t="s">
        <v>528</v>
      </c>
      <c r="AL92" s="135" t="s">
        <v>529</v>
      </c>
      <c r="AM92" s="123"/>
      <c r="AN92" s="123"/>
      <c r="AO92" s="123" t="s">
        <v>333</v>
      </c>
      <c r="AP92" s="123" t="s">
        <v>334</v>
      </c>
      <c r="AQ92" s="124" t="s">
        <v>335</v>
      </c>
      <c r="AR92" s="123" t="s">
        <v>336</v>
      </c>
      <c r="AS92" s="123" t="s">
        <v>241</v>
      </c>
      <c r="AT92" s="135" t="s">
        <v>528</v>
      </c>
      <c r="AU92" s="135" t="s">
        <v>529</v>
      </c>
    </row>
    <row r="93" spans="21:47">
      <c r="U93" s="121" t="s">
        <v>530</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532</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534</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536</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391</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532</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534</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536</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568</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532</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534</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536</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569</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532</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534</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536</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333</v>
      </c>
      <c r="X112" s="123" t="s">
        <v>334</v>
      </c>
      <c r="Y112" s="124" t="s">
        <v>335</v>
      </c>
      <c r="Z112" s="123" t="s">
        <v>336</v>
      </c>
      <c r="AA112" s="123" t="s">
        <v>241</v>
      </c>
      <c r="AB112" s="135" t="s">
        <v>528</v>
      </c>
      <c r="AC112" s="135" t="s">
        <v>529</v>
      </c>
      <c r="AD112" s="123"/>
      <c r="AE112" s="123"/>
      <c r="AF112" s="123" t="s">
        <v>333</v>
      </c>
      <c r="AG112" s="123" t="s">
        <v>334</v>
      </c>
      <c r="AH112" s="124" t="s">
        <v>335</v>
      </c>
      <c r="AI112" s="123" t="s">
        <v>336</v>
      </c>
      <c r="AJ112" s="123" t="s">
        <v>241</v>
      </c>
      <c r="AK112" s="135" t="s">
        <v>528</v>
      </c>
      <c r="AL112" s="135" t="s">
        <v>529</v>
      </c>
      <c r="AM112" s="123"/>
      <c r="AN112" s="123"/>
      <c r="AO112" s="123" t="s">
        <v>333</v>
      </c>
      <c r="AP112" s="123" t="s">
        <v>334</v>
      </c>
      <c r="AQ112" s="124" t="s">
        <v>335</v>
      </c>
      <c r="AR112" s="123" t="s">
        <v>336</v>
      </c>
      <c r="AS112" s="123" t="s">
        <v>241</v>
      </c>
      <c r="AT112" s="135" t="s">
        <v>528</v>
      </c>
      <c r="AU112" s="135" t="s">
        <v>529</v>
      </c>
    </row>
    <row r="113" spans="21:47">
      <c r="U113" s="121" t="s">
        <v>530</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532</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534</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536</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391</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532</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534</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536</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568</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532</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534</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536</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569</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532</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534</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536</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366</v>
      </c>
      <c r="V162" s="142" t="s">
        <v>218</v>
      </c>
      <c r="W162" s="141">
        <f>AF85</f>
        <v>0.0105665038459379</v>
      </c>
      <c r="X162" s="141"/>
      <c r="Y162" s="141" t="s">
        <v>367</v>
      </c>
      <c r="Z162" s="142" t="s">
        <v>218</v>
      </c>
      <c r="AA162" s="141">
        <f>AG85</f>
        <v>0.010151126318791</v>
      </c>
      <c r="AB162" s="141"/>
      <c r="AC162" s="141" t="s">
        <v>368</v>
      </c>
      <c r="AD162" s="142" t="s">
        <v>218</v>
      </c>
      <c r="AE162" s="141">
        <f>AH85</f>
        <v>0.0104454409566517</v>
      </c>
      <c r="AF162" s="141"/>
      <c r="AG162" s="141" t="s">
        <v>369</v>
      </c>
      <c r="AH162" s="142" t="s">
        <v>218</v>
      </c>
      <c r="AI162" s="141">
        <f>AI85</f>
        <v>0.0114922921405105</v>
      </c>
      <c r="AJ162" s="141"/>
      <c r="AK162" s="141" t="s">
        <v>365</v>
      </c>
      <c r="AL162" s="142" t="s">
        <v>218</v>
      </c>
      <c r="AM162" s="141">
        <f>AJ85</f>
        <v>0.0116539250419541</v>
      </c>
      <c r="AN162" s="141"/>
      <c r="AO162" s="146" t="s">
        <v>364</v>
      </c>
      <c r="AP162" s="147" t="s">
        <v>218</v>
      </c>
      <c r="AQ162" s="146">
        <f>AK85</f>
        <v>0.0100780035114121</v>
      </c>
      <c r="AR162" s="146"/>
      <c r="AS162" s="146" t="s">
        <v>363</v>
      </c>
      <c r="AT162" s="147" t="s">
        <v>218</v>
      </c>
      <c r="AU162" s="146">
        <f>AL85</f>
        <v>0.0118444169319656</v>
      </c>
    </row>
    <row r="163" ht="16" spans="21:47">
      <c r="U163" s="141"/>
      <c r="V163" s="143" t="s">
        <v>516</v>
      </c>
      <c r="W163" s="141">
        <f>AF86</f>
        <v>0.0361911178485206</v>
      </c>
      <c r="X163" s="141"/>
      <c r="Y163" s="141"/>
      <c r="Z163" s="143" t="s">
        <v>516</v>
      </c>
      <c r="AA163" s="141">
        <f>AG86</f>
        <v>0.0345822640433419</v>
      </c>
      <c r="AB163" s="141"/>
      <c r="AC163" s="141"/>
      <c r="AD163" s="143" t="s">
        <v>516</v>
      </c>
      <c r="AE163" s="141">
        <f>AH86</f>
        <v>0.0356053811659193</v>
      </c>
      <c r="AF163" s="141"/>
      <c r="AG163" s="141"/>
      <c r="AH163" s="143" t="s">
        <v>516</v>
      </c>
      <c r="AI163" s="141">
        <f>AI86</f>
        <v>0.0365744250694971</v>
      </c>
      <c r="AJ163" s="141"/>
      <c r="AK163" s="141"/>
      <c r="AL163" s="143" t="s">
        <v>516</v>
      </c>
      <c r="AM163" s="141">
        <f t="shared" ref="AM162:AM165" si="291">AA86</f>
        <v>0.0374914537883026</v>
      </c>
      <c r="AN163" s="141"/>
      <c r="AO163" s="146"/>
      <c r="AP163" s="143" t="s">
        <v>516</v>
      </c>
      <c r="AQ163" s="146">
        <f>AK86</f>
        <v>0.0343528969149737</v>
      </c>
      <c r="AR163" s="146"/>
      <c r="AS163" s="146"/>
      <c r="AT163" s="143" t="s">
        <v>516</v>
      </c>
      <c r="AU163" s="146">
        <f>AL86</f>
        <v>0.040374071453838</v>
      </c>
    </row>
    <row r="164" ht="16" spans="21:47">
      <c r="U164" s="141"/>
      <c r="V164" s="143" t="s">
        <v>517</v>
      </c>
      <c r="W164" s="141">
        <f>AF87</f>
        <v>0.0787154005951378</v>
      </c>
      <c r="X164" s="141"/>
      <c r="Y164" s="141"/>
      <c r="Z164" s="143" t="s">
        <v>517</v>
      </c>
      <c r="AA164" s="141">
        <f>AG87</f>
        <v>0.0766238950670089</v>
      </c>
      <c r="AB164" s="141"/>
      <c r="AC164" s="141"/>
      <c r="AD164" s="143" t="s">
        <v>517</v>
      </c>
      <c r="AE164" s="141">
        <f>AH87</f>
        <v>0.0794379671150972</v>
      </c>
      <c r="AF164" s="141"/>
      <c r="AG164" s="141"/>
      <c r="AH164" s="143" t="s">
        <v>517</v>
      </c>
      <c r="AI164" s="141">
        <f>AI87</f>
        <v>0.0831501137225171</v>
      </c>
      <c r="AJ164" s="141"/>
      <c r="AK164" s="141"/>
      <c r="AL164" s="143" t="s">
        <v>517</v>
      </c>
      <c r="AM164" s="141">
        <f t="shared" si="291"/>
        <v>0.0871278513269936</v>
      </c>
      <c r="AN164" s="141"/>
      <c r="AO164" s="146"/>
      <c r="AP164" s="143" t="s">
        <v>517</v>
      </c>
      <c r="AQ164" s="146">
        <f>AK87</f>
        <v>0.0766435916729371</v>
      </c>
      <c r="AR164" s="146"/>
      <c r="AS164" s="146"/>
      <c r="AT164" s="143" t="s">
        <v>517</v>
      </c>
      <c r="AU164" s="146">
        <f>AL87</f>
        <v>0.0900772314585544</v>
      </c>
    </row>
    <row r="165" ht="16" spans="21:47">
      <c r="U165" s="144"/>
      <c r="V165" s="143" t="s">
        <v>518</v>
      </c>
      <c r="W165" s="141">
        <f>AF88</f>
        <v>0.0132277805850317</v>
      </c>
      <c r="X165" s="144"/>
      <c r="Y165" s="144"/>
      <c r="Z165" s="143" t="s">
        <v>518</v>
      </c>
      <c r="AA165" s="141">
        <f>AG88</f>
        <v>0.0129398346164813</v>
      </c>
      <c r="AB165" s="144"/>
      <c r="AC165" s="144"/>
      <c r="AD165" s="143" t="s">
        <v>518</v>
      </c>
      <c r="AE165" s="141">
        <f>AH88</f>
        <v>0.0134050822122571</v>
      </c>
      <c r="AF165" s="144"/>
      <c r="AG165" s="144"/>
      <c r="AH165" s="143" t="s">
        <v>518</v>
      </c>
      <c r="AI165" s="141">
        <f>AI88</f>
        <v>0.0146449330300733</v>
      </c>
      <c r="AJ165" s="144"/>
      <c r="AK165" s="144"/>
      <c r="AL165" s="143" t="s">
        <v>518</v>
      </c>
      <c r="AM165" s="141">
        <f t="shared" si="291"/>
        <v>0.0149356703337684</v>
      </c>
      <c r="AN165" s="144"/>
      <c r="AO165" s="148"/>
      <c r="AP165" s="143" t="s">
        <v>518</v>
      </c>
      <c r="AQ165" s="146">
        <f>AK88</f>
        <v>0.0129335339854527</v>
      </c>
      <c r="AR165" s="148"/>
      <c r="AS165" s="148"/>
      <c r="AT165" s="143" t="s">
        <v>518</v>
      </c>
      <c r="AU165" s="146">
        <f>AL88</f>
        <v>0.0152004480603702</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373</v>
      </c>
      <c r="V174" s="142" t="s">
        <v>218</v>
      </c>
      <c r="W174" s="141">
        <f t="shared" ref="W174:W177" si="292">W105</f>
        <v>0.0115995732974005</v>
      </c>
      <c r="X174" s="141"/>
      <c r="Y174" s="141" t="s">
        <v>374</v>
      </c>
      <c r="Z174" s="142" t="s">
        <v>218</v>
      </c>
      <c r="AA174" s="141">
        <f t="shared" ref="AA174:AA177" si="293">X105</f>
        <v>0.0111320216709438</v>
      </c>
      <c r="AB174" s="141"/>
      <c r="AC174" s="141" t="s">
        <v>375</v>
      </c>
      <c r="AD174" s="142" t="s">
        <v>218</v>
      </c>
      <c r="AE174" s="141">
        <f t="shared" ref="AE174:AE177" si="294">Y105</f>
        <v>0.0115156950672646</v>
      </c>
      <c r="AF174" s="141"/>
      <c r="AG174" s="141" t="s">
        <v>376</v>
      </c>
      <c r="AH174" s="142" t="s">
        <v>218</v>
      </c>
      <c r="AI174" s="141">
        <f t="shared" ref="AI174:AI177" si="295">Z105</f>
        <v>0.0118145059388425</v>
      </c>
      <c r="AJ174" s="141"/>
      <c r="AK174" s="141" t="s">
        <v>372</v>
      </c>
      <c r="AL174" s="142" t="s">
        <v>218</v>
      </c>
      <c r="AM174" s="141">
        <f t="shared" ref="AM174:AM177" si="296">AA105</f>
        <v>0.0120206352166076</v>
      </c>
      <c r="AN174" s="141"/>
      <c r="AO174" s="146" t="s">
        <v>371</v>
      </c>
      <c r="AP174" s="147" t="s">
        <v>218</v>
      </c>
      <c r="AQ174" s="146">
        <f>AK105</f>
        <v>0.0111106094808126</v>
      </c>
      <c r="AR174" s="146"/>
      <c r="AS174" s="146" t="s">
        <v>370</v>
      </c>
      <c r="AT174" s="147" t="s">
        <v>218</v>
      </c>
      <c r="AU174" s="146">
        <f>AL105</f>
        <v>0.0130580120268836</v>
      </c>
    </row>
    <row r="175" ht="16" spans="21:47">
      <c r="U175" s="141"/>
      <c r="V175" s="143" t="s">
        <v>516</v>
      </c>
      <c r="W175" s="141">
        <f t="shared" si="292"/>
        <v>0.0322272752793218</v>
      </c>
      <c r="X175" s="141"/>
      <c r="Y175" s="141"/>
      <c r="Z175" s="143" t="s">
        <v>516</v>
      </c>
      <c r="AA175" s="141">
        <f t="shared" si="293"/>
        <v>0.0310350727117194</v>
      </c>
      <c r="AB175" s="141"/>
      <c r="AC175" s="141"/>
      <c r="AD175" s="143" t="s">
        <v>516</v>
      </c>
      <c r="AE175" s="141">
        <f t="shared" si="294"/>
        <v>0.0321195814648729</v>
      </c>
      <c r="AF175" s="141"/>
      <c r="AG175" s="141"/>
      <c r="AH175" s="143" t="s">
        <v>516</v>
      </c>
      <c r="AI175" s="141">
        <f t="shared" si="295"/>
        <v>0.0332512004043467</v>
      </c>
      <c r="AJ175" s="141"/>
      <c r="AK175" s="141"/>
      <c r="AL175" s="143" t="s">
        <v>516</v>
      </c>
      <c r="AM175" s="141">
        <f t="shared" si="296"/>
        <v>0.033880290881969</v>
      </c>
      <c r="AN175" s="141"/>
      <c r="AO175" s="146"/>
      <c r="AP175" s="143" t="s">
        <v>516</v>
      </c>
      <c r="AQ175" s="146">
        <f>AK106</f>
        <v>0.0309897165788814</v>
      </c>
      <c r="AR175" s="146"/>
      <c r="AS175" s="146"/>
      <c r="AT175" s="143" t="s">
        <v>516</v>
      </c>
      <c r="AU175" s="146">
        <f>AL106</f>
        <v>0.0364214125692725</v>
      </c>
    </row>
    <row r="176" ht="16" spans="21:47">
      <c r="U176" s="141"/>
      <c r="V176" s="143" t="s">
        <v>517</v>
      </c>
      <c r="W176" s="141">
        <f t="shared" si="292"/>
        <v>0.0930380102184044</v>
      </c>
      <c r="X176" s="141"/>
      <c r="Y176" s="141"/>
      <c r="Z176" s="143" t="s">
        <v>517</v>
      </c>
      <c r="AA176" s="141">
        <f t="shared" si="293"/>
        <v>0.0901682349586541</v>
      </c>
      <c r="AB176" s="141"/>
      <c r="AC176" s="141"/>
      <c r="AD176" s="143" t="s">
        <v>517</v>
      </c>
      <c r="AE176" s="141">
        <f t="shared" si="294"/>
        <v>0.0934708520179372</v>
      </c>
      <c r="AF176" s="141"/>
      <c r="AG176" s="141"/>
      <c r="AH176" s="143" t="s">
        <v>517</v>
      </c>
      <c r="AI176" s="141">
        <f t="shared" si="295"/>
        <v>0.0946044983573414</v>
      </c>
      <c r="AJ176" s="141"/>
      <c r="AK176" s="141"/>
      <c r="AL176" s="143" t="s">
        <v>517</v>
      </c>
      <c r="AM176" s="141">
        <f t="shared" si="296"/>
        <v>0.0987631300888806</v>
      </c>
      <c r="AN176" s="141"/>
      <c r="AO176" s="146"/>
      <c r="AP176" s="143" t="s">
        <v>517</v>
      </c>
      <c r="AQ176" s="146">
        <f>AK107</f>
        <v>0.0901828442437923</v>
      </c>
      <c r="AR176" s="146"/>
      <c r="AS176" s="146"/>
      <c r="AT176" s="143" t="s">
        <v>517</v>
      </c>
      <c r="AU176" s="146">
        <f>AL107</f>
        <v>0.105989564909798</v>
      </c>
    </row>
    <row r="177" ht="16" spans="21:47">
      <c r="U177" s="144"/>
      <c r="V177" s="143" t="s">
        <v>518</v>
      </c>
      <c r="W177" s="141">
        <f t="shared" si="292"/>
        <v>0.0134355173769019</v>
      </c>
      <c r="X177" s="144"/>
      <c r="Y177" s="144"/>
      <c r="Z177" s="143" t="s">
        <v>518</v>
      </c>
      <c r="AA177" s="141">
        <f t="shared" si="293"/>
        <v>0.0132534930139721</v>
      </c>
      <c r="AB177" s="144"/>
      <c r="AC177" s="144"/>
      <c r="AD177" s="143" t="s">
        <v>518</v>
      </c>
      <c r="AE177" s="141">
        <f t="shared" si="294"/>
        <v>0.0138116591928251</v>
      </c>
      <c r="AF177" s="144"/>
      <c r="AG177" s="144"/>
      <c r="AH177" s="143" t="s">
        <v>518</v>
      </c>
      <c r="AI177" s="141">
        <f t="shared" si="295"/>
        <v>0.0141837250442254</v>
      </c>
      <c r="AJ177" s="144"/>
      <c r="AK177" s="144"/>
      <c r="AL177" s="143" t="s">
        <v>518</v>
      </c>
      <c r="AM177" s="141">
        <f t="shared" si="296"/>
        <v>0.0143824973584437</v>
      </c>
      <c r="AN177" s="144"/>
      <c r="AO177" s="148"/>
      <c r="AP177" s="143" t="s">
        <v>518</v>
      </c>
      <c r="AQ177" s="146">
        <f>AK108</f>
        <v>0.0133258088788563</v>
      </c>
      <c r="AR177" s="148"/>
      <c r="AS177" s="148"/>
      <c r="AT177" s="143" t="s">
        <v>518</v>
      </c>
      <c r="AU177" s="146">
        <f>AL108</f>
        <v>0.0156614785992218</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380</v>
      </c>
      <c r="V185" s="142" t="s">
        <v>218</v>
      </c>
      <c r="W185" s="141">
        <f t="shared" ref="W185:W188" si="297">W125</f>
        <v>0.00791645612262086</v>
      </c>
      <c r="X185" s="141"/>
      <c r="Y185" s="141" t="s">
        <v>381</v>
      </c>
      <c r="Z185" s="142" t="s">
        <v>218</v>
      </c>
      <c r="AA185" s="141">
        <f t="shared" ref="AA185:AA188" si="298">X125</f>
        <v>0.00768748217850014</v>
      </c>
      <c r="AB185" s="141"/>
      <c r="AC185" s="141" t="s">
        <v>382</v>
      </c>
      <c r="AD185" s="142" t="s">
        <v>218</v>
      </c>
      <c r="AE185" s="141">
        <f t="shared" ref="AE185:AE188" si="299">Y125</f>
        <v>0.00798206278026906</v>
      </c>
      <c r="AF185" s="141"/>
      <c r="AG185" s="141" t="s">
        <v>383</v>
      </c>
      <c r="AH185" s="142" t="s">
        <v>218</v>
      </c>
      <c r="AI185" s="141">
        <f t="shared" ref="AI185:AI188" si="300">Z125</f>
        <v>0.00797321202931515</v>
      </c>
      <c r="AJ185" s="141"/>
      <c r="AK185" s="141" t="s">
        <v>379</v>
      </c>
      <c r="AL185" s="142" t="s">
        <v>218</v>
      </c>
      <c r="AM185" s="141">
        <f t="shared" ref="AM185:AM188" si="301">AA125</f>
        <v>0.00805519298899869</v>
      </c>
      <c r="AN185" s="141"/>
      <c r="AO185" s="146" t="s">
        <v>378</v>
      </c>
      <c r="AP185" s="147" t="s">
        <v>218</v>
      </c>
      <c r="AQ185" s="146">
        <f>AK125</f>
        <v>0.0077012791572611</v>
      </c>
      <c r="AR185" s="146"/>
      <c r="AS185" s="146" t="s">
        <v>377</v>
      </c>
      <c r="AT185" s="147" t="s">
        <v>218</v>
      </c>
      <c r="AU185" s="146">
        <f>AL125</f>
        <v>0.00905111425539441</v>
      </c>
    </row>
    <row r="186" ht="16" spans="21:47">
      <c r="U186" s="141"/>
      <c r="V186" s="143" t="s">
        <v>516</v>
      </c>
      <c r="W186" s="141">
        <f t="shared" si="297"/>
        <v>0.0255740834315872</v>
      </c>
      <c r="X186" s="141"/>
      <c r="Y186" s="141"/>
      <c r="Z186" s="143" t="s">
        <v>516</v>
      </c>
      <c r="AA186" s="141">
        <f t="shared" si="298"/>
        <v>0.0248303393213573</v>
      </c>
      <c r="AB186" s="141"/>
      <c r="AC186" s="141"/>
      <c r="AD186" s="143" t="s">
        <v>516</v>
      </c>
      <c r="AE186" s="141">
        <f t="shared" si="299"/>
        <v>0.0257518684603886</v>
      </c>
      <c r="AF186" s="141"/>
      <c r="AG186" s="141"/>
      <c r="AH186" s="143" t="s">
        <v>516</v>
      </c>
      <c r="AI186" s="141">
        <f t="shared" si="300"/>
        <v>0.0256633813495072</v>
      </c>
      <c r="AJ186" s="141"/>
      <c r="AK186" s="141"/>
      <c r="AL186" s="143" t="s">
        <v>516</v>
      </c>
      <c r="AM186" s="141">
        <f t="shared" si="301"/>
        <v>0.0260053452669526</v>
      </c>
      <c r="AN186" s="141"/>
      <c r="AO186" s="146"/>
      <c r="AP186" s="143" t="s">
        <v>516</v>
      </c>
      <c r="AQ186" s="146">
        <f>AK126</f>
        <v>0.0248459994983697</v>
      </c>
      <c r="AR186" s="146"/>
      <c r="AS186" s="146"/>
      <c r="AT186" s="143" t="s">
        <v>516</v>
      </c>
      <c r="AU186" s="146">
        <f>AL126</f>
        <v>0.0292008607475534</v>
      </c>
    </row>
    <row r="187" ht="16" spans="21:47">
      <c r="U187" s="141"/>
      <c r="V187" s="143" t="s">
        <v>517</v>
      </c>
      <c r="W187" s="141">
        <f t="shared" si="297"/>
        <v>0.0604008758632306</v>
      </c>
      <c r="X187" s="141"/>
      <c r="Y187" s="141"/>
      <c r="Z187" s="143" t="s">
        <v>517</v>
      </c>
      <c r="AA187" s="141">
        <f t="shared" si="298"/>
        <v>0.0597262617621899</v>
      </c>
      <c r="AB187" s="141"/>
      <c r="AC187" s="141"/>
      <c r="AD187" s="143" t="s">
        <v>517</v>
      </c>
      <c r="AE187" s="141">
        <f t="shared" si="299"/>
        <v>0.0622242152466368</v>
      </c>
      <c r="AF187" s="141"/>
      <c r="AG187" s="141"/>
      <c r="AH187" s="143" t="s">
        <v>517</v>
      </c>
      <c r="AI187" s="141">
        <f t="shared" si="300"/>
        <v>0.0635392974475613</v>
      </c>
      <c r="AJ187" s="141"/>
      <c r="AK187" s="141"/>
      <c r="AL187" s="143" t="s">
        <v>517</v>
      </c>
      <c r="AM187" s="141">
        <f t="shared" si="301"/>
        <v>0.0635589533221456</v>
      </c>
      <c r="AN187" s="141"/>
      <c r="AO187" s="146"/>
      <c r="AP187" s="143" t="s">
        <v>517</v>
      </c>
      <c r="AQ187" s="146">
        <f>AK127</f>
        <v>0.0600353649360421</v>
      </c>
      <c r="AR187" s="146"/>
      <c r="AS187" s="146"/>
      <c r="AT187" s="143" t="s">
        <v>517</v>
      </c>
      <c r="AU187" s="146">
        <f>AL127</f>
        <v>0.0705580120268836</v>
      </c>
    </row>
    <row r="188" ht="16" spans="21:47">
      <c r="U188" s="144"/>
      <c r="V188" s="143" t="s">
        <v>518</v>
      </c>
      <c r="W188" s="141">
        <f t="shared" si="297"/>
        <v>0.013115490427264</v>
      </c>
      <c r="X188" s="144"/>
      <c r="Y188" s="144"/>
      <c r="Z188" s="143" t="s">
        <v>518</v>
      </c>
      <c r="AA188" s="141">
        <f t="shared" si="298"/>
        <v>0.0129683490162532</v>
      </c>
      <c r="AB188" s="144"/>
      <c r="AC188" s="144"/>
      <c r="AD188" s="143" t="s">
        <v>518</v>
      </c>
      <c r="AE188" s="141">
        <f t="shared" si="299"/>
        <v>0.0135067264573991</v>
      </c>
      <c r="AF188" s="144"/>
      <c r="AG188" s="144"/>
      <c r="AH188" s="143" t="s">
        <v>518</v>
      </c>
      <c r="AI188" s="141">
        <f t="shared" si="300"/>
        <v>0.013747788728835</v>
      </c>
      <c r="AJ188" s="144"/>
      <c r="AK188" s="144"/>
      <c r="AL188" s="143" t="s">
        <v>518</v>
      </c>
      <c r="AM188" s="141">
        <f t="shared" si="301"/>
        <v>0.0137858163962956</v>
      </c>
      <c r="AN188" s="144"/>
      <c r="AO188" s="148"/>
      <c r="AP188" s="143" t="s">
        <v>518</v>
      </c>
      <c r="AQ188" s="146">
        <f>AK128</f>
        <v>0.0130316027088036</v>
      </c>
      <c r="AR188" s="148"/>
      <c r="AS188" s="148"/>
      <c r="AT188" s="143" t="s">
        <v>518</v>
      </c>
      <c r="AU188" s="146">
        <f>AL128</f>
        <v>0.0153157056950831</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5"/>
  </sheetPr>
  <dimension ref="A1:AU188"/>
  <sheetViews>
    <sheetView zoomScale="57" zoomScaleNormal="57" topLeftCell="AH155" workbookViewId="0">
      <selection activeCell="AP197" sqref="AP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555</v>
      </c>
      <c r="B1" s="121"/>
      <c r="C1" s="121"/>
      <c r="D1" s="121"/>
      <c r="E1" s="121"/>
      <c r="F1" s="121"/>
      <c r="G1" s="121"/>
      <c r="H1" s="121"/>
      <c r="I1" s="121"/>
      <c r="J1" s="121"/>
      <c r="K1" s="123"/>
      <c r="L1" s="123" t="s">
        <v>282</v>
      </c>
      <c r="M1" s="123"/>
      <c r="N1" s="123"/>
      <c r="O1" s="123"/>
      <c r="P1" s="123"/>
      <c r="Q1" s="123"/>
      <c r="R1" s="123"/>
      <c r="S1" s="123"/>
      <c r="T1" s="123"/>
      <c r="U1" s="123"/>
      <c r="V1" s="123"/>
      <c r="W1" s="123" t="s">
        <v>556</v>
      </c>
      <c r="X1" s="123"/>
      <c r="Y1" s="123"/>
      <c r="Z1" s="123"/>
      <c r="AA1" s="123"/>
      <c r="AB1" s="134" t="s">
        <v>557</v>
      </c>
      <c r="AC1" s="134"/>
      <c r="AD1" s="123"/>
      <c r="AE1" s="123"/>
      <c r="AF1" s="123" t="s">
        <v>558</v>
      </c>
      <c r="AG1" s="123"/>
      <c r="AH1" s="123"/>
      <c r="AI1" s="123"/>
      <c r="AJ1" s="123"/>
      <c r="AK1" s="123"/>
      <c r="AL1" s="123"/>
      <c r="AM1" s="123"/>
      <c r="AN1" s="123"/>
      <c r="AO1" s="123" t="s">
        <v>559</v>
      </c>
      <c r="AP1" s="123"/>
      <c r="AQ1" s="123"/>
      <c r="AR1" s="123"/>
      <c r="AS1" s="123"/>
      <c r="AT1" s="123"/>
      <c r="AU1" s="123"/>
    </row>
    <row r="2" ht="30" customHeight="1" spans="1:47">
      <c r="A2" s="121" t="s">
        <v>523</v>
      </c>
      <c r="B2" s="121" t="s">
        <v>526</v>
      </c>
      <c r="C2" s="121" t="s">
        <v>525</v>
      </c>
      <c r="D2" s="121"/>
      <c r="E2" s="121"/>
      <c r="F2" s="121"/>
      <c r="G2" s="121"/>
      <c r="H2" s="121"/>
      <c r="I2" s="121"/>
      <c r="J2" s="121"/>
      <c r="K2" s="123"/>
      <c r="L2" s="123"/>
      <c r="M2" s="123"/>
      <c r="N2" s="123"/>
      <c r="O2" s="123"/>
      <c r="P2" s="123"/>
      <c r="Q2" s="123"/>
      <c r="R2" s="123"/>
      <c r="S2" s="123"/>
      <c r="T2" s="123"/>
      <c r="U2" s="123"/>
      <c r="V2" s="132" t="s">
        <v>560</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527</v>
      </c>
      <c r="D3" s="123" t="s">
        <v>333</v>
      </c>
      <c r="E3" s="123" t="s">
        <v>334</v>
      </c>
      <c r="F3" s="124" t="s">
        <v>335</v>
      </c>
      <c r="G3" s="123" t="s">
        <v>336</v>
      </c>
      <c r="H3" s="123" t="s">
        <v>241</v>
      </c>
      <c r="I3" s="123" t="s">
        <v>528</v>
      </c>
      <c r="J3" s="123" t="s">
        <v>529</v>
      </c>
      <c r="K3" s="123"/>
      <c r="L3" s="129" t="s">
        <v>527</v>
      </c>
      <c r="M3" s="123" t="s">
        <v>333</v>
      </c>
      <c r="N3" s="123" t="s">
        <v>334</v>
      </c>
      <c r="O3" s="123" t="s">
        <v>335</v>
      </c>
      <c r="P3" s="123" t="s">
        <v>336</v>
      </c>
      <c r="Q3" s="123" t="s">
        <v>241</v>
      </c>
      <c r="R3" s="123" t="s">
        <v>528</v>
      </c>
      <c r="S3" s="123" t="s">
        <v>529</v>
      </c>
      <c r="T3" s="123"/>
      <c r="U3" s="123"/>
      <c r="V3" s="132" t="s">
        <v>562</v>
      </c>
      <c r="W3" s="123" t="s">
        <v>333</v>
      </c>
      <c r="X3" s="123" t="s">
        <v>334</v>
      </c>
      <c r="Y3" s="124" t="s">
        <v>335</v>
      </c>
      <c r="Z3" s="123" t="s">
        <v>336</v>
      </c>
      <c r="AA3" s="123" t="s">
        <v>241</v>
      </c>
      <c r="AB3" s="135" t="s">
        <v>528</v>
      </c>
      <c r="AC3" s="135" t="s">
        <v>529</v>
      </c>
      <c r="AD3" s="123"/>
      <c r="AE3" s="123"/>
      <c r="AF3" s="123" t="s">
        <v>333</v>
      </c>
      <c r="AG3" s="123" t="s">
        <v>334</v>
      </c>
      <c r="AH3" s="124" t="s">
        <v>335</v>
      </c>
      <c r="AI3" s="123" t="s">
        <v>336</v>
      </c>
      <c r="AJ3" s="123" t="s">
        <v>241</v>
      </c>
      <c r="AK3" s="135" t="s">
        <v>528</v>
      </c>
      <c r="AL3" s="135" t="s">
        <v>529</v>
      </c>
      <c r="AM3" s="123"/>
      <c r="AN3" s="123"/>
      <c r="AO3" s="123" t="s">
        <v>333</v>
      </c>
      <c r="AP3" s="123" t="s">
        <v>334</v>
      </c>
      <c r="AQ3" s="124" t="s">
        <v>335</v>
      </c>
      <c r="AR3" s="123" t="s">
        <v>336</v>
      </c>
      <c r="AS3" s="123" t="s">
        <v>241</v>
      </c>
      <c r="AT3" s="135" t="s">
        <v>528</v>
      </c>
      <c r="AU3" s="135" t="s">
        <v>529</v>
      </c>
    </row>
    <row r="4" ht="15.5" customHeight="1" spans="1:47">
      <c r="A4" s="121" t="s">
        <v>530</v>
      </c>
      <c r="B4" s="125" t="s">
        <v>531</v>
      </c>
      <c r="C4" s="126">
        <f>Recyc_energy_use_Anna__SAME!C4</f>
        <v>0.8374</v>
      </c>
      <c r="D4" s="127">
        <f>Recyc_energy_use_Anna__SAME!D4</f>
        <v>0.8081</v>
      </c>
      <c r="E4" s="127">
        <f>Recyc_energy_use_Anna__SAME!E4</f>
        <v>0.7705</v>
      </c>
      <c r="F4" s="127">
        <f>Recyc_energy_use_Anna__SAME!F4</f>
        <v>0.76</v>
      </c>
      <c r="G4" s="127">
        <f>Recyc_energy_use_Anna__SAME!G4</f>
        <v>0.7551</v>
      </c>
      <c r="H4" s="127">
        <f>Recyc_energy_use_Anna__SAME!H4</f>
        <v>0.796</v>
      </c>
      <c r="I4" s="127">
        <f>Recyc_energy_use_Anna__SAME!I4</f>
        <v>0.76</v>
      </c>
      <c r="J4" s="127">
        <f>Recyc_energy_use_Anna__SAME!J4</f>
        <v>0.76</v>
      </c>
      <c r="K4" s="123"/>
      <c r="L4" s="129"/>
      <c r="M4" s="130">
        <v>5.937</v>
      </c>
      <c r="N4" s="130">
        <v>5.845</v>
      </c>
      <c r="O4" s="130">
        <v>5.575</v>
      </c>
      <c r="P4" s="130">
        <v>5.276</v>
      </c>
      <c r="Q4" s="130">
        <v>5.363</v>
      </c>
      <c r="R4" s="130">
        <v>6.645</v>
      </c>
      <c r="S4" s="130">
        <v>5.654</v>
      </c>
      <c r="T4" s="130"/>
      <c r="U4" s="121" t="s">
        <v>530</v>
      </c>
      <c r="V4" s="125" t="s">
        <v>531</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533</v>
      </c>
      <c r="C5" s="126">
        <f>Recyc_energy_use_Anna__SAME!C5</f>
        <v>0.7701</v>
      </c>
      <c r="D5" s="127">
        <f>Recyc_energy_use_Anna__SAME!D5</f>
        <v>0.7457</v>
      </c>
      <c r="E5" s="127">
        <f>Recyc_energy_use_Anna__SAME!E5</f>
        <v>0.7115</v>
      </c>
      <c r="F5" s="127">
        <f>Recyc_energy_use_Anna__SAME!F5</f>
        <v>0.7021</v>
      </c>
      <c r="G5" s="127">
        <f>Recyc_energy_use_Anna__SAME!G5</f>
        <v>0.6948</v>
      </c>
      <c r="H5" s="127">
        <f>Recyc_energy_use_Anna__SAME!H5</f>
        <v>0.7338</v>
      </c>
      <c r="I5" s="127">
        <f>Recyc_energy_use_Anna__SAME!I5</f>
        <v>0.7021</v>
      </c>
      <c r="J5" s="127">
        <f>Recyc_energy_use_Anna__SAME!J5</f>
        <v>0.7021</v>
      </c>
      <c r="K5" s="123"/>
      <c r="L5" s="123"/>
      <c r="M5" s="131">
        <v>5.937</v>
      </c>
      <c r="N5" s="131">
        <v>5.845</v>
      </c>
      <c r="O5" s="131">
        <v>5.575</v>
      </c>
      <c r="P5" s="131">
        <v>5.276</v>
      </c>
      <c r="Q5" s="131">
        <v>5.363</v>
      </c>
      <c r="R5" s="131">
        <v>6.645</v>
      </c>
      <c r="S5" s="131">
        <v>5.654</v>
      </c>
      <c r="T5" s="131"/>
      <c r="U5" s="121"/>
      <c r="V5" s="125" t="s">
        <v>533</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535</v>
      </c>
      <c r="C6" s="126">
        <f>Recyc_energy_use_Anna__SAME!C6</f>
        <v>0.1986</v>
      </c>
      <c r="D6" s="127">
        <f>Recyc_energy_use_Anna__SAME!D6</f>
        <v>0.1717</v>
      </c>
      <c r="E6" s="127">
        <f>Recyc_energy_use_Anna__SAME!E6</f>
        <v>0.1611</v>
      </c>
      <c r="F6" s="127">
        <f>Recyc_energy_use_Anna__SAME!F6</f>
        <v>0.1579</v>
      </c>
      <c r="G6" s="127">
        <f>Recyc_energy_use_Anna__SAME!G6</f>
        <v>0.1521</v>
      </c>
      <c r="H6" s="127">
        <f>Recyc_energy_use_Anna__SAME!H6</f>
        <v>0.1588</v>
      </c>
      <c r="I6" s="127">
        <f>Recyc_energy_use_Anna__SAME!I6</f>
        <v>0.1579</v>
      </c>
      <c r="J6" s="127">
        <f>Recyc_energy_use_Anna__SAME!J6</f>
        <v>0.1579</v>
      </c>
      <c r="K6" s="123"/>
      <c r="L6" s="123"/>
      <c r="M6" s="131">
        <v>5.937</v>
      </c>
      <c r="N6" s="131">
        <v>5.845</v>
      </c>
      <c r="O6" s="131">
        <v>5.575</v>
      </c>
      <c r="P6" s="131">
        <v>5.276</v>
      </c>
      <c r="Q6" s="131">
        <v>5.363</v>
      </c>
      <c r="R6" s="131">
        <v>6.645</v>
      </c>
      <c r="S6" s="131">
        <v>5.654</v>
      </c>
      <c r="T6" s="131"/>
      <c r="U6" s="121"/>
      <c r="V6" s="125" t="s">
        <v>535</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537</v>
      </c>
      <c r="C7" s="126">
        <f>Recyc_energy_use_Anna__SAME!C7</f>
        <v>0.487</v>
      </c>
      <c r="D7" s="127">
        <f>Recyc_energy_use_Anna__SAME!D7</f>
        <v>0.4967</v>
      </c>
      <c r="E7" s="127">
        <f>Recyc_energy_use_Anna__SAME!E7</f>
        <v>0.4758</v>
      </c>
      <c r="F7" s="127">
        <f>Recyc_energy_use_Anna__SAME!F7</f>
        <v>0.4705</v>
      </c>
      <c r="G7" s="127">
        <f>Recyc_energy_use_Anna__SAME!G7</f>
        <v>0.4665</v>
      </c>
      <c r="H7" s="127">
        <f>Recyc_energy_use_Anna__SAME!H7</f>
        <v>0.496</v>
      </c>
      <c r="I7" s="127">
        <f>Recyc_energy_use_Anna__SAME!I7</f>
        <v>0.4705</v>
      </c>
      <c r="J7" s="127">
        <f>Recyc_energy_use_Anna__SAME!J7</f>
        <v>0.4705</v>
      </c>
      <c r="K7" s="123"/>
      <c r="L7" s="123"/>
      <c r="M7" s="131">
        <v>5.937</v>
      </c>
      <c r="N7" s="131">
        <v>5.845</v>
      </c>
      <c r="O7" s="131">
        <v>5.575</v>
      </c>
      <c r="P7" s="131">
        <v>5.276</v>
      </c>
      <c r="Q7" s="131">
        <v>5.363</v>
      </c>
      <c r="R7" s="131">
        <v>6.645</v>
      </c>
      <c r="S7" s="131">
        <v>5.654</v>
      </c>
      <c r="T7" s="131"/>
      <c r="U7" s="121"/>
      <c r="V7" s="125" t="s">
        <v>537</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538</v>
      </c>
      <c r="C8" s="126">
        <f>Recyc_energy_use_Anna__SAME!C8</f>
        <v>0.0845</v>
      </c>
      <c r="D8" s="127">
        <f>Recyc_energy_use_Anna__SAME!D8</f>
        <v>0.0773</v>
      </c>
      <c r="E8" s="127">
        <f>Recyc_energy_use_Anna__SAME!E8</f>
        <v>0.0745</v>
      </c>
      <c r="F8" s="127">
        <f>Recyc_energy_use_Anna__SAME!F8</f>
        <v>0.0736</v>
      </c>
      <c r="G8" s="127">
        <f>Recyc_energy_use_Anna__SAME!G8</f>
        <v>0.0761</v>
      </c>
      <c r="H8" s="127">
        <f>Recyc_energy_use_Anna__SAME!H8</f>
        <v>0.0789</v>
      </c>
      <c r="I8" s="127">
        <f>Recyc_energy_use_Anna__SAME!I8</f>
        <v>0.0736</v>
      </c>
      <c r="J8" s="127">
        <f>Recyc_energy_use_Anna__SAME!J8</f>
        <v>0.0736</v>
      </c>
      <c r="K8" s="123"/>
      <c r="L8" s="123"/>
      <c r="M8" s="131">
        <v>5.937</v>
      </c>
      <c r="N8" s="131">
        <v>5.845</v>
      </c>
      <c r="O8" s="131">
        <v>5.575</v>
      </c>
      <c r="P8" s="131">
        <v>5.276</v>
      </c>
      <c r="Q8" s="131">
        <v>5.363</v>
      </c>
      <c r="R8" s="131">
        <v>6.645</v>
      </c>
      <c r="S8" s="131">
        <v>5.654</v>
      </c>
      <c r="T8" s="131"/>
      <c r="U8" s="121"/>
      <c r="V8" s="125" t="s">
        <v>538</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391</v>
      </c>
      <c r="B9" s="125" t="s">
        <v>531</v>
      </c>
      <c r="C9" s="126">
        <f>Recyc_energy_use_Anna__SAME!C9</f>
        <v>0.855</v>
      </c>
      <c r="D9" s="127">
        <f>Recyc_energy_use_Anna__SAME!D9</f>
        <v>0.8241</v>
      </c>
      <c r="E9" s="127">
        <f>Recyc_energy_use_Anna__SAME!E9</f>
        <v>0.7857</v>
      </c>
      <c r="F9" s="127">
        <f>Recyc_energy_use_Anna__SAME!F9</f>
        <v>0.775</v>
      </c>
      <c r="G9" s="127">
        <f>Recyc_energy_use_Anna__SAME!G9</f>
        <v>0.7702</v>
      </c>
      <c r="H9" s="127">
        <f>Recyc_energy_use_Anna__SAME!H9</f>
        <v>0.8116</v>
      </c>
      <c r="I9" s="127">
        <f>Recyc_energy_use_Anna__SAME!I9</f>
        <v>0.775</v>
      </c>
      <c r="J9" s="127">
        <f>Recyc_energy_use_Anna__SAME!J9</f>
        <v>0.775</v>
      </c>
      <c r="K9" s="123"/>
      <c r="L9" s="123"/>
      <c r="M9" s="131">
        <v>5.937</v>
      </c>
      <c r="N9" s="131">
        <v>5.845</v>
      </c>
      <c r="O9" s="131">
        <v>5.575</v>
      </c>
      <c r="P9" s="131">
        <v>5.276</v>
      </c>
      <c r="Q9" s="131">
        <v>5.363</v>
      </c>
      <c r="R9" s="131">
        <v>6.645</v>
      </c>
      <c r="S9" s="131">
        <v>5.654</v>
      </c>
      <c r="T9" s="131"/>
      <c r="U9" s="121" t="s">
        <v>391</v>
      </c>
      <c r="V9" s="125" t="s">
        <v>531</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533</v>
      </c>
      <c r="C10" s="126">
        <f>Recyc_energy_use_Anna__SAME!C10</f>
        <v>0.7888</v>
      </c>
      <c r="D10" s="127">
        <f>Recyc_energy_use_Anna__SAME!D10</f>
        <v>0.7626</v>
      </c>
      <c r="E10" s="127">
        <f>Recyc_energy_use_Anna__SAME!E10</f>
        <v>0.7275</v>
      </c>
      <c r="F10" s="127">
        <f>Recyc_energy_use_Anna__SAME!F10</f>
        <v>0.7179</v>
      </c>
      <c r="G10" s="127">
        <f>Recyc_energy_use_Anna__SAME!G10</f>
        <v>0.7107</v>
      </c>
      <c r="H10" s="127">
        <f>Recyc_energy_use_Anna__SAME!H10</f>
        <v>0.7503</v>
      </c>
      <c r="I10" s="127">
        <f>Recyc_energy_use_Anna__SAME!I10</f>
        <v>0.7179</v>
      </c>
      <c r="J10" s="127">
        <f>Recyc_energy_use_Anna__SAME!J10</f>
        <v>0.7179</v>
      </c>
      <c r="K10" s="123"/>
      <c r="L10" s="123"/>
      <c r="M10" s="131">
        <v>5.937</v>
      </c>
      <c r="N10" s="131">
        <v>5.845</v>
      </c>
      <c r="O10" s="131">
        <v>5.575</v>
      </c>
      <c r="P10" s="131">
        <v>5.276</v>
      </c>
      <c r="Q10" s="131">
        <v>5.363</v>
      </c>
      <c r="R10" s="131">
        <v>6.645</v>
      </c>
      <c r="S10" s="131">
        <v>5.654</v>
      </c>
      <c r="T10" s="131"/>
      <c r="U10" s="121"/>
      <c r="V10" s="125" t="s">
        <v>533</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535</v>
      </c>
      <c r="C11" s="126">
        <f>Recyc_energy_use_Anna__SAME!C11</f>
        <v>0.2381</v>
      </c>
      <c r="D11" s="127">
        <f>Recyc_energy_use_Anna__SAME!D11</f>
        <v>0.2075</v>
      </c>
      <c r="E11" s="127">
        <f>Recyc_energy_use_Anna__SAME!E11</f>
        <v>0.1951</v>
      </c>
      <c r="F11" s="127">
        <f>Recyc_energy_use_Anna__SAME!F11</f>
        <v>0.1916</v>
      </c>
      <c r="G11" s="127">
        <f>Recyc_energy_use_Anna__SAME!G11</f>
        <v>0.186</v>
      </c>
      <c r="H11" s="127">
        <f>Recyc_energy_use_Anna__SAME!H11</f>
        <v>0.1938</v>
      </c>
      <c r="I11" s="127">
        <f>Recyc_energy_use_Anna__SAME!I11</f>
        <v>0.1916</v>
      </c>
      <c r="J11" s="127">
        <f>Recyc_energy_use_Anna__SAME!J11</f>
        <v>0.1916</v>
      </c>
      <c r="K11" s="123"/>
      <c r="L11" s="123"/>
      <c r="M11" s="131">
        <v>5.937</v>
      </c>
      <c r="N11" s="131">
        <v>5.845</v>
      </c>
      <c r="O11" s="131">
        <v>5.575</v>
      </c>
      <c r="P11" s="131">
        <v>5.276</v>
      </c>
      <c r="Q11" s="131">
        <v>5.363</v>
      </c>
      <c r="R11" s="131">
        <v>6.645</v>
      </c>
      <c r="S11" s="131">
        <v>5.654</v>
      </c>
      <c r="T11" s="131"/>
      <c r="U11" s="121"/>
      <c r="V11" s="125" t="s">
        <v>535</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537</v>
      </c>
      <c r="C12" s="126">
        <f>Recyc_energy_use_Anna__SAME!C12</f>
        <v>0.4629</v>
      </c>
      <c r="D12" s="127">
        <f>Recyc_energy_use_Anna__SAME!D12</f>
        <v>0.4749</v>
      </c>
      <c r="E12" s="127">
        <f>Recyc_energy_use_Anna__SAME!E12</f>
        <v>0.4551</v>
      </c>
      <c r="F12" s="127">
        <f>Recyc_energy_use_Anna__SAME!F12</f>
        <v>0.45</v>
      </c>
      <c r="G12" s="127">
        <f>Recyc_energy_use_Anna__SAME!G12</f>
        <v>0.4459</v>
      </c>
      <c r="H12" s="127">
        <f>Recyc_energy_use_Anna__SAME!H12</f>
        <v>0.4747</v>
      </c>
      <c r="I12" s="127">
        <f>Recyc_energy_use_Anna__SAME!I12</f>
        <v>0.45</v>
      </c>
      <c r="J12" s="127">
        <f>Recyc_energy_use_Anna__SAME!J12</f>
        <v>0.45</v>
      </c>
      <c r="K12" s="123"/>
      <c r="L12" s="123"/>
      <c r="M12" s="131">
        <v>5.937</v>
      </c>
      <c r="N12" s="131">
        <v>5.845</v>
      </c>
      <c r="O12" s="131">
        <v>5.575</v>
      </c>
      <c r="P12" s="131">
        <v>5.276</v>
      </c>
      <c r="Q12" s="131">
        <v>5.363</v>
      </c>
      <c r="R12" s="131">
        <v>6.645</v>
      </c>
      <c r="S12" s="131">
        <v>5.654</v>
      </c>
      <c r="T12" s="131"/>
      <c r="U12" s="121"/>
      <c r="V12" s="125" t="s">
        <v>537</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538</v>
      </c>
      <c r="C13" s="126">
        <f>Recyc_energy_use_Anna__SAME!C13</f>
        <v>0.0877</v>
      </c>
      <c r="D13" s="127">
        <f>Recyc_energy_use_Anna__SAME!D13</f>
        <v>0.0802</v>
      </c>
      <c r="E13" s="127">
        <f>Recyc_energy_use_Anna__SAME!E13</f>
        <v>0.0772</v>
      </c>
      <c r="F13" s="127">
        <f>Recyc_energy_use_Anna__SAME!F13</f>
        <v>0.0763</v>
      </c>
      <c r="G13" s="127">
        <f>Recyc_energy_use_Anna__SAME!G13</f>
        <v>0.0789</v>
      </c>
      <c r="H13" s="127">
        <f>Recyc_energy_use_Anna__SAME!H13</f>
        <v>0.0817</v>
      </c>
      <c r="I13" s="127">
        <f>Recyc_energy_use_Anna__SAME!I13</f>
        <v>0.0763</v>
      </c>
      <c r="J13" s="127">
        <f>Recyc_energy_use_Anna__SAME!J13</f>
        <v>0.0763</v>
      </c>
      <c r="K13" s="123"/>
      <c r="L13" s="123"/>
      <c r="M13" s="131">
        <v>5.937</v>
      </c>
      <c r="N13" s="131">
        <v>5.845</v>
      </c>
      <c r="O13" s="131">
        <v>5.575</v>
      </c>
      <c r="P13" s="131">
        <v>5.276</v>
      </c>
      <c r="Q13" s="131">
        <v>5.363</v>
      </c>
      <c r="R13" s="131">
        <v>6.645</v>
      </c>
      <c r="S13" s="131">
        <v>5.654</v>
      </c>
      <c r="T13" s="131"/>
      <c r="U13" s="121"/>
      <c r="V13" s="125" t="s">
        <v>538</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401</v>
      </c>
      <c r="B14" s="125" t="s">
        <v>531</v>
      </c>
      <c r="C14" s="126">
        <f>Recyc_energy_use_Anna__SAME!C14</f>
        <v>0.8705</v>
      </c>
      <c r="D14" s="127">
        <f>Recyc_energy_use_Anna__SAME!D14</f>
        <v>0.8381</v>
      </c>
      <c r="E14" s="127">
        <f>Recyc_energy_use_Anna__SAME!E14</f>
        <v>0.799</v>
      </c>
      <c r="F14" s="127">
        <f>Recyc_energy_use_Anna__SAME!F14</f>
        <v>0.7882</v>
      </c>
      <c r="G14" s="127">
        <f>Recyc_energy_use_Anna__SAME!G14</f>
        <v>0.7835</v>
      </c>
      <c r="H14" s="127">
        <f>Recyc_energy_use_Anna__SAME!H14</f>
        <v>0.8253</v>
      </c>
      <c r="I14" s="127">
        <f>Recyc_energy_use_Anna__SAME!I14</f>
        <v>0.7882</v>
      </c>
      <c r="J14" s="127">
        <f>Recyc_energy_use_Anna__SAME!J14</f>
        <v>0.7882</v>
      </c>
      <c r="K14" s="123"/>
      <c r="L14" s="123"/>
      <c r="M14" s="131">
        <v>5.937</v>
      </c>
      <c r="N14" s="131">
        <v>5.845</v>
      </c>
      <c r="O14" s="131">
        <v>5.575</v>
      </c>
      <c r="P14" s="131">
        <v>5.276</v>
      </c>
      <c r="Q14" s="131">
        <v>5.363</v>
      </c>
      <c r="R14" s="131">
        <v>6.645</v>
      </c>
      <c r="S14" s="131">
        <v>5.654</v>
      </c>
      <c r="T14" s="131"/>
      <c r="U14" s="121" t="s">
        <v>401</v>
      </c>
      <c r="V14" s="125" t="s">
        <v>531</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533</v>
      </c>
      <c r="C15" s="126">
        <f>Recyc_energy_use_Anna__SAME!C15</f>
        <v>0.8012</v>
      </c>
      <c r="D15" s="127">
        <f>Recyc_energy_use_Anna__SAME!D15</f>
        <v>0.7738</v>
      </c>
      <c r="E15" s="127">
        <f>Recyc_energy_use_Anna__SAME!E15</f>
        <v>0.7382</v>
      </c>
      <c r="F15" s="127">
        <f>Recyc_energy_use_Anna__SAME!F15</f>
        <v>0.7285</v>
      </c>
      <c r="G15" s="127">
        <f>Recyc_energy_use_Anna__SAME!G15</f>
        <v>0.7214</v>
      </c>
      <c r="H15" s="127">
        <f>Recyc_energy_use_Anna__SAME!H15</f>
        <v>0.7613</v>
      </c>
      <c r="I15" s="127">
        <f>Recyc_energy_use_Anna__SAME!I15</f>
        <v>0.7285</v>
      </c>
      <c r="J15" s="127">
        <f>Recyc_energy_use_Anna__SAME!J15</f>
        <v>0.7285</v>
      </c>
      <c r="K15" s="123"/>
      <c r="L15" s="123"/>
      <c r="M15" s="131">
        <v>5.937</v>
      </c>
      <c r="N15" s="131">
        <v>5.845</v>
      </c>
      <c r="O15" s="131">
        <v>5.575</v>
      </c>
      <c r="P15" s="131">
        <v>5.276</v>
      </c>
      <c r="Q15" s="131">
        <v>5.363</v>
      </c>
      <c r="R15" s="131">
        <v>6.645</v>
      </c>
      <c r="S15" s="131">
        <v>5.654</v>
      </c>
      <c r="T15" s="131"/>
      <c r="U15" s="121"/>
      <c r="V15" s="125" t="s">
        <v>533</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535</v>
      </c>
      <c r="C16" s="126">
        <f>Recyc_energy_use_Anna__SAME!C16</f>
        <v>0.3021</v>
      </c>
      <c r="D16" s="127">
        <f>Recyc_energy_use_Anna__SAME!D16</f>
        <v>0.2654</v>
      </c>
      <c r="E16" s="127">
        <f>Recyc_energy_use_Anna__SAME!E16</f>
        <v>0.2502</v>
      </c>
      <c r="F16" s="127">
        <f>Recyc_energy_use_Anna__SAME!F16</f>
        <v>0.246</v>
      </c>
      <c r="G16" s="127">
        <f>Recyc_energy_use_Anna__SAME!G16</f>
        <v>0.2408</v>
      </c>
      <c r="H16" s="127">
        <f>Recyc_energy_use_Anna__SAME!H16</f>
        <v>0.2506</v>
      </c>
      <c r="I16" s="127">
        <f>Recyc_energy_use_Anna__SAME!I16</f>
        <v>0.246</v>
      </c>
      <c r="J16" s="127">
        <f>Recyc_energy_use_Anna__SAME!J16</f>
        <v>0.246</v>
      </c>
      <c r="K16" s="123"/>
      <c r="L16" s="123"/>
      <c r="M16" s="131">
        <v>5.937</v>
      </c>
      <c r="N16" s="131">
        <v>5.845</v>
      </c>
      <c r="O16" s="131">
        <v>5.575</v>
      </c>
      <c r="P16" s="131">
        <v>5.276</v>
      </c>
      <c r="Q16" s="131">
        <v>5.363</v>
      </c>
      <c r="R16" s="131">
        <v>6.645</v>
      </c>
      <c r="S16" s="131">
        <v>5.654</v>
      </c>
      <c r="T16" s="131"/>
      <c r="U16" s="121"/>
      <c r="V16" s="125" t="s">
        <v>535</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537</v>
      </c>
      <c r="C17" s="126">
        <f>Recyc_energy_use_Anna__SAME!C17</f>
        <v>0.4137</v>
      </c>
      <c r="D17" s="127">
        <f>Recyc_energy_use_Anna__SAME!D17</f>
        <v>0.4304</v>
      </c>
      <c r="E17" s="127">
        <f>Recyc_energy_use_Anna__SAME!E17</f>
        <v>0.4127</v>
      </c>
      <c r="F17" s="127">
        <f>Recyc_energy_use_Anna__SAME!F17</f>
        <v>0.4081</v>
      </c>
      <c r="G17" s="127">
        <f>Recyc_energy_use_Anna__SAME!G17</f>
        <v>0.4037</v>
      </c>
      <c r="H17" s="127">
        <f>Recyc_energy_use_Anna__SAME!H17</f>
        <v>0.4311</v>
      </c>
      <c r="I17" s="127">
        <f>Recyc_energy_use_Anna__SAME!I17</f>
        <v>0.4081</v>
      </c>
      <c r="J17" s="127">
        <f>Recyc_energy_use_Anna__SAME!J17</f>
        <v>0.4081</v>
      </c>
      <c r="K17" s="123"/>
      <c r="L17" s="123"/>
      <c r="M17" s="131">
        <v>5.937</v>
      </c>
      <c r="N17" s="131">
        <v>5.845</v>
      </c>
      <c r="O17" s="131">
        <v>5.575</v>
      </c>
      <c r="P17" s="131">
        <v>5.276</v>
      </c>
      <c r="Q17" s="131">
        <v>5.363</v>
      </c>
      <c r="R17" s="131">
        <v>6.645</v>
      </c>
      <c r="S17" s="131">
        <v>5.654</v>
      </c>
      <c r="T17" s="131"/>
      <c r="U17" s="121"/>
      <c r="V17" s="125" t="s">
        <v>537</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538</v>
      </c>
      <c r="C18" s="126">
        <f>Recyc_energy_use_Anna__SAME!C18</f>
        <v>0.0853</v>
      </c>
      <c r="D18" s="127">
        <f>Recyc_energy_use_Anna__SAME!D18</f>
        <v>0.0781</v>
      </c>
      <c r="E18" s="127">
        <f>Recyc_energy_use_Anna__SAME!E18</f>
        <v>0.0752</v>
      </c>
      <c r="F18" s="127">
        <f>Recyc_energy_use_Anna__SAME!F18</f>
        <v>0.0743</v>
      </c>
      <c r="G18" s="127">
        <f>Recyc_energy_use_Anna__SAME!G18</f>
        <v>0.0768</v>
      </c>
      <c r="H18" s="127">
        <f>Recyc_energy_use_Anna__SAME!H18</f>
        <v>0.0797</v>
      </c>
      <c r="I18" s="127">
        <f>Recyc_energy_use_Anna__SAME!I18</f>
        <v>0.0743</v>
      </c>
      <c r="J18" s="127">
        <f>Recyc_energy_use_Anna__SAME!J18</f>
        <v>0.0743</v>
      </c>
      <c r="K18" s="123"/>
      <c r="L18" s="123"/>
      <c r="M18" s="131">
        <v>5.937</v>
      </c>
      <c r="N18" s="131">
        <v>5.845</v>
      </c>
      <c r="O18" s="131">
        <v>5.575</v>
      </c>
      <c r="P18" s="131">
        <v>5.276</v>
      </c>
      <c r="Q18" s="131">
        <v>5.363</v>
      </c>
      <c r="R18" s="131">
        <v>6.645</v>
      </c>
      <c r="S18" s="131">
        <v>5.654</v>
      </c>
      <c r="T18" s="131"/>
      <c r="U18" s="121"/>
      <c r="V18" s="125" t="s">
        <v>538</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563</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523</v>
      </c>
      <c r="B22" s="121" t="s">
        <v>564</v>
      </c>
      <c r="C22" s="121" t="s">
        <v>525</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527</v>
      </c>
      <c r="D23" s="123" t="s">
        <v>333</v>
      </c>
      <c r="E23" s="123" t="s">
        <v>334</v>
      </c>
      <c r="F23" s="124" t="s">
        <v>335</v>
      </c>
      <c r="G23" s="123" t="s">
        <v>336</v>
      </c>
      <c r="H23" s="123" t="s">
        <v>241</v>
      </c>
      <c r="I23" s="123" t="s">
        <v>528</v>
      </c>
      <c r="J23" s="123" t="s">
        <v>529</v>
      </c>
      <c r="K23" s="123"/>
      <c r="L23" s="123"/>
      <c r="M23" s="123" t="s">
        <v>333</v>
      </c>
      <c r="N23" s="123" t="s">
        <v>334</v>
      </c>
      <c r="O23" s="123" t="s">
        <v>335</v>
      </c>
      <c r="P23" s="123" t="s">
        <v>336</v>
      </c>
      <c r="Q23" s="123" t="s">
        <v>241</v>
      </c>
      <c r="R23" s="123" t="s">
        <v>528</v>
      </c>
      <c r="S23" s="123" t="s">
        <v>529</v>
      </c>
      <c r="T23" s="123"/>
      <c r="U23" s="123"/>
      <c r="V23" s="132" t="s">
        <v>562</v>
      </c>
      <c r="W23" s="123" t="s">
        <v>333</v>
      </c>
      <c r="X23" s="123" t="s">
        <v>334</v>
      </c>
      <c r="Y23" s="124" t="s">
        <v>335</v>
      </c>
      <c r="Z23" s="123" t="s">
        <v>336</v>
      </c>
      <c r="AA23" s="123" t="s">
        <v>241</v>
      </c>
      <c r="AB23" s="135" t="s">
        <v>528</v>
      </c>
      <c r="AC23" s="135" t="s">
        <v>529</v>
      </c>
      <c r="AD23" s="123"/>
      <c r="AE23" s="123"/>
      <c r="AF23" s="123" t="s">
        <v>333</v>
      </c>
      <c r="AG23" s="123" t="s">
        <v>334</v>
      </c>
      <c r="AH23" s="124" t="s">
        <v>335</v>
      </c>
      <c r="AI23" s="123" t="s">
        <v>336</v>
      </c>
      <c r="AJ23" s="123" t="s">
        <v>241</v>
      </c>
      <c r="AK23" s="135" t="s">
        <v>528</v>
      </c>
      <c r="AL23" s="135" t="s">
        <v>529</v>
      </c>
      <c r="AM23" s="123"/>
      <c r="AN23" s="123"/>
      <c r="AO23" s="123" t="s">
        <v>333</v>
      </c>
      <c r="AP23" s="123" t="s">
        <v>334</v>
      </c>
      <c r="AQ23" s="124" t="s">
        <v>335</v>
      </c>
      <c r="AR23" s="123" t="s">
        <v>336</v>
      </c>
      <c r="AS23" s="123" t="s">
        <v>241</v>
      </c>
      <c r="AT23" s="135" t="s">
        <v>528</v>
      </c>
      <c r="AU23" s="135" t="s">
        <v>529</v>
      </c>
    </row>
    <row r="24" ht="15.5" customHeight="1" spans="1:47">
      <c r="A24" s="121" t="s">
        <v>530</v>
      </c>
      <c r="B24" s="125" t="s">
        <v>531</v>
      </c>
      <c r="C24" s="126">
        <f>Recyc_energy_use_Anna__SAME!C24</f>
        <v>0.8898</v>
      </c>
      <c r="D24" s="127">
        <f>Recyc_energy_use_Anna__SAME!D24</f>
        <v>0.8432</v>
      </c>
      <c r="E24" s="127">
        <f>Recyc_energy_use_Anna__SAME!E24</f>
        <v>0.8038</v>
      </c>
      <c r="F24" s="127">
        <f>Recyc_energy_use_Anna__SAME!F24</f>
        <v>0.7946</v>
      </c>
      <c r="G24" s="127">
        <f>Recyc_energy_use_Anna__SAME!G24</f>
        <v>0.7665</v>
      </c>
      <c r="H24" s="127">
        <f>Recyc_energy_use_Anna__SAME!H24</f>
        <v>0.8066</v>
      </c>
      <c r="I24" s="127">
        <f>Recyc_energy_use_Anna__SAME!I24</f>
        <v>0.7946</v>
      </c>
      <c r="J24" s="127">
        <f>Recyc_energy_use_Anna__SAME!J24</f>
        <v>0.7946</v>
      </c>
      <c r="K24" s="123"/>
      <c r="L24" s="123"/>
      <c r="M24" s="130">
        <v>5.937</v>
      </c>
      <c r="N24" s="130">
        <v>5.845</v>
      </c>
      <c r="O24" s="130">
        <v>5.575</v>
      </c>
      <c r="P24" s="130">
        <v>5.276</v>
      </c>
      <c r="Q24" s="130">
        <v>5.363</v>
      </c>
      <c r="R24" s="130">
        <v>6.645</v>
      </c>
      <c r="S24" s="130">
        <v>5.654</v>
      </c>
      <c r="T24" s="130"/>
      <c r="U24" s="121" t="s">
        <v>530</v>
      </c>
      <c r="V24" s="125" t="s">
        <v>531</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533</v>
      </c>
      <c r="C25" s="126">
        <f>Recyc_energy_use_Anna__SAME!C25</f>
        <v>0.8124</v>
      </c>
      <c r="D25" s="127">
        <f>Recyc_energy_use_Anna__SAME!D25</f>
        <v>0.7746</v>
      </c>
      <c r="E25" s="127">
        <f>Recyc_energy_use_Anna__SAME!E25</f>
        <v>0.739</v>
      </c>
      <c r="F25" s="127">
        <f>Recyc_energy_use_Anna__SAME!F25</f>
        <v>0.7307</v>
      </c>
      <c r="G25" s="127">
        <f>Recyc_energy_use_Anna__SAME!G25</f>
        <v>0.7045</v>
      </c>
      <c r="H25" s="127">
        <f>Recyc_energy_use_Anna__SAME!H25</f>
        <v>0.7424</v>
      </c>
      <c r="I25" s="127">
        <f>Recyc_energy_use_Anna__SAME!I25</f>
        <v>0.7307</v>
      </c>
      <c r="J25" s="127">
        <f>Recyc_energy_use_Anna__SAME!J25</f>
        <v>0.7307</v>
      </c>
      <c r="K25" s="123"/>
      <c r="L25" s="123"/>
      <c r="M25" s="131">
        <v>5.937</v>
      </c>
      <c r="N25" s="131">
        <v>5.845</v>
      </c>
      <c r="O25" s="131">
        <v>5.575</v>
      </c>
      <c r="P25" s="131">
        <v>5.276</v>
      </c>
      <c r="Q25" s="131">
        <v>5.363</v>
      </c>
      <c r="R25" s="131">
        <v>6.645</v>
      </c>
      <c r="S25" s="131">
        <v>5.654</v>
      </c>
      <c r="T25" s="131"/>
      <c r="U25" s="121"/>
      <c r="V25" s="125" t="s">
        <v>533</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535</v>
      </c>
      <c r="C26" s="126">
        <f>Recyc_energy_use_Anna__SAME!C26</f>
        <v>0.1699</v>
      </c>
      <c r="D26" s="127">
        <f>Recyc_energy_use_Anna__SAME!D26</f>
        <v>0.1497</v>
      </c>
      <c r="E26" s="127">
        <f>Recyc_energy_use_Anna__SAME!E26</f>
        <v>0.1418</v>
      </c>
      <c r="F26" s="127">
        <f>Recyc_energy_use_Anna__SAME!F26</f>
        <v>0.1399</v>
      </c>
      <c r="G26" s="127">
        <f>Recyc_energy_use_Anna__SAME!G26</f>
        <v>0.1359</v>
      </c>
      <c r="H26" s="127">
        <f>Recyc_energy_use_Anna__SAME!H26</f>
        <v>0.1408</v>
      </c>
      <c r="I26" s="127">
        <f>Recyc_energy_use_Anna__SAME!I26</f>
        <v>0.1399</v>
      </c>
      <c r="J26" s="127">
        <f>Recyc_energy_use_Anna__SAME!J26</f>
        <v>0.1399</v>
      </c>
      <c r="K26" s="123"/>
      <c r="L26" s="123"/>
      <c r="M26" s="131">
        <v>5.937</v>
      </c>
      <c r="N26" s="131">
        <v>5.845</v>
      </c>
      <c r="O26" s="131">
        <v>5.575</v>
      </c>
      <c r="P26" s="131">
        <v>5.276</v>
      </c>
      <c r="Q26" s="131">
        <v>5.363</v>
      </c>
      <c r="R26" s="131">
        <v>6.645</v>
      </c>
      <c r="S26" s="131">
        <v>5.654</v>
      </c>
      <c r="T26" s="131"/>
      <c r="U26" s="121"/>
      <c r="V26" s="125" t="s">
        <v>535</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537</v>
      </c>
      <c r="C27" s="126">
        <f>Recyc_energy_use_Anna__SAME!C27</f>
        <v>0.5978</v>
      </c>
      <c r="D27" s="127">
        <f>Recyc_energy_use_Anna__SAME!D27</f>
        <v>0.5807</v>
      </c>
      <c r="E27" s="127">
        <f>Recyc_energy_use_Anna__SAME!E27</f>
        <v>0.554</v>
      </c>
      <c r="F27" s="127">
        <f>Recyc_energy_use_Anna__SAME!F27</f>
        <v>0.5478</v>
      </c>
      <c r="G27" s="127">
        <f>Recyc_energy_use_Anna__SAME!G27</f>
        <v>0.526</v>
      </c>
      <c r="H27" s="127">
        <f>Recyc_energy_use_Anna__SAME!H27</f>
        <v>0.5575</v>
      </c>
      <c r="I27" s="127">
        <f>Recyc_energy_use_Anna__SAME!I27</f>
        <v>0.5478</v>
      </c>
      <c r="J27" s="127">
        <f>Recyc_energy_use_Anna__SAME!J27</f>
        <v>0.5478</v>
      </c>
      <c r="K27" s="123"/>
      <c r="L27" s="123"/>
      <c r="M27" s="131">
        <v>5.937</v>
      </c>
      <c r="N27" s="131">
        <v>5.845</v>
      </c>
      <c r="O27" s="131">
        <v>5.575</v>
      </c>
      <c r="P27" s="131">
        <v>5.276</v>
      </c>
      <c r="Q27" s="131">
        <v>5.363</v>
      </c>
      <c r="R27" s="131">
        <v>6.645</v>
      </c>
      <c r="S27" s="131">
        <v>5.654</v>
      </c>
      <c r="T27" s="131"/>
      <c r="U27" s="121"/>
      <c r="V27" s="125" t="s">
        <v>537</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538</v>
      </c>
      <c r="C28" s="126">
        <f>Recyc_energy_use_Anna__SAME!C28</f>
        <v>0.085</v>
      </c>
      <c r="D28" s="127">
        <f>Recyc_energy_use_Anna__SAME!D28</f>
        <v>0.0786</v>
      </c>
      <c r="E28" s="127">
        <f>Recyc_energy_use_Anna__SAME!E28</f>
        <v>0.0763</v>
      </c>
      <c r="F28" s="127">
        <f>Recyc_energy_use_Anna__SAME!F28</f>
        <v>0.0759</v>
      </c>
      <c r="G28" s="127">
        <f>Recyc_energy_use_Anna__SAME!G28</f>
        <v>0.0737</v>
      </c>
      <c r="H28" s="127">
        <f>Recyc_energy_use_Anna__SAME!H28</f>
        <v>0.076</v>
      </c>
      <c r="I28" s="127">
        <f>Recyc_energy_use_Anna__SAME!I28</f>
        <v>0.0759</v>
      </c>
      <c r="J28" s="127">
        <f>Recyc_energy_use_Anna__SAME!J28</f>
        <v>0.0759</v>
      </c>
      <c r="K28" s="123"/>
      <c r="L28" s="123"/>
      <c r="M28" s="131">
        <v>5.937</v>
      </c>
      <c r="N28" s="131">
        <v>5.845</v>
      </c>
      <c r="O28" s="131">
        <v>5.575</v>
      </c>
      <c r="P28" s="131">
        <v>5.276</v>
      </c>
      <c r="Q28" s="131">
        <v>5.363</v>
      </c>
      <c r="R28" s="131">
        <v>6.645</v>
      </c>
      <c r="S28" s="131">
        <v>5.654</v>
      </c>
      <c r="T28" s="131"/>
      <c r="U28" s="121"/>
      <c r="V28" s="125" t="s">
        <v>538</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391</v>
      </c>
      <c r="B29" s="125" t="s">
        <v>531</v>
      </c>
      <c r="C29" s="126">
        <f>Recyc_energy_use_Anna__SAME!C29</f>
        <v>0.9068</v>
      </c>
      <c r="D29" s="127">
        <f>Recyc_energy_use_Anna__SAME!D29</f>
        <v>0.8586</v>
      </c>
      <c r="E29" s="127">
        <f>Recyc_energy_use_Anna__SAME!E29</f>
        <v>0.8184</v>
      </c>
      <c r="F29" s="127">
        <f>Recyc_energy_use_Anna__SAME!F29</f>
        <v>0.8091</v>
      </c>
      <c r="G29" s="127">
        <f>Recyc_energy_use_Anna__SAME!G29</f>
        <v>0.7811</v>
      </c>
      <c r="H29" s="127">
        <f>Recyc_energy_use_Anna__SAME!H29</f>
        <v>0.8217</v>
      </c>
      <c r="I29" s="127">
        <f>Recyc_energy_use_Anna__SAME!I29</f>
        <v>0.8091</v>
      </c>
      <c r="J29" s="127">
        <f>Recyc_energy_use_Anna__SAME!J29</f>
        <v>0.8091</v>
      </c>
      <c r="K29" s="123"/>
      <c r="L29" s="123"/>
      <c r="M29" s="131">
        <v>5.937</v>
      </c>
      <c r="N29" s="131">
        <v>5.845</v>
      </c>
      <c r="O29" s="131">
        <v>5.575</v>
      </c>
      <c r="P29" s="131">
        <v>5.276</v>
      </c>
      <c r="Q29" s="131">
        <v>5.363</v>
      </c>
      <c r="R29" s="131">
        <v>6.645</v>
      </c>
      <c r="S29" s="131">
        <v>5.654</v>
      </c>
      <c r="T29" s="131"/>
      <c r="U29" s="121" t="s">
        <v>391</v>
      </c>
      <c r="V29" s="125" t="s">
        <v>531</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533</v>
      </c>
      <c r="C30" s="126">
        <f>Recyc_energy_use_Anna__SAME!C30</f>
        <v>0.8303</v>
      </c>
      <c r="D30" s="127">
        <f>Recyc_energy_use_Anna__SAME!D30</f>
        <v>0.7909</v>
      </c>
      <c r="E30" s="127">
        <f>Recyc_energy_use_Anna__SAME!E30</f>
        <v>0.7545</v>
      </c>
      <c r="F30" s="127">
        <f>Recyc_energy_use_Anna__SAME!F30</f>
        <v>0.746</v>
      </c>
      <c r="G30" s="127">
        <f>Recyc_energy_use_Anna__SAME!G30</f>
        <v>0.7199</v>
      </c>
      <c r="H30" s="127">
        <f>Recyc_energy_use_Anna__SAME!H30</f>
        <v>0.7584</v>
      </c>
      <c r="I30" s="127">
        <f>Recyc_energy_use_Anna__SAME!I30</f>
        <v>0.746</v>
      </c>
      <c r="J30" s="127">
        <f>Recyc_energy_use_Anna__SAME!J30</f>
        <v>0.746</v>
      </c>
      <c r="K30" s="123"/>
      <c r="L30" s="123"/>
      <c r="M30" s="131">
        <v>5.937</v>
      </c>
      <c r="N30" s="131">
        <v>5.845</v>
      </c>
      <c r="O30" s="131">
        <v>5.575</v>
      </c>
      <c r="P30" s="131">
        <v>5.276</v>
      </c>
      <c r="Q30" s="131">
        <v>5.363</v>
      </c>
      <c r="R30" s="131">
        <v>6.645</v>
      </c>
      <c r="S30" s="131">
        <v>5.654</v>
      </c>
      <c r="T30" s="131"/>
      <c r="U30" s="121"/>
      <c r="V30" s="125" t="s">
        <v>533</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535</v>
      </c>
      <c r="C31" s="126">
        <f>Recyc_energy_use_Anna__SAME!C31</f>
        <v>0.2079</v>
      </c>
      <c r="D31" s="127">
        <f>Recyc_energy_use_Anna__SAME!D31</f>
        <v>0.1842</v>
      </c>
      <c r="E31" s="127">
        <f>Recyc_energy_use_Anna__SAME!E31</f>
        <v>0.1746</v>
      </c>
      <c r="F31" s="127">
        <f>Recyc_energy_use_Anna__SAME!F31</f>
        <v>0.1724</v>
      </c>
      <c r="G31" s="127">
        <f>Recyc_energy_use_Anna__SAME!G31</f>
        <v>0.1687</v>
      </c>
      <c r="H31" s="127">
        <f>Recyc_energy_use_Anna__SAME!H31</f>
        <v>0.1747</v>
      </c>
      <c r="I31" s="127">
        <f>Recyc_energy_use_Anna__SAME!I31</f>
        <v>0.1724</v>
      </c>
      <c r="J31" s="127">
        <f>Recyc_energy_use_Anna__SAME!J31</f>
        <v>0.1724</v>
      </c>
      <c r="K31" s="123"/>
      <c r="L31" s="123"/>
      <c r="M31" s="131">
        <v>5.937</v>
      </c>
      <c r="N31" s="131">
        <v>5.845</v>
      </c>
      <c r="O31" s="131">
        <v>5.575</v>
      </c>
      <c r="P31" s="131">
        <v>5.276</v>
      </c>
      <c r="Q31" s="131">
        <v>5.363</v>
      </c>
      <c r="R31" s="131">
        <v>6.645</v>
      </c>
      <c r="S31" s="131">
        <v>5.654</v>
      </c>
      <c r="T31" s="131"/>
      <c r="U31" s="121"/>
      <c r="V31" s="125" t="s">
        <v>535</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537</v>
      </c>
      <c r="C32" s="126">
        <f>Recyc_energy_use_Anna__SAME!C32</f>
        <v>0.5747</v>
      </c>
      <c r="D32" s="127">
        <f>Recyc_energy_use_Anna__SAME!D32</f>
        <v>0.5597</v>
      </c>
      <c r="E32" s="127">
        <f>Recyc_energy_use_Anna__SAME!E32</f>
        <v>0.534</v>
      </c>
      <c r="F32" s="127">
        <f>Recyc_energy_use_Anna__SAME!F32</f>
        <v>0.528</v>
      </c>
      <c r="G32" s="127">
        <f>Recyc_energy_use_Anna__SAME!G32</f>
        <v>0.5061</v>
      </c>
      <c r="H32" s="127">
        <f>Recyc_energy_use_Anna__SAME!H32</f>
        <v>0.5369</v>
      </c>
      <c r="I32" s="127">
        <f>Recyc_energy_use_Anna__SAME!I32</f>
        <v>0.528</v>
      </c>
      <c r="J32" s="127">
        <f>Recyc_energy_use_Anna__SAME!J32</f>
        <v>0.528</v>
      </c>
      <c r="K32" s="123"/>
      <c r="L32" s="123"/>
      <c r="M32" s="131">
        <v>5.937</v>
      </c>
      <c r="N32" s="131">
        <v>5.845</v>
      </c>
      <c r="O32" s="131">
        <v>5.575</v>
      </c>
      <c r="P32" s="131">
        <v>5.276</v>
      </c>
      <c r="Q32" s="131">
        <v>5.363</v>
      </c>
      <c r="R32" s="131">
        <v>6.645</v>
      </c>
      <c r="S32" s="131">
        <v>5.654</v>
      </c>
      <c r="T32" s="131"/>
      <c r="U32" s="121"/>
      <c r="V32" s="125" t="s">
        <v>537</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538</v>
      </c>
      <c r="C33" s="126">
        <f>Recyc_energy_use_Anna__SAME!C33</f>
        <v>0.088</v>
      </c>
      <c r="D33" s="127">
        <f>Recyc_energy_use_Anna__SAME!D33</f>
        <v>0.0814</v>
      </c>
      <c r="E33" s="127">
        <f>Recyc_energy_use_Anna__SAME!E33</f>
        <v>0.079</v>
      </c>
      <c r="F33" s="127">
        <f>Recyc_energy_use_Anna__SAME!F33</f>
        <v>0.0785</v>
      </c>
      <c r="G33" s="127">
        <f>Recyc_energy_use_Anna__SAME!G33</f>
        <v>0.0764</v>
      </c>
      <c r="H33" s="127">
        <f>Recyc_energy_use_Anna__SAME!H33</f>
        <v>0.0787</v>
      </c>
      <c r="I33" s="127">
        <f>Recyc_energy_use_Anna__SAME!I33</f>
        <v>0.0785</v>
      </c>
      <c r="J33" s="127">
        <f>Recyc_energy_use_Anna__SAME!J33</f>
        <v>0.0785</v>
      </c>
      <c r="K33" s="123"/>
      <c r="L33" s="123"/>
      <c r="M33" s="131">
        <v>5.937</v>
      </c>
      <c r="N33" s="131">
        <v>5.845</v>
      </c>
      <c r="O33" s="131">
        <v>5.575</v>
      </c>
      <c r="P33" s="131">
        <v>5.276</v>
      </c>
      <c r="Q33" s="131">
        <v>5.363</v>
      </c>
      <c r="R33" s="131">
        <v>6.645</v>
      </c>
      <c r="S33" s="131">
        <v>5.654</v>
      </c>
      <c r="T33" s="131"/>
      <c r="U33" s="121"/>
      <c r="V33" s="125" t="s">
        <v>538</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401</v>
      </c>
      <c r="B34" s="125" t="s">
        <v>531</v>
      </c>
      <c r="C34" s="126">
        <f>Recyc_energy_use_Anna__SAME!C34</f>
        <v>0.9217</v>
      </c>
      <c r="D34" s="127">
        <f>Recyc_energy_use_Anna__SAME!D34</f>
        <v>0.8721</v>
      </c>
      <c r="E34" s="127">
        <f>Recyc_energy_use_Anna__SAME!E34</f>
        <v>0.8313</v>
      </c>
      <c r="F34" s="127">
        <f>Recyc_energy_use_Anna__SAME!F34</f>
        <v>0.8218</v>
      </c>
      <c r="G34" s="127">
        <f>Recyc_energy_use_Anna__SAME!G34</f>
        <v>0.794</v>
      </c>
      <c r="H34" s="127">
        <f>Recyc_energy_use_Anna__SAME!H34</f>
        <v>0.835</v>
      </c>
      <c r="I34" s="127">
        <f>Recyc_energy_use_Anna__SAME!I34</f>
        <v>0.8218</v>
      </c>
      <c r="J34" s="127">
        <f>Recyc_energy_use_Anna__SAME!J34</f>
        <v>0.8218</v>
      </c>
      <c r="K34" s="123"/>
      <c r="L34" s="123"/>
      <c r="M34" s="131">
        <v>5.937</v>
      </c>
      <c r="N34" s="131">
        <v>5.845</v>
      </c>
      <c r="O34" s="131">
        <v>5.575</v>
      </c>
      <c r="P34" s="131">
        <v>5.276</v>
      </c>
      <c r="Q34" s="131">
        <v>5.363</v>
      </c>
      <c r="R34" s="131">
        <v>6.645</v>
      </c>
      <c r="S34" s="131">
        <v>5.654</v>
      </c>
      <c r="T34" s="131"/>
      <c r="U34" s="121" t="s">
        <v>401</v>
      </c>
      <c r="V34" s="125" t="s">
        <v>531</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533</v>
      </c>
      <c r="C35" s="126">
        <f>Recyc_energy_use_Anna__SAME!C35</f>
        <v>0.8422</v>
      </c>
      <c r="D35" s="127">
        <f>Recyc_energy_use_Anna__SAME!D35</f>
        <v>0.8018</v>
      </c>
      <c r="E35" s="127">
        <f>Recyc_energy_use_Anna__SAME!E35</f>
        <v>0.7648</v>
      </c>
      <c r="F35" s="127">
        <f>Recyc_energy_use_Anna__SAME!F35</f>
        <v>0.7562</v>
      </c>
      <c r="G35" s="127">
        <f>Recyc_energy_use_Anna__SAME!G35</f>
        <v>0.7302</v>
      </c>
      <c r="H35" s="127">
        <f>Recyc_energy_use_Anna__SAME!H35</f>
        <v>0.7691</v>
      </c>
      <c r="I35" s="127">
        <f>Recyc_energy_use_Anna__SAME!I35</f>
        <v>0.7562</v>
      </c>
      <c r="J35" s="127">
        <f>Recyc_energy_use_Anna__SAME!J35</f>
        <v>0.7562</v>
      </c>
      <c r="K35" s="123"/>
      <c r="L35" s="123"/>
      <c r="M35" s="131">
        <v>5.937</v>
      </c>
      <c r="N35" s="131">
        <v>5.845</v>
      </c>
      <c r="O35" s="131">
        <v>5.575</v>
      </c>
      <c r="P35" s="131">
        <v>5.276</v>
      </c>
      <c r="Q35" s="131">
        <v>5.363</v>
      </c>
      <c r="R35" s="131">
        <v>6.645</v>
      </c>
      <c r="S35" s="131">
        <v>5.654</v>
      </c>
      <c r="T35" s="131"/>
      <c r="U35" s="121"/>
      <c r="V35" s="125" t="s">
        <v>533</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535</v>
      </c>
      <c r="C36" s="126">
        <f>Recyc_energy_use_Anna__SAME!C36</f>
        <v>0.2694</v>
      </c>
      <c r="D36" s="127">
        <f>Recyc_energy_use_Anna__SAME!D36</f>
        <v>0.2401</v>
      </c>
      <c r="E36" s="127">
        <f>Recyc_energy_use_Anna__SAME!E36</f>
        <v>0.2278</v>
      </c>
      <c r="F36" s="127">
        <f>Recyc_energy_use_Anna__SAME!F36</f>
        <v>0.2249</v>
      </c>
      <c r="G36" s="127">
        <f>Recyc_energy_use_Anna__SAME!G36</f>
        <v>0.2217</v>
      </c>
      <c r="H36" s="127">
        <f>Recyc_energy_use_Anna__SAME!H36</f>
        <v>0.2296</v>
      </c>
      <c r="I36" s="127">
        <f>Recyc_energy_use_Anna__SAME!I36</f>
        <v>0.2249</v>
      </c>
      <c r="J36" s="127">
        <f>Recyc_energy_use_Anna__SAME!J36</f>
        <v>0.2249</v>
      </c>
      <c r="K36" s="123"/>
      <c r="L36" s="123"/>
      <c r="M36" s="131">
        <v>5.937</v>
      </c>
      <c r="N36" s="131">
        <v>5.845</v>
      </c>
      <c r="O36" s="131">
        <v>5.575</v>
      </c>
      <c r="P36" s="131">
        <v>5.276</v>
      </c>
      <c r="Q36" s="131">
        <v>5.363</v>
      </c>
      <c r="R36" s="131">
        <v>6.645</v>
      </c>
      <c r="S36" s="131">
        <v>5.654</v>
      </c>
      <c r="T36" s="131"/>
      <c r="U36" s="121"/>
      <c r="V36" s="125" t="s">
        <v>535</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537</v>
      </c>
      <c r="C37" s="126">
        <f>Recyc_energy_use_Anna__SAME!C37</f>
        <v>0.5273</v>
      </c>
      <c r="D37" s="127">
        <f>Recyc_energy_use_Anna__SAME!D37</f>
        <v>0.5167</v>
      </c>
      <c r="E37" s="127">
        <f>Recyc_energy_use_Anna__SAME!E37</f>
        <v>0.4931</v>
      </c>
      <c r="F37" s="127">
        <f>Recyc_energy_use_Anna__SAME!F37</f>
        <v>0.4875</v>
      </c>
      <c r="G37" s="127">
        <f>Recyc_energy_use_Anna__SAME!G37</f>
        <v>0.4653</v>
      </c>
      <c r="H37" s="127">
        <f>Recyc_energy_use_Anna__SAME!H37</f>
        <v>0.4946</v>
      </c>
      <c r="I37" s="127">
        <f>Recyc_energy_use_Anna__SAME!I37</f>
        <v>0.4875</v>
      </c>
      <c r="J37" s="127">
        <f>Recyc_energy_use_Anna__SAME!J37</f>
        <v>0.4875</v>
      </c>
      <c r="K37" s="123"/>
      <c r="L37" s="123"/>
      <c r="M37" s="131">
        <v>5.937</v>
      </c>
      <c r="N37" s="131">
        <v>5.845</v>
      </c>
      <c r="O37" s="131">
        <v>5.575</v>
      </c>
      <c r="P37" s="131">
        <v>5.276</v>
      </c>
      <c r="Q37" s="131">
        <v>5.363</v>
      </c>
      <c r="R37" s="131">
        <v>6.645</v>
      </c>
      <c r="S37" s="131">
        <v>5.654</v>
      </c>
      <c r="T37" s="131"/>
      <c r="U37" s="121"/>
      <c r="V37" s="125" t="s">
        <v>537</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538</v>
      </c>
      <c r="C38" s="126">
        <f>Recyc_energy_use_Anna__SAME!C38</f>
        <v>0.0858</v>
      </c>
      <c r="D38" s="127">
        <f>Recyc_energy_use_Anna__SAME!D38</f>
        <v>0.0793</v>
      </c>
      <c r="E38" s="127">
        <f>Recyc_energy_use_Anna__SAME!E38</f>
        <v>0.0771</v>
      </c>
      <c r="F38" s="127">
        <f>Recyc_energy_use_Anna__SAME!F38</f>
        <v>0.0766</v>
      </c>
      <c r="G38" s="127">
        <f>Recyc_energy_use_Anna__SAME!G38</f>
        <v>0.0744</v>
      </c>
      <c r="H38" s="127">
        <f>Recyc_energy_use_Anna__SAME!H38</f>
        <v>0.0767</v>
      </c>
      <c r="I38" s="127">
        <f>Recyc_energy_use_Anna__SAME!I38</f>
        <v>0.0766</v>
      </c>
      <c r="J38" s="127">
        <f>Recyc_energy_use_Anna__SAME!J38</f>
        <v>0.0766</v>
      </c>
      <c r="K38" s="123"/>
      <c r="L38" s="123"/>
      <c r="M38" s="131">
        <v>5.937</v>
      </c>
      <c r="N38" s="131">
        <v>5.845</v>
      </c>
      <c r="O38" s="131">
        <v>5.575</v>
      </c>
      <c r="P38" s="131">
        <v>5.276</v>
      </c>
      <c r="Q38" s="131">
        <v>5.363</v>
      </c>
      <c r="R38" s="131">
        <v>6.645</v>
      </c>
      <c r="S38" s="131">
        <v>5.654</v>
      </c>
      <c r="T38" s="131"/>
      <c r="U38" s="121"/>
      <c r="V38" s="125" t="s">
        <v>538</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565</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523</v>
      </c>
      <c r="B42" s="121" t="s">
        <v>564</v>
      </c>
      <c r="C42" s="121" t="s">
        <v>525</v>
      </c>
      <c r="D42" s="121"/>
      <c r="E42" s="121"/>
      <c r="F42" s="121"/>
      <c r="G42" s="121"/>
      <c r="H42" s="121"/>
      <c r="I42" s="121"/>
      <c r="J42" s="121"/>
      <c r="K42" s="123"/>
      <c r="L42" s="123"/>
      <c r="M42" s="123"/>
      <c r="N42" s="123"/>
      <c r="O42" s="123"/>
      <c r="P42" s="123"/>
      <c r="Q42" s="123"/>
      <c r="R42" s="123"/>
      <c r="S42" s="123"/>
      <c r="T42" s="123"/>
    </row>
    <row r="43" ht="30" spans="1:47">
      <c r="A43" s="121"/>
      <c r="B43" s="121"/>
      <c r="C43" s="122" t="s">
        <v>527</v>
      </c>
      <c r="D43" s="123" t="s">
        <v>333</v>
      </c>
      <c r="E43" s="123" t="s">
        <v>334</v>
      </c>
      <c r="F43" s="124" t="s">
        <v>335</v>
      </c>
      <c r="G43" s="123" t="s">
        <v>336</v>
      </c>
      <c r="H43" s="123" t="s">
        <v>241</v>
      </c>
      <c r="I43" s="123" t="s">
        <v>528</v>
      </c>
      <c r="J43" s="123" t="s">
        <v>529</v>
      </c>
      <c r="K43" s="123"/>
      <c r="L43" s="123"/>
      <c r="M43" s="123" t="s">
        <v>333</v>
      </c>
      <c r="N43" s="123" t="s">
        <v>334</v>
      </c>
      <c r="O43" s="123" t="s">
        <v>335</v>
      </c>
      <c r="P43" s="123" t="s">
        <v>336</v>
      </c>
      <c r="Q43" s="123" t="s">
        <v>241</v>
      </c>
      <c r="R43" s="123" t="s">
        <v>528</v>
      </c>
      <c r="S43" s="123" t="s">
        <v>529</v>
      </c>
      <c r="T43" s="123"/>
      <c r="U43" s="123"/>
      <c r="V43" s="132" t="s">
        <v>562</v>
      </c>
      <c r="W43" s="123" t="s">
        <v>333</v>
      </c>
      <c r="X43" s="123" t="s">
        <v>334</v>
      </c>
      <c r="Y43" s="124" t="s">
        <v>335</v>
      </c>
      <c r="Z43" s="123" t="s">
        <v>336</v>
      </c>
      <c r="AA43" s="123" t="s">
        <v>241</v>
      </c>
      <c r="AB43" s="135" t="s">
        <v>528</v>
      </c>
      <c r="AC43" s="135" t="s">
        <v>529</v>
      </c>
      <c r="AD43" s="123"/>
      <c r="AE43" s="123"/>
      <c r="AF43" s="123" t="s">
        <v>333</v>
      </c>
      <c r="AG43" s="123" t="s">
        <v>334</v>
      </c>
      <c r="AH43" s="124" t="s">
        <v>335</v>
      </c>
      <c r="AI43" s="123" t="s">
        <v>336</v>
      </c>
      <c r="AJ43" s="123" t="s">
        <v>241</v>
      </c>
      <c r="AK43" s="135" t="s">
        <v>528</v>
      </c>
      <c r="AL43" s="135" t="s">
        <v>529</v>
      </c>
      <c r="AO43" s="123" t="s">
        <v>333</v>
      </c>
      <c r="AP43" s="123" t="s">
        <v>334</v>
      </c>
      <c r="AQ43" s="124" t="s">
        <v>335</v>
      </c>
      <c r="AR43" s="123" t="s">
        <v>336</v>
      </c>
      <c r="AS43" s="123" t="s">
        <v>241</v>
      </c>
      <c r="AT43" s="135" t="s">
        <v>528</v>
      </c>
      <c r="AU43" s="135" t="s">
        <v>529</v>
      </c>
    </row>
    <row r="44" ht="15.5" customHeight="1" spans="1:47">
      <c r="A44" s="121" t="s">
        <v>530</v>
      </c>
      <c r="B44" s="125" t="s">
        <v>531</v>
      </c>
      <c r="C44" s="126">
        <f>Recyc_energy_use_Anna__SAME!C44</f>
        <v>0.6652</v>
      </c>
      <c r="D44" s="127">
        <f>Recyc_energy_use_Anna__SAME!D44</f>
        <v>0.5864</v>
      </c>
      <c r="E44" s="127">
        <f>Recyc_energy_use_Anna__SAME!E44</f>
        <v>0.5679</v>
      </c>
      <c r="F44" s="127">
        <f>Recyc_energy_use_Anna__SAME!F44</f>
        <v>0.5636</v>
      </c>
      <c r="G44" s="127">
        <f>Recyc_energy_use_Anna__SAME!G44</f>
        <v>0.5409</v>
      </c>
      <c r="H44" s="127">
        <f>Recyc_energy_use_Anna__SAME!H44</f>
        <v>0.5521</v>
      </c>
      <c r="I44" s="127">
        <f>Recyc_energy_use_Anna__SAME!I44</f>
        <v>0.5636</v>
      </c>
      <c r="J44" s="127">
        <f>Recyc_energy_use_Anna__SAME!J44</f>
        <v>0.5636</v>
      </c>
      <c r="K44" s="123"/>
      <c r="L44" s="123"/>
      <c r="M44" s="130">
        <v>5.937</v>
      </c>
      <c r="N44" s="130">
        <v>5.845</v>
      </c>
      <c r="O44" s="130">
        <v>5.575</v>
      </c>
      <c r="P44" s="130">
        <v>5.276</v>
      </c>
      <c r="Q44" s="130">
        <v>5.363</v>
      </c>
      <c r="R44" s="130">
        <v>6.645</v>
      </c>
      <c r="S44" s="130">
        <v>5.654</v>
      </c>
      <c r="T44" s="130"/>
      <c r="U44" s="121" t="s">
        <v>530</v>
      </c>
      <c r="V44" s="125" t="s">
        <v>531</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533</v>
      </c>
      <c r="C45" s="126">
        <f>Recyc_energy_use_Anna__SAME!C45</f>
        <v>0.6092</v>
      </c>
      <c r="D45" s="127">
        <f>Recyc_energy_use_Anna__SAME!D45</f>
        <v>0.5396</v>
      </c>
      <c r="E45" s="127">
        <f>Recyc_energy_use_Anna__SAME!E45</f>
        <v>0.5232</v>
      </c>
      <c r="F45" s="127">
        <f>Recyc_energy_use_Anna__SAME!F45</f>
        <v>0.5193</v>
      </c>
      <c r="G45" s="127">
        <f>Recyc_energy_use_Anna__SAME!G45</f>
        <v>0.499</v>
      </c>
      <c r="H45" s="127">
        <f>Recyc_energy_use_Anna__SAME!H45</f>
        <v>0.5091</v>
      </c>
      <c r="I45" s="127">
        <f>Recyc_energy_use_Anna__SAME!I45</f>
        <v>0.5193</v>
      </c>
      <c r="J45" s="127">
        <f>Recyc_energy_use_Anna__SAME!J45</f>
        <v>0.5193</v>
      </c>
      <c r="K45" s="123"/>
      <c r="L45" s="123"/>
      <c r="M45" s="131">
        <v>5.937</v>
      </c>
      <c r="N45" s="131">
        <v>5.845</v>
      </c>
      <c r="O45" s="131">
        <v>5.575</v>
      </c>
      <c r="P45" s="131">
        <v>5.276</v>
      </c>
      <c r="Q45" s="131">
        <v>5.363</v>
      </c>
      <c r="R45" s="131">
        <v>6.645</v>
      </c>
      <c r="S45" s="131">
        <v>5.654</v>
      </c>
      <c r="T45" s="131"/>
      <c r="U45" s="121"/>
      <c r="V45" s="125" t="s">
        <v>533</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535</v>
      </c>
      <c r="C46" s="126">
        <f>Recyc_energy_use_Anna__SAME!C46</f>
        <v>0.1429</v>
      </c>
      <c r="D46" s="127">
        <f>Recyc_energy_use_Anna__SAME!D46</f>
        <v>0.1194</v>
      </c>
      <c r="E46" s="127">
        <f>Recyc_energy_use_Anna__SAME!E46</f>
        <v>0.114</v>
      </c>
      <c r="F46" s="127">
        <f>Recyc_energy_use_Anna__SAME!F46</f>
        <v>0.1127</v>
      </c>
      <c r="G46" s="127">
        <f>Recyc_energy_use_Anna__SAME!G46</f>
        <v>0.1061</v>
      </c>
      <c r="H46" s="127">
        <f>Recyc_energy_use_Anna__SAME!H46</f>
        <v>0.1094</v>
      </c>
      <c r="I46" s="127">
        <f>Recyc_energy_use_Anna__SAME!I46</f>
        <v>0.1127</v>
      </c>
      <c r="J46" s="127">
        <f>Recyc_energy_use_Anna__SAME!J46</f>
        <v>0.1127</v>
      </c>
      <c r="K46" s="123"/>
      <c r="L46" s="123"/>
      <c r="M46" s="131">
        <v>5.937</v>
      </c>
      <c r="N46" s="131">
        <v>5.845</v>
      </c>
      <c r="O46" s="131">
        <v>5.575</v>
      </c>
      <c r="P46" s="131">
        <v>5.276</v>
      </c>
      <c r="Q46" s="131">
        <v>5.363</v>
      </c>
      <c r="R46" s="131">
        <v>6.645</v>
      </c>
      <c r="S46" s="131">
        <v>5.654</v>
      </c>
      <c r="T46" s="131"/>
      <c r="U46" s="121"/>
      <c r="V46" s="125" t="s">
        <v>535</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537</v>
      </c>
      <c r="C47" s="126">
        <f>Recyc_energy_use_Anna__SAME!C47</f>
        <v>0.4256</v>
      </c>
      <c r="D47" s="127">
        <f>Recyc_energy_use_Anna__SAME!D47</f>
        <v>0.3807</v>
      </c>
      <c r="E47" s="127">
        <f>Recyc_energy_use_Anna__SAME!E47</f>
        <v>0.3703</v>
      </c>
      <c r="F47" s="127">
        <f>Recyc_energy_use_Anna__SAME!F47</f>
        <v>0.3679</v>
      </c>
      <c r="G47" s="127">
        <f>Recyc_energy_use_Anna__SAME!G47</f>
        <v>0.3552</v>
      </c>
      <c r="H47" s="127">
        <f>Recyc_energy_use_Anna__SAME!H47</f>
        <v>0.3613</v>
      </c>
      <c r="I47" s="127">
        <f>Recyc_energy_use_Anna__SAME!I47</f>
        <v>0.3679</v>
      </c>
      <c r="J47" s="127">
        <f>Recyc_energy_use_Anna__SAME!J47</f>
        <v>0.3679</v>
      </c>
      <c r="K47" s="123"/>
      <c r="L47" s="123"/>
      <c r="M47" s="131">
        <v>5.937</v>
      </c>
      <c r="N47" s="131">
        <v>5.845</v>
      </c>
      <c r="O47" s="131">
        <v>5.575</v>
      </c>
      <c r="P47" s="131">
        <v>5.276</v>
      </c>
      <c r="Q47" s="131">
        <v>5.363</v>
      </c>
      <c r="R47" s="131">
        <v>6.645</v>
      </c>
      <c r="S47" s="131">
        <v>5.654</v>
      </c>
      <c r="T47" s="131"/>
      <c r="U47" s="121"/>
      <c r="V47" s="125" t="s">
        <v>537</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538</v>
      </c>
      <c r="C48" s="126">
        <f>Recyc_energy_use_Anna__SAME!C48</f>
        <v>0.0846</v>
      </c>
      <c r="D48" s="127">
        <f>Recyc_energy_use_Anna__SAME!D48</f>
        <v>0.077</v>
      </c>
      <c r="E48" s="127">
        <f>Recyc_energy_use_Anna__SAME!E48</f>
        <v>0.0749</v>
      </c>
      <c r="F48" s="127">
        <f>Recyc_energy_use_Anna__SAME!F48</f>
        <v>0.0744</v>
      </c>
      <c r="G48" s="127">
        <f>Recyc_energy_use_Anna__SAME!G48</f>
        <v>0.0717</v>
      </c>
      <c r="H48" s="127">
        <f>Recyc_energy_use_Anna__SAME!H48</f>
        <v>0.0731</v>
      </c>
      <c r="I48" s="127">
        <f>Recyc_energy_use_Anna__SAME!I48</f>
        <v>0.0744</v>
      </c>
      <c r="J48" s="127">
        <f>Recyc_energy_use_Anna__SAME!J48</f>
        <v>0.0744</v>
      </c>
      <c r="K48" s="123"/>
      <c r="L48" s="123"/>
      <c r="M48" s="131">
        <v>5.937</v>
      </c>
      <c r="N48" s="131">
        <v>5.845</v>
      </c>
      <c r="O48" s="131">
        <v>5.575</v>
      </c>
      <c r="P48" s="131">
        <v>5.276</v>
      </c>
      <c r="Q48" s="131">
        <v>5.363</v>
      </c>
      <c r="R48" s="131">
        <v>6.645</v>
      </c>
      <c r="S48" s="131">
        <v>5.654</v>
      </c>
      <c r="T48" s="131"/>
      <c r="U48" s="121"/>
      <c r="V48" s="125" t="s">
        <v>538</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391</v>
      </c>
      <c r="B49" s="125" t="s">
        <v>531</v>
      </c>
      <c r="C49" s="126">
        <f>Recyc_energy_use_Anna__SAME!C49</f>
        <v>0.6792</v>
      </c>
      <c r="D49" s="127">
        <f>Recyc_energy_use_Anna__SAME!D49</f>
        <v>0.5984</v>
      </c>
      <c r="E49" s="127">
        <f>Recyc_energy_use_Anna__SAME!E49</f>
        <v>0.5794</v>
      </c>
      <c r="F49" s="127">
        <f>Recyc_energy_use_Anna__SAME!F49</f>
        <v>0.575</v>
      </c>
      <c r="G49" s="127">
        <f>Recyc_energy_use_Anna__SAME!G49</f>
        <v>0.5517</v>
      </c>
      <c r="H49" s="127">
        <f>Recyc_energy_use_Anna__SAME!H49</f>
        <v>0.5632</v>
      </c>
      <c r="I49" s="127">
        <f>Recyc_energy_use_Anna__SAME!I49</f>
        <v>0.575</v>
      </c>
      <c r="J49" s="127">
        <f>Recyc_energy_use_Anna__SAME!J49</f>
        <v>0.575</v>
      </c>
      <c r="K49" s="123"/>
      <c r="L49" s="123"/>
      <c r="M49" s="131">
        <v>5.937</v>
      </c>
      <c r="N49" s="131">
        <v>5.845</v>
      </c>
      <c r="O49" s="131">
        <v>5.575</v>
      </c>
      <c r="P49" s="131">
        <v>5.276</v>
      </c>
      <c r="Q49" s="131">
        <v>5.363</v>
      </c>
      <c r="R49" s="131">
        <v>6.645</v>
      </c>
      <c r="S49" s="131">
        <v>5.654</v>
      </c>
      <c r="T49" s="131"/>
      <c r="U49" s="121" t="s">
        <v>391</v>
      </c>
      <c r="V49" s="125" t="s">
        <v>531</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533</v>
      </c>
      <c r="C50" s="126">
        <f>Recyc_energy_use_Anna__SAME!C50</f>
        <v>0.6241</v>
      </c>
      <c r="D50" s="127">
        <f>Recyc_energy_use_Anna__SAME!D50</f>
        <v>0.5523</v>
      </c>
      <c r="E50" s="127">
        <f>Recyc_energy_use_Anna__SAME!E50</f>
        <v>0.5353</v>
      </c>
      <c r="F50" s="127">
        <f>Recyc_energy_use_Anna__SAME!F50</f>
        <v>0.5314</v>
      </c>
      <c r="G50" s="127">
        <f>Recyc_energy_use_Anna__SAME!G50</f>
        <v>0.5105</v>
      </c>
      <c r="H50" s="127">
        <f>Recyc_energy_use_Anna__SAME!H50</f>
        <v>0.5209</v>
      </c>
      <c r="I50" s="127">
        <f>Recyc_energy_use_Anna__SAME!I50</f>
        <v>0.5314</v>
      </c>
      <c r="J50" s="127">
        <f>Recyc_energy_use_Anna__SAME!J50</f>
        <v>0.5314</v>
      </c>
      <c r="K50" s="123"/>
      <c r="L50" s="123"/>
      <c r="M50" s="131">
        <v>5.937</v>
      </c>
      <c r="N50" s="131">
        <v>5.845</v>
      </c>
      <c r="O50" s="131">
        <v>5.575</v>
      </c>
      <c r="P50" s="131">
        <v>5.276</v>
      </c>
      <c r="Q50" s="131">
        <v>5.363</v>
      </c>
      <c r="R50" s="131">
        <v>6.645</v>
      </c>
      <c r="S50" s="131">
        <v>5.654</v>
      </c>
      <c r="T50" s="131"/>
      <c r="U50" s="121"/>
      <c r="V50" s="125" t="s">
        <v>533</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535</v>
      </c>
      <c r="C51" s="126">
        <f>Recyc_energy_use_Anna__SAME!C51</f>
        <v>0.1745</v>
      </c>
      <c r="D51" s="127">
        <f>Recyc_energy_use_Anna__SAME!D51</f>
        <v>0.1463</v>
      </c>
      <c r="E51" s="127">
        <f>Recyc_energy_use_Anna__SAME!E51</f>
        <v>0.1398</v>
      </c>
      <c r="F51" s="127">
        <f>Recyc_energy_use_Anna__SAME!F51</f>
        <v>0.1383</v>
      </c>
      <c r="G51" s="127">
        <f>Recyc_energy_use_Anna__SAME!G51</f>
        <v>0.1304</v>
      </c>
      <c r="H51" s="127">
        <f>Recyc_energy_use_Anna__SAME!H51</f>
        <v>0.1343</v>
      </c>
      <c r="I51" s="127">
        <f>Recyc_energy_use_Anna__SAME!I51</f>
        <v>0.1383</v>
      </c>
      <c r="J51" s="127">
        <f>Recyc_energy_use_Anna__SAME!J51</f>
        <v>0.1383</v>
      </c>
      <c r="K51" s="123"/>
      <c r="L51" s="123"/>
      <c r="M51" s="131">
        <v>5.937</v>
      </c>
      <c r="N51" s="131">
        <v>5.845</v>
      </c>
      <c r="O51" s="131">
        <v>5.575</v>
      </c>
      <c r="P51" s="131">
        <v>5.276</v>
      </c>
      <c r="Q51" s="131">
        <v>5.363</v>
      </c>
      <c r="R51" s="131">
        <v>6.645</v>
      </c>
      <c r="S51" s="131">
        <v>5.654</v>
      </c>
      <c r="T51" s="131"/>
      <c r="U51" s="121"/>
      <c r="V51" s="125" t="s">
        <v>535</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537</v>
      </c>
      <c r="C52" s="126">
        <f>Recyc_energy_use_Anna__SAME!C52</f>
        <v>0.4064</v>
      </c>
      <c r="D52" s="127">
        <f>Recyc_energy_use_Anna__SAME!D52</f>
        <v>0.3643</v>
      </c>
      <c r="E52" s="127">
        <f>Recyc_energy_use_Anna__SAME!E52</f>
        <v>0.3546</v>
      </c>
      <c r="F52" s="127">
        <f>Recyc_energy_use_Anna__SAME!F52</f>
        <v>0.3523</v>
      </c>
      <c r="G52" s="127">
        <f>Recyc_energy_use_Anna__SAME!G52</f>
        <v>0.3404</v>
      </c>
      <c r="H52" s="127">
        <f>Recyc_energy_use_Anna__SAME!H52</f>
        <v>0.3462</v>
      </c>
      <c r="I52" s="127">
        <f>Recyc_energy_use_Anna__SAME!I52</f>
        <v>0.3523</v>
      </c>
      <c r="J52" s="127">
        <f>Recyc_energy_use_Anna__SAME!J52</f>
        <v>0.3523</v>
      </c>
      <c r="K52" s="123"/>
      <c r="L52" s="123"/>
      <c r="M52" s="131">
        <v>5.937</v>
      </c>
      <c r="N52" s="131">
        <v>5.845</v>
      </c>
      <c r="O52" s="131">
        <v>5.575</v>
      </c>
      <c r="P52" s="131">
        <v>5.276</v>
      </c>
      <c r="Q52" s="131">
        <v>5.363</v>
      </c>
      <c r="R52" s="131">
        <v>6.645</v>
      </c>
      <c r="S52" s="131">
        <v>5.654</v>
      </c>
      <c r="T52" s="131"/>
      <c r="U52" s="121"/>
      <c r="V52" s="125" t="s">
        <v>537</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538</v>
      </c>
      <c r="C53" s="126">
        <f>Recyc_energy_use_Anna__SAME!C53</f>
        <v>0.0872</v>
      </c>
      <c r="D53" s="127">
        <f>Recyc_energy_use_Anna__SAME!D53</f>
        <v>0.0791</v>
      </c>
      <c r="E53" s="127">
        <f>Recyc_energy_use_Anna__SAME!E53</f>
        <v>0.077</v>
      </c>
      <c r="F53" s="127">
        <f>Recyc_energy_use_Anna__SAME!F53</f>
        <v>0.0765</v>
      </c>
      <c r="G53" s="127">
        <f>Recyc_energy_use_Anna__SAME!G53</f>
        <v>0.0737</v>
      </c>
      <c r="H53" s="127">
        <f>Recyc_energy_use_Anna__SAME!H53</f>
        <v>0.0751</v>
      </c>
      <c r="I53" s="127">
        <f>Recyc_energy_use_Anna__SAME!I53</f>
        <v>0.0765</v>
      </c>
      <c r="J53" s="127">
        <f>Recyc_energy_use_Anna__SAME!J53</f>
        <v>0.0765</v>
      </c>
      <c r="K53" s="123"/>
      <c r="L53" s="123"/>
      <c r="M53" s="131">
        <v>5.937</v>
      </c>
      <c r="N53" s="131">
        <v>5.845</v>
      </c>
      <c r="O53" s="131">
        <v>5.575</v>
      </c>
      <c r="P53" s="131">
        <v>5.276</v>
      </c>
      <c r="Q53" s="131">
        <v>5.363</v>
      </c>
      <c r="R53" s="131">
        <v>6.645</v>
      </c>
      <c r="S53" s="131">
        <v>5.654</v>
      </c>
      <c r="T53" s="131"/>
      <c r="U53" s="121"/>
      <c r="V53" s="125" t="s">
        <v>538</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401</v>
      </c>
      <c r="B54" s="125" t="s">
        <v>531</v>
      </c>
      <c r="C54" s="126">
        <f>Recyc_energy_use_Anna__SAME!C54</f>
        <v>0.6916</v>
      </c>
      <c r="D54" s="127">
        <f>Recyc_energy_use_Anna__SAME!D54</f>
        <v>0.6089</v>
      </c>
      <c r="E54" s="127">
        <f>Recyc_energy_use_Anna__SAME!E54</f>
        <v>0.5895</v>
      </c>
      <c r="F54" s="127">
        <f>Recyc_energy_use_Anna__SAME!F54</f>
        <v>0.585</v>
      </c>
      <c r="G54" s="127">
        <f>Recyc_energy_use_Anna__SAME!G54</f>
        <v>0.5612</v>
      </c>
      <c r="H54" s="127">
        <f>Recyc_energy_use_Anna__SAME!H54</f>
        <v>0.573</v>
      </c>
      <c r="I54" s="127">
        <f>Recyc_energy_use_Anna__SAME!I54</f>
        <v>0.585</v>
      </c>
      <c r="J54" s="127">
        <f>Recyc_energy_use_Anna__SAME!J54</f>
        <v>0.585</v>
      </c>
      <c r="K54" s="123"/>
      <c r="L54" s="123"/>
      <c r="M54" s="131">
        <v>5.937</v>
      </c>
      <c r="N54" s="131">
        <v>5.845</v>
      </c>
      <c r="O54" s="131">
        <v>5.575</v>
      </c>
      <c r="P54" s="131">
        <v>5.276</v>
      </c>
      <c r="Q54" s="131">
        <v>5.363</v>
      </c>
      <c r="R54" s="131">
        <v>6.645</v>
      </c>
      <c r="S54" s="131">
        <v>5.654</v>
      </c>
      <c r="T54" s="131"/>
      <c r="U54" s="121" t="s">
        <v>401</v>
      </c>
      <c r="V54" s="125" t="s">
        <v>531</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533</v>
      </c>
      <c r="C55" s="126">
        <f>Recyc_energy_use_Anna__SAME!C55</f>
        <v>0.634</v>
      </c>
      <c r="D55" s="127">
        <f>Recyc_energy_use_Anna__SAME!D55</f>
        <v>0.5608</v>
      </c>
      <c r="E55" s="127">
        <f>Recyc_energy_use_Anna__SAME!E55</f>
        <v>0.5435</v>
      </c>
      <c r="F55" s="127">
        <f>Recyc_energy_use_Anna__SAME!F55</f>
        <v>0.5394</v>
      </c>
      <c r="G55" s="127">
        <f>Recyc_energy_use_Anna__SAME!G55</f>
        <v>0.5181</v>
      </c>
      <c r="H55" s="127">
        <f>Recyc_energy_use_Anna__SAME!H55</f>
        <v>0.5287</v>
      </c>
      <c r="I55" s="127">
        <f>Recyc_energy_use_Anna__SAME!I55</f>
        <v>0.5394</v>
      </c>
      <c r="J55" s="127">
        <f>Recyc_energy_use_Anna__SAME!J55</f>
        <v>0.5394</v>
      </c>
      <c r="K55" s="123"/>
      <c r="L55" s="123"/>
      <c r="M55" s="131">
        <v>5.937</v>
      </c>
      <c r="N55" s="131">
        <v>5.845</v>
      </c>
      <c r="O55" s="131">
        <v>5.575</v>
      </c>
      <c r="P55" s="131">
        <v>5.276</v>
      </c>
      <c r="Q55" s="131">
        <v>5.363</v>
      </c>
      <c r="R55" s="131">
        <v>6.645</v>
      </c>
      <c r="S55" s="131">
        <v>5.654</v>
      </c>
      <c r="T55" s="131"/>
      <c r="U55" s="121"/>
      <c r="V55" s="125" t="s">
        <v>533</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535</v>
      </c>
      <c r="C56" s="126">
        <f>Recyc_energy_use_Anna__SAME!C56</f>
        <v>0.2256</v>
      </c>
      <c r="D56" s="127">
        <f>Recyc_energy_use_Anna__SAME!D56</f>
        <v>0.1898</v>
      </c>
      <c r="E56" s="127">
        <f>Recyc_energy_use_Anna__SAME!E56</f>
        <v>0.1816</v>
      </c>
      <c r="F56" s="127">
        <f>Recyc_energy_use_Anna__SAME!F56</f>
        <v>0.1797</v>
      </c>
      <c r="G56" s="127">
        <f>Recyc_energy_use_Anna__SAME!G56</f>
        <v>0.1697</v>
      </c>
      <c r="H56" s="127">
        <f>Recyc_energy_use_Anna__SAME!H56</f>
        <v>0.1747</v>
      </c>
      <c r="I56" s="127">
        <f>Recyc_energy_use_Anna__SAME!I56</f>
        <v>0.1797</v>
      </c>
      <c r="J56" s="127">
        <f>Recyc_energy_use_Anna__SAME!J56</f>
        <v>0.1797</v>
      </c>
      <c r="K56" s="123"/>
      <c r="L56" s="123"/>
      <c r="M56" s="131">
        <v>5.937</v>
      </c>
      <c r="N56" s="131">
        <v>5.845</v>
      </c>
      <c r="O56" s="131">
        <v>5.575</v>
      </c>
      <c r="P56" s="131">
        <v>5.276</v>
      </c>
      <c r="Q56" s="131">
        <v>5.363</v>
      </c>
      <c r="R56" s="131">
        <v>6.645</v>
      </c>
      <c r="S56" s="131">
        <v>5.654</v>
      </c>
      <c r="T56" s="131"/>
      <c r="U56" s="121"/>
      <c r="V56" s="125" t="s">
        <v>535</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537</v>
      </c>
      <c r="C57" s="126">
        <f>Recyc_energy_use_Anna__SAME!C57</f>
        <v>0.3671</v>
      </c>
      <c r="D57" s="127">
        <f>Recyc_energy_use_Anna__SAME!D57</f>
        <v>0.3308</v>
      </c>
      <c r="E57" s="127">
        <f>Recyc_energy_use_Anna__SAME!E57</f>
        <v>0.3224</v>
      </c>
      <c r="F57" s="127">
        <f>Recyc_energy_use_Anna__SAME!F57</f>
        <v>0.3205</v>
      </c>
      <c r="G57" s="127">
        <f>Recyc_energy_use_Anna__SAME!G57</f>
        <v>0.3101</v>
      </c>
      <c r="H57" s="127">
        <f>Recyc_energy_use_Anna__SAME!H57</f>
        <v>0.3151</v>
      </c>
      <c r="I57" s="127">
        <f>Recyc_energy_use_Anna__SAME!I57</f>
        <v>0.3205</v>
      </c>
      <c r="J57" s="127">
        <f>Recyc_energy_use_Anna__SAME!J57</f>
        <v>0.3205</v>
      </c>
      <c r="K57" s="123"/>
      <c r="L57" s="123"/>
      <c r="M57" s="131">
        <v>5.937</v>
      </c>
      <c r="N57" s="131">
        <v>5.845</v>
      </c>
      <c r="O57" s="131">
        <v>5.575</v>
      </c>
      <c r="P57" s="131">
        <v>5.276</v>
      </c>
      <c r="Q57" s="131">
        <v>5.363</v>
      </c>
      <c r="R57" s="131">
        <v>6.645</v>
      </c>
      <c r="S57" s="131">
        <v>5.654</v>
      </c>
      <c r="T57" s="131"/>
      <c r="U57" s="121"/>
      <c r="V57" s="125" t="s">
        <v>537</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538</v>
      </c>
      <c r="C58" s="126">
        <f>Recyc_energy_use_Anna__SAME!C58</f>
        <v>0.0853</v>
      </c>
      <c r="D58" s="127">
        <f>Recyc_energy_use_Anna__SAME!D58</f>
        <v>0.0775</v>
      </c>
      <c r="E58" s="127">
        <f>Recyc_energy_use_Anna__SAME!E58</f>
        <v>0.0755</v>
      </c>
      <c r="F58" s="127">
        <f>Recyc_energy_use_Anna__SAME!F58</f>
        <v>0.075</v>
      </c>
      <c r="G58" s="127">
        <f>Recyc_energy_use_Anna__SAME!G58</f>
        <v>0.0722</v>
      </c>
      <c r="H58" s="127">
        <f>Recyc_energy_use_Anna__SAME!H58</f>
        <v>0.0736</v>
      </c>
      <c r="I58" s="127">
        <f>Recyc_energy_use_Anna__SAME!I58</f>
        <v>0.075</v>
      </c>
      <c r="J58" s="127">
        <f>Recyc_energy_use_Anna__SAME!J58</f>
        <v>0.075</v>
      </c>
      <c r="K58" s="123"/>
      <c r="L58" s="123"/>
      <c r="M58" s="131">
        <v>5.937</v>
      </c>
      <c r="N58" s="131">
        <v>5.845</v>
      </c>
      <c r="O58" s="131">
        <v>5.575</v>
      </c>
      <c r="P58" s="131">
        <v>5.276</v>
      </c>
      <c r="Q58" s="131">
        <v>5.363</v>
      </c>
      <c r="R58" s="131">
        <v>6.645</v>
      </c>
      <c r="S58" s="131">
        <v>5.654</v>
      </c>
      <c r="T58" s="131"/>
      <c r="U58" s="121"/>
      <c r="V58" s="125" t="s">
        <v>538</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8"/>
      <c r="E59" s="128"/>
      <c r="F59" s="128"/>
      <c r="G59" s="128"/>
      <c r="H59" s="128"/>
      <c r="I59" s="128"/>
      <c r="J59" s="128"/>
      <c r="K59" s="123"/>
      <c r="L59" s="123"/>
      <c r="M59" s="123"/>
      <c r="N59" s="123"/>
      <c r="O59" s="123"/>
      <c r="P59" s="123"/>
      <c r="Q59" s="123"/>
      <c r="R59" s="123"/>
      <c r="S59" s="123"/>
      <c r="T59" s="123"/>
    </row>
    <row r="60" ht="15.5" spans="1:20">
      <c r="A60" s="123" t="s">
        <v>541</v>
      </c>
      <c r="B60" s="123"/>
      <c r="C60" s="122"/>
      <c r="D60" s="123"/>
      <c r="E60" s="123"/>
      <c r="F60" s="123"/>
      <c r="G60" s="123"/>
      <c r="H60" s="123"/>
      <c r="I60" s="123"/>
      <c r="J60" s="123"/>
      <c r="K60" s="123"/>
      <c r="L60" s="123"/>
      <c r="M60" s="123"/>
      <c r="N60" s="123"/>
      <c r="O60" s="123"/>
      <c r="P60" s="123"/>
      <c r="Q60" s="123"/>
      <c r="R60" s="123"/>
      <c r="S60" s="123"/>
      <c r="T60" s="123"/>
    </row>
    <row r="61" ht="15.5" spans="1:20">
      <c r="A61" s="123" t="s">
        <v>566</v>
      </c>
      <c r="B61" s="123"/>
      <c r="C61" s="122"/>
      <c r="D61" s="123"/>
      <c r="E61" s="123"/>
      <c r="F61" s="123"/>
      <c r="G61" s="123"/>
      <c r="H61" s="123"/>
      <c r="I61" s="123"/>
      <c r="J61" s="123"/>
      <c r="K61" s="123"/>
      <c r="L61" s="123"/>
      <c r="M61" s="123"/>
      <c r="N61" s="123"/>
      <c r="O61" s="123"/>
      <c r="P61" s="123"/>
      <c r="Q61" s="123"/>
      <c r="R61" s="123"/>
      <c r="S61" s="123"/>
      <c r="T61" s="123"/>
    </row>
    <row r="62" ht="15.5" spans="1:20">
      <c r="A62" s="123" t="s">
        <v>567</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333</v>
      </c>
      <c r="X72" s="123" t="s">
        <v>334</v>
      </c>
      <c r="Y72" s="124" t="s">
        <v>335</v>
      </c>
      <c r="Z72" s="123" t="s">
        <v>336</v>
      </c>
      <c r="AA72" s="123" t="s">
        <v>241</v>
      </c>
      <c r="AB72" s="135" t="s">
        <v>528</v>
      </c>
      <c r="AC72" s="135" t="s">
        <v>529</v>
      </c>
      <c r="AD72" s="123"/>
      <c r="AE72" s="123"/>
      <c r="AF72" s="123" t="s">
        <v>333</v>
      </c>
      <c r="AG72" s="123" t="s">
        <v>334</v>
      </c>
      <c r="AH72" s="124" t="s">
        <v>335</v>
      </c>
      <c r="AI72" s="123" t="s">
        <v>336</v>
      </c>
      <c r="AJ72" s="123" t="s">
        <v>241</v>
      </c>
      <c r="AK72" s="135" t="s">
        <v>528</v>
      </c>
      <c r="AL72" s="135" t="s">
        <v>529</v>
      </c>
      <c r="AM72" s="123"/>
      <c r="AN72" s="123"/>
      <c r="AO72" s="123" t="s">
        <v>333</v>
      </c>
      <c r="AP72" s="123" t="s">
        <v>334</v>
      </c>
      <c r="AQ72" s="124" t="s">
        <v>335</v>
      </c>
      <c r="AR72" s="123" t="s">
        <v>336</v>
      </c>
      <c r="AS72" s="123" t="s">
        <v>241</v>
      </c>
      <c r="AT72" s="135" t="s">
        <v>528</v>
      </c>
      <c r="AU72" s="135" t="s">
        <v>529</v>
      </c>
    </row>
    <row r="73" spans="21:47">
      <c r="U73" s="121" t="s">
        <v>530</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532</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534</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536</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391</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532</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534</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536</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568</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532</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534</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536</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569</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532</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534</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536</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333</v>
      </c>
      <c r="X92" s="123" t="s">
        <v>334</v>
      </c>
      <c r="Y92" s="124" t="s">
        <v>335</v>
      </c>
      <c r="Z92" s="123" t="s">
        <v>336</v>
      </c>
      <c r="AA92" s="123" t="s">
        <v>241</v>
      </c>
      <c r="AB92" s="135" t="s">
        <v>528</v>
      </c>
      <c r="AC92" s="135" t="s">
        <v>529</v>
      </c>
      <c r="AD92" s="123"/>
      <c r="AE92" s="123"/>
      <c r="AF92" s="123" t="s">
        <v>333</v>
      </c>
      <c r="AG92" s="123" t="s">
        <v>334</v>
      </c>
      <c r="AH92" s="124" t="s">
        <v>335</v>
      </c>
      <c r="AI92" s="123" t="s">
        <v>336</v>
      </c>
      <c r="AJ92" s="123" t="s">
        <v>241</v>
      </c>
      <c r="AK92" s="135" t="s">
        <v>528</v>
      </c>
      <c r="AL92" s="135" t="s">
        <v>529</v>
      </c>
      <c r="AM92" s="123"/>
      <c r="AN92" s="123"/>
      <c r="AO92" s="123" t="s">
        <v>333</v>
      </c>
      <c r="AP92" s="123" t="s">
        <v>334</v>
      </c>
      <c r="AQ92" s="124" t="s">
        <v>335</v>
      </c>
      <c r="AR92" s="123" t="s">
        <v>336</v>
      </c>
      <c r="AS92" s="123" t="s">
        <v>241</v>
      </c>
      <c r="AT92" s="135" t="s">
        <v>528</v>
      </c>
      <c r="AU92" s="135" t="s">
        <v>529</v>
      </c>
    </row>
    <row r="93" spans="21:47">
      <c r="U93" s="121" t="s">
        <v>530</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532</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534</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536</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391</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532</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534</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536</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568</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532</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534</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536</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569</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532</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534</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536</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333</v>
      </c>
      <c r="X112" s="123" t="s">
        <v>334</v>
      </c>
      <c r="Y112" s="124" t="s">
        <v>335</v>
      </c>
      <c r="Z112" s="123" t="s">
        <v>336</v>
      </c>
      <c r="AA112" s="123" t="s">
        <v>241</v>
      </c>
      <c r="AB112" s="135" t="s">
        <v>528</v>
      </c>
      <c r="AC112" s="135" t="s">
        <v>529</v>
      </c>
      <c r="AD112" s="123"/>
      <c r="AE112" s="123"/>
      <c r="AF112" s="123" t="s">
        <v>333</v>
      </c>
      <c r="AG112" s="123" t="s">
        <v>334</v>
      </c>
      <c r="AH112" s="124" t="s">
        <v>335</v>
      </c>
      <c r="AI112" s="123" t="s">
        <v>336</v>
      </c>
      <c r="AJ112" s="123" t="s">
        <v>241</v>
      </c>
      <c r="AK112" s="135" t="s">
        <v>528</v>
      </c>
      <c r="AL112" s="135" t="s">
        <v>529</v>
      </c>
      <c r="AM112" s="123"/>
      <c r="AN112" s="123"/>
      <c r="AO112" s="123" t="s">
        <v>333</v>
      </c>
      <c r="AP112" s="123" t="s">
        <v>334</v>
      </c>
      <c r="AQ112" s="124" t="s">
        <v>335</v>
      </c>
      <c r="AR112" s="123" t="s">
        <v>336</v>
      </c>
      <c r="AS112" s="123" t="s">
        <v>241</v>
      </c>
      <c r="AT112" s="135" t="s">
        <v>528</v>
      </c>
      <c r="AU112" s="135" t="s">
        <v>529</v>
      </c>
    </row>
    <row r="113" spans="21:47">
      <c r="U113" s="121" t="s">
        <v>530</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532</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534</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536</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391</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532</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534</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536</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568</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532</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534</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536</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569</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532</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534</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536</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366</v>
      </c>
      <c r="V162" s="142" t="s">
        <v>218</v>
      </c>
      <c r="W162" s="141">
        <f t="shared" ref="W162:W165" si="291">AF85</f>
        <v>0.0105665038459379</v>
      </c>
      <c r="X162" s="141"/>
      <c r="Y162" s="141" t="s">
        <v>367</v>
      </c>
      <c r="Z162" s="142" t="s">
        <v>218</v>
      </c>
      <c r="AA162" s="141">
        <f t="shared" ref="AA162:AA165" si="292">AG85</f>
        <v>0.010151126318791</v>
      </c>
      <c r="AB162" s="141"/>
      <c r="AC162" s="141" t="s">
        <v>368</v>
      </c>
      <c r="AD162" s="142" t="s">
        <v>218</v>
      </c>
      <c r="AE162" s="141">
        <f t="shared" ref="AE162:AE165" si="293">AH85</f>
        <v>0.0104454409566517</v>
      </c>
      <c r="AF162" s="141"/>
      <c r="AG162" s="141" t="s">
        <v>369</v>
      </c>
      <c r="AH162" s="142" t="s">
        <v>218</v>
      </c>
      <c r="AI162" s="141">
        <f t="shared" ref="AI162:AI165" si="294">AI85</f>
        <v>0.0114922921405105</v>
      </c>
      <c r="AJ162" s="141"/>
      <c r="AK162" s="141" t="s">
        <v>365</v>
      </c>
      <c r="AL162" s="142" t="s">
        <v>218</v>
      </c>
      <c r="AM162" s="141">
        <f>AJ85</f>
        <v>0.0116539250419541</v>
      </c>
      <c r="AN162" s="141"/>
      <c r="AO162" s="146" t="s">
        <v>364</v>
      </c>
      <c r="AP162" s="147" t="s">
        <v>218</v>
      </c>
      <c r="AQ162" s="146">
        <f>AT85</f>
        <v>0.00744895911713068</v>
      </c>
      <c r="AR162" s="146"/>
      <c r="AS162" s="146" t="s">
        <v>363</v>
      </c>
      <c r="AT162" s="147" t="s">
        <v>218</v>
      </c>
      <c r="AU162" s="146">
        <f>AU85</f>
        <v>0.00875456903667019</v>
      </c>
    </row>
    <row r="163" ht="16" spans="21:47">
      <c r="U163" s="141"/>
      <c r="V163" s="143" t="s">
        <v>516</v>
      </c>
      <c r="W163" s="141">
        <f t="shared" si="291"/>
        <v>0.0361911178485206</v>
      </c>
      <c r="X163" s="141"/>
      <c r="Y163" s="141"/>
      <c r="Z163" s="143" t="s">
        <v>516</v>
      </c>
      <c r="AA163" s="141">
        <f t="shared" si="292"/>
        <v>0.0345822640433419</v>
      </c>
      <c r="AB163" s="141"/>
      <c r="AC163" s="141"/>
      <c r="AD163" s="143" t="s">
        <v>516</v>
      </c>
      <c r="AE163" s="141">
        <f t="shared" si="293"/>
        <v>0.0356053811659193</v>
      </c>
      <c r="AF163" s="141"/>
      <c r="AG163" s="141"/>
      <c r="AH163" s="143" t="s">
        <v>516</v>
      </c>
      <c r="AI163" s="141">
        <f t="shared" si="294"/>
        <v>0.0365744250694971</v>
      </c>
      <c r="AJ163" s="141"/>
      <c r="AK163" s="141"/>
      <c r="AL163" s="143" t="s">
        <v>516</v>
      </c>
      <c r="AM163" s="141">
        <f t="shared" ref="AM163:AM165" si="295">AA86</f>
        <v>0.0374914537883026</v>
      </c>
      <c r="AN163" s="141"/>
      <c r="AO163" s="146"/>
      <c r="AP163" s="143" t="s">
        <v>516</v>
      </c>
      <c r="AQ163" s="146">
        <f>AT86</f>
        <v>0.0253912716328066</v>
      </c>
      <c r="AR163" s="146"/>
      <c r="AS163" s="146"/>
      <c r="AT163" s="143" t="s">
        <v>516</v>
      </c>
      <c r="AU163" s="146">
        <f>AU86</f>
        <v>0.0298417049876194</v>
      </c>
    </row>
    <row r="164" ht="16" spans="21:47">
      <c r="U164" s="141"/>
      <c r="V164" s="143" t="s">
        <v>517</v>
      </c>
      <c r="W164" s="141">
        <f t="shared" si="291"/>
        <v>0.0787154005951378</v>
      </c>
      <c r="X164" s="141"/>
      <c r="Y164" s="141"/>
      <c r="Z164" s="143" t="s">
        <v>517</v>
      </c>
      <c r="AA164" s="141">
        <f t="shared" si="292"/>
        <v>0.0766238950670089</v>
      </c>
      <c r="AB164" s="141"/>
      <c r="AC164" s="141"/>
      <c r="AD164" s="143" t="s">
        <v>517</v>
      </c>
      <c r="AE164" s="141">
        <f t="shared" si="293"/>
        <v>0.0794379671150972</v>
      </c>
      <c r="AF164" s="141"/>
      <c r="AG164" s="141"/>
      <c r="AH164" s="143" t="s">
        <v>517</v>
      </c>
      <c r="AI164" s="141">
        <f t="shared" si="294"/>
        <v>0.0831501137225171</v>
      </c>
      <c r="AJ164" s="141"/>
      <c r="AK164" s="141"/>
      <c r="AL164" s="143" t="s">
        <v>517</v>
      </c>
      <c r="AM164" s="141">
        <f t="shared" si="295"/>
        <v>0.0871278513269936</v>
      </c>
      <c r="AN164" s="141"/>
      <c r="AO164" s="146"/>
      <c r="AP164" s="143" t="s">
        <v>517</v>
      </c>
      <c r="AQ164" s="146">
        <f>AT87</f>
        <v>0.0566496112365187</v>
      </c>
      <c r="AR164" s="146"/>
      <c r="AS164" s="146"/>
      <c r="AT164" s="143" t="s">
        <v>517</v>
      </c>
      <c r="AU164" s="146">
        <f>AU87</f>
        <v>0.066578823251975</v>
      </c>
    </row>
    <row r="165" ht="16" spans="21:47">
      <c r="U165" s="144"/>
      <c r="V165" s="143" t="s">
        <v>518</v>
      </c>
      <c r="W165" s="141">
        <f t="shared" si="291"/>
        <v>0.0132277805850317</v>
      </c>
      <c r="X165" s="144"/>
      <c r="Y165" s="144"/>
      <c r="Z165" s="143" t="s">
        <v>518</v>
      </c>
      <c r="AA165" s="141">
        <f t="shared" si="292"/>
        <v>0.0129398346164813</v>
      </c>
      <c r="AB165" s="144"/>
      <c r="AC165" s="144"/>
      <c r="AD165" s="143" t="s">
        <v>518</v>
      </c>
      <c r="AE165" s="141">
        <f t="shared" si="293"/>
        <v>0.0134050822122571</v>
      </c>
      <c r="AF165" s="144"/>
      <c r="AG165" s="144"/>
      <c r="AH165" s="143" t="s">
        <v>518</v>
      </c>
      <c r="AI165" s="141">
        <f t="shared" si="294"/>
        <v>0.0146449330300733</v>
      </c>
      <c r="AJ165" s="144"/>
      <c r="AK165" s="144"/>
      <c r="AL165" s="143" t="s">
        <v>518</v>
      </c>
      <c r="AM165" s="141">
        <f t="shared" si="295"/>
        <v>0.0149356703337684</v>
      </c>
      <c r="AN165" s="144"/>
      <c r="AO165" s="148"/>
      <c r="AP165" s="143" t="s">
        <v>518</v>
      </c>
      <c r="AQ165" s="146">
        <f>AT88</f>
        <v>0.00955956859794332</v>
      </c>
      <c r="AR165" s="148"/>
      <c r="AS165" s="148"/>
      <c r="AT165" s="143" t="s">
        <v>518</v>
      </c>
      <c r="AU165" s="146">
        <f>AU88</f>
        <v>0.0112351137837519</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373</v>
      </c>
      <c r="V174" s="142" t="s">
        <v>218</v>
      </c>
      <c r="W174" s="141">
        <f t="shared" ref="W174:W177" si="296">W105</f>
        <v>0.0115995732974005</v>
      </c>
      <c r="X174" s="141"/>
      <c r="Y174" s="141" t="s">
        <v>374</v>
      </c>
      <c r="Z174" s="142" t="s">
        <v>218</v>
      </c>
      <c r="AA174" s="141">
        <f t="shared" ref="AA174:AA177" si="297">X105</f>
        <v>0.0111320216709438</v>
      </c>
      <c r="AB174" s="141"/>
      <c r="AC174" s="141" t="s">
        <v>375</v>
      </c>
      <c r="AD174" s="142" t="s">
        <v>218</v>
      </c>
      <c r="AE174" s="141">
        <f t="shared" ref="AE174:AE177" si="298">Y105</f>
        <v>0.0115156950672646</v>
      </c>
      <c r="AF174" s="141"/>
      <c r="AG174" s="141" t="s">
        <v>376</v>
      </c>
      <c r="AH174" s="142" t="s">
        <v>218</v>
      </c>
      <c r="AI174" s="141">
        <f t="shared" ref="AI174:AI177" si="299">Z105</f>
        <v>0.0118145059388425</v>
      </c>
      <c r="AJ174" s="141"/>
      <c r="AK174" s="141" t="s">
        <v>372</v>
      </c>
      <c r="AL174" s="142" t="s">
        <v>218</v>
      </c>
      <c r="AM174" s="141">
        <f t="shared" ref="AM174:AM177" si="300">AA105</f>
        <v>0.0120206352166076</v>
      </c>
      <c r="AN174" s="141"/>
      <c r="AO174" s="146" t="s">
        <v>371</v>
      </c>
      <c r="AP174" s="147" t="s">
        <v>218</v>
      </c>
      <c r="AQ174" s="146">
        <f>AT105</f>
        <v>0.00821218961625282</v>
      </c>
      <c r="AR174" s="146"/>
      <c r="AS174" s="146" t="s">
        <v>370</v>
      </c>
      <c r="AT174" s="147" t="s">
        <v>218</v>
      </c>
      <c r="AU174" s="146">
        <f>AU105</f>
        <v>0.00965157410682702</v>
      </c>
    </row>
    <row r="175" ht="16" spans="21:47">
      <c r="U175" s="141"/>
      <c r="V175" s="143" t="s">
        <v>516</v>
      </c>
      <c r="W175" s="141">
        <f t="shared" si="296"/>
        <v>0.0322272752793218</v>
      </c>
      <c r="X175" s="141"/>
      <c r="Y175" s="141"/>
      <c r="Z175" s="143" t="s">
        <v>516</v>
      </c>
      <c r="AA175" s="141">
        <f t="shared" si="297"/>
        <v>0.0310350727117194</v>
      </c>
      <c r="AB175" s="141"/>
      <c r="AC175" s="141"/>
      <c r="AD175" s="143" t="s">
        <v>516</v>
      </c>
      <c r="AE175" s="141">
        <f t="shared" si="298"/>
        <v>0.0321195814648729</v>
      </c>
      <c r="AF175" s="141"/>
      <c r="AG175" s="141"/>
      <c r="AH175" s="143" t="s">
        <v>516</v>
      </c>
      <c r="AI175" s="141">
        <f t="shared" si="299"/>
        <v>0.0332512004043467</v>
      </c>
      <c r="AJ175" s="141"/>
      <c r="AK175" s="141"/>
      <c r="AL175" s="143" t="s">
        <v>516</v>
      </c>
      <c r="AM175" s="141">
        <f t="shared" si="300"/>
        <v>0.033880290881969</v>
      </c>
      <c r="AN175" s="141"/>
      <c r="AO175" s="146"/>
      <c r="AP175" s="143" t="s">
        <v>516</v>
      </c>
      <c r="AQ175" s="146">
        <f>AT106</f>
        <v>0.0229054426887384</v>
      </c>
      <c r="AR175" s="146"/>
      <c r="AS175" s="146"/>
      <c r="AT175" s="143" t="s">
        <v>516</v>
      </c>
      <c r="AU175" s="146">
        <f>AU106</f>
        <v>0.0269201745077231</v>
      </c>
    </row>
    <row r="176" ht="16" spans="21:47">
      <c r="U176" s="141"/>
      <c r="V176" s="143" t="s">
        <v>517</v>
      </c>
      <c r="W176" s="141">
        <f t="shared" si="296"/>
        <v>0.0930380102184044</v>
      </c>
      <c r="X176" s="141"/>
      <c r="Y176" s="141"/>
      <c r="Z176" s="143" t="s">
        <v>517</v>
      </c>
      <c r="AA176" s="141">
        <f t="shared" si="297"/>
        <v>0.0901682349586541</v>
      </c>
      <c r="AB176" s="141"/>
      <c r="AC176" s="141"/>
      <c r="AD176" s="143" t="s">
        <v>517</v>
      </c>
      <c r="AE176" s="141">
        <f t="shared" si="298"/>
        <v>0.0934708520179372</v>
      </c>
      <c r="AF176" s="141"/>
      <c r="AG176" s="141"/>
      <c r="AH176" s="143" t="s">
        <v>517</v>
      </c>
      <c r="AI176" s="141">
        <f t="shared" si="299"/>
        <v>0.0946044983573414</v>
      </c>
      <c r="AJ176" s="141"/>
      <c r="AK176" s="141"/>
      <c r="AL176" s="143" t="s">
        <v>517</v>
      </c>
      <c r="AM176" s="141">
        <f t="shared" si="300"/>
        <v>0.0987631300888806</v>
      </c>
      <c r="AN176" s="141"/>
      <c r="AO176" s="146"/>
      <c r="AP176" s="143" t="s">
        <v>517</v>
      </c>
      <c r="AQ176" s="146">
        <f>AT107</f>
        <v>0.0666568848758465</v>
      </c>
      <c r="AR176" s="146"/>
      <c r="AS176" s="146"/>
      <c r="AT176" s="143" t="s">
        <v>517</v>
      </c>
      <c r="AU176" s="146">
        <f>AU107</f>
        <v>0.0783401131941988</v>
      </c>
    </row>
    <row r="177" ht="16" spans="21:47">
      <c r="U177" s="144"/>
      <c r="V177" s="143" t="s">
        <v>518</v>
      </c>
      <c r="W177" s="141">
        <f t="shared" si="296"/>
        <v>0.0134355173769019</v>
      </c>
      <c r="X177" s="144"/>
      <c r="Y177" s="144"/>
      <c r="Z177" s="143" t="s">
        <v>518</v>
      </c>
      <c r="AA177" s="141">
        <f t="shared" si="297"/>
        <v>0.0132534930139721</v>
      </c>
      <c r="AB177" s="144"/>
      <c r="AC177" s="144"/>
      <c r="AD177" s="143" t="s">
        <v>518</v>
      </c>
      <c r="AE177" s="141">
        <f t="shared" si="298"/>
        <v>0.0138116591928251</v>
      </c>
      <c r="AF177" s="144"/>
      <c r="AG177" s="144"/>
      <c r="AH177" s="143" t="s">
        <v>518</v>
      </c>
      <c r="AI177" s="141">
        <f t="shared" si="299"/>
        <v>0.0141837250442254</v>
      </c>
      <c r="AJ177" s="144"/>
      <c r="AK177" s="144"/>
      <c r="AL177" s="143" t="s">
        <v>518</v>
      </c>
      <c r="AM177" s="141">
        <f t="shared" si="300"/>
        <v>0.0143824973584437</v>
      </c>
      <c r="AN177" s="144"/>
      <c r="AO177" s="148"/>
      <c r="AP177" s="143" t="s">
        <v>518</v>
      </c>
      <c r="AQ177" s="146">
        <f>AT108</f>
        <v>0.00984951091045899</v>
      </c>
      <c r="AR177" s="148"/>
      <c r="AS177" s="148"/>
      <c r="AT177" s="143" t="s">
        <v>518</v>
      </c>
      <c r="AU177" s="146">
        <f>AU108</f>
        <v>0.0115758754863813</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380</v>
      </c>
      <c r="V185" s="142" t="s">
        <v>218</v>
      </c>
      <c r="W185" s="141">
        <f t="shared" ref="W185:W188" si="301">W125</f>
        <v>0.00791645612262086</v>
      </c>
      <c r="X185" s="141"/>
      <c r="Y185" s="141" t="s">
        <v>381</v>
      </c>
      <c r="Z185" s="142" t="s">
        <v>218</v>
      </c>
      <c r="AA185" s="141">
        <f t="shared" ref="AA185:AA188" si="302">X125</f>
        <v>0.00768748217850014</v>
      </c>
      <c r="AB185" s="141"/>
      <c r="AC185" s="141" t="s">
        <v>382</v>
      </c>
      <c r="AD185" s="142" t="s">
        <v>218</v>
      </c>
      <c r="AE185" s="141">
        <f t="shared" ref="AE185:AE188" si="303">Y125</f>
        <v>0.00798206278026906</v>
      </c>
      <c r="AF185" s="141"/>
      <c r="AG185" s="141" t="s">
        <v>383</v>
      </c>
      <c r="AH185" s="142" t="s">
        <v>218</v>
      </c>
      <c r="AI185" s="141">
        <f t="shared" ref="AI185:AI188" si="304">Z125</f>
        <v>0.00797321202931515</v>
      </c>
      <c r="AJ185" s="141"/>
      <c r="AK185" s="141" t="s">
        <v>379</v>
      </c>
      <c r="AL185" s="142" t="s">
        <v>218</v>
      </c>
      <c r="AM185" s="141">
        <f t="shared" ref="AM185:AM188" si="305">AA125</f>
        <v>0.00805519298899869</v>
      </c>
      <c r="AN185" s="141"/>
      <c r="AO185" s="146" t="s">
        <v>378</v>
      </c>
      <c r="AP185" s="147" t="s">
        <v>218</v>
      </c>
      <c r="AQ185" s="146">
        <f>AT125</f>
        <v>0.00569224981188864</v>
      </c>
      <c r="AR185" s="146"/>
      <c r="AS185" s="146" t="s">
        <v>377</v>
      </c>
      <c r="AT185" s="147" t="s">
        <v>218</v>
      </c>
      <c r="AU185" s="146">
        <f>AU125</f>
        <v>0.00668995401485673</v>
      </c>
    </row>
    <row r="186" ht="16" spans="21:47">
      <c r="U186" s="141"/>
      <c r="V186" s="143" t="s">
        <v>516</v>
      </c>
      <c r="W186" s="141">
        <f t="shared" si="301"/>
        <v>0.0255740834315872</v>
      </c>
      <c r="X186" s="141"/>
      <c r="Y186" s="141"/>
      <c r="Z186" s="143" t="s">
        <v>516</v>
      </c>
      <c r="AA186" s="141">
        <f t="shared" si="302"/>
        <v>0.0248303393213573</v>
      </c>
      <c r="AB186" s="141"/>
      <c r="AC186" s="141"/>
      <c r="AD186" s="143" t="s">
        <v>516</v>
      </c>
      <c r="AE186" s="141">
        <f t="shared" si="303"/>
        <v>0.0257518684603886</v>
      </c>
      <c r="AF186" s="141"/>
      <c r="AG186" s="141"/>
      <c r="AH186" s="143" t="s">
        <v>516</v>
      </c>
      <c r="AI186" s="141">
        <f t="shared" si="304"/>
        <v>0.0256633813495072</v>
      </c>
      <c r="AJ186" s="141"/>
      <c r="AK186" s="141"/>
      <c r="AL186" s="143" t="s">
        <v>516</v>
      </c>
      <c r="AM186" s="141">
        <f t="shared" si="305"/>
        <v>0.0260053452669526</v>
      </c>
      <c r="AN186" s="141"/>
      <c r="AO186" s="146"/>
      <c r="AP186" s="143" t="s">
        <v>516</v>
      </c>
      <c r="AQ186" s="146">
        <f>AT126</f>
        <v>0.0183644344118385</v>
      </c>
      <c r="AR186" s="146"/>
      <c r="AS186" s="146"/>
      <c r="AT186" s="143" t="s">
        <v>516</v>
      </c>
      <c r="AU186" s="146">
        <f>AU126</f>
        <v>0.0215832449003655</v>
      </c>
    </row>
    <row r="187" ht="16" spans="21:47">
      <c r="U187" s="141"/>
      <c r="V187" s="143" t="s">
        <v>517</v>
      </c>
      <c r="W187" s="141">
        <f t="shared" si="301"/>
        <v>0.0604008758632306</v>
      </c>
      <c r="X187" s="141"/>
      <c r="Y187" s="141"/>
      <c r="Z187" s="143" t="s">
        <v>517</v>
      </c>
      <c r="AA187" s="141">
        <f t="shared" si="302"/>
        <v>0.0597262617621899</v>
      </c>
      <c r="AB187" s="141"/>
      <c r="AC187" s="141"/>
      <c r="AD187" s="143" t="s">
        <v>517</v>
      </c>
      <c r="AE187" s="141">
        <f t="shared" si="303"/>
        <v>0.0622242152466368</v>
      </c>
      <c r="AF187" s="141"/>
      <c r="AG187" s="141"/>
      <c r="AH187" s="143" t="s">
        <v>517</v>
      </c>
      <c r="AI187" s="141">
        <f t="shared" si="304"/>
        <v>0.0635392974475613</v>
      </c>
      <c r="AJ187" s="141"/>
      <c r="AK187" s="141"/>
      <c r="AL187" s="143" t="s">
        <v>517</v>
      </c>
      <c r="AM187" s="141">
        <f t="shared" si="305"/>
        <v>0.0635589533221456</v>
      </c>
      <c r="AN187" s="141"/>
      <c r="AO187" s="146"/>
      <c r="AP187" s="143" t="s">
        <v>517</v>
      </c>
      <c r="AQ187" s="146">
        <f>AT127</f>
        <v>0.0443739653875094</v>
      </c>
      <c r="AR187" s="146"/>
      <c r="AS187" s="146"/>
      <c r="AT187" s="143" t="s">
        <v>517</v>
      </c>
      <c r="AU187" s="146">
        <f>AU127</f>
        <v>0.052151574106827</v>
      </c>
    </row>
    <row r="188" ht="16" spans="21:47">
      <c r="U188" s="144"/>
      <c r="V188" s="143" t="s">
        <v>518</v>
      </c>
      <c r="W188" s="141">
        <f t="shared" si="301"/>
        <v>0.013115490427264</v>
      </c>
      <c r="X188" s="144"/>
      <c r="Y188" s="144"/>
      <c r="Z188" s="143" t="s">
        <v>518</v>
      </c>
      <c r="AA188" s="141">
        <f t="shared" si="302"/>
        <v>0.0129683490162532</v>
      </c>
      <c r="AB188" s="144"/>
      <c r="AC188" s="144"/>
      <c r="AD188" s="143" t="s">
        <v>518</v>
      </c>
      <c r="AE188" s="141">
        <f t="shared" si="303"/>
        <v>0.0135067264573991</v>
      </c>
      <c r="AF188" s="144"/>
      <c r="AG188" s="144"/>
      <c r="AH188" s="143" t="s">
        <v>518</v>
      </c>
      <c r="AI188" s="141">
        <f t="shared" si="304"/>
        <v>0.013747788728835</v>
      </c>
      <c r="AJ188" s="144"/>
      <c r="AK188" s="144"/>
      <c r="AL188" s="143" t="s">
        <v>518</v>
      </c>
      <c r="AM188" s="141">
        <f t="shared" si="305"/>
        <v>0.0137858163962956</v>
      </c>
      <c r="AN188" s="144"/>
      <c r="AO188" s="148"/>
      <c r="AP188" s="143" t="s">
        <v>518</v>
      </c>
      <c r="AQ188" s="146">
        <f>AT128</f>
        <v>0.00963205417607224</v>
      </c>
      <c r="AR188" s="148"/>
      <c r="AS188" s="148"/>
      <c r="AT188" s="143" t="s">
        <v>518</v>
      </c>
      <c r="AU188" s="146">
        <f>AU128</f>
        <v>0.0113203042094093</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zoomScale="40" zoomScaleNormal="40" topLeftCell="A27" workbookViewId="0">
      <selection activeCell="K23" sqref="K23"/>
    </sheetView>
  </sheetViews>
  <sheetFormatPr defaultColWidth="9" defaultRowHeight="14.5"/>
  <cols>
    <col min="1" max="1" width="9" style="98"/>
    <col min="2" max="2" width="43" style="98" customWidth="1"/>
    <col min="3" max="3" width="7.63636363636364" style="98" customWidth="1"/>
    <col min="4" max="4" width="10.2727272727273" style="98" customWidth="1"/>
    <col min="5" max="5" width="7.63636363636364" style="98" customWidth="1"/>
    <col min="6" max="6" width="10.9090909090909" style="98" customWidth="1"/>
    <col min="7" max="7" width="10.0909090909091" style="98" customWidth="1"/>
    <col min="8" max="8" width="10.9090909090909" style="98" customWidth="1"/>
    <col min="9" max="10" width="9" style="98"/>
    <col min="11" max="11" width="28" style="98" customWidth="1"/>
    <col min="12" max="16384" width="9" style="98"/>
  </cols>
  <sheetData>
    <row r="3" ht="17.15" customHeight="1" spans="2:11">
      <c r="B3" s="99" t="s">
        <v>570</v>
      </c>
      <c r="K3" s="110" t="s">
        <v>571</v>
      </c>
    </row>
    <row r="4" ht="21" customHeight="1" spans="2:11">
      <c r="B4" s="100"/>
      <c r="C4" s="101" t="s">
        <v>228</v>
      </c>
      <c r="D4" s="101" t="s">
        <v>235</v>
      </c>
      <c r="E4" s="101" t="s">
        <v>241</v>
      </c>
      <c r="F4" s="101" t="s">
        <v>247</v>
      </c>
      <c r="G4" s="101" t="s">
        <v>334</v>
      </c>
      <c r="H4" s="101" t="s">
        <v>261</v>
      </c>
      <c r="I4" s="101" t="s">
        <v>269</v>
      </c>
      <c r="K4" s="118" t="s">
        <v>572</v>
      </c>
    </row>
    <row r="5" ht="15.5" spans="2:11">
      <c r="B5" s="102" t="s">
        <v>313</v>
      </c>
      <c r="C5" s="102">
        <v>0.095</v>
      </c>
      <c r="D5" s="102">
        <v>0.106</v>
      </c>
      <c r="E5" s="102">
        <v>0.102</v>
      </c>
      <c r="F5" s="102">
        <v>0.141</v>
      </c>
      <c r="G5" s="102">
        <v>0.136</v>
      </c>
      <c r="H5" s="102">
        <v>0.118</v>
      </c>
      <c r="I5" s="102">
        <v>0.1</v>
      </c>
      <c r="K5" s="110"/>
    </row>
    <row r="6" ht="15.5" spans="2:11">
      <c r="B6" s="102" t="s">
        <v>315</v>
      </c>
      <c r="C6" s="102">
        <v>0</v>
      </c>
      <c r="D6" s="102">
        <v>0</v>
      </c>
      <c r="E6" s="102">
        <v>0.672</v>
      </c>
      <c r="F6" s="102">
        <v>0.351</v>
      </c>
      <c r="G6" s="102">
        <v>0.508</v>
      </c>
      <c r="H6" s="102">
        <v>0.531</v>
      </c>
      <c r="I6" s="102">
        <v>0.6</v>
      </c>
      <c r="K6" s="110"/>
    </row>
    <row r="7" ht="15.5" spans="2:11">
      <c r="B7" s="102" t="s">
        <v>317</v>
      </c>
      <c r="C7" s="102">
        <v>0</v>
      </c>
      <c r="D7" s="102">
        <v>0</v>
      </c>
      <c r="E7" s="102">
        <v>0.127</v>
      </c>
      <c r="F7" s="102">
        <v>0.352</v>
      </c>
      <c r="G7" s="102">
        <v>0.204</v>
      </c>
      <c r="H7" s="102">
        <v>0.178</v>
      </c>
      <c r="I7" s="102">
        <v>0.075</v>
      </c>
      <c r="K7" s="110"/>
    </row>
    <row r="8" ht="15.5" spans="2:11">
      <c r="B8" s="102" t="s">
        <v>326</v>
      </c>
      <c r="C8" s="102">
        <v>0</v>
      </c>
      <c r="D8" s="102">
        <v>1.396</v>
      </c>
      <c r="E8" s="102">
        <v>0</v>
      </c>
      <c r="F8" s="102">
        <v>0.328</v>
      </c>
      <c r="G8" s="102">
        <v>0.285</v>
      </c>
      <c r="H8" s="102">
        <v>0.166</v>
      </c>
      <c r="I8" s="102">
        <v>0.07</v>
      </c>
      <c r="K8" s="110"/>
    </row>
    <row r="9" ht="15.5" spans="2:11">
      <c r="B9" s="102" t="s">
        <v>328</v>
      </c>
      <c r="C9" s="102">
        <v>3.528</v>
      </c>
      <c r="D9" s="102">
        <v>3.369</v>
      </c>
      <c r="E9" s="102">
        <v>2.92</v>
      </c>
      <c r="F9" s="102">
        <v>3.11</v>
      </c>
      <c r="G9" s="102">
        <v>3.07</v>
      </c>
      <c r="H9" s="102">
        <v>3.017</v>
      </c>
      <c r="I9" s="102">
        <v>2.921</v>
      </c>
      <c r="K9" s="110"/>
    </row>
    <row r="10" ht="15.5" spans="2:11">
      <c r="B10" s="102" t="s">
        <v>331</v>
      </c>
      <c r="C10" s="102">
        <v>0.946</v>
      </c>
      <c r="D10" s="102">
        <v>0.863</v>
      </c>
      <c r="E10" s="102">
        <v>0.564</v>
      </c>
      <c r="F10" s="102">
        <v>0.677</v>
      </c>
      <c r="G10" s="102">
        <v>0.661</v>
      </c>
      <c r="H10" s="102">
        <v>0.605</v>
      </c>
      <c r="I10" s="102">
        <v>0.549</v>
      </c>
      <c r="K10" s="110"/>
    </row>
    <row r="11" ht="15.5" spans="2:11">
      <c r="B11" s="102" t="s">
        <v>573</v>
      </c>
      <c r="C11" s="102">
        <v>1.085</v>
      </c>
      <c r="D11" s="102">
        <v>0.911</v>
      </c>
      <c r="E11" s="102">
        <v>0.978</v>
      </c>
      <c r="F11" s="102">
        <v>0.978</v>
      </c>
      <c r="G11" s="102">
        <v>0.981</v>
      </c>
      <c r="H11" s="102">
        <v>0.96</v>
      </c>
      <c r="I11" s="102">
        <v>0.961</v>
      </c>
      <c r="K11" s="110"/>
    </row>
    <row r="12" spans="11:11">
      <c r="K12" s="110"/>
    </row>
    <row r="13" spans="11:11">
      <c r="K13" s="110"/>
    </row>
    <row r="14" spans="11:11">
      <c r="K14" s="110"/>
    </row>
    <row r="15" ht="15.5" spans="2:11">
      <c r="B15" s="99" t="s">
        <v>574</v>
      </c>
      <c r="K15" s="110" t="s">
        <v>571</v>
      </c>
    </row>
    <row r="16" ht="15.5" spans="2:11">
      <c r="B16" s="100"/>
      <c r="C16" s="101" t="s">
        <v>228</v>
      </c>
      <c r="D16" s="101" t="s">
        <v>235</v>
      </c>
      <c r="E16" s="101" t="s">
        <v>241</v>
      </c>
      <c r="F16" s="101" t="s">
        <v>247</v>
      </c>
      <c r="G16" s="101" t="s">
        <v>334</v>
      </c>
      <c r="H16" s="101" t="s">
        <v>261</v>
      </c>
      <c r="I16" s="101" t="s">
        <v>269</v>
      </c>
      <c r="K16" s="110" t="s">
        <v>575</v>
      </c>
    </row>
    <row r="17" spans="2:9">
      <c r="B17" s="103" t="s">
        <v>576</v>
      </c>
      <c r="C17" s="103" t="s">
        <v>577</v>
      </c>
      <c r="D17" s="103" t="s">
        <v>578</v>
      </c>
      <c r="E17" s="103" t="s">
        <v>579</v>
      </c>
      <c r="F17" s="100" t="s">
        <v>579</v>
      </c>
      <c r="G17" s="100"/>
      <c r="H17" s="100"/>
      <c r="I17" s="100"/>
    </row>
    <row r="18" spans="2:9">
      <c r="B18" s="103" t="s">
        <v>580</v>
      </c>
      <c r="C18" s="103" t="s">
        <v>581</v>
      </c>
      <c r="D18" s="103" t="s">
        <v>582</v>
      </c>
      <c r="E18" s="103" t="s">
        <v>583</v>
      </c>
      <c r="F18" s="104" t="s">
        <v>583</v>
      </c>
      <c r="G18" s="105"/>
      <c r="H18" s="105"/>
      <c r="I18" s="119"/>
    </row>
    <row r="24" ht="15.5" spans="2:2">
      <c r="B24" s="99" t="s">
        <v>584</v>
      </c>
    </row>
    <row r="25" ht="15.5" spans="2:9">
      <c r="B25" s="100"/>
      <c r="C25" s="101" t="s">
        <v>228</v>
      </c>
      <c r="D25" s="101" t="s">
        <v>235</v>
      </c>
      <c r="E25" s="101" t="s">
        <v>241</v>
      </c>
      <c r="F25" s="101" t="s">
        <v>247</v>
      </c>
      <c r="G25" s="101" t="s">
        <v>334</v>
      </c>
      <c r="H25" s="101" t="s">
        <v>261</v>
      </c>
      <c r="I25" s="101" t="s">
        <v>269</v>
      </c>
    </row>
    <row r="26" ht="15.5" spans="2:9">
      <c r="B26" s="102"/>
      <c r="C26" s="106">
        <v>0.8</v>
      </c>
      <c r="D26" s="106">
        <v>0.8</v>
      </c>
      <c r="E26" s="106">
        <v>0.8</v>
      </c>
      <c r="F26" s="106">
        <v>0.8</v>
      </c>
      <c r="G26" s="106">
        <v>0.8</v>
      </c>
      <c r="H26" s="106">
        <v>0.8</v>
      </c>
      <c r="I26" s="106">
        <v>0.8</v>
      </c>
    </row>
    <row r="27" ht="15.5" spans="2:9">
      <c r="B27" s="107"/>
      <c r="C27" s="107"/>
      <c r="D27" s="107"/>
      <c r="E27" s="107"/>
      <c r="F27" s="107"/>
      <c r="G27" s="107"/>
      <c r="H27" s="107"/>
      <c r="I27" s="107"/>
    </row>
    <row r="28" spans="2:11">
      <c r="B28" s="108" t="s">
        <v>585</v>
      </c>
      <c r="C28" s="109"/>
      <c r="D28" s="109"/>
      <c r="E28" s="109"/>
      <c r="F28" s="109"/>
      <c r="G28" s="109"/>
      <c r="H28" s="109"/>
      <c r="I28" s="109"/>
      <c r="J28" s="109"/>
      <c r="K28" s="109"/>
    </row>
    <row r="29" spans="2:11">
      <c r="B29" s="109"/>
      <c r="C29" s="109"/>
      <c r="D29" s="109"/>
      <c r="E29" s="109"/>
      <c r="F29" s="109"/>
      <c r="G29" s="109"/>
      <c r="H29" s="109"/>
      <c r="I29" s="109"/>
      <c r="J29" s="109"/>
      <c r="K29" s="109"/>
    </row>
    <row r="30" spans="2:11">
      <c r="B30" s="109"/>
      <c r="C30" s="109"/>
      <c r="D30" s="109"/>
      <c r="E30" s="109"/>
      <c r="F30" s="109"/>
      <c r="G30" s="109"/>
      <c r="H30" s="109"/>
      <c r="I30" s="109"/>
      <c r="J30" s="109"/>
      <c r="K30" s="109"/>
    </row>
    <row r="31" spans="2:11">
      <c r="B31" s="109"/>
      <c r="C31" s="109"/>
      <c r="D31" s="109"/>
      <c r="E31" s="109"/>
      <c r="F31" s="109"/>
      <c r="G31" s="109"/>
      <c r="H31" s="109"/>
      <c r="I31" s="109"/>
      <c r="J31" s="109"/>
      <c r="K31" s="109"/>
    </row>
    <row r="32" spans="2:11">
      <c r="B32" s="109"/>
      <c r="C32" s="109"/>
      <c r="D32" s="109"/>
      <c r="E32" s="109"/>
      <c r="F32" s="109"/>
      <c r="G32" s="109"/>
      <c r="H32" s="109"/>
      <c r="I32" s="109"/>
      <c r="J32" s="109"/>
      <c r="K32" s="109"/>
    </row>
    <row r="33" spans="2:2">
      <c r="B33" s="110" t="s">
        <v>586</v>
      </c>
    </row>
    <row r="35" ht="72" customHeight="1" spans="2:13">
      <c r="B35" s="111" t="s">
        <v>587</v>
      </c>
      <c r="C35" s="111"/>
      <c r="D35" s="111"/>
      <c r="E35" s="111"/>
      <c r="F35" s="111"/>
      <c r="G35" s="111"/>
      <c r="H35" s="111"/>
      <c r="I35" s="111"/>
      <c r="J35" s="111"/>
      <c r="K35" s="111"/>
      <c r="M35" s="120"/>
    </row>
    <row r="40" ht="15.5" spans="2:11">
      <c r="B40" s="99" t="s">
        <v>588</v>
      </c>
      <c r="K40" s="110" t="s">
        <v>571</v>
      </c>
    </row>
    <row r="41" ht="84" spans="2:11">
      <c r="B41" s="112"/>
      <c r="C41" s="113"/>
      <c r="D41" s="113"/>
      <c r="E41" s="113"/>
      <c r="F41" s="113"/>
      <c r="G41" s="113"/>
      <c r="H41" s="113"/>
      <c r="I41" s="113"/>
      <c r="K41" s="118" t="s">
        <v>572</v>
      </c>
    </row>
    <row r="42" ht="15.5" spans="2:9">
      <c r="B42" s="114" t="s">
        <v>313</v>
      </c>
      <c r="C42" s="115">
        <v>0.6</v>
      </c>
      <c r="D42" s="116"/>
      <c r="E42" s="116"/>
      <c r="F42" s="116"/>
      <c r="G42" s="116"/>
      <c r="H42" s="116"/>
      <c r="I42" s="116"/>
    </row>
    <row r="43" ht="15.5" spans="2:3">
      <c r="B43" s="114" t="s">
        <v>315</v>
      </c>
      <c r="C43" s="117">
        <v>0.56</v>
      </c>
    </row>
    <row r="44" ht="15.5" spans="2:3">
      <c r="B44" s="114" t="s">
        <v>317</v>
      </c>
      <c r="C44" s="117">
        <v>0.65</v>
      </c>
    </row>
    <row r="45" ht="15.5" spans="2:3">
      <c r="B45" s="114" t="s">
        <v>326</v>
      </c>
      <c r="C45" s="117">
        <v>0.61</v>
      </c>
    </row>
    <row r="46" ht="15.5" spans="2:3">
      <c r="B46" s="114" t="s">
        <v>328</v>
      </c>
      <c r="C46" s="117">
        <v>0.52</v>
      </c>
    </row>
    <row r="47" ht="15.5" spans="2:3">
      <c r="B47" s="114" t="s">
        <v>331</v>
      </c>
      <c r="C47" s="117">
        <v>0.55</v>
      </c>
    </row>
    <row r="48" ht="15.5" spans="2:2">
      <c r="B48" s="107"/>
    </row>
  </sheetData>
  <mergeCells count="4">
    <mergeCell ref="F17:I17"/>
    <mergeCell ref="F18:I18"/>
    <mergeCell ref="B35:K35"/>
    <mergeCell ref="B28:K32"/>
  </mergeCells>
  <pageMargins left="0.7" right="0.7" top="0.75" bottom="0.75" header="0.3" footer="0.3"/>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workbookViewId="0">
      <pane ySplit="2" topLeftCell="A3" activePane="bottomLeft" state="frozen"/>
      <selection/>
      <selection pane="bottomLeft" activeCell="H11" sqref="H11"/>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589</v>
      </c>
      <c r="C3" s="38"/>
      <c r="D3" s="38"/>
      <c r="E3" s="38"/>
      <c r="F3" s="39"/>
    </row>
    <row r="5" ht="15" customHeight="1" spans="2:2">
      <c r="B5" s="43" t="s">
        <v>590</v>
      </c>
    </row>
    <row r="6" spans="2:4">
      <c r="B6" s="44">
        <v>2015</v>
      </c>
      <c r="C6" s="44"/>
      <c r="D6" s="44"/>
    </row>
    <row r="7" spans="2:4">
      <c r="B7" s="45" t="s">
        <v>12</v>
      </c>
      <c r="C7" s="46" t="s">
        <v>13</v>
      </c>
      <c r="D7" s="47">
        <v>13.1007452853893</v>
      </c>
    </row>
    <row r="8" spans="2:4">
      <c r="B8" s="45" t="s">
        <v>14</v>
      </c>
      <c r="C8" s="46" t="s">
        <v>15</v>
      </c>
      <c r="D8" s="68">
        <v>63980.0542759221</v>
      </c>
    </row>
    <row r="10" spans="2:6">
      <c r="B10" s="48" t="s">
        <v>21</v>
      </c>
      <c r="C10" s="48" t="s">
        <v>591</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8" t="s">
        <v>21</v>
      </c>
      <c r="C24" s="48" t="s">
        <v>592</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2">
      <c r="B40" s="43" t="s">
        <v>593</v>
      </c>
    </row>
    <row r="41" spans="2:4">
      <c r="B41" s="82">
        <v>2015</v>
      </c>
      <c r="C41" s="83"/>
      <c r="D41" s="84"/>
    </row>
    <row r="42" spans="2:4">
      <c r="B42" s="45" t="s">
        <v>12</v>
      </c>
      <c r="C42" s="46" t="s">
        <v>88</v>
      </c>
      <c r="D42" s="47">
        <v>10.8549032364654</v>
      </c>
    </row>
    <row r="43" spans="2:4">
      <c r="B43" s="45" t="s">
        <v>14</v>
      </c>
      <c r="C43" s="46" t="s">
        <v>15</v>
      </c>
      <c r="D43" s="68">
        <v>79811.8928746926</v>
      </c>
    </row>
    <row r="44" ht="15" customHeight="1"/>
    <row r="45" spans="2:6">
      <c r="B45" s="48" t="s">
        <v>594</v>
      </c>
      <c r="C45" s="48" t="s">
        <v>595</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2">
      <c r="B60" s="43" t="s">
        <v>596</v>
      </c>
    </row>
    <row r="61" spans="2:4">
      <c r="B61" s="44">
        <v>2015</v>
      </c>
      <c r="C61" s="44"/>
      <c r="D61" s="44"/>
    </row>
    <row r="62" spans="2:4">
      <c r="B62" s="45" t="s">
        <v>12</v>
      </c>
      <c r="C62" s="46" t="s">
        <v>13</v>
      </c>
      <c r="D62" s="47">
        <v>16.0016245985826</v>
      </c>
    </row>
    <row r="63" spans="2:4">
      <c r="B63" s="45" t="s">
        <v>14</v>
      </c>
      <c r="C63" s="46" t="s">
        <v>15</v>
      </c>
      <c r="D63" s="68">
        <v>70436.7262436661</v>
      </c>
    </row>
    <row r="64" ht="15" customHeight="1"/>
    <row r="65" spans="2:6">
      <c r="B65" s="48" t="s">
        <v>91</v>
      </c>
      <c r="C65" s="48" t="s">
        <v>597</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4">
      <c r="B79" s="44">
        <v>2020</v>
      </c>
      <c r="C79" s="44"/>
      <c r="D79" s="44"/>
    </row>
    <row r="80" spans="2:4">
      <c r="B80" s="45" t="s">
        <v>598</v>
      </c>
      <c r="C80" s="46" t="s">
        <v>26</v>
      </c>
      <c r="D80" s="74">
        <v>0.56</v>
      </c>
    </row>
    <row r="82" ht="15" customHeight="1" spans="2:6">
      <c r="B82" s="48" t="s">
        <v>27</v>
      </c>
      <c r="C82" s="48" t="s">
        <v>599</v>
      </c>
      <c r="D82" s="48"/>
      <c r="E82" s="48"/>
      <c r="F82" s="48"/>
    </row>
    <row r="83" spans="2:6">
      <c r="B83" s="48"/>
      <c r="C83" s="48"/>
      <c r="D83" s="48"/>
      <c r="E83" s="48"/>
      <c r="F83" s="48"/>
    </row>
    <row r="84" spans="2:6">
      <c r="B84" s="48"/>
      <c r="C84" s="48"/>
      <c r="D84" s="48"/>
      <c r="E84" s="48"/>
      <c r="F84" s="48"/>
    </row>
    <row r="85" spans="2:6">
      <c r="B85" s="88"/>
      <c r="C85" s="50">
        <v>2020</v>
      </c>
      <c r="D85" s="50">
        <v>2030</v>
      </c>
      <c r="E85" s="50">
        <v>2040</v>
      </c>
      <c r="F85" s="50">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8" t="s">
        <v>29</v>
      </c>
      <c r="C97" s="48" t="s">
        <v>600</v>
      </c>
      <c r="D97" s="48"/>
      <c r="E97" s="48"/>
      <c r="F97" s="48"/>
    </row>
    <row r="98" ht="21.75" customHeight="1" spans="2:6">
      <c r="B98" s="48"/>
      <c r="C98" s="48"/>
      <c r="D98" s="48"/>
      <c r="E98" s="48"/>
      <c r="F98" s="48"/>
    </row>
    <row r="99" spans="2:6">
      <c r="B99" s="48"/>
      <c r="C99" s="48"/>
      <c r="D99" s="48"/>
      <c r="E99" s="48"/>
      <c r="F99" s="48"/>
    </row>
    <row r="100" spans="2:6">
      <c r="B100" s="88"/>
      <c r="C100" s="50">
        <v>2020</v>
      </c>
      <c r="D100" s="50">
        <v>2030</v>
      </c>
      <c r="E100" s="50">
        <v>2040</v>
      </c>
      <c r="F100" s="50">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2">
      <c r="B114" s="43" t="s">
        <v>116</v>
      </c>
    </row>
    <row r="115" ht="15" customHeight="1" spans="2:4">
      <c r="B115" s="44">
        <v>2015</v>
      </c>
      <c r="C115" s="44"/>
      <c r="D115" s="44"/>
    </row>
    <row r="116" spans="2:4">
      <c r="B116" s="45" t="s">
        <v>12</v>
      </c>
      <c r="C116" s="46" t="s">
        <v>13</v>
      </c>
      <c r="D116" s="47">
        <v>18.8825162842906</v>
      </c>
    </row>
    <row r="117" spans="2:4">
      <c r="B117" s="45" t="s">
        <v>14</v>
      </c>
      <c r="C117" s="46" t="s">
        <v>15</v>
      </c>
      <c r="D117" s="68">
        <v>79045.0684591355</v>
      </c>
    </row>
    <row r="119" spans="2:6">
      <c r="B119" s="48" t="s">
        <v>119</v>
      </c>
      <c r="C119" s="48" t="s">
        <v>110</v>
      </c>
      <c r="D119" s="48"/>
      <c r="E119" s="48"/>
      <c r="F119" s="48"/>
    </row>
    <row r="120" spans="2:6">
      <c r="B120" s="48"/>
      <c r="C120" s="48"/>
      <c r="D120" s="48"/>
      <c r="E120" s="48"/>
      <c r="F120" s="48"/>
    </row>
    <row r="121" spans="2:6">
      <c r="B121" s="48"/>
      <c r="C121" s="48"/>
      <c r="D121" s="48"/>
      <c r="E121" s="48"/>
      <c r="F121" s="48"/>
    </row>
    <row r="122" spans="2:6">
      <c r="B122" s="88"/>
      <c r="C122" s="50">
        <v>2020</v>
      </c>
      <c r="D122" s="50">
        <v>2030</v>
      </c>
      <c r="E122" s="50">
        <v>2040</v>
      </c>
      <c r="F122" s="50">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8" t="s">
        <v>119</v>
      </c>
      <c r="C133" s="48" t="s">
        <v>111</v>
      </c>
      <c r="D133" s="48"/>
      <c r="E133" s="48"/>
      <c r="F133" s="48"/>
    </row>
    <row r="134" spans="2:6">
      <c r="B134" s="48"/>
      <c r="C134" s="48"/>
      <c r="D134" s="48"/>
      <c r="E134" s="48"/>
      <c r="F134" s="48"/>
    </row>
    <row r="135" spans="2:6">
      <c r="B135" s="48"/>
      <c r="C135" s="48"/>
      <c r="D135" s="48"/>
      <c r="E135" s="48"/>
      <c r="F135" s="48"/>
    </row>
    <row r="136" spans="2:6">
      <c r="B136" s="88"/>
      <c r="C136" s="50">
        <v>2020</v>
      </c>
      <c r="D136" s="50">
        <v>2030</v>
      </c>
      <c r="E136" s="50">
        <v>2040</v>
      </c>
      <c r="F136" s="50">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2">
      <c r="B149" s="43" t="s">
        <v>120</v>
      </c>
    </row>
    <row r="150" spans="2:4">
      <c r="B150" s="44">
        <v>2015</v>
      </c>
      <c r="C150" s="44"/>
      <c r="D150" s="44"/>
    </row>
    <row r="151" spans="2:4">
      <c r="B151" s="45" t="s">
        <v>12</v>
      </c>
      <c r="C151" s="46" t="s">
        <v>88</v>
      </c>
      <c r="D151" s="47">
        <v>15.6724885159612</v>
      </c>
    </row>
    <row r="152" spans="2:4">
      <c r="B152" s="45" t="s">
        <v>14</v>
      </c>
      <c r="C152" s="46" t="s">
        <v>15</v>
      </c>
      <c r="D152" s="68">
        <v>97834.8667075987</v>
      </c>
    </row>
    <row r="153" ht="15" customHeight="1"/>
    <row r="154" spans="2:6">
      <c r="B154" s="48" t="s">
        <v>121</v>
      </c>
      <c r="C154" s="48" t="s">
        <v>114</v>
      </c>
      <c r="D154" s="48"/>
      <c r="E154" s="48"/>
      <c r="F154" s="48"/>
    </row>
    <row r="155" spans="2:6">
      <c r="B155" s="48"/>
      <c r="C155" s="48"/>
      <c r="D155" s="48"/>
      <c r="E155" s="48"/>
      <c r="F155" s="48"/>
    </row>
    <row r="156" spans="2:6">
      <c r="B156" s="48"/>
      <c r="C156" s="48"/>
      <c r="D156" s="48"/>
      <c r="E156" s="48"/>
      <c r="F156" s="48"/>
    </row>
    <row r="157" spans="2:6">
      <c r="B157" s="88"/>
      <c r="C157" s="50">
        <v>2020</v>
      </c>
      <c r="D157" s="50">
        <v>2030</v>
      </c>
      <c r="E157" s="50">
        <v>2040</v>
      </c>
      <c r="F157" s="50">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2">
      <c r="B169" s="43" t="s">
        <v>122</v>
      </c>
    </row>
    <row r="170" spans="2:4">
      <c r="B170" s="44">
        <v>2015</v>
      </c>
      <c r="C170" s="44"/>
      <c r="D170" s="44"/>
    </row>
    <row r="171" spans="2:4">
      <c r="B171" s="45" t="s">
        <v>12</v>
      </c>
      <c r="C171" s="46" t="s">
        <v>13</v>
      </c>
      <c r="D171" s="47">
        <v>23.0366698668345</v>
      </c>
    </row>
    <row r="172" ht="15.75" customHeight="1" spans="2:4">
      <c r="B172" s="45" t="s">
        <v>14</v>
      </c>
      <c r="C172" s="46" t="s">
        <v>15</v>
      </c>
      <c r="D172" s="68">
        <v>87115.9084188155</v>
      </c>
    </row>
    <row r="173" ht="15.75" customHeight="1" spans="2:2">
      <c r="B173"/>
    </row>
    <row r="174" ht="15.75" customHeight="1" spans="2:6">
      <c r="B174" s="48" t="s">
        <v>123</v>
      </c>
      <c r="C174" s="48" t="s">
        <v>115</v>
      </c>
      <c r="D174" s="48"/>
      <c r="E174" s="48"/>
      <c r="F174" s="48"/>
    </row>
    <row r="175" spans="2:6">
      <c r="B175" s="48"/>
      <c r="C175" s="48"/>
      <c r="D175" s="48"/>
      <c r="E175" s="48"/>
      <c r="F175" s="48"/>
    </row>
    <row r="176" spans="2:6">
      <c r="B176" s="48"/>
      <c r="C176" s="48"/>
      <c r="D176" s="48"/>
      <c r="E176" s="48"/>
      <c r="F176" s="48"/>
    </row>
    <row r="177" spans="2:6">
      <c r="B177" s="88"/>
      <c r="C177" s="50">
        <v>2020</v>
      </c>
      <c r="D177" s="50">
        <v>2030</v>
      </c>
      <c r="E177" s="50">
        <v>2040</v>
      </c>
      <c r="F177" s="50">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4">
      <c r="B188" s="44">
        <v>2020</v>
      </c>
      <c r="C188" s="44"/>
      <c r="D188" s="44"/>
    </row>
    <row r="189" spans="2:4">
      <c r="B189" s="45" t="s">
        <v>124</v>
      </c>
      <c r="C189" s="46" t="s">
        <v>26</v>
      </c>
      <c r="D189" s="74">
        <v>0.74</v>
      </c>
    </row>
    <row r="192" ht="15" customHeight="1" spans="2:6">
      <c r="B192" s="48" t="s">
        <v>27</v>
      </c>
      <c r="C192" s="48" t="s">
        <v>117</v>
      </c>
      <c r="D192" s="48"/>
      <c r="E192" s="48"/>
      <c r="F192" s="48"/>
    </row>
    <row r="193" spans="2:6">
      <c r="B193" s="48"/>
      <c r="C193" s="48"/>
      <c r="D193" s="48"/>
      <c r="E193" s="48"/>
      <c r="F193" s="48"/>
    </row>
    <row r="194" spans="2:6">
      <c r="B194" s="48"/>
      <c r="C194" s="48"/>
      <c r="D194" s="48"/>
      <c r="E194" s="48"/>
      <c r="F194" s="48"/>
    </row>
    <row r="195" spans="2:6">
      <c r="B195" s="88"/>
      <c r="C195" s="50">
        <v>2020</v>
      </c>
      <c r="D195" s="50">
        <v>2030</v>
      </c>
      <c r="E195" s="50">
        <v>2040</v>
      </c>
      <c r="F195" s="50">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5" t="s">
        <v>118</v>
      </c>
      <c r="D207" s="56"/>
      <c r="E207" s="56"/>
      <c r="F207" s="57"/>
    </row>
    <row r="208" ht="21.75" customHeight="1" spans="2:6">
      <c r="B208" s="72"/>
      <c r="C208" s="58"/>
      <c r="D208" s="59"/>
      <c r="E208" s="59"/>
      <c r="F208" s="60"/>
    </row>
    <row r="209" spans="2:6">
      <c r="B209" s="73"/>
      <c r="C209" s="61"/>
      <c r="D209" s="62"/>
      <c r="E209" s="62"/>
      <c r="F209" s="63"/>
    </row>
    <row r="210" spans="2:6">
      <c r="B210" s="88"/>
      <c r="C210" s="50">
        <v>2020</v>
      </c>
      <c r="D210" s="50">
        <v>2030</v>
      </c>
      <c r="E210" s="50">
        <v>2040</v>
      </c>
      <c r="F210" s="50">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workbookViewId="0">
      <pane ySplit="2" topLeftCell="A3" activePane="bottomLeft" state="frozen"/>
      <selection/>
      <selection pane="bottomLeft" activeCell="B3" sqref="B3:F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80" t="s">
        <v>9</v>
      </c>
      <c r="C2" s="81"/>
      <c r="D2" s="81"/>
      <c r="E2" s="81"/>
      <c r="F2" s="81"/>
    </row>
    <row r="3" ht="18.5" spans="2:6">
      <c r="B3" s="37" t="s">
        <v>601</v>
      </c>
      <c r="C3" s="38"/>
      <c r="D3" s="38"/>
      <c r="E3" s="38"/>
      <c r="F3" s="39"/>
    </row>
    <row r="4" spans="11:20">
      <c r="K4" s="65" t="s">
        <v>602</v>
      </c>
      <c r="L4" s="65"/>
      <c r="M4" s="65"/>
      <c r="N4" s="65"/>
      <c r="O4" s="65"/>
      <c r="P4" s="65"/>
      <c r="Q4" s="65"/>
      <c r="R4" s="65"/>
      <c r="S4" s="65"/>
      <c r="T4" s="65"/>
    </row>
    <row r="5" spans="2:20">
      <c r="B5" s="43" t="s">
        <v>603</v>
      </c>
      <c r="K5" s="65"/>
      <c r="L5" s="65"/>
      <c r="M5" s="65"/>
      <c r="N5" s="65"/>
      <c r="O5" s="65"/>
      <c r="P5" s="65"/>
      <c r="Q5" s="65"/>
      <c r="R5" s="65"/>
      <c r="S5" s="65"/>
      <c r="T5" s="65"/>
    </row>
    <row r="6" spans="2:20">
      <c r="B6" s="82">
        <v>2015</v>
      </c>
      <c r="C6" s="83"/>
      <c r="D6" s="84"/>
      <c r="K6" s="65"/>
      <c r="L6" s="65"/>
      <c r="M6" s="65"/>
      <c r="N6" s="65"/>
      <c r="O6" s="65"/>
      <c r="P6" s="65"/>
      <c r="Q6" s="65"/>
      <c r="R6" s="65"/>
      <c r="S6" s="65"/>
      <c r="T6" s="65"/>
    </row>
    <row r="7" spans="2:20">
      <c r="B7" s="45" t="s">
        <v>12</v>
      </c>
      <c r="C7" s="46" t="s">
        <v>13</v>
      </c>
      <c r="D7" s="47">
        <v>26.4540471693243</v>
      </c>
      <c r="K7" s="65"/>
      <c r="L7" s="65"/>
      <c r="M7" s="65"/>
      <c r="N7" s="65"/>
      <c r="O7" s="65"/>
      <c r="P7" s="65"/>
      <c r="Q7" s="65"/>
      <c r="R7" s="65"/>
      <c r="S7" s="65"/>
      <c r="T7" s="65"/>
    </row>
    <row r="8" spans="2:20">
      <c r="B8" s="45" t="s">
        <v>14</v>
      </c>
      <c r="C8" s="46" t="s">
        <v>15</v>
      </c>
      <c r="D8" s="68">
        <v>104049.009026778</v>
      </c>
      <c r="K8" s="65"/>
      <c r="L8" s="65"/>
      <c r="M8" s="65"/>
      <c r="N8" s="65"/>
      <c r="O8" s="65"/>
      <c r="P8" s="65"/>
      <c r="Q8" s="65"/>
      <c r="R8" s="65"/>
      <c r="S8" s="65"/>
      <c r="T8" s="65"/>
    </row>
    <row r="9" ht="15" customHeight="1" spans="11:20">
      <c r="K9" s="65"/>
      <c r="L9" s="65"/>
      <c r="M9" s="65"/>
      <c r="N9" s="65"/>
      <c r="O9" s="65"/>
      <c r="P9" s="65"/>
      <c r="Q9" s="65"/>
      <c r="R9" s="65"/>
      <c r="S9" s="65"/>
      <c r="T9" s="65"/>
    </row>
    <row r="10" ht="15" customHeight="1" spans="2:20">
      <c r="B10" s="48" t="s">
        <v>119</v>
      </c>
      <c r="C10" s="48" t="s">
        <v>604</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8">
      <c r="B14" s="85">
        <v>0.0326299019680694</v>
      </c>
      <c r="C14" s="86">
        <v>105926.499305968</v>
      </c>
      <c r="D14" s="86">
        <v>104054.749305968</v>
      </c>
      <c r="E14" s="86">
        <v>104018.697266617</v>
      </c>
      <c r="F14" s="86">
        <v>103990.373410703</v>
      </c>
      <c r="H14" s="87"/>
    </row>
    <row r="15" spans="2:8">
      <c r="B15" s="85">
        <v>0.0826299019680694</v>
      </c>
      <c r="C15" s="86">
        <v>107636.923518373</v>
      </c>
      <c r="D15" s="86">
        <v>104296.999305968</v>
      </c>
      <c r="E15" s="86">
        <v>104228.154661354</v>
      </c>
      <c r="F15" s="86">
        <v>104172.835373556</v>
      </c>
      <c r="H15" s="87"/>
    </row>
    <row r="16" spans="2:8">
      <c r="B16" s="85">
        <v>0.132629901968069</v>
      </c>
      <c r="C16" s="86">
        <v>109387.006530653</v>
      </c>
      <c r="D16" s="86">
        <v>104866.999305968</v>
      </c>
      <c r="E16" s="86">
        <v>104729.274729953</v>
      </c>
      <c r="F16" s="86">
        <v>104615.951677126</v>
      </c>
      <c r="H16" s="87"/>
    </row>
    <row r="17" spans="2:8">
      <c r="B17" s="85">
        <v>0.182629901968069</v>
      </c>
      <c r="C17" s="86">
        <v>116593.188161858</v>
      </c>
      <c r="D17" s="86">
        <v>105668.909305968</v>
      </c>
      <c r="E17" s="86">
        <v>105453.443928835</v>
      </c>
      <c r="F17" s="86">
        <v>105271.588343492</v>
      </c>
      <c r="H17" s="87"/>
    </row>
    <row r="18" spans="2:8">
      <c r="B18" s="85">
        <v>0.232629901968069</v>
      </c>
      <c r="C18" s="86">
        <v>123025.977594695</v>
      </c>
      <c r="D18" s="86">
        <v>107051.259305968</v>
      </c>
      <c r="E18" s="86">
        <v>106725.701247755</v>
      </c>
      <c r="F18" s="86">
        <v>106443.125180044</v>
      </c>
      <c r="H18" s="87"/>
    </row>
    <row r="19" spans="2:8">
      <c r="B19" s="85">
        <v>0.282629901968069</v>
      </c>
      <c r="C19" s="86">
        <v>156122.469999119</v>
      </c>
      <c r="D19" s="86">
        <v>110084.629305968</v>
      </c>
      <c r="E19" s="86">
        <v>109555.480712197</v>
      </c>
      <c r="F19" s="86">
        <v>109081.211214992</v>
      </c>
      <c r="H19" s="87"/>
    </row>
    <row r="20" spans="2:8">
      <c r="B20" s="85">
        <v>0.312629901968069</v>
      </c>
      <c r="C20" s="86">
        <v>269188.355780887</v>
      </c>
      <c r="D20" s="86">
        <v>124230.799305968</v>
      </c>
      <c r="E20" s="86">
        <v>122847.311370951</v>
      </c>
      <c r="F20" s="86">
        <v>121557.673253108</v>
      </c>
      <c r="H20" s="87"/>
    </row>
    <row r="24" ht="15" customHeight="1" spans="2:6">
      <c r="B24" s="48" t="s">
        <v>21</v>
      </c>
      <c r="C24" s="48" t="s">
        <v>605</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8">
      <c r="B28" s="85">
        <v>0.05</v>
      </c>
      <c r="C28" s="86">
        <v>117809.007026778</v>
      </c>
      <c r="D28" s="86">
        <v>113354.579026778</v>
      </c>
      <c r="E28" s="86">
        <v>111678.234096787</v>
      </c>
      <c r="F28" s="86">
        <v>110389.466892622</v>
      </c>
      <c r="H28" s="87"/>
    </row>
    <row r="29" spans="2:8">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3">
      <c r="B31" s="85">
        <v>0.2</v>
      </c>
      <c r="C31" s="86">
        <v>124491.066386778</v>
      </c>
      <c r="D31" s="86">
        <v>114418.719026778</v>
      </c>
      <c r="E31" s="86">
        <v>113033.362626401</v>
      </c>
      <c r="F31" s="86">
        <v>111893.458470679</v>
      </c>
      <c r="H31" s="87"/>
      <c r="M31" s="89"/>
    </row>
    <row r="32" spans="2:8">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6">
      <c r="B35" s="85">
        <v>0.4</v>
      </c>
      <c r="C35" s="86">
        <v>140787.309783376</v>
      </c>
      <c r="D35" s="86">
        <v>130029.929026778</v>
      </c>
      <c r="E35" s="86">
        <v>128267.496171151</v>
      </c>
      <c r="F35" s="86">
        <v>126624.619111493</v>
      </c>
    </row>
    <row r="40" spans="2:2">
      <c r="B40" s="43" t="s">
        <v>606</v>
      </c>
    </row>
    <row r="41" spans="2:4">
      <c r="B41" s="82">
        <v>2020</v>
      </c>
      <c r="C41" s="83"/>
      <c r="D41" s="84"/>
    </row>
    <row r="42" spans="2:4">
      <c r="B42" s="45" t="s">
        <v>12</v>
      </c>
      <c r="C42" s="46" t="s">
        <v>88</v>
      </c>
      <c r="D42" s="47">
        <v>23.5955365197922</v>
      </c>
    </row>
    <row r="43" spans="2:4">
      <c r="B43" s="45" t="s">
        <v>14</v>
      </c>
      <c r="C43" s="46" t="s">
        <v>15</v>
      </c>
      <c r="D43" s="68">
        <v>135102.073358062</v>
      </c>
    </row>
    <row r="44" ht="15" customHeight="1"/>
    <row r="45" spans="2:6">
      <c r="B45" s="48" t="s">
        <v>121</v>
      </c>
      <c r="C45" s="48" t="s">
        <v>607</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0.0326299019680694</v>
      </c>
      <c r="C49" s="86">
        <v>136979.563637252</v>
      </c>
      <c r="D49" s="86">
        <v>135107.813637252</v>
      </c>
      <c r="E49" s="86">
        <v>135071.761597901</v>
      </c>
      <c r="F49" s="86">
        <v>135043.437741987</v>
      </c>
    </row>
    <row r="50" spans="2:6">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6">
      <c r="B52" s="85">
        <v>0.182629901968069</v>
      </c>
      <c r="C52" s="86">
        <v>147646.252493142</v>
      </c>
      <c r="D52" s="86">
        <v>136721.973637252</v>
      </c>
      <c r="E52" s="86">
        <v>136506.508260119</v>
      </c>
      <c r="F52" s="86">
        <v>136324.652674776</v>
      </c>
    </row>
    <row r="53" spans="2:6">
      <c r="B53" s="85">
        <v>0.232629901968069</v>
      </c>
      <c r="C53" s="86">
        <v>154079.041925979</v>
      </c>
      <c r="D53" s="86">
        <v>138104.323637252</v>
      </c>
      <c r="E53" s="86">
        <v>137778.765579039</v>
      </c>
      <c r="F53" s="86">
        <v>137496.189511328</v>
      </c>
    </row>
    <row r="54" spans="2:6">
      <c r="B54" s="85">
        <v>0.282629901968069</v>
      </c>
      <c r="C54" s="86">
        <v>187175.534330403</v>
      </c>
      <c r="D54" s="86">
        <v>141137.693637252</v>
      </c>
      <c r="E54" s="86">
        <v>140608.545043481</v>
      </c>
      <c r="F54" s="86">
        <v>140134.275546276</v>
      </c>
    </row>
    <row r="55" spans="2:6">
      <c r="B55" s="85">
        <v>0.312629901968069</v>
      </c>
      <c r="C55" s="86">
        <v>300241.420112171</v>
      </c>
      <c r="D55" s="86">
        <v>155283.863637252</v>
      </c>
      <c r="E55" s="86">
        <v>153900.375702235</v>
      </c>
      <c r="F55" s="86">
        <v>152610.737584392</v>
      </c>
    </row>
    <row r="60" spans="2:2">
      <c r="B60" s="43" t="s">
        <v>608</v>
      </c>
    </row>
    <row r="61" spans="2:4">
      <c r="B61" s="82">
        <v>2015</v>
      </c>
      <c r="C61" s="83"/>
      <c r="D61" s="84"/>
    </row>
    <row r="62" spans="2:4">
      <c r="B62" s="45" t="s">
        <v>12</v>
      </c>
      <c r="C62" s="46" t="s">
        <v>13</v>
      </c>
      <c r="D62" s="47">
        <v>34.6938323532122</v>
      </c>
    </row>
    <row r="63" spans="2:4">
      <c r="B63" s="45" t="s">
        <v>14</v>
      </c>
      <c r="C63" s="46" t="s">
        <v>15</v>
      </c>
      <c r="D63" s="68">
        <v>114810.128973018</v>
      </c>
    </row>
    <row r="64" ht="15" customHeight="1"/>
    <row r="65" spans="2:6">
      <c r="B65" s="48" t="s">
        <v>609</v>
      </c>
      <c r="C65" s="48" t="s">
        <v>610</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4">
      <c r="B79" s="91">
        <v>2020</v>
      </c>
      <c r="C79" s="92"/>
      <c r="D79" s="93"/>
    </row>
    <row r="80" spans="2:4">
      <c r="B80" s="45" t="s">
        <v>611</v>
      </c>
      <c r="C80" s="46" t="s">
        <v>26</v>
      </c>
      <c r="D80" s="74">
        <v>1.3</v>
      </c>
    </row>
    <row r="82" spans="2:6">
      <c r="B82" s="48" t="s">
        <v>27</v>
      </c>
      <c r="C82" s="48" t="s">
        <v>612</v>
      </c>
      <c r="D82" s="48"/>
      <c r="E82" s="48"/>
      <c r="F82" s="48"/>
    </row>
    <row r="83" ht="15" customHeight="1" spans="2:6">
      <c r="B83" s="48"/>
      <c r="C83" s="48"/>
      <c r="D83" s="48"/>
      <c r="E83" s="48"/>
      <c r="F83" s="48"/>
    </row>
    <row r="84" spans="2:6">
      <c r="B84" s="48"/>
      <c r="C84" s="48"/>
      <c r="D84" s="48"/>
      <c r="E84" s="48"/>
      <c r="F84" s="48"/>
    </row>
    <row r="85" spans="2:6">
      <c r="B85" s="66"/>
      <c r="C85" s="50">
        <v>2020</v>
      </c>
      <c r="D85" s="50">
        <v>2030</v>
      </c>
      <c r="E85" s="50">
        <v>2040</v>
      </c>
      <c r="F85" s="50">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8" t="s">
        <v>29</v>
      </c>
      <c r="C97" s="48" t="s">
        <v>613</v>
      </c>
      <c r="D97" s="48"/>
      <c r="E97" s="48"/>
      <c r="F97" s="48"/>
    </row>
    <row r="98" ht="21.75" customHeight="1" spans="2:6">
      <c r="B98" s="48"/>
      <c r="C98" s="48"/>
      <c r="D98" s="48"/>
      <c r="E98" s="48"/>
      <c r="F98" s="48"/>
    </row>
    <row r="99" spans="2:6">
      <c r="B99" s="48"/>
      <c r="C99" s="48"/>
      <c r="D99" s="48"/>
      <c r="E99" s="48"/>
      <c r="F99" s="48"/>
    </row>
    <row r="100" spans="2:6">
      <c r="B100" s="49"/>
      <c r="C100" s="50">
        <v>2020</v>
      </c>
      <c r="D100" s="50">
        <v>2030</v>
      </c>
      <c r="E100" s="50">
        <v>2040</v>
      </c>
      <c r="F100" s="50">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614</v>
      </c>
      <c r="C112" s="38"/>
      <c r="D112" s="38"/>
      <c r="E112" s="38"/>
      <c r="F112" s="39"/>
    </row>
    <row r="114" spans="2:2">
      <c r="B114" s="43" t="s">
        <v>615</v>
      </c>
    </row>
    <row r="115" spans="2:4">
      <c r="B115" s="44">
        <v>2015</v>
      </c>
      <c r="C115" s="44"/>
      <c r="D115" s="44"/>
    </row>
    <row r="116" spans="2:4">
      <c r="B116" s="45" t="s">
        <v>12</v>
      </c>
      <c r="C116" s="46" t="s">
        <v>13</v>
      </c>
      <c r="D116" s="47">
        <v>36.475426694474</v>
      </c>
    </row>
    <row r="117" ht="15" customHeight="1" spans="2:4">
      <c r="B117" s="45" t="s">
        <v>14</v>
      </c>
      <c r="C117" s="46" t="s">
        <v>15</v>
      </c>
      <c r="D117" s="68">
        <v>145779.657264165</v>
      </c>
    </row>
    <row r="119" spans="2:6">
      <c r="B119" s="48" t="s">
        <v>21</v>
      </c>
      <c r="C119" s="48" t="s">
        <v>616</v>
      </c>
      <c r="D119" s="48"/>
      <c r="E119" s="48"/>
      <c r="F119" s="48"/>
    </row>
    <row r="120" spans="2:6">
      <c r="B120" s="48"/>
      <c r="C120" s="48"/>
      <c r="D120" s="48"/>
      <c r="E120" s="48"/>
      <c r="F120" s="48"/>
    </row>
    <row r="121" spans="2:6">
      <c r="B121" s="48"/>
      <c r="C121" s="48"/>
      <c r="D121" s="48"/>
      <c r="E121" s="48"/>
      <c r="F121" s="48"/>
    </row>
    <row r="122" spans="2:6">
      <c r="B122" s="49"/>
      <c r="C122" s="50">
        <v>2020</v>
      </c>
      <c r="D122" s="50">
        <v>2030</v>
      </c>
      <c r="E122" s="50">
        <v>2040</v>
      </c>
      <c r="F122" s="50">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8" t="s">
        <v>21</v>
      </c>
      <c r="C132" s="48" t="s">
        <v>617</v>
      </c>
      <c r="D132" s="48"/>
      <c r="E132" s="48"/>
      <c r="F132" s="48"/>
    </row>
    <row r="133" spans="2:6">
      <c r="B133" s="48"/>
      <c r="C133" s="48"/>
      <c r="D133" s="48"/>
      <c r="E133" s="48"/>
      <c r="F133" s="48"/>
    </row>
    <row r="134" spans="2:6">
      <c r="B134" s="48"/>
      <c r="C134" s="48"/>
      <c r="D134" s="48"/>
      <c r="E134" s="48"/>
      <c r="F134" s="48"/>
    </row>
    <row r="135" spans="2:6">
      <c r="B135" s="49"/>
      <c r="C135" s="50">
        <v>2020</v>
      </c>
      <c r="D135" s="50">
        <v>2030</v>
      </c>
      <c r="E135" s="50">
        <v>2040</v>
      </c>
      <c r="F135" s="50">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2">
      <c r="B148" s="43" t="s">
        <v>618</v>
      </c>
    </row>
    <row r="149" spans="2:4">
      <c r="B149" s="44">
        <v>2020</v>
      </c>
      <c r="C149" s="44"/>
      <c r="D149" s="44"/>
    </row>
    <row r="150" spans="2:4">
      <c r="B150" s="45" t="s">
        <v>12</v>
      </c>
      <c r="C150" s="46" t="s">
        <v>88</v>
      </c>
      <c r="D150" s="47">
        <v>32.5906910301368</v>
      </c>
    </row>
    <row r="151" spans="2:4">
      <c r="B151" s="45" t="s">
        <v>14</v>
      </c>
      <c r="C151" s="46" t="s">
        <v>15</v>
      </c>
      <c r="D151" s="68">
        <v>184053.947327963</v>
      </c>
    </row>
    <row r="153" spans="2:6">
      <c r="B153" s="48" t="s">
        <v>121</v>
      </c>
      <c r="C153" s="48" t="s">
        <v>619</v>
      </c>
      <c r="D153" s="48"/>
      <c r="E153" s="48"/>
      <c r="F153" s="48"/>
    </row>
    <row r="154" spans="2:6">
      <c r="B154" s="48"/>
      <c r="C154" s="48"/>
      <c r="D154" s="48"/>
      <c r="E154" s="48"/>
      <c r="F154" s="48"/>
    </row>
    <row r="155" spans="2:6">
      <c r="B155" s="48"/>
      <c r="C155" s="48"/>
      <c r="D155" s="48"/>
      <c r="E155" s="48"/>
      <c r="F155" s="48"/>
    </row>
    <row r="156" ht="15" customHeight="1" spans="2:6">
      <c r="B156" s="49"/>
      <c r="C156" s="50">
        <v>2020</v>
      </c>
      <c r="D156" s="50">
        <v>2030</v>
      </c>
      <c r="E156" s="50">
        <v>2040</v>
      </c>
      <c r="F156" s="50">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2">
      <c r="B167" s="43" t="s">
        <v>620</v>
      </c>
    </row>
    <row r="168" spans="2:4">
      <c r="B168" s="44">
        <v>2015</v>
      </c>
      <c r="C168" s="44"/>
      <c r="D168" s="44"/>
    </row>
    <row r="169" spans="2:4">
      <c r="B169" s="45" t="s">
        <v>12</v>
      </c>
      <c r="C169" s="46" t="s">
        <v>13</v>
      </c>
      <c r="D169" s="47">
        <v>47.9055143222354</v>
      </c>
    </row>
    <row r="170" spans="2:4">
      <c r="B170" s="45" t="s">
        <v>14</v>
      </c>
      <c r="C170" s="46" t="s">
        <v>15</v>
      </c>
      <c r="D170" s="68">
        <v>160845.225188901</v>
      </c>
    </row>
    <row r="172" spans="2:6">
      <c r="B172" s="48" t="s">
        <v>91</v>
      </c>
      <c r="C172" s="48" t="s">
        <v>621</v>
      </c>
      <c r="D172" s="48"/>
      <c r="E172" s="48"/>
      <c r="F172" s="48"/>
    </row>
    <row r="173" spans="2:6">
      <c r="B173" s="48"/>
      <c r="C173" s="48"/>
      <c r="D173" s="48"/>
      <c r="E173" s="48"/>
      <c r="F173" s="48"/>
    </row>
    <row r="174" spans="2:6">
      <c r="B174" s="48"/>
      <c r="C174" s="48"/>
      <c r="D174" s="48"/>
      <c r="E174" s="48"/>
      <c r="F174" s="48"/>
    </row>
    <row r="175" spans="2:6">
      <c r="B175" s="49"/>
      <c r="C175" s="50">
        <v>2020</v>
      </c>
      <c r="D175" s="50">
        <v>2030</v>
      </c>
      <c r="E175" s="50">
        <v>2040</v>
      </c>
      <c r="F175" s="50">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4">
      <c r="B185" s="44">
        <v>2020</v>
      </c>
      <c r="C185" s="44"/>
      <c r="D185" s="44"/>
    </row>
    <row r="186" spans="2:4">
      <c r="B186" s="45" t="s">
        <v>622</v>
      </c>
      <c r="C186" s="46" t="s">
        <v>26</v>
      </c>
      <c r="D186" s="74">
        <v>1.65</v>
      </c>
    </row>
    <row r="188" spans="2:6">
      <c r="B188" s="48" t="s">
        <v>27</v>
      </c>
      <c r="C188" s="48" t="s">
        <v>623</v>
      </c>
      <c r="D188" s="48"/>
      <c r="E188" s="48"/>
      <c r="F188" s="48"/>
    </row>
    <row r="189" spans="2:6">
      <c r="B189" s="48"/>
      <c r="C189" s="48"/>
      <c r="D189" s="48"/>
      <c r="E189" s="48"/>
      <c r="F189" s="48"/>
    </row>
    <row r="190" spans="2:6">
      <c r="B190" s="48"/>
      <c r="C190" s="48"/>
      <c r="D190" s="48"/>
      <c r="E190" s="48"/>
      <c r="F190" s="48"/>
    </row>
    <row r="191" spans="2:6">
      <c r="B191" s="96"/>
      <c r="C191" s="50">
        <v>2020</v>
      </c>
      <c r="D191" s="50">
        <v>2030</v>
      </c>
      <c r="E191" s="50">
        <v>2040</v>
      </c>
      <c r="F191" s="50">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8" t="s">
        <v>29</v>
      </c>
      <c r="C203" s="48" t="s">
        <v>624</v>
      </c>
      <c r="D203" s="48"/>
      <c r="E203" s="48"/>
      <c r="F203" s="48"/>
    </row>
    <row r="204" spans="2:6">
      <c r="B204" s="48"/>
      <c r="C204" s="48"/>
      <c r="D204" s="48"/>
      <c r="E204" s="48"/>
      <c r="F204" s="48"/>
    </row>
    <row r="205" spans="2:6">
      <c r="B205" s="48"/>
      <c r="C205" s="48"/>
      <c r="D205" s="48"/>
      <c r="E205" s="48"/>
      <c r="F205" s="48"/>
    </row>
    <row r="206" spans="2:6">
      <c r="B206" s="49"/>
      <c r="C206" s="50">
        <v>2020</v>
      </c>
      <c r="D206" s="50">
        <v>2030</v>
      </c>
      <c r="E206" s="50">
        <v>2040</v>
      </c>
      <c r="F206" s="50">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5">
      <c r="B218" s="48" t="s">
        <v>21</v>
      </c>
      <c r="C218" s="55" t="s">
        <v>625</v>
      </c>
      <c r="D218" s="56"/>
      <c r="E218" s="57"/>
    </row>
    <row r="219" spans="2:5">
      <c r="B219" s="48"/>
      <c r="C219" s="58"/>
      <c r="D219" s="59"/>
      <c r="E219" s="60"/>
    </row>
    <row r="220" spans="2:5">
      <c r="B220" s="48"/>
      <c r="C220" s="61"/>
      <c r="D220" s="62"/>
      <c r="E220" s="63"/>
    </row>
    <row r="221" spans="2:5">
      <c r="B221" s="49"/>
      <c r="C221" s="50">
        <v>2030</v>
      </c>
      <c r="D221" s="50">
        <v>2040</v>
      </c>
      <c r="E221" s="50">
        <v>2050</v>
      </c>
    </row>
    <row r="222" spans="2:5">
      <c r="B222" s="85">
        <v>0.5246742608</v>
      </c>
      <c r="C222" s="86">
        <v>164730.198153894</v>
      </c>
      <c r="D222" s="86">
        <v>160787.990178194</v>
      </c>
      <c r="E222" s="86">
        <v>158686.584347121</v>
      </c>
    </row>
    <row r="223" spans="2:5">
      <c r="B223" s="85">
        <v>0.5746742608</v>
      </c>
      <c r="C223" s="86">
        <v>165753.518153894</v>
      </c>
      <c r="D223" s="86">
        <v>161865.044939351</v>
      </c>
      <c r="E223" s="86">
        <v>159778.270168578</v>
      </c>
    </row>
    <row r="224" spans="2:5">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2">
      <c r="B226" t="s">
        <v>626</v>
      </c>
    </row>
    <row r="227" spans="2:2">
      <c r="B227" t="s">
        <v>627</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K4:T13"/>
    <mergeCell ref="C82:F84"/>
    <mergeCell ref="C153:F155"/>
    <mergeCell ref="C172:F174"/>
    <mergeCell ref="C119:F121"/>
    <mergeCell ref="C132:F134"/>
    <mergeCell ref="C45:F47"/>
    <mergeCell ref="C65:F67"/>
    <mergeCell ref="C10:F12"/>
    <mergeCell ref="C24:F26"/>
    <mergeCell ref="C97:F99"/>
    <mergeCell ref="C188:F190"/>
    <mergeCell ref="C218:E220"/>
    <mergeCell ref="C203:F205"/>
  </mergeCells>
  <pageMargins left="0.7" right="0.7" top="0.75" bottom="0.75" header="0.3" footer="0.3"/>
  <pageSetup paperSize="1"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workbookViewId="0">
      <pane ySplit="2" topLeftCell="A3" activePane="bottomLeft" state="frozen"/>
      <selection/>
      <selection pane="bottomLeft" activeCell="B3" sqref="B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4" ht="16.5" customHeight="1"/>
    <row r="5" ht="15" customHeight="1" spans="2:20">
      <c r="B5" s="43" t="s">
        <v>628</v>
      </c>
      <c r="K5" s="65" t="s">
        <v>629</v>
      </c>
      <c r="L5" s="65"/>
      <c r="M5" s="65"/>
      <c r="N5" s="65"/>
      <c r="O5" s="65"/>
      <c r="P5" s="65"/>
      <c r="Q5" s="65"/>
      <c r="R5" s="65"/>
      <c r="S5" s="65"/>
      <c r="T5" s="65"/>
    </row>
    <row r="6" spans="2:20">
      <c r="B6" s="78">
        <v>2015</v>
      </c>
      <c r="C6" s="78"/>
      <c r="D6" s="78"/>
      <c r="K6" s="65"/>
      <c r="L6" s="65"/>
      <c r="M6" s="65"/>
      <c r="N6" s="65"/>
      <c r="O6" s="65"/>
      <c r="P6" s="65"/>
      <c r="Q6" s="65"/>
      <c r="R6" s="65"/>
      <c r="S6" s="65"/>
      <c r="T6" s="65"/>
    </row>
    <row r="7" spans="2:20">
      <c r="B7" s="45" t="s">
        <v>12</v>
      </c>
      <c r="C7" s="46" t="s">
        <v>630</v>
      </c>
      <c r="D7" s="68">
        <v>3736.18882346745</v>
      </c>
      <c r="K7" s="65"/>
      <c r="L7" s="65"/>
      <c r="M7" s="65"/>
      <c r="N7" s="65"/>
      <c r="O7" s="65"/>
      <c r="P7" s="65"/>
      <c r="Q7" s="65"/>
      <c r="R7" s="65"/>
      <c r="S7" s="65"/>
      <c r="T7" s="65"/>
    </row>
    <row r="8" spans="2:20">
      <c r="B8" s="45" t="s">
        <v>14</v>
      </c>
      <c r="C8" s="46" t="s">
        <v>631</v>
      </c>
      <c r="D8" s="68">
        <v>109.132559812093</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632</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20">
      <c r="B14" s="51">
        <v>0.0244945889723062</v>
      </c>
      <c r="C14" s="66">
        <v>111.115662125928</v>
      </c>
      <c r="D14" s="66">
        <v>110.584463707242</v>
      </c>
      <c r="E14" s="66">
        <v>110.584463707242</v>
      </c>
      <c r="F14" s="66">
        <v>110.584463707242</v>
      </c>
      <c r="K14" s="65"/>
      <c r="L14" s="65"/>
      <c r="M14" s="65"/>
      <c r="N14" s="65"/>
      <c r="O14" s="65"/>
      <c r="P14" s="65"/>
      <c r="Q14" s="65"/>
      <c r="R14" s="65"/>
      <c r="S14" s="65"/>
      <c r="T14" s="65"/>
    </row>
    <row r="15" spans="2:6">
      <c r="B15" s="51">
        <v>0.0944945889723062</v>
      </c>
      <c r="C15" s="66">
        <v>125.711579664595</v>
      </c>
      <c r="D15" s="66">
        <v>114.733676938595</v>
      </c>
      <c r="E15" s="66">
        <v>114.733676938595</v>
      </c>
      <c r="F15" s="66">
        <v>114.733676938595</v>
      </c>
    </row>
    <row r="16" spans="2:6">
      <c r="B16" s="51">
        <v>0.164494588972306</v>
      </c>
      <c r="C16" s="66">
        <v>127.405686435755</v>
      </c>
      <c r="D16" s="66">
        <v>118.882890169948</v>
      </c>
      <c r="E16" s="66">
        <v>118.882890169948</v>
      </c>
      <c r="F16" s="66">
        <v>118.882890169948</v>
      </c>
    </row>
    <row r="17" spans="2:6">
      <c r="B17" s="51">
        <v>0.224494588972306</v>
      </c>
      <c r="C17" s="66">
        <v>136.462078435985</v>
      </c>
      <c r="D17" s="66">
        <v>124.73701588032</v>
      </c>
      <c r="E17" s="66">
        <v>124.73701588032</v>
      </c>
      <c r="F17" s="66">
        <v>124.73701588032</v>
      </c>
    </row>
    <row r="18" spans="2:6">
      <c r="B18" s="51">
        <v>0.274494588972306</v>
      </c>
      <c r="C18" s="66">
        <v>173.923237832791</v>
      </c>
      <c r="D18" s="66">
        <v>130.426979341445</v>
      </c>
      <c r="E18" s="66">
        <v>129.615453972296</v>
      </c>
      <c r="F18" s="66">
        <v>129.615453972296</v>
      </c>
    </row>
    <row r="19" spans="2:6">
      <c r="B19" s="51">
        <v>0.324494588972306</v>
      </c>
      <c r="C19" s="66">
        <v>249.299663362294</v>
      </c>
      <c r="D19" s="66">
        <v>145.019553101598</v>
      </c>
      <c r="E19" s="66">
        <v>134.493892064273</v>
      </c>
      <c r="F19" s="66">
        <v>134.493892064273</v>
      </c>
    </row>
    <row r="20" spans="2:6">
      <c r="B20" s="51">
        <v>0.394494588972306</v>
      </c>
      <c r="C20" s="66">
        <v>326.904386688214</v>
      </c>
      <c r="D20" s="66">
        <v>167.885502783093</v>
      </c>
      <c r="E20" s="66">
        <v>141.323705393039</v>
      </c>
      <c r="F20" s="66">
        <v>141.323705393039</v>
      </c>
    </row>
    <row r="22" ht="15" customHeight="1"/>
    <row r="24" ht="15" customHeight="1" spans="2:5">
      <c r="B24" s="48" t="s">
        <v>140</v>
      </c>
      <c r="C24" s="55" t="s">
        <v>633</v>
      </c>
      <c r="D24" s="56"/>
      <c r="E24" s="57"/>
    </row>
    <row r="25" spans="2:5">
      <c r="B25" s="48"/>
      <c r="C25" s="58"/>
      <c r="D25" s="59"/>
      <c r="E25" s="60"/>
    </row>
    <row r="26" spans="2:5">
      <c r="B26" s="48"/>
      <c r="C26" s="61"/>
      <c r="D26" s="62"/>
      <c r="E26" s="63"/>
    </row>
    <row r="27" spans="2:5">
      <c r="B27" s="49"/>
      <c r="C27" s="50">
        <v>2030</v>
      </c>
      <c r="D27" s="50">
        <v>2040</v>
      </c>
      <c r="E27" s="50">
        <v>2050</v>
      </c>
    </row>
    <row r="28" spans="2:5">
      <c r="B28" s="51">
        <v>0.1392</v>
      </c>
      <c r="C28" s="66">
        <v>121.253155865646</v>
      </c>
      <c r="D28" s="66">
        <v>119.053692296223</v>
      </c>
      <c r="E28" s="66">
        <v>119.053692296223</v>
      </c>
    </row>
    <row r="29" spans="2:5">
      <c r="B29" s="51">
        <v>0.2292</v>
      </c>
      <c r="C29" s="66">
        <v>125.995113844334</v>
      </c>
      <c r="D29" s="66">
        <v>123.795650274912</v>
      </c>
      <c r="E29" s="66">
        <v>123.795650274912</v>
      </c>
    </row>
    <row r="30" spans="2:5">
      <c r="B30" s="51">
        <v>0.2992</v>
      </c>
      <c r="C30" s="66">
        <v>130.144327075687</v>
      </c>
      <c r="D30" s="66">
        <v>127.944863506265</v>
      </c>
      <c r="E30" s="66">
        <v>127.944863506265</v>
      </c>
    </row>
    <row r="31" spans="2:5">
      <c r="B31" s="51">
        <v>0.3492</v>
      </c>
      <c r="C31" s="66">
        <v>134.29354030704</v>
      </c>
      <c r="D31" s="66">
        <v>132.094076737617</v>
      </c>
      <c r="E31" s="66">
        <v>132.094076737617</v>
      </c>
    </row>
    <row r="32" spans="2:5">
      <c r="B32" s="51">
        <v>0.3992</v>
      </c>
      <c r="C32" s="66">
        <v>146.259582635662</v>
      </c>
      <c r="D32" s="66">
        <v>141.416927484762</v>
      </c>
      <c r="E32" s="66">
        <v>141.416927484762</v>
      </c>
    </row>
    <row r="33" spans="2:5">
      <c r="B33" s="51">
        <v>0.4492</v>
      </c>
      <c r="C33" s="66">
        <v>166.024116054188</v>
      </c>
      <c r="D33" s="66">
        <v>146.295365576738</v>
      </c>
      <c r="E33" s="66">
        <v>146.295365576738</v>
      </c>
    </row>
    <row r="34" spans="2:5">
      <c r="B34" s="51">
        <v>0.4992</v>
      </c>
      <c r="C34" s="66">
        <v>187.765102814566</v>
      </c>
      <c r="D34" s="66">
        <v>151.173803668715</v>
      </c>
      <c r="E34" s="66">
        <v>151.173803668715</v>
      </c>
    </row>
    <row r="35" spans="2:5">
      <c r="B35" s="51">
        <v>0.5532</v>
      </c>
      <c r="C35" s="66">
        <v>215.141235301234</v>
      </c>
      <c r="D35" s="66">
        <v>162.103548481462</v>
      </c>
      <c r="E35" s="66">
        <v>162.103548481462</v>
      </c>
    </row>
    <row r="39" spans="2:4">
      <c r="B39" s="44">
        <v>2030</v>
      </c>
      <c r="C39" s="44"/>
      <c r="D39" s="44"/>
    </row>
    <row r="40" spans="2:4">
      <c r="B40" s="45" t="s">
        <v>12</v>
      </c>
      <c r="C40" s="46" t="s">
        <v>630</v>
      </c>
      <c r="D40" s="68">
        <v>2146.17368873603</v>
      </c>
    </row>
    <row r="41" ht="15" customHeight="1"/>
    <row r="42" spans="2:5">
      <c r="B42" s="48" t="s">
        <v>634</v>
      </c>
      <c r="C42" s="55" t="s">
        <v>635</v>
      </c>
      <c r="D42" s="56"/>
      <c r="E42" s="57"/>
    </row>
    <row r="43" spans="2:5">
      <c r="B43" s="48"/>
      <c r="C43" s="58"/>
      <c r="D43" s="59"/>
      <c r="E43" s="60"/>
    </row>
    <row r="44" spans="2:5">
      <c r="B44" s="48"/>
      <c r="C44" s="61"/>
      <c r="D44" s="62"/>
      <c r="E44" s="63"/>
    </row>
    <row r="45" spans="2:5">
      <c r="B45" s="49"/>
      <c r="C45" s="50">
        <v>2030</v>
      </c>
      <c r="D45" s="50">
        <v>2040</v>
      </c>
      <c r="E45" s="50">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8" t="s">
        <v>636</v>
      </c>
      <c r="C53" s="55" t="s">
        <v>637</v>
      </c>
      <c r="D53" s="56">
        <v>0</v>
      </c>
      <c r="E53" s="57">
        <v>0</v>
      </c>
    </row>
    <row r="54" spans="2:5">
      <c r="B54" s="48">
        <v>0</v>
      </c>
      <c r="C54" s="58">
        <v>0</v>
      </c>
      <c r="D54" s="59">
        <v>0</v>
      </c>
      <c r="E54" s="60">
        <v>0</v>
      </c>
    </row>
    <row r="55" spans="2:5">
      <c r="B55" s="48">
        <v>0</v>
      </c>
      <c r="C55" s="61">
        <v>0</v>
      </c>
      <c r="D55" s="62">
        <v>0</v>
      </c>
      <c r="E55" s="63">
        <v>0</v>
      </c>
    </row>
    <row r="56" spans="2:5">
      <c r="B56" s="49"/>
      <c r="C56" s="50">
        <v>2030</v>
      </c>
      <c r="D56" s="50">
        <v>2040</v>
      </c>
      <c r="E56" s="50">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workbookViewId="0">
      <pane ySplit="2" topLeftCell="A3" activePane="bottomLeft" state="frozen"/>
      <selection/>
      <selection pane="bottomLeft" activeCell="B1" sqref="B1:F1"/>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5" spans="2:2">
      <c r="B5" s="43" t="s">
        <v>638</v>
      </c>
    </row>
    <row r="6" ht="15" customHeight="1" spans="2:4">
      <c r="B6" s="44">
        <v>2015</v>
      </c>
      <c r="C6" s="44"/>
      <c r="D6" s="44"/>
    </row>
    <row r="7" spans="2:10">
      <c r="B7" s="45" t="s">
        <v>12</v>
      </c>
      <c r="C7" s="46" t="s">
        <v>639</v>
      </c>
      <c r="D7" s="68">
        <v>11.1115917749527</v>
      </c>
      <c r="J7" s="77"/>
    </row>
    <row r="8" spans="2:10">
      <c r="B8" s="45" t="s">
        <v>14</v>
      </c>
      <c r="C8" s="46" t="s">
        <v>631</v>
      </c>
      <c r="D8" s="68">
        <v>8.51985777210084</v>
      </c>
      <c r="J8" s="77"/>
    </row>
    <row r="10" spans="2:6">
      <c r="B10" s="48" t="s">
        <v>140</v>
      </c>
      <c r="C10" s="48" t="s">
        <v>640</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12">
      <c r="B14" s="51">
        <v>0.05</v>
      </c>
      <c r="C14" s="75">
        <v>8.7076566191047</v>
      </c>
      <c r="D14" s="75">
        <v>8.7076566191047</v>
      </c>
      <c r="E14" s="75">
        <v>8.7076566191047</v>
      </c>
      <c r="F14" s="75">
        <v>8.7076566191047</v>
      </c>
      <c r="H14" s="76"/>
      <c r="I14" s="77"/>
      <c r="J14" s="77"/>
      <c r="K14" s="77"/>
      <c r="L14" s="77"/>
    </row>
    <row r="15" spans="2:12">
      <c r="B15" s="51">
        <v>0.1</v>
      </c>
      <c r="C15" s="75">
        <v>8.91415537417893</v>
      </c>
      <c r="D15" s="75">
        <v>8.89545546610856</v>
      </c>
      <c r="E15" s="75">
        <v>8.89545546610856</v>
      </c>
      <c r="F15" s="75">
        <v>8.89545546610856</v>
      </c>
      <c r="H15" s="76"/>
      <c r="I15" s="77"/>
      <c r="J15" s="77"/>
      <c r="K15" s="77"/>
      <c r="L15" s="77"/>
    </row>
    <row r="16" spans="2:12">
      <c r="B16" s="51">
        <v>0.15</v>
      </c>
      <c r="C16" s="75">
        <v>9.50062873616284</v>
      </c>
      <c r="D16" s="75">
        <v>9.08325431311241</v>
      </c>
      <c r="E16" s="75">
        <v>9.08325431311241</v>
      </c>
      <c r="F16" s="75">
        <v>9.08325431311241</v>
      </c>
      <c r="H16" s="76"/>
      <c r="I16" s="77"/>
      <c r="J16" s="77"/>
      <c r="K16" s="77"/>
      <c r="L16" s="77"/>
    </row>
    <row r="17" spans="2:12">
      <c r="B17" s="51">
        <v>0.22</v>
      </c>
      <c r="C17" s="75">
        <v>9.9000681587017</v>
      </c>
      <c r="D17" s="75">
        <v>9.34617269891781</v>
      </c>
      <c r="E17" s="75">
        <v>9.34617269891781</v>
      </c>
      <c r="F17" s="75">
        <v>9.34617269891781</v>
      </c>
      <c r="H17" s="76"/>
      <c r="I17" s="77"/>
      <c r="J17" s="77"/>
      <c r="K17" s="77"/>
      <c r="L17" s="77"/>
    </row>
    <row r="18" spans="2:12">
      <c r="B18" s="51">
        <v>0.26</v>
      </c>
      <c r="C18" s="75">
        <v>10.316341855611</v>
      </c>
      <c r="D18" s="75">
        <v>9.73999149502857</v>
      </c>
      <c r="E18" s="75">
        <v>9.73999149502857</v>
      </c>
      <c r="F18" s="75">
        <v>9.73999149502857</v>
      </c>
      <c r="H18" s="76"/>
      <c r="I18" s="77"/>
      <c r="J18" s="77"/>
      <c r="K18" s="77"/>
      <c r="L18" s="77"/>
    </row>
    <row r="19" spans="2:12">
      <c r="B19" s="51">
        <v>0.32</v>
      </c>
      <c r="C19" s="75">
        <v>13.0322082211334</v>
      </c>
      <c r="D19" s="75">
        <v>10.3801991776078</v>
      </c>
      <c r="E19" s="75">
        <v>10.3307196891947</v>
      </c>
      <c r="F19" s="75">
        <v>10.3307196891947</v>
      </c>
      <c r="H19" s="76"/>
      <c r="I19" s="77"/>
      <c r="J19" s="77"/>
      <c r="K19" s="77"/>
      <c r="L19" s="77"/>
    </row>
    <row r="20" spans="2:12">
      <c r="B20" s="51">
        <v>0.38</v>
      </c>
      <c r="C20" s="75">
        <v>21.2715939211452</v>
      </c>
      <c r="D20" s="75">
        <v>13.6375776507097</v>
      </c>
      <c r="E20" s="75">
        <v>10.9215433052777</v>
      </c>
      <c r="F20" s="75">
        <v>10.9214478833609</v>
      </c>
      <c r="H20" s="76"/>
      <c r="I20" s="77"/>
      <c r="J20" s="77"/>
      <c r="K20" s="77"/>
      <c r="L20" s="77"/>
    </row>
    <row r="21" spans="2:12">
      <c r="B21" s="51">
        <v>0.48</v>
      </c>
      <c r="C21" s="75">
        <v>33.8031437546533</v>
      </c>
      <c r="D21" s="75">
        <v>26.0740676061676</v>
      </c>
      <c r="E21" s="75">
        <v>13.4274843498302</v>
      </c>
      <c r="F21" s="75">
        <v>11.9059948736377</v>
      </c>
      <c r="H21" s="76"/>
      <c r="I21" s="77"/>
      <c r="J21" s="77"/>
      <c r="K21" s="77"/>
      <c r="L21" s="77"/>
    </row>
    <row r="25" spans="2:2">
      <c r="B25" s="43" t="s">
        <v>641</v>
      </c>
    </row>
    <row r="26" spans="2:4">
      <c r="B26" s="44">
        <v>2015</v>
      </c>
      <c r="C26" s="44"/>
      <c r="D26" s="44"/>
    </row>
    <row r="27" spans="2:10">
      <c r="B27" s="45" t="s">
        <v>12</v>
      </c>
      <c r="C27" s="46" t="s">
        <v>639</v>
      </c>
      <c r="D27" s="68">
        <v>6.93017681650736</v>
      </c>
      <c r="J27" s="77"/>
    </row>
    <row r="28" spans="2:10">
      <c r="B28" s="45" t="s">
        <v>14</v>
      </c>
      <c r="C28" s="46" t="s">
        <v>631</v>
      </c>
      <c r="D28" s="68">
        <v>11.6296058589177</v>
      </c>
      <c r="J28" s="77"/>
    </row>
    <row r="29" ht="15" customHeight="1"/>
    <row r="30" spans="2:6">
      <c r="B30" s="48" t="s">
        <v>140</v>
      </c>
      <c r="C30" s="48" t="s">
        <v>642</v>
      </c>
      <c r="D30" s="48"/>
      <c r="E30" s="48"/>
      <c r="F30" s="48"/>
    </row>
    <row r="31" spans="2:6">
      <c r="B31" s="48"/>
      <c r="C31" s="48"/>
      <c r="D31" s="48"/>
      <c r="E31" s="48"/>
      <c r="F31" s="48"/>
    </row>
    <row r="32" spans="2:6">
      <c r="B32" s="48"/>
      <c r="C32" s="48"/>
      <c r="D32" s="48"/>
      <c r="E32" s="48"/>
      <c r="F32" s="48"/>
    </row>
    <row r="33" spans="2:6">
      <c r="B33" s="49"/>
      <c r="C33" s="50">
        <v>2020</v>
      </c>
      <c r="D33" s="50">
        <v>2030</v>
      </c>
      <c r="E33" s="50">
        <v>2040</v>
      </c>
      <c r="F33" s="50">
        <v>2050</v>
      </c>
    </row>
    <row r="34" spans="2:12">
      <c r="B34" s="51">
        <v>0.07</v>
      </c>
      <c r="C34" s="52">
        <v>11.9003066289429</v>
      </c>
      <c r="D34" s="52">
        <v>11.9003066289429</v>
      </c>
      <c r="E34" s="52">
        <v>11.9003066289429</v>
      </c>
      <c r="F34" s="52">
        <v>11.9003066289429</v>
      </c>
      <c r="H34" s="76"/>
      <c r="I34" s="77"/>
      <c r="J34" s="77"/>
      <c r="K34" s="77"/>
      <c r="L34" s="77"/>
    </row>
    <row r="35" spans="2:12">
      <c r="B35" s="51">
        <v>0.12</v>
      </c>
      <c r="C35" s="52">
        <v>12.1167684322372</v>
      </c>
      <c r="D35" s="52">
        <v>12.0936643218181</v>
      </c>
      <c r="E35" s="52">
        <v>12.0936643218181</v>
      </c>
      <c r="F35" s="52">
        <v>12.0936643218181</v>
      </c>
      <c r="H35" s="76"/>
      <c r="I35" s="77"/>
      <c r="J35" s="77"/>
      <c r="K35" s="77"/>
      <c r="L35" s="77"/>
    </row>
    <row r="36" spans="2:12">
      <c r="B36" s="51">
        <v>0.2</v>
      </c>
      <c r="C36" s="52">
        <v>12.976008238382</v>
      </c>
      <c r="D36" s="52">
        <v>12.4030366304183</v>
      </c>
      <c r="E36" s="52">
        <v>12.4030366304183</v>
      </c>
      <c r="F36" s="52">
        <v>12.4030366304183</v>
      </c>
      <c r="H36" s="76"/>
      <c r="I36" s="77"/>
      <c r="J36" s="77"/>
      <c r="K36" s="77"/>
      <c r="L36" s="77"/>
    </row>
    <row r="37" spans="2:12">
      <c r="B37" s="51">
        <v>0.28</v>
      </c>
      <c r="C37" s="52">
        <v>13.4382335495194</v>
      </c>
      <c r="D37" s="52">
        <v>12.7124089390186</v>
      </c>
      <c r="E37" s="52">
        <v>12.7124089390186</v>
      </c>
      <c r="F37" s="52">
        <v>12.7124089390186</v>
      </c>
      <c r="H37" s="76"/>
      <c r="I37" s="77"/>
      <c r="J37" s="77"/>
      <c r="K37" s="77"/>
      <c r="L37" s="77"/>
    </row>
    <row r="38" spans="2:12">
      <c r="B38" s="51">
        <v>0.36</v>
      </c>
      <c r="C38" s="52">
        <v>14.7931646932154</v>
      </c>
      <c r="D38" s="52">
        <v>13.7782276327608</v>
      </c>
      <c r="E38" s="52">
        <v>13.7782276327608</v>
      </c>
      <c r="F38" s="52">
        <v>13.7782276327608</v>
      </c>
      <c r="H38" s="76"/>
      <c r="I38" s="77"/>
      <c r="J38" s="77"/>
      <c r="K38" s="77"/>
      <c r="L38" s="77"/>
    </row>
    <row r="39" spans="2:12">
      <c r="B39" s="51">
        <v>0.42</v>
      </c>
      <c r="C39" s="52">
        <v>18.9754696690758</v>
      </c>
      <c r="D39" s="52">
        <v>14.6581415986854</v>
      </c>
      <c r="E39" s="52">
        <v>14.5775916530675</v>
      </c>
      <c r="F39" s="52">
        <v>14.5775916530675</v>
      </c>
      <c r="H39" s="76"/>
      <c r="I39" s="77"/>
      <c r="J39" s="77"/>
      <c r="K39" s="77"/>
      <c r="L39" s="77"/>
    </row>
    <row r="40" spans="2:12">
      <c r="B40" s="51">
        <v>0.47</v>
      </c>
      <c r="C40" s="52">
        <v>30.8195317460936</v>
      </c>
      <c r="D40" s="52">
        <v>19.3311975507431</v>
      </c>
      <c r="E40" s="52">
        <v>15.243871935888</v>
      </c>
      <c r="F40" s="52">
        <v>15.2437283366563</v>
      </c>
      <c r="H40" s="76"/>
      <c r="I40" s="77"/>
      <c r="J40" s="77"/>
      <c r="K40" s="77"/>
      <c r="L40" s="77"/>
    </row>
    <row r="41" spans="2:12">
      <c r="B41" s="51">
        <v>0.53</v>
      </c>
      <c r="C41" s="52">
        <v>44.583806461004</v>
      </c>
      <c r="D41" s="52">
        <v>34.5097391090876</v>
      </c>
      <c r="E41" s="52">
        <v>18.0261996732751</v>
      </c>
      <c r="F41" s="52">
        <v>16.043092356963</v>
      </c>
      <c r="H41" s="76"/>
      <c r="I41" s="77"/>
      <c r="J41" s="77"/>
      <c r="K41" s="77"/>
      <c r="L41" s="77"/>
    </row>
    <row r="45" spans="2:2">
      <c r="B45" s="43" t="s">
        <v>643</v>
      </c>
    </row>
    <row r="46" spans="2:4">
      <c r="B46" s="44">
        <v>2015</v>
      </c>
      <c r="C46" s="44"/>
      <c r="D46" s="44"/>
    </row>
    <row r="47" spans="2:10">
      <c r="B47" s="45" t="s">
        <v>12</v>
      </c>
      <c r="C47" s="46" t="s">
        <v>639</v>
      </c>
      <c r="D47" s="68">
        <v>2.00511882895014</v>
      </c>
      <c r="J47" s="77"/>
    </row>
    <row r="48" spans="2:10">
      <c r="B48" s="45" t="s">
        <v>14</v>
      </c>
      <c r="C48" s="46" t="s">
        <v>631</v>
      </c>
      <c r="D48" s="68">
        <v>27.1827732017803</v>
      </c>
      <c r="J48" s="77"/>
    </row>
    <row r="49" ht="15" customHeight="1"/>
    <row r="50" spans="2:6">
      <c r="B50" s="48" t="s">
        <v>140</v>
      </c>
      <c r="C50" s="48" t="s">
        <v>644</v>
      </c>
      <c r="D50" s="48"/>
      <c r="E50" s="48"/>
      <c r="F50" s="48"/>
    </row>
    <row r="51" spans="2:6">
      <c r="B51" s="48"/>
      <c r="C51" s="48"/>
      <c r="D51" s="48"/>
      <c r="E51" s="48"/>
      <c r="F51" s="48"/>
    </row>
    <row r="52" spans="2:6">
      <c r="B52" s="48"/>
      <c r="C52" s="48"/>
      <c r="D52" s="48"/>
      <c r="E52" s="48"/>
      <c r="F52" s="48"/>
    </row>
    <row r="53" spans="2:6">
      <c r="B53" s="49"/>
      <c r="C53" s="50">
        <v>2020</v>
      </c>
      <c r="D53" s="50">
        <v>2030</v>
      </c>
      <c r="E53" s="50">
        <v>2040</v>
      </c>
      <c r="F53" s="50">
        <v>2050</v>
      </c>
    </row>
    <row r="54" spans="2:12">
      <c r="B54" s="51">
        <v>0.07</v>
      </c>
      <c r="C54" s="52">
        <v>27.7100479955559</v>
      </c>
      <c r="D54" s="52">
        <v>27.7100479955559</v>
      </c>
      <c r="E54" s="52">
        <v>27.7100479955559</v>
      </c>
      <c r="F54" s="52">
        <v>27.7100479955559</v>
      </c>
      <c r="H54" s="76"/>
      <c r="I54" s="77"/>
      <c r="J54" s="77"/>
      <c r="K54" s="77"/>
      <c r="L54" s="77"/>
    </row>
    <row r="55" spans="2:12">
      <c r="B55" s="51">
        <v>0.12</v>
      </c>
      <c r="C55" s="52">
        <v>28.1316753617494</v>
      </c>
      <c r="D55" s="52">
        <v>28.0866728482528</v>
      </c>
      <c r="E55" s="52">
        <v>28.0866728482528</v>
      </c>
      <c r="F55" s="52">
        <v>28.0866728482528</v>
      </c>
      <c r="H55" s="76"/>
      <c r="I55" s="77"/>
      <c r="J55" s="77"/>
      <c r="K55" s="77"/>
      <c r="L55" s="77"/>
    </row>
    <row r="56" spans="2:12">
      <c r="B56" s="51">
        <v>0.2</v>
      </c>
      <c r="C56" s="52">
        <v>29.8053148255255</v>
      </c>
      <c r="D56" s="52">
        <v>28.6892726125678</v>
      </c>
      <c r="E56" s="52">
        <v>28.6892726125678</v>
      </c>
      <c r="F56" s="52">
        <v>28.6892726125678</v>
      </c>
      <c r="H56" s="76"/>
      <c r="I56" s="77"/>
      <c r="J56" s="77"/>
      <c r="K56" s="77"/>
      <c r="L56" s="77"/>
    </row>
    <row r="57" spans="2:12">
      <c r="B57" s="51">
        <v>0.28</v>
      </c>
      <c r="C57" s="52">
        <v>30.7056438330313</v>
      </c>
      <c r="D57" s="52">
        <v>29.2918723768828</v>
      </c>
      <c r="E57" s="52">
        <v>29.2918723768828</v>
      </c>
      <c r="F57" s="52">
        <v>29.2918723768828</v>
      </c>
      <c r="H57" s="76"/>
      <c r="I57" s="77"/>
      <c r="J57" s="77"/>
      <c r="K57" s="77"/>
      <c r="L57" s="77"/>
    </row>
    <row r="58" spans="2:12">
      <c r="B58" s="51">
        <v>0.36</v>
      </c>
      <c r="C58" s="52">
        <v>33.2628593867376</v>
      </c>
      <c r="D58" s="52">
        <v>31.3122382277539</v>
      </c>
      <c r="E58" s="52">
        <v>31.3122382277539</v>
      </c>
      <c r="F58" s="52">
        <v>31.3122382277539</v>
      </c>
      <c r="H58" s="76"/>
      <c r="I58" s="77"/>
      <c r="J58" s="77"/>
      <c r="K58" s="77"/>
      <c r="L58" s="77"/>
    </row>
    <row r="59" spans="2:12">
      <c r="B59" s="51">
        <v>0.42</v>
      </c>
      <c r="C59" s="52">
        <v>41.2484742856507</v>
      </c>
      <c r="D59" s="52">
        <v>32.981747908946</v>
      </c>
      <c r="E59" s="52">
        <v>32.8275126159071</v>
      </c>
      <c r="F59" s="52">
        <v>32.8275126159071</v>
      </c>
      <c r="H59" s="76"/>
      <c r="I59" s="77"/>
      <c r="J59" s="77"/>
      <c r="K59" s="77"/>
      <c r="L59" s="77"/>
    </row>
    <row r="60" spans="2:12">
      <c r="B60" s="51">
        <v>0.47</v>
      </c>
      <c r="C60" s="52">
        <v>63.8593941977434</v>
      </c>
      <c r="D60" s="52">
        <v>41.9023902137203</v>
      </c>
      <c r="E60" s="52">
        <v>34.0905157257987</v>
      </c>
      <c r="F60" s="52">
        <v>34.0902412727015</v>
      </c>
      <c r="H60" s="76"/>
      <c r="I60" s="77"/>
      <c r="J60" s="77"/>
      <c r="K60" s="77"/>
      <c r="L60" s="77"/>
    </row>
    <row r="61" spans="2:12">
      <c r="B61" s="51">
        <v>0.53</v>
      </c>
      <c r="C61" s="52">
        <v>90.0729043348383</v>
      </c>
      <c r="D61" s="52">
        <v>70.8474518817398</v>
      </c>
      <c r="E61" s="52">
        <v>39.3900978050169</v>
      </c>
      <c r="F61" s="52">
        <v>35.6055156608548</v>
      </c>
      <c r="H61" s="76"/>
      <c r="I61" s="77"/>
      <c r="J61" s="77"/>
      <c r="K61" s="77"/>
      <c r="L61" s="77"/>
    </row>
    <row r="65" spans="2:2">
      <c r="B65" s="43" t="s">
        <v>645</v>
      </c>
    </row>
    <row r="66" spans="2:4">
      <c r="B66" s="44">
        <v>2015</v>
      </c>
      <c r="C66" s="44"/>
      <c r="D66" s="44"/>
    </row>
    <row r="67" spans="2:10">
      <c r="B67" s="45" t="s">
        <v>12</v>
      </c>
      <c r="C67" s="46" t="s">
        <v>646</v>
      </c>
      <c r="D67" s="68">
        <v>21.7610759732877</v>
      </c>
      <c r="J67" s="77"/>
    </row>
    <row r="68" ht="15" customHeight="1" spans="2:10">
      <c r="B68" s="45" t="s">
        <v>14</v>
      </c>
      <c r="C68" s="46" t="s">
        <v>631</v>
      </c>
      <c r="D68" s="68">
        <v>8.8007828121539</v>
      </c>
      <c r="J68" s="77"/>
    </row>
    <row r="70" spans="2:6">
      <c r="B70" s="48" t="s">
        <v>140</v>
      </c>
      <c r="C70" s="48" t="s">
        <v>647</v>
      </c>
      <c r="D70" s="48"/>
      <c r="E70" s="48"/>
      <c r="F70" s="48"/>
    </row>
    <row r="71" spans="2:6">
      <c r="B71" s="48"/>
      <c r="C71" s="48"/>
      <c r="D71" s="48"/>
      <c r="E71" s="48"/>
      <c r="F71" s="48"/>
    </row>
    <row r="72" spans="2:6">
      <c r="B72" s="48"/>
      <c r="C72" s="48"/>
      <c r="D72" s="48"/>
      <c r="E72" s="48"/>
      <c r="F72" s="48"/>
    </row>
    <row r="73" spans="2:6">
      <c r="B73" s="49"/>
      <c r="C73" s="50">
        <v>2020</v>
      </c>
      <c r="D73" s="50">
        <v>2030</v>
      </c>
      <c r="E73" s="50">
        <v>2040</v>
      </c>
      <c r="F73" s="50">
        <v>2050</v>
      </c>
    </row>
    <row r="74" spans="2:12">
      <c r="B74" s="51">
        <v>0.05</v>
      </c>
      <c r="C74" s="52">
        <v>9.15169121774217</v>
      </c>
      <c r="D74" s="52">
        <v>9.15169121774217</v>
      </c>
      <c r="E74" s="52">
        <v>9.15169121774217</v>
      </c>
      <c r="F74" s="52">
        <v>9.15169121774217</v>
      </c>
      <c r="H74" s="76"/>
      <c r="I74" s="77"/>
      <c r="J74" s="77"/>
      <c r="K74" s="77"/>
      <c r="L74" s="77"/>
    </row>
    <row r="75" spans="2:12">
      <c r="B75" s="51">
        <v>0.12</v>
      </c>
      <c r="C75" s="52">
        <v>9.68489266743747</v>
      </c>
      <c r="D75" s="52">
        <v>9.64296298556575</v>
      </c>
      <c r="E75" s="52">
        <v>9.64296298556575</v>
      </c>
      <c r="F75" s="52">
        <v>9.64296298556575</v>
      </c>
      <c r="H75" s="76"/>
      <c r="I75" s="77"/>
      <c r="J75" s="77"/>
      <c r="K75" s="77"/>
      <c r="L75" s="77"/>
    </row>
    <row r="76" spans="2:12">
      <c r="B76" s="51">
        <v>0.2</v>
      </c>
      <c r="C76" s="52">
        <v>11.2442537971076</v>
      </c>
      <c r="D76" s="52">
        <v>10.204416434507</v>
      </c>
      <c r="E76" s="52">
        <v>10.204416434507</v>
      </c>
      <c r="F76" s="52">
        <v>10.204416434507</v>
      </c>
      <c r="H76" s="76"/>
      <c r="I76" s="77"/>
      <c r="J76" s="77"/>
      <c r="K76" s="77"/>
      <c r="L76" s="77"/>
    </row>
    <row r="77" spans="2:12">
      <c r="B77" s="51">
        <v>0.27</v>
      </c>
      <c r="C77" s="52">
        <v>11.965881270707</v>
      </c>
      <c r="D77" s="52">
        <v>10.6956882023306</v>
      </c>
      <c r="E77" s="52">
        <v>10.6956882023306</v>
      </c>
      <c r="F77" s="52">
        <v>10.6956882023306</v>
      </c>
      <c r="H77" s="76"/>
      <c r="I77" s="77"/>
      <c r="J77" s="77"/>
      <c r="K77" s="77"/>
      <c r="L77" s="77"/>
    </row>
    <row r="78" spans="2:12">
      <c r="B78" s="51">
        <v>0.33</v>
      </c>
      <c r="C78" s="52">
        <v>12.8890788081864</v>
      </c>
      <c r="D78" s="52">
        <v>11.5774663685832</v>
      </c>
      <c r="E78" s="52">
        <v>11.5774663685832</v>
      </c>
      <c r="F78" s="52">
        <v>11.5774663685832</v>
      </c>
      <c r="H78" s="76"/>
      <c r="I78" s="77"/>
      <c r="J78" s="77"/>
      <c r="K78" s="77"/>
      <c r="L78" s="77"/>
    </row>
    <row r="79" spans="2:12">
      <c r="B79" s="51">
        <v>0.39</v>
      </c>
      <c r="C79" s="52">
        <v>17.9170280881081</v>
      </c>
      <c r="D79" s="52">
        <v>12.5592073275305</v>
      </c>
      <c r="E79" s="52">
        <v>12.4592445348359</v>
      </c>
      <c r="F79" s="52">
        <v>12.4592445348359</v>
      </c>
      <c r="H79" s="76"/>
      <c r="I79" s="77"/>
      <c r="J79" s="77"/>
      <c r="K79" s="77"/>
      <c r="L79" s="77"/>
    </row>
    <row r="80" spans="2:12">
      <c r="B80" s="51">
        <v>0.44</v>
      </c>
      <c r="C80" s="52">
        <v>32.1277889908483</v>
      </c>
      <c r="D80" s="52">
        <v>18.1627302233762</v>
      </c>
      <c r="E80" s="52">
        <v>13.1942342306023</v>
      </c>
      <c r="F80" s="52">
        <v>13.1940596733797</v>
      </c>
      <c r="H80" s="76"/>
      <c r="I80" s="77"/>
      <c r="J80" s="77"/>
      <c r="K80" s="77"/>
      <c r="L80" s="77"/>
    </row>
    <row r="81" spans="2:12">
      <c r="B81" s="51">
        <v>0.5</v>
      </c>
      <c r="C81" s="52">
        <v>48.1880612460087</v>
      </c>
      <c r="D81" s="52">
        <v>36.1474082032455</v>
      </c>
      <c r="E81" s="52">
        <v>16.4460728507906</v>
      </c>
      <c r="F81" s="52">
        <v>14.0758378396324</v>
      </c>
      <c r="H81" s="76"/>
      <c r="I81" s="77"/>
      <c r="J81" s="77"/>
      <c r="K81" s="77"/>
      <c r="L81" s="77"/>
    </row>
    <row r="83" ht="15" customHeight="1"/>
    <row r="85" spans="2:2">
      <c r="B85" s="43" t="s">
        <v>648</v>
      </c>
    </row>
    <row r="86" spans="2:4">
      <c r="B86" s="44">
        <v>2015</v>
      </c>
      <c r="C86" s="44"/>
      <c r="D86" s="44"/>
    </row>
    <row r="87" spans="2:10">
      <c r="B87" s="45" t="s">
        <v>12</v>
      </c>
      <c r="C87" s="46" t="s">
        <v>646</v>
      </c>
      <c r="D87" s="68">
        <v>6.89988772048606</v>
      </c>
      <c r="J87" s="77"/>
    </row>
    <row r="88" spans="2:10">
      <c r="B88" s="45" t="s">
        <v>14</v>
      </c>
      <c r="C88" s="46" t="s">
        <v>631</v>
      </c>
      <c r="D88" s="68">
        <v>11.5840303764976</v>
      </c>
      <c r="J88" s="77"/>
    </row>
    <row r="90" spans="2:6">
      <c r="B90" s="48" t="s">
        <v>140</v>
      </c>
      <c r="C90" s="48" t="s">
        <v>649</v>
      </c>
      <c r="D90" s="48"/>
      <c r="E90" s="48"/>
      <c r="F90" s="48"/>
    </row>
    <row r="91" spans="2:6">
      <c r="B91" s="48"/>
      <c r="C91" s="48"/>
      <c r="D91" s="48"/>
      <c r="E91" s="48"/>
      <c r="F91" s="48"/>
    </row>
    <row r="92" spans="2:6">
      <c r="B92" s="48"/>
      <c r="C92" s="48"/>
      <c r="D92" s="48"/>
      <c r="E92" s="48"/>
      <c r="F92" s="48"/>
    </row>
    <row r="93" spans="2:6">
      <c r="B93" s="49"/>
      <c r="C93" s="50">
        <v>2020</v>
      </c>
      <c r="D93" s="50">
        <v>2030</v>
      </c>
      <c r="E93" s="50">
        <v>2040</v>
      </c>
      <c r="F93" s="50">
        <v>2050</v>
      </c>
    </row>
    <row r="94" spans="2:12">
      <c r="B94" s="51">
        <v>0.07</v>
      </c>
      <c r="C94" s="52">
        <v>12.0103840892873</v>
      </c>
      <c r="D94" s="52">
        <v>12.0103840892873</v>
      </c>
      <c r="E94" s="52">
        <v>12.0103840892873</v>
      </c>
      <c r="F94" s="52">
        <v>12.0103840892873</v>
      </c>
      <c r="H94" s="76"/>
      <c r="I94" s="77"/>
      <c r="J94" s="77"/>
      <c r="K94" s="77"/>
      <c r="L94" s="77"/>
    </row>
    <row r="95" spans="2:12">
      <c r="B95" s="51">
        <v>0.12</v>
      </c>
      <c r="C95" s="52">
        <v>12.3513114294758</v>
      </c>
      <c r="D95" s="52">
        <v>12.3149224555657</v>
      </c>
      <c r="E95" s="52">
        <v>12.3149224555657</v>
      </c>
      <c r="F95" s="52">
        <v>12.3149224555657</v>
      </c>
      <c r="H95" s="76"/>
      <c r="I95" s="77"/>
      <c r="J95" s="77"/>
      <c r="K95" s="77"/>
      <c r="L95" s="77"/>
    </row>
    <row r="96" spans="2:12">
      <c r="B96" s="51">
        <v>0.2</v>
      </c>
      <c r="C96" s="52">
        <v>13.7046141241539</v>
      </c>
      <c r="D96" s="52">
        <v>12.8021838416111</v>
      </c>
      <c r="E96" s="52">
        <v>12.8021838416111</v>
      </c>
      <c r="F96" s="52">
        <v>12.8021838416111</v>
      </c>
      <c r="H96" s="76"/>
      <c r="I96" s="77"/>
      <c r="J96" s="77"/>
      <c r="K96" s="77"/>
      <c r="L96" s="77"/>
    </row>
    <row r="97" spans="2:12">
      <c r="B97" s="51">
        <v>0.28</v>
      </c>
      <c r="C97" s="52">
        <v>14.4326189891953</v>
      </c>
      <c r="D97" s="52">
        <v>13.2894452276566</v>
      </c>
      <c r="E97" s="52">
        <v>13.2894452276566</v>
      </c>
      <c r="F97" s="52">
        <v>13.2894452276566</v>
      </c>
      <c r="H97" s="76"/>
      <c r="I97" s="77"/>
      <c r="J97" s="77"/>
      <c r="K97" s="77"/>
      <c r="L97" s="77"/>
    </row>
    <row r="98" spans="2:12">
      <c r="B98" s="51">
        <v>0.35</v>
      </c>
      <c r="C98" s="52">
        <v>15.5096075480178</v>
      </c>
      <c r="D98" s="52">
        <v>14.2501987733633</v>
      </c>
      <c r="E98" s="52">
        <v>14.2501987733633</v>
      </c>
      <c r="F98" s="52">
        <v>14.2501987733633</v>
      </c>
      <c r="H98" s="76"/>
      <c r="I98" s="77"/>
      <c r="J98" s="77"/>
      <c r="K98" s="77"/>
      <c r="L98" s="77"/>
    </row>
    <row r="99" spans="2:12">
      <c r="B99" s="51">
        <v>0.42</v>
      </c>
      <c r="C99" s="52">
        <v>20.6216840494166</v>
      </c>
      <c r="D99" s="52">
        <v>15.3100533275668</v>
      </c>
      <c r="E99" s="52">
        <v>15.21095231907</v>
      </c>
      <c r="F99" s="52">
        <v>15.21095231907</v>
      </c>
      <c r="H99" s="76"/>
      <c r="I99" s="77"/>
      <c r="J99" s="77"/>
      <c r="K99" s="77"/>
      <c r="L99" s="77"/>
    </row>
    <row r="100" spans="2:12">
      <c r="B100" s="51">
        <v>0.48</v>
      </c>
      <c r="C100" s="52">
        <v>35.2144762433037</v>
      </c>
      <c r="D100" s="52">
        <v>21.067758799</v>
      </c>
      <c r="E100" s="52">
        <v>16.034632186125</v>
      </c>
      <c r="F100" s="52">
        <v>16.0344553582472</v>
      </c>
      <c r="H100" s="76"/>
      <c r="I100" s="77"/>
      <c r="J100" s="77"/>
      <c r="K100" s="77"/>
      <c r="L100" s="77"/>
    </row>
    <row r="101" spans="2:12">
      <c r="B101" s="51">
        <v>0.53</v>
      </c>
      <c r="C101" s="52">
        <v>49.9380847760393</v>
      </c>
      <c r="D101" s="52">
        <v>38.2132873244031</v>
      </c>
      <c r="E101" s="52">
        <v>19.0287658774432</v>
      </c>
      <c r="F101" s="52">
        <v>16.7207078908948</v>
      </c>
      <c r="H101" s="76"/>
      <c r="I101" s="77"/>
      <c r="J101" s="77"/>
      <c r="K101" s="77"/>
      <c r="L101" s="77"/>
    </row>
    <row r="104" spans="2:2">
      <c r="B104" s="43" t="s">
        <v>650</v>
      </c>
    </row>
    <row r="105" spans="2:6">
      <c r="B105" s="48" t="s">
        <v>651</v>
      </c>
      <c r="C105" s="48" t="s">
        <v>652</v>
      </c>
      <c r="D105" s="48">
        <v>0</v>
      </c>
      <c r="E105" s="48">
        <v>0</v>
      </c>
      <c r="F105" s="48">
        <v>0</v>
      </c>
    </row>
    <row r="106" spans="2:6">
      <c r="B106" s="48">
        <v>0</v>
      </c>
      <c r="C106" s="48">
        <v>0</v>
      </c>
      <c r="D106" s="48">
        <v>0</v>
      </c>
      <c r="E106" s="48">
        <v>0</v>
      </c>
      <c r="F106" s="48">
        <v>0</v>
      </c>
    </row>
    <row r="107" spans="2:6">
      <c r="B107" s="48">
        <v>0</v>
      </c>
      <c r="C107" s="48">
        <v>0</v>
      </c>
      <c r="D107" s="48">
        <v>0</v>
      </c>
      <c r="E107" s="48">
        <v>0</v>
      </c>
      <c r="F107" s="48">
        <v>0</v>
      </c>
    </row>
    <row r="108" spans="2:6">
      <c r="B108" s="49"/>
      <c r="C108" s="50">
        <v>2020</v>
      </c>
      <c r="D108" s="50">
        <v>2030</v>
      </c>
      <c r="E108" s="50">
        <v>2040</v>
      </c>
      <c r="F108" s="50">
        <v>2050</v>
      </c>
    </row>
    <row r="109" spans="2:6">
      <c r="B109" s="69">
        <v>11.7698993850639</v>
      </c>
      <c r="C109" s="52">
        <v>15.1608998553899</v>
      </c>
      <c r="D109" s="52">
        <v>12.8322959619936</v>
      </c>
      <c r="E109" s="52">
        <v>11.8686517664214</v>
      </c>
      <c r="F109" s="52">
        <v>11.5602288732518</v>
      </c>
    </row>
    <row r="110" spans="2:6">
      <c r="B110" s="69">
        <v>11.1085431339031</v>
      </c>
      <c r="C110" s="52">
        <v>15.7180953703215</v>
      </c>
      <c r="D110" s="52">
        <v>13.3456749593693</v>
      </c>
      <c r="E110" s="52">
        <v>12.382030763797</v>
      </c>
      <c r="F110" s="52">
        <v>12.0736078706274</v>
      </c>
    </row>
    <row r="111" spans="2:6">
      <c r="B111" s="69">
        <v>10.3827326718242</v>
      </c>
      <c r="C111" s="52">
        <v>17.3476277508268</v>
      </c>
      <c r="D111" s="52">
        <v>13.9323938135129</v>
      </c>
      <c r="E111" s="52">
        <v>12.9687496179406</v>
      </c>
      <c r="F111" s="52">
        <v>12.660326724771</v>
      </c>
    </row>
    <row r="112" spans="2:6">
      <c r="B112" s="69">
        <v>9.78232768533612</v>
      </c>
      <c r="C112" s="52">
        <v>18.1017284607381</v>
      </c>
      <c r="D112" s="52">
        <v>14.4457728108885</v>
      </c>
      <c r="E112" s="52">
        <v>13.4821286153163</v>
      </c>
      <c r="F112" s="52">
        <v>13.1737057221467</v>
      </c>
    </row>
    <row r="113" spans="2:6">
      <c r="B113" s="69">
        <v>9.3010228711969</v>
      </c>
      <c r="C113" s="52">
        <v>19.0664698874041</v>
      </c>
      <c r="D113" s="52">
        <v>15.3672309946225</v>
      </c>
      <c r="E113" s="52">
        <v>14.4035867990503</v>
      </c>
      <c r="F113" s="52">
        <v>14.0951639058807</v>
      </c>
    </row>
    <row r="114" spans="2:6">
      <c r="B114" s="69">
        <v>8.84493927002568</v>
      </c>
      <c r="C114" s="52">
        <v>24.3206768849222</v>
      </c>
      <c r="D114" s="52">
        <v>16.3931502967224</v>
      </c>
      <c r="E114" s="52">
        <v>15.3250449827843</v>
      </c>
      <c r="F114" s="52">
        <v>15.0166220896147</v>
      </c>
    </row>
    <row r="115" spans="2:6">
      <c r="B115" s="69">
        <v>8.49954877021398</v>
      </c>
      <c r="C115" s="52">
        <v>39.1709220282858</v>
      </c>
      <c r="D115" s="52">
        <v>22.2488317228812</v>
      </c>
      <c r="E115" s="52">
        <v>16.0931092148602</v>
      </c>
      <c r="F115" s="52">
        <v>15.7845039093931</v>
      </c>
    </row>
    <row r="116" spans="2:6">
      <c r="B116" s="69">
        <v>8.09180582723141</v>
      </c>
      <c r="C116" s="52">
        <v>55.9539065349284</v>
      </c>
      <c r="D116" s="52">
        <v>41.0428202118447</v>
      </c>
      <c r="E116" s="52">
        <v>19.491280572957</v>
      </c>
      <c r="F116" s="52">
        <v>16.7059620931271</v>
      </c>
    </row>
    <row r="119" spans="2:2">
      <c r="B119" s="43" t="s">
        <v>653</v>
      </c>
    </row>
    <row r="120" spans="2:6">
      <c r="B120" s="48" t="s">
        <v>654</v>
      </c>
      <c r="C120" s="48" t="s">
        <v>655</v>
      </c>
      <c r="D120" s="48">
        <v>0</v>
      </c>
      <c r="E120" s="48">
        <v>0</v>
      </c>
      <c r="F120" s="48">
        <v>0</v>
      </c>
    </row>
    <row r="121" spans="2:6">
      <c r="B121" s="48">
        <v>0</v>
      </c>
      <c r="C121" s="48">
        <v>0</v>
      </c>
      <c r="D121" s="48">
        <v>0</v>
      </c>
      <c r="E121" s="48">
        <v>0</v>
      </c>
      <c r="F121" s="48">
        <v>0</v>
      </c>
    </row>
    <row r="122" spans="2:6">
      <c r="B122" s="48">
        <v>0</v>
      </c>
      <c r="C122" s="48">
        <v>0</v>
      </c>
      <c r="D122" s="48">
        <v>0</v>
      </c>
      <c r="E122" s="48">
        <v>0</v>
      </c>
      <c r="F122" s="48">
        <v>0</v>
      </c>
    </row>
    <row r="123" spans="2:6">
      <c r="B123" s="49"/>
      <c r="C123" s="50">
        <v>2020</v>
      </c>
      <c r="D123" s="50">
        <v>2030</v>
      </c>
      <c r="E123" s="50">
        <v>2040</v>
      </c>
      <c r="F123" s="50">
        <v>2050</v>
      </c>
    </row>
    <row r="124" spans="2:6">
      <c r="B124" s="69">
        <v>6.95885428380178</v>
      </c>
      <c r="C124" s="52">
        <v>13.7917668147899</v>
      </c>
      <c r="D124" s="52">
        <v>11.9288837000729</v>
      </c>
      <c r="E124" s="52">
        <v>11.1579683436151</v>
      </c>
      <c r="F124" s="52">
        <v>10.9112300290795</v>
      </c>
    </row>
    <row r="125" spans="2:6">
      <c r="B125" s="69">
        <v>6.6813285474835</v>
      </c>
      <c r="C125" s="52">
        <v>14.0075580138425</v>
      </c>
      <c r="D125" s="52">
        <v>12.125133495192</v>
      </c>
      <c r="E125" s="52">
        <v>11.3542181387342</v>
      </c>
      <c r="F125" s="52">
        <v>11.1074798241985</v>
      </c>
    </row>
    <row r="126" spans="2:6">
      <c r="B126" s="69">
        <v>6.416229336672</v>
      </c>
      <c r="C126" s="52">
        <v>14.6204226771157</v>
      </c>
      <c r="D126" s="52">
        <v>12.321383290311</v>
      </c>
      <c r="E126" s="52">
        <v>11.5504679338532</v>
      </c>
      <c r="F126" s="52">
        <v>11.3037296193175</v>
      </c>
    </row>
    <row r="127" spans="2:6">
      <c r="B127" s="69">
        <v>6.05503166194134</v>
      </c>
      <c r="C127" s="52">
        <v>15.0378368736688</v>
      </c>
      <c r="D127" s="52">
        <v>12.5961330034776</v>
      </c>
      <c r="E127" s="52">
        <v>11.8252176470198</v>
      </c>
      <c r="F127" s="52">
        <v>11.5784793324842</v>
      </c>
    </row>
    <row r="128" spans="2:6">
      <c r="B128" s="69">
        <v>5.87029064940707</v>
      </c>
      <c r="C128" s="52">
        <v>15.472842886939</v>
      </c>
      <c r="D128" s="52">
        <v>13.0076736454134</v>
      </c>
      <c r="E128" s="52">
        <v>12.2367582889556</v>
      </c>
      <c r="F128" s="52">
        <v>11.9900199744199</v>
      </c>
    </row>
    <row r="129" spans="2:6">
      <c r="B129" s="69">
        <v>5.591936478055</v>
      </c>
      <c r="C129" s="52">
        <v>18.3109232389099</v>
      </c>
      <c r="D129" s="52">
        <v>13.6766906737086</v>
      </c>
      <c r="E129" s="52">
        <v>12.8540692518592</v>
      </c>
      <c r="F129" s="52">
        <v>12.6073309373235</v>
      </c>
    </row>
    <row r="130" spans="2:6">
      <c r="B130" s="69">
        <v>5.32849413731108</v>
      </c>
      <c r="C130" s="52">
        <v>26.9210812954222</v>
      </c>
      <c r="D130" s="52">
        <v>17.0806511781001</v>
      </c>
      <c r="E130" s="52">
        <v>13.471479930666</v>
      </c>
      <c r="F130" s="52">
        <v>13.2246419002271</v>
      </c>
    </row>
    <row r="131" spans="2:6">
      <c r="B131" s="69">
        <v>4.88279608913425</v>
      </c>
      <c r="C131" s="52">
        <v>40.0165508714382</v>
      </c>
      <c r="D131" s="52">
        <v>30.0767831815537</v>
      </c>
      <c r="E131" s="52">
        <v>16.0901883222233</v>
      </c>
      <c r="F131" s="52">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B3" sqref="B3:F3"/>
    </sheetView>
  </sheetViews>
  <sheetFormatPr defaultColWidth="9" defaultRowHeight="14.5" outlineLevelCol="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656</v>
      </c>
      <c r="C3" s="38"/>
      <c r="D3" s="38"/>
      <c r="E3" s="38"/>
      <c r="F3" s="39"/>
    </row>
    <row r="4" ht="15" customHeight="1"/>
    <row r="5" ht="15" customHeight="1" spans="2:2">
      <c r="B5" s="43" t="s">
        <v>657</v>
      </c>
    </row>
    <row r="6" spans="2:4">
      <c r="B6" s="44">
        <v>2015</v>
      </c>
      <c r="C6" s="44"/>
      <c r="D6" s="44"/>
    </row>
    <row r="7" spans="2:4">
      <c r="B7" s="45" t="s">
        <v>12</v>
      </c>
      <c r="C7" s="46" t="s">
        <v>639</v>
      </c>
      <c r="D7" s="68">
        <v>29.6118330510177</v>
      </c>
    </row>
    <row r="8" spans="2:4">
      <c r="B8" s="45" t="s">
        <v>14</v>
      </c>
      <c r="C8" s="46" t="s">
        <v>658</v>
      </c>
      <c r="D8" s="47">
        <v>6.45525065406382</v>
      </c>
    </row>
    <row r="10" spans="2:6">
      <c r="B10" s="48" t="s">
        <v>140</v>
      </c>
      <c r="C10" s="48" t="s">
        <v>659</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6">
      <c r="B14" s="51">
        <v>0.05</v>
      </c>
      <c r="C14" s="52">
        <v>7.68293636127841</v>
      </c>
      <c r="D14" s="52">
        <v>7.68293636127841</v>
      </c>
      <c r="E14" s="52">
        <v>7.68293636127841</v>
      </c>
      <c r="F14" s="52">
        <v>7.68293636127841</v>
      </c>
    </row>
    <row r="15" spans="2:6">
      <c r="B15" s="51">
        <v>0.1</v>
      </c>
      <c r="C15" s="52">
        <v>7.9556013965743</v>
      </c>
      <c r="D15" s="52">
        <v>7.80174465552499</v>
      </c>
      <c r="E15" s="52">
        <v>7.80174465552499</v>
      </c>
      <c r="F15" s="52">
        <v>7.80174465552499</v>
      </c>
    </row>
    <row r="16" spans="2:6">
      <c r="B16" s="51">
        <v>0.15</v>
      </c>
      <c r="C16" s="52">
        <v>8.22826643187018</v>
      </c>
      <c r="D16" s="52">
        <v>7.92055294977156</v>
      </c>
      <c r="E16" s="52">
        <v>7.92055294977156</v>
      </c>
      <c r="F16" s="52">
        <v>7.92055294977156</v>
      </c>
    </row>
    <row r="17" spans="2:6">
      <c r="B17" s="51">
        <v>0.18</v>
      </c>
      <c r="C17" s="52">
        <v>9.7627785432518</v>
      </c>
      <c r="D17" s="52">
        <v>8.48246533107087</v>
      </c>
      <c r="E17" s="52">
        <v>8.21757368538799</v>
      </c>
      <c r="F17" s="52">
        <v>8.21757368538799</v>
      </c>
    </row>
    <row r="18" spans="2:6">
      <c r="B18" s="51">
        <v>0.2</v>
      </c>
      <c r="C18" s="52">
        <v>10.7275199699178</v>
      </c>
      <c r="D18" s="52">
        <v>9.04437771237018</v>
      </c>
      <c r="E18" s="52">
        <v>8.51459442100443</v>
      </c>
      <c r="F18" s="52">
        <v>8.51459442100443</v>
      </c>
    </row>
    <row r="19" spans="2:6">
      <c r="B19" s="51">
        <v>0.25</v>
      </c>
      <c r="C19" s="52">
        <v>15.9817269674359</v>
      </c>
      <c r="D19" s="52">
        <v>9.60629009366949</v>
      </c>
      <c r="E19" s="52">
        <v>8.81161515662086</v>
      </c>
      <c r="F19" s="52">
        <v>8.81161515662086</v>
      </c>
    </row>
    <row r="20" spans="2:6">
      <c r="B20" s="51">
        <v>0.265</v>
      </c>
      <c r="C20" s="52">
        <v>20.9572653020809</v>
      </c>
      <c r="D20" s="52">
        <v>10.1682024749688</v>
      </c>
      <c r="E20" s="52">
        <v>9.10863589223729</v>
      </c>
      <c r="F20" s="52">
        <v>9.10863589223729</v>
      </c>
    </row>
    <row r="24" ht="15" customHeight="1" spans="2:2">
      <c r="B24" s="43" t="s">
        <v>660</v>
      </c>
    </row>
    <row r="25" spans="2:4">
      <c r="B25" s="44">
        <v>2015</v>
      </c>
      <c r="C25" s="44"/>
      <c r="D25" s="44"/>
    </row>
    <row r="26" spans="2:4">
      <c r="B26" s="45" t="s">
        <v>12</v>
      </c>
      <c r="C26" s="46" t="s">
        <v>639</v>
      </c>
      <c r="D26" s="68">
        <v>31.0823526515104</v>
      </c>
    </row>
    <row r="27" spans="2:4">
      <c r="B27" s="45" t="s">
        <v>14</v>
      </c>
      <c r="C27" s="46" t="s">
        <v>658</v>
      </c>
      <c r="D27" s="47">
        <v>7.51561465406382</v>
      </c>
    </row>
    <row r="29" spans="2:6">
      <c r="B29" s="48" t="s">
        <v>140</v>
      </c>
      <c r="C29" s="48" t="s">
        <v>661</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8.74330036127841</v>
      </c>
      <c r="D33" s="52">
        <v>8.74330036127841</v>
      </c>
      <c r="E33" s="52">
        <v>8.74330036127841</v>
      </c>
      <c r="F33" s="52">
        <v>8.74330036127841</v>
      </c>
    </row>
    <row r="34" spans="2:6">
      <c r="B34" s="51">
        <v>0.1</v>
      </c>
      <c r="C34" s="52">
        <v>9.0159653965743</v>
      </c>
      <c r="D34" s="52">
        <v>8.86210865552499</v>
      </c>
      <c r="E34" s="52">
        <v>8.86210865552499</v>
      </c>
      <c r="F34" s="52">
        <v>8.86210865552499</v>
      </c>
    </row>
    <row r="35" spans="2:6">
      <c r="B35" s="51">
        <v>0.15</v>
      </c>
      <c r="C35" s="52">
        <v>9.28863043187018</v>
      </c>
      <c r="D35" s="52">
        <v>8.98091694977156</v>
      </c>
      <c r="E35" s="52">
        <v>8.98091694977156</v>
      </c>
      <c r="F35" s="52">
        <v>8.98091694977156</v>
      </c>
    </row>
    <row r="36" spans="2:6">
      <c r="B36" s="51">
        <v>0.18</v>
      </c>
      <c r="C36" s="52">
        <v>10.8231425432518</v>
      </c>
      <c r="D36" s="52">
        <v>9.54282933107087</v>
      </c>
      <c r="E36" s="52">
        <v>9.27793768538799</v>
      </c>
      <c r="F36" s="52">
        <v>9.27793768538799</v>
      </c>
    </row>
    <row r="37" spans="2:6">
      <c r="B37" s="51">
        <v>0.2</v>
      </c>
      <c r="C37" s="52">
        <v>11.7878839699178</v>
      </c>
      <c r="D37" s="52">
        <v>10.1047417123702</v>
      </c>
      <c r="E37" s="52">
        <v>9.57495842100443</v>
      </c>
      <c r="F37" s="52">
        <v>9.57495842100443</v>
      </c>
    </row>
    <row r="38" spans="2:6">
      <c r="B38" s="51">
        <v>0.25</v>
      </c>
      <c r="C38" s="52">
        <v>17.0420909674359</v>
      </c>
      <c r="D38" s="52">
        <v>10.6666540936695</v>
      </c>
      <c r="E38" s="52">
        <v>9.87197915662086</v>
      </c>
      <c r="F38" s="52">
        <v>9.87197915662086</v>
      </c>
    </row>
    <row r="39" spans="2:6">
      <c r="B39" s="51">
        <v>0.265</v>
      </c>
      <c r="C39" s="52">
        <v>22.0176293020809</v>
      </c>
      <c r="D39" s="52">
        <v>11.2285664749688</v>
      </c>
      <c r="E39" s="52">
        <v>10.1689998922373</v>
      </c>
      <c r="F39" s="52">
        <v>10.1689998922373</v>
      </c>
    </row>
    <row r="43" spans="2:4">
      <c r="B43" s="44">
        <v>2030</v>
      </c>
      <c r="C43" s="44"/>
      <c r="D43" s="44"/>
    </row>
    <row r="44" spans="2:4">
      <c r="B44" s="45" t="s">
        <v>662</v>
      </c>
      <c r="C44" s="46" t="s">
        <v>639</v>
      </c>
      <c r="D44" s="47">
        <v>11.0548632360586</v>
      </c>
    </row>
    <row r="46" spans="2:5">
      <c r="B46" s="48" t="s">
        <v>27</v>
      </c>
      <c r="C46" s="55" t="s">
        <v>663</v>
      </c>
      <c r="D46" s="56"/>
      <c r="E46" s="57"/>
    </row>
    <row r="47" spans="2:5">
      <c r="B47" s="48"/>
      <c r="C47" s="58"/>
      <c r="D47" s="59"/>
      <c r="E47" s="60"/>
    </row>
    <row r="48" ht="15" customHeight="1" spans="2:5">
      <c r="B48" s="48"/>
      <c r="C48" s="61"/>
      <c r="D48" s="62"/>
      <c r="E48" s="63"/>
    </row>
    <row r="49" spans="2:5">
      <c r="B49" s="49"/>
      <c r="C49" s="50">
        <v>2030</v>
      </c>
      <c r="D49" s="50">
        <v>2040</v>
      </c>
      <c r="E49" s="50">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8" t="s">
        <v>654</v>
      </c>
      <c r="C56" s="55" t="s">
        <v>664</v>
      </c>
      <c r="D56" s="56"/>
      <c r="E56" s="57"/>
    </row>
    <row r="57" spans="2:5">
      <c r="B57" s="48"/>
      <c r="C57" s="58"/>
      <c r="D57" s="59"/>
      <c r="E57" s="60"/>
    </row>
    <row r="58" spans="2:5">
      <c r="B58" s="48"/>
      <c r="C58" s="61"/>
      <c r="D58" s="62"/>
      <c r="E58" s="63"/>
    </row>
    <row r="59" spans="2:5">
      <c r="B59" s="49"/>
      <c r="C59" s="50">
        <v>2030</v>
      </c>
      <c r="D59" s="50">
        <v>2040</v>
      </c>
      <c r="E59" s="50">
        <v>2050</v>
      </c>
    </row>
    <row r="60" spans="2:5">
      <c r="B60" s="69">
        <v>16.4054144155296</v>
      </c>
      <c r="C60" s="52">
        <v>12.5493437852784</v>
      </c>
      <c r="D60" s="52">
        <v>10.0317628477816</v>
      </c>
      <c r="E60" s="52">
        <v>9.45791517679782</v>
      </c>
    </row>
    <row r="61" spans="2:5">
      <c r="B61" s="69">
        <v>15.5419715515544</v>
      </c>
      <c r="C61" s="52">
        <v>12.668152079525</v>
      </c>
      <c r="D61" s="52">
        <v>10.1505711420282</v>
      </c>
      <c r="E61" s="52">
        <v>9.57672347104439</v>
      </c>
    </row>
    <row r="62" spans="2:5">
      <c r="B62" s="69">
        <v>14.6785286875791</v>
      </c>
      <c r="C62" s="52">
        <v>12.7869603737716</v>
      </c>
      <c r="D62" s="52">
        <v>10.2693794362748</v>
      </c>
      <c r="E62" s="52">
        <v>9.69553176529097</v>
      </c>
    </row>
    <row r="63" spans="2:5">
      <c r="B63" s="69">
        <v>14.160462969194</v>
      </c>
      <c r="C63" s="52">
        <v>13.3488727550709</v>
      </c>
      <c r="D63" s="52">
        <v>10.5664001718912</v>
      </c>
      <c r="E63" s="52">
        <v>9.9925525009074</v>
      </c>
    </row>
    <row r="64" spans="2:5">
      <c r="B64" s="69">
        <v>13.8150858236039</v>
      </c>
      <c r="C64" s="52">
        <v>13.9107851363702</v>
      </c>
      <c r="D64" s="52">
        <v>10.8634209075077</v>
      </c>
      <c r="E64" s="52">
        <v>10.2895732365238</v>
      </c>
    </row>
    <row r="65" spans="2:5">
      <c r="B65" s="69">
        <v>12.9516429596286</v>
      </c>
      <c r="C65" s="52">
        <v>14.4726975176695</v>
      </c>
      <c r="D65" s="52">
        <v>11.1604416431241</v>
      </c>
      <c r="E65" s="52">
        <v>10.5865939721403</v>
      </c>
    </row>
    <row r="66" spans="2:5">
      <c r="B66" s="69">
        <v>12.6926101004361</v>
      </c>
      <c r="C66" s="52">
        <v>15.0346098989688</v>
      </c>
      <c r="D66" s="52">
        <v>11.4574623787405</v>
      </c>
      <c r="E66" s="52">
        <v>10.8836147077567</v>
      </c>
    </row>
    <row r="67" spans="2:6">
      <c r="B67" s="70"/>
      <c r="C67" s="54"/>
      <c r="D67" s="54"/>
      <c r="E67" s="54"/>
      <c r="F67" s="54"/>
    </row>
    <row r="68" spans="2:6">
      <c r="B68" s="70"/>
      <c r="C68" s="54"/>
      <c r="D68" s="54"/>
      <c r="E68" s="54"/>
      <c r="F68" s="54"/>
    </row>
    <row r="69" ht="18.5" spans="2:6">
      <c r="B69" s="37" t="s">
        <v>665</v>
      </c>
      <c r="C69" s="38"/>
      <c r="D69" s="38"/>
      <c r="E69" s="38"/>
      <c r="F69" s="39"/>
    </row>
    <row r="71" spans="2:2">
      <c r="B71" s="43" t="s">
        <v>666</v>
      </c>
    </row>
    <row r="72" spans="2:4">
      <c r="B72" s="44">
        <v>2015</v>
      </c>
      <c r="C72" s="44"/>
      <c r="D72" s="44"/>
    </row>
    <row r="73" spans="2:4">
      <c r="B73" s="45" t="s">
        <v>12</v>
      </c>
      <c r="C73" s="46" t="s">
        <v>646</v>
      </c>
      <c r="D73" s="47">
        <v>10.6749229595463</v>
      </c>
    </row>
    <row r="74" spans="2:4">
      <c r="B74" s="45" t="s">
        <v>14</v>
      </c>
      <c r="C74" s="46" t="s">
        <v>658</v>
      </c>
      <c r="D74" s="68">
        <v>7.015484</v>
      </c>
    </row>
    <row r="76" ht="15" customHeight="1" spans="2:6">
      <c r="B76" s="71" t="s">
        <v>140</v>
      </c>
      <c r="C76" s="55" t="s">
        <v>667</v>
      </c>
      <c r="D76" s="56"/>
      <c r="E76" s="56"/>
      <c r="F76" s="57"/>
    </row>
    <row r="77" spans="2:6">
      <c r="B77" s="72"/>
      <c r="C77" s="58"/>
      <c r="D77" s="59"/>
      <c r="E77" s="59"/>
      <c r="F77" s="60"/>
    </row>
    <row r="78" spans="2:6">
      <c r="B78" s="73"/>
      <c r="C78" s="61"/>
      <c r="D78" s="62"/>
      <c r="E78" s="62"/>
      <c r="F78" s="63"/>
    </row>
    <row r="79" spans="2:6">
      <c r="B79" s="49"/>
      <c r="C79" s="50">
        <v>2020</v>
      </c>
      <c r="D79" s="50">
        <v>2030</v>
      </c>
      <c r="E79" s="50">
        <v>2040</v>
      </c>
      <c r="F79" s="50">
        <v>2050</v>
      </c>
    </row>
    <row r="80" spans="2:6">
      <c r="B80" s="51">
        <v>0.05</v>
      </c>
      <c r="C80" s="52">
        <v>8.63869692995413</v>
      </c>
      <c r="D80" s="52">
        <v>8.20389932240437</v>
      </c>
      <c r="E80" s="52">
        <v>8.20389932240437</v>
      </c>
      <c r="F80" s="52">
        <v>8.20389932240437</v>
      </c>
    </row>
    <row r="81" spans="2:6">
      <c r="B81" s="51">
        <v>0.1</v>
      </c>
      <c r="C81" s="52">
        <v>9.06920494460621</v>
      </c>
      <c r="D81" s="52">
        <v>8.3189072568306</v>
      </c>
      <c r="E81" s="52">
        <v>8.3189072568306</v>
      </c>
      <c r="F81" s="52">
        <v>8.3189072568306</v>
      </c>
    </row>
    <row r="82" spans="2:6">
      <c r="B82" s="51">
        <v>0.15</v>
      </c>
      <c r="C82" s="52">
        <v>9.49971295925829</v>
      </c>
      <c r="D82" s="52">
        <v>8.43391519125683</v>
      </c>
      <c r="E82" s="52">
        <v>8.43391519125683</v>
      </c>
      <c r="F82" s="52">
        <v>8.43391519125683</v>
      </c>
    </row>
    <row r="83" spans="2:6">
      <c r="B83" s="51">
        <v>0.18</v>
      </c>
      <c r="C83" s="52">
        <v>11.8204186526425</v>
      </c>
      <c r="D83" s="52">
        <v>9.1778015504075</v>
      </c>
      <c r="E83" s="52">
        <v>8.75018701092896</v>
      </c>
      <c r="F83" s="52">
        <v>8.75018701092896</v>
      </c>
    </row>
    <row r="84" spans="2:6">
      <c r="B84" s="51">
        <v>0.2</v>
      </c>
      <c r="C84" s="52">
        <v>14.1411243460267</v>
      </c>
      <c r="D84" s="52">
        <v>9.92168790955818</v>
      </c>
      <c r="E84" s="52">
        <v>9.06645883060109</v>
      </c>
      <c r="F84" s="52">
        <v>9.06645883060109</v>
      </c>
    </row>
    <row r="85" spans="2:6">
      <c r="B85" s="51">
        <v>0.25</v>
      </c>
      <c r="C85" s="52">
        <v>16.4618300394109</v>
      </c>
      <c r="D85" s="52">
        <v>10.6655742687089</v>
      </c>
      <c r="E85" s="52">
        <v>9.38273065027322</v>
      </c>
      <c r="F85" s="52">
        <v>9.38273065027322</v>
      </c>
    </row>
    <row r="86" spans="2:6">
      <c r="B86" s="51">
        <v>0.265</v>
      </c>
      <c r="C86" s="52">
        <v>18.7825357327951</v>
      </c>
      <c r="D86" s="52">
        <v>11.4094606278595</v>
      </c>
      <c r="E86" s="52">
        <v>9.69900246994535</v>
      </c>
      <c r="F86" s="52">
        <v>9.69900246994535</v>
      </c>
    </row>
    <row r="90" spans="2:2">
      <c r="B90" s="43" t="s">
        <v>668</v>
      </c>
    </row>
    <row r="91" spans="2:4">
      <c r="B91" s="44">
        <v>2015</v>
      </c>
      <c r="C91" s="44"/>
      <c r="D91" s="44"/>
    </row>
    <row r="92" spans="2:4">
      <c r="B92" s="45" t="s">
        <v>12</v>
      </c>
      <c r="C92" s="46" t="s">
        <v>646</v>
      </c>
      <c r="D92" s="47">
        <v>11.2050381813469</v>
      </c>
    </row>
    <row r="93" spans="2:4">
      <c r="B93" s="45" t="s">
        <v>14</v>
      </c>
      <c r="C93" s="46" t="s">
        <v>658</v>
      </c>
      <c r="D93" s="68">
        <v>10.553001</v>
      </c>
    </row>
    <row r="94" ht="15" customHeight="1"/>
    <row r="95" spans="2:6">
      <c r="B95" s="71" t="s">
        <v>140</v>
      </c>
      <c r="C95" s="55" t="s">
        <v>669</v>
      </c>
      <c r="D95" s="56"/>
      <c r="E95" s="56"/>
      <c r="F95" s="57"/>
    </row>
    <row r="96" spans="2:6">
      <c r="B96" s="72"/>
      <c r="C96" s="58"/>
      <c r="D96" s="59"/>
      <c r="E96" s="59"/>
      <c r="F96" s="60"/>
    </row>
    <row r="97" spans="2:6">
      <c r="B97" s="73"/>
      <c r="C97" s="61"/>
      <c r="D97" s="62"/>
      <c r="E97" s="62"/>
      <c r="F97" s="63"/>
    </row>
    <row r="98" spans="2:6">
      <c r="B98" s="49"/>
      <c r="C98" s="50">
        <v>2020</v>
      </c>
      <c r="D98" s="50">
        <v>2030</v>
      </c>
      <c r="E98" s="50">
        <v>2040</v>
      </c>
      <c r="F98" s="50">
        <v>2050</v>
      </c>
    </row>
    <row r="99" spans="2:6">
      <c r="B99" s="51">
        <v>0.05</v>
      </c>
      <c r="C99" s="52">
        <v>8.63869692995413</v>
      </c>
      <c r="D99" s="52">
        <v>8.20389932240437</v>
      </c>
      <c r="E99" s="52">
        <v>8.20389932240437</v>
      </c>
      <c r="F99" s="52">
        <v>8.20389932240437</v>
      </c>
    </row>
    <row r="100" spans="2:6">
      <c r="B100" s="51">
        <v>0.1</v>
      </c>
      <c r="C100" s="52">
        <v>9.06920494460621</v>
      </c>
      <c r="D100" s="52">
        <v>8.3189072568306</v>
      </c>
      <c r="E100" s="52">
        <v>8.3189072568306</v>
      </c>
      <c r="F100" s="52">
        <v>8.3189072568306</v>
      </c>
    </row>
    <row r="101" spans="2:6">
      <c r="B101" s="51">
        <v>0.15</v>
      </c>
      <c r="C101" s="52">
        <v>9.49971295925829</v>
      </c>
      <c r="D101" s="52">
        <v>8.43391519125683</v>
      </c>
      <c r="E101" s="52">
        <v>8.43391519125683</v>
      </c>
      <c r="F101" s="52">
        <v>8.43391519125683</v>
      </c>
    </row>
    <row r="102" spans="2:6">
      <c r="B102" s="51">
        <v>0.18</v>
      </c>
      <c r="C102" s="52">
        <v>11.8204186526425</v>
      </c>
      <c r="D102" s="52">
        <v>9.1778015504075</v>
      </c>
      <c r="E102" s="52">
        <v>8.75018701092896</v>
      </c>
      <c r="F102" s="52">
        <v>8.75018701092896</v>
      </c>
    </row>
    <row r="103" spans="2:6">
      <c r="B103" s="51">
        <v>0.2</v>
      </c>
      <c r="C103" s="52">
        <v>14.1411243460267</v>
      </c>
      <c r="D103" s="52">
        <v>9.92168790955818</v>
      </c>
      <c r="E103" s="52">
        <v>9.06645883060109</v>
      </c>
      <c r="F103" s="52">
        <v>9.06645883060109</v>
      </c>
    </row>
    <row r="104" spans="2:6">
      <c r="B104" s="51">
        <v>0.25</v>
      </c>
      <c r="C104" s="52">
        <v>16.4618300394109</v>
      </c>
      <c r="D104" s="52">
        <v>10.6655742687089</v>
      </c>
      <c r="E104" s="52">
        <v>9.38273065027322</v>
      </c>
      <c r="F104" s="52">
        <v>9.38273065027322</v>
      </c>
    </row>
    <row r="105" spans="2:6">
      <c r="B105" s="51">
        <v>0.265</v>
      </c>
      <c r="C105" s="52">
        <v>18.7825357327951</v>
      </c>
      <c r="D105" s="52">
        <v>11.4094606278595</v>
      </c>
      <c r="E105" s="52">
        <v>9.69900246994535</v>
      </c>
      <c r="F105" s="52">
        <v>9.69900246994535</v>
      </c>
    </row>
    <row r="109" spans="2:4">
      <c r="B109" s="44">
        <v>2030</v>
      </c>
      <c r="C109" s="44"/>
      <c r="D109" s="44"/>
    </row>
    <row r="110" spans="2:4">
      <c r="B110" s="45" t="s">
        <v>670</v>
      </c>
      <c r="C110" s="46" t="s">
        <v>646</v>
      </c>
      <c r="D110" s="74">
        <v>3.63868357239443</v>
      </c>
    </row>
    <row r="112" spans="2:5">
      <c r="B112" s="48" t="s">
        <v>27</v>
      </c>
      <c r="C112" s="55" t="s">
        <v>671</v>
      </c>
      <c r="D112" s="56"/>
      <c r="E112" s="57"/>
    </row>
    <row r="113" spans="2:5">
      <c r="B113" s="48"/>
      <c r="C113" s="58"/>
      <c r="D113" s="59"/>
      <c r="E113" s="60"/>
    </row>
    <row r="114" spans="2:5">
      <c r="B114" s="48"/>
      <c r="C114" s="61"/>
      <c r="D114" s="62"/>
      <c r="E114" s="63"/>
    </row>
    <row r="115" ht="15" customHeight="1" spans="2:5">
      <c r="B115" s="49"/>
      <c r="C115" s="50">
        <v>2030</v>
      </c>
      <c r="D115" s="50">
        <v>2040</v>
      </c>
      <c r="E115" s="50">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8" t="s">
        <v>651</v>
      </c>
      <c r="C122" s="55" t="s">
        <v>672</v>
      </c>
      <c r="D122" s="56"/>
      <c r="E122" s="57"/>
    </row>
    <row r="123" spans="2:5">
      <c r="B123" s="48"/>
      <c r="C123" s="58"/>
      <c r="D123" s="59"/>
      <c r="E123" s="60"/>
    </row>
    <row r="124" spans="2:5">
      <c r="B124" s="48"/>
      <c r="C124" s="61"/>
      <c r="D124" s="62"/>
      <c r="E124" s="63"/>
    </row>
    <row r="125" spans="2:5">
      <c r="B125" s="49"/>
      <c r="C125" s="50">
        <v>2030</v>
      </c>
      <c r="D125" s="50">
        <v>2040</v>
      </c>
      <c r="E125" s="50">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workbookViewId="0">
      <pane ySplit="2" topLeftCell="A3" activePane="bottomLeft" state="frozen"/>
      <selection/>
      <selection pane="bottomLeft" activeCell="B3" sqref="B3:F3"/>
    </sheetView>
  </sheetViews>
  <sheetFormatPr defaultColWidth="9.09090909090909" defaultRowHeight="14.5"/>
  <cols>
    <col min="1" max="1" width="7.63636363636364" customWidth="1"/>
    <col min="2" max="2" width="38.2727272727273" customWidth="1"/>
    <col min="3" max="6" width="13.6363636363636" customWidth="1"/>
  </cols>
  <sheetData>
    <row r="1" ht="30.75" customHeight="1" spans="2:6">
      <c r="B1" s="1" t="s">
        <v>10</v>
      </c>
      <c r="C1" s="2"/>
      <c r="D1" s="2"/>
      <c r="E1" s="2"/>
      <c r="F1" s="3"/>
    </row>
    <row r="2" spans="2:6">
      <c r="B2" s="35" t="s">
        <v>9</v>
      </c>
      <c r="C2" s="36"/>
      <c r="D2" s="36"/>
      <c r="E2" s="36"/>
      <c r="F2" s="36"/>
    </row>
    <row r="3" ht="18.5" spans="2:6">
      <c r="B3" s="37" t="s">
        <v>673</v>
      </c>
      <c r="C3" s="38"/>
      <c r="D3" s="38"/>
      <c r="E3" s="38"/>
      <c r="F3" s="39"/>
    </row>
    <row r="4" spans="2:20">
      <c r="B4" s="40" t="s">
        <v>674</v>
      </c>
      <c r="C4" s="41"/>
      <c r="D4" s="41"/>
      <c r="E4" s="41"/>
      <c r="F4" s="42"/>
      <c r="K4" s="65" t="s">
        <v>675</v>
      </c>
      <c r="L4" s="65"/>
      <c r="M4" s="65"/>
      <c r="N4" s="65"/>
      <c r="O4" s="65"/>
      <c r="P4" s="65"/>
      <c r="Q4" s="65"/>
      <c r="R4" s="65"/>
      <c r="S4" s="65"/>
      <c r="T4" s="65"/>
    </row>
    <row r="5" spans="2:20">
      <c r="B5" s="43" t="s">
        <v>676</v>
      </c>
      <c r="K5" s="65"/>
      <c r="L5" s="65"/>
      <c r="M5" s="65"/>
      <c r="N5" s="65"/>
      <c r="O5" s="65"/>
      <c r="P5" s="65"/>
      <c r="Q5" s="65"/>
      <c r="R5" s="65"/>
      <c r="S5" s="65"/>
      <c r="T5" s="65"/>
    </row>
    <row r="6" ht="15" customHeight="1" spans="2:20">
      <c r="B6" s="44">
        <v>2015</v>
      </c>
      <c r="C6" s="44"/>
      <c r="D6" s="44"/>
      <c r="K6" s="65"/>
      <c r="L6" s="65"/>
      <c r="M6" s="65"/>
      <c r="N6" s="65"/>
      <c r="O6" s="65"/>
      <c r="P6" s="65"/>
      <c r="Q6" s="65"/>
      <c r="R6" s="65"/>
      <c r="S6" s="65"/>
      <c r="T6" s="65"/>
    </row>
    <row r="7" spans="2:20">
      <c r="B7" s="45" t="s">
        <v>12</v>
      </c>
      <c r="C7" s="46" t="s">
        <v>646</v>
      </c>
      <c r="D7" s="47">
        <v>8.98575339925204</v>
      </c>
      <c r="K7" s="65"/>
      <c r="L7" s="65"/>
      <c r="M7" s="65"/>
      <c r="N7" s="65"/>
      <c r="O7" s="65"/>
      <c r="P7" s="65"/>
      <c r="Q7" s="65"/>
      <c r="R7" s="65"/>
      <c r="S7" s="65"/>
      <c r="T7" s="65"/>
    </row>
    <row r="8" spans="2:20">
      <c r="B8" s="45" t="s">
        <v>14</v>
      </c>
      <c r="C8" s="46" t="s">
        <v>658</v>
      </c>
      <c r="D8" s="47">
        <v>21.5</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677</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6">
      <c r="B14" s="51">
        <v>0.05</v>
      </c>
      <c r="C14" s="52">
        <v>21.5084888011775</v>
      </c>
      <c r="D14" s="52">
        <v>21.5084888011775</v>
      </c>
      <c r="E14" s="52">
        <v>21.5084888011775</v>
      </c>
      <c r="F14" s="52">
        <v>21.5084888011775</v>
      </c>
    </row>
    <row r="15" spans="2:6">
      <c r="B15" s="51">
        <v>0.1</v>
      </c>
      <c r="C15" s="52">
        <v>21.5429103516932</v>
      </c>
      <c r="D15" s="52">
        <v>21.5429103516932</v>
      </c>
      <c r="E15" s="52">
        <v>21.5429103516932</v>
      </c>
      <c r="F15" s="52">
        <v>21.5429103516932</v>
      </c>
    </row>
    <row r="16" spans="2:6">
      <c r="B16" s="51">
        <v>0.12</v>
      </c>
      <c r="C16" s="52">
        <v>21.9757899795747</v>
      </c>
      <c r="D16" s="52">
        <v>21.9325363450679</v>
      </c>
      <c r="E16" s="52">
        <v>21.9325363450679</v>
      </c>
      <c r="F16" s="52">
        <v>21.9325363450679</v>
      </c>
    </row>
    <row r="17" spans="2:6">
      <c r="B17" s="51">
        <v>0.15</v>
      </c>
      <c r="C17" s="52">
        <v>22.9142054019477</v>
      </c>
      <c r="D17" s="52">
        <v>22.6966353401096</v>
      </c>
      <c r="E17" s="52">
        <v>22.5878503091905</v>
      </c>
      <c r="F17" s="52">
        <v>22.5878503091905</v>
      </c>
    </row>
    <row r="18" spans="2:6">
      <c r="B18" s="51">
        <v>0.2</v>
      </c>
      <c r="C18" s="52">
        <v>25.3310361991727</v>
      </c>
      <c r="D18" s="52">
        <v>24.8202313726163</v>
      </c>
      <c r="E18" s="52">
        <v>24.30942654606</v>
      </c>
      <c r="F18" s="52">
        <v>24.0540241327818</v>
      </c>
    </row>
    <row r="19" spans="2:6">
      <c r="B19" s="51">
        <v>0.25</v>
      </c>
      <c r="C19" s="52">
        <v>38.8119744380722</v>
      </c>
      <c r="D19" s="52">
        <v>35.9266453650602</v>
      </c>
      <c r="E19" s="52">
        <v>34.9648690073895</v>
      </c>
      <c r="F19" s="52">
        <v>33.0413162920482</v>
      </c>
    </row>
    <row r="20" spans="2:6">
      <c r="B20" s="51">
        <v>0.3</v>
      </c>
      <c r="C20" s="52">
        <v>51.5857142857143</v>
      </c>
      <c r="D20" s="52">
        <v>44.3651428571428</v>
      </c>
      <c r="E20" s="52">
        <v>40.7548571428571</v>
      </c>
      <c r="F20" s="52">
        <v>39.5514285714286</v>
      </c>
    </row>
    <row r="24" spans="2:2">
      <c r="B24" s="43" t="s">
        <v>678</v>
      </c>
    </row>
    <row r="25" spans="2:4">
      <c r="B25" s="44">
        <v>2015</v>
      </c>
      <c r="C25" s="44"/>
      <c r="D25" s="44"/>
    </row>
    <row r="26" spans="2:4">
      <c r="B26" s="45" t="s">
        <v>12</v>
      </c>
      <c r="C26" s="46" t="s">
        <v>646</v>
      </c>
      <c r="D26" s="47">
        <v>9.4319846905074</v>
      </c>
    </row>
    <row r="27" spans="2:4">
      <c r="B27" s="45" t="s">
        <v>14</v>
      </c>
      <c r="C27" s="46" t="s">
        <v>658</v>
      </c>
      <c r="D27" s="47">
        <v>24.00125</v>
      </c>
    </row>
    <row r="29" ht="15" customHeight="1" spans="2:6">
      <c r="B29" s="48" t="s">
        <v>679</v>
      </c>
      <c r="C29" s="48" t="s">
        <v>680</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24.0097388011775</v>
      </c>
      <c r="D33" s="52">
        <v>24.0097388011775</v>
      </c>
      <c r="E33" s="52">
        <v>24.0097388011775</v>
      </c>
      <c r="F33" s="52">
        <v>24.0097388011775</v>
      </c>
    </row>
    <row r="34" spans="2:6">
      <c r="B34" s="51">
        <v>0.1</v>
      </c>
      <c r="C34" s="52">
        <v>24.0441603516932</v>
      </c>
      <c r="D34" s="52">
        <v>24.0441603516932</v>
      </c>
      <c r="E34" s="52">
        <v>24.0441603516932</v>
      </c>
      <c r="F34" s="52">
        <v>24.0441603516932</v>
      </c>
    </row>
    <row r="35" spans="2:6">
      <c r="B35" s="51">
        <v>0.12</v>
      </c>
      <c r="C35" s="52">
        <v>24.4770399795747</v>
      </c>
      <c r="D35" s="52">
        <v>24.4337863450679</v>
      </c>
      <c r="E35" s="52">
        <v>24.4337863450679</v>
      </c>
      <c r="F35" s="52">
        <v>24.4337863450679</v>
      </c>
    </row>
    <row r="36" spans="2:6">
      <c r="B36" s="51">
        <v>0.15</v>
      </c>
      <c r="C36" s="52">
        <v>25.4154554019477</v>
      </c>
      <c r="D36" s="52">
        <v>25.1978853401096</v>
      </c>
      <c r="E36" s="52">
        <v>25.0891003091905</v>
      </c>
      <c r="F36" s="52">
        <v>25.0891003091905</v>
      </c>
    </row>
    <row r="37" spans="2:6">
      <c r="B37" s="51">
        <v>0.2</v>
      </c>
      <c r="C37" s="52">
        <v>27.8322861991727</v>
      </c>
      <c r="D37" s="52">
        <v>27.3214813726163</v>
      </c>
      <c r="E37" s="52">
        <v>26.81067654606</v>
      </c>
      <c r="F37" s="52">
        <v>26.5552741327818</v>
      </c>
    </row>
    <row r="38" spans="2:6">
      <c r="B38" s="51">
        <v>0.25</v>
      </c>
      <c r="C38" s="52">
        <v>41.3132244380722</v>
      </c>
      <c r="D38" s="52">
        <v>38.4278953650602</v>
      </c>
      <c r="E38" s="52">
        <v>37.4661190073895</v>
      </c>
      <c r="F38" s="52">
        <v>35.5425662920482</v>
      </c>
    </row>
    <row r="39" spans="2:6">
      <c r="B39" s="51">
        <v>0.3</v>
      </c>
      <c r="C39" s="52">
        <v>54.0869642857143</v>
      </c>
      <c r="D39" s="52">
        <v>46.8663928571428</v>
      </c>
      <c r="E39" s="52">
        <v>43.2561071428571</v>
      </c>
      <c r="F39" s="52">
        <v>42.0526785714286</v>
      </c>
    </row>
    <row r="42" spans="2:6">
      <c r="B42" s="53"/>
      <c r="C42" s="54"/>
      <c r="D42" s="54"/>
      <c r="E42" s="54"/>
      <c r="F42" s="54"/>
    </row>
    <row r="43" spans="2:6">
      <c r="B43" s="43" t="s">
        <v>681</v>
      </c>
      <c r="E43" s="54"/>
      <c r="F43" s="54"/>
    </row>
    <row r="44" spans="2:4">
      <c r="B44" s="44">
        <v>2030</v>
      </c>
      <c r="C44" s="44"/>
      <c r="D44" s="44"/>
    </row>
    <row r="45" spans="2:4">
      <c r="B45" s="45" t="s">
        <v>12</v>
      </c>
      <c r="C45" s="46" t="s">
        <v>646</v>
      </c>
      <c r="D45" s="47">
        <v>5.4752275318979</v>
      </c>
    </row>
    <row r="47" ht="15" customHeight="1" spans="2:5">
      <c r="B47" s="48" t="s">
        <v>682</v>
      </c>
      <c r="C47" s="55" t="s">
        <v>683</v>
      </c>
      <c r="D47" s="56"/>
      <c r="E47" s="57"/>
    </row>
    <row r="48" spans="2:5">
      <c r="B48" s="48"/>
      <c r="C48" s="58"/>
      <c r="D48" s="59"/>
      <c r="E48" s="60"/>
    </row>
    <row r="49" spans="2:5">
      <c r="B49" s="48"/>
      <c r="C49" s="61"/>
      <c r="D49" s="62"/>
      <c r="E49" s="63"/>
    </row>
    <row r="50" spans="2:5">
      <c r="B50" s="49"/>
      <c r="C50" s="50">
        <v>2030</v>
      </c>
      <c r="D50" s="50">
        <v>2040</v>
      </c>
      <c r="E50" s="50">
        <v>2050</v>
      </c>
    </row>
    <row r="51" spans="2:10">
      <c r="B51" s="51">
        <v>0.05</v>
      </c>
      <c r="C51" s="52">
        <v>33.0264752371775</v>
      </c>
      <c r="D51" s="52">
        <v>29.9978791939504</v>
      </c>
      <c r="E51" s="52">
        <v>29.0285501011317</v>
      </c>
      <c r="H51" s="64"/>
      <c r="I51" s="64"/>
      <c r="J51" s="64"/>
    </row>
    <row r="52" spans="2:5">
      <c r="B52" s="51">
        <v>0.08</v>
      </c>
      <c r="C52" s="52">
        <v>33.0608967876932</v>
      </c>
      <c r="D52" s="52">
        <v>30.0323007444661</v>
      </c>
      <c r="E52" s="52">
        <v>29.0629716516475</v>
      </c>
    </row>
    <row r="53" spans="2:5">
      <c r="B53" s="51">
        <v>0.084</v>
      </c>
      <c r="C53" s="52">
        <v>33.4505227810679</v>
      </c>
      <c r="D53" s="52">
        <v>30.4219267378408</v>
      </c>
      <c r="E53" s="52">
        <v>29.4525976450221</v>
      </c>
    </row>
    <row r="54" spans="2:5">
      <c r="B54" s="51">
        <v>0.09</v>
      </c>
      <c r="C54" s="52">
        <v>34.2146217761096</v>
      </c>
      <c r="D54" s="52">
        <v>31.0772407019634</v>
      </c>
      <c r="E54" s="52">
        <v>30.1079116091448</v>
      </c>
    </row>
    <row r="55" spans="2:5">
      <c r="B55" s="51">
        <v>0.1</v>
      </c>
      <c r="C55" s="52">
        <v>36.3382178086163</v>
      </c>
      <c r="D55" s="52">
        <v>32.7988169388329</v>
      </c>
      <c r="E55" s="52">
        <v>31.574085432736</v>
      </c>
    </row>
    <row r="56" spans="2:5">
      <c r="B56" s="51">
        <v>0.125</v>
      </c>
      <c r="C56" s="52">
        <v>47.4446318010602</v>
      </c>
      <c r="D56" s="52">
        <v>43.4542594001624</v>
      </c>
      <c r="E56" s="52">
        <v>40.5613775920024</v>
      </c>
    </row>
    <row r="57" spans="2:5">
      <c r="B57" s="51">
        <v>0.15</v>
      </c>
      <c r="C57" s="52">
        <v>55.8831292931428</v>
      </c>
      <c r="D57" s="52">
        <v>49.24424753563</v>
      </c>
      <c r="E57" s="52">
        <v>47.0714898713828</v>
      </c>
    </row>
    <row r="58" spans="2:6">
      <c r="B58" s="53"/>
      <c r="C58" s="54"/>
      <c r="D58" s="54"/>
      <c r="E58" s="54"/>
      <c r="F58" s="54"/>
    </row>
    <row r="59" spans="2:6">
      <c r="B59" s="53"/>
      <c r="C59" s="54"/>
      <c r="D59" s="54"/>
      <c r="E59" s="54"/>
      <c r="F59" s="54"/>
    </row>
    <row r="61" spans="2:2">
      <c r="B61" s="43" t="s">
        <v>684</v>
      </c>
    </row>
    <row r="62" spans="2:4">
      <c r="B62" s="44">
        <v>2030</v>
      </c>
      <c r="C62" s="44"/>
      <c r="D62" s="44"/>
    </row>
    <row r="63" spans="2:4">
      <c r="B63" s="45" t="s">
        <v>12</v>
      </c>
      <c r="C63" s="46" t="s">
        <v>646</v>
      </c>
      <c r="D63" s="47">
        <v>3.06290859459612</v>
      </c>
    </row>
    <row r="65" spans="2:5">
      <c r="B65" s="48" t="s">
        <v>27</v>
      </c>
      <c r="C65" s="55" t="s">
        <v>685</v>
      </c>
      <c r="D65" s="56"/>
      <c r="E65" s="57"/>
    </row>
    <row r="66" spans="2:5">
      <c r="B66" s="48"/>
      <c r="C66" s="58"/>
      <c r="D66" s="59"/>
      <c r="E66" s="60"/>
    </row>
    <row r="67" spans="2:5">
      <c r="B67" s="48"/>
      <c r="C67" s="61"/>
      <c r="D67" s="62"/>
      <c r="E67" s="63"/>
    </row>
    <row r="68" spans="2:5">
      <c r="B68" s="49"/>
      <c r="C68" s="50">
        <v>2030</v>
      </c>
      <c r="D68" s="50">
        <v>2040</v>
      </c>
      <c r="E68" s="50">
        <v>2050</v>
      </c>
    </row>
    <row r="69" spans="2:5">
      <c r="B69" s="66">
        <v>150</v>
      </c>
      <c r="C69" s="67">
        <v>36.1702762393391</v>
      </c>
      <c r="D69" s="67">
        <v>32.3571578582149</v>
      </c>
      <c r="E69" s="67">
        <v>31.5463185290004</v>
      </c>
    </row>
    <row r="70" spans="2:5">
      <c r="B70" s="66">
        <v>200</v>
      </c>
      <c r="C70" s="67">
        <v>38.7463792434833</v>
      </c>
      <c r="D70" s="67">
        <v>34.254387902938</v>
      </c>
      <c r="E70" s="67">
        <v>33.1745087094155</v>
      </c>
    </row>
    <row r="71" spans="2:5">
      <c r="B71" s="66">
        <v>360</v>
      </c>
      <c r="C71" s="67">
        <v>45.4146207524535</v>
      </c>
      <c r="D71" s="67">
        <v>37.4155856004164</v>
      </c>
      <c r="E71" s="67">
        <v>34.6972482859379</v>
      </c>
    </row>
    <row r="72" ht="15" customHeight="1"/>
    <row r="75" spans="2:6">
      <c r="B75" s="40" t="s">
        <v>686</v>
      </c>
      <c r="C75" s="41"/>
      <c r="D75" s="41"/>
      <c r="E75" s="41"/>
      <c r="F75" s="42"/>
    </row>
    <row r="76" spans="2:2">
      <c r="B76" s="43" t="s">
        <v>687</v>
      </c>
    </row>
    <row r="77" spans="2:4">
      <c r="B77" s="44">
        <v>2015</v>
      </c>
      <c r="C77" s="44"/>
      <c r="D77" s="44"/>
    </row>
    <row r="78" spans="2:4">
      <c r="B78" s="45" t="s">
        <v>12</v>
      </c>
      <c r="C78" s="46" t="s">
        <v>646</v>
      </c>
      <c r="D78" s="47">
        <v>4.05687418177868</v>
      </c>
    </row>
    <row r="79" spans="2:4">
      <c r="B79" s="45" t="s">
        <v>14</v>
      </c>
      <c r="C79" s="46" t="s">
        <v>658</v>
      </c>
      <c r="D79" s="47">
        <v>25.175</v>
      </c>
    </row>
    <row r="81" spans="2:6">
      <c r="B81" s="48" t="s">
        <v>140</v>
      </c>
      <c r="C81" s="48" t="s">
        <v>688</v>
      </c>
      <c r="D81" s="48"/>
      <c r="E81" s="48"/>
      <c r="F81" s="48"/>
    </row>
    <row r="82" spans="2:6">
      <c r="B82" s="48"/>
      <c r="C82" s="48"/>
      <c r="D82" s="48"/>
      <c r="E82" s="48"/>
      <c r="F82" s="48"/>
    </row>
    <row r="83" spans="2:6">
      <c r="B83" s="48"/>
      <c r="C83" s="48"/>
      <c r="D83" s="48"/>
      <c r="E83" s="48"/>
      <c r="F83" s="48"/>
    </row>
    <row r="84" spans="2:6">
      <c r="B84" s="49"/>
      <c r="C84" s="50">
        <v>2020</v>
      </c>
      <c r="D84" s="50">
        <v>2030</v>
      </c>
      <c r="E84" s="50">
        <v>2040</v>
      </c>
      <c r="F84" s="50">
        <v>2050</v>
      </c>
    </row>
    <row r="85" spans="2:6">
      <c r="B85" s="51">
        <v>0.05</v>
      </c>
      <c r="C85" s="52">
        <v>25.1799273903368</v>
      </c>
      <c r="D85" s="52">
        <v>25.1799273903368</v>
      </c>
      <c r="E85" s="52">
        <v>25.1799273903368</v>
      </c>
      <c r="F85" s="52">
        <v>25.1799273903368</v>
      </c>
    </row>
    <row r="86" spans="2:6">
      <c r="B86" s="51">
        <v>0.1</v>
      </c>
      <c r="C86" s="52">
        <v>25.2193465130313</v>
      </c>
      <c r="D86" s="52">
        <v>25.2193465130313</v>
      </c>
      <c r="E86" s="52">
        <v>25.2193465130313</v>
      </c>
      <c r="F86" s="52">
        <v>25.2193465130313</v>
      </c>
    </row>
    <row r="87" spans="2:6">
      <c r="B87" s="51">
        <v>0.2</v>
      </c>
      <c r="C87" s="52">
        <v>26.5408726013644</v>
      </c>
      <c r="D87" s="52">
        <v>26.4167023648767</v>
      </c>
      <c r="E87" s="52">
        <v>26.4167023648767</v>
      </c>
      <c r="F87" s="52">
        <v>26.4167023648767</v>
      </c>
    </row>
    <row r="88" spans="2:6">
      <c r="B88" s="51">
        <v>0.25</v>
      </c>
      <c r="C88" s="52">
        <v>28.518727082561</v>
      </c>
      <c r="D88" s="52">
        <v>28.0043075313977</v>
      </c>
      <c r="E88" s="52">
        <v>27.7470977558161</v>
      </c>
      <c r="F88" s="52">
        <v>27.7470977558161</v>
      </c>
    </row>
    <row r="89" spans="2:6">
      <c r="B89" s="51">
        <v>0.3</v>
      </c>
      <c r="C89" s="52">
        <v>33.3791049107928</v>
      </c>
      <c r="D89" s="52">
        <v>32.2852242560204</v>
      </c>
      <c r="E89" s="52">
        <v>31.1913436012481</v>
      </c>
      <c r="F89" s="52">
        <v>30.6444032738619</v>
      </c>
    </row>
    <row r="90" spans="2:6">
      <c r="B90" s="51">
        <v>0.35</v>
      </c>
      <c r="C90" s="52">
        <v>43.758425</v>
      </c>
      <c r="D90" s="52">
        <v>40.6611875</v>
      </c>
      <c r="E90" s="52">
        <v>39.628775</v>
      </c>
      <c r="F90" s="52">
        <v>37.56395</v>
      </c>
    </row>
    <row r="91" spans="2:6">
      <c r="B91" s="51">
        <v>0.4</v>
      </c>
      <c r="C91" s="52">
        <v>74.88375</v>
      </c>
      <c r="D91" s="52">
        <v>62.95365</v>
      </c>
      <c r="E91" s="52">
        <v>56.9886</v>
      </c>
      <c r="F91" s="52">
        <v>55.00025</v>
      </c>
    </row>
    <row r="95" ht="15" customHeight="1" spans="2:2">
      <c r="B95" s="43" t="s">
        <v>689</v>
      </c>
    </row>
    <row r="96" spans="2:4">
      <c r="B96" s="44">
        <v>2015</v>
      </c>
      <c r="C96" s="44"/>
      <c r="D96" s="44"/>
    </row>
    <row r="97" spans="2:4">
      <c r="B97" s="45" t="s">
        <v>12</v>
      </c>
      <c r="C97" s="46" t="s">
        <v>646</v>
      </c>
      <c r="D97" s="47">
        <v>4.25833800169013</v>
      </c>
    </row>
    <row r="98" spans="2:4">
      <c r="B98" s="45" t="s">
        <v>14</v>
      </c>
      <c r="C98" s="46" t="s">
        <v>658</v>
      </c>
      <c r="D98" s="47">
        <v>32.05</v>
      </c>
    </row>
    <row r="100" spans="2:6">
      <c r="B100" s="48" t="s">
        <v>679</v>
      </c>
      <c r="C100" s="48" t="s">
        <v>690</v>
      </c>
      <c r="D100" s="48"/>
      <c r="E100" s="48"/>
      <c r="F100" s="48"/>
    </row>
    <row r="101" spans="2:6">
      <c r="B101" s="48"/>
      <c r="C101" s="48"/>
      <c r="D101" s="48"/>
      <c r="E101" s="48"/>
      <c r="F101" s="48"/>
    </row>
    <row r="102" spans="2:6">
      <c r="B102" s="48"/>
      <c r="C102" s="48"/>
      <c r="D102" s="48"/>
      <c r="E102" s="48"/>
      <c r="F102" s="48"/>
    </row>
    <row r="103" spans="2:6">
      <c r="B103" s="49"/>
      <c r="C103" s="50">
        <v>2020</v>
      </c>
      <c r="D103" s="50">
        <v>2030</v>
      </c>
      <c r="E103" s="50">
        <v>2040</v>
      </c>
      <c r="F103" s="50">
        <v>2050</v>
      </c>
    </row>
    <row r="104" spans="2:6">
      <c r="B104" s="51">
        <v>0.05</v>
      </c>
      <c r="C104" s="52">
        <v>32.0549273903368</v>
      </c>
      <c r="D104" s="52">
        <v>32.0549273903368</v>
      </c>
      <c r="E104" s="52">
        <v>32.0549273903368</v>
      </c>
      <c r="F104" s="52">
        <v>32.0549273903368</v>
      </c>
    </row>
    <row r="105" spans="2:6">
      <c r="B105" s="51">
        <v>0.1</v>
      </c>
      <c r="C105" s="52">
        <v>32.0943465130313</v>
      </c>
      <c r="D105" s="52">
        <v>32.0943465130313</v>
      </c>
      <c r="E105" s="52">
        <v>32.0943465130313</v>
      </c>
      <c r="F105" s="52">
        <v>32.0943465130313</v>
      </c>
    </row>
    <row r="106" spans="2:6">
      <c r="B106" s="51">
        <v>0.2</v>
      </c>
      <c r="C106" s="52">
        <v>33.4158726013644</v>
      </c>
      <c r="D106" s="52">
        <v>33.2917023648767</v>
      </c>
      <c r="E106" s="52">
        <v>33.2917023648767</v>
      </c>
      <c r="F106" s="52">
        <v>33.2917023648767</v>
      </c>
    </row>
    <row r="107" spans="2:6">
      <c r="B107" s="51">
        <v>0.25</v>
      </c>
      <c r="C107" s="52">
        <v>35.393727082561</v>
      </c>
      <c r="D107" s="52">
        <v>34.8793075313977</v>
      </c>
      <c r="E107" s="52">
        <v>34.6220977558161</v>
      </c>
      <c r="F107" s="52">
        <v>34.6220977558161</v>
      </c>
    </row>
    <row r="108" spans="2:6">
      <c r="B108" s="51">
        <v>0.3</v>
      </c>
      <c r="C108" s="52">
        <v>40.2541049107928</v>
      </c>
      <c r="D108" s="52">
        <v>39.1602242560204</v>
      </c>
      <c r="E108" s="52">
        <v>38.0663436012481</v>
      </c>
      <c r="F108" s="52">
        <v>37.5194032738619</v>
      </c>
    </row>
    <row r="109" spans="2:6">
      <c r="B109" s="51">
        <v>0.35</v>
      </c>
      <c r="C109" s="52">
        <v>50.633425</v>
      </c>
      <c r="D109" s="52">
        <v>47.5361875</v>
      </c>
      <c r="E109" s="52">
        <v>46.503775</v>
      </c>
      <c r="F109" s="52">
        <v>44.43895</v>
      </c>
    </row>
    <row r="110" spans="2:6">
      <c r="B110" s="51">
        <v>0.4</v>
      </c>
      <c r="C110" s="52">
        <v>81.75875</v>
      </c>
      <c r="D110" s="52">
        <v>69.82865</v>
      </c>
      <c r="E110" s="52">
        <v>63.8636</v>
      </c>
      <c r="F110" s="52">
        <v>61.87525</v>
      </c>
    </row>
    <row r="114" spans="2:6">
      <c r="B114" s="43" t="s">
        <v>691</v>
      </c>
      <c r="E114" s="54"/>
      <c r="F114" s="54"/>
    </row>
    <row r="115" spans="2:4">
      <c r="B115" s="44">
        <v>2030</v>
      </c>
      <c r="C115" s="44"/>
      <c r="D115" s="44"/>
    </row>
    <row r="116" spans="2:4">
      <c r="B116" s="45" t="s">
        <v>12</v>
      </c>
      <c r="C116" s="46" t="s">
        <v>646</v>
      </c>
      <c r="D116" s="47">
        <v>2.51994631751468</v>
      </c>
    </row>
    <row r="117" ht="15" customHeight="1"/>
    <row r="118" spans="2:5">
      <c r="B118" s="48" t="s">
        <v>682</v>
      </c>
      <c r="C118" s="55" t="s">
        <v>692</v>
      </c>
      <c r="D118" s="56"/>
      <c r="E118" s="57"/>
    </row>
    <row r="119" spans="2:5">
      <c r="B119" s="48"/>
      <c r="C119" s="58"/>
      <c r="D119" s="59"/>
      <c r="E119" s="60"/>
    </row>
    <row r="120" spans="2:5">
      <c r="B120" s="48"/>
      <c r="C120" s="61"/>
      <c r="D120" s="62"/>
      <c r="E120" s="63"/>
    </row>
    <row r="121" spans="2:5">
      <c r="B121" s="49"/>
      <c r="C121" s="50">
        <v>2030</v>
      </c>
      <c r="D121" s="50">
        <v>2040</v>
      </c>
      <c r="E121" s="50">
        <v>2050</v>
      </c>
    </row>
    <row r="122" spans="2:5">
      <c r="B122" s="51">
        <v>0.05</v>
      </c>
      <c r="C122" s="52">
        <v>37.7450035023368</v>
      </c>
      <c r="D122" s="52">
        <v>34.4410805460891</v>
      </c>
      <c r="E122" s="52">
        <v>33.3836306266505</v>
      </c>
    </row>
    <row r="123" spans="2:5">
      <c r="B123" s="51">
        <v>0.08</v>
      </c>
      <c r="C123" s="52">
        <v>37.7844226250313</v>
      </c>
      <c r="D123" s="52">
        <v>34.4804996687836</v>
      </c>
      <c r="E123" s="52">
        <v>33.423049749345</v>
      </c>
    </row>
    <row r="124" spans="2:5">
      <c r="B124" s="51">
        <v>0.14</v>
      </c>
      <c r="C124" s="52">
        <v>38.9817784768768</v>
      </c>
      <c r="D124" s="52">
        <v>35.677855520629</v>
      </c>
      <c r="E124" s="52">
        <v>34.6204056011904</v>
      </c>
    </row>
    <row r="125" spans="2:5">
      <c r="B125" s="51">
        <v>0.15</v>
      </c>
      <c r="C125" s="52">
        <v>40.5693836433977</v>
      </c>
      <c r="D125" s="52">
        <v>37.0082509115684</v>
      </c>
      <c r="E125" s="52">
        <v>35.9508009921298</v>
      </c>
    </row>
    <row r="126" spans="2:5">
      <c r="B126" s="51">
        <v>0.15</v>
      </c>
      <c r="C126" s="52">
        <v>44.8503003680204</v>
      </c>
      <c r="D126" s="52">
        <v>40.4524967570003</v>
      </c>
      <c r="E126" s="52">
        <v>38.8481065101756</v>
      </c>
    </row>
    <row r="127" spans="2:5">
      <c r="B127" s="51">
        <v>0.175</v>
      </c>
      <c r="C127" s="52">
        <v>53.226263612</v>
      </c>
      <c r="D127" s="52">
        <v>48.8899281557523</v>
      </c>
      <c r="E127" s="52">
        <v>45.7676532363137</v>
      </c>
    </row>
    <row r="128" spans="2:5">
      <c r="B128" s="51">
        <v>0.2</v>
      </c>
      <c r="C128" s="52">
        <v>75.518726112</v>
      </c>
      <c r="D128" s="52">
        <v>66.2497531557523</v>
      </c>
      <c r="E128" s="52">
        <v>63.2039532363137</v>
      </c>
    </row>
    <row r="132" spans="2:2">
      <c r="B132" s="43" t="s">
        <v>693</v>
      </c>
    </row>
    <row r="133" spans="2:4">
      <c r="B133" s="44">
        <v>2030</v>
      </c>
      <c r="C133" s="44"/>
      <c r="D133" s="44"/>
    </row>
    <row r="134" spans="2:4">
      <c r="B134" s="45" t="s">
        <v>12</v>
      </c>
      <c r="C134" s="46" t="s">
        <v>646</v>
      </c>
      <c r="D134" s="47">
        <v>1.38283728102302</v>
      </c>
    </row>
    <row r="136" spans="2:5">
      <c r="B136" s="48" t="s">
        <v>27</v>
      </c>
      <c r="C136" s="55" t="s">
        <v>694</v>
      </c>
      <c r="D136" s="56"/>
      <c r="E136" s="57"/>
    </row>
    <row r="137" spans="2:5">
      <c r="B137" s="48"/>
      <c r="C137" s="58"/>
      <c r="D137" s="59"/>
      <c r="E137" s="60"/>
    </row>
    <row r="138" spans="2:5">
      <c r="B138" s="48"/>
      <c r="C138" s="61"/>
      <c r="D138" s="62"/>
      <c r="E138" s="63"/>
    </row>
    <row r="139" spans="2:5">
      <c r="B139" s="49"/>
      <c r="C139" s="50">
        <v>2030</v>
      </c>
      <c r="D139" s="50">
        <v>2040</v>
      </c>
      <c r="E139" s="50">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695</v>
      </c>
      <c r="C146" s="41"/>
      <c r="D146" s="41"/>
      <c r="E146" s="41"/>
      <c r="F146" s="42"/>
    </row>
    <row r="147" spans="2:2">
      <c r="B147" s="43" t="s">
        <v>696</v>
      </c>
    </row>
    <row r="148" spans="2:4">
      <c r="B148" s="44">
        <v>2015</v>
      </c>
      <c r="C148" s="44"/>
      <c r="D148" s="44"/>
    </row>
    <row r="149" spans="2:4">
      <c r="B149" s="45" t="s">
        <v>12</v>
      </c>
      <c r="C149" s="46" t="s">
        <v>646</v>
      </c>
      <c r="D149" s="47">
        <v>3.86183190615419</v>
      </c>
    </row>
    <row r="150" spans="2:4">
      <c r="B150" s="45" t="s">
        <v>14</v>
      </c>
      <c r="C150" s="46" t="s">
        <v>658</v>
      </c>
      <c r="D150" s="47">
        <v>17.0208333333333</v>
      </c>
    </row>
    <row r="152" spans="2:6">
      <c r="B152" s="48" t="s">
        <v>140</v>
      </c>
      <c r="C152" s="48" t="s">
        <v>697</v>
      </c>
      <c r="D152" s="48"/>
      <c r="E152" s="48"/>
      <c r="F152" s="48"/>
    </row>
    <row r="153" spans="2:6">
      <c r="B153" s="48"/>
      <c r="C153" s="48"/>
      <c r="D153" s="48"/>
      <c r="E153" s="48"/>
      <c r="F153" s="48"/>
    </row>
    <row r="154" spans="2:6">
      <c r="B154" s="48"/>
      <c r="C154" s="48"/>
      <c r="D154" s="48"/>
      <c r="E154" s="48"/>
      <c r="F154" s="48"/>
    </row>
    <row r="155" spans="2:6">
      <c r="B155" s="49"/>
      <c r="C155" s="50">
        <v>2020</v>
      </c>
      <c r="D155" s="50">
        <v>2030</v>
      </c>
      <c r="E155" s="50">
        <v>2040</v>
      </c>
      <c r="F155" s="50">
        <v>2050</v>
      </c>
    </row>
    <row r="156" spans="2:6">
      <c r="B156" s="51">
        <v>0.05</v>
      </c>
      <c r="C156" s="52">
        <v>17.0263353340965</v>
      </c>
      <c r="D156" s="52">
        <v>17.0263353340965</v>
      </c>
      <c r="E156" s="52">
        <v>17.0263353340965</v>
      </c>
      <c r="F156" s="52">
        <v>17.0263353340965</v>
      </c>
    </row>
    <row r="157" spans="2:6">
      <c r="B157" s="51">
        <v>0.1</v>
      </c>
      <c r="C157" s="52">
        <v>17.0486455983197</v>
      </c>
      <c r="D157" s="52">
        <v>17.0486455983197</v>
      </c>
      <c r="E157" s="52">
        <v>17.0486455983197</v>
      </c>
      <c r="F157" s="52">
        <v>17.0486455983197</v>
      </c>
    </row>
    <row r="158" spans="2:6">
      <c r="B158" s="51">
        <v>0.2</v>
      </c>
      <c r="C158" s="52">
        <v>17.4834069245865</v>
      </c>
      <c r="D158" s="52">
        <v>17.4413547799271</v>
      </c>
      <c r="E158" s="52">
        <v>17.4413547799271</v>
      </c>
      <c r="F158" s="52">
        <v>17.4413547799271</v>
      </c>
    </row>
    <row r="159" spans="2:6">
      <c r="B159" s="51">
        <v>0.25</v>
      </c>
      <c r="C159" s="52">
        <v>18.4874167131309</v>
      </c>
      <c r="D159" s="52">
        <v>18.2617885008544</v>
      </c>
      <c r="E159" s="52">
        <v>18.1489743947161</v>
      </c>
      <c r="F159" s="52">
        <v>18.1489743947161</v>
      </c>
    </row>
    <row r="160" spans="2:6">
      <c r="B160" s="51">
        <v>0.3</v>
      </c>
      <c r="C160" s="52">
        <v>21.9869913692979</v>
      </c>
      <c r="D160" s="52">
        <v>21.3248369645026</v>
      </c>
      <c r="E160" s="52">
        <v>20.6626825597073</v>
      </c>
      <c r="F160" s="52">
        <v>20.3316053573097</v>
      </c>
    </row>
    <row r="161" spans="2:6">
      <c r="B161" s="51">
        <v>0.35</v>
      </c>
      <c r="C161" s="52">
        <v>28.2415575061579</v>
      </c>
      <c r="D161" s="52">
        <v>26.3714368106871</v>
      </c>
      <c r="E161" s="52">
        <v>25.7480632455302</v>
      </c>
      <c r="F161" s="52">
        <v>24.5013161152163</v>
      </c>
    </row>
    <row r="162" spans="2:6">
      <c r="B162" s="51">
        <v>0.4</v>
      </c>
      <c r="C162" s="52">
        <v>49.5208333333333</v>
      </c>
      <c r="D162" s="52">
        <v>41.7208333333333</v>
      </c>
      <c r="E162" s="52">
        <v>37.8208333333333</v>
      </c>
      <c r="F162" s="52">
        <v>36.5208333333333</v>
      </c>
    </row>
    <row r="166" spans="2:2">
      <c r="B166" s="43" t="s">
        <v>698</v>
      </c>
    </row>
    <row r="167" spans="2:4">
      <c r="B167" s="44">
        <v>2015</v>
      </c>
      <c r="C167" s="44"/>
      <c r="D167" s="44"/>
    </row>
    <row r="168" spans="2:4">
      <c r="B168" s="45" t="s">
        <v>12</v>
      </c>
      <c r="C168" s="46" t="s">
        <v>646</v>
      </c>
      <c r="D168" s="47">
        <v>4.05360995319449</v>
      </c>
    </row>
    <row r="169" spans="2:4">
      <c r="B169" s="45" t="s">
        <v>14</v>
      </c>
      <c r="C169" s="46" t="s">
        <v>658</v>
      </c>
      <c r="D169" s="47">
        <v>20.9958333333333</v>
      </c>
    </row>
    <row r="171" spans="2:6">
      <c r="B171" s="48" t="s">
        <v>679</v>
      </c>
      <c r="C171" s="48" t="s">
        <v>699</v>
      </c>
      <c r="D171" s="48"/>
      <c r="E171" s="48"/>
      <c r="F171" s="48"/>
    </row>
    <row r="172" spans="2:6">
      <c r="B172" s="48"/>
      <c r="C172" s="48"/>
      <c r="D172" s="48"/>
      <c r="E172" s="48"/>
      <c r="F172" s="48"/>
    </row>
    <row r="173" spans="2:6">
      <c r="B173" s="48"/>
      <c r="C173" s="48"/>
      <c r="D173" s="48"/>
      <c r="E173" s="48"/>
      <c r="F173" s="48"/>
    </row>
    <row r="174" spans="2:6">
      <c r="B174" s="49"/>
      <c r="C174" s="50">
        <v>2020</v>
      </c>
      <c r="D174" s="50">
        <v>2030</v>
      </c>
      <c r="E174" s="50">
        <v>2040</v>
      </c>
      <c r="F174" s="50">
        <v>2050</v>
      </c>
    </row>
    <row r="175" spans="2:6">
      <c r="B175" s="51">
        <v>0.05</v>
      </c>
      <c r="C175" s="52">
        <v>21.0013353340965</v>
      </c>
      <c r="D175" s="52">
        <v>21.0013353340965</v>
      </c>
      <c r="E175" s="52">
        <v>21.0013353340965</v>
      </c>
      <c r="F175" s="52">
        <v>21.0013353340965</v>
      </c>
    </row>
    <row r="176" spans="2:6">
      <c r="B176" s="51">
        <v>0.1</v>
      </c>
      <c r="C176" s="52">
        <v>21.0236455983197</v>
      </c>
      <c r="D176" s="52">
        <v>21.0236455983197</v>
      </c>
      <c r="E176" s="52">
        <v>21.0236455983197</v>
      </c>
      <c r="F176" s="52">
        <v>21.0236455983197</v>
      </c>
    </row>
    <row r="177" spans="2:6">
      <c r="B177" s="51">
        <v>0.2</v>
      </c>
      <c r="C177" s="52">
        <v>21.4584069245865</v>
      </c>
      <c r="D177" s="52">
        <v>21.4163547799271</v>
      </c>
      <c r="E177" s="52">
        <v>21.4163547799271</v>
      </c>
      <c r="F177" s="52">
        <v>21.4163547799271</v>
      </c>
    </row>
    <row r="178" spans="2:6">
      <c r="B178" s="51">
        <v>0.25</v>
      </c>
      <c r="C178" s="52">
        <v>22.4624167131309</v>
      </c>
      <c r="D178" s="52">
        <v>22.2367885008544</v>
      </c>
      <c r="E178" s="52">
        <v>22.1239743947161</v>
      </c>
      <c r="F178" s="52">
        <v>22.1239743947161</v>
      </c>
    </row>
    <row r="179" spans="2:6">
      <c r="B179" s="51">
        <v>0.3</v>
      </c>
      <c r="C179" s="52">
        <v>25.9619913692979</v>
      </c>
      <c r="D179" s="52">
        <v>25.2998369645026</v>
      </c>
      <c r="E179" s="52">
        <v>24.6376825597073</v>
      </c>
      <c r="F179" s="52">
        <v>24.3066053573097</v>
      </c>
    </row>
    <row r="180" spans="2:6">
      <c r="B180" s="51">
        <v>0.35</v>
      </c>
      <c r="C180" s="52">
        <v>32.2165575061579</v>
      </c>
      <c r="D180" s="52">
        <v>30.3464368106871</v>
      </c>
      <c r="E180" s="52">
        <v>29.7230632455302</v>
      </c>
      <c r="F180" s="52">
        <v>28.4763161152163</v>
      </c>
    </row>
    <row r="181" spans="2:6">
      <c r="B181" s="51">
        <v>0.4</v>
      </c>
      <c r="C181" s="52">
        <v>53.4958333333333</v>
      </c>
      <c r="D181" s="52">
        <v>45.6958333333333</v>
      </c>
      <c r="E181" s="52">
        <v>41.7958333333333</v>
      </c>
      <c r="F181" s="52">
        <v>40.4958333333333</v>
      </c>
    </row>
    <row r="185" spans="2:2">
      <c r="B185" s="43" t="s">
        <v>700</v>
      </c>
    </row>
    <row r="186" spans="2:4">
      <c r="B186" s="44">
        <v>2030</v>
      </c>
      <c r="C186" s="44"/>
      <c r="D186" s="44"/>
    </row>
    <row r="187" spans="2:4">
      <c r="B187" s="45" t="s">
        <v>12</v>
      </c>
      <c r="C187" s="46" t="s">
        <v>646</v>
      </c>
      <c r="D187" s="47">
        <v>2.2845665699218</v>
      </c>
    </row>
    <row r="189" spans="2:5">
      <c r="B189" s="48" t="s">
        <v>682</v>
      </c>
      <c r="C189" s="55" t="s">
        <v>701</v>
      </c>
      <c r="D189" s="56"/>
      <c r="E189" s="57"/>
    </row>
    <row r="190" spans="2:5">
      <c r="B190" s="48"/>
      <c r="C190" s="58"/>
      <c r="D190" s="59"/>
      <c r="E190" s="60"/>
    </row>
    <row r="191" spans="2:5">
      <c r="B191" s="48"/>
      <c r="C191" s="61"/>
      <c r="D191" s="62"/>
      <c r="E191" s="63"/>
    </row>
    <row r="192" spans="2:5">
      <c r="B192" s="49"/>
      <c r="C192" s="50">
        <v>2030</v>
      </c>
      <c r="D192" s="50">
        <v>2040</v>
      </c>
      <c r="E192" s="50">
        <v>2050</v>
      </c>
    </row>
    <row r="193" spans="2:5">
      <c r="B193" s="51">
        <v>0.05</v>
      </c>
      <c r="C193" s="52">
        <v>29.5914114460965</v>
      </c>
      <c r="D193" s="52">
        <v>26.2874884898487</v>
      </c>
      <c r="E193" s="52">
        <v>25.2300385704102</v>
      </c>
    </row>
    <row r="194" spans="2:5">
      <c r="B194" s="51">
        <v>0.08</v>
      </c>
      <c r="C194" s="52">
        <v>29.6137217103197</v>
      </c>
      <c r="D194" s="52">
        <v>26.3097987540719</v>
      </c>
      <c r="E194" s="52">
        <v>25.2523488346334</v>
      </c>
    </row>
    <row r="195" spans="2:5">
      <c r="B195" s="51">
        <v>0.14</v>
      </c>
      <c r="C195" s="52">
        <v>30.0064308919271</v>
      </c>
      <c r="D195" s="52">
        <v>26.7025079356793</v>
      </c>
      <c r="E195" s="52">
        <v>25.6450580162408</v>
      </c>
    </row>
    <row r="196" spans="2:5">
      <c r="B196" s="51">
        <v>0.15</v>
      </c>
      <c r="C196" s="52">
        <v>30.8268646128544</v>
      </c>
      <c r="D196" s="52">
        <v>27.4101275504683</v>
      </c>
      <c r="E196" s="52">
        <v>26.3526776310298</v>
      </c>
    </row>
    <row r="197" spans="2:5">
      <c r="B197" s="51">
        <v>0.15</v>
      </c>
      <c r="C197" s="52">
        <v>33.8899130765026</v>
      </c>
      <c r="D197" s="52">
        <v>29.9238357154596</v>
      </c>
      <c r="E197" s="52">
        <v>28.5353085936234</v>
      </c>
    </row>
    <row r="198" spans="2:5">
      <c r="B198" s="51">
        <v>0.175</v>
      </c>
      <c r="C198" s="52">
        <v>38.9365129226871</v>
      </c>
      <c r="D198" s="52">
        <v>35.0092164012824</v>
      </c>
      <c r="E198" s="52">
        <v>32.70501935153</v>
      </c>
    </row>
    <row r="199" spans="2:5">
      <c r="B199" s="51">
        <v>0.2</v>
      </c>
      <c r="C199" s="52">
        <v>54.2859094453333</v>
      </c>
      <c r="D199" s="52">
        <v>47.0819864890856</v>
      </c>
      <c r="E199" s="52">
        <v>44.724536569647</v>
      </c>
    </row>
    <row r="203" spans="2:2">
      <c r="B203" s="43" t="s">
        <v>702</v>
      </c>
    </row>
    <row r="204" spans="2:4">
      <c r="B204" s="44">
        <v>2030</v>
      </c>
      <c r="C204" s="44"/>
      <c r="D204" s="44"/>
    </row>
    <row r="205" spans="2:4">
      <c r="B205" s="45" t="s">
        <v>12</v>
      </c>
      <c r="C205" s="46" t="s">
        <v>646</v>
      </c>
      <c r="D205" s="47">
        <v>1.31635463501922</v>
      </c>
    </row>
    <row r="207" spans="2:5">
      <c r="B207" s="48" t="s">
        <v>27</v>
      </c>
      <c r="C207" s="55" t="s">
        <v>703</v>
      </c>
      <c r="D207" s="56"/>
      <c r="E207" s="57"/>
    </row>
    <row r="208" spans="2:5">
      <c r="B208" s="48"/>
      <c r="C208" s="58"/>
      <c r="D208" s="59"/>
      <c r="E208" s="60"/>
    </row>
    <row r="209" spans="2:5">
      <c r="B209" s="48"/>
      <c r="C209" s="61"/>
      <c r="D209" s="62"/>
      <c r="E209" s="63"/>
    </row>
    <row r="210" spans="2:5">
      <c r="B210" s="49"/>
      <c r="C210" s="50">
        <v>2030</v>
      </c>
      <c r="D210" s="50">
        <v>2040</v>
      </c>
      <c r="E210" s="50">
        <v>2050</v>
      </c>
    </row>
    <row r="211" spans="2:5">
      <c r="B211" s="66">
        <v>150</v>
      </c>
      <c r="C211" s="67">
        <v>33.024771048976</v>
      </c>
      <c r="D211" s="67">
        <v>28.8650055422951</v>
      </c>
      <c r="E211" s="67">
        <v>27.9804535467882</v>
      </c>
    </row>
    <row r="212" spans="2:5">
      <c r="B212" s="66">
        <v>200</v>
      </c>
      <c r="C212" s="67">
        <v>35.6008740531201</v>
      </c>
      <c r="D212" s="67">
        <v>30.7622355870181</v>
      </c>
      <c r="E212" s="67">
        <v>29.6086437272034</v>
      </c>
    </row>
    <row r="213" spans="2:5">
      <c r="B213" s="66">
        <v>360</v>
      </c>
      <c r="C213" s="67">
        <v>42.2691155620903</v>
      </c>
      <c r="D213" s="67">
        <v>33.9234332844965</v>
      </c>
      <c r="E213" s="67">
        <v>31.1313833037258</v>
      </c>
    </row>
    <row r="217" spans="2:6">
      <c r="B217" s="40" t="s">
        <v>704</v>
      </c>
      <c r="C217" s="41"/>
      <c r="D217" s="41"/>
      <c r="E217" s="41"/>
      <c r="F217" s="42"/>
    </row>
    <row r="218" spans="2:2">
      <c r="B218" s="43" t="s">
        <v>705</v>
      </c>
    </row>
    <row r="219" spans="2:4">
      <c r="B219" s="44">
        <v>2015</v>
      </c>
      <c r="C219" s="44"/>
      <c r="D219" s="44"/>
    </row>
    <row r="220" spans="2:4">
      <c r="B220" s="45" t="s">
        <v>12</v>
      </c>
      <c r="C220" s="46" t="s">
        <v>646</v>
      </c>
      <c r="D220" s="47">
        <v>6.49602034731251</v>
      </c>
    </row>
    <row r="221" spans="2:4">
      <c r="B221" s="45" t="s">
        <v>14</v>
      </c>
      <c r="C221" s="46" t="s">
        <v>658</v>
      </c>
      <c r="D221" s="47">
        <v>29.9166666666667</v>
      </c>
    </row>
    <row r="223" spans="2:6">
      <c r="B223" s="48" t="s">
        <v>140</v>
      </c>
      <c r="C223" s="48" t="s">
        <v>706</v>
      </c>
      <c r="D223" s="48"/>
      <c r="E223" s="48"/>
      <c r="F223" s="48"/>
    </row>
    <row r="224" spans="2:6">
      <c r="B224" s="48"/>
      <c r="C224" s="48"/>
      <c r="D224" s="48"/>
      <c r="E224" s="48"/>
      <c r="F224" s="48"/>
    </row>
    <row r="225" spans="2:6">
      <c r="B225" s="48"/>
      <c r="C225" s="48"/>
      <c r="D225" s="48"/>
      <c r="E225" s="48"/>
      <c r="F225" s="48"/>
    </row>
    <row r="226" spans="2:6">
      <c r="B226" s="49"/>
      <c r="C226" s="50">
        <v>2020</v>
      </c>
      <c r="D226" s="50">
        <v>2030</v>
      </c>
      <c r="E226" s="50">
        <v>2040</v>
      </c>
      <c r="F226" s="50">
        <v>2050</v>
      </c>
    </row>
    <row r="227" spans="2:6">
      <c r="B227" s="51">
        <v>0.03</v>
      </c>
      <c r="C227" s="52">
        <v>29.9284342392602</v>
      </c>
      <c r="D227" s="52">
        <v>29.9284342392602</v>
      </c>
      <c r="E227" s="52">
        <v>29.9284342392602</v>
      </c>
      <c r="F227" s="52">
        <v>29.9284342392602</v>
      </c>
    </row>
    <row r="228" spans="2:6">
      <c r="B228" s="51">
        <v>0.05</v>
      </c>
      <c r="C228" s="52">
        <v>30.0815338641667</v>
      </c>
      <c r="D228" s="52">
        <v>30.0815338641667</v>
      </c>
      <c r="E228" s="52">
        <v>30.0815338641667</v>
      </c>
      <c r="F228" s="52">
        <v>30.0815338641667</v>
      </c>
    </row>
    <row r="229" spans="2:6">
      <c r="B229" s="51">
        <v>0.07</v>
      </c>
      <c r="C229" s="52">
        <v>31.2322807737309</v>
      </c>
      <c r="D229" s="52">
        <v>31.1126794912705</v>
      </c>
      <c r="E229" s="52">
        <v>31.1126794912705</v>
      </c>
      <c r="F229" s="52">
        <v>31.1126794912705</v>
      </c>
    </row>
    <row r="230" spans="2:6">
      <c r="B230" s="51">
        <v>0.1</v>
      </c>
      <c r="C230" s="52">
        <v>32.8945564977637</v>
      </c>
      <c r="D230" s="52">
        <v>32.4364196006718</v>
      </c>
      <c r="E230" s="52">
        <v>32.2073511521259</v>
      </c>
      <c r="F230" s="52">
        <v>32.2073511521259</v>
      </c>
    </row>
    <row r="231" spans="2:6">
      <c r="B231" s="51">
        <v>0.15</v>
      </c>
      <c r="C231" s="52">
        <v>38.1149058777839</v>
      </c>
      <c r="D231" s="52">
        <v>37.0218073163016</v>
      </c>
      <c r="E231" s="52">
        <v>35.9287087548193</v>
      </c>
      <c r="F231" s="52">
        <v>35.3821594740782</v>
      </c>
    </row>
    <row r="232" spans="2:6">
      <c r="B232" s="51">
        <v>0.2</v>
      </c>
      <c r="C232" s="52">
        <v>47.1966666666667</v>
      </c>
      <c r="D232" s="52">
        <v>44.3166666666667</v>
      </c>
      <c r="E232" s="52">
        <v>43.3566666666667</v>
      </c>
      <c r="F232" s="52">
        <v>41.4366666666667</v>
      </c>
    </row>
    <row r="233" spans="2:6">
      <c r="B233" s="51">
        <v>0.25</v>
      </c>
      <c r="C233" s="52">
        <v>78.9166666666667</v>
      </c>
      <c r="D233" s="52">
        <v>67.1566666666667</v>
      </c>
      <c r="E233" s="52">
        <v>61.2766666666667</v>
      </c>
      <c r="F233" s="52">
        <v>59.3166666666667</v>
      </c>
    </row>
    <row r="237" spans="2:2">
      <c r="B237" s="43" t="s">
        <v>707</v>
      </c>
    </row>
    <row r="238" spans="2:4">
      <c r="B238" s="44">
        <v>2015</v>
      </c>
      <c r="C238" s="44"/>
      <c r="D238" s="44"/>
    </row>
    <row r="239" spans="2:4">
      <c r="B239" s="45" t="s">
        <v>12</v>
      </c>
      <c r="C239" s="46" t="s">
        <v>646</v>
      </c>
      <c r="D239" s="47">
        <v>6.81861183394774</v>
      </c>
    </row>
    <row r="240" spans="2:4">
      <c r="B240" s="45" t="s">
        <v>14</v>
      </c>
      <c r="C240" s="46" t="s">
        <v>658</v>
      </c>
      <c r="D240" s="47">
        <v>36.1041666666667</v>
      </c>
    </row>
    <row r="242" spans="2:6">
      <c r="B242" s="48" t="s">
        <v>679</v>
      </c>
      <c r="C242" s="48" t="s">
        <v>708</v>
      </c>
      <c r="D242" s="48"/>
      <c r="E242" s="48"/>
      <c r="F242" s="48"/>
    </row>
    <row r="243" spans="2:6">
      <c r="B243" s="48"/>
      <c r="C243" s="48"/>
      <c r="D243" s="48"/>
      <c r="E243" s="48"/>
      <c r="F243" s="48"/>
    </row>
    <row r="244" spans="2:6">
      <c r="B244" s="48"/>
      <c r="C244" s="48"/>
      <c r="D244" s="48"/>
      <c r="E244" s="48"/>
      <c r="F244" s="48"/>
    </row>
    <row r="245" spans="2:6">
      <c r="B245" s="49"/>
      <c r="C245" s="50">
        <v>2020</v>
      </c>
      <c r="D245" s="50">
        <v>2030</v>
      </c>
      <c r="E245" s="50">
        <v>2040</v>
      </c>
      <c r="F245" s="50">
        <v>2050</v>
      </c>
    </row>
    <row r="246" spans="2:6">
      <c r="B246" s="51">
        <v>0.03</v>
      </c>
      <c r="C246" s="52">
        <v>36.1159342392602</v>
      </c>
      <c r="D246" s="52">
        <v>36.1159342392602</v>
      </c>
      <c r="E246" s="52">
        <v>36.1159342392602</v>
      </c>
      <c r="F246" s="52">
        <v>36.1159342392602</v>
      </c>
    </row>
    <row r="247" spans="2:6">
      <c r="B247" s="51">
        <v>0.05</v>
      </c>
      <c r="C247" s="52">
        <v>36.2690338641667</v>
      </c>
      <c r="D247" s="52">
        <v>36.2690338641667</v>
      </c>
      <c r="E247" s="52">
        <v>36.2690338641667</v>
      </c>
      <c r="F247" s="52">
        <v>36.2690338641667</v>
      </c>
    </row>
    <row r="248" spans="2:6">
      <c r="B248" s="51">
        <v>0.07</v>
      </c>
      <c r="C248" s="52">
        <v>37.4197807737309</v>
      </c>
      <c r="D248" s="52">
        <v>37.3001794912705</v>
      </c>
      <c r="E248" s="52">
        <v>37.3001794912705</v>
      </c>
      <c r="F248" s="52">
        <v>37.3001794912705</v>
      </c>
    </row>
    <row r="249" spans="2:6">
      <c r="B249" s="51">
        <v>0.1</v>
      </c>
      <c r="C249" s="52">
        <v>39.0820564977637</v>
      </c>
      <c r="D249" s="52">
        <v>38.6239196006718</v>
      </c>
      <c r="E249" s="52">
        <v>38.3948511521259</v>
      </c>
      <c r="F249" s="52">
        <v>38.3948511521259</v>
      </c>
    </row>
    <row r="250" spans="2:6">
      <c r="B250" s="51">
        <v>0.15</v>
      </c>
      <c r="C250" s="52">
        <v>44.3024058777839</v>
      </c>
      <c r="D250" s="52">
        <v>43.2093073163016</v>
      </c>
      <c r="E250" s="52">
        <v>42.1162087548193</v>
      </c>
      <c r="F250" s="52">
        <v>41.5696594740782</v>
      </c>
    </row>
    <row r="251" spans="2:6">
      <c r="B251" s="51">
        <v>0.2</v>
      </c>
      <c r="C251" s="52">
        <v>53.3841666666667</v>
      </c>
      <c r="D251" s="52">
        <v>50.5041666666667</v>
      </c>
      <c r="E251" s="52">
        <v>49.5441666666667</v>
      </c>
      <c r="F251" s="52">
        <v>47.6241666666667</v>
      </c>
    </row>
    <row r="252" spans="2:6">
      <c r="B252" s="51">
        <v>0.25</v>
      </c>
      <c r="C252" s="52">
        <v>85.1041666666667</v>
      </c>
      <c r="D252" s="52">
        <v>73.3441666666667</v>
      </c>
      <c r="E252" s="52">
        <v>67.4641666666667</v>
      </c>
      <c r="F252" s="52">
        <v>65.5041666666667</v>
      </c>
    </row>
    <row r="256" spans="2:2">
      <c r="B256" s="43" t="s">
        <v>709</v>
      </c>
    </row>
    <row r="257" spans="2:4">
      <c r="B257" s="44">
        <v>2030</v>
      </c>
      <c r="C257" s="44"/>
      <c r="D257" s="44"/>
    </row>
    <row r="258" spans="2:4">
      <c r="B258" s="45" t="s">
        <v>12</v>
      </c>
      <c r="C258" s="46" t="s">
        <v>646</v>
      </c>
      <c r="D258" s="47">
        <v>3.84288888891101</v>
      </c>
    </row>
    <row r="260" spans="2:5">
      <c r="B260" s="48" t="s">
        <v>682</v>
      </c>
      <c r="C260" s="55" t="s">
        <v>710</v>
      </c>
      <c r="D260" s="56"/>
      <c r="E260" s="57"/>
    </row>
    <row r="261" spans="2:5">
      <c r="B261" s="48"/>
      <c r="C261" s="58"/>
      <c r="D261" s="59"/>
      <c r="E261" s="60"/>
    </row>
    <row r="262" spans="2:5">
      <c r="B262" s="48"/>
      <c r="C262" s="61"/>
      <c r="D262" s="62"/>
      <c r="E262" s="63"/>
    </row>
    <row r="263" spans="2:5">
      <c r="B263" s="49"/>
      <c r="C263" s="50">
        <v>2030</v>
      </c>
      <c r="D263" s="50">
        <v>2040</v>
      </c>
      <c r="E263" s="50">
        <v>2050</v>
      </c>
    </row>
    <row r="264" spans="2:5">
      <c r="B264" s="51">
        <v>0.03</v>
      </c>
      <c r="C264" s="52">
        <v>42.4935103512602</v>
      </c>
      <c r="D264" s="52">
        <v>39.1895873950125</v>
      </c>
      <c r="E264" s="52">
        <v>38.1321374755739</v>
      </c>
    </row>
    <row r="265" spans="2:5">
      <c r="B265" s="51">
        <v>0.04</v>
      </c>
      <c r="C265" s="52">
        <v>42.6466099761667</v>
      </c>
      <c r="D265" s="52">
        <v>39.3426870199189</v>
      </c>
      <c r="E265" s="52">
        <v>38.2852371004804</v>
      </c>
    </row>
    <row r="266" spans="2:5">
      <c r="B266" s="51">
        <v>0.049</v>
      </c>
      <c r="C266" s="52">
        <v>43.6777556032705</v>
      </c>
      <c r="D266" s="52">
        <v>40.3738326470228</v>
      </c>
      <c r="E266" s="52">
        <v>39.3163827275842</v>
      </c>
    </row>
    <row r="267" spans="2:5">
      <c r="B267" s="51">
        <v>0.06</v>
      </c>
      <c r="C267" s="52">
        <v>45.0014957126718</v>
      </c>
      <c r="D267" s="52">
        <v>41.4685043078782</v>
      </c>
      <c r="E267" s="52">
        <v>40.4110543884396</v>
      </c>
    </row>
    <row r="268" spans="2:5">
      <c r="B268" s="51">
        <v>0.075</v>
      </c>
      <c r="C268" s="52">
        <v>49.5868834283016</v>
      </c>
      <c r="D268" s="52">
        <v>45.1898619105716</v>
      </c>
      <c r="E268" s="52">
        <v>43.5858627103919</v>
      </c>
    </row>
    <row r="269" spans="2:5">
      <c r="B269" s="51">
        <v>0.1</v>
      </c>
      <c r="C269" s="52">
        <v>56.8817427786667</v>
      </c>
      <c r="D269" s="52">
        <v>52.617819822419</v>
      </c>
      <c r="E269" s="52">
        <v>49.6403699029804</v>
      </c>
    </row>
    <row r="270" spans="2:5">
      <c r="B270" s="51">
        <v>0.125</v>
      </c>
      <c r="C270" s="52">
        <v>79.7217427786667</v>
      </c>
      <c r="D270" s="52">
        <v>70.537819822419</v>
      </c>
      <c r="E270" s="52">
        <v>67.5203699029804</v>
      </c>
    </row>
    <row r="274" spans="2:2">
      <c r="B274" s="43" t="s">
        <v>711</v>
      </c>
    </row>
    <row r="275" spans="2:4">
      <c r="B275" s="44">
        <v>2030</v>
      </c>
      <c r="C275" s="44"/>
      <c r="D275" s="44"/>
    </row>
    <row r="276" spans="2:4">
      <c r="B276" s="45" t="s">
        <v>12</v>
      </c>
      <c r="C276" s="46" t="s">
        <v>646</v>
      </c>
      <c r="D276" s="47">
        <v>2.21425134525847</v>
      </c>
    </row>
    <row r="278" spans="2:5">
      <c r="B278" s="48" t="s">
        <v>27</v>
      </c>
      <c r="C278" s="55" t="s">
        <v>712</v>
      </c>
      <c r="D278" s="56"/>
      <c r="E278" s="57"/>
    </row>
    <row r="279" spans="2:5">
      <c r="B279" s="48"/>
      <c r="C279" s="58"/>
      <c r="D279" s="59"/>
      <c r="E279" s="60"/>
    </row>
    <row r="280" spans="2:5">
      <c r="B280" s="48"/>
      <c r="C280" s="61"/>
      <c r="D280" s="62"/>
      <c r="E280" s="63"/>
    </row>
    <row r="281" spans="2:5">
      <c r="B281" s="49"/>
      <c r="C281" s="50">
        <v>2030</v>
      </c>
      <c r="D281" s="50">
        <v>2040</v>
      </c>
      <c r="E281" s="50">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52:F154"/>
    <mergeCell ref="C207:E209"/>
    <mergeCell ref="C118:E120"/>
    <mergeCell ref="C171:F173"/>
    <mergeCell ref="K4:T13"/>
    <mergeCell ref="C100:F102"/>
    <mergeCell ref="C47:E49"/>
    <mergeCell ref="C65:E67"/>
    <mergeCell ref="C10:F12"/>
    <mergeCell ref="C136:E138"/>
    <mergeCell ref="C29:F31"/>
    <mergeCell ref="C81:F83"/>
    <mergeCell ref="C278:E280"/>
    <mergeCell ref="C223:F225"/>
    <mergeCell ref="C260:E262"/>
    <mergeCell ref="C242:F244"/>
    <mergeCell ref="C189:E19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workbookViewId="0">
      <pane ySplit="2" topLeftCell="A3" activePane="bottomLeft" state="frozen"/>
      <selection/>
      <selection pane="bottomLeft" activeCell="B2" sqref="B2"/>
    </sheetView>
  </sheetViews>
  <sheetFormatPr defaultColWidth="9" defaultRowHeight="14.5"/>
  <cols>
    <col min="1" max="1" width="7.63636363636364" customWidth="1"/>
    <col min="2" max="2" width="59" customWidth="1"/>
    <col min="3" max="8" width="13.3636363636364" customWidth="1"/>
    <col min="9" max="10" width="8.27272727272727" customWidth="1"/>
    <col min="11" max="11" width="10.3636363636364" customWidth="1"/>
    <col min="12" max="17" width="8.27272727272727" customWidth="1"/>
  </cols>
  <sheetData>
    <row r="1" ht="33.75" customHeight="1" spans="3:8">
      <c r="C1" s="1" t="s">
        <v>10</v>
      </c>
      <c r="D1" s="2"/>
      <c r="E1" s="2"/>
      <c r="F1" s="2"/>
      <c r="G1" s="2"/>
      <c r="H1" s="3"/>
    </row>
    <row r="2" ht="26.25" customHeight="1" spans="3:23">
      <c r="C2" s="4" t="s">
        <v>9</v>
      </c>
      <c r="D2" s="5"/>
      <c r="E2" s="5"/>
      <c r="F2" s="5"/>
      <c r="G2" s="5"/>
      <c r="H2" s="5"/>
      <c r="W2" s="34"/>
    </row>
    <row r="3" ht="39" customHeight="1" spans="2:8">
      <c r="B3" s="6" t="s">
        <v>713</v>
      </c>
      <c r="C3" s="7" t="s">
        <v>714</v>
      </c>
      <c r="D3" s="7">
        <v>0</v>
      </c>
      <c r="E3" s="7">
        <v>0</v>
      </c>
      <c r="F3" s="7" t="s">
        <v>715</v>
      </c>
      <c r="G3" s="7">
        <v>0</v>
      </c>
      <c r="H3" s="7">
        <v>0</v>
      </c>
    </row>
    <row r="4" spans="2:8">
      <c r="B4" s="8"/>
      <c r="C4" s="9">
        <v>2015</v>
      </c>
      <c r="D4" s="9">
        <v>2030</v>
      </c>
      <c r="E4" s="9" t="s">
        <v>716</v>
      </c>
      <c r="F4" s="9">
        <v>2015</v>
      </c>
      <c r="G4" s="9">
        <v>2030</v>
      </c>
      <c r="H4" s="9" t="s">
        <v>716</v>
      </c>
    </row>
    <row r="5" ht="15.75" customHeight="1" spans="2:8">
      <c r="B5" s="10" t="s">
        <v>717</v>
      </c>
      <c r="C5" s="11">
        <v>114</v>
      </c>
      <c r="D5" s="11">
        <v>102</v>
      </c>
      <c r="E5" s="11">
        <v>91</v>
      </c>
      <c r="F5" s="11">
        <v>0.4</v>
      </c>
      <c r="G5" s="11">
        <v>0.4</v>
      </c>
      <c r="H5" s="11">
        <v>0.4</v>
      </c>
    </row>
    <row r="6" ht="15.75" customHeight="1" spans="2:8">
      <c r="B6" s="12" t="s">
        <v>718</v>
      </c>
      <c r="C6" s="13">
        <v>761</v>
      </c>
      <c r="D6" s="13">
        <v>635</v>
      </c>
      <c r="E6" s="13">
        <v>457</v>
      </c>
      <c r="F6" s="13">
        <v>23</v>
      </c>
      <c r="G6" s="13">
        <v>23</v>
      </c>
      <c r="H6" s="13">
        <v>23</v>
      </c>
    </row>
    <row r="7" ht="15.75" customHeight="1" spans="2:8">
      <c r="B7" s="10" t="s">
        <v>719</v>
      </c>
      <c r="C7" s="11">
        <v>855</v>
      </c>
      <c r="D7" s="11">
        <v>759</v>
      </c>
      <c r="E7" s="11">
        <v>568</v>
      </c>
      <c r="F7" s="11">
        <v>1.6</v>
      </c>
      <c r="G7" s="11">
        <v>1.4</v>
      </c>
      <c r="H7" s="11">
        <v>1.1</v>
      </c>
    </row>
    <row r="8" ht="15.75" customHeight="1" spans="2:8">
      <c r="B8" s="12" t="s">
        <v>720</v>
      </c>
      <c r="C8" s="14">
        <v>2652.5198938992</v>
      </c>
      <c r="D8" s="14">
        <v>2279.22175224045</v>
      </c>
      <c r="E8" s="14">
        <v>2111.76336052451</v>
      </c>
      <c r="F8" s="14">
        <v>106.100795755968</v>
      </c>
      <c r="G8" s="14">
        <v>91.1688700896178</v>
      </c>
      <c r="H8" s="14">
        <v>84.4705344209804</v>
      </c>
    </row>
    <row r="9" ht="15.75" customHeight="1" spans="2:8">
      <c r="B9" s="15" t="s">
        <v>721</v>
      </c>
      <c r="C9" s="16">
        <v>1666.66666666667</v>
      </c>
      <c r="D9" s="16">
        <v>1266.91266912669</v>
      </c>
      <c r="E9" s="16">
        <v>1190.49815498155</v>
      </c>
      <c r="F9" s="16">
        <v>66.6666666666667</v>
      </c>
      <c r="G9" s="16">
        <v>50.6765067650676</v>
      </c>
      <c r="H9" s="16">
        <v>47.619926199262</v>
      </c>
    </row>
    <row r="10" ht="15.75" customHeight="1" spans="2:8">
      <c r="B10" s="17" t="s">
        <v>722</v>
      </c>
      <c r="C10" s="18">
        <v>1055.55555555556</v>
      </c>
      <c r="D10" s="18">
        <v>802.222222222222</v>
      </c>
      <c r="E10" s="18">
        <v>688.222222222222</v>
      </c>
      <c r="F10" s="18">
        <v>42.2222222222222</v>
      </c>
      <c r="G10" s="18">
        <v>32.0888888888889</v>
      </c>
      <c r="H10" s="18">
        <v>27.5288888888889</v>
      </c>
    </row>
    <row r="11" spans="2:8">
      <c r="B11" s="19" t="s">
        <v>723</v>
      </c>
      <c r="C11" s="20">
        <v>285.454545454545</v>
      </c>
      <c r="D11" s="20">
        <v>226.069396266082</v>
      </c>
      <c r="E11" s="20">
        <v>200.125375263235</v>
      </c>
      <c r="F11" s="21">
        <v>4.56727272727273</v>
      </c>
      <c r="G11" s="21">
        <v>3.61711034025732</v>
      </c>
      <c r="H11" s="21">
        <v>3.20200600421175</v>
      </c>
    </row>
    <row r="12" spans="2:8">
      <c r="B12" s="22" t="s">
        <v>724</v>
      </c>
      <c r="C12" s="23">
        <v>900</v>
      </c>
      <c r="D12" s="23">
        <v>680.375387446444</v>
      </c>
      <c r="E12" s="23">
        <v>588.444975252103</v>
      </c>
      <c r="F12" s="24">
        <v>10.8</v>
      </c>
      <c r="G12" s="24">
        <v>8.16450464935733</v>
      </c>
      <c r="H12" s="24">
        <v>7.06133970302523</v>
      </c>
    </row>
    <row r="13" spans="2:8">
      <c r="B13" s="22" t="s">
        <v>725</v>
      </c>
      <c r="C13" s="23">
        <v>600</v>
      </c>
      <c r="D13" s="23">
        <v>425.044594838561</v>
      </c>
      <c r="E13" s="23">
        <v>354.091974213288</v>
      </c>
      <c r="F13" s="24">
        <v>7.2</v>
      </c>
      <c r="G13" s="24">
        <v>5.10053513806273</v>
      </c>
      <c r="H13" s="24">
        <v>4.24910369055946</v>
      </c>
    </row>
    <row r="14" spans="2:8">
      <c r="B14" s="25" t="s">
        <v>726</v>
      </c>
      <c r="C14" s="26">
        <v>657.142857142857</v>
      </c>
      <c r="D14" s="26">
        <v>470.961031831262</v>
      </c>
      <c r="E14" s="26">
        <v>395.092100510703</v>
      </c>
      <c r="F14" s="27">
        <v>7.88571428571429</v>
      </c>
      <c r="G14" s="27">
        <v>5.65153238197515</v>
      </c>
      <c r="H14" s="27">
        <v>4.74110520612843</v>
      </c>
    </row>
    <row r="15" spans="2:8">
      <c r="B15" s="28" t="s">
        <v>727</v>
      </c>
      <c r="C15" s="29">
        <v>89</v>
      </c>
      <c r="D15" s="29">
        <v>89</v>
      </c>
      <c r="E15" s="29">
        <v>89</v>
      </c>
      <c r="F15" s="30">
        <v>3.56</v>
      </c>
      <c r="G15" s="30">
        <v>3.56</v>
      </c>
      <c r="H15" s="30">
        <v>3.56</v>
      </c>
    </row>
    <row r="16" spans="2:8">
      <c r="B16" s="31" t="s">
        <v>728</v>
      </c>
      <c r="C16" s="32">
        <v>197</v>
      </c>
      <c r="D16" s="32">
        <v>197</v>
      </c>
      <c r="E16" s="32">
        <v>197</v>
      </c>
      <c r="F16" s="33">
        <v>7.88</v>
      </c>
      <c r="G16" s="33">
        <v>7.88</v>
      </c>
      <c r="H16" s="33">
        <v>7.88</v>
      </c>
    </row>
    <row r="17" spans="2:8">
      <c r="B17" s="28" t="s">
        <v>729</v>
      </c>
      <c r="C17" s="29">
        <v>120</v>
      </c>
      <c r="D17" s="29">
        <v>120</v>
      </c>
      <c r="E17" s="29">
        <v>120</v>
      </c>
      <c r="F17" s="29">
        <v>4.8</v>
      </c>
      <c r="G17" s="29">
        <v>4.8</v>
      </c>
      <c r="H17" s="29">
        <v>4.8</v>
      </c>
    </row>
  </sheetData>
  <mergeCells count="4">
    <mergeCell ref="C1:H1"/>
    <mergeCell ref="C2:H2"/>
    <mergeCell ref="C3:E3"/>
    <mergeCell ref="F3:H3"/>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DC26-DCEA-4E6B-A7AA-D29914C7725A}">
  <ds:schemaRefs/>
</ds:datastoreItem>
</file>

<file path=customXml/itemProps2.xml><?xml version="1.0" encoding="utf-8"?>
<ds:datastoreItem xmlns:ds="http://schemas.openxmlformats.org/officeDocument/2006/customXml" ds:itemID="{B9553712-D58A-4CDE-99C2-262D82C4B60C}">
  <ds:schemaRefs/>
</ds:datastoreItem>
</file>

<file path=customXml/itemProps3.xml><?xml version="1.0" encoding="utf-8"?>
<ds:datastoreItem xmlns:ds="http://schemas.openxmlformats.org/officeDocument/2006/customXml" ds:itemID="{DA1A3B8B-F4C8-4D02-99CE-92C1CB940F4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Discuss_log</vt:lpstr>
      <vt:lpstr>Cover</vt:lpstr>
      <vt:lpstr>Small_cars</vt:lpstr>
      <vt:lpstr>Large_cars</vt:lpstr>
      <vt:lpstr>Medium_cars</vt:lpstr>
      <vt:lpstr>LCVs</vt:lpstr>
      <vt:lpstr>Hdt</vt:lpstr>
      <vt:lpstr>2-3wheelers</vt:lpstr>
      <vt:lpstr>Bus_coach</vt:lpstr>
      <vt:lpstr>R_strategies_n_GridBattery</vt:lpstr>
      <vt:lpstr>Critical_materials</vt:lpstr>
      <vt:lpstr>R_strategies_RecycledEV_batt</vt:lpstr>
      <vt:lpstr>EnergyUseFromEverBatt_Min_</vt:lpstr>
      <vt:lpstr>Recyc_energy_use_Anna__SAME</vt:lpstr>
      <vt:lpstr>Recyc_energy_use_Anna_15per_mor</vt:lpstr>
      <vt:lpstr>Recyc_energy_use_Anna_15less</vt:lpstr>
      <vt:lpstr>LIB mass distribution</vt:lpstr>
      <vt:lpstr>HGVs&lt;16t</vt:lpstr>
      <vt:lpstr>HGVs&gt;16t</vt:lpstr>
      <vt:lpstr>Aviation</vt:lpstr>
      <vt:lpstr>Rail</vt:lpstr>
      <vt:lpstr>Inland_navigation</vt:lpstr>
      <vt:lpstr>Maritime</vt:lpstr>
      <vt:lpstr>Infrastructure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2026-01-28T22:15:16Z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03662DD572BD4B95A7FA5233D9224151_12</vt:lpwstr>
  </property>
  <property fmtid="{D5CDD505-2E9C-101B-9397-08002B2CF9AE}" pid="7" name="KSOProductBuildVer">
    <vt:lpwstr>1033-12.2.0.23196</vt:lpwstr>
  </property>
</Properties>
</file>