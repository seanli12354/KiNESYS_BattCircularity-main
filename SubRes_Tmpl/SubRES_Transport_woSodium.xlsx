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<sst xmlns="http://schemas.openxmlformats.org/spreadsheetml/2006/main" count="6752" uniqueCount="731">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</sst>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ahoma"/>
      <charset val="134"/>
    </font>
    <font>
      <sz val="9"/>
      <name val="Times New Roman"/>
      <charset val="134"/>
    </font>
    <font>
      <b/>
      <sz val="9"/>
      <name val="Times New Roman"/>
      <charset val="134"/>
    </font>
    <font>
      <sz val="9"/>
      <name val="Times New Roman"/>
      <charset val="0"/>
    </font>
    <font>
      <b/>
      <sz val="9"/>
      <name val="Tahoma"/>
      <charset val="1"/>
    </font>
    <font>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66" zoomScaleNormal="66" topLeftCell="AQ1" workbookViewId="0">
      <selection activeCell="H33" sqref="H3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J4" s="175" t="s">
        <v>204</v>
      </c>
      <c r="BK4" s="175" t="s">
        <v>73</v>
      </c>
      <c r="BR4" s="323" t="s">
        <v>205</v>
      </c>
      <c r="BS4" s="207" t="s">
        <v>206</v>
      </c>
      <c r="BT4" s="207" t="s">
        <v>205</v>
      </c>
    </row>
    <row r="5" ht="14.5" customHeight="1" spans="2:72">
      <c r="B5" s="322"/>
      <c r="C5" s="322"/>
      <c r="D5" s="322"/>
      <c r="E5" s="322"/>
      <c r="F5" s="322"/>
      <c r="G5" s="322"/>
      <c r="H5" s="322"/>
      <c r="I5" s="322"/>
      <c r="J5" s="322"/>
      <c r="P5" s="207"/>
      <c r="Q5" s="207"/>
      <c r="U5" s="207" t="s">
        <v>207</v>
      </c>
      <c r="V5" s="207" t="str">
        <f>AU5</f>
        <v>Tra_BEV_Batt_VtoG</v>
      </c>
      <c r="W5" s="207" t="s">
        <v>208</v>
      </c>
      <c r="X5" s="207" t="s">
        <v>209</v>
      </c>
      <c r="Y5" s="207" t="s">
        <v>210</v>
      </c>
      <c r="Z5" s="207" t="s">
        <v>211</v>
      </c>
      <c r="AA5" s="207"/>
      <c r="AB5" s="207"/>
      <c r="AC5" s="207"/>
      <c r="AD5" s="175" t="s">
        <v>212</v>
      </c>
      <c r="AE5" s="175" t="s">
        <v>213</v>
      </c>
      <c r="AI5" s="175" t="s">
        <v>214</v>
      </c>
      <c r="AL5" s="175" t="s">
        <v>215</v>
      </c>
      <c r="AU5" s="205" t="s">
        <v>216</v>
      </c>
      <c r="AV5" s="207" t="s">
        <v>217</v>
      </c>
      <c r="AW5" s="207" t="s">
        <v>218</v>
      </c>
      <c r="AX5" s="209"/>
      <c r="AY5" s="340">
        <v>50</v>
      </c>
      <c r="AZ5" s="207">
        <v>2030</v>
      </c>
      <c r="BA5" s="207">
        <f>0.95^2</f>
        <v>0.9025</v>
      </c>
      <c r="BB5" s="175">
        <v>12</v>
      </c>
      <c r="BC5" s="341">
        <v>31.54</v>
      </c>
      <c r="BD5" s="207">
        <v>1</v>
      </c>
      <c r="BE5" s="207">
        <f>AY5</f>
        <v>50</v>
      </c>
      <c r="BF5" s="175">
        <v>0.1</v>
      </c>
      <c r="BG5" s="175">
        <v>0.1</v>
      </c>
      <c r="BH5" s="322">
        <v>5</v>
      </c>
      <c r="BI5" s="175">
        <v>5</v>
      </c>
      <c r="BJ5" s="175">
        <v>1</v>
      </c>
      <c r="BK5" s="175">
        <v>1</v>
      </c>
      <c r="BR5" s="338">
        <v>1</v>
      </c>
      <c r="BS5" s="207" t="s">
        <v>219</v>
      </c>
      <c r="BT5" s="341">
        <f>24/6</f>
        <v>4</v>
      </c>
    </row>
    <row r="6" ht="14.5" customHeight="1" spans="2:71">
      <c r="B6" s="330" t="s">
        <v>76</v>
      </c>
      <c r="C6" s="331" t="s">
        <v>220</v>
      </c>
      <c r="D6" s="331" t="s">
        <v>213</v>
      </c>
      <c r="E6" s="331" t="s">
        <v>221</v>
      </c>
      <c r="F6" s="331" t="s">
        <v>222</v>
      </c>
      <c r="G6" s="331" t="s">
        <v>223</v>
      </c>
      <c r="H6" s="331" t="s">
        <v>224</v>
      </c>
      <c r="I6" s="331" t="s">
        <v>225</v>
      </c>
      <c r="J6" s="331" t="s">
        <v>226</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227</v>
      </c>
      <c r="Z6" s="207" t="s">
        <v>211</v>
      </c>
      <c r="AA6" s="207"/>
      <c r="AB6" s="207"/>
      <c r="AC6" s="207"/>
      <c r="AE6" s="175" t="s">
        <v>221</v>
      </c>
      <c r="AI6" s="175" t="s">
        <v>214</v>
      </c>
      <c r="AL6" s="175" t="s">
        <v>215</v>
      </c>
      <c r="AN6" s="223" t="s">
        <v>228</v>
      </c>
      <c r="AO6" s="223" t="s">
        <v>229</v>
      </c>
      <c r="AP6" s="223" t="s">
        <v>230</v>
      </c>
      <c r="AQ6" s="223" t="s">
        <v>231</v>
      </c>
      <c r="BS6" s="175" t="s">
        <v>232</v>
      </c>
    </row>
    <row r="7" ht="14.5" customHeight="1" spans="2:43">
      <c r="B7" s="332" t="s">
        <v>233</v>
      </c>
      <c r="C7" s="331" t="s">
        <v>234</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227</v>
      </c>
      <c r="Z7" s="207" t="s">
        <v>211</v>
      </c>
      <c r="AA7" s="207"/>
      <c r="AB7" s="207"/>
      <c r="AC7" s="207"/>
      <c r="AE7" s="175" t="s">
        <v>222</v>
      </c>
      <c r="AI7" s="175" t="s">
        <v>214</v>
      </c>
      <c r="AL7" s="175" t="s">
        <v>215</v>
      </c>
      <c r="AN7" s="223" t="s">
        <v>235</v>
      </c>
      <c r="AO7" s="223" t="s">
        <v>236</v>
      </c>
      <c r="AP7" s="223" t="s">
        <v>237</v>
      </c>
      <c r="AQ7" s="223" t="s">
        <v>238</v>
      </c>
    </row>
    <row r="8" ht="18" customHeight="1" spans="2:43">
      <c r="B8" s="331" t="s">
        <v>239</v>
      </c>
      <c r="C8" s="331" t="s">
        <v>240</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227</v>
      </c>
      <c r="Z8" s="207" t="s">
        <v>211</v>
      </c>
      <c r="AA8" s="219"/>
      <c r="AB8" s="219"/>
      <c r="AC8" s="219"/>
      <c r="AE8" s="175" t="s">
        <v>223</v>
      </c>
      <c r="AI8" s="175" t="s">
        <v>214</v>
      </c>
      <c r="AL8" s="175" t="s">
        <v>215</v>
      </c>
      <c r="AN8" s="223" t="s">
        <v>241</v>
      </c>
      <c r="AO8" s="223" t="s">
        <v>242</v>
      </c>
      <c r="AP8" s="223" t="s">
        <v>243</v>
      </c>
      <c r="AQ8" s="223" t="s">
        <v>244</v>
      </c>
    </row>
    <row r="9" ht="18" spans="2:59">
      <c r="B9" s="331" t="s">
        <v>245</v>
      </c>
      <c r="C9" s="331" t="s">
        <v>246</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227</v>
      </c>
      <c r="Z9" s="207" t="s">
        <v>211</v>
      </c>
      <c r="AA9" s="219"/>
      <c r="AB9" s="219"/>
      <c r="AC9" s="219"/>
      <c r="AE9" s="175" t="s">
        <v>224</v>
      </c>
      <c r="AI9" s="175" t="s">
        <v>214</v>
      </c>
      <c r="AL9" s="175" t="s">
        <v>215</v>
      </c>
      <c r="AN9" s="223" t="s">
        <v>247</v>
      </c>
      <c r="AO9" s="223" t="s">
        <v>248</v>
      </c>
      <c r="AP9" s="223" t="s">
        <v>249</v>
      </c>
      <c r="AQ9" s="223" t="s">
        <v>250</v>
      </c>
      <c r="AU9" s="205"/>
      <c r="AV9" s="205"/>
      <c r="AW9" s="205"/>
      <c r="AX9" s="205"/>
      <c r="AY9" s="205"/>
      <c r="AZ9" s="205" t="s">
        <v>251</v>
      </c>
      <c r="BA9" s="205"/>
      <c r="BB9" s="205"/>
      <c r="BC9" s="205"/>
      <c r="BD9" s="205"/>
      <c r="BE9" s="205"/>
      <c r="BF9" s="205"/>
      <c r="BG9" s="205"/>
    </row>
    <row r="10" ht="14.5" spans="2:59">
      <c r="B10" s="331" t="s">
        <v>252</v>
      </c>
      <c r="C10" s="331" t="s">
        <v>253</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227</v>
      </c>
      <c r="Z10" s="207" t="s">
        <v>211</v>
      </c>
      <c r="AA10" s="209"/>
      <c r="AB10" s="209"/>
      <c r="AC10" s="209"/>
      <c r="AE10" s="175" t="s">
        <v>225</v>
      </c>
      <c r="AI10" s="175" t="s">
        <v>214</v>
      </c>
      <c r="AL10" s="175" t="s">
        <v>215</v>
      </c>
      <c r="AN10" s="223" t="s">
        <v>254</v>
      </c>
      <c r="AO10" s="223" t="s">
        <v>255</v>
      </c>
      <c r="AP10" s="223" t="s">
        <v>256</v>
      </c>
      <c r="AQ10" s="223" t="s">
        <v>257</v>
      </c>
      <c r="AU10" s="205" t="s">
        <v>79</v>
      </c>
      <c r="AV10" s="205" t="s">
        <v>191</v>
      </c>
      <c r="AW10" s="205" t="s">
        <v>76</v>
      </c>
      <c r="AX10" s="205" t="s">
        <v>192</v>
      </c>
      <c r="AY10" s="205" t="s">
        <v>206</v>
      </c>
      <c r="AZ10" s="205" t="s">
        <v>258</v>
      </c>
      <c r="BA10" s="205">
        <v>2030</v>
      </c>
      <c r="BB10" s="205">
        <v>0</v>
      </c>
      <c r="BC10" s="205" t="s">
        <v>195</v>
      </c>
      <c r="BD10" s="342" t="s">
        <v>196</v>
      </c>
      <c r="BE10" s="205" t="s">
        <v>205</v>
      </c>
      <c r="BF10" s="205" t="s">
        <v>197</v>
      </c>
      <c r="BG10" s="205" t="s">
        <v>198</v>
      </c>
    </row>
    <row r="11" ht="14.5" spans="2:59">
      <c r="B11" s="331" t="s">
        <v>259</v>
      </c>
      <c r="C11" s="331" t="s">
        <v>260</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227</v>
      </c>
      <c r="Z11" s="207" t="s">
        <v>211</v>
      </c>
      <c r="AE11" s="175" t="s">
        <v>226</v>
      </c>
      <c r="AI11" s="175" t="s">
        <v>214</v>
      </c>
      <c r="AL11" s="175" t="s">
        <v>215</v>
      </c>
      <c r="AN11" s="223" t="s">
        <v>261</v>
      </c>
      <c r="AO11" s="223" t="s">
        <v>262</v>
      </c>
      <c r="AP11" s="223" t="s">
        <v>263</v>
      </c>
      <c r="AQ11" s="223" t="s">
        <v>264</v>
      </c>
      <c r="AU11" s="205">
        <f>BN11</f>
        <v>0</v>
      </c>
      <c r="AV11" s="205" t="s">
        <v>265</v>
      </c>
      <c r="AW11" s="205" t="s">
        <v>218</v>
      </c>
      <c r="AX11" s="339"/>
      <c r="AY11" s="205" t="s">
        <v>219</v>
      </c>
      <c r="AZ11" s="205"/>
      <c r="BA11" s="205"/>
      <c r="BB11" s="205"/>
      <c r="BC11" s="205">
        <f>0.95^2</f>
        <v>0.9025</v>
      </c>
      <c r="BD11" s="342">
        <v>12</v>
      </c>
      <c r="BE11" s="343">
        <f>24/6</f>
        <v>4</v>
      </c>
      <c r="BF11" s="343">
        <v>1.314</v>
      </c>
      <c r="BG11" s="205">
        <v>1</v>
      </c>
    </row>
    <row r="12" ht="14.5" spans="2:59">
      <c r="B12" s="331" t="s">
        <v>266</v>
      </c>
      <c r="C12" s="331" t="s">
        <v>267</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227</v>
      </c>
      <c r="Z12" s="207" t="s">
        <v>211</v>
      </c>
      <c r="AE12" s="175" t="s">
        <v>268</v>
      </c>
      <c r="AI12" s="175" t="s">
        <v>214</v>
      </c>
      <c r="AL12" s="175" t="s">
        <v>215</v>
      </c>
      <c r="AN12" s="223" t="s">
        <v>269</v>
      </c>
      <c r="AO12" s="223" t="s">
        <v>270</v>
      </c>
      <c r="AP12" s="223" t="s">
        <v>271</v>
      </c>
      <c r="AQ12" s="223" t="s">
        <v>264</v>
      </c>
      <c r="AU12" s="205"/>
      <c r="AV12" s="205"/>
      <c r="AW12" s="205"/>
      <c r="AX12" s="339"/>
      <c r="AY12" s="205" t="s">
        <v>232</v>
      </c>
      <c r="AZ12" s="205"/>
      <c r="BA12" s="205"/>
      <c r="BB12" s="205"/>
      <c r="BC12" s="205"/>
      <c r="BD12" s="342"/>
      <c r="BE12" s="344">
        <v>1</v>
      </c>
      <c r="BF12" s="205"/>
      <c r="BG12" s="205"/>
    </row>
    <row r="13" ht="14.5" spans="2:59">
      <c r="B13" s="331" t="s">
        <v>272</v>
      </c>
      <c r="C13" s="331" t="s">
        <v>273</v>
      </c>
      <c r="D13" s="331">
        <v>0.1</v>
      </c>
      <c r="E13" s="331">
        <v>0.6</v>
      </c>
      <c r="F13" s="331">
        <v>0.075</v>
      </c>
      <c r="G13" s="331">
        <v>0.07</v>
      </c>
      <c r="H13" s="331">
        <v>2.921</v>
      </c>
      <c r="I13" s="331">
        <v>0.549</v>
      </c>
      <c r="J13" s="331">
        <v>0.961</v>
      </c>
      <c r="U13" s="213" t="s">
        <v>274</v>
      </c>
      <c r="V13" s="214" t="s">
        <v>275</v>
      </c>
      <c r="W13" s="214"/>
      <c r="X13" s="214" t="s">
        <v>215</v>
      </c>
      <c r="Y13" s="214" t="s">
        <v>276</v>
      </c>
      <c r="Z13" s="214"/>
      <c r="AA13" s="214"/>
      <c r="AE13" s="175" t="s">
        <v>277</v>
      </c>
      <c r="AI13" s="175" t="s">
        <v>214</v>
      </c>
      <c r="AL13" s="175" t="s">
        <v>215</v>
      </c>
      <c r="AU13" s="205"/>
      <c r="AV13" s="205"/>
      <c r="AW13" s="205" t="s">
        <v>217</v>
      </c>
      <c r="AX13" s="339"/>
      <c r="AY13" s="205"/>
      <c r="AZ13" s="205"/>
      <c r="BA13" s="205"/>
      <c r="BB13" s="205"/>
      <c r="BC13" s="205"/>
      <c r="BD13" s="342"/>
      <c r="BE13" s="205"/>
      <c r="BF13" s="205"/>
      <c r="BG13" s="205"/>
    </row>
    <row r="14" ht="14.5" spans="21:59">
      <c r="U14" s="214"/>
      <c r="V14" s="214" t="s">
        <v>278</v>
      </c>
      <c r="W14" s="214"/>
      <c r="X14" s="214" t="s">
        <v>215</v>
      </c>
      <c r="Y14" s="214" t="s">
        <v>276</v>
      </c>
      <c r="Z14" s="214"/>
      <c r="AA14" s="214"/>
      <c r="AE14" s="175" t="s">
        <v>279</v>
      </c>
      <c r="AI14" s="175" t="s">
        <v>214</v>
      </c>
      <c r="AL14" s="175" t="s">
        <v>215</v>
      </c>
      <c r="AN14"/>
      <c r="AO14"/>
      <c r="AP14"/>
      <c r="AQ14"/>
      <c r="AU14" s="339"/>
      <c r="AV14" s="339"/>
      <c r="AW14" s="339"/>
      <c r="AX14" s="206"/>
      <c r="AY14" s="206"/>
      <c r="AZ14" s="206"/>
      <c r="BA14" s="206"/>
      <c r="BB14" s="206"/>
      <c r="BC14" s="206"/>
      <c r="BD14" s="342"/>
      <c r="BE14" s="206"/>
      <c r="BF14" s="206"/>
      <c r="BG14" s="206"/>
    </row>
    <row r="15" ht="14.5" spans="21:59">
      <c r="U15" s="214"/>
      <c r="V15" s="214" t="s">
        <v>280</v>
      </c>
      <c r="W15" s="214"/>
      <c r="X15" s="214" t="s">
        <v>215</v>
      </c>
      <c r="Y15" s="214" t="s">
        <v>276</v>
      </c>
      <c r="Z15" s="214"/>
      <c r="AA15" s="214"/>
      <c r="AE15" s="175" t="s">
        <v>281</v>
      </c>
      <c r="AI15" s="175" t="s">
        <v>214</v>
      </c>
      <c r="AL15" s="175" t="s">
        <v>215</v>
      </c>
      <c r="AN15"/>
      <c r="AO15"/>
      <c r="AP15"/>
      <c r="AQ15"/>
      <c r="AU15" s="339"/>
      <c r="AV15" s="339"/>
      <c r="AW15" s="339"/>
      <c r="AX15" s="206"/>
      <c r="AY15" s="206"/>
      <c r="AZ15" s="206"/>
      <c r="BA15" s="206"/>
      <c r="BB15" s="206"/>
      <c r="BC15" s="206"/>
      <c r="BD15" s="342"/>
      <c r="BE15" s="206"/>
      <c r="BF15" s="206"/>
      <c r="BG15" s="206"/>
    </row>
    <row r="16" ht="14.5" spans="3:59">
      <c r="C16" s="175" t="s">
        <v>282</v>
      </c>
      <c r="U16" s="214"/>
      <c r="V16" s="214" t="s">
        <v>283</v>
      </c>
      <c r="W16" s="214"/>
      <c r="X16" s="214" t="s">
        <v>215</v>
      </c>
      <c r="Y16" s="214" t="s">
        <v>276</v>
      </c>
      <c r="Z16" s="214"/>
      <c r="AA16" s="214"/>
      <c r="AE16" s="175" t="s">
        <v>284</v>
      </c>
      <c r="AI16" s="175" t="s">
        <v>214</v>
      </c>
      <c r="AL16" s="175" t="s">
        <v>215</v>
      </c>
      <c r="AU16" s="339"/>
      <c r="AV16" s="339"/>
      <c r="AW16" s="339"/>
      <c r="AX16" s="206"/>
      <c r="AY16" s="206"/>
      <c r="AZ16" s="206"/>
      <c r="BA16" s="206"/>
      <c r="BB16" s="206"/>
      <c r="BC16" s="339"/>
      <c r="BD16" s="342"/>
      <c r="BE16" s="339"/>
      <c r="BF16" s="339"/>
      <c r="BG16" s="339"/>
    </row>
    <row r="17" spans="21:38">
      <c r="U17" s="214"/>
      <c r="V17" s="214" t="s">
        <v>285</v>
      </c>
      <c r="W17" s="214"/>
      <c r="X17" s="214" t="s">
        <v>215</v>
      </c>
      <c r="Y17" s="214" t="s">
        <v>276</v>
      </c>
      <c r="Z17" s="214"/>
      <c r="AA17" s="214"/>
      <c r="AE17" s="175" t="s">
        <v>286</v>
      </c>
      <c r="AI17" s="175" t="s">
        <v>214</v>
      </c>
      <c r="AL17" s="175" t="s">
        <v>215</v>
      </c>
    </row>
    <row r="18" spans="21:38">
      <c r="U18" s="214"/>
      <c r="V18" s="214" t="s">
        <v>287</v>
      </c>
      <c r="W18" s="214"/>
      <c r="X18" s="214" t="s">
        <v>215</v>
      </c>
      <c r="Y18" s="214" t="s">
        <v>276</v>
      </c>
      <c r="Z18" s="214"/>
      <c r="AA18" s="214"/>
      <c r="AE18" s="175" t="s">
        <v>288</v>
      </c>
      <c r="AI18" s="175" t="s">
        <v>214</v>
      </c>
      <c r="AL18" s="175" t="s">
        <v>215</v>
      </c>
    </row>
    <row r="19" spans="21:38">
      <c r="U19" s="214"/>
      <c r="V19" s="214" t="s">
        <v>289</v>
      </c>
      <c r="W19" s="214"/>
      <c r="X19" s="214" t="s">
        <v>215</v>
      </c>
      <c r="Y19" s="214" t="s">
        <v>276</v>
      </c>
      <c r="Z19" s="214"/>
      <c r="AA19" s="214"/>
      <c r="AE19" s="175" t="s">
        <v>290</v>
      </c>
      <c r="AI19" s="175" t="s">
        <v>214</v>
      </c>
      <c r="AL19" s="175" t="s">
        <v>291</v>
      </c>
    </row>
    <row r="20" spans="1:38">
      <c r="A20" s="322"/>
      <c r="B20" s="322"/>
      <c r="C20" s="322" t="s">
        <v>292</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293</v>
      </c>
      <c r="AI20" s="175" t="s">
        <v>214</v>
      </c>
      <c r="AL20" s="175" t="s">
        <v>291</v>
      </c>
    </row>
    <row r="21" ht="14.5" spans="1:38">
      <c r="A21" s="322"/>
      <c r="B21" s="323" t="s">
        <v>192</v>
      </c>
      <c r="C21" s="322" t="s">
        <v>220</v>
      </c>
      <c r="D21" s="324" t="s">
        <v>233</v>
      </c>
      <c r="E21" s="322" t="s">
        <v>239</v>
      </c>
      <c r="F21" s="322" t="s">
        <v>245</v>
      </c>
      <c r="G21" s="322" t="s">
        <v>252</v>
      </c>
      <c r="H21" s="322" t="s">
        <v>259</v>
      </c>
      <c r="I21" s="322" t="s">
        <v>266</v>
      </c>
      <c r="J21" s="322" t="s">
        <v>272</v>
      </c>
      <c r="K21" s="336" t="s">
        <v>196</v>
      </c>
      <c r="L21" s="323" t="s">
        <v>191</v>
      </c>
      <c r="M21" s="323" t="s">
        <v>76</v>
      </c>
      <c r="N21" s="322" t="s">
        <v>195</v>
      </c>
      <c r="O21" s="322" t="s">
        <v>294</v>
      </c>
      <c r="P21" s="323" t="s">
        <v>295</v>
      </c>
      <c r="Q21" s="323" t="s">
        <v>296</v>
      </c>
      <c r="R21" s="322" t="s">
        <v>198</v>
      </c>
      <c r="S21" s="322" t="s">
        <v>297</v>
      </c>
      <c r="U21" s="214"/>
      <c r="V21" s="214" t="s">
        <v>174</v>
      </c>
      <c r="W21" s="214"/>
      <c r="X21" s="214"/>
      <c r="Y21" s="214"/>
      <c r="Z21" s="214"/>
      <c r="AA21" s="214"/>
      <c r="AB21" s="197"/>
      <c r="AE21" s="175" t="s">
        <v>298</v>
      </c>
      <c r="AI21" s="175" t="s">
        <v>214</v>
      </c>
      <c r="AL21" s="175" t="s">
        <v>291</v>
      </c>
    </row>
    <row r="22" ht="14.5" spans="1:38">
      <c r="A22" s="333"/>
      <c r="B22" s="324" t="s">
        <v>299</v>
      </c>
      <c r="C22" s="322" t="s">
        <v>300</v>
      </c>
      <c r="D22" s="322">
        <v>1</v>
      </c>
      <c r="E22" s="322">
        <v>0</v>
      </c>
      <c r="F22" s="322">
        <v>0</v>
      </c>
      <c r="G22" s="322">
        <v>0</v>
      </c>
      <c r="H22" s="322">
        <v>0</v>
      </c>
      <c r="I22" s="322">
        <v>0</v>
      </c>
      <c r="J22" s="322">
        <v>0</v>
      </c>
      <c r="K22" s="337">
        <v>12</v>
      </c>
      <c r="L22" s="322" t="s">
        <v>265</v>
      </c>
      <c r="M22" s="322" t="s">
        <v>217</v>
      </c>
      <c r="N22" s="322">
        <v>0.9</v>
      </c>
      <c r="O22" s="322">
        <v>1.314</v>
      </c>
      <c r="P22" s="338">
        <v>1</v>
      </c>
      <c r="Q22" s="322">
        <v>1</v>
      </c>
      <c r="R22" s="322">
        <v>1</v>
      </c>
      <c r="S22" s="337">
        <v>4000</v>
      </c>
      <c r="U22" s="214"/>
      <c r="V22" s="214" t="s">
        <v>220</v>
      </c>
      <c r="W22" s="214" t="s">
        <v>301</v>
      </c>
      <c r="X22" s="214" t="s">
        <v>302</v>
      </c>
      <c r="Y22" s="214" t="s">
        <v>183</v>
      </c>
      <c r="AA22" s="214"/>
      <c r="AB22" s="197"/>
      <c r="AE22" s="175" t="s">
        <v>303</v>
      </c>
      <c r="AI22" s="175" t="s">
        <v>214</v>
      </c>
      <c r="AL22" s="175" t="s">
        <v>291</v>
      </c>
    </row>
    <row r="23" ht="14.5" spans="1:38">
      <c r="A23" s="333"/>
      <c r="B23" s="324" t="s">
        <v>299</v>
      </c>
      <c r="C23" s="322" t="s">
        <v>304</v>
      </c>
      <c r="D23" s="322">
        <v>0</v>
      </c>
      <c r="E23" s="322">
        <v>1</v>
      </c>
      <c r="F23" s="322">
        <v>0</v>
      </c>
      <c r="G23" s="322">
        <v>0</v>
      </c>
      <c r="H23" s="322">
        <v>0</v>
      </c>
      <c r="I23" s="322">
        <v>0</v>
      </c>
      <c r="J23" s="322">
        <v>0</v>
      </c>
      <c r="K23" s="337">
        <v>6</v>
      </c>
      <c r="L23" s="322" t="s">
        <v>265</v>
      </c>
      <c r="M23" s="322" t="s">
        <v>217</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291</v>
      </c>
    </row>
    <row r="24" ht="14.5" spans="1:38">
      <c r="A24" s="333"/>
      <c r="B24" s="324" t="s">
        <v>299</v>
      </c>
      <c r="C24" s="322" t="s">
        <v>307</v>
      </c>
      <c r="D24" s="322">
        <v>0</v>
      </c>
      <c r="E24" s="322">
        <v>0</v>
      </c>
      <c r="F24" s="322">
        <v>1</v>
      </c>
      <c r="G24" s="322">
        <v>0</v>
      </c>
      <c r="H24" s="322">
        <v>0</v>
      </c>
      <c r="I24" s="322">
        <v>0</v>
      </c>
      <c r="J24" s="322">
        <v>0</v>
      </c>
      <c r="K24" s="336">
        <v>9</v>
      </c>
      <c r="L24" s="322" t="s">
        <v>265</v>
      </c>
      <c r="M24" s="322" t="s">
        <v>217</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291</v>
      </c>
    </row>
    <row r="25" ht="14.5" spans="1:38">
      <c r="A25" s="333"/>
      <c r="B25" s="324" t="s">
        <v>299</v>
      </c>
      <c r="C25" s="322" t="s">
        <v>309</v>
      </c>
      <c r="D25" s="322">
        <v>0</v>
      </c>
      <c r="E25" s="322">
        <v>0</v>
      </c>
      <c r="F25" s="322">
        <v>0</v>
      </c>
      <c r="G25" s="322">
        <v>1</v>
      </c>
      <c r="H25" s="322">
        <v>0</v>
      </c>
      <c r="I25" s="322">
        <v>0</v>
      </c>
      <c r="J25" s="322">
        <v>0</v>
      </c>
      <c r="K25" s="336">
        <v>9</v>
      </c>
      <c r="L25" s="322" t="s">
        <v>265</v>
      </c>
      <c r="M25" s="322" t="s">
        <v>217</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291</v>
      </c>
    </row>
    <row r="26" ht="14.5" spans="1:38">
      <c r="A26" s="333"/>
      <c r="B26" s="324" t="s">
        <v>299</v>
      </c>
      <c r="C26" s="322" t="s">
        <v>311</v>
      </c>
      <c r="D26" s="322">
        <v>0</v>
      </c>
      <c r="E26" s="322">
        <v>0</v>
      </c>
      <c r="F26" s="322">
        <v>0</v>
      </c>
      <c r="G26" s="322">
        <v>0</v>
      </c>
      <c r="H26" s="322">
        <v>1</v>
      </c>
      <c r="I26" s="322">
        <v>0</v>
      </c>
      <c r="J26" s="322">
        <v>0</v>
      </c>
      <c r="K26" s="336">
        <v>9</v>
      </c>
      <c r="L26" s="322" t="s">
        <v>265</v>
      </c>
      <c r="M26" s="322" t="s">
        <v>217</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233</v>
      </c>
      <c r="AL26" s="175" t="s">
        <v>291</v>
      </c>
    </row>
    <row r="27" ht="14.5" spans="1:38">
      <c r="A27" s="333"/>
      <c r="B27" s="324" t="s">
        <v>299</v>
      </c>
      <c r="C27" s="322" t="s">
        <v>312</v>
      </c>
      <c r="D27" s="322">
        <v>0</v>
      </c>
      <c r="E27" s="322">
        <v>0</v>
      </c>
      <c r="F27" s="322">
        <v>0</v>
      </c>
      <c r="G27" s="322">
        <v>0</v>
      </c>
      <c r="H27" s="322">
        <v>0</v>
      </c>
      <c r="I27" s="322">
        <v>1</v>
      </c>
      <c r="J27" s="322">
        <v>0</v>
      </c>
      <c r="K27" s="336">
        <v>9</v>
      </c>
      <c r="L27" s="322" t="s">
        <v>265</v>
      </c>
      <c r="M27" s="322" t="s">
        <v>217</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239</v>
      </c>
      <c r="AL27" s="175" t="s">
        <v>291</v>
      </c>
    </row>
    <row r="28" ht="14.5" spans="1:38">
      <c r="A28" s="333"/>
      <c r="B28" s="324" t="s">
        <v>299</v>
      </c>
      <c r="C28" s="322" t="s">
        <v>313</v>
      </c>
      <c r="D28" s="322">
        <v>0</v>
      </c>
      <c r="E28" s="322">
        <v>0</v>
      </c>
      <c r="F28" s="322">
        <v>0</v>
      </c>
      <c r="G28" s="322">
        <v>0</v>
      </c>
      <c r="H28" s="322">
        <v>0</v>
      </c>
      <c r="I28" s="322">
        <v>0</v>
      </c>
      <c r="J28" s="322">
        <v>1</v>
      </c>
      <c r="K28" s="336">
        <v>9</v>
      </c>
      <c r="L28" s="322" t="s">
        <v>265</v>
      </c>
      <c r="M28" s="322" t="s">
        <v>217</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245</v>
      </c>
      <c r="AL28" s="175" t="s">
        <v>291</v>
      </c>
    </row>
    <row r="29" spans="11:38">
      <c r="K29" s="197"/>
      <c r="U29" s="214"/>
      <c r="V29" s="214" t="str">
        <f t="shared" si="3"/>
        <v>MINBatMaterials_GR</v>
      </c>
      <c r="W29" s="214" t="str">
        <f t="shared" si="2"/>
        <v>m_graphite</v>
      </c>
      <c r="X29" s="214">
        <v>1</v>
      </c>
      <c r="Y29" s="214" t="s">
        <v>305</v>
      </c>
      <c r="AB29" s="220"/>
      <c r="AE29" s="175" t="s">
        <v>252</v>
      </c>
      <c r="AL29" s="175" t="s">
        <v>291</v>
      </c>
    </row>
    <row r="30" spans="11:38">
      <c r="K30" s="197"/>
      <c r="AB30" s="197"/>
      <c r="AE30" s="175" t="s">
        <v>259</v>
      </c>
      <c r="AL30" s="175" t="s">
        <v>291</v>
      </c>
    </row>
    <row r="31" spans="11:38">
      <c r="K31" s="197"/>
      <c r="AB31" s="197"/>
      <c r="AE31" s="175" t="s">
        <v>266</v>
      </c>
      <c r="AL31" s="175" t="s">
        <v>291</v>
      </c>
    </row>
    <row r="32" ht="14.5" spans="28:38">
      <c r="AB32" s="197"/>
      <c r="AD32" s="207"/>
      <c r="AE32" s="207" t="s">
        <v>272</v>
      </c>
      <c r="AF32" s="207"/>
      <c r="AG32" s="207"/>
      <c r="AH32" s="207"/>
      <c r="AL32" s="175" t="s">
        <v>291</v>
      </c>
    </row>
    <row r="33" spans="22:28">
      <c r="V33" s="216" t="s">
        <v>220</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221</v>
      </c>
      <c r="Y35" s="216">
        <f t="shared" si="5"/>
        <v>0.56</v>
      </c>
    </row>
    <row r="36" spans="14:25">
      <c r="N36" s="210" t="s">
        <v>318</v>
      </c>
      <c r="O36" s="210">
        <v>0.65</v>
      </c>
      <c r="V36" s="216" t="str">
        <f t="shared" si="4"/>
        <v>Tra_bat_recy_cobalt</v>
      </c>
      <c r="W36" s="216" t="s">
        <v>319</v>
      </c>
      <c r="X36" s="216" t="s">
        <v>222</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223</v>
      </c>
      <c r="Y37" s="216">
        <f t="shared" si="5"/>
        <v>0.61</v>
      </c>
      <c r="AD37" s="207" t="s">
        <v>78</v>
      </c>
      <c r="AE37" s="207" t="s">
        <v>79</v>
      </c>
      <c r="AF37" s="207" t="s">
        <v>80</v>
      </c>
      <c r="AG37" s="207" t="s">
        <v>81</v>
      </c>
      <c r="AH37" s="207" t="s">
        <v>82</v>
      </c>
    </row>
    <row r="38" spans="2:34">
      <c r="B38" s="197"/>
      <c r="C38" s="334">
        <f>SUM(G38:M38)</f>
        <v>5.654</v>
      </c>
      <c r="F38" s="175" t="s">
        <v>228</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224</v>
      </c>
      <c r="Y38" s="216">
        <f t="shared" si="5"/>
        <v>0.52</v>
      </c>
      <c r="AD38" s="175" t="s">
        <v>331</v>
      </c>
      <c r="AE38" s="175" t="str">
        <f t="shared" ref="AE38:AE43" si="6">V34</f>
        <v>Tra_bat_recy_lithium</v>
      </c>
      <c r="AG38" s="175" t="s">
        <v>215</v>
      </c>
      <c r="AH38" s="175" t="s">
        <v>276</v>
      </c>
    </row>
    <row r="39" spans="3:34">
      <c r="C39" s="334">
        <f t="shared" ref="C39:C44" si="7">SUM(G39:M39)</f>
        <v>6.645</v>
      </c>
      <c r="F39" s="175" t="s">
        <v>235</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225</v>
      </c>
      <c r="Y39" s="216">
        <f t="shared" si="5"/>
        <v>0.55</v>
      </c>
      <c r="AE39" s="175" t="str">
        <f t="shared" si="6"/>
        <v>Tra_bat_recy_nickel</v>
      </c>
      <c r="AG39" s="175" t="s">
        <v>215</v>
      </c>
      <c r="AH39" s="175" t="s">
        <v>276</v>
      </c>
    </row>
    <row r="40" spans="3:34">
      <c r="C40" s="334">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276</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276</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227</v>
      </c>
      <c r="Y44" s="207" t="s">
        <v>227</v>
      </c>
      <c r="Z44" s="207" t="s">
        <v>211</v>
      </c>
      <c r="AA44" s="207"/>
      <c r="AB44" s="207"/>
    </row>
    <row r="45" ht="14.5" spans="22:28">
      <c r="V45" s="207" t="str">
        <f t="shared" ref="V45:V50" si="9">C8</f>
        <v>Tra_EV_Batt-LMO_virgin</v>
      </c>
      <c r="W45" s="207" t="str">
        <f t="shared" si="8"/>
        <v/>
      </c>
      <c r="X45" s="207" t="s">
        <v>227</v>
      </c>
      <c r="Y45" s="207" t="s">
        <v>227</v>
      </c>
      <c r="Z45" s="207" t="s">
        <v>211</v>
      </c>
      <c r="AA45" s="207"/>
      <c r="AB45" s="207"/>
    </row>
    <row r="46" ht="14.5" spans="21:28">
      <c r="U46" s="207"/>
      <c r="V46" s="207" t="str">
        <f t="shared" si="9"/>
        <v>Tra_EV_Batt-NCA_virgin</v>
      </c>
      <c r="W46" s="207" t="str">
        <f t="shared" si="8"/>
        <v/>
      </c>
      <c r="X46" s="207" t="s">
        <v>227</v>
      </c>
      <c r="Y46" s="207" t="s">
        <v>227</v>
      </c>
      <c r="Z46" s="207" t="s">
        <v>211</v>
      </c>
      <c r="AA46" s="207"/>
      <c r="AB46" s="207"/>
    </row>
    <row r="47" ht="18" spans="21:28">
      <c r="U47" s="209"/>
      <c r="V47" s="207" t="str">
        <f t="shared" si="9"/>
        <v>Tra_EV_Batt-NMC 111_virgin</v>
      </c>
      <c r="W47" s="207" t="str">
        <f t="shared" si="8"/>
        <v/>
      </c>
      <c r="X47" s="207" t="s">
        <v>227</v>
      </c>
      <c r="Y47" s="207" t="s">
        <v>227</v>
      </c>
      <c r="Z47" s="207" t="s">
        <v>211</v>
      </c>
      <c r="AA47" s="219"/>
      <c r="AB47" s="219"/>
    </row>
    <row r="48" ht="18" spans="21:28">
      <c r="U48" s="209"/>
      <c r="V48" s="207" t="str">
        <f t="shared" si="9"/>
        <v>Tra_EV_Batt-NMC532_virgin</v>
      </c>
      <c r="W48" s="207" t="str">
        <f t="shared" si="8"/>
        <v/>
      </c>
      <c r="X48" s="207" t="s">
        <v>227</v>
      </c>
      <c r="Y48" s="207" t="s">
        <v>227</v>
      </c>
      <c r="Z48" s="207" t="s">
        <v>211</v>
      </c>
      <c r="AA48" s="219"/>
      <c r="AB48" s="219"/>
    </row>
    <row r="49" ht="14.5" spans="21:28">
      <c r="U49" s="209"/>
      <c r="V49" s="207" t="str">
        <f t="shared" si="9"/>
        <v>Tra_EV_Batt-NMC 622_virgin</v>
      </c>
      <c r="W49" s="207" t="str">
        <f t="shared" si="8"/>
        <v/>
      </c>
      <c r="X49" s="207" t="s">
        <v>227</v>
      </c>
      <c r="Y49" s="207" t="s">
        <v>227</v>
      </c>
      <c r="Z49" s="207" t="s">
        <v>211</v>
      </c>
      <c r="AA49" s="209"/>
      <c r="AB49" s="209"/>
    </row>
    <row r="50" ht="14.5" spans="22:26">
      <c r="V50" s="207" t="str">
        <f t="shared" si="9"/>
        <v>Tra_EV_Batt-NMC 811_virgin</v>
      </c>
      <c r="W50" s="207" t="str">
        <f t="shared" si="8"/>
        <v/>
      </c>
      <c r="X50" s="207" t="s">
        <v>227</v>
      </c>
      <c r="Y50" s="207" t="s">
        <v>227</v>
      </c>
      <c r="Z50" s="207" t="s">
        <v>211</v>
      </c>
    </row>
    <row r="59" ht="14.5" spans="2:28">
      <c r="B59" s="197"/>
      <c r="C59" s="197" t="s">
        <v>292</v>
      </c>
      <c r="D59" s="197"/>
      <c r="E59" s="197"/>
      <c r="F59" s="197"/>
      <c r="G59" s="197"/>
      <c r="H59" s="197"/>
      <c r="I59" s="197"/>
      <c r="J59" s="197"/>
      <c r="W59" s="207" t="s">
        <v>72</v>
      </c>
      <c r="X59" s="207"/>
      <c r="Y59" s="207"/>
      <c r="Z59" s="207"/>
      <c r="AA59" s="207"/>
      <c r="AB59" s="207"/>
    </row>
    <row r="60" ht="14.5" spans="1:28">
      <c r="A60" s="175" t="s">
        <v>194</v>
      </c>
      <c r="B60" s="205" t="s">
        <v>192</v>
      </c>
      <c r="C60" s="197" t="s">
        <v>220</v>
      </c>
      <c r="D60" s="197" t="s">
        <v>339</v>
      </c>
      <c r="E60" s="197" t="s">
        <v>340</v>
      </c>
      <c r="F60" s="197" t="s">
        <v>341</v>
      </c>
      <c r="G60" s="197" t="s">
        <v>342</v>
      </c>
      <c r="H60" s="197" t="s">
        <v>343</v>
      </c>
      <c r="I60" s="197" t="s">
        <v>344</v>
      </c>
      <c r="J60" s="197" t="s">
        <v>345</v>
      </c>
      <c r="K60" s="229" t="s">
        <v>196</v>
      </c>
      <c r="L60" s="207" t="s">
        <v>191</v>
      </c>
      <c r="M60" s="207" t="s">
        <v>76</v>
      </c>
      <c r="N60" s="175" t="s">
        <v>195</v>
      </c>
      <c r="O60" s="175" t="s">
        <v>294</v>
      </c>
      <c r="P60" s="207" t="s">
        <v>295</v>
      </c>
      <c r="Q60" s="207" t="s">
        <v>296</v>
      </c>
      <c r="R60" s="175" t="s">
        <v>198</v>
      </c>
      <c r="S60" s="175" t="s">
        <v>297</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218</v>
      </c>
      <c r="M61" s="175" t="s">
        <v>218</v>
      </c>
      <c r="N61" s="175">
        <v>0.9</v>
      </c>
      <c r="O61" s="175">
        <v>1.314</v>
      </c>
      <c r="P61" s="305">
        <v>1</v>
      </c>
      <c r="Q61" s="175">
        <v>1</v>
      </c>
      <c r="R61" s="175">
        <v>1</v>
      </c>
      <c r="S61" s="175">
        <v>2000</v>
      </c>
      <c r="T61" s="175">
        <v>1</v>
      </c>
      <c r="U61" s="175" t="str">
        <f>C22</f>
        <v>Tra_EV_Batt-LFP_virgin_pack</v>
      </c>
      <c r="W61" s="207" t="s">
        <v>207</v>
      </c>
      <c r="X61" s="207" t="str">
        <f>C61</f>
        <v>Util_Rep_Batt-LFP</v>
      </c>
      <c r="Y61" s="207" t="str">
        <f>"Repurposed: "&amp;W6</f>
        <v>Repurposed: Lithium Iron Phosphate; High safety, long cycle life, lower energy density; EVs, energy storage systems</v>
      </c>
      <c r="Z61" s="207" t="s">
        <v>209</v>
      </c>
      <c r="AA61" s="207" t="s">
        <v>227</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218</v>
      </c>
      <c r="M62" s="175" t="s">
        <v>218</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227</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218</v>
      </c>
      <c r="M63" s="175" t="s">
        <v>218</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227</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218</v>
      </c>
      <c r="M64" s="175" t="s">
        <v>218</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227</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218</v>
      </c>
      <c r="M65" s="175" t="s">
        <v>218</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227</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218</v>
      </c>
      <c r="M66" s="175" t="s">
        <v>218</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227</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218</v>
      </c>
      <c r="M67" s="175" t="s">
        <v>218</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227</v>
      </c>
      <c r="AB67" s="207" t="s">
        <v>211</v>
      </c>
    </row>
    <row r="68" ht="14.5" spans="24:28">
      <c r="X68" s="207"/>
      <c r="Y68" s="207"/>
      <c r="Z68" s="207"/>
      <c r="AA68" s="207"/>
      <c r="AB68" s="207"/>
    </row>
    <row r="71" spans="3:3">
      <c r="C71" s="175" t="s">
        <v>355</v>
      </c>
    </row>
    <row r="72" spans="3:10">
      <c r="C72" s="175" t="s">
        <v>220</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363</v>
      </c>
      <c r="D87" s="197"/>
      <c r="E87" s="197"/>
      <c r="F87" s="197"/>
      <c r="G87" s="197"/>
      <c r="H87" s="197"/>
      <c r="I87" s="197"/>
      <c r="J87" s="197"/>
      <c r="K87" s="197"/>
      <c r="L87" s="197"/>
    </row>
    <row r="88" spans="2:12">
      <c r="B88" s="175" t="s">
        <v>194</v>
      </c>
      <c r="C88" s="175" t="s">
        <v>220</v>
      </c>
      <c r="E88" s="197"/>
      <c r="F88" s="197"/>
      <c r="G88" s="197"/>
      <c r="H88" s="197"/>
      <c r="I88" s="197"/>
      <c r="J88" s="197"/>
      <c r="K88" s="197"/>
      <c r="L88" s="197"/>
    </row>
    <row r="89" spans="2:12">
      <c r="B89" s="335">
        <v>2030</v>
      </c>
      <c r="C89" s="346" t="s">
        <v>364</v>
      </c>
      <c r="E89" s="197"/>
      <c r="F89" s="197"/>
      <c r="G89" s="197"/>
      <c r="H89" s="197"/>
      <c r="I89" s="197"/>
      <c r="J89" s="197"/>
      <c r="K89" s="197"/>
      <c r="L89" s="197"/>
    </row>
    <row r="90" spans="2:12">
      <c r="B90" s="335">
        <v>2030</v>
      </c>
      <c r="C90" s="346" t="s">
        <v>365</v>
      </c>
      <c r="E90" s="197"/>
      <c r="F90" s="197"/>
      <c r="G90" s="197"/>
      <c r="H90" s="197"/>
      <c r="I90" s="197"/>
      <c r="J90" s="197"/>
      <c r="K90" s="197"/>
      <c r="L90" s="197"/>
    </row>
    <row r="91" spans="2:12">
      <c r="B91" s="335">
        <v>2030</v>
      </c>
      <c r="C91" s="346" t="s">
        <v>366</v>
      </c>
      <c r="E91" s="197"/>
      <c r="F91" s="197"/>
      <c r="G91" s="197"/>
      <c r="H91" s="197"/>
      <c r="I91" s="197"/>
      <c r="J91" s="197"/>
      <c r="K91" s="197"/>
      <c r="L91" s="197"/>
    </row>
    <row r="92" spans="2:12">
      <c r="B92" s="335">
        <v>2030</v>
      </c>
      <c r="C92" s="346" t="s">
        <v>367</v>
      </c>
      <c r="E92" s="197"/>
      <c r="F92" s="197"/>
      <c r="G92" s="197"/>
      <c r="H92" s="197"/>
      <c r="I92" s="197"/>
      <c r="J92" s="197"/>
      <c r="K92" s="197"/>
      <c r="L92" s="197"/>
    </row>
    <row r="93" spans="2:12">
      <c r="B93" s="335">
        <v>2030</v>
      </c>
      <c r="C93" s="346" t="s">
        <v>368</v>
      </c>
      <c r="E93" s="197"/>
      <c r="F93" s="197"/>
      <c r="G93" s="197"/>
      <c r="H93" s="197"/>
      <c r="I93" s="197"/>
      <c r="J93" s="197"/>
      <c r="K93" s="197"/>
      <c r="L93" s="197"/>
    </row>
    <row r="94" spans="2:12">
      <c r="B94" s="335">
        <v>2030</v>
      </c>
      <c r="C94" s="346" t="s">
        <v>369</v>
      </c>
      <c r="E94" s="197"/>
      <c r="F94" s="197"/>
      <c r="G94" s="197"/>
      <c r="H94" s="197"/>
      <c r="I94" s="197"/>
      <c r="J94" s="197"/>
      <c r="K94" s="197"/>
      <c r="L94" s="197"/>
    </row>
    <row r="95" spans="2:12">
      <c r="B95" s="335">
        <v>2030</v>
      </c>
      <c r="C95" s="346" t="s">
        <v>370</v>
      </c>
      <c r="E95" s="197"/>
      <c r="F95" s="197"/>
      <c r="G95" s="197"/>
      <c r="H95" s="197"/>
      <c r="I95" s="197"/>
      <c r="J95" s="197"/>
      <c r="K95" s="197"/>
      <c r="L95" s="197"/>
    </row>
    <row r="96" ht="14.5" spans="2:12">
      <c r="B96" s="335">
        <v>2030</v>
      </c>
      <c r="C96" s="346" t="s">
        <v>371</v>
      </c>
      <c r="D96" s="205"/>
      <c r="E96" s="205"/>
      <c r="F96" s="205"/>
      <c r="G96" s="205"/>
      <c r="H96" s="205"/>
      <c r="I96" s="205"/>
      <c r="J96" s="205"/>
      <c r="K96" s="197"/>
      <c r="L96" s="197"/>
    </row>
    <row r="97" ht="14.5" spans="2:12">
      <c r="B97" s="335">
        <v>2030</v>
      </c>
      <c r="C97" s="346" t="s">
        <v>372</v>
      </c>
      <c r="D97" s="205"/>
      <c r="E97" s="205"/>
      <c r="F97" s="205"/>
      <c r="G97" s="205"/>
      <c r="H97" s="205"/>
      <c r="I97" s="205"/>
      <c r="J97" s="205"/>
      <c r="K97" s="197"/>
      <c r="L97" s="197"/>
    </row>
    <row r="98" ht="14.5" spans="2:12">
      <c r="B98" s="335">
        <v>2030</v>
      </c>
      <c r="C98" s="346" t="s">
        <v>373</v>
      </c>
      <c r="D98" s="205"/>
      <c r="E98" s="205"/>
      <c r="F98" s="205"/>
      <c r="G98" s="205"/>
      <c r="H98" s="205"/>
      <c r="I98" s="205"/>
      <c r="J98" s="205"/>
      <c r="K98" s="197"/>
      <c r="L98" s="197"/>
    </row>
    <row r="99" ht="14.5" spans="2:12">
      <c r="B99" s="335">
        <v>2030</v>
      </c>
      <c r="C99" s="346" t="s">
        <v>374</v>
      </c>
      <c r="D99" s="205"/>
      <c r="E99" s="205"/>
      <c r="F99" s="205"/>
      <c r="G99" s="205"/>
      <c r="H99" s="197"/>
      <c r="I99" s="197"/>
      <c r="J99" s="197"/>
      <c r="K99" s="197"/>
      <c r="L99" s="197"/>
    </row>
    <row r="100" ht="14.5" spans="2:12">
      <c r="B100" s="335">
        <v>2030</v>
      </c>
      <c r="C100" s="346" t="s">
        <v>375</v>
      </c>
      <c r="D100" s="205"/>
      <c r="E100" s="205"/>
      <c r="F100" s="205"/>
      <c r="G100" s="205"/>
      <c r="H100" s="197"/>
      <c r="I100" s="197"/>
      <c r="J100" s="197"/>
      <c r="K100" s="197"/>
      <c r="L100" s="197"/>
    </row>
    <row r="101" ht="14.5" spans="2:12">
      <c r="B101" s="335">
        <v>2030</v>
      </c>
      <c r="C101" s="346" t="s">
        <v>376</v>
      </c>
      <c r="D101" s="205"/>
      <c r="E101" s="205"/>
      <c r="F101" s="205"/>
      <c r="G101" s="205"/>
      <c r="H101" s="197"/>
      <c r="I101" s="197"/>
      <c r="J101" s="197"/>
      <c r="K101" s="197"/>
      <c r="L101" s="197"/>
    </row>
    <row r="102" ht="14.5" spans="2:12">
      <c r="B102" s="335">
        <v>2030</v>
      </c>
      <c r="C102" s="346" t="s">
        <v>377</v>
      </c>
      <c r="D102" s="205"/>
      <c r="E102" s="205"/>
      <c r="F102" s="205"/>
      <c r="G102" s="205"/>
      <c r="H102" s="197"/>
      <c r="I102" s="197"/>
      <c r="J102" s="197"/>
      <c r="K102" s="197"/>
      <c r="L102" s="197"/>
    </row>
    <row r="103" ht="14.5" spans="2:12">
      <c r="B103" s="335">
        <v>2030</v>
      </c>
      <c r="C103" s="346" t="s">
        <v>378</v>
      </c>
      <c r="D103" s="205"/>
      <c r="E103" s="205"/>
      <c r="F103" s="205"/>
      <c r="G103" s="205"/>
      <c r="H103" s="197"/>
      <c r="I103" s="197"/>
      <c r="J103" s="197"/>
      <c r="K103" s="197"/>
      <c r="L103" s="197"/>
    </row>
    <row r="104" ht="14.5" spans="2:12">
      <c r="B104" s="335">
        <v>2030</v>
      </c>
      <c r="C104" s="346" t="s">
        <v>379</v>
      </c>
      <c r="D104" s="205"/>
      <c r="E104" s="205"/>
      <c r="F104" s="205"/>
      <c r="G104" s="205"/>
      <c r="H104" s="197"/>
      <c r="I104" s="197"/>
      <c r="J104" s="197"/>
      <c r="K104" s="197"/>
      <c r="L104" s="197"/>
    </row>
    <row r="105" spans="2:12">
      <c r="B105" s="335">
        <v>2030</v>
      </c>
      <c r="C105" s="346" t="s">
        <v>380</v>
      </c>
      <c r="D105" s="197"/>
      <c r="E105" s="197"/>
      <c r="F105" s="197"/>
      <c r="G105" s="197"/>
      <c r="H105" s="197"/>
      <c r="I105" s="197"/>
      <c r="J105" s="197"/>
      <c r="K105" s="197"/>
      <c r="L105" s="197"/>
    </row>
    <row r="106" spans="2:12">
      <c r="B106" s="335">
        <v>2030</v>
      </c>
      <c r="C106" s="346" t="s">
        <v>381</v>
      </c>
      <c r="D106" s="197"/>
      <c r="E106" s="197"/>
      <c r="F106" s="197"/>
      <c r="G106" s="197"/>
      <c r="H106" s="197"/>
      <c r="I106" s="197"/>
      <c r="J106" s="197"/>
      <c r="K106" s="197"/>
      <c r="L106" s="197"/>
    </row>
    <row r="107" spans="2:12">
      <c r="B107" s="335">
        <v>2030</v>
      </c>
      <c r="C107" s="346" t="s">
        <v>382</v>
      </c>
      <c r="D107" s="197"/>
      <c r="E107" s="197"/>
      <c r="F107" s="197"/>
      <c r="G107" s="197"/>
      <c r="H107" s="197"/>
      <c r="I107" s="197"/>
      <c r="J107" s="197"/>
      <c r="K107" s="197"/>
      <c r="L107" s="197"/>
    </row>
    <row r="108" ht="14.5" spans="2:12">
      <c r="B108" s="335">
        <v>2030</v>
      </c>
      <c r="C108" s="346" t="s">
        <v>383</v>
      </c>
      <c r="D108" s="205"/>
      <c r="E108" s="205"/>
      <c r="F108" s="197"/>
      <c r="G108" s="197"/>
      <c r="H108" s="197"/>
      <c r="I108" s="197"/>
      <c r="J108" s="197"/>
      <c r="K108" s="197"/>
      <c r="L108" s="197"/>
    </row>
    <row r="109" spans="2:12">
      <c r="B109" s="335">
        <v>2030</v>
      </c>
      <c r="C109" s="347" t="s">
        <v>384</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
        <v>407</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
        <v>410</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412</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411</v>
      </c>
      <c r="AB131" s="229">
        <v>2050</v>
      </c>
      <c r="AC131" s="229" t="s">
        <v>407</v>
      </c>
      <c r="AD131" s="229">
        <f>D131*0.313</f>
        <v>25.1599342966667</v>
      </c>
      <c r="AE131" s="229">
        <f>E131*0.313</f>
        <v>17.36734649</v>
      </c>
      <c r="AF131" s="229">
        <f>F131*0.313</f>
        <v>33.43624065</v>
      </c>
      <c r="AG131" s="197"/>
      <c r="AH131" s="197"/>
      <c r="AI131" s="229" t="s">
        <v>411</v>
      </c>
      <c r="AJ131" s="229">
        <v>0</v>
      </c>
      <c r="AK131" s="229" t="s">
        <v>407</v>
      </c>
      <c r="AL131" s="229">
        <v>5</v>
      </c>
      <c r="AM131" s="229">
        <v>5</v>
      </c>
      <c r="AN131" s="229">
        <v>5</v>
      </c>
      <c r="AQ131" s="245" t="s">
        <v>413</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414</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411</v>
      </c>
      <c r="AB132" s="229">
        <v>2050</v>
      </c>
      <c r="AC132" s="229" t="s">
        <v>410</v>
      </c>
      <c r="AD132" s="229">
        <f t="shared" ref="AD132:AD144" si="17">D132*0.313</f>
        <v>29.8628918</v>
      </c>
      <c r="AE132" s="229">
        <f t="shared" ref="AE132:AE144" si="18">E132*0.313</f>
        <v>20.75992845</v>
      </c>
      <c r="AF132" s="229">
        <f t="shared" ref="AF132:AF144" si="19">F132*0.313</f>
        <v>39.52049115</v>
      </c>
      <c r="AG132" s="197"/>
      <c r="AH132" s="197"/>
      <c r="AI132" s="229" t="s">
        <v>411</v>
      </c>
      <c r="AJ132" s="229">
        <v>0</v>
      </c>
      <c r="AK132" s="229" t="s">
        <v>410</v>
      </c>
      <c r="AL132" s="229">
        <v>5</v>
      </c>
      <c r="AM132" s="229">
        <v>5</v>
      </c>
      <c r="AN132" s="229">
        <v>5</v>
      </c>
      <c r="AQ132" s="245" t="s">
        <v>415</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241</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411</v>
      </c>
      <c r="AB133" s="229">
        <v>2050</v>
      </c>
      <c r="AC133" s="229" t="s">
        <v>413</v>
      </c>
      <c r="AD133" s="229">
        <f t="shared" si="17"/>
        <v>26.7138290566667</v>
      </c>
      <c r="AE133" s="229">
        <f t="shared" si="18"/>
        <v>17.55976011</v>
      </c>
      <c r="AF133" s="229">
        <f t="shared" si="19"/>
        <v>36.41065148</v>
      </c>
      <c r="AG133" s="197"/>
      <c r="AH133" s="197"/>
      <c r="AI133" s="229" t="s">
        <v>411</v>
      </c>
      <c r="AJ133" s="229">
        <v>0</v>
      </c>
      <c r="AK133" s="229" t="s">
        <v>413</v>
      </c>
      <c r="AL133" s="229">
        <v>5</v>
      </c>
      <c r="AM133" s="229">
        <v>5</v>
      </c>
      <c r="AN133" s="229">
        <v>5</v>
      </c>
      <c r="AQ133" s="245" t="s">
        <v>416</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247</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411</v>
      </c>
      <c r="AB134" s="229">
        <v>2050</v>
      </c>
      <c r="AC134" s="229" t="s">
        <v>415</v>
      </c>
      <c r="AD134" s="229">
        <f t="shared" si="17"/>
        <v>26.76825141</v>
      </c>
      <c r="AE134" s="229">
        <f t="shared" si="18"/>
        <v>17.39012663</v>
      </c>
      <c r="AF134" s="229">
        <f t="shared" si="19"/>
        <v>36.71624903</v>
      </c>
      <c r="AG134" s="197"/>
      <c r="AH134" s="197"/>
      <c r="AI134" s="229" t="s">
        <v>411</v>
      </c>
      <c r="AJ134" s="229">
        <v>0</v>
      </c>
      <c r="AK134" s="229" t="s">
        <v>415</v>
      </c>
      <c r="AL134" s="229">
        <v>5</v>
      </c>
      <c r="AM134" s="229">
        <v>5</v>
      </c>
      <c r="AN134" s="229">
        <v>5</v>
      </c>
      <c r="AQ134" s="245" t="s">
        <v>417</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254</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411</v>
      </c>
      <c r="AB135" s="229">
        <v>2050</v>
      </c>
      <c r="AC135" s="229" t="s">
        <v>416</v>
      </c>
      <c r="AD135" s="229">
        <f t="shared" si="17"/>
        <v>28.1990829166667</v>
      </c>
      <c r="AE135" s="229">
        <f t="shared" si="18"/>
        <v>18.5820901</v>
      </c>
      <c r="AF135" s="229">
        <f t="shared" si="19"/>
        <v>38.39541265</v>
      </c>
      <c r="AG135" s="197"/>
      <c r="AH135" s="197"/>
      <c r="AI135" s="229" t="s">
        <v>411</v>
      </c>
      <c r="AJ135" s="229">
        <v>0</v>
      </c>
      <c r="AK135" s="229" t="s">
        <v>416</v>
      </c>
      <c r="AL135" s="229">
        <v>5</v>
      </c>
      <c r="AM135" s="229">
        <v>5</v>
      </c>
      <c r="AN135" s="229">
        <v>5</v>
      </c>
      <c r="AQ135" s="245" t="s">
        <v>418</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261</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411</v>
      </c>
      <c r="AB136" s="229">
        <v>2050</v>
      </c>
      <c r="AC136" s="229" t="s">
        <v>417</v>
      </c>
      <c r="AD136" s="229">
        <f t="shared" si="17"/>
        <v>27.2066538166667</v>
      </c>
      <c r="AE136" s="229">
        <f t="shared" si="18"/>
        <v>17.94665315</v>
      </c>
      <c r="AF136" s="229">
        <f t="shared" si="19"/>
        <v>37.0192299</v>
      </c>
      <c r="AG136" s="197"/>
      <c r="AH136" s="197"/>
      <c r="AI136" s="229" t="s">
        <v>411</v>
      </c>
      <c r="AJ136" s="229">
        <v>0</v>
      </c>
      <c r="AK136" s="229" t="s">
        <v>417</v>
      </c>
      <c r="AL136" s="229">
        <v>5</v>
      </c>
      <c r="AM136" s="229">
        <v>5</v>
      </c>
      <c r="AN136" s="229">
        <v>5</v>
      </c>
      <c r="AQ136" s="246" t="s">
        <v>348</v>
      </c>
      <c r="AR136" s="246">
        <v>0.001</v>
      </c>
      <c r="AS136" s="246">
        <v>0.001</v>
      </c>
      <c r="AT136" s="246">
        <v>5</v>
      </c>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269</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411</v>
      </c>
      <c r="AB137" s="229">
        <v>2050</v>
      </c>
      <c r="AC137" s="229" t="s">
        <v>418</v>
      </c>
      <c r="AD137" s="229">
        <f t="shared" si="17"/>
        <v>28.0299846666667</v>
      </c>
      <c r="AE137" s="229">
        <f t="shared" si="18"/>
        <v>18.77670724</v>
      </c>
      <c r="AF137" s="229">
        <f t="shared" si="19"/>
        <v>37.83372476</v>
      </c>
      <c r="AG137" s="197"/>
      <c r="AH137" s="197"/>
      <c r="AI137" s="229" t="s">
        <v>411</v>
      </c>
      <c r="AJ137" s="229">
        <v>0</v>
      </c>
      <c r="AK137" s="229" t="s">
        <v>418</v>
      </c>
      <c r="AL137" s="229">
        <v>5</v>
      </c>
      <c r="AM137" s="229">
        <v>5</v>
      </c>
      <c r="AN137" s="229">
        <v>5</v>
      </c>
      <c r="AQ137" s="246" t="s">
        <v>349</v>
      </c>
      <c r="AR137" s="246">
        <v>0.001</v>
      </c>
      <c r="AS137" s="246">
        <v>0.001</v>
      </c>
      <c r="AT137" s="246">
        <v>5</v>
      </c>
    </row>
    <row r="138" spans="2:46">
      <c r="B138" s="229" t="s">
        <v>411</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si="17"/>
        <v>5.58010556718251</v>
      </c>
      <c r="AE138" s="229">
        <f t="shared" si="18"/>
        <v>4.23717556890199</v>
      </c>
      <c r="AF138" s="229">
        <f t="shared" si="19"/>
        <v>6.94618953095062</v>
      </c>
      <c r="AG138" s="197"/>
      <c r="AH138" s="197"/>
      <c r="AI138" s="229" t="s">
        <v>411</v>
      </c>
      <c r="AJ138" s="229">
        <v>0</v>
      </c>
      <c r="AK138" s="229" t="s">
        <v>348</v>
      </c>
      <c r="AL138" s="229">
        <v>5</v>
      </c>
      <c r="AM138" s="229">
        <v>5</v>
      </c>
      <c r="AN138" s="229">
        <v>5</v>
      </c>
      <c r="AQ138" s="246" t="s">
        <v>350</v>
      </c>
      <c r="AR138" s="246">
        <v>0.001</v>
      </c>
      <c r="AS138" s="246">
        <v>0.001</v>
      </c>
      <c r="AT138" s="246">
        <v>5</v>
      </c>
    </row>
    <row r="139" spans="2:46">
      <c r="B139" s="229" t="s">
        <v>411</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si="17"/>
        <v>5.63537263301401</v>
      </c>
      <c r="AE139" s="229">
        <f t="shared" si="18"/>
        <v>4.27914190309506</v>
      </c>
      <c r="AF139" s="229">
        <f t="shared" si="19"/>
        <v>7.01498667722919</v>
      </c>
      <c r="AG139" s="197"/>
      <c r="AH139" s="197"/>
      <c r="AI139" s="229" t="s">
        <v>411</v>
      </c>
      <c r="AJ139" s="229">
        <v>0</v>
      </c>
      <c r="AK139" s="229" t="s">
        <v>349</v>
      </c>
      <c r="AL139" s="229">
        <v>5</v>
      </c>
      <c r="AM139" s="229">
        <v>5</v>
      </c>
      <c r="AN139" s="229">
        <v>5</v>
      </c>
      <c r="AQ139" s="246" t="s">
        <v>351</v>
      </c>
      <c r="AR139" s="246">
        <v>0.001</v>
      </c>
      <c r="AS139" s="246">
        <v>0.001</v>
      </c>
      <c r="AT139" s="246">
        <v>5</v>
      </c>
    </row>
    <row r="140" ht="21" spans="2:46">
      <c r="B140" s="229" t="s">
        <v>411</v>
      </c>
      <c r="C140" s="229" t="s">
        <v>350</v>
      </c>
      <c r="D140" s="229">
        <f t="shared" si="20"/>
        <v>17.8278133136821</v>
      </c>
      <c r="E140" s="229">
        <f t="shared" si="21"/>
        <v>13.5373021370671</v>
      </c>
      <c r="F140" s="229">
        <f t="shared" si="22"/>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si="17"/>
        <v>5.58010556718251</v>
      </c>
      <c r="AE140" s="229">
        <f t="shared" si="18"/>
        <v>4.23717556890199</v>
      </c>
      <c r="AF140" s="229">
        <f t="shared" si="19"/>
        <v>6.94618953095062</v>
      </c>
      <c r="AG140" s="197"/>
      <c r="AH140" s="197"/>
      <c r="AI140" s="229" t="s">
        <v>411</v>
      </c>
      <c r="AJ140" s="229">
        <v>0</v>
      </c>
      <c r="AK140" s="229" t="s">
        <v>350</v>
      </c>
      <c r="AL140" s="229">
        <v>5</v>
      </c>
      <c r="AM140" s="229">
        <v>5</v>
      </c>
      <c r="AN140" s="229">
        <v>5</v>
      </c>
      <c r="AQ140" s="246" t="s">
        <v>352</v>
      </c>
      <c r="AR140" s="246">
        <v>0.001</v>
      </c>
      <c r="AS140" s="246">
        <v>0.001</v>
      </c>
      <c r="AT140" s="246">
        <v>5</v>
      </c>
    </row>
    <row r="141" ht="13" spans="2:46">
      <c r="B141" s="229" t="s">
        <v>411</v>
      </c>
      <c r="C141" s="229" t="s">
        <v>351</v>
      </c>
      <c r="D141" s="229">
        <f t="shared" si="20"/>
        <v>17.8322684844019</v>
      </c>
      <c r="E141" s="229">
        <f t="shared" si="21"/>
        <v>13.5406853352985</v>
      </c>
      <c r="F141" s="229">
        <f t="shared" si="22"/>
        <v>22.1978445099484</v>
      </c>
      <c r="H141" s="216"/>
      <c r="I141" s="216" t="s">
        <v>220</v>
      </c>
      <c r="J141" s="216" t="s">
        <v>213</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si="17"/>
        <v>5.58150003561778</v>
      </c>
      <c r="AE141" s="229">
        <f t="shared" si="18"/>
        <v>4.23823450994842</v>
      </c>
      <c r="AF141" s="229">
        <f t="shared" si="19"/>
        <v>6.94792533161385</v>
      </c>
      <c r="AG141" s="197"/>
      <c r="AH141" s="197"/>
      <c r="AI141" s="229" t="s">
        <v>411</v>
      </c>
      <c r="AJ141" s="229">
        <v>0</v>
      </c>
      <c r="AK141" s="229" t="s">
        <v>351</v>
      </c>
      <c r="AL141" s="229">
        <v>5</v>
      </c>
      <c r="AM141" s="229">
        <v>5</v>
      </c>
      <c r="AN141" s="229">
        <v>5</v>
      </c>
      <c r="AQ141" s="246" t="s">
        <v>353</v>
      </c>
      <c r="AR141" s="246">
        <v>0.001</v>
      </c>
      <c r="AS141" s="246">
        <v>0.001</v>
      </c>
      <c r="AT141" s="246">
        <v>5</v>
      </c>
    </row>
    <row r="142" ht="13" spans="2:46">
      <c r="B142" s="229" t="s">
        <v>411</v>
      </c>
      <c r="C142" s="229" t="s">
        <v>352</v>
      </c>
      <c r="D142" s="229">
        <f t="shared" si="20"/>
        <v>17.8292980840088</v>
      </c>
      <c r="E142" s="229">
        <f t="shared" si="21"/>
        <v>13.5384296241709</v>
      </c>
      <c r="F142" s="229">
        <f t="shared" si="22"/>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si="17"/>
        <v>5.58057030029476</v>
      </c>
      <c r="AE142" s="229">
        <f t="shared" si="18"/>
        <v>4.23752847236551</v>
      </c>
      <c r="AF142" s="229">
        <f t="shared" si="19"/>
        <v>6.94676801584377</v>
      </c>
      <c r="AG142" s="197"/>
      <c r="AH142" s="197"/>
      <c r="AI142" s="229" t="s">
        <v>411</v>
      </c>
      <c r="AJ142" s="229">
        <v>0</v>
      </c>
      <c r="AK142" s="229" t="s">
        <v>352</v>
      </c>
      <c r="AL142" s="229">
        <v>5</v>
      </c>
      <c r="AM142" s="229">
        <v>5</v>
      </c>
      <c r="AN142" s="229">
        <v>5</v>
      </c>
      <c r="AQ142" s="246" t="s">
        <v>354</v>
      </c>
      <c r="AR142" s="246">
        <v>0.001</v>
      </c>
      <c r="AS142" s="246">
        <v>0.001</v>
      </c>
      <c r="AT142" s="246">
        <v>5</v>
      </c>
    </row>
    <row r="143" ht="13" spans="2:40">
      <c r="B143" s="229" t="s">
        <v>411</v>
      </c>
      <c r="C143" s="229" t="s">
        <v>353</v>
      </c>
      <c r="D143" s="229">
        <f t="shared" si="20"/>
        <v>17.8278133136821</v>
      </c>
      <c r="E143" s="229">
        <f t="shared" si="21"/>
        <v>13.5373021370671</v>
      </c>
      <c r="F143" s="229">
        <f t="shared" si="22"/>
        <v>22.1922988209285</v>
      </c>
      <c r="H143" s="216"/>
      <c r="I143" s="216" t="s">
        <v>407</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411</v>
      </c>
      <c r="AB143" s="229">
        <v>2050</v>
      </c>
      <c r="AC143" s="229" t="s">
        <v>353</v>
      </c>
      <c r="AD143" s="229">
        <f t="shared" si="17"/>
        <v>5.58010556718251</v>
      </c>
      <c r="AE143" s="229">
        <f t="shared" si="18"/>
        <v>4.23717556890199</v>
      </c>
      <c r="AF143" s="229">
        <f t="shared" si="19"/>
        <v>6.94618953095062</v>
      </c>
      <c r="AG143" s="197"/>
      <c r="AH143" s="197"/>
      <c r="AI143" s="229" t="s">
        <v>411</v>
      </c>
      <c r="AJ143" s="229">
        <v>0</v>
      </c>
      <c r="AK143" s="229" t="s">
        <v>353</v>
      </c>
      <c r="AL143" s="229">
        <v>5</v>
      </c>
      <c r="AM143" s="229">
        <v>5</v>
      </c>
      <c r="AN143" s="229">
        <v>5</v>
      </c>
    </row>
    <row r="144" ht="13" spans="2:40">
      <c r="B144" s="229" t="s">
        <v>411</v>
      </c>
      <c r="C144" s="229" t="s">
        <v>354</v>
      </c>
      <c r="D144" s="229">
        <f t="shared" si="20"/>
        <v>17.8248445099484</v>
      </c>
      <c r="E144" s="229">
        <f t="shared" si="21"/>
        <v>13.5350478997789</v>
      </c>
      <c r="F144" s="229">
        <f t="shared" si="22"/>
        <v>22.1886031687546</v>
      </c>
      <c r="H144" s="216"/>
      <c r="I144" s="216" t="s">
        <v>410</v>
      </c>
      <c r="J144" s="216">
        <v>0.106</v>
      </c>
      <c r="K144" s="216">
        <v>0</v>
      </c>
      <c r="L144" s="216">
        <v>0</v>
      </c>
      <c r="M144" s="216">
        <v>1.396</v>
      </c>
      <c r="N144" s="216">
        <v>3.369</v>
      </c>
      <c r="O144" s="216">
        <v>0.863</v>
      </c>
      <c r="P144" s="216">
        <v>0.911</v>
      </c>
      <c r="Q144" s="216"/>
      <c r="R144" s="259">
        <f t="shared" si="23"/>
        <v>6.645</v>
      </c>
      <c r="S144" s="216"/>
      <c r="T144" s="216"/>
      <c r="U144" s="216"/>
      <c r="AA144" s="229" t="s">
        <v>411</v>
      </c>
      <c r="AB144" s="229">
        <v>2050</v>
      </c>
      <c r="AC144" s="229" t="s">
        <v>354</v>
      </c>
      <c r="AD144" s="229">
        <f t="shared" si="17"/>
        <v>5.57917633161385</v>
      </c>
      <c r="AE144" s="229">
        <f t="shared" si="18"/>
        <v>4.2364699926308</v>
      </c>
      <c r="AF144" s="229">
        <f t="shared" si="19"/>
        <v>6.94503279182019</v>
      </c>
      <c r="AG144" s="197"/>
      <c r="AH144" s="197"/>
      <c r="AI144" s="229" t="s">
        <v>411</v>
      </c>
      <c r="AJ144" s="229">
        <v>0</v>
      </c>
      <c r="AK144" s="229" t="s">
        <v>354</v>
      </c>
      <c r="AL144" s="229">
        <v>5</v>
      </c>
      <c r="AM144" s="229">
        <v>5</v>
      </c>
      <c r="AN144" s="229">
        <v>5</v>
      </c>
    </row>
    <row r="145" ht="13" spans="2:34">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416</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417</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418</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421</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220</v>
      </c>
      <c r="J153" t="s">
        <v>422</v>
      </c>
    </row>
    <row r="154" customFormat="1" ht="14.5" spans="2:16">
      <c r="B154" s="199"/>
      <c r="C154" s="199"/>
      <c r="D154" s="199"/>
      <c r="E154" s="199"/>
      <c r="I154" t="s">
        <v>301</v>
      </c>
      <c r="J154" t="s">
        <v>213</v>
      </c>
      <c r="K154" t="s">
        <v>221</v>
      </c>
      <c r="L154" t="s">
        <v>222</v>
      </c>
      <c r="M154" t="s">
        <v>223</v>
      </c>
      <c r="N154" t="s">
        <v>224</v>
      </c>
      <c r="O154" t="s">
        <v>225</v>
      </c>
      <c r="P154" t="s">
        <v>226</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423</v>
      </c>
      <c r="AA158" s="348" t="s">
        <v>364</v>
      </c>
      <c r="AB158" s="348" t="s">
        <v>424</v>
      </c>
      <c r="AC158" s="348" t="s">
        <v>425</v>
      </c>
      <c r="AD158" s="348" t="s">
        <v>426</v>
      </c>
      <c r="AE158" s="348" t="s">
        <v>211</v>
      </c>
      <c r="AF158" s="348"/>
      <c r="AG158" s="348"/>
      <c r="AI158" s="245" t="s">
        <v>212</v>
      </c>
      <c r="AJ158" s="245" t="s">
        <v>356</v>
      </c>
      <c r="AK158" s="245"/>
      <c r="AL158" s="245"/>
      <c r="AM158" s="245"/>
      <c r="AN158" s="245"/>
      <c r="AO158" s="245"/>
      <c r="AP158" s="245"/>
      <c r="AQ158" s="245"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365</v>
      </c>
      <c r="AB159" s="348" t="s">
        <v>424</v>
      </c>
      <c r="AC159" s="348" t="s">
        <v>425</v>
      </c>
      <c r="AD159" s="348" t="s">
        <v>426</v>
      </c>
      <c r="AE159" s="348" t="s">
        <v>211</v>
      </c>
      <c r="AF159" s="246"/>
      <c r="AG159" s="246"/>
      <c r="AI159" s="245"/>
      <c r="AJ159" s="245" t="s">
        <v>357</v>
      </c>
      <c r="AK159" s="245"/>
      <c r="AL159" s="245"/>
      <c r="AM159" s="245"/>
      <c r="AN159" s="245"/>
      <c r="AO159" s="245"/>
      <c r="AP159" s="245"/>
      <c r="AQ159" s="245" t="s">
        <v>291</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366</v>
      </c>
      <c r="AB160" s="348" t="s">
        <v>424</v>
      </c>
      <c r="AC160" s="348" t="s">
        <v>425</v>
      </c>
      <c r="AD160" s="348" t="s">
        <v>426</v>
      </c>
      <c r="AE160" s="348" t="s">
        <v>211</v>
      </c>
      <c r="AF160" s="246"/>
      <c r="AG160" s="246"/>
      <c r="AI160" s="245"/>
      <c r="AJ160" s="245" t="s">
        <v>358</v>
      </c>
      <c r="AK160" s="245"/>
      <c r="AL160" s="245"/>
      <c r="AM160" s="245"/>
      <c r="AN160" s="245"/>
      <c r="AO160" s="245"/>
      <c r="AP160" s="245"/>
      <c r="AQ160" s="245" t="s">
        <v>291</v>
      </c>
    </row>
    <row r="161" customFormat="1" ht="14.5" spans="2:43">
      <c r="B161" s="245" t="s">
        <v>220</v>
      </c>
      <c r="C161" s="245" t="s">
        <v>427</v>
      </c>
      <c r="D161" s="245" t="s">
        <v>428</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367</v>
      </c>
      <c r="AB161" s="348" t="s">
        <v>424</v>
      </c>
      <c r="AC161" s="348" t="s">
        <v>425</v>
      </c>
      <c r="AD161" s="348" t="s">
        <v>426</v>
      </c>
      <c r="AE161" s="348" t="s">
        <v>211</v>
      </c>
      <c r="AF161" s="246"/>
      <c r="AG161" s="246"/>
      <c r="AI161" s="245"/>
      <c r="AJ161" s="245" t="s">
        <v>359</v>
      </c>
      <c r="AK161" s="245"/>
      <c r="AL161" s="245"/>
      <c r="AM161" s="245"/>
      <c r="AN161" s="245"/>
      <c r="AO161" s="245"/>
      <c r="AP161" s="245"/>
      <c r="AQ161" s="245" t="s">
        <v>291</v>
      </c>
    </row>
    <row r="162" customFormat="1" ht="14.5" spans="2:43">
      <c r="B162" s="245" t="s">
        <v>300</v>
      </c>
      <c r="C162" s="245" t="s">
        <v>429</v>
      </c>
      <c r="D162" s="245">
        <v>1</v>
      </c>
      <c r="E162" s="198"/>
      <c r="F162" s="198"/>
      <c r="G162" s="198"/>
      <c r="H162" s="198"/>
      <c r="I162" s="198"/>
      <c r="U162" s="198"/>
      <c r="V162" s="198"/>
      <c r="W162" s="197"/>
      <c r="Y162" s="175"/>
      <c r="Z162" s="246"/>
      <c r="AA162" s="348" t="s">
        <v>368</v>
      </c>
      <c r="AB162" s="348" t="s">
        <v>424</v>
      </c>
      <c r="AC162" s="348" t="s">
        <v>425</v>
      </c>
      <c r="AD162" s="348" t="s">
        <v>426</v>
      </c>
      <c r="AE162" s="348" t="s">
        <v>211</v>
      </c>
      <c r="AF162" s="246"/>
      <c r="AG162" s="246"/>
      <c r="AH162" s="205"/>
      <c r="AI162" s="245"/>
      <c r="AJ162" s="245" t="s">
        <v>360</v>
      </c>
      <c r="AK162" s="245"/>
      <c r="AL162" s="245"/>
      <c r="AM162" s="245"/>
      <c r="AN162" s="245"/>
      <c r="AO162" s="245"/>
      <c r="AP162" s="245"/>
      <c r="AQ162" s="245" t="s">
        <v>291</v>
      </c>
    </row>
    <row r="163" customFormat="1" ht="14.5" spans="2:43">
      <c r="B163" s="245" t="s">
        <v>304</v>
      </c>
      <c r="C163" s="245" t="s">
        <v>430</v>
      </c>
      <c r="D163" s="245">
        <v>1</v>
      </c>
      <c r="E163" s="198"/>
      <c r="F163" s="198"/>
      <c r="G163" s="198"/>
      <c r="H163" s="198"/>
      <c r="I163" s="198"/>
      <c r="U163" s="198"/>
      <c r="V163" s="198"/>
      <c r="W163" s="197"/>
      <c r="Y163" s="175"/>
      <c r="Z163" s="246"/>
      <c r="AA163" s="348" t="s">
        <v>369</v>
      </c>
      <c r="AB163" s="348" t="s">
        <v>424</v>
      </c>
      <c r="AC163" s="348" t="s">
        <v>425</v>
      </c>
      <c r="AD163" s="348" t="s">
        <v>426</v>
      </c>
      <c r="AE163" s="348" t="s">
        <v>211</v>
      </c>
      <c r="AF163" s="246"/>
      <c r="AG163" s="246"/>
      <c r="AH163" s="205"/>
      <c r="AI163" s="245"/>
      <c r="AJ163" s="245" t="s">
        <v>361</v>
      </c>
      <c r="AK163" s="245"/>
      <c r="AL163" s="245"/>
      <c r="AM163" s="245"/>
      <c r="AN163" s="245"/>
      <c r="AO163" s="245"/>
      <c r="AP163" s="245"/>
      <c r="AQ163" s="245" t="s">
        <v>291</v>
      </c>
    </row>
    <row r="164" customFormat="1" ht="14.5" spans="2:43">
      <c r="B164" s="245" t="s">
        <v>307</v>
      </c>
      <c r="C164" s="245" t="s">
        <v>431</v>
      </c>
      <c r="D164" s="245">
        <v>1</v>
      </c>
      <c r="E164" s="198"/>
      <c r="F164" s="198"/>
      <c r="G164" s="198"/>
      <c r="H164" s="198"/>
      <c r="I164" s="198"/>
      <c r="U164" s="198"/>
      <c r="V164" s="198"/>
      <c r="W164" s="197"/>
      <c r="Y164" s="175"/>
      <c r="Z164" s="246"/>
      <c r="AA164" s="348" t="s">
        <v>370</v>
      </c>
      <c r="AB164" s="348" t="s">
        <v>424</v>
      </c>
      <c r="AC164" s="348" t="s">
        <v>425</v>
      </c>
      <c r="AD164" s="348" t="s">
        <v>426</v>
      </c>
      <c r="AE164" s="348" t="s">
        <v>211</v>
      </c>
      <c r="AF164" s="246"/>
      <c r="AG164" s="246"/>
      <c r="AH164" s="205"/>
      <c r="AI164" s="245"/>
      <c r="AJ164" s="245" t="s">
        <v>362</v>
      </c>
      <c r="AK164" s="245"/>
      <c r="AL164" s="245"/>
      <c r="AM164" s="245"/>
      <c r="AN164" s="245"/>
      <c r="AO164" s="245"/>
      <c r="AP164" s="245"/>
      <c r="AQ164" s="245" t="s">
        <v>291</v>
      </c>
    </row>
    <row r="165" customFormat="1" ht="14.5" spans="2:43">
      <c r="B165" s="245" t="s">
        <v>309</v>
      </c>
      <c r="C165" s="245" t="s">
        <v>432</v>
      </c>
      <c r="D165" s="245">
        <v>1</v>
      </c>
      <c r="E165" s="198"/>
      <c r="F165" s="198"/>
      <c r="G165" s="198"/>
      <c r="H165" s="198"/>
      <c r="I165" s="198"/>
      <c r="U165" s="198"/>
      <c r="V165" s="198"/>
      <c r="W165" s="197"/>
      <c r="Y165" s="175"/>
      <c r="Z165" s="246"/>
      <c r="AA165" s="246" t="s">
        <v>371</v>
      </c>
      <c r="AB165" s="246" t="s">
        <v>433</v>
      </c>
      <c r="AC165" s="348" t="s">
        <v>425</v>
      </c>
      <c r="AD165" s="348" t="s">
        <v>426</v>
      </c>
      <c r="AE165" s="246" t="str">
        <f>AE164</f>
        <v>DAYNITE</v>
      </c>
      <c r="AF165" s="246"/>
      <c r="AG165" s="246"/>
      <c r="AH165" s="199"/>
      <c r="AI165" s="245"/>
      <c r="AJ165" s="245" t="s">
        <v>429</v>
      </c>
      <c r="AK165" s="245"/>
      <c r="AL165" s="245"/>
      <c r="AM165" s="245"/>
      <c r="AN165" s="245"/>
      <c r="AO165" s="245"/>
      <c r="AP165" s="245"/>
      <c r="AQ165" s="245" t="s">
        <v>291</v>
      </c>
    </row>
    <row r="166" s="199" customFormat="1" ht="14.5" spans="2:60">
      <c r="B166" s="245" t="s">
        <v>311</v>
      </c>
      <c r="C166" s="245" t="s">
        <v>434</v>
      </c>
      <c r="D166" s="245">
        <v>1</v>
      </c>
      <c r="E166" s="198"/>
      <c r="F166" s="198"/>
      <c r="G166" s="198"/>
      <c r="H166" s="198"/>
      <c r="I166" s="198"/>
      <c r="U166" s="198"/>
      <c r="V166" s="198"/>
      <c r="W166" s="197"/>
      <c r="Y166" s="175"/>
      <c r="Z166" s="246"/>
      <c r="AA166" s="246" t="s">
        <v>372</v>
      </c>
      <c r="AB166" s="246" t="s">
        <v>433</v>
      </c>
      <c r="AC166" s="348" t="s">
        <v>425</v>
      </c>
      <c r="AD166" s="348" t="s">
        <v>426</v>
      </c>
      <c r="AE166" s="246" t="str">
        <f t="shared" ref="AE166:AE172" si="33">AE165</f>
        <v>DAYNITE</v>
      </c>
      <c r="AF166" s="246"/>
      <c r="AG166" s="246"/>
      <c r="AI166" s="245"/>
      <c r="AJ166" s="245" t="s">
        <v>430</v>
      </c>
      <c r="AK166" s="245"/>
      <c r="AL166" s="245"/>
      <c r="AM166" s="245"/>
      <c r="AN166" s="245"/>
      <c r="AO166" s="245"/>
      <c r="AP166" s="245"/>
      <c r="AQ166" s="245" t="s">
        <v>291</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435</v>
      </c>
      <c r="D167" s="245">
        <v>1</v>
      </c>
      <c r="E167" s="198"/>
      <c r="F167" s="198"/>
      <c r="G167" s="198"/>
      <c r="H167" s="198"/>
      <c r="I167" s="198"/>
      <c r="U167" s="198"/>
      <c r="V167" s="198"/>
      <c r="W167" s="197"/>
      <c r="Y167" s="175"/>
      <c r="Z167" s="246"/>
      <c r="AA167" s="246" t="s">
        <v>373</v>
      </c>
      <c r="AB167" s="246" t="s">
        <v>433</v>
      </c>
      <c r="AC167" s="348" t="s">
        <v>425</v>
      </c>
      <c r="AD167" s="348" t="s">
        <v>426</v>
      </c>
      <c r="AE167" s="246" t="str">
        <f t="shared" si="33"/>
        <v>DAYNITE</v>
      </c>
      <c r="AF167" s="246"/>
      <c r="AG167" s="246"/>
      <c r="AI167" s="245"/>
      <c r="AJ167" s="245" t="s">
        <v>431</v>
      </c>
      <c r="AK167" s="245"/>
      <c r="AL167" s="245"/>
      <c r="AM167" s="245"/>
      <c r="AN167" s="245"/>
      <c r="AO167" s="245"/>
      <c r="AP167" s="245"/>
      <c r="AQ167" s="245" t="s">
        <v>291</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436</v>
      </c>
      <c r="D168" s="245">
        <v>1</v>
      </c>
      <c r="E168" s="198"/>
      <c r="F168" s="198"/>
      <c r="G168" s="198"/>
      <c r="H168" s="198"/>
      <c r="I168" s="198"/>
      <c r="U168" s="198"/>
      <c r="V168" s="198"/>
      <c r="W168" s="197"/>
      <c r="Y168" s="175"/>
      <c r="Z168" s="246"/>
      <c r="AA168" s="246" t="s">
        <v>374</v>
      </c>
      <c r="AB168" s="246" t="s">
        <v>433</v>
      </c>
      <c r="AC168" s="348" t="s">
        <v>425</v>
      </c>
      <c r="AD168" s="348" t="s">
        <v>426</v>
      </c>
      <c r="AE168" s="246" t="str">
        <f t="shared" si="33"/>
        <v>DAYNITE</v>
      </c>
      <c r="AF168" s="246"/>
      <c r="AG168" s="246"/>
      <c r="AH168" s="197"/>
      <c r="AI168" s="245"/>
      <c r="AJ168" s="245" t="s">
        <v>432</v>
      </c>
      <c r="AK168" s="245"/>
      <c r="AL168" s="245"/>
      <c r="AM168" s="245"/>
      <c r="AN168" s="245"/>
      <c r="AO168" s="245"/>
      <c r="AP168" s="245"/>
      <c r="AQ168" s="245" t="s">
        <v>291</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375</v>
      </c>
      <c r="AB169" s="246" t="s">
        <v>433</v>
      </c>
      <c r="AC169" s="348" t="s">
        <v>425</v>
      </c>
      <c r="AD169" s="348" t="s">
        <v>426</v>
      </c>
      <c r="AE169" s="246" t="str">
        <f t="shared" si="33"/>
        <v>DAYNITE</v>
      </c>
      <c r="AF169" s="246"/>
      <c r="AG169" s="246"/>
      <c r="AH169" s="197"/>
      <c r="AI169" s="245"/>
      <c r="AJ169" s="245" t="s">
        <v>434</v>
      </c>
      <c r="AK169" s="245"/>
      <c r="AL169" s="245"/>
      <c r="AM169" s="245"/>
      <c r="AN169" s="245"/>
      <c r="AO169" s="245"/>
      <c r="AP169" s="245"/>
      <c r="AQ169" s="245" t="s">
        <v>291</v>
      </c>
    </row>
    <row r="170" s="199" customFormat="1" ht="14.5" spans="10:43">
      <c r="J170" s="197"/>
      <c r="K170" s="197"/>
      <c r="P170" s="198"/>
      <c r="S170" s="197"/>
      <c r="T170" s="198"/>
      <c r="U170" s="198"/>
      <c r="V170" s="198"/>
      <c r="W170" s="197"/>
      <c r="Y170" s="175"/>
      <c r="Z170" s="246"/>
      <c r="AA170" s="246" t="s">
        <v>376</v>
      </c>
      <c r="AB170" s="246" t="s">
        <v>433</v>
      </c>
      <c r="AC170" s="348" t="s">
        <v>425</v>
      </c>
      <c r="AD170" s="348" t="s">
        <v>426</v>
      </c>
      <c r="AE170" s="246" t="str">
        <f t="shared" si="33"/>
        <v>DAYNITE</v>
      </c>
      <c r="AF170" s="246"/>
      <c r="AG170" s="246"/>
      <c r="AH170" s="197"/>
      <c r="AI170" s="245"/>
      <c r="AJ170" s="245" t="s">
        <v>435</v>
      </c>
      <c r="AK170" s="245"/>
      <c r="AL170" s="245"/>
      <c r="AM170" s="245"/>
      <c r="AN170" s="245"/>
      <c r="AO170" s="245"/>
      <c r="AP170" s="245"/>
      <c r="AQ170" s="245" t="s">
        <v>291</v>
      </c>
    </row>
    <row r="171" s="199" customFormat="1" ht="14.5" spans="10:43">
      <c r="J171" s="197"/>
      <c r="K171" s="197"/>
      <c r="P171" s="198"/>
      <c r="S171" s="197"/>
      <c r="T171" s="198"/>
      <c r="U171" s="198"/>
      <c r="V171" s="198"/>
      <c r="W171" s="197"/>
      <c r="Y171" s="175"/>
      <c r="Z171" s="246"/>
      <c r="AA171" s="246" t="s">
        <v>377</v>
      </c>
      <c r="AB171" s="246" t="s">
        <v>433</v>
      </c>
      <c r="AC171" s="348" t="s">
        <v>425</v>
      </c>
      <c r="AD171" s="348" t="s">
        <v>426</v>
      </c>
      <c r="AE171" s="246" t="str">
        <f t="shared" si="33"/>
        <v>DAYNITE</v>
      </c>
      <c r="AF171" s="246"/>
      <c r="AG171" s="246"/>
      <c r="AH171" s="197"/>
      <c r="AI171" s="245"/>
      <c r="AJ171" s="245" t="s">
        <v>436</v>
      </c>
      <c r="AK171" s="245"/>
      <c r="AL171" s="245"/>
      <c r="AM171" s="245"/>
      <c r="AN171" s="245"/>
      <c r="AO171" s="245"/>
      <c r="AP171" s="245"/>
      <c r="AQ171" s="245" t="s">
        <v>291</v>
      </c>
    </row>
    <row r="172" s="197" customFormat="1" ht="14.5" spans="2:43">
      <c r="B172" s="345"/>
      <c r="C172" s="345" t="s">
        <v>363</v>
      </c>
      <c r="D172" s="345"/>
      <c r="E172" s="245"/>
      <c r="P172" s="198"/>
      <c r="T172" s="198"/>
      <c r="U172" s="198"/>
      <c r="V172" s="198"/>
      <c r="Y172"/>
      <c r="Z172" s="246"/>
      <c r="AA172" s="246" t="s">
        <v>378</v>
      </c>
      <c r="AB172" s="246" t="s">
        <v>437</v>
      </c>
      <c r="AC172" s="348" t="s">
        <v>425</v>
      </c>
      <c r="AD172" s="348" t="s">
        <v>426</v>
      </c>
      <c r="AE172" s="246" t="str">
        <f t="shared" si="33"/>
        <v>DAYNITE</v>
      </c>
      <c r="AF172" s="246"/>
      <c r="AG172" s="246"/>
      <c r="AH172" s="205"/>
      <c r="AI172" s="245"/>
      <c r="AJ172" s="245" t="s">
        <v>429</v>
      </c>
      <c r="AK172" s="245"/>
      <c r="AL172" s="245"/>
      <c r="AM172" s="245"/>
      <c r="AN172" s="245"/>
      <c r="AO172" s="245"/>
      <c r="AP172" s="245"/>
      <c r="AQ172" s="245" t="s">
        <v>291</v>
      </c>
    </row>
    <row r="173" s="197" customFormat="1" ht="16" spans="2:43">
      <c r="B173" s="345" t="s">
        <v>220</v>
      </c>
      <c r="C173" s="345" t="s">
        <v>191</v>
      </c>
      <c r="D173" s="345" t="s">
        <v>76</v>
      </c>
      <c r="E173" s="245" t="s">
        <v>73</v>
      </c>
      <c r="F173" s="143" t="s">
        <v>438</v>
      </c>
      <c r="G173" s="197" t="s">
        <v>197</v>
      </c>
      <c r="P173" s="198"/>
      <c r="T173" s="198"/>
      <c r="U173" s="198"/>
      <c r="V173" s="198"/>
      <c r="Y173"/>
      <c r="Z173" s="246"/>
      <c r="AA173" s="246" t="s">
        <v>379</v>
      </c>
      <c r="AB173" s="246" t="s">
        <v>437</v>
      </c>
      <c r="AC173" s="348" t="s">
        <v>425</v>
      </c>
      <c r="AD173" s="348" t="s">
        <v>426</v>
      </c>
      <c r="AE173" s="246" t="str">
        <f t="shared" ref="AE173:AE178" si="34">AE172</f>
        <v>DAYNITE</v>
      </c>
      <c r="AF173" s="246"/>
      <c r="AG173" s="246"/>
      <c r="AH173" s="205"/>
      <c r="AI173" s="245"/>
      <c r="AJ173" s="245" t="s">
        <v>430</v>
      </c>
      <c r="AK173" s="245"/>
      <c r="AL173" s="245"/>
      <c r="AM173" s="245"/>
      <c r="AN173" s="245"/>
      <c r="AO173" s="245"/>
      <c r="AP173" s="245"/>
      <c r="AQ173" s="245" t="s">
        <v>291</v>
      </c>
    </row>
    <row r="174" s="197" customFormat="1" ht="14.5" spans="2:43">
      <c r="B174" s="345" t="s">
        <v>439</v>
      </c>
      <c r="C174" s="345" t="s">
        <v>429</v>
      </c>
      <c r="D174" s="345" t="s">
        <v>356</v>
      </c>
      <c r="E174" s="245">
        <v>1</v>
      </c>
      <c r="F174" s="197">
        <v>2</v>
      </c>
      <c r="G174" s="197">
        <v>1</v>
      </c>
      <c r="T174" s="198"/>
      <c r="U174" s="198"/>
      <c r="V174" s="198"/>
      <c r="Y174"/>
      <c r="Z174" s="246"/>
      <c r="AA174" s="246" t="s">
        <v>380</v>
      </c>
      <c r="AB174" s="246" t="s">
        <v>437</v>
      </c>
      <c r="AC174" s="348" t="s">
        <v>425</v>
      </c>
      <c r="AD174" s="348" t="s">
        <v>426</v>
      </c>
      <c r="AE174" s="246" t="str">
        <f t="shared" si="34"/>
        <v>DAYNITE</v>
      </c>
      <c r="AF174" s="246"/>
      <c r="AG174" s="246"/>
      <c r="AH174" s="205"/>
      <c r="AI174" s="245"/>
      <c r="AJ174" s="245" t="s">
        <v>431</v>
      </c>
      <c r="AK174" s="245"/>
      <c r="AL174" s="245"/>
      <c r="AM174" s="245"/>
      <c r="AN174" s="245"/>
      <c r="AO174" s="245"/>
      <c r="AP174" s="245"/>
      <c r="AQ174" s="245" t="s">
        <v>291</v>
      </c>
    </row>
    <row r="175" s="197" customFormat="1" ht="14.5" spans="2:43">
      <c r="B175" s="345" t="s">
        <v>440</v>
      </c>
      <c r="C175" s="345" t="s">
        <v>430</v>
      </c>
      <c r="D175" s="345" t="s">
        <v>357</v>
      </c>
      <c r="E175" s="245">
        <v>1</v>
      </c>
      <c r="F175" s="197">
        <v>2</v>
      </c>
      <c r="G175" s="197">
        <v>1</v>
      </c>
      <c r="T175" s="198"/>
      <c r="U175" s="198"/>
      <c r="V175" s="198"/>
      <c r="Y175"/>
      <c r="Z175" s="246"/>
      <c r="AA175" s="246" t="s">
        <v>381</v>
      </c>
      <c r="AB175" s="246" t="s">
        <v>437</v>
      </c>
      <c r="AC175" s="348" t="s">
        <v>425</v>
      </c>
      <c r="AD175" s="348" t="s">
        <v>426</v>
      </c>
      <c r="AE175" s="246" t="str">
        <f t="shared" si="34"/>
        <v>DAYNITE</v>
      </c>
      <c r="AF175" s="246"/>
      <c r="AG175" s="246"/>
      <c r="AI175" s="245"/>
      <c r="AJ175" s="245" t="s">
        <v>432</v>
      </c>
      <c r="AK175" s="245"/>
      <c r="AL175" s="245"/>
      <c r="AM175" s="245"/>
      <c r="AN175" s="245"/>
      <c r="AO175" s="245"/>
      <c r="AP175" s="245"/>
      <c r="AQ175" s="245" t="s">
        <v>291</v>
      </c>
    </row>
    <row r="176" s="197" customFormat="1" ht="14.5" spans="2:60">
      <c r="B176" s="345" t="s">
        <v>441</v>
      </c>
      <c r="C176" s="345" t="s">
        <v>431</v>
      </c>
      <c r="D176" s="345" t="s">
        <v>358</v>
      </c>
      <c r="E176" s="245">
        <v>1</v>
      </c>
      <c r="F176" s="197">
        <v>2</v>
      </c>
      <c r="G176" s="197">
        <v>1</v>
      </c>
      <c r="T176" s="198"/>
      <c r="U176" s="198"/>
      <c r="V176" s="198"/>
      <c r="Y176"/>
      <c r="Z176" s="246"/>
      <c r="AA176" s="246" t="s">
        <v>382</v>
      </c>
      <c r="AB176" s="246" t="s">
        <v>437</v>
      </c>
      <c r="AC176" s="348" t="s">
        <v>425</v>
      </c>
      <c r="AD176" s="348" t="s">
        <v>426</v>
      </c>
      <c r="AE176" s="246" t="str">
        <f t="shared" si="34"/>
        <v>DAYNITE</v>
      </c>
      <c r="AF176" s="246"/>
      <c r="AG176" s="246"/>
      <c r="AI176" s="245"/>
      <c r="AJ176" s="245" t="s">
        <v>434</v>
      </c>
      <c r="AK176" s="245"/>
      <c r="AL176" s="245"/>
      <c r="AM176" s="245"/>
      <c r="AN176" s="245"/>
      <c r="AO176" s="245"/>
      <c r="AP176" s="245"/>
      <c r="AQ176" s="245" t="s">
        <v>291</v>
      </c>
      <c r="AR176" s="205"/>
      <c r="AS176" s="205"/>
      <c r="AT176" s="205"/>
      <c r="AU176" s="205"/>
      <c r="AW176" s="205"/>
      <c r="AX176" s="205"/>
      <c r="BA176" s="205"/>
      <c r="BB176" s="205"/>
      <c r="BC176" s="205"/>
      <c r="BD176" s="205"/>
      <c r="BE176" s="205"/>
      <c r="BG176" s="205"/>
      <c r="BH176" s="205"/>
    </row>
    <row r="177" s="197" customFormat="1" ht="16" spans="2:60">
      <c r="B177" s="345" t="s">
        <v>442</v>
      </c>
      <c r="C177" s="345" t="s">
        <v>432</v>
      </c>
      <c r="D177" s="345" t="s">
        <v>359</v>
      </c>
      <c r="E177" s="245">
        <v>1</v>
      </c>
      <c r="F177" s="197">
        <v>2</v>
      </c>
      <c r="G177" s="197">
        <v>1</v>
      </c>
      <c r="T177" s="198"/>
      <c r="U177" s="198"/>
      <c r="V177" s="198"/>
      <c r="Y177"/>
      <c r="Z177" s="246"/>
      <c r="AA177" s="246" t="s">
        <v>383</v>
      </c>
      <c r="AB177" s="246" t="s">
        <v>437</v>
      </c>
      <c r="AC177" s="348" t="s">
        <v>425</v>
      </c>
      <c r="AD177" s="348" t="s">
        <v>426</v>
      </c>
      <c r="AE177" s="246" t="str">
        <f t="shared" si="34"/>
        <v>DAYNITE</v>
      </c>
      <c r="AF177" s="246"/>
      <c r="AG177" s="246"/>
      <c r="AI177" s="245"/>
      <c r="AJ177" s="245" t="s">
        <v>435</v>
      </c>
      <c r="AK177" s="245"/>
      <c r="AL177" s="245"/>
      <c r="AM177" s="245"/>
      <c r="AN177" s="245"/>
      <c r="AO177" s="245"/>
      <c r="AP177" s="245"/>
      <c r="AQ177" s="245" t="s">
        <v>291</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443</v>
      </c>
      <c r="C178" s="345" t="s">
        <v>434</v>
      </c>
      <c r="D178" s="345" t="s">
        <v>360</v>
      </c>
      <c r="E178" s="245">
        <v>1</v>
      </c>
      <c r="F178" s="197">
        <v>2</v>
      </c>
      <c r="G178" s="197">
        <v>1</v>
      </c>
      <c r="T178" s="198"/>
      <c r="U178" s="198"/>
      <c r="V178" s="198"/>
      <c r="Y178"/>
      <c r="Z178" s="246"/>
      <c r="AA178" s="246" t="s">
        <v>384</v>
      </c>
      <c r="AB178" s="246" t="s">
        <v>437</v>
      </c>
      <c r="AC178" s="348" t="s">
        <v>425</v>
      </c>
      <c r="AD178" s="348" t="s">
        <v>426</v>
      </c>
      <c r="AE178" s="246" t="str">
        <f t="shared" si="34"/>
        <v>DAYNITE</v>
      </c>
      <c r="AF178" s="246"/>
      <c r="AG178" s="246"/>
      <c r="AI178" s="245"/>
      <c r="AJ178" s="245" t="s">
        <v>436</v>
      </c>
      <c r="AK178" s="245"/>
      <c r="AL178" s="245"/>
      <c r="AM178" s="245"/>
      <c r="AN178" s="245"/>
      <c r="AO178" s="245"/>
      <c r="AP178" s="245"/>
      <c r="AQ178" s="245" t="s">
        <v>291</v>
      </c>
      <c r="AR178" s="205"/>
      <c r="AT178" s="263"/>
      <c r="AU178" s="205"/>
      <c r="AV178" s="205"/>
      <c r="AW178" s="205"/>
      <c r="AX178" s="205"/>
      <c r="BA178" s="205"/>
      <c r="BB178" s="205"/>
      <c r="BD178" s="263"/>
      <c r="BE178" s="205"/>
      <c r="BF178" s="205"/>
      <c r="BG178" s="205"/>
      <c r="BH178" s="205"/>
    </row>
    <row r="179" s="197" customFormat="1" ht="14.5" spans="2:43">
      <c r="B179" s="345" t="s">
        <v>444</v>
      </c>
      <c r="C179" s="345" t="s">
        <v>435</v>
      </c>
      <c r="D179" s="345" t="s">
        <v>361</v>
      </c>
      <c r="E179" s="245">
        <v>1</v>
      </c>
      <c r="F179" s="197">
        <v>2</v>
      </c>
      <c r="G179" s="197">
        <v>1</v>
      </c>
      <c r="T179" s="198"/>
      <c r="U179" s="198"/>
      <c r="V179" s="198"/>
      <c r="Y179"/>
      <c r="Z179" s="246"/>
      <c r="AA179" s="246" t="s">
        <v>408</v>
      </c>
      <c r="AB179" s="246"/>
      <c r="AC179" s="246"/>
      <c r="AD179" s="246"/>
      <c r="AE179" s="246"/>
      <c r="AF179" s="246"/>
      <c r="AG179" s="246"/>
      <c r="AI179" s="245"/>
      <c r="AJ179" s="245" t="s">
        <v>339</v>
      </c>
      <c r="AK179" s="245"/>
      <c r="AL179" s="245"/>
      <c r="AM179" s="245"/>
      <c r="AN179" s="245"/>
      <c r="AO179" s="245"/>
      <c r="AP179" s="245"/>
      <c r="AQ179" s="245" t="s">
        <v>291</v>
      </c>
    </row>
    <row r="180" s="197" customFormat="1" ht="14.5" spans="2:43">
      <c r="B180" s="345" t="s">
        <v>445</v>
      </c>
      <c r="C180" s="345" t="s">
        <v>436</v>
      </c>
      <c r="D180" s="345" t="s">
        <v>362</v>
      </c>
      <c r="E180" s="245">
        <v>1</v>
      </c>
      <c r="F180" s="197">
        <v>2</v>
      </c>
      <c r="G180" s="197">
        <v>1</v>
      </c>
      <c r="T180" s="198"/>
      <c r="U180" s="198"/>
      <c r="V180" s="198"/>
      <c r="Y180"/>
      <c r="Z180" s="246"/>
      <c r="AA180" s="246" t="s">
        <v>439</v>
      </c>
      <c r="AB180" s="246"/>
      <c r="AC180" s="348" t="s">
        <v>425</v>
      </c>
      <c r="AD180" s="348" t="s">
        <v>426</v>
      </c>
      <c r="AE180" s="246" t="s">
        <v>211</v>
      </c>
      <c r="AF180" s="246"/>
      <c r="AG180" s="246"/>
      <c r="AI180" s="245"/>
      <c r="AJ180" s="245" t="s">
        <v>340</v>
      </c>
      <c r="AK180" s="245"/>
      <c r="AL180" s="245"/>
      <c r="AM180" s="245"/>
      <c r="AN180" s="245"/>
      <c r="AO180" s="245"/>
      <c r="AP180" s="245"/>
      <c r="AQ180" s="245" t="s">
        <v>291</v>
      </c>
    </row>
    <row r="181" s="197" customFormat="1" ht="14.5" spans="2:43">
      <c r="B181" s="345" t="s">
        <v>446</v>
      </c>
      <c r="C181" s="345" t="s">
        <v>429</v>
      </c>
      <c r="D181" s="345" t="s">
        <v>339</v>
      </c>
      <c r="E181" s="245">
        <v>1</v>
      </c>
      <c r="F181" s="197">
        <v>0</v>
      </c>
      <c r="G181" s="197">
        <v>1</v>
      </c>
      <c r="T181" s="198"/>
      <c r="U181" s="198"/>
      <c r="V181" s="198"/>
      <c r="Y181"/>
      <c r="Z181" s="246"/>
      <c r="AA181" s="246" t="s">
        <v>440</v>
      </c>
      <c r="AB181" s="246"/>
      <c r="AC181" s="348" t="s">
        <v>425</v>
      </c>
      <c r="AD181" s="348" t="s">
        <v>426</v>
      </c>
      <c r="AE181" s="246" t="s">
        <v>211</v>
      </c>
      <c r="AF181" s="246"/>
      <c r="AG181" s="246"/>
      <c r="AI181" s="245"/>
      <c r="AJ181" s="245" t="s">
        <v>341</v>
      </c>
      <c r="AK181" s="245"/>
      <c r="AL181" s="245"/>
      <c r="AM181" s="245"/>
      <c r="AN181" s="245"/>
      <c r="AO181" s="245"/>
      <c r="AP181" s="245"/>
      <c r="AQ181" s="245" t="s">
        <v>291</v>
      </c>
    </row>
    <row r="182" s="197" customFormat="1" ht="14.5" spans="2:43">
      <c r="B182" s="345" t="s">
        <v>447</v>
      </c>
      <c r="C182" s="345" t="s">
        <v>430</v>
      </c>
      <c r="D182" s="345" t="s">
        <v>340</v>
      </c>
      <c r="E182" s="245">
        <v>1</v>
      </c>
      <c r="F182" s="197">
        <v>0</v>
      </c>
      <c r="G182" s="197">
        <v>1</v>
      </c>
      <c r="T182" s="198"/>
      <c r="U182" s="198"/>
      <c r="V182" s="198"/>
      <c r="Y182"/>
      <c r="Z182" s="246"/>
      <c r="AA182" s="246" t="s">
        <v>441</v>
      </c>
      <c r="AB182" s="246"/>
      <c r="AC182" s="348" t="s">
        <v>425</v>
      </c>
      <c r="AD182" s="348" t="s">
        <v>426</v>
      </c>
      <c r="AE182" s="246" t="s">
        <v>211</v>
      </c>
      <c r="AF182" s="246"/>
      <c r="AG182" s="246"/>
      <c r="AI182" s="245"/>
      <c r="AJ182" s="245" t="s">
        <v>342</v>
      </c>
      <c r="AK182" s="245"/>
      <c r="AL182" s="245"/>
      <c r="AM182" s="245"/>
      <c r="AN182" s="245"/>
      <c r="AO182" s="245"/>
      <c r="AP182" s="245"/>
      <c r="AQ182" s="245" t="s">
        <v>291</v>
      </c>
    </row>
    <row r="183" s="197" customFormat="1" ht="14.5" spans="2:43">
      <c r="B183" s="345" t="s">
        <v>448</v>
      </c>
      <c r="C183" s="345" t="s">
        <v>431</v>
      </c>
      <c r="D183" s="345" t="s">
        <v>341</v>
      </c>
      <c r="E183" s="245">
        <v>1</v>
      </c>
      <c r="F183" s="197">
        <v>0</v>
      </c>
      <c r="G183" s="197">
        <v>1</v>
      </c>
      <c r="Y183"/>
      <c r="Z183" s="246"/>
      <c r="AA183" s="246" t="s">
        <v>442</v>
      </c>
      <c r="AB183" s="246"/>
      <c r="AC183" s="348" t="s">
        <v>425</v>
      </c>
      <c r="AD183" s="348" t="s">
        <v>426</v>
      </c>
      <c r="AE183" s="246" t="s">
        <v>211</v>
      </c>
      <c r="AF183" s="246"/>
      <c r="AG183" s="246"/>
      <c r="AI183" s="245"/>
      <c r="AJ183" s="245" t="s">
        <v>343</v>
      </c>
      <c r="AK183" s="245"/>
      <c r="AL183" s="245"/>
      <c r="AM183" s="245"/>
      <c r="AN183" s="245"/>
      <c r="AO183" s="245"/>
      <c r="AP183" s="245"/>
      <c r="AQ183" s="245" t="s">
        <v>291</v>
      </c>
    </row>
    <row r="184" s="197" customFormat="1" ht="14.5" spans="2:43">
      <c r="B184" s="345" t="s">
        <v>449</v>
      </c>
      <c r="C184" s="345" t="s">
        <v>432</v>
      </c>
      <c r="D184" s="345" t="s">
        <v>342</v>
      </c>
      <c r="E184" s="245">
        <v>1</v>
      </c>
      <c r="F184" s="197">
        <v>0</v>
      </c>
      <c r="G184" s="197">
        <v>1</v>
      </c>
      <c r="Y184"/>
      <c r="Z184" s="246"/>
      <c r="AA184" s="246" t="s">
        <v>443</v>
      </c>
      <c r="AB184" s="246"/>
      <c r="AC184" s="348" t="s">
        <v>425</v>
      </c>
      <c r="AD184" s="348" t="s">
        <v>426</v>
      </c>
      <c r="AE184" s="246" t="s">
        <v>211</v>
      </c>
      <c r="AF184" s="246"/>
      <c r="AG184" s="246"/>
      <c r="AI184" s="245"/>
      <c r="AJ184" s="245" t="s">
        <v>344</v>
      </c>
      <c r="AK184" s="245"/>
      <c r="AL184" s="245"/>
      <c r="AM184" s="245"/>
      <c r="AN184" s="245"/>
      <c r="AO184" s="245"/>
      <c r="AP184" s="245"/>
      <c r="AQ184" s="245" t="s">
        <v>291</v>
      </c>
    </row>
    <row r="185" s="197" customFormat="1" ht="14.5" spans="2:43">
      <c r="B185" s="345" t="s">
        <v>450</v>
      </c>
      <c r="C185" s="345" t="s">
        <v>434</v>
      </c>
      <c r="D185" s="345" t="s">
        <v>343</v>
      </c>
      <c r="E185" s="245">
        <v>1</v>
      </c>
      <c r="F185" s="197">
        <v>0</v>
      </c>
      <c r="G185" s="197">
        <v>1</v>
      </c>
      <c r="Y185"/>
      <c r="Z185" s="246"/>
      <c r="AA185" s="246" t="s">
        <v>444</v>
      </c>
      <c r="AB185" s="246"/>
      <c r="AC185" s="348" t="s">
        <v>425</v>
      </c>
      <c r="AD185" s="348" t="s">
        <v>426</v>
      </c>
      <c r="AE185" s="246" t="s">
        <v>211</v>
      </c>
      <c r="AF185" s="246"/>
      <c r="AG185" s="246"/>
      <c r="AI185" s="350"/>
      <c r="AJ185" s="350" t="s">
        <v>345</v>
      </c>
      <c r="AK185" s="245"/>
      <c r="AL185" s="245"/>
      <c r="AM185" s="245"/>
      <c r="AN185" s="245"/>
      <c r="AO185" s="245"/>
      <c r="AP185" s="245"/>
      <c r="AQ185" s="350" t="s">
        <v>291</v>
      </c>
    </row>
    <row r="186" s="197" customFormat="1" ht="14.5" spans="2:43">
      <c r="B186" s="345" t="s">
        <v>451</v>
      </c>
      <c r="C186" s="345" t="s">
        <v>435</v>
      </c>
      <c r="D186" s="345" t="s">
        <v>344</v>
      </c>
      <c r="E186" s="245">
        <v>1</v>
      </c>
      <c r="F186" s="197">
        <v>0</v>
      </c>
      <c r="G186" s="197">
        <v>1</v>
      </c>
      <c r="Y186"/>
      <c r="Z186" s="246"/>
      <c r="AA186" s="246" t="s">
        <v>445</v>
      </c>
      <c r="AB186" s="246"/>
      <c r="AC186" s="348" t="s">
        <v>425</v>
      </c>
      <c r="AD186" s="348" t="s">
        <v>426</v>
      </c>
      <c r="AE186" s="246" t="s">
        <v>211</v>
      </c>
      <c r="AF186" s="246"/>
      <c r="AG186" s="246"/>
      <c r="AH186" s="198"/>
      <c r="AI186" s="198"/>
      <c r="AJ186" s="252"/>
      <c r="AK186" s="199"/>
      <c r="AL186" s="199"/>
      <c r="AM186"/>
      <c r="AN186"/>
      <c r="AO186"/>
      <c r="AP186"/>
      <c r="AQ186"/>
    </row>
    <row r="187" s="197" customFormat="1" ht="14.5" spans="2:43">
      <c r="B187" s="345" t="s">
        <v>452</v>
      </c>
      <c r="C187" s="345" t="s">
        <v>436</v>
      </c>
      <c r="D187" s="345" t="s">
        <v>345</v>
      </c>
      <c r="E187" s="245">
        <v>1</v>
      </c>
      <c r="F187" s="197">
        <v>0</v>
      </c>
      <c r="G187" s="197">
        <v>1</v>
      </c>
      <c r="Y187" s="199"/>
      <c r="Z187" s="246"/>
      <c r="AA187" s="246" t="s">
        <v>446</v>
      </c>
      <c r="AB187" s="246"/>
      <c r="AC187" s="348" t="s">
        <v>425</v>
      </c>
      <c r="AD187" s="348" t="s">
        <v>426</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447</v>
      </c>
      <c r="AB188" s="246"/>
      <c r="AC188" s="348" t="s">
        <v>425</v>
      </c>
      <c r="AD188" s="348" t="s">
        <v>426</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448</v>
      </c>
      <c r="AB189" s="246"/>
      <c r="AC189" s="348" t="s">
        <v>425</v>
      </c>
      <c r="AD189" s="348" t="s">
        <v>426</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449</v>
      </c>
      <c r="AB190" s="246"/>
      <c r="AC190" s="348" t="s">
        <v>425</v>
      </c>
      <c r="AD190" s="348" t="s">
        <v>426</v>
      </c>
      <c r="AE190" s="246" t="s">
        <v>211</v>
      </c>
      <c r="AF190" s="246"/>
      <c r="AG190" s="348"/>
      <c r="AH190" s="198"/>
      <c r="AI190" s="198"/>
      <c r="AJ190" s="252"/>
      <c r="AK190" s="199"/>
      <c r="AL190" s="199"/>
      <c r="AM190" s="199"/>
      <c r="AN190" s="199"/>
      <c r="AO190" s="199"/>
      <c r="AP190" s="199"/>
      <c r="AQ190" s="199"/>
    </row>
    <row r="191" s="197" customFormat="1" ht="14.5" spans="25:43">
      <c r="Y191" s="199"/>
      <c r="Z191" s="246"/>
      <c r="AA191" s="246" t="s">
        <v>450</v>
      </c>
      <c r="AB191" s="246"/>
      <c r="AC191" s="348" t="s">
        <v>425</v>
      </c>
      <c r="AD191" s="348" t="s">
        <v>426</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451</v>
      </c>
      <c r="AB192" s="246"/>
      <c r="AC192" s="348" t="s">
        <v>425</v>
      </c>
      <c r="AD192" s="348" t="s">
        <v>426</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452</v>
      </c>
      <c r="AB193" s="246"/>
      <c r="AC193" s="348" t="s">
        <v>425</v>
      </c>
      <c r="AD193" s="348" t="s">
        <v>426</v>
      </c>
      <c r="AE193" s="246" t="s">
        <v>211</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45" t="s">
        <v>456</v>
      </c>
      <c r="AT212" s="354"/>
      <c r="AU212" s="354"/>
      <c r="AV212" s="245"/>
      <c r="AW212" s="245"/>
      <c r="AX212" s="245"/>
      <c r="AY212" s="245"/>
      <c r="AZ212" s="245"/>
      <c r="BA212" s="245"/>
      <c r="BB212" s="246"/>
      <c r="BC212" s="245" t="s">
        <v>456</v>
      </c>
      <c r="BD212" s="354"/>
      <c r="BE212" s="354"/>
      <c r="BF212" s="245"/>
      <c r="BG212" s="245"/>
      <c r="BH212" s="245"/>
      <c r="BI212" s="245"/>
      <c r="BJ212" s="245"/>
      <c r="BK212" s="245"/>
      <c r="BL212" s="245"/>
    </row>
    <row r="213" ht="13" spans="2:64">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351" t="s">
        <v>363</v>
      </c>
      <c r="AB213" s="351"/>
      <c r="AC213" s="351"/>
      <c r="AD213" s="352"/>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45" t="s">
        <v>220</v>
      </c>
      <c r="AT213" s="245" t="s">
        <v>268</v>
      </c>
      <c r="AU213" s="245" t="s">
        <v>277</v>
      </c>
      <c r="AV213" s="245" t="s">
        <v>279</v>
      </c>
      <c r="AW213" s="245" t="s">
        <v>281</v>
      </c>
      <c r="AX213" s="245" t="s">
        <v>284</v>
      </c>
      <c r="AY213" s="245" t="s">
        <v>286</v>
      </c>
      <c r="AZ213" s="245" t="s">
        <v>288</v>
      </c>
      <c r="BA213" s="245" t="s">
        <v>400</v>
      </c>
      <c r="BB213" s="246"/>
      <c r="BC213" s="245" t="s">
        <v>220</v>
      </c>
      <c r="BD213" s="245" t="s">
        <v>268</v>
      </c>
      <c r="BE213" s="245" t="s">
        <v>277</v>
      </c>
      <c r="BF213" s="245" t="s">
        <v>279</v>
      </c>
      <c r="BG213" s="245" t="s">
        <v>281</v>
      </c>
      <c r="BH213" s="245" t="s">
        <v>284</v>
      </c>
      <c r="BI213" s="245" t="s">
        <v>286</v>
      </c>
      <c r="BJ213" s="245" t="s">
        <v>288</v>
      </c>
      <c r="BK213" s="245" t="s">
        <v>400</v>
      </c>
      <c r="BL213" s="245" t="s">
        <v>406</v>
      </c>
    </row>
    <row r="214" ht="14.5" spans="2:64">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353" t="str">
        <f>B214</f>
        <v>process</v>
      </c>
      <c r="AB214" s="354" t="s">
        <v>191</v>
      </c>
      <c r="AC214" s="354" t="s">
        <v>76</v>
      </c>
      <c r="AD214" s="355" t="s">
        <v>73</v>
      </c>
      <c r="AE214" s="289"/>
      <c r="AF214" s="289"/>
      <c r="AG214" s="285"/>
      <c r="AH214" s="301" t="s">
        <v>468</v>
      </c>
      <c r="AI214" s="233">
        <v>0</v>
      </c>
      <c r="AJ214" s="233">
        <v>0.98</v>
      </c>
      <c r="AK214" s="233">
        <v>0.9</v>
      </c>
      <c r="AL214" s="233">
        <v>0</v>
      </c>
      <c r="AM214" s="233">
        <v>0</v>
      </c>
      <c r="AN214" s="233">
        <v>0.9</v>
      </c>
      <c r="AO214" s="233">
        <v>0</v>
      </c>
      <c r="AP214" s="233">
        <v>0.9</v>
      </c>
      <c r="AQ214" s="303"/>
      <c r="AS214" s="361" t="s">
        <v>364</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364</v>
      </c>
      <c r="BD214" s="351">
        <v>5</v>
      </c>
      <c r="BE214" s="351">
        <v>5</v>
      </c>
      <c r="BF214" s="351">
        <v>5</v>
      </c>
      <c r="BG214" s="351">
        <v>5</v>
      </c>
      <c r="BH214" s="351">
        <v>5</v>
      </c>
      <c r="BI214" s="351">
        <v>5</v>
      </c>
      <c r="BJ214" s="351">
        <v>5</v>
      </c>
      <c r="BK214" s="245" t="s">
        <v>305</v>
      </c>
      <c r="BL214" s="245">
        <v>0</v>
      </c>
    </row>
    <row r="215" ht="20" spans="1:64">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469</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365</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365</v>
      </c>
      <c r="BD215" s="351">
        <v>5</v>
      </c>
      <c r="BE215" s="351">
        <v>5</v>
      </c>
      <c r="BF215" s="351">
        <v>5</v>
      </c>
      <c r="BG215" s="351">
        <v>5</v>
      </c>
      <c r="BH215" s="351">
        <v>5</v>
      </c>
      <c r="BI215" s="351">
        <v>5</v>
      </c>
      <c r="BJ215" s="351">
        <v>5</v>
      </c>
      <c r="BK215" s="245" t="s">
        <v>305</v>
      </c>
      <c r="BL215" s="245">
        <v>0</v>
      </c>
    </row>
    <row r="216" ht="20" spans="1:64">
      <c r="A216" s="268"/>
      <c r="B216" s="267" t="s">
        <v>364</v>
      </c>
      <c r="C216" s="267">
        <f>S216</f>
        <v>7.11384396954065</v>
      </c>
      <c r="D216" s="269">
        <f>P216</f>
        <v>5.40179852616065</v>
      </c>
      <c r="E216" s="269">
        <f>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469</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366</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366</v>
      </c>
      <c r="BD216" s="351">
        <v>5</v>
      </c>
      <c r="BE216" s="351">
        <v>5</v>
      </c>
      <c r="BF216" s="351">
        <v>5</v>
      </c>
      <c r="BG216" s="351">
        <v>5</v>
      </c>
      <c r="BH216" s="351">
        <v>5</v>
      </c>
      <c r="BI216" s="351">
        <v>5</v>
      </c>
      <c r="BJ216" s="351">
        <v>5</v>
      </c>
      <c r="BK216" s="245" t="s">
        <v>305</v>
      </c>
      <c r="BL216" s="245">
        <v>0</v>
      </c>
    </row>
    <row r="217" ht="20" spans="1:64">
      <c r="A217" s="270"/>
      <c r="B217" s="267" t="s">
        <v>365</v>
      </c>
      <c r="C217" s="267">
        <f t="shared" ref="C217:C222" si="50">S217</f>
        <v>7.11384396954065</v>
      </c>
      <c r="D217" s="269">
        <f t="shared" ref="D217:D222" si="51">P217</f>
        <v>5.40179852616065</v>
      </c>
      <c r="E217" s="269">
        <f t="shared" ref="E217:E222" si="52">J217</f>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469</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367</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367</v>
      </c>
      <c r="BD217" s="351">
        <v>5</v>
      </c>
      <c r="BE217" s="351">
        <v>5</v>
      </c>
      <c r="BF217" s="351">
        <v>5</v>
      </c>
      <c r="BG217" s="351">
        <v>5</v>
      </c>
      <c r="BH217" s="351">
        <v>5</v>
      </c>
      <c r="BI217" s="351">
        <v>5</v>
      </c>
      <c r="BJ217" s="351">
        <v>5</v>
      </c>
      <c r="BK217" s="245" t="s">
        <v>305</v>
      </c>
      <c r="BL217" s="245">
        <v>0</v>
      </c>
    </row>
    <row r="218" ht="15.5" spans="2:64">
      <c r="B218" s="267" t="s">
        <v>366</v>
      </c>
      <c r="C218" s="267">
        <f t="shared" si="50"/>
        <v>7.62975445836404</v>
      </c>
      <c r="D218" s="269">
        <f t="shared" si="51"/>
        <v>5.79354797347089</v>
      </c>
      <c r="E218" s="269">
        <f t="shared" si="52"/>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469</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368</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368</v>
      </c>
      <c r="BD218" s="351">
        <v>5</v>
      </c>
      <c r="BE218" s="351">
        <v>5</v>
      </c>
      <c r="BF218" s="351">
        <v>5</v>
      </c>
      <c r="BG218" s="351">
        <v>5</v>
      </c>
      <c r="BH218" s="351">
        <v>5</v>
      </c>
      <c r="BI218" s="351">
        <v>5</v>
      </c>
      <c r="BJ218" s="351">
        <v>5</v>
      </c>
      <c r="BK218" s="245" t="s">
        <v>305</v>
      </c>
      <c r="BL218" s="245">
        <v>0</v>
      </c>
    </row>
    <row r="219" ht="15.5" spans="2:64">
      <c r="B219" s="267" t="s">
        <v>367</v>
      </c>
      <c r="C219" s="267">
        <f t="shared" si="50"/>
        <v>7.47097081798084</v>
      </c>
      <c r="D219" s="269">
        <f t="shared" si="51"/>
        <v>5.67297781871776</v>
      </c>
      <c r="E219" s="269">
        <f t="shared" si="52"/>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469</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369</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369</v>
      </c>
      <c r="BD219" s="351">
        <v>5</v>
      </c>
      <c r="BE219" s="351">
        <v>5</v>
      </c>
      <c r="BF219" s="351">
        <v>5</v>
      </c>
      <c r="BG219" s="351">
        <v>5</v>
      </c>
      <c r="BH219" s="351">
        <v>5</v>
      </c>
      <c r="BI219" s="351">
        <v>5</v>
      </c>
      <c r="BJ219" s="351">
        <v>5</v>
      </c>
      <c r="BK219" s="245" t="s">
        <v>305</v>
      </c>
      <c r="BL219" s="245">
        <v>0</v>
      </c>
    </row>
    <row r="220" ht="15.5" spans="2:64">
      <c r="B220" s="267" t="s">
        <v>368</v>
      </c>
      <c r="C220" s="267">
        <f t="shared" si="50"/>
        <v>7.51643520019651</v>
      </c>
      <c r="D220" s="269">
        <f t="shared" si="51"/>
        <v>5.70750058953574</v>
      </c>
      <c r="E220" s="269">
        <f t="shared" si="52"/>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469</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370</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370</v>
      </c>
      <c r="BD220" s="351">
        <v>5</v>
      </c>
      <c r="BE220" s="351">
        <v>5</v>
      </c>
      <c r="BF220" s="351">
        <v>5</v>
      </c>
      <c r="BG220" s="351">
        <v>5</v>
      </c>
      <c r="BH220" s="351">
        <v>5</v>
      </c>
      <c r="BI220" s="351">
        <v>5</v>
      </c>
      <c r="BJ220" s="351">
        <v>5</v>
      </c>
      <c r="BK220" s="245" t="s">
        <v>305</v>
      </c>
      <c r="BL220" s="245">
        <v>0</v>
      </c>
    </row>
    <row r="221" ht="15.5" spans="2:64">
      <c r="B221" s="267" t="s">
        <v>369</v>
      </c>
      <c r="C221" s="267">
        <f t="shared" si="50"/>
        <v>7.55036263817244</v>
      </c>
      <c r="D221" s="269">
        <f t="shared" si="51"/>
        <v>5.73326293294031</v>
      </c>
      <c r="E221" s="269">
        <f t="shared" si="52"/>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469</v>
      </c>
      <c r="AD221" s="357">
        <f t="shared" si="48"/>
        <v>1.1496</v>
      </c>
      <c r="AE221" s="291"/>
      <c r="AF221" s="291"/>
      <c r="AG221" s="285"/>
      <c r="AH221" s="206"/>
      <c r="AI221" s="302"/>
      <c r="AJ221" s="197"/>
      <c r="AK221" s="197"/>
      <c r="AL221" s="197"/>
      <c r="AM221" s="197"/>
      <c r="AN221" s="197"/>
      <c r="AO221" s="197"/>
      <c r="AP221" s="197"/>
      <c r="AQ221" s="303"/>
      <c r="AS221" s="361" t="s">
        <v>371</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371</v>
      </c>
      <c r="BD221" s="351">
        <v>5</v>
      </c>
      <c r="BE221" s="351">
        <v>5</v>
      </c>
      <c r="BF221" s="351">
        <v>5</v>
      </c>
      <c r="BG221" s="351">
        <v>5</v>
      </c>
      <c r="BH221" s="351">
        <v>5</v>
      </c>
      <c r="BI221" s="351">
        <v>5</v>
      </c>
      <c r="BJ221" s="351">
        <v>5</v>
      </c>
      <c r="BK221" s="245" t="s">
        <v>305</v>
      </c>
      <c r="BL221" s="245">
        <v>0</v>
      </c>
    </row>
    <row r="222" ht="15.5" spans="2:64">
      <c r="B222" s="267" t="s">
        <v>370</v>
      </c>
      <c r="C222" s="267">
        <f t="shared" si="50"/>
        <v>7.62975445836404</v>
      </c>
      <c r="D222" s="269">
        <f t="shared" si="51"/>
        <v>5.79354797347089</v>
      </c>
      <c r="E222" s="269">
        <f t="shared" si="52"/>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469</v>
      </c>
      <c r="AD222" s="357">
        <f t="shared" si="48"/>
        <v>5.0886</v>
      </c>
      <c r="AE222" s="291"/>
      <c r="AF222" s="291"/>
      <c r="AG222" s="285"/>
      <c r="AH222" s="303"/>
      <c r="AI222" s="303"/>
      <c r="AJ222" s="303"/>
      <c r="AK222" s="303"/>
      <c r="AL222" s="303"/>
      <c r="AM222" s="303"/>
      <c r="AN222" s="303"/>
      <c r="AO222" s="303"/>
      <c r="AP222" s="303"/>
      <c r="AQ222" s="303"/>
      <c r="AS222" s="361" t="s">
        <v>372</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372</v>
      </c>
      <c r="BD222" s="351">
        <v>5</v>
      </c>
      <c r="BE222" s="351">
        <v>5</v>
      </c>
      <c r="BF222" s="351">
        <v>5</v>
      </c>
      <c r="BG222" s="351">
        <v>5</v>
      </c>
      <c r="BH222" s="351">
        <v>5</v>
      </c>
      <c r="BI222" s="351">
        <v>5</v>
      </c>
      <c r="BJ222" s="351">
        <v>5</v>
      </c>
      <c r="BK222" s="245" t="s">
        <v>305</v>
      </c>
      <c r="BL222" s="245">
        <v>0</v>
      </c>
    </row>
    <row r="223" ht="21" spans="2:64">
      <c r="B223" s="267" t="s">
        <v>371</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469</v>
      </c>
      <c r="AD223" s="357">
        <f t="shared" si="48"/>
        <v>6.09218</v>
      </c>
      <c r="AE223" s="291"/>
      <c r="AF223" s="292"/>
      <c r="AG223" s="285"/>
      <c r="AH223" s="234" t="s">
        <v>472</v>
      </c>
      <c r="AI223" s="234"/>
      <c r="AJ223" s="234"/>
      <c r="AK223" s="234"/>
      <c r="AL223" s="234"/>
      <c r="AM223" s="234"/>
      <c r="AN223" s="234"/>
      <c r="AO223" s="303"/>
      <c r="AP223" s="303"/>
      <c r="AQ223" s="303"/>
      <c r="AS223" s="361" t="s">
        <v>373</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373</v>
      </c>
      <c r="BD223" s="351">
        <v>5</v>
      </c>
      <c r="BE223" s="351">
        <v>5</v>
      </c>
      <c r="BF223" s="351">
        <v>5</v>
      </c>
      <c r="BG223" s="351">
        <v>5</v>
      </c>
      <c r="BH223" s="351">
        <v>5</v>
      </c>
      <c r="BI223" s="351">
        <v>5</v>
      </c>
      <c r="BJ223" s="351">
        <v>5</v>
      </c>
      <c r="BK223" s="245" t="s">
        <v>305</v>
      </c>
      <c r="BL223" s="245">
        <v>0</v>
      </c>
    </row>
    <row r="224" ht="13" spans="2:64">
      <c r="B224" s="267" t="s">
        <v>372</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469</v>
      </c>
      <c r="AD224" s="357">
        <f t="shared" si="48"/>
        <v>4.89062</v>
      </c>
      <c r="AE224" s="291"/>
      <c r="AF224" s="292"/>
      <c r="AG224" s="285"/>
      <c r="AH224" s="303"/>
      <c r="AI224" s="304" t="s">
        <v>315</v>
      </c>
      <c r="AJ224" s="304" t="s">
        <v>317</v>
      </c>
      <c r="AK224" s="304" t="s">
        <v>319</v>
      </c>
      <c r="AL224" s="304" t="s">
        <v>328</v>
      </c>
      <c r="AM224" s="304" t="s">
        <v>330</v>
      </c>
      <c r="AN224" s="304" t="s">
        <v>333</v>
      </c>
      <c r="AO224" s="304" t="s">
        <v>473</v>
      </c>
      <c r="AP224" s="303"/>
      <c r="AQ224" s="303"/>
      <c r="AS224" s="361" t="s">
        <v>374</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374</v>
      </c>
      <c r="BD224" s="351">
        <v>5</v>
      </c>
      <c r="BE224" s="351">
        <v>5</v>
      </c>
      <c r="BF224" s="351">
        <v>5</v>
      </c>
      <c r="BG224" s="351">
        <v>5</v>
      </c>
      <c r="BH224" s="351">
        <v>5</v>
      </c>
      <c r="BI224" s="351">
        <v>5</v>
      </c>
      <c r="BJ224" s="351">
        <v>5</v>
      </c>
      <c r="BK224" s="245" t="s">
        <v>305</v>
      </c>
      <c r="BL224" s="245">
        <v>0</v>
      </c>
    </row>
    <row r="225" ht="13" spans="2:64">
      <c r="B225" s="267" t="s">
        <v>373</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469</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375</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375</v>
      </c>
      <c r="BD225" s="351">
        <v>5</v>
      </c>
      <c r="BE225" s="351">
        <v>5</v>
      </c>
      <c r="BF225" s="351">
        <v>5</v>
      </c>
      <c r="BG225" s="351">
        <v>5</v>
      </c>
      <c r="BH225" s="351">
        <v>5</v>
      </c>
      <c r="BI225" s="351">
        <v>5</v>
      </c>
      <c r="BJ225" s="351">
        <v>5</v>
      </c>
      <c r="BK225" s="245" t="s">
        <v>305</v>
      </c>
      <c r="BL225" s="245">
        <v>0</v>
      </c>
    </row>
    <row r="226" ht="13" spans="2:64">
      <c r="B226" s="267" t="s">
        <v>374</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469</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376</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376</v>
      </c>
      <c r="BD226" s="351">
        <v>5</v>
      </c>
      <c r="BE226" s="351">
        <v>5</v>
      </c>
      <c r="BF226" s="351">
        <v>5</v>
      </c>
      <c r="BG226" s="351">
        <v>5</v>
      </c>
      <c r="BH226" s="351">
        <v>5</v>
      </c>
      <c r="BI226" s="351">
        <v>5</v>
      </c>
      <c r="BJ226" s="351">
        <v>5</v>
      </c>
      <c r="BK226" s="245" t="s">
        <v>305</v>
      </c>
      <c r="BL226" s="245">
        <v>0</v>
      </c>
    </row>
    <row r="227" ht="13" spans="2:64">
      <c r="B227" s="267" t="s">
        <v>375</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469</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377</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377</v>
      </c>
      <c r="BD227" s="351">
        <v>5</v>
      </c>
      <c r="BE227" s="351">
        <v>5</v>
      </c>
      <c r="BF227" s="351">
        <v>5</v>
      </c>
      <c r="BG227" s="351">
        <v>5</v>
      </c>
      <c r="BH227" s="351">
        <v>5</v>
      </c>
      <c r="BI227" s="351">
        <v>5</v>
      </c>
      <c r="BJ227" s="351">
        <v>5</v>
      </c>
      <c r="BK227" s="245" t="s">
        <v>305</v>
      </c>
      <c r="BL227" s="245">
        <v>0</v>
      </c>
    </row>
    <row r="228" ht="13" spans="2:64">
      <c r="B228" s="267" t="s">
        <v>376</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469</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378</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378</v>
      </c>
      <c r="BD228" s="351">
        <v>5</v>
      </c>
      <c r="BE228" s="351">
        <v>5</v>
      </c>
      <c r="BF228" s="351">
        <v>5</v>
      </c>
      <c r="BG228" s="351">
        <v>5</v>
      </c>
      <c r="BH228" s="351">
        <v>5</v>
      </c>
      <c r="BI228" s="351">
        <v>5</v>
      </c>
      <c r="BJ228" s="351">
        <v>5</v>
      </c>
      <c r="BK228" s="245" t="s">
        <v>305</v>
      </c>
      <c r="BL228" s="245">
        <v>0</v>
      </c>
    </row>
    <row r="229" ht="13" spans="2:64">
      <c r="B229" s="267" t="s">
        <v>377</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469</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379</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379</v>
      </c>
      <c r="BD229" s="351">
        <v>5</v>
      </c>
      <c r="BE229" s="351">
        <v>5</v>
      </c>
      <c r="BF229" s="351">
        <v>5</v>
      </c>
      <c r="BG229" s="351">
        <v>5</v>
      </c>
      <c r="BH229" s="351">
        <v>5</v>
      </c>
      <c r="BI229" s="351">
        <v>5</v>
      </c>
      <c r="BJ229" s="351">
        <v>5</v>
      </c>
      <c r="BK229" s="245" t="s">
        <v>305</v>
      </c>
      <c r="BL229" s="245">
        <v>0</v>
      </c>
    </row>
    <row r="230" ht="23" spans="1:64">
      <c r="A230" s="271"/>
      <c r="B230" s="267" t="s">
        <v>378</v>
      </c>
      <c r="C230" s="267">
        <f>U216</f>
        <v>3.56556266273643</v>
      </c>
      <c r="D230" s="269">
        <f>R216</f>
        <v>2.70746042741341</v>
      </c>
      <c r="E230" s="269">
        <f>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469</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380</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380</v>
      </c>
      <c r="BD230" s="351">
        <v>5</v>
      </c>
      <c r="BE230" s="351">
        <v>5</v>
      </c>
      <c r="BF230" s="351">
        <v>5</v>
      </c>
      <c r="BG230" s="351">
        <v>5</v>
      </c>
      <c r="BH230" s="351">
        <v>5</v>
      </c>
      <c r="BI230" s="351">
        <v>5</v>
      </c>
      <c r="BJ230" s="351">
        <v>5</v>
      </c>
      <c r="BK230" s="245" t="s">
        <v>305</v>
      </c>
      <c r="BL230" s="245">
        <v>0</v>
      </c>
    </row>
    <row r="231" ht="25" spans="1:64">
      <c r="A231" s="249"/>
      <c r="B231" s="267" t="s">
        <v>379</v>
      </c>
      <c r="C231" s="267">
        <f t="shared" ref="C231:C236" si="65">U217</f>
        <v>3.60087708179809</v>
      </c>
      <c r="D231" s="269">
        <f t="shared" ref="D231:D236" si="66">R217</f>
        <v>2.73427597641857</v>
      </c>
      <c r="E231" s="269">
        <f t="shared" ref="E231:E236" si="67">L217</f>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356" t="str">
        <f t="shared" si="47"/>
        <v>DirRecy-NCA</v>
      </c>
      <c r="AB231" s="345" t="s">
        <v>358</v>
      </c>
      <c r="AC231" s="245" t="s">
        <v>469</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381</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381</v>
      </c>
      <c r="BD231" s="351">
        <v>5</v>
      </c>
      <c r="BE231" s="351">
        <v>5</v>
      </c>
      <c r="BF231" s="351">
        <v>5</v>
      </c>
      <c r="BG231" s="351">
        <v>5</v>
      </c>
      <c r="BH231" s="351">
        <v>5</v>
      </c>
      <c r="BI231" s="351">
        <v>5</v>
      </c>
      <c r="BJ231" s="351">
        <v>5</v>
      </c>
      <c r="BK231" s="245" t="s">
        <v>305</v>
      </c>
      <c r="BL231" s="245">
        <v>0</v>
      </c>
    </row>
    <row r="232" ht="13" spans="2:64">
      <c r="B232" s="267" t="s">
        <v>380</v>
      </c>
      <c r="C232" s="267">
        <f t="shared" si="65"/>
        <v>3.56556266273643</v>
      </c>
      <c r="D232" s="269">
        <f t="shared" si="66"/>
        <v>2.70746042741341</v>
      </c>
      <c r="E232" s="269">
        <f t="shared" si="67"/>
        <v>4.4384597641857</v>
      </c>
      <c r="I232" s="216" t="s">
        <v>220</v>
      </c>
      <c r="J232" s="216" t="s">
        <v>213</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356" t="str">
        <f t="shared" si="47"/>
        <v>DirRecy-NMC111</v>
      </c>
      <c r="AB232" s="345" t="s">
        <v>359</v>
      </c>
      <c r="AC232" s="245" t="s">
        <v>469</v>
      </c>
      <c r="AD232" s="357">
        <f t="shared" si="48"/>
        <v>5.3433</v>
      </c>
      <c r="AE232" s="291"/>
      <c r="AF232" s="293"/>
      <c r="AG232" s="285"/>
      <c r="AH232" s="303"/>
      <c r="AI232" s="303"/>
      <c r="AJ232" s="303"/>
      <c r="AK232" s="303"/>
      <c r="AL232" s="303"/>
      <c r="AM232" s="303"/>
      <c r="AN232" s="303"/>
      <c r="AO232" s="303"/>
      <c r="AP232" s="303"/>
      <c r="AQ232" s="303"/>
      <c r="AS232" s="356" t="s">
        <v>382</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382</v>
      </c>
      <c r="BD232" s="351">
        <v>5</v>
      </c>
      <c r="BE232" s="351">
        <v>5</v>
      </c>
      <c r="BF232" s="351">
        <v>5</v>
      </c>
      <c r="BG232" s="351">
        <v>5</v>
      </c>
      <c r="BH232" s="351">
        <v>5</v>
      </c>
      <c r="BI232" s="351">
        <v>5</v>
      </c>
      <c r="BJ232" s="351">
        <v>5</v>
      </c>
      <c r="BK232" s="245" t="s">
        <v>305</v>
      </c>
      <c r="BL232" s="245">
        <v>0</v>
      </c>
    </row>
    <row r="233" ht="13" spans="2:64">
      <c r="B233" s="267" t="s">
        <v>381</v>
      </c>
      <c r="C233" s="267">
        <f t="shared" si="65"/>
        <v>3.56645369688037</v>
      </c>
      <c r="D233" s="269">
        <f t="shared" si="66"/>
        <v>2.70813706705969</v>
      </c>
      <c r="E233" s="269">
        <f t="shared" si="67"/>
        <v>4.43956890198968</v>
      </c>
      <c r="I233" s="216" t="s">
        <v>407</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469</v>
      </c>
      <c r="AD233" s="357">
        <f t="shared" si="48"/>
        <v>5.2605</v>
      </c>
      <c r="AE233" s="291"/>
      <c r="AF233" s="293"/>
      <c r="AG233" s="285"/>
      <c r="AH233" s="303"/>
      <c r="AI233" s="303"/>
      <c r="AJ233" s="303"/>
      <c r="AK233" s="303"/>
      <c r="AL233" s="303"/>
      <c r="AM233" s="303"/>
      <c r="AN233" s="303"/>
      <c r="AO233" s="303"/>
      <c r="AP233" s="303"/>
      <c r="AQ233" s="303"/>
      <c r="AS233" s="356" t="s">
        <v>383</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383</v>
      </c>
      <c r="BD233" s="351">
        <v>5</v>
      </c>
      <c r="BE233" s="351">
        <v>5</v>
      </c>
      <c r="BF233" s="351">
        <v>5</v>
      </c>
      <c r="BG233" s="351">
        <v>5</v>
      </c>
      <c r="BH233" s="351">
        <v>5</v>
      </c>
      <c r="BI233" s="351">
        <v>5</v>
      </c>
      <c r="BJ233" s="351">
        <v>5</v>
      </c>
      <c r="BK233" s="245" t="s">
        <v>305</v>
      </c>
      <c r="BL233" s="245">
        <v>0</v>
      </c>
    </row>
    <row r="234" ht="21" spans="2:64">
      <c r="B234" s="267" t="s">
        <v>382</v>
      </c>
      <c r="C234" s="267">
        <f t="shared" si="65"/>
        <v>3.56585961680177</v>
      </c>
      <c r="D234" s="269">
        <f t="shared" si="66"/>
        <v>2.70768592483419</v>
      </c>
      <c r="E234" s="269">
        <f t="shared" si="67"/>
        <v>4.43882940309506</v>
      </c>
      <c r="I234" s="216" t="s">
        <v>410</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469</v>
      </c>
      <c r="AD234" s="357">
        <f t="shared" si="48"/>
        <v>5.0175</v>
      </c>
      <c r="AE234" s="291"/>
      <c r="AF234" s="293"/>
      <c r="AG234" s="285"/>
      <c r="AH234" s="234" t="s">
        <v>477</v>
      </c>
      <c r="AI234" s="234"/>
      <c r="AJ234" s="234"/>
      <c r="AK234" s="234"/>
      <c r="AL234" s="234"/>
      <c r="AM234" s="234"/>
      <c r="AN234" s="234"/>
      <c r="AO234" s="197"/>
      <c r="AP234" s="197"/>
      <c r="AS234" s="356" t="s">
        <v>384</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384</v>
      </c>
      <c r="BD234" s="351">
        <v>5</v>
      </c>
      <c r="BE234" s="351">
        <v>5</v>
      </c>
      <c r="BF234" s="351">
        <v>5</v>
      </c>
      <c r="BG234" s="351">
        <v>5</v>
      </c>
      <c r="BH234" s="351">
        <v>5</v>
      </c>
      <c r="BI234" s="351">
        <v>5</v>
      </c>
      <c r="BJ234" s="351">
        <v>5</v>
      </c>
      <c r="BK234" s="245" t="s">
        <v>305</v>
      </c>
      <c r="BL234" s="245">
        <v>0</v>
      </c>
    </row>
    <row r="235" ht="13" spans="2:42">
      <c r="B235" s="267" t="s">
        <v>383</v>
      </c>
      <c r="C235" s="267">
        <f t="shared" si="65"/>
        <v>3.56556266273643</v>
      </c>
      <c r="D235" s="269">
        <f t="shared" si="66"/>
        <v>2.70746042741341</v>
      </c>
      <c r="E235" s="269">
        <f t="shared" si="67"/>
        <v>4.4384597641857</v>
      </c>
      <c r="I235" s="216" t="s">
        <v>413</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469</v>
      </c>
      <c r="AD235" s="360">
        <f t="shared" si="48"/>
        <v>4.7484</v>
      </c>
      <c r="AE235" s="291"/>
      <c r="AF235" s="293"/>
      <c r="AG235" s="285"/>
      <c r="AH235" s="197"/>
      <c r="AI235" s="304" t="s">
        <v>315</v>
      </c>
      <c r="AJ235" s="304" t="s">
        <v>317</v>
      </c>
      <c r="AK235" s="304" t="s">
        <v>319</v>
      </c>
      <c r="AL235" s="304" t="s">
        <v>328</v>
      </c>
      <c r="AM235" s="304" t="s">
        <v>330</v>
      </c>
      <c r="AN235" s="304" t="s">
        <v>333</v>
      </c>
      <c r="AO235" s="304" t="s">
        <v>473</v>
      </c>
      <c r="AP235" s="197"/>
    </row>
    <row r="236" ht="13" spans="2:41">
      <c r="B236" s="272" t="s">
        <v>384</v>
      </c>
      <c r="C236" s="267">
        <f t="shared" si="65"/>
        <v>3.56496890198968</v>
      </c>
      <c r="D236" s="269">
        <f t="shared" si="66"/>
        <v>2.70700957995578</v>
      </c>
      <c r="E236" s="269">
        <f t="shared" si="67"/>
        <v>4.43772063375092</v>
      </c>
      <c r="I236" s="216" t="s">
        <v>415</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416</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417</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418</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213</v>
      </c>
      <c r="E262" s="313" t="s">
        <v>221</v>
      </c>
      <c r="F262" s="313" t="s">
        <v>222</v>
      </c>
      <c r="G262" s="313" t="s">
        <v>223</v>
      </c>
      <c r="H262" s="313" t="s">
        <v>224</v>
      </c>
      <c r="I262" s="313" t="s">
        <v>225</v>
      </c>
      <c r="J262" s="313" t="s">
        <v>226</v>
      </c>
      <c r="K262" s="216" t="s">
        <v>400</v>
      </c>
      <c r="L262" s="216"/>
      <c r="M262" s="313">
        <f>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63">
        <f>D7*AI214</f>
        <v>0</v>
      </c>
      <c r="E263" s="313">
        <v>0</v>
      </c>
      <c r="F263" s="313">
        <v>0</v>
      </c>
      <c r="G263" s="313">
        <v>0</v>
      </c>
      <c r="H263" s="313">
        <v>0</v>
      </c>
      <c r="I263" s="313">
        <v>0.8514</v>
      </c>
      <c r="J263" s="313">
        <v>0</v>
      </c>
      <c r="K263" s="216" t="s">
        <v>411</v>
      </c>
      <c r="L263" s="216"/>
      <c r="M263" s="313">
        <f t="shared" ref="M263:M268" si="76">AB238</f>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v>0</v>
      </c>
      <c r="E264" s="313">
        <v>0</v>
      </c>
      <c r="F264" s="313">
        <v>0</v>
      </c>
      <c r="G264" s="313">
        <v>0</v>
      </c>
      <c r="H264" s="313">
        <v>0</v>
      </c>
      <c r="I264" s="313">
        <v>0.7767</v>
      </c>
      <c r="J264" s="313">
        <v>0</v>
      </c>
      <c r="K264" s="216" t="s">
        <v>411</v>
      </c>
      <c r="L264" s="216"/>
      <c r="M264" s="313">
        <f t="shared" si="76"/>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v>0</v>
      </c>
      <c r="E265" s="313">
        <v>0.65856</v>
      </c>
      <c r="F265" s="313">
        <v>0.1143</v>
      </c>
      <c r="G265" s="313">
        <v>0</v>
      </c>
      <c r="H265" s="313">
        <v>0</v>
      </c>
      <c r="I265" s="313">
        <v>0.5076</v>
      </c>
      <c r="J265" s="313">
        <v>0</v>
      </c>
      <c r="K265" s="216" t="s">
        <v>411</v>
      </c>
      <c r="L265" s="216"/>
      <c r="M265" s="313">
        <f t="shared" si="76"/>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v>0</v>
      </c>
      <c r="E266" s="313">
        <v>0.34398</v>
      </c>
      <c r="F266" s="313">
        <v>0.3168</v>
      </c>
      <c r="G266" s="313">
        <v>0</v>
      </c>
      <c r="H266" s="313">
        <v>0</v>
      </c>
      <c r="I266" s="313">
        <v>0.6093</v>
      </c>
      <c r="J266" s="313">
        <v>0</v>
      </c>
      <c r="K266" s="216" t="s">
        <v>411</v>
      </c>
      <c r="L266" s="216"/>
      <c r="M266" s="313">
        <f t="shared" si="76"/>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v>0</v>
      </c>
      <c r="E267" s="313">
        <v>0.49784</v>
      </c>
      <c r="F267" s="313">
        <v>0.1836</v>
      </c>
      <c r="G267" s="313">
        <v>0</v>
      </c>
      <c r="H267" s="313">
        <v>0</v>
      </c>
      <c r="I267" s="313">
        <v>0.5949</v>
      </c>
      <c r="J267" s="313">
        <v>0</v>
      </c>
      <c r="K267" s="216" t="s">
        <v>411</v>
      </c>
      <c r="L267" s="216"/>
      <c r="M267" s="313">
        <f t="shared" si="76"/>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v>0</v>
      </c>
      <c r="E268" s="313">
        <v>0.52038</v>
      </c>
      <c r="F268" s="313">
        <v>0.1602</v>
      </c>
      <c r="G268" s="313">
        <v>0</v>
      </c>
      <c r="H268" s="313">
        <v>0</v>
      </c>
      <c r="I268" s="313">
        <v>0.5445</v>
      </c>
      <c r="J268" s="313">
        <v>0</v>
      </c>
      <c r="K268" s="216" t="s">
        <v>411</v>
      </c>
      <c r="L268" s="216"/>
      <c r="M268" s="313">
        <f t="shared" si="76"/>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v>0</v>
      </c>
      <c r="E269" s="313">
        <v>0.588</v>
      </c>
      <c r="F269" s="313">
        <v>0.0675</v>
      </c>
      <c r="G269" s="313">
        <v>0</v>
      </c>
      <c r="H269" s="313">
        <v>0</v>
      </c>
      <c r="I269" s="313">
        <v>0.4941</v>
      </c>
      <c r="J269" s="313">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v>0.0855</v>
      </c>
      <c r="E270" s="313">
        <v>0</v>
      </c>
      <c r="F270" s="313">
        <v>0</v>
      </c>
      <c r="G270" s="313">
        <v>0</v>
      </c>
      <c r="H270" s="313">
        <v>3.1752</v>
      </c>
      <c r="I270" s="313">
        <v>0.8514</v>
      </c>
      <c r="J270" s="313">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v>0.0954</v>
      </c>
      <c r="E271" s="313">
        <v>0</v>
      </c>
      <c r="F271" s="313">
        <v>0</v>
      </c>
      <c r="G271" s="313">
        <v>1.36808</v>
      </c>
      <c r="H271" s="313">
        <v>3.0321</v>
      </c>
      <c r="I271" s="313">
        <v>0.7767</v>
      </c>
      <c r="J271" s="313">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v>0.0918</v>
      </c>
      <c r="E272" s="313">
        <v>0.65856</v>
      </c>
      <c r="F272" s="313">
        <v>0.12446</v>
      </c>
      <c r="G272" s="313">
        <v>0</v>
      </c>
      <c r="H272" s="313">
        <v>2.628</v>
      </c>
      <c r="I272" s="313">
        <v>0.5076</v>
      </c>
      <c r="J272" s="313">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v>0.1269</v>
      </c>
      <c r="E273" s="313">
        <v>0.34398</v>
      </c>
      <c r="F273" s="313">
        <v>0.34496</v>
      </c>
      <c r="G273" s="313">
        <v>0.32144</v>
      </c>
      <c r="H273" s="313">
        <v>2.799</v>
      </c>
      <c r="I273" s="313">
        <v>0.6093</v>
      </c>
      <c r="J273" s="31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v>0.1224</v>
      </c>
      <c r="E274" s="313">
        <v>0.49784</v>
      </c>
      <c r="F274" s="313">
        <v>0.19992</v>
      </c>
      <c r="G274" s="313">
        <v>0.2793</v>
      </c>
      <c r="H274" s="313">
        <v>2.763</v>
      </c>
      <c r="I274" s="313">
        <v>0.5949</v>
      </c>
      <c r="J274" s="313">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v>0.1062</v>
      </c>
      <c r="E275" s="313">
        <v>0.52038</v>
      </c>
      <c r="F275" s="313">
        <v>0.17444</v>
      </c>
      <c r="G275" s="313">
        <v>0.16268</v>
      </c>
      <c r="H275" s="313">
        <v>2.7153</v>
      </c>
      <c r="I275" s="313">
        <v>0.5445</v>
      </c>
      <c r="J275" s="313">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v>0.09</v>
      </c>
      <c r="E276" s="313">
        <v>0.588</v>
      </c>
      <c r="F276" s="313">
        <v>0.0735</v>
      </c>
      <c r="G276" s="313">
        <v>0.0686</v>
      </c>
      <c r="H276" s="313">
        <v>2.6289</v>
      </c>
      <c r="I276" s="313">
        <v>0.4941</v>
      </c>
      <c r="J276" s="313">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v>0.0855</v>
      </c>
      <c r="E277" s="313">
        <v>0</v>
      </c>
      <c r="F277" s="313">
        <v>0</v>
      </c>
      <c r="G277" s="313">
        <v>0</v>
      </c>
      <c r="H277" s="313">
        <v>3.1752</v>
      </c>
      <c r="I277" s="313">
        <v>0.8514</v>
      </c>
      <c r="J277" s="313">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v>0.0954</v>
      </c>
      <c r="E278" s="313">
        <v>0</v>
      </c>
      <c r="F278" s="313">
        <v>0</v>
      </c>
      <c r="G278" s="313">
        <v>1.2564</v>
      </c>
      <c r="H278" s="313">
        <v>3.0321</v>
      </c>
      <c r="I278" s="313">
        <v>0.7767</v>
      </c>
      <c r="J278" s="313">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v>0.0918</v>
      </c>
      <c r="E279" s="313">
        <v>0.6048</v>
      </c>
      <c r="F279" s="313">
        <v>0.1143</v>
      </c>
      <c r="G279" s="313">
        <v>0</v>
      </c>
      <c r="H279" s="313">
        <v>2.628</v>
      </c>
      <c r="I279" s="313">
        <v>0.5076</v>
      </c>
      <c r="J279" s="313">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v>0.1269</v>
      </c>
      <c r="E280" s="313">
        <v>0.3159</v>
      </c>
      <c r="F280" s="313">
        <v>0.3168</v>
      </c>
      <c r="G280" s="313">
        <v>0.2952</v>
      </c>
      <c r="H280" s="313">
        <v>2.799</v>
      </c>
      <c r="I280" s="313">
        <v>0.6093</v>
      </c>
      <c r="J280" s="313">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v>0.1224</v>
      </c>
      <c r="E281" s="313">
        <v>0.4572</v>
      </c>
      <c r="F281" s="313">
        <v>0.1836</v>
      </c>
      <c r="G281" s="313">
        <v>0.2565</v>
      </c>
      <c r="H281" s="313">
        <v>2.763</v>
      </c>
      <c r="I281" s="313">
        <v>0.5949</v>
      </c>
      <c r="J281" s="313">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v>0.1062</v>
      </c>
      <c r="E282" s="313">
        <v>0.4779</v>
      </c>
      <c r="F282" s="313">
        <v>0.1602</v>
      </c>
      <c r="G282" s="313">
        <v>0.1494</v>
      </c>
      <c r="H282" s="313">
        <v>2.7153</v>
      </c>
      <c r="I282" s="313">
        <v>0.5445</v>
      </c>
      <c r="J282" s="313">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v>0.09</v>
      </c>
      <c r="E283" s="313">
        <v>0.54</v>
      </c>
      <c r="F283" s="313">
        <v>0.0675</v>
      </c>
      <c r="G283" s="313">
        <v>0.063</v>
      </c>
      <c r="H283" s="313">
        <v>2.6289</v>
      </c>
      <c r="I283" s="313">
        <v>0.4941</v>
      </c>
      <c r="J283" s="31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topLeftCell="Z1" workbookViewId="0">
      <selection activeCell="P53" sqref="P5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233</v>
      </c>
      <c r="P2" s="322" t="s">
        <v>239</v>
      </c>
      <c r="Q2" s="322" t="s">
        <v>245</v>
      </c>
      <c r="R2" s="322" t="s">
        <v>252</v>
      </c>
      <c r="S2" s="322" t="s">
        <v>259</v>
      </c>
      <c r="T2" s="322" t="s">
        <v>266</v>
      </c>
      <c r="U2" s="322" t="s">
        <v>272</v>
      </c>
    </row>
    <row r="3" spans="2:21">
      <c r="B3" s="322"/>
      <c r="C3" s="322"/>
      <c r="D3" s="322"/>
      <c r="E3" s="322"/>
      <c r="F3" s="322"/>
      <c r="G3" s="322"/>
      <c r="H3" s="322"/>
      <c r="I3" s="322"/>
      <c r="J3" s="322"/>
      <c r="K3" s="175"/>
      <c r="L3" s="175"/>
      <c r="N3" s="322" t="s">
        <v>75</v>
      </c>
      <c r="O3" s="322" t="s">
        <v>234</v>
      </c>
      <c r="P3" s="322" t="s">
        <v>240</v>
      </c>
      <c r="Q3" s="322" t="s">
        <v>246</v>
      </c>
      <c r="R3" s="322" t="s">
        <v>253</v>
      </c>
      <c r="S3" s="322" t="s">
        <v>260</v>
      </c>
      <c r="T3" s="322" t="s">
        <v>267</v>
      </c>
      <c r="U3" s="322" t="s">
        <v>273</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221</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222</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223</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224</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225</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226</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507</v>
      </c>
      <c r="Q20" s="328"/>
      <c r="T20" s="325"/>
      <c r="U20" s="325"/>
      <c r="V20" s="325" t="s">
        <v>507</v>
      </c>
      <c r="W20" s="328"/>
      <c r="Z20" s="175"/>
      <c r="AA20" s="175"/>
      <c r="AB20" s="175" t="s">
        <v>507</v>
      </c>
      <c r="AC20" s="207"/>
      <c r="AF20" s="175"/>
      <c r="AG20" s="175"/>
      <c r="AH20" s="175" t="s">
        <v>507</v>
      </c>
      <c r="AI20" s="207"/>
      <c r="AL20" s="175"/>
      <c r="AM20" s="175"/>
      <c r="AN20" s="175" t="s">
        <v>507</v>
      </c>
      <c r="AO20" s="207"/>
      <c r="AR20" s="175"/>
      <c r="AS20" s="175"/>
      <c r="AT20" s="175" t="s">
        <v>507</v>
      </c>
      <c r="AU20" s="207"/>
      <c r="AX20" s="175"/>
      <c r="AY20" s="175"/>
      <c r="AZ20" s="175" t="s">
        <v>507</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411</v>
      </c>
      <c r="N22" s="326" t="s">
        <v>233</v>
      </c>
      <c r="O22" s="327" t="s">
        <v>234</v>
      </c>
      <c r="P22" s="327" t="s">
        <v>213</v>
      </c>
      <c r="Q22" s="329">
        <f t="shared" ref="Q22:Q28" si="0">O4</f>
        <v>0.095</v>
      </c>
      <c r="S22" s="168" t="s">
        <v>411</v>
      </c>
      <c r="T22" s="326" t="str">
        <f>P2</f>
        <v>Tra_EV_Batt-LMO_virgin_package</v>
      </c>
      <c r="U22" s="327" t="str">
        <f>P3</f>
        <v>Tra_EV_Batt-LMO_virgin</v>
      </c>
      <c r="V22" s="327" t="s">
        <v>213</v>
      </c>
      <c r="W22" s="329">
        <f t="shared" ref="W22:W28" si="1">P4</f>
        <v>0.106</v>
      </c>
      <c r="Y22" s="168" t="s">
        <v>411</v>
      </c>
      <c r="Z22" s="324" t="str">
        <f>Q2</f>
        <v>Tra_EV_Batt-NCA_virgin_package</v>
      </c>
      <c r="AA22" s="322" t="str">
        <f>Q3</f>
        <v>Tra_EV_Batt-NCA_virgin</v>
      </c>
      <c r="AB22" s="322" t="s">
        <v>213</v>
      </c>
      <c r="AC22" s="208">
        <f t="shared" ref="AC22:AC28" si="2">Q4</f>
        <v>0.102</v>
      </c>
      <c r="AE22" s="168" t="s">
        <v>411</v>
      </c>
      <c r="AF22" s="324" t="str">
        <f>R2</f>
        <v>Tra_EV_Batt-NMC 111_virgin_package</v>
      </c>
      <c r="AG22" s="322" t="str">
        <f>R3</f>
        <v>Tra_EV_Batt-NMC 111_virgin</v>
      </c>
      <c r="AH22" s="322" t="s">
        <v>213</v>
      </c>
      <c r="AI22" s="208">
        <f t="shared" ref="AI22:AI28" si="3">R4</f>
        <v>0.141</v>
      </c>
      <c r="AK22" s="168" t="s">
        <v>411</v>
      </c>
      <c r="AL22" s="324" t="str">
        <f>S2</f>
        <v>Tra_EV_Batt-NMC532_virgin_package</v>
      </c>
      <c r="AM22" s="322" t="str">
        <f>S3</f>
        <v>Tra_EV_Batt-NMC532_virgin</v>
      </c>
      <c r="AN22" s="322" t="s">
        <v>213</v>
      </c>
      <c r="AO22" s="208">
        <f t="shared" ref="AO22:AO28" si="4">S4</f>
        <v>0.136</v>
      </c>
      <c r="AQ22" s="168" t="s">
        <v>411</v>
      </c>
      <c r="AR22" s="324" t="str">
        <f>T2</f>
        <v>Tra_EV_Batt-NMC 622_virgin_package</v>
      </c>
      <c r="AS22" s="322" t="str">
        <f>T3</f>
        <v>Tra_EV_Batt-NMC 622_virgin</v>
      </c>
      <c r="AT22" s="322" t="s">
        <v>213</v>
      </c>
      <c r="AU22" s="208">
        <f t="shared" ref="AU22:AU28" si="5">T4</f>
        <v>0.118</v>
      </c>
      <c r="AW22" s="168" t="s">
        <v>411</v>
      </c>
      <c r="AX22" s="324" t="str">
        <f>U2</f>
        <v>Tra_EV_Batt-NMC 811_virgin_package</v>
      </c>
      <c r="AY22" s="322" t="str">
        <f>U3</f>
        <v>Tra_EV_Batt-NMC 811_virgin</v>
      </c>
      <c r="AZ22" s="322" t="s">
        <v>213</v>
      </c>
      <c r="BA22" s="208">
        <f t="shared" ref="BA22:BA28" si="6">U4</f>
        <v>0.1</v>
      </c>
    </row>
    <row r="23" spans="13:53">
      <c r="M23" s="168" t="s">
        <v>411</v>
      </c>
      <c r="N23" s="326" t="s">
        <v>233</v>
      </c>
      <c r="O23" s="327" t="s">
        <v>234</v>
      </c>
      <c r="P23" s="327" t="s">
        <v>221</v>
      </c>
      <c r="Q23" s="329">
        <f t="shared" si="0"/>
        <v>0</v>
      </c>
      <c r="S23" s="168" t="s">
        <v>411</v>
      </c>
      <c r="T23" s="326" t="str">
        <f t="shared" ref="T23:T28" si="7">T22</f>
        <v>Tra_EV_Batt-LMO_virgin_package</v>
      </c>
      <c r="U23" s="327" t="str">
        <f t="shared" ref="U23:U28" si="8">U22</f>
        <v>Tra_EV_Batt-LMO_virgin</v>
      </c>
      <c r="V23" s="327" t="s">
        <v>221</v>
      </c>
      <c r="W23" s="329">
        <f t="shared" si="1"/>
        <v>0</v>
      </c>
      <c r="Y23" s="168" t="s">
        <v>411</v>
      </c>
      <c r="Z23" s="324" t="str">
        <f t="shared" ref="Z23:Z28" si="9">Z22</f>
        <v>Tra_EV_Batt-NCA_virgin_package</v>
      </c>
      <c r="AA23" s="322" t="str">
        <f t="shared" ref="AA23:AA28" si="10">AA22</f>
        <v>Tra_EV_Batt-NCA_virgin</v>
      </c>
      <c r="AB23" s="322" t="s">
        <v>221</v>
      </c>
      <c r="AC23" s="208">
        <f t="shared" si="2"/>
        <v>0.672</v>
      </c>
      <c r="AE23" s="168" t="s">
        <v>411</v>
      </c>
      <c r="AF23" s="324" t="str">
        <f t="shared" ref="AF23:AF28" si="11">AF22</f>
        <v>Tra_EV_Batt-NMC 111_virgin_package</v>
      </c>
      <c r="AG23" s="322" t="str">
        <f t="shared" ref="AG23:AG28" si="12">AG22</f>
        <v>Tra_EV_Batt-NMC 111_virgin</v>
      </c>
      <c r="AH23" s="322" t="s">
        <v>221</v>
      </c>
      <c r="AI23" s="208">
        <f t="shared" si="3"/>
        <v>0.351</v>
      </c>
      <c r="AK23" s="168" t="s">
        <v>411</v>
      </c>
      <c r="AL23" s="324" t="str">
        <f t="shared" ref="AL23:AL28" si="13">AL22</f>
        <v>Tra_EV_Batt-NMC532_virgin_package</v>
      </c>
      <c r="AM23" s="322" t="str">
        <f t="shared" ref="AM23:AM28" si="14">AM22</f>
        <v>Tra_EV_Batt-NMC532_virgin</v>
      </c>
      <c r="AN23" s="322" t="s">
        <v>221</v>
      </c>
      <c r="AO23" s="208">
        <f t="shared" si="4"/>
        <v>0.508</v>
      </c>
      <c r="AQ23" s="168" t="s">
        <v>411</v>
      </c>
      <c r="AR23" s="324" t="str">
        <f t="shared" ref="AR23:AR28" si="15">AR22</f>
        <v>Tra_EV_Batt-NMC 622_virgin_package</v>
      </c>
      <c r="AS23" s="322" t="str">
        <f t="shared" ref="AS23:AS28" si="16">AS22</f>
        <v>Tra_EV_Batt-NMC 622_virgin</v>
      </c>
      <c r="AT23" s="322" t="s">
        <v>221</v>
      </c>
      <c r="AU23" s="208">
        <f t="shared" si="5"/>
        <v>0.531</v>
      </c>
      <c r="AW23" s="168" t="s">
        <v>411</v>
      </c>
      <c r="AX23" s="324" t="str">
        <f t="shared" ref="AX23:AX28" si="17">AX22</f>
        <v>Tra_EV_Batt-NMC 811_virgin_package</v>
      </c>
      <c r="AY23" s="322" t="str">
        <f t="shared" ref="AY23:AY28" si="18">AY22</f>
        <v>Tra_EV_Batt-NMC 811_virgin</v>
      </c>
      <c r="AZ23" s="322" t="s">
        <v>221</v>
      </c>
      <c r="BA23" s="208">
        <f t="shared" si="6"/>
        <v>0.6</v>
      </c>
    </row>
    <row r="24" spans="13:53">
      <c r="M24" s="168" t="s">
        <v>411</v>
      </c>
      <c r="N24" s="326" t="s">
        <v>233</v>
      </c>
      <c r="O24" s="327" t="s">
        <v>234</v>
      </c>
      <c r="P24" s="327" t="s">
        <v>222</v>
      </c>
      <c r="Q24" s="329">
        <f t="shared" si="0"/>
        <v>0</v>
      </c>
      <c r="S24" s="168" t="s">
        <v>411</v>
      </c>
      <c r="T24" s="326" t="str">
        <f t="shared" si="7"/>
        <v>Tra_EV_Batt-LMO_virgin_package</v>
      </c>
      <c r="U24" s="327" t="str">
        <f t="shared" si="8"/>
        <v>Tra_EV_Batt-LMO_virgin</v>
      </c>
      <c r="V24" s="327" t="s">
        <v>222</v>
      </c>
      <c r="W24" s="329">
        <f t="shared" si="1"/>
        <v>0</v>
      </c>
      <c r="Y24" s="168" t="s">
        <v>411</v>
      </c>
      <c r="Z24" s="324" t="str">
        <f t="shared" si="9"/>
        <v>Tra_EV_Batt-NCA_virgin_package</v>
      </c>
      <c r="AA24" s="322" t="str">
        <f t="shared" si="10"/>
        <v>Tra_EV_Batt-NCA_virgin</v>
      </c>
      <c r="AB24" s="322" t="s">
        <v>222</v>
      </c>
      <c r="AC24" s="208">
        <f t="shared" si="2"/>
        <v>0.127</v>
      </c>
      <c r="AE24" s="168" t="s">
        <v>411</v>
      </c>
      <c r="AF24" s="324" t="str">
        <f t="shared" si="11"/>
        <v>Tra_EV_Batt-NMC 111_virgin_package</v>
      </c>
      <c r="AG24" s="322" t="str">
        <f t="shared" si="12"/>
        <v>Tra_EV_Batt-NMC 111_virgin</v>
      </c>
      <c r="AH24" s="322" t="s">
        <v>222</v>
      </c>
      <c r="AI24" s="208">
        <f t="shared" si="3"/>
        <v>0.352</v>
      </c>
      <c r="AK24" s="168" t="s">
        <v>411</v>
      </c>
      <c r="AL24" s="324" t="str">
        <f t="shared" si="13"/>
        <v>Tra_EV_Batt-NMC532_virgin_package</v>
      </c>
      <c r="AM24" s="322" t="str">
        <f t="shared" si="14"/>
        <v>Tra_EV_Batt-NMC532_virgin</v>
      </c>
      <c r="AN24" s="322" t="s">
        <v>222</v>
      </c>
      <c r="AO24" s="208">
        <f t="shared" si="4"/>
        <v>0.204</v>
      </c>
      <c r="AQ24" s="168" t="s">
        <v>411</v>
      </c>
      <c r="AR24" s="324" t="str">
        <f t="shared" si="15"/>
        <v>Tra_EV_Batt-NMC 622_virgin_package</v>
      </c>
      <c r="AS24" s="322" t="str">
        <f t="shared" si="16"/>
        <v>Tra_EV_Batt-NMC 622_virgin</v>
      </c>
      <c r="AT24" s="322" t="s">
        <v>222</v>
      </c>
      <c r="AU24" s="208">
        <f t="shared" si="5"/>
        <v>0.178</v>
      </c>
      <c r="AW24" s="168" t="s">
        <v>411</v>
      </c>
      <c r="AX24" s="324" t="str">
        <f t="shared" si="17"/>
        <v>Tra_EV_Batt-NMC 811_virgin_package</v>
      </c>
      <c r="AY24" s="322" t="str">
        <f t="shared" si="18"/>
        <v>Tra_EV_Batt-NMC 811_virgin</v>
      </c>
      <c r="AZ24" s="322" t="s">
        <v>222</v>
      </c>
      <c r="BA24" s="208">
        <f t="shared" si="6"/>
        <v>0.075</v>
      </c>
    </row>
    <row r="25" spans="13:53">
      <c r="M25" s="168" t="s">
        <v>411</v>
      </c>
      <c r="N25" s="326" t="s">
        <v>233</v>
      </c>
      <c r="O25" s="327" t="s">
        <v>234</v>
      </c>
      <c r="P25" s="327" t="s">
        <v>223</v>
      </c>
      <c r="Q25" s="329">
        <f t="shared" si="0"/>
        <v>0</v>
      </c>
      <c r="S25" s="168" t="s">
        <v>411</v>
      </c>
      <c r="T25" s="326" t="str">
        <f t="shared" si="7"/>
        <v>Tra_EV_Batt-LMO_virgin_package</v>
      </c>
      <c r="U25" s="327" t="str">
        <f t="shared" si="8"/>
        <v>Tra_EV_Batt-LMO_virgin</v>
      </c>
      <c r="V25" s="327" t="s">
        <v>223</v>
      </c>
      <c r="W25" s="329">
        <f t="shared" si="1"/>
        <v>1.396</v>
      </c>
      <c r="Y25" s="168" t="s">
        <v>411</v>
      </c>
      <c r="Z25" s="324" t="str">
        <f t="shared" si="9"/>
        <v>Tra_EV_Batt-NCA_virgin_package</v>
      </c>
      <c r="AA25" s="322" t="str">
        <f t="shared" si="10"/>
        <v>Tra_EV_Batt-NCA_virgin</v>
      </c>
      <c r="AB25" s="322" t="s">
        <v>223</v>
      </c>
      <c r="AC25" s="208">
        <f t="shared" si="2"/>
        <v>0</v>
      </c>
      <c r="AE25" s="168" t="s">
        <v>411</v>
      </c>
      <c r="AF25" s="324" t="str">
        <f t="shared" si="11"/>
        <v>Tra_EV_Batt-NMC 111_virgin_package</v>
      </c>
      <c r="AG25" s="322" t="str">
        <f t="shared" si="12"/>
        <v>Tra_EV_Batt-NMC 111_virgin</v>
      </c>
      <c r="AH25" s="322" t="s">
        <v>223</v>
      </c>
      <c r="AI25" s="208">
        <f t="shared" si="3"/>
        <v>0.328</v>
      </c>
      <c r="AK25" s="168" t="s">
        <v>411</v>
      </c>
      <c r="AL25" s="324" t="str">
        <f t="shared" si="13"/>
        <v>Tra_EV_Batt-NMC532_virgin_package</v>
      </c>
      <c r="AM25" s="322" t="str">
        <f t="shared" si="14"/>
        <v>Tra_EV_Batt-NMC532_virgin</v>
      </c>
      <c r="AN25" s="322" t="s">
        <v>223</v>
      </c>
      <c r="AO25" s="208">
        <f t="shared" si="4"/>
        <v>0.285</v>
      </c>
      <c r="AQ25" s="168" t="s">
        <v>411</v>
      </c>
      <c r="AR25" s="324" t="str">
        <f t="shared" si="15"/>
        <v>Tra_EV_Batt-NMC 622_virgin_package</v>
      </c>
      <c r="AS25" s="322" t="str">
        <f t="shared" si="16"/>
        <v>Tra_EV_Batt-NMC 622_virgin</v>
      </c>
      <c r="AT25" s="322" t="s">
        <v>223</v>
      </c>
      <c r="AU25" s="208">
        <f t="shared" si="5"/>
        <v>0.166</v>
      </c>
      <c r="AW25" s="168" t="s">
        <v>411</v>
      </c>
      <c r="AX25" s="324" t="str">
        <f t="shared" si="17"/>
        <v>Tra_EV_Batt-NMC 811_virgin_package</v>
      </c>
      <c r="AY25" s="322" t="str">
        <f t="shared" si="18"/>
        <v>Tra_EV_Batt-NMC 811_virgin</v>
      </c>
      <c r="AZ25" s="322" t="s">
        <v>223</v>
      </c>
      <c r="BA25" s="208">
        <f t="shared" si="6"/>
        <v>0.07</v>
      </c>
    </row>
    <row r="26" spans="13:53">
      <c r="M26" s="168" t="s">
        <v>411</v>
      </c>
      <c r="N26" s="326" t="s">
        <v>233</v>
      </c>
      <c r="O26" s="327" t="s">
        <v>234</v>
      </c>
      <c r="P26" s="327" t="s">
        <v>224</v>
      </c>
      <c r="Q26" s="329">
        <f t="shared" si="0"/>
        <v>3.528</v>
      </c>
      <c r="S26" s="168" t="s">
        <v>411</v>
      </c>
      <c r="T26" s="326" t="str">
        <f t="shared" si="7"/>
        <v>Tra_EV_Batt-LMO_virgin_package</v>
      </c>
      <c r="U26" s="327" t="str">
        <f t="shared" si="8"/>
        <v>Tra_EV_Batt-LMO_virgin</v>
      </c>
      <c r="V26" s="327" t="s">
        <v>224</v>
      </c>
      <c r="W26" s="329">
        <f t="shared" si="1"/>
        <v>3.369</v>
      </c>
      <c r="Y26" s="168" t="s">
        <v>411</v>
      </c>
      <c r="Z26" s="324" t="str">
        <f t="shared" si="9"/>
        <v>Tra_EV_Batt-NCA_virgin_package</v>
      </c>
      <c r="AA26" s="322" t="str">
        <f t="shared" si="10"/>
        <v>Tra_EV_Batt-NCA_virgin</v>
      </c>
      <c r="AB26" s="322" t="s">
        <v>224</v>
      </c>
      <c r="AC26" s="208">
        <f t="shared" si="2"/>
        <v>2.92</v>
      </c>
      <c r="AE26" s="168" t="s">
        <v>411</v>
      </c>
      <c r="AF26" s="324" t="str">
        <f t="shared" si="11"/>
        <v>Tra_EV_Batt-NMC 111_virgin_package</v>
      </c>
      <c r="AG26" s="322" t="str">
        <f t="shared" si="12"/>
        <v>Tra_EV_Batt-NMC 111_virgin</v>
      </c>
      <c r="AH26" s="322" t="s">
        <v>224</v>
      </c>
      <c r="AI26" s="208">
        <f t="shared" si="3"/>
        <v>3.11</v>
      </c>
      <c r="AK26" s="168" t="s">
        <v>411</v>
      </c>
      <c r="AL26" s="324" t="str">
        <f t="shared" si="13"/>
        <v>Tra_EV_Batt-NMC532_virgin_package</v>
      </c>
      <c r="AM26" s="322" t="str">
        <f t="shared" si="14"/>
        <v>Tra_EV_Batt-NMC532_virgin</v>
      </c>
      <c r="AN26" s="322" t="s">
        <v>224</v>
      </c>
      <c r="AO26" s="208">
        <f t="shared" si="4"/>
        <v>3.07</v>
      </c>
      <c r="AQ26" s="168" t="s">
        <v>411</v>
      </c>
      <c r="AR26" s="324" t="str">
        <f t="shared" si="15"/>
        <v>Tra_EV_Batt-NMC 622_virgin_package</v>
      </c>
      <c r="AS26" s="322" t="str">
        <f t="shared" si="16"/>
        <v>Tra_EV_Batt-NMC 622_virgin</v>
      </c>
      <c r="AT26" s="322" t="s">
        <v>224</v>
      </c>
      <c r="AU26" s="208">
        <f t="shared" si="5"/>
        <v>3.017</v>
      </c>
      <c r="AW26" s="168" t="s">
        <v>411</v>
      </c>
      <c r="AX26" s="324" t="str">
        <f t="shared" si="17"/>
        <v>Tra_EV_Batt-NMC 811_virgin_package</v>
      </c>
      <c r="AY26" s="322" t="str">
        <f t="shared" si="18"/>
        <v>Tra_EV_Batt-NMC 811_virgin</v>
      </c>
      <c r="AZ26" s="322" t="s">
        <v>224</v>
      </c>
      <c r="BA26" s="208">
        <f t="shared" si="6"/>
        <v>2.921</v>
      </c>
    </row>
    <row r="27" spans="13:53">
      <c r="M27" s="168" t="s">
        <v>411</v>
      </c>
      <c r="N27" s="326" t="s">
        <v>233</v>
      </c>
      <c r="O27" s="327" t="s">
        <v>234</v>
      </c>
      <c r="P27" s="327" t="s">
        <v>225</v>
      </c>
      <c r="Q27" s="329">
        <f t="shared" si="0"/>
        <v>0.946</v>
      </c>
      <c r="S27" s="168" t="s">
        <v>411</v>
      </c>
      <c r="T27" s="326" t="str">
        <f t="shared" si="7"/>
        <v>Tra_EV_Batt-LMO_virgin_package</v>
      </c>
      <c r="U27" s="327" t="str">
        <f t="shared" si="8"/>
        <v>Tra_EV_Batt-LMO_virgin</v>
      </c>
      <c r="V27" s="327" t="s">
        <v>225</v>
      </c>
      <c r="W27" s="329">
        <f t="shared" si="1"/>
        <v>0.863</v>
      </c>
      <c r="Y27" s="168" t="s">
        <v>411</v>
      </c>
      <c r="Z27" s="324" t="str">
        <f t="shared" si="9"/>
        <v>Tra_EV_Batt-NCA_virgin_package</v>
      </c>
      <c r="AA27" s="322" t="str">
        <f t="shared" si="10"/>
        <v>Tra_EV_Batt-NCA_virgin</v>
      </c>
      <c r="AB27" s="322" t="s">
        <v>225</v>
      </c>
      <c r="AC27" s="208">
        <f t="shared" si="2"/>
        <v>0.564</v>
      </c>
      <c r="AE27" s="168" t="s">
        <v>411</v>
      </c>
      <c r="AF27" s="324" t="str">
        <f t="shared" si="11"/>
        <v>Tra_EV_Batt-NMC 111_virgin_package</v>
      </c>
      <c r="AG27" s="322" t="str">
        <f t="shared" si="12"/>
        <v>Tra_EV_Batt-NMC 111_virgin</v>
      </c>
      <c r="AH27" s="322" t="s">
        <v>225</v>
      </c>
      <c r="AI27" s="208">
        <f t="shared" si="3"/>
        <v>0.677</v>
      </c>
      <c r="AK27" s="168" t="s">
        <v>411</v>
      </c>
      <c r="AL27" s="324" t="str">
        <f t="shared" si="13"/>
        <v>Tra_EV_Batt-NMC532_virgin_package</v>
      </c>
      <c r="AM27" s="322" t="str">
        <f t="shared" si="14"/>
        <v>Tra_EV_Batt-NMC532_virgin</v>
      </c>
      <c r="AN27" s="322" t="s">
        <v>225</v>
      </c>
      <c r="AO27" s="208">
        <f t="shared" si="4"/>
        <v>0.661</v>
      </c>
      <c r="AQ27" s="168" t="s">
        <v>411</v>
      </c>
      <c r="AR27" s="324" t="str">
        <f t="shared" si="15"/>
        <v>Tra_EV_Batt-NMC 622_virgin_package</v>
      </c>
      <c r="AS27" s="322" t="str">
        <f t="shared" si="16"/>
        <v>Tra_EV_Batt-NMC 622_virgin</v>
      </c>
      <c r="AT27" s="322" t="s">
        <v>225</v>
      </c>
      <c r="AU27" s="208">
        <f t="shared" si="5"/>
        <v>0.605</v>
      </c>
      <c r="AW27" s="168" t="s">
        <v>411</v>
      </c>
      <c r="AX27" s="324" t="str">
        <f t="shared" si="17"/>
        <v>Tra_EV_Batt-NMC 811_virgin_package</v>
      </c>
      <c r="AY27" s="322" t="str">
        <f t="shared" si="18"/>
        <v>Tra_EV_Batt-NMC 811_virgin</v>
      </c>
      <c r="AZ27" s="322" t="s">
        <v>225</v>
      </c>
      <c r="BA27" s="208">
        <f t="shared" si="6"/>
        <v>0.549</v>
      </c>
    </row>
    <row r="28" spans="13:53">
      <c r="M28" s="168" t="s">
        <v>411</v>
      </c>
      <c r="N28" s="326" t="s">
        <v>233</v>
      </c>
      <c r="O28" s="327" t="s">
        <v>234</v>
      </c>
      <c r="P28" s="327" t="s">
        <v>226</v>
      </c>
      <c r="Q28" s="329">
        <f t="shared" si="0"/>
        <v>1.085</v>
      </c>
      <c r="S28" s="168" t="s">
        <v>411</v>
      </c>
      <c r="T28" s="326" t="str">
        <f t="shared" si="7"/>
        <v>Tra_EV_Batt-LMO_virgin_package</v>
      </c>
      <c r="U28" s="327" t="str">
        <f t="shared" si="8"/>
        <v>Tra_EV_Batt-LMO_virgin</v>
      </c>
      <c r="V28" s="327" t="s">
        <v>226</v>
      </c>
      <c r="W28" s="329">
        <f t="shared" si="1"/>
        <v>0.911</v>
      </c>
      <c r="Y28" s="168" t="s">
        <v>411</v>
      </c>
      <c r="Z28" s="324" t="str">
        <f t="shared" si="9"/>
        <v>Tra_EV_Batt-NCA_virgin_package</v>
      </c>
      <c r="AA28" s="322" t="str">
        <f t="shared" si="10"/>
        <v>Tra_EV_Batt-NCA_virgin</v>
      </c>
      <c r="AB28" s="322" t="s">
        <v>226</v>
      </c>
      <c r="AC28" s="208">
        <f t="shared" si="2"/>
        <v>0.978</v>
      </c>
      <c r="AE28" s="168" t="s">
        <v>411</v>
      </c>
      <c r="AF28" s="324" t="str">
        <f t="shared" si="11"/>
        <v>Tra_EV_Batt-NMC 111_virgin_package</v>
      </c>
      <c r="AG28" s="322" t="str">
        <f t="shared" si="12"/>
        <v>Tra_EV_Batt-NMC 111_virgin</v>
      </c>
      <c r="AH28" s="322" t="s">
        <v>226</v>
      </c>
      <c r="AI28" s="208">
        <f t="shared" si="3"/>
        <v>0.978</v>
      </c>
      <c r="AK28" s="168" t="s">
        <v>411</v>
      </c>
      <c r="AL28" s="324" t="str">
        <f t="shared" si="13"/>
        <v>Tra_EV_Batt-NMC532_virgin_package</v>
      </c>
      <c r="AM28" s="322" t="str">
        <f t="shared" si="14"/>
        <v>Tra_EV_Batt-NMC532_virgin</v>
      </c>
      <c r="AN28" s="322" t="s">
        <v>226</v>
      </c>
      <c r="AO28" s="208">
        <f t="shared" si="4"/>
        <v>0.981</v>
      </c>
      <c r="AQ28" s="168" t="s">
        <v>411</v>
      </c>
      <c r="AR28" s="324" t="str">
        <f t="shared" si="15"/>
        <v>Tra_EV_Batt-NMC 622_virgin_package</v>
      </c>
      <c r="AS28" s="322" t="str">
        <f t="shared" si="16"/>
        <v>Tra_EV_Batt-NMC 622_virgin</v>
      </c>
      <c r="AT28" s="322" t="s">
        <v>226</v>
      </c>
      <c r="AU28" s="208">
        <f t="shared" si="5"/>
        <v>0.96</v>
      </c>
      <c r="AW28" s="168" t="s">
        <v>411</v>
      </c>
      <c r="AX28" s="324" t="str">
        <f t="shared" si="17"/>
        <v>Tra_EV_Batt-NMC 811_virgin_package</v>
      </c>
      <c r="AY28" s="322" t="str">
        <f t="shared" si="18"/>
        <v>Tra_EV_Batt-NMC 811_virgin</v>
      </c>
      <c r="AZ28" s="322" t="s">
        <v>226</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46" zoomScaleNormal="46" topLeftCell="A5"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207</v>
      </c>
      <c r="V5" s="211" t="str">
        <f t="shared" ref="V5:V11" si="0">C22</f>
        <v>Tra_EV_Batt-LFP_fromrecy</v>
      </c>
      <c r="W5" s="211" t="str">
        <f t="shared" ref="W5:W11" si="1">_xlfn.TEXTJOIN("; ",TRUE,AO6:AQ6)</f>
        <v/>
      </c>
      <c r="X5" s="211" t="s">
        <v>209</v>
      </c>
      <c r="Y5" s="211" t="s">
        <v>227</v>
      </c>
      <c r="Z5" s="211" t="s">
        <v>211</v>
      </c>
      <c r="AA5" s="211"/>
      <c r="AB5" s="211"/>
      <c r="AC5" s="207"/>
    </row>
    <row r="6" ht="14.5" customHeight="1" spans="16:43">
      <c r="P6" s="207"/>
      <c r="Q6" s="207"/>
      <c r="U6" s="200"/>
      <c r="V6" s="211" t="str">
        <f t="shared" si="0"/>
        <v>Tra_EV_Batt-LMO_fromrecy</v>
      </c>
      <c r="W6" s="211" t="str">
        <f t="shared" si="1"/>
        <v/>
      </c>
      <c r="X6" s="211" t="s">
        <v>209</v>
      </c>
      <c r="Y6" s="211" t="s">
        <v>227</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227</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227</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227</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227</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227</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292</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220</v>
      </c>
      <c r="D21" s="201" t="s">
        <v>268</v>
      </c>
      <c r="E21" s="201" t="s">
        <v>277</v>
      </c>
      <c r="F21" s="201" t="s">
        <v>279</v>
      </c>
      <c r="G21" s="201" t="s">
        <v>281</v>
      </c>
      <c r="H21" s="201" t="s">
        <v>284</v>
      </c>
      <c r="I21" s="201" t="s">
        <v>286</v>
      </c>
      <c r="J21" s="201" t="s">
        <v>288</v>
      </c>
      <c r="K21" s="201" t="s">
        <v>196</v>
      </c>
      <c r="L21" s="202" t="s">
        <v>191</v>
      </c>
      <c r="M21" s="202" t="s">
        <v>76</v>
      </c>
      <c r="N21" s="201" t="s">
        <v>195</v>
      </c>
      <c r="O21" s="201" t="s">
        <v>294</v>
      </c>
      <c r="P21" s="202" t="s">
        <v>295</v>
      </c>
      <c r="Q21" s="202" t="s">
        <v>296</v>
      </c>
      <c r="R21" s="201" t="s">
        <v>198</v>
      </c>
      <c r="S21" s="201" t="s">
        <v>297</v>
      </c>
      <c r="U21" s="214"/>
      <c r="V21" s="214"/>
      <c r="W21" s="214"/>
      <c r="X21" s="214"/>
      <c r="Y21" s="214"/>
      <c r="Z21" s="214"/>
      <c r="AA21" s="214"/>
      <c r="AB21" s="197"/>
    </row>
    <row r="22" ht="14.5" spans="1:28">
      <c r="A22" s="201">
        <v>2020</v>
      </c>
      <c r="B22" s="203" t="s">
        <v>299</v>
      </c>
      <c r="C22" s="201" t="s">
        <v>508</v>
      </c>
      <c r="D22" s="201">
        <v>0.095</v>
      </c>
      <c r="E22" s="201">
        <v>0</v>
      </c>
      <c r="F22" s="201">
        <v>0</v>
      </c>
      <c r="G22" s="201">
        <v>0</v>
      </c>
      <c r="H22" s="201">
        <v>3.528</v>
      </c>
      <c r="I22" s="201">
        <v>0.946</v>
      </c>
      <c r="J22" s="201">
        <v>1.085</v>
      </c>
      <c r="K22" s="201">
        <v>12</v>
      </c>
      <c r="L22" s="201" t="s">
        <v>265</v>
      </c>
      <c r="M22" s="201" t="s">
        <v>217</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509</v>
      </c>
      <c r="D23" s="201">
        <v>0.106</v>
      </c>
      <c r="E23" s="201">
        <v>0</v>
      </c>
      <c r="F23" s="201">
        <v>0</v>
      </c>
      <c r="G23" s="201">
        <v>1.396</v>
      </c>
      <c r="H23" s="201">
        <v>3.369</v>
      </c>
      <c r="I23" s="201">
        <v>0.863</v>
      </c>
      <c r="J23" s="201">
        <v>0.911</v>
      </c>
      <c r="K23" s="201">
        <v>6</v>
      </c>
      <c r="L23" s="201" t="s">
        <v>265</v>
      </c>
      <c r="M23" s="201" t="s">
        <v>217</v>
      </c>
      <c r="N23" s="201">
        <v>0.9</v>
      </c>
      <c r="O23" s="201">
        <v>1.314</v>
      </c>
      <c r="P23" s="201">
        <v>1</v>
      </c>
      <c r="Q23" s="201">
        <v>1</v>
      </c>
      <c r="R23" s="201">
        <v>1</v>
      </c>
      <c r="S23" s="201">
        <v>800</v>
      </c>
      <c r="U23" s="214"/>
      <c r="V23" s="214"/>
      <c r="W23" s="214"/>
      <c r="X23" s="214"/>
      <c r="Y23" s="214"/>
      <c r="AB23" s="220"/>
    </row>
    <row r="24" ht="14.5" spans="1:28">
      <c r="A24" s="201">
        <v>2020</v>
      </c>
      <c r="B24" s="203" t="s">
        <v>299</v>
      </c>
      <c r="C24" s="201" t="s">
        <v>510</v>
      </c>
      <c r="D24" s="201">
        <v>0.102</v>
      </c>
      <c r="E24" s="201">
        <v>0.672</v>
      </c>
      <c r="F24" s="201">
        <v>0.127</v>
      </c>
      <c r="G24" s="201">
        <v>0</v>
      </c>
      <c r="H24" s="201">
        <v>2.92</v>
      </c>
      <c r="I24" s="201">
        <v>0.564</v>
      </c>
      <c r="J24" s="201">
        <v>0.978</v>
      </c>
      <c r="K24" s="201">
        <v>9</v>
      </c>
      <c r="L24" s="201" t="s">
        <v>265</v>
      </c>
      <c r="M24" s="201" t="s">
        <v>217</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511</v>
      </c>
      <c r="D25" s="201">
        <v>0.141</v>
      </c>
      <c r="E25" s="201">
        <v>0.351</v>
      </c>
      <c r="F25" s="201">
        <v>0.352</v>
      </c>
      <c r="G25" s="201">
        <v>0.328</v>
      </c>
      <c r="H25" s="201">
        <v>3.11</v>
      </c>
      <c r="I25" s="201">
        <v>0.677</v>
      </c>
      <c r="J25" s="201">
        <v>0.978</v>
      </c>
      <c r="K25" s="201">
        <v>9</v>
      </c>
      <c r="L25" s="201" t="s">
        <v>265</v>
      </c>
      <c r="M25" s="201" t="s">
        <v>217</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512</v>
      </c>
      <c r="D26" s="201">
        <v>0.136</v>
      </c>
      <c r="E26" s="201">
        <v>0.508</v>
      </c>
      <c r="F26" s="201">
        <v>0.204</v>
      </c>
      <c r="G26" s="201">
        <v>0.285</v>
      </c>
      <c r="H26" s="201">
        <v>3.07</v>
      </c>
      <c r="I26" s="201">
        <v>0.661</v>
      </c>
      <c r="J26" s="201">
        <v>0.981</v>
      </c>
      <c r="K26" s="201">
        <v>9</v>
      </c>
      <c r="L26" s="201" t="s">
        <v>265</v>
      </c>
      <c r="M26" s="201" t="s">
        <v>217</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513</v>
      </c>
      <c r="D27" s="201">
        <v>0.118</v>
      </c>
      <c r="E27" s="201">
        <v>0.531</v>
      </c>
      <c r="F27" s="201">
        <v>0.178</v>
      </c>
      <c r="G27" s="201">
        <v>0.166</v>
      </c>
      <c r="H27" s="201">
        <v>3.017</v>
      </c>
      <c r="I27" s="201">
        <v>0.605</v>
      </c>
      <c r="J27" s="201">
        <v>0.96</v>
      </c>
      <c r="K27" s="201">
        <v>9</v>
      </c>
      <c r="L27" s="201" t="s">
        <v>265</v>
      </c>
      <c r="M27" s="201" t="s">
        <v>217</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514</v>
      </c>
      <c r="D28" s="201">
        <v>0.1</v>
      </c>
      <c r="E28" s="201">
        <v>0.6</v>
      </c>
      <c r="F28" s="201">
        <v>0.075</v>
      </c>
      <c r="G28" s="201">
        <v>0.07</v>
      </c>
      <c r="H28" s="201">
        <v>2.921</v>
      </c>
      <c r="I28" s="201">
        <v>0.549</v>
      </c>
      <c r="J28" s="201">
        <v>0.961</v>
      </c>
      <c r="K28" s="201">
        <v>9</v>
      </c>
      <c r="L28" s="201" t="s">
        <v>265</v>
      </c>
      <c r="M28" s="201" t="s">
        <v>217</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220</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221</v>
      </c>
      <c r="Y35" s="216">
        <f t="shared" si="3"/>
        <v>0</v>
      </c>
    </row>
    <row r="36" spans="14:25">
      <c r="N36" s="210"/>
      <c r="O36" s="210"/>
      <c r="V36" s="216" t="str">
        <f t="shared" si="2"/>
        <v>Tra_bat_recy_</v>
      </c>
      <c r="W36" s="216" t="s">
        <v>319</v>
      </c>
      <c r="X36" s="216" t="s">
        <v>222</v>
      </c>
      <c r="Y36" s="216">
        <f t="shared" si="3"/>
        <v>0</v>
      </c>
    </row>
    <row r="37" ht="14.5" spans="2:25">
      <c r="B37" s="197"/>
      <c r="C37" s="197"/>
      <c r="D37" s="204"/>
      <c r="N37" s="210"/>
      <c r="O37" s="210"/>
      <c r="V37" s="216" t="str">
        <f t="shared" si="2"/>
        <v>Tra_bat_recy_</v>
      </c>
      <c r="W37" s="216" t="s">
        <v>328</v>
      </c>
      <c r="X37" s="216" t="s">
        <v>223</v>
      </c>
      <c r="Y37" s="216">
        <f t="shared" si="3"/>
        <v>0</v>
      </c>
    </row>
    <row r="38" spans="2:25">
      <c r="B38" s="197"/>
      <c r="C38" s="197"/>
      <c r="N38" s="210"/>
      <c r="O38" s="210"/>
      <c r="V38" s="216" t="str">
        <f t="shared" si="2"/>
        <v>Tra_bat_recy_</v>
      </c>
      <c r="W38" s="216" t="s">
        <v>330</v>
      </c>
      <c r="X38" s="216" t="s">
        <v>224</v>
      </c>
      <c r="Y38" s="216">
        <f t="shared" si="3"/>
        <v>0</v>
      </c>
    </row>
    <row r="39" spans="14:25">
      <c r="N39" s="210"/>
      <c r="O39" s="210"/>
      <c r="V39" s="216" t="str">
        <f t="shared" si="2"/>
        <v>Tra_bat_recy_</v>
      </c>
      <c r="W39" s="216" t="s">
        <v>333</v>
      </c>
      <c r="X39" s="216" t="s">
        <v>225</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385</v>
      </c>
      <c r="AB124" s="244"/>
      <c r="AC124" s="244"/>
      <c r="AD124" s="244"/>
      <c r="AE124" s="244"/>
      <c r="AF124" s="244"/>
    </row>
    <row r="125" ht="14.5" spans="2:4">
      <c r="B125"/>
      <c r="C125"/>
      <c r="D125"/>
    </row>
    <row r="126" ht="21" spans="2:34">
      <c r="B126" s="227"/>
      <c r="C126" s="228" t="s">
        <v>386</v>
      </c>
      <c r="D126" s="229"/>
      <c r="E126" s="229"/>
      <c r="F126" s="229"/>
      <c r="H126" s="216"/>
      <c r="I126" s="233"/>
      <c r="J126" s="234" t="s">
        <v>387</v>
      </c>
      <c r="K126" s="234"/>
      <c r="L126" s="234"/>
      <c r="M126" s="234"/>
      <c r="N126" s="234"/>
      <c r="O126" s="234"/>
      <c r="P126" s="234"/>
      <c r="Q126" s="234"/>
      <c r="R126" s="234"/>
      <c r="S126" s="216"/>
      <c r="T126" s="216"/>
      <c r="U126" s="216"/>
      <c r="AG126" s="197"/>
      <c r="AH126" s="197"/>
    </row>
    <row r="127" ht="14.5" spans="2:46">
      <c r="B127" s="227"/>
      <c r="C127" s="230" t="s">
        <v>388</v>
      </c>
      <c r="D127" s="229"/>
      <c r="E127" s="229"/>
      <c r="F127" s="229"/>
      <c r="H127" s="231" t="s">
        <v>389</v>
      </c>
      <c r="I127" s="235" t="s">
        <v>390</v>
      </c>
      <c r="J127" s="235" t="s">
        <v>391</v>
      </c>
      <c r="K127" s="235" t="s">
        <v>392</v>
      </c>
      <c r="L127" s="235" t="s">
        <v>393</v>
      </c>
      <c r="M127" s="236" t="s">
        <v>391</v>
      </c>
      <c r="N127" s="236" t="s">
        <v>392</v>
      </c>
      <c r="O127" s="236" t="s">
        <v>393</v>
      </c>
      <c r="P127" s="235" t="s">
        <v>391</v>
      </c>
      <c r="Q127" s="235" t="s">
        <v>392</v>
      </c>
      <c r="R127" s="235" t="s">
        <v>393</v>
      </c>
      <c r="S127" s="216"/>
      <c r="T127" s="243" t="s">
        <v>394</v>
      </c>
      <c r="U127" s="216"/>
      <c r="AA127" s="229"/>
      <c r="AB127" s="229"/>
      <c r="AC127" s="229" t="s">
        <v>388</v>
      </c>
      <c r="AD127" s="229"/>
      <c r="AE127" s="229"/>
      <c r="AF127" s="229"/>
      <c r="AG127" s="197"/>
      <c r="AH127" s="197"/>
      <c r="AI127" s="229"/>
      <c r="AJ127" s="229"/>
      <c r="AK127" s="229" t="s">
        <v>388</v>
      </c>
      <c r="AL127" s="229"/>
      <c r="AM127" s="229"/>
      <c r="AN127" s="229"/>
      <c r="AQ127" s="245" t="s">
        <v>388</v>
      </c>
      <c r="AR127" s="246"/>
      <c r="AS127" s="246"/>
      <c r="AT127" s="246"/>
    </row>
    <row r="128" ht="20" spans="1:46">
      <c r="A128" s="232"/>
      <c r="B128" s="229"/>
      <c r="C128" s="229"/>
      <c r="D128" s="230"/>
      <c r="E128" s="230"/>
      <c r="F128" s="230"/>
      <c r="H128" s="216" t="s">
        <v>395</v>
      </c>
      <c r="I128" s="235" t="s">
        <v>396</v>
      </c>
      <c r="J128" s="237" t="s">
        <v>397</v>
      </c>
      <c r="K128" s="238"/>
      <c r="L128" s="239"/>
      <c r="M128" s="240" t="s">
        <v>398</v>
      </c>
      <c r="N128" s="241"/>
      <c r="O128" s="242"/>
      <c r="P128" s="237" t="s">
        <v>399</v>
      </c>
      <c r="Q128" s="238"/>
      <c r="R128" s="239"/>
      <c r="S128" s="216"/>
      <c r="T128" s="216" t="s">
        <v>398</v>
      </c>
      <c r="U128" s="216"/>
      <c r="AA128" s="229"/>
      <c r="AB128" s="229"/>
      <c r="AC128" s="229"/>
      <c r="AD128" s="229"/>
      <c r="AE128" s="229"/>
      <c r="AF128" s="229"/>
      <c r="AG128" s="197"/>
      <c r="AH128" s="197"/>
      <c r="AI128" s="229"/>
      <c r="AJ128" s="229"/>
      <c r="AK128" s="229"/>
      <c r="AL128" s="229"/>
      <c r="AM128" s="229"/>
      <c r="AN128" s="229"/>
      <c r="AQ128" s="245" t="s">
        <v>220</v>
      </c>
      <c r="AR128" s="245">
        <v>2019</v>
      </c>
      <c r="AS128" s="246">
        <v>2050</v>
      </c>
      <c r="AT128" s="246">
        <v>0</v>
      </c>
    </row>
    <row r="129" ht="13" spans="2:46">
      <c r="B129" s="229" t="s">
        <v>400</v>
      </c>
      <c r="C129" s="230" t="s">
        <v>220</v>
      </c>
      <c r="D129" s="230" t="s">
        <v>401</v>
      </c>
      <c r="E129" s="230" t="s">
        <v>402</v>
      </c>
      <c r="F129" s="230" t="s">
        <v>403</v>
      </c>
      <c r="H129" s="216"/>
      <c r="I129" s="235" t="s">
        <v>404</v>
      </c>
      <c r="J129" s="237" t="s">
        <v>405</v>
      </c>
      <c r="K129" s="238"/>
      <c r="L129" s="239"/>
      <c r="M129" s="240" t="s">
        <v>405</v>
      </c>
      <c r="N129" s="241"/>
      <c r="O129" s="242"/>
      <c r="P129" s="237" t="s">
        <v>405</v>
      </c>
      <c r="Q129" s="238"/>
      <c r="R129" s="239"/>
      <c r="S129" s="216"/>
      <c r="T129" s="216" t="s">
        <v>405</v>
      </c>
      <c r="U129" s="216"/>
      <c r="AA129" s="229" t="s">
        <v>400</v>
      </c>
      <c r="AB129" s="229" t="s">
        <v>406</v>
      </c>
      <c r="AC129" s="229" t="s">
        <v>220</v>
      </c>
      <c r="AD129" s="229" t="s">
        <v>401</v>
      </c>
      <c r="AE129" s="229" t="s">
        <v>402</v>
      </c>
      <c r="AF129" s="229" t="s">
        <v>403</v>
      </c>
      <c r="AG129" s="197"/>
      <c r="AH129" s="197"/>
      <c r="AI129" s="229" t="s">
        <v>400</v>
      </c>
      <c r="AJ129" s="229" t="s">
        <v>406</v>
      </c>
      <c r="AK129" s="229" t="s">
        <v>220</v>
      </c>
      <c r="AL129" s="229" t="s">
        <v>401</v>
      </c>
      <c r="AM129" s="229" t="s">
        <v>402</v>
      </c>
      <c r="AN129" s="229" t="s">
        <v>403</v>
      </c>
      <c r="AQ129" s="245" t="str">
        <f>C22</f>
        <v>Tra_EV_Batt-LFP_fromrecy</v>
      </c>
      <c r="AR129" s="246">
        <v>0.001</v>
      </c>
      <c r="AS129" s="246">
        <v>0.001</v>
      </c>
      <c r="AT129" s="246">
        <v>5</v>
      </c>
    </row>
    <row r="130" ht="13" spans="2:46">
      <c r="B130" s="229" t="s">
        <v>408</v>
      </c>
      <c r="C130" s="229"/>
      <c r="D130" s="229"/>
      <c r="E130" s="229"/>
      <c r="F130" s="229"/>
      <c r="H130" s="216">
        <v>0.2</v>
      </c>
      <c r="I130" s="235" t="s">
        <v>409</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408</v>
      </c>
      <c r="AB130" s="229"/>
      <c r="AC130" s="229"/>
      <c r="AD130" s="229"/>
      <c r="AE130" s="229"/>
      <c r="AF130" s="229"/>
      <c r="AG130" s="197"/>
      <c r="AH130" s="197"/>
      <c r="AI130" s="229" t="s">
        <v>408</v>
      </c>
      <c r="AJ130" s="229"/>
      <c r="AK130" s="229"/>
      <c r="AL130" s="229"/>
      <c r="AM130" s="229"/>
      <c r="AN130" s="229"/>
      <c r="AQ130" s="245" t="str">
        <f t="shared" ref="AQ130:AQ135" si="5">C23</f>
        <v>Tra_EV_Batt-LMO_fromrecy</v>
      </c>
      <c r="AR130" s="246">
        <v>0.001</v>
      </c>
      <c r="AS130" s="246">
        <v>0.001</v>
      </c>
      <c r="AT130" s="246">
        <v>5</v>
      </c>
    </row>
    <row r="131" ht="13" spans="1:46">
      <c r="A131" s="247"/>
      <c r="B131" s="229" t="s">
        <v>411</v>
      </c>
      <c r="C131" s="230" t="s">
        <v>407</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412</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411</v>
      </c>
      <c r="AB131" s="229">
        <v>2050</v>
      </c>
      <c r="AC131" s="229" t="s">
        <v>407</v>
      </c>
      <c r="AD131" s="229">
        <f t="shared" ref="AD131:AF131" si="7">D131*0.313</f>
        <v>25.1599342966667</v>
      </c>
      <c r="AE131" s="229">
        <f t="shared" si="7"/>
        <v>17.36734649</v>
      </c>
      <c r="AF131" s="229">
        <f t="shared" si="7"/>
        <v>33.43624065</v>
      </c>
      <c r="AG131" s="197"/>
      <c r="AH131" s="197"/>
      <c r="AI131" s="229" t="s">
        <v>411</v>
      </c>
      <c r="AJ131" s="229">
        <v>0</v>
      </c>
      <c r="AK131" s="229" t="s">
        <v>407</v>
      </c>
      <c r="AL131" s="229">
        <v>5</v>
      </c>
      <c r="AM131" s="229">
        <v>5</v>
      </c>
      <c r="AN131" s="229">
        <v>5</v>
      </c>
      <c r="AQ131" s="245" t="str">
        <f t="shared" si="5"/>
        <v>Tra_EV_Batt-NCA_fromrecy</v>
      </c>
      <c r="AR131" s="246">
        <v>0.001</v>
      </c>
      <c r="AS131" s="246">
        <v>0.001</v>
      </c>
      <c r="AT131" s="246">
        <v>5</v>
      </c>
    </row>
    <row r="132" ht="13" spans="2:46">
      <c r="B132" s="229" t="s">
        <v>411</v>
      </c>
      <c r="C132" s="230" t="s">
        <v>410</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414</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411</v>
      </c>
      <c r="AB132" s="229">
        <v>2050</v>
      </c>
      <c r="AC132" s="229" t="s">
        <v>410</v>
      </c>
      <c r="AD132" s="229">
        <f t="shared" ref="AD132:AF132" si="8">D132*0.313</f>
        <v>29.8628918</v>
      </c>
      <c r="AE132" s="229">
        <f t="shared" si="8"/>
        <v>20.75992845</v>
      </c>
      <c r="AF132" s="229">
        <f t="shared" si="8"/>
        <v>39.52049115</v>
      </c>
      <c r="AG132" s="197"/>
      <c r="AH132" s="197"/>
      <c r="AI132" s="229" t="s">
        <v>411</v>
      </c>
      <c r="AJ132" s="229">
        <v>0</v>
      </c>
      <c r="AK132" s="229" t="s">
        <v>410</v>
      </c>
      <c r="AL132" s="229">
        <v>5</v>
      </c>
      <c r="AM132" s="229">
        <v>5</v>
      </c>
      <c r="AN132" s="229">
        <v>5</v>
      </c>
      <c r="AQ132" s="245" t="str">
        <f t="shared" si="5"/>
        <v>Tra_EV_Batt-NMC 111_fromrecy</v>
      </c>
      <c r="AR132" s="246">
        <v>0.001</v>
      </c>
      <c r="AS132" s="246">
        <v>0.001</v>
      </c>
      <c r="AT132" s="246">
        <v>5</v>
      </c>
    </row>
    <row r="133" ht="13" spans="2:46">
      <c r="B133" s="229" t="s">
        <v>411</v>
      </c>
      <c r="C133" s="230" t="s">
        <v>413</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241</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411</v>
      </c>
      <c r="AB133" s="229">
        <v>2050</v>
      </c>
      <c r="AC133" s="229" t="s">
        <v>413</v>
      </c>
      <c r="AD133" s="229">
        <f t="shared" ref="AD133:AF133" si="9">D133*0.313</f>
        <v>26.7138290566667</v>
      </c>
      <c r="AE133" s="229">
        <f t="shared" si="9"/>
        <v>17.55976011</v>
      </c>
      <c r="AF133" s="229">
        <f t="shared" si="9"/>
        <v>36.41065148</v>
      </c>
      <c r="AG133" s="197"/>
      <c r="AH133" s="197"/>
      <c r="AI133" s="229" t="s">
        <v>411</v>
      </c>
      <c r="AJ133" s="229">
        <v>0</v>
      </c>
      <c r="AK133" s="229" t="s">
        <v>413</v>
      </c>
      <c r="AL133" s="229">
        <v>5</v>
      </c>
      <c r="AM133" s="229">
        <v>5</v>
      </c>
      <c r="AN133" s="229">
        <v>5</v>
      </c>
      <c r="AQ133" s="245" t="str">
        <f t="shared" si="5"/>
        <v>Tra_EV_Batt-NMC532_fromrecy</v>
      </c>
      <c r="AR133" s="246">
        <v>0.001</v>
      </c>
      <c r="AS133" s="246">
        <v>0.001</v>
      </c>
      <c r="AT133" s="246">
        <v>5</v>
      </c>
    </row>
    <row r="134" ht="30" spans="1:46">
      <c r="A134" s="248"/>
      <c r="B134" s="229" t="s">
        <v>411</v>
      </c>
      <c r="C134" s="230" t="s">
        <v>415</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247</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411</v>
      </c>
      <c r="AB134" s="229">
        <v>2050</v>
      </c>
      <c r="AC134" s="229" t="s">
        <v>415</v>
      </c>
      <c r="AD134" s="229">
        <f t="shared" ref="AD134:AF134" si="10">D134*0.313</f>
        <v>26.76825141</v>
      </c>
      <c r="AE134" s="229">
        <f t="shared" si="10"/>
        <v>17.39012663</v>
      </c>
      <c r="AF134" s="229">
        <f t="shared" si="10"/>
        <v>36.71624903</v>
      </c>
      <c r="AG134" s="197"/>
      <c r="AH134" s="197"/>
      <c r="AI134" s="229" t="s">
        <v>411</v>
      </c>
      <c r="AJ134" s="229">
        <v>0</v>
      </c>
      <c r="AK134" s="229" t="s">
        <v>415</v>
      </c>
      <c r="AL134" s="229">
        <v>5</v>
      </c>
      <c r="AM134" s="229">
        <v>5</v>
      </c>
      <c r="AN134" s="229">
        <v>5</v>
      </c>
      <c r="AQ134" s="245" t="str">
        <f t="shared" si="5"/>
        <v>Tra_EV_Batt-NMC 622_fromrecy</v>
      </c>
      <c r="AR134" s="246">
        <v>0.001</v>
      </c>
      <c r="AS134" s="246">
        <v>0.001</v>
      </c>
      <c r="AT134" s="246">
        <v>5</v>
      </c>
    </row>
    <row r="135" ht="13" spans="2:46">
      <c r="B135" s="229" t="s">
        <v>411</v>
      </c>
      <c r="C135" s="230" t="s">
        <v>416</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254</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411</v>
      </c>
      <c r="AB135" s="229">
        <v>2050</v>
      </c>
      <c r="AC135" s="229" t="s">
        <v>416</v>
      </c>
      <c r="AD135" s="229">
        <f t="shared" ref="AD135:AF135" si="11">D135*0.313</f>
        <v>28.1990829166667</v>
      </c>
      <c r="AE135" s="229">
        <f t="shared" si="11"/>
        <v>18.5820901</v>
      </c>
      <c r="AF135" s="229">
        <f t="shared" si="11"/>
        <v>38.39541265</v>
      </c>
      <c r="AG135" s="197"/>
      <c r="AH135" s="197"/>
      <c r="AI135" s="229" t="s">
        <v>411</v>
      </c>
      <c r="AJ135" s="229">
        <v>0</v>
      </c>
      <c r="AK135" s="229" t="s">
        <v>416</v>
      </c>
      <c r="AL135" s="229">
        <v>5</v>
      </c>
      <c r="AM135" s="229">
        <v>5</v>
      </c>
      <c r="AN135" s="229">
        <v>5</v>
      </c>
      <c r="AQ135" s="245" t="str">
        <f t="shared" si="5"/>
        <v>Tra_EV_Batt-NMC 811_fromrecy</v>
      </c>
      <c r="AR135" s="246">
        <v>0.001</v>
      </c>
      <c r="AS135" s="246">
        <v>0.001</v>
      </c>
      <c r="AT135" s="246">
        <v>5</v>
      </c>
    </row>
    <row r="136" ht="25" spans="1:46">
      <c r="A136" s="249"/>
      <c r="B136" s="229" t="s">
        <v>411</v>
      </c>
      <c r="C136" s="230" t="s">
        <v>417</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261</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411</v>
      </c>
      <c r="AB136" s="229">
        <v>2050</v>
      </c>
      <c r="AC136" s="229" t="s">
        <v>417</v>
      </c>
      <c r="AD136" s="229">
        <f t="shared" ref="AD136:AF136" si="12">D136*0.313</f>
        <v>27.2066538166667</v>
      </c>
      <c r="AE136" s="229">
        <f t="shared" si="12"/>
        <v>17.94665315</v>
      </c>
      <c r="AF136" s="229">
        <f t="shared" si="12"/>
        <v>37.0192299</v>
      </c>
      <c r="AG136" s="197"/>
      <c r="AH136" s="197"/>
      <c r="AI136" s="229" t="s">
        <v>411</v>
      </c>
      <c r="AJ136" s="229">
        <v>0</v>
      </c>
      <c r="AK136" s="229" t="s">
        <v>417</v>
      </c>
      <c r="AL136" s="229">
        <v>5</v>
      </c>
      <c r="AM136" s="229">
        <v>5</v>
      </c>
      <c r="AN136" s="229">
        <v>5</v>
      </c>
      <c r="AQ136" s="197"/>
      <c r="AR136" s="197"/>
      <c r="AS136" s="197"/>
      <c r="AT136" s="197"/>
    </row>
    <row r="137" ht="13" spans="2:46">
      <c r="B137" s="229" t="s">
        <v>411</v>
      </c>
      <c r="C137" s="230" t="s">
        <v>418</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269</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411</v>
      </c>
      <c r="AB137" s="229">
        <v>2050</v>
      </c>
      <c r="AC137" s="229" t="s">
        <v>418</v>
      </c>
      <c r="AD137" s="229">
        <f t="shared" ref="AD137:AF137" si="13">D137*0.313</f>
        <v>28.0299846666667</v>
      </c>
      <c r="AE137" s="229">
        <f t="shared" si="13"/>
        <v>18.77670724</v>
      </c>
      <c r="AF137" s="229">
        <f t="shared" si="13"/>
        <v>37.83372476</v>
      </c>
      <c r="AG137" s="197"/>
      <c r="AH137" s="197"/>
      <c r="AI137" s="229" t="s">
        <v>411</v>
      </c>
      <c r="AJ137" s="229">
        <v>0</v>
      </c>
      <c r="AK137" s="229" t="s">
        <v>418</v>
      </c>
      <c r="AL137" s="229">
        <v>5</v>
      </c>
      <c r="AM137" s="229">
        <v>5</v>
      </c>
      <c r="AN137" s="229">
        <v>5</v>
      </c>
      <c r="AQ137" s="197"/>
      <c r="AR137" s="197"/>
      <c r="AS137" s="197"/>
      <c r="AT137" s="197"/>
    </row>
    <row r="138" spans="2:46">
      <c r="B138" s="229" t="s">
        <v>411</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411</v>
      </c>
      <c r="AB138" s="229">
        <v>2050</v>
      </c>
      <c r="AC138" s="229" t="s">
        <v>348</v>
      </c>
      <c r="AD138" s="229">
        <f t="shared" ref="AD138:AF138" si="17">D138*0.313</f>
        <v>5.58010556718251</v>
      </c>
      <c r="AE138" s="229">
        <f t="shared" si="17"/>
        <v>4.23717556890199</v>
      </c>
      <c r="AF138" s="229">
        <f t="shared" si="17"/>
        <v>6.94618953095062</v>
      </c>
      <c r="AG138" s="197"/>
      <c r="AH138" s="197"/>
      <c r="AI138" s="229" t="s">
        <v>411</v>
      </c>
      <c r="AJ138" s="229">
        <v>0</v>
      </c>
      <c r="AK138" s="229" t="s">
        <v>348</v>
      </c>
      <c r="AL138" s="229">
        <v>5</v>
      </c>
      <c r="AM138" s="229">
        <v>5</v>
      </c>
      <c r="AN138" s="229">
        <v>5</v>
      </c>
      <c r="AQ138" s="197"/>
      <c r="AR138" s="197"/>
      <c r="AS138" s="197"/>
      <c r="AT138" s="197"/>
    </row>
    <row r="139" spans="2:46">
      <c r="B139" s="229" t="s">
        <v>411</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411</v>
      </c>
      <c r="AB139" s="229">
        <v>2050</v>
      </c>
      <c r="AC139" s="229" t="s">
        <v>349</v>
      </c>
      <c r="AD139" s="229">
        <f t="shared" ref="AD139:AF139" si="18">D139*0.313</f>
        <v>5.63537263301401</v>
      </c>
      <c r="AE139" s="229">
        <f t="shared" si="18"/>
        <v>4.27914190309506</v>
      </c>
      <c r="AF139" s="229">
        <f t="shared" si="18"/>
        <v>7.01498667722919</v>
      </c>
      <c r="AG139" s="197"/>
      <c r="AH139" s="197"/>
      <c r="AI139" s="229" t="s">
        <v>411</v>
      </c>
      <c r="AJ139" s="229">
        <v>0</v>
      </c>
      <c r="AK139" s="229" t="s">
        <v>349</v>
      </c>
      <c r="AL139" s="229">
        <v>5</v>
      </c>
      <c r="AM139" s="229">
        <v>5</v>
      </c>
      <c r="AN139" s="229">
        <v>5</v>
      </c>
      <c r="AQ139" s="197"/>
      <c r="AR139" s="197"/>
      <c r="AS139" s="197"/>
      <c r="AT139" s="197"/>
    </row>
    <row r="140" ht="21" spans="2:46">
      <c r="B140" s="229" t="s">
        <v>411</v>
      </c>
      <c r="C140" s="229" t="s">
        <v>350</v>
      </c>
      <c r="D140" s="229">
        <f t="shared" si="14"/>
        <v>17.8278133136821</v>
      </c>
      <c r="E140" s="229">
        <f t="shared" si="15"/>
        <v>13.5373021370671</v>
      </c>
      <c r="F140" s="229">
        <f t="shared" si="16"/>
        <v>22.1922988209285</v>
      </c>
      <c r="H140" s="216"/>
      <c r="I140" s="216"/>
      <c r="J140" s="257" t="s">
        <v>419</v>
      </c>
      <c r="K140" s="257"/>
      <c r="L140" s="257"/>
      <c r="M140" s="257"/>
      <c r="N140" s="257"/>
      <c r="O140" s="257"/>
      <c r="P140" s="257"/>
      <c r="Q140" s="257"/>
      <c r="R140" s="257"/>
      <c r="S140" s="216"/>
      <c r="T140" s="216"/>
      <c r="U140" s="216"/>
      <c r="AA140" s="229" t="s">
        <v>411</v>
      </c>
      <c r="AB140" s="229">
        <v>2050</v>
      </c>
      <c r="AC140" s="229" t="s">
        <v>350</v>
      </c>
      <c r="AD140" s="229">
        <f t="shared" ref="AD140:AF140" si="19">D140*0.313</f>
        <v>5.58010556718251</v>
      </c>
      <c r="AE140" s="229">
        <f t="shared" si="19"/>
        <v>4.23717556890199</v>
      </c>
      <c r="AF140" s="229">
        <f t="shared" si="19"/>
        <v>6.94618953095062</v>
      </c>
      <c r="AG140" s="197"/>
      <c r="AH140" s="197"/>
      <c r="AI140" s="229" t="s">
        <v>411</v>
      </c>
      <c r="AJ140" s="229">
        <v>0</v>
      </c>
      <c r="AK140" s="229" t="s">
        <v>350</v>
      </c>
      <c r="AL140" s="229">
        <v>5</v>
      </c>
      <c r="AM140" s="229">
        <v>5</v>
      </c>
      <c r="AN140" s="229">
        <v>5</v>
      </c>
      <c r="AQ140" s="197"/>
      <c r="AR140" s="197"/>
      <c r="AS140" s="197"/>
      <c r="AT140" s="197"/>
    </row>
    <row r="141" ht="13" spans="2:46">
      <c r="B141" s="229" t="s">
        <v>411</v>
      </c>
      <c r="C141" s="229" t="s">
        <v>351</v>
      </c>
      <c r="D141" s="229">
        <f t="shared" si="14"/>
        <v>17.8322684844019</v>
      </c>
      <c r="E141" s="229">
        <f t="shared" si="15"/>
        <v>13.5406853352985</v>
      </c>
      <c r="F141" s="229">
        <f t="shared" si="16"/>
        <v>22.1978445099484</v>
      </c>
      <c r="H141" s="216"/>
      <c r="I141" s="216" t="s">
        <v>220</v>
      </c>
      <c r="J141" s="216" t="s">
        <v>213</v>
      </c>
      <c r="K141" s="216" t="s">
        <v>221</v>
      </c>
      <c r="L141" s="216" t="s">
        <v>222</v>
      </c>
      <c r="M141" s="216" t="s">
        <v>223</v>
      </c>
      <c r="N141" s="216" t="s">
        <v>224</v>
      </c>
      <c r="O141" s="216" t="s">
        <v>225</v>
      </c>
      <c r="P141" s="216" t="s">
        <v>226</v>
      </c>
      <c r="Q141" s="216"/>
      <c r="R141" s="259" t="s">
        <v>420</v>
      </c>
      <c r="S141" s="216"/>
      <c r="T141" s="216"/>
      <c r="U141" s="216"/>
      <c r="AA141" s="229" t="s">
        <v>411</v>
      </c>
      <c r="AB141" s="229">
        <v>2050</v>
      </c>
      <c r="AC141" s="229" t="s">
        <v>351</v>
      </c>
      <c r="AD141" s="229">
        <f t="shared" ref="AD141:AF141" si="20">D141*0.313</f>
        <v>5.58150003561778</v>
      </c>
      <c r="AE141" s="229">
        <f t="shared" si="20"/>
        <v>4.23823450994842</v>
      </c>
      <c r="AF141" s="229">
        <f t="shared" si="20"/>
        <v>6.94792533161385</v>
      </c>
      <c r="AG141" s="197"/>
      <c r="AH141" s="197"/>
      <c r="AI141" s="229" t="s">
        <v>411</v>
      </c>
      <c r="AJ141" s="229">
        <v>0</v>
      </c>
      <c r="AK141" s="229" t="s">
        <v>351</v>
      </c>
      <c r="AL141" s="229">
        <v>5</v>
      </c>
      <c r="AM141" s="229">
        <v>5</v>
      </c>
      <c r="AN141" s="229">
        <v>5</v>
      </c>
      <c r="AQ141" s="197"/>
      <c r="AR141" s="197"/>
      <c r="AS141" s="197"/>
      <c r="AT141" s="197"/>
    </row>
    <row r="142" ht="13" spans="2:46">
      <c r="B142" s="229" t="s">
        <v>411</v>
      </c>
      <c r="C142" s="229" t="s">
        <v>352</v>
      </c>
      <c r="D142" s="229">
        <f t="shared" si="14"/>
        <v>17.8292980840088</v>
      </c>
      <c r="E142" s="229">
        <f t="shared" si="15"/>
        <v>13.5384296241709</v>
      </c>
      <c r="F142" s="229">
        <f t="shared" si="16"/>
        <v>22.1941470154753</v>
      </c>
      <c r="H142" s="216"/>
      <c r="I142" s="216" t="s">
        <v>408</v>
      </c>
      <c r="J142" s="216"/>
      <c r="K142" s="216"/>
      <c r="L142" s="216"/>
      <c r="M142" s="216"/>
      <c r="N142" s="216"/>
      <c r="O142" s="216"/>
      <c r="P142" s="216"/>
      <c r="Q142" s="216"/>
      <c r="R142" s="259"/>
      <c r="S142" s="216"/>
      <c r="T142" s="216"/>
      <c r="U142" s="216"/>
      <c r="AA142" s="229" t="s">
        <v>411</v>
      </c>
      <c r="AB142" s="229">
        <v>2050</v>
      </c>
      <c r="AC142" s="229" t="s">
        <v>352</v>
      </c>
      <c r="AD142" s="229">
        <f t="shared" ref="AD142:AF142" si="21">D142*0.313</f>
        <v>5.58057030029476</v>
      </c>
      <c r="AE142" s="229">
        <f t="shared" si="21"/>
        <v>4.23752847236551</v>
      </c>
      <c r="AF142" s="229">
        <f t="shared" si="21"/>
        <v>6.94676801584377</v>
      </c>
      <c r="AG142" s="197"/>
      <c r="AH142" s="197"/>
      <c r="AI142" s="229" t="s">
        <v>411</v>
      </c>
      <c r="AJ142" s="229">
        <v>0</v>
      </c>
      <c r="AK142" s="229" t="s">
        <v>352</v>
      </c>
      <c r="AL142" s="229">
        <v>5</v>
      </c>
      <c r="AM142" s="229">
        <v>5</v>
      </c>
      <c r="AN142" s="229">
        <v>5</v>
      </c>
      <c r="AQ142" s="197"/>
      <c r="AR142" s="197"/>
      <c r="AS142" s="197"/>
      <c r="AT142" s="197"/>
    </row>
    <row r="143" ht="13" spans="2:46">
      <c r="B143" s="229" t="s">
        <v>411</v>
      </c>
      <c r="C143" s="229" t="s">
        <v>353</v>
      </c>
      <c r="D143" s="229">
        <f t="shared" si="14"/>
        <v>17.8278133136821</v>
      </c>
      <c r="E143" s="229">
        <f t="shared" si="15"/>
        <v>13.5373021370671</v>
      </c>
      <c r="F143" s="229">
        <f t="shared" si="16"/>
        <v>22.1922988209285</v>
      </c>
      <c r="H143" s="216"/>
      <c r="I143" s="216" t="s">
        <v>407</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411</v>
      </c>
      <c r="AB143" s="229">
        <v>2050</v>
      </c>
      <c r="AC143" s="229" t="s">
        <v>353</v>
      </c>
      <c r="AD143" s="229">
        <f t="shared" ref="AD143:AF143" si="23">D143*0.313</f>
        <v>5.58010556718251</v>
      </c>
      <c r="AE143" s="229">
        <f t="shared" si="23"/>
        <v>4.23717556890199</v>
      </c>
      <c r="AF143" s="229">
        <f t="shared" si="23"/>
        <v>6.94618953095062</v>
      </c>
      <c r="AG143" s="197"/>
      <c r="AH143" s="197"/>
      <c r="AI143" s="229" t="s">
        <v>411</v>
      </c>
      <c r="AJ143" s="229">
        <v>0</v>
      </c>
      <c r="AK143" s="229" t="s">
        <v>353</v>
      </c>
      <c r="AL143" s="229">
        <v>5</v>
      </c>
      <c r="AM143" s="229">
        <v>5</v>
      </c>
      <c r="AN143" s="229">
        <v>5</v>
      </c>
      <c r="AQ143" s="197"/>
      <c r="AR143" s="197"/>
      <c r="AS143" s="197"/>
      <c r="AT143" s="197"/>
    </row>
    <row r="144" ht="13" spans="2:46">
      <c r="B144" s="229" t="s">
        <v>411</v>
      </c>
      <c r="C144" s="229" t="s">
        <v>354</v>
      </c>
      <c r="D144" s="229">
        <f t="shared" si="14"/>
        <v>17.8248445099484</v>
      </c>
      <c r="E144" s="229">
        <f t="shared" si="15"/>
        <v>13.5350478997789</v>
      </c>
      <c r="F144" s="229">
        <f t="shared" si="16"/>
        <v>22.1886031687546</v>
      </c>
      <c r="H144" s="216"/>
      <c r="I144" s="216" t="s">
        <v>410</v>
      </c>
      <c r="J144" s="216">
        <v>0.106</v>
      </c>
      <c r="K144" s="216">
        <v>0</v>
      </c>
      <c r="L144" s="216">
        <v>0</v>
      </c>
      <c r="M144" s="216">
        <v>1.396</v>
      </c>
      <c r="N144" s="216">
        <v>3.369</v>
      </c>
      <c r="O144" s="216">
        <v>0.863</v>
      </c>
      <c r="P144" s="216">
        <v>0.911</v>
      </c>
      <c r="Q144" s="216"/>
      <c r="R144" s="259">
        <f t="shared" si="22"/>
        <v>6.645</v>
      </c>
      <c r="S144" s="216"/>
      <c r="T144" s="216"/>
      <c r="U144" s="216"/>
      <c r="AA144" s="229" t="s">
        <v>411</v>
      </c>
      <c r="AB144" s="229">
        <v>2050</v>
      </c>
      <c r="AC144" s="229" t="s">
        <v>354</v>
      </c>
      <c r="AD144" s="229">
        <f t="shared" ref="AD144:AF144" si="24">D144*0.313</f>
        <v>5.57917633161385</v>
      </c>
      <c r="AE144" s="229">
        <f t="shared" si="24"/>
        <v>4.2364699926308</v>
      </c>
      <c r="AF144" s="229">
        <f t="shared" si="24"/>
        <v>6.94503279182019</v>
      </c>
      <c r="AG144" s="197"/>
      <c r="AH144" s="197"/>
      <c r="AI144" s="229" t="s">
        <v>411</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413</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415</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416</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417</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418</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421</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220</v>
      </c>
      <c r="J153" t="s">
        <v>422</v>
      </c>
      <c r="Y153" s="199"/>
      <c r="Z153" s="199"/>
      <c r="AA153" s="199"/>
      <c r="AB153" s="199"/>
      <c r="AC153" s="199"/>
      <c r="AD153" s="199"/>
      <c r="AE153" s="199"/>
      <c r="AF153" s="199"/>
      <c r="AG153" s="199"/>
    </row>
    <row r="154" customFormat="1" ht="14.5" spans="2:43">
      <c r="B154" s="199"/>
      <c r="C154" s="199"/>
      <c r="D154" s="199"/>
      <c r="E154" s="199"/>
      <c r="I154" t="s">
        <v>301</v>
      </c>
      <c r="J154" t="s">
        <v>213</v>
      </c>
      <c r="K154" t="s">
        <v>221</v>
      </c>
      <c r="L154" t="s">
        <v>222</v>
      </c>
      <c r="M154" t="s">
        <v>223</v>
      </c>
      <c r="N154" t="s">
        <v>224</v>
      </c>
      <c r="O154" t="s">
        <v>225</v>
      </c>
      <c r="P154" t="s">
        <v>226</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220</v>
      </c>
      <c r="C161" s="245" t="s">
        <v>427</v>
      </c>
      <c r="D161" s="245" t="s">
        <v>428</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429</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430</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431</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432</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434</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435</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436</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453</v>
      </c>
      <c r="C211" s="266"/>
      <c r="D211" s="265"/>
      <c r="E211" s="265"/>
      <c r="I211" s="275"/>
      <c r="J211" s="234" t="s">
        <v>454</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388</v>
      </c>
      <c r="C212" s="265"/>
      <c r="D212" s="265"/>
      <c r="E212" s="265"/>
      <c r="I212" s="276"/>
      <c r="J212" s="277" t="s">
        <v>391</v>
      </c>
      <c r="K212" s="278"/>
      <c r="L212" s="278"/>
      <c r="M212" s="277" t="s">
        <v>392</v>
      </c>
      <c r="N212" s="278"/>
      <c r="O212" s="278"/>
      <c r="P212" s="277" t="s">
        <v>393</v>
      </c>
      <c r="Q212" s="278"/>
      <c r="R212" s="278"/>
      <c r="S212" s="243" t="s">
        <v>394</v>
      </c>
      <c r="T212" s="275"/>
      <c r="U212" s="275"/>
      <c r="V212" s="285"/>
      <c r="W212" s="288"/>
      <c r="X212" s="289"/>
      <c r="Y212" s="289"/>
      <c r="Z212" s="289"/>
      <c r="AA212" s="289"/>
      <c r="AB212" s="289"/>
      <c r="AC212" s="289"/>
      <c r="AD212" s="289"/>
      <c r="AE212" s="289"/>
      <c r="AF212" s="289"/>
      <c r="AG212" s="285"/>
      <c r="AH212" s="234" t="s">
        <v>455</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457</v>
      </c>
      <c r="K213" s="280"/>
      <c r="L213" s="278"/>
      <c r="M213" s="279" t="s">
        <v>457</v>
      </c>
      <c r="N213" s="280"/>
      <c r="O213" s="278"/>
      <c r="P213" s="279" t="s">
        <v>457</v>
      </c>
      <c r="Q213" s="280"/>
      <c r="R213" s="278"/>
      <c r="S213" s="279" t="s">
        <v>457</v>
      </c>
      <c r="T213" s="280"/>
      <c r="U213" s="278"/>
      <c r="V213" s="285"/>
      <c r="W213" s="288"/>
      <c r="X213" s="290"/>
      <c r="Y213" s="290"/>
      <c r="Z213" s="290"/>
      <c r="AA213" s="295"/>
      <c r="AB213" s="295"/>
      <c r="AC213" s="295"/>
      <c r="AD213" s="290"/>
      <c r="AE213" s="290"/>
      <c r="AF213" s="290"/>
      <c r="AG213" s="285"/>
      <c r="AH213" s="233"/>
      <c r="AI213" s="233" t="s">
        <v>458</v>
      </c>
      <c r="AJ213" s="233" t="s">
        <v>459</v>
      </c>
      <c r="AK213" s="233" t="s">
        <v>460</v>
      </c>
      <c r="AL213" s="233" t="s">
        <v>461</v>
      </c>
      <c r="AM213" s="300" t="s">
        <v>462</v>
      </c>
      <c r="AN213" s="233" t="s">
        <v>463</v>
      </c>
      <c r="AO213" s="233" t="s">
        <v>326</v>
      </c>
      <c r="AP213" s="233" t="s">
        <v>464</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220</v>
      </c>
      <c r="C214" s="267" t="s">
        <v>401</v>
      </c>
      <c r="D214" s="267" t="s">
        <v>402</v>
      </c>
      <c r="E214" s="267" t="s">
        <v>403</v>
      </c>
      <c r="I214" s="276"/>
      <c r="J214" s="279" t="s">
        <v>465</v>
      </c>
      <c r="K214" s="279" t="s">
        <v>466</v>
      </c>
      <c r="L214" s="279" t="s">
        <v>467</v>
      </c>
      <c r="M214" s="277" t="s">
        <v>465</v>
      </c>
      <c r="N214" s="281" t="s">
        <v>466</v>
      </c>
      <c r="O214" s="277" t="s">
        <v>467</v>
      </c>
      <c r="P214" s="277" t="s">
        <v>465</v>
      </c>
      <c r="Q214" s="277" t="s">
        <v>466</v>
      </c>
      <c r="R214" s="277" t="s">
        <v>467</v>
      </c>
      <c r="S214" s="277" t="s">
        <v>465</v>
      </c>
      <c r="T214" s="277" t="s">
        <v>466</v>
      </c>
      <c r="U214" s="277" t="s">
        <v>467</v>
      </c>
      <c r="V214" s="285"/>
      <c r="W214" s="288"/>
      <c r="X214" s="290"/>
      <c r="Y214" s="290"/>
      <c r="Z214" s="290"/>
      <c r="AA214" s="289"/>
      <c r="AB214" s="226"/>
      <c r="AC214" s="226"/>
      <c r="AD214" s="289"/>
      <c r="AE214" s="289"/>
      <c r="AF214" s="289"/>
      <c r="AG214" s="285"/>
      <c r="AH214" s="301" t="s">
        <v>468</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408</v>
      </c>
      <c r="C215" s="267"/>
      <c r="D215" s="269"/>
      <c r="E215" s="269"/>
      <c r="I215" s="243" t="s">
        <v>409</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364</v>
      </c>
      <c r="C216" s="267">
        <f t="shared" ref="C216:C222" si="38">S216</f>
        <v>7.11384396954065</v>
      </c>
      <c r="D216" s="269">
        <f t="shared" ref="D216:D222" si="39">P216</f>
        <v>5.40179852616065</v>
      </c>
      <c r="E216" s="269">
        <f t="shared" ref="E216:E222" si="40">J216</f>
        <v>8.85540744288872</v>
      </c>
      <c r="I216" s="243" t="s">
        <v>470</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365</v>
      </c>
      <c r="C217" s="267">
        <f t="shared" si="38"/>
        <v>7.11384396954065</v>
      </c>
      <c r="D217" s="269">
        <f t="shared" si="39"/>
        <v>5.40179852616065</v>
      </c>
      <c r="E217" s="269">
        <f t="shared" si="40"/>
        <v>8.85540744288872</v>
      </c>
      <c r="I217" s="243" t="s">
        <v>471</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366</v>
      </c>
      <c r="C218" s="267">
        <f t="shared" si="38"/>
        <v>7.62975445836404</v>
      </c>
      <c r="D218" s="269">
        <f t="shared" si="39"/>
        <v>5.79354797347089</v>
      </c>
      <c r="E218" s="269">
        <f t="shared" si="40"/>
        <v>9.49761967575534</v>
      </c>
      <c r="I218" s="243" t="s">
        <v>241</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367</v>
      </c>
      <c r="C219" s="267">
        <f t="shared" si="38"/>
        <v>7.47097081798084</v>
      </c>
      <c r="D219" s="269">
        <f t="shared" si="39"/>
        <v>5.67297781871776</v>
      </c>
      <c r="E219" s="269">
        <f t="shared" si="40"/>
        <v>9.29996366985999</v>
      </c>
      <c r="I219" s="243" t="s">
        <v>247</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368</v>
      </c>
      <c r="C220" s="267">
        <f t="shared" si="38"/>
        <v>7.51643520019651</v>
      </c>
      <c r="D220" s="269">
        <f t="shared" si="39"/>
        <v>5.70750058953574</v>
      </c>
      <c r="E220" s="269">
        <f t="shared" si="40"/>
        <v>9.35655836403832</v>
      </c>
      <c r="I220" s="243" t="s">
        <v>254</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369</v>
      </c>
      <c r="C221" s="267">
        <f t="shared" si="38"/>
        <v>7.55036263817244</v>
      </c>
      <c r="D221" s="269">
        <f t="shared" si="39"/>
        <v>5.73326293294031</v>
      </c>
      <c r="E221" s="269">
        <f t="shared" si="40"/>
        <v>9.39879167280766</v>
      </c>
      <c r="I221" s="243" t="s">
        <v>261</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370</v>
      </c>
      <c r="C222" s="267">
        <f t="shared" si="38"/>
        <v>7.62975445836404</v>
      </c>
      <c r="D222" s="269">
        <f t="shared" si="39"/>
        <v>5.79354797347089</v>
      </c>
      <c r="E222" s="269">
        <f t="shared" si="40"/>
        <v>9.49761967575534</v>
      </c>
      <c r="I222" s="243" t="s">
        <v>269</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371</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472</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372</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473</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373</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374</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375</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376</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377</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378</v>
      </c>
      <c r="C230" s="267">
        <f t="shared" ref="C230:C236" si="60">U216</f>
        <v>3.56556266273643</v>
      </c>
      <c r="D230" s="269">
        <f t="shared" ref="D230:D236" si="61">R216</f>
        <v>2.70746042741341</v>
      </c>
      <c r="E230" s="269">
        <f t="shared" ref="E230:E236" si="62">L216</f>
        <v>4.4384597641857</v>
      </c>
      <c r="I230" s="283" t="s">
        <v>474</v>
      </c>
      <c r="J230" s="257" t="s">
        <v>475</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379</v>
      </c>
      <c r="C231" s="267">
        <f t="shared" si="60"/>
        <v>3.60087708179809</v>
      </c>
      <c r="D231" s="269">
        <f t="shared" si="61"/>
        <v>2.73427597641857</v>
      </c>
      <c r="E231" s="269">
        <f t="shared" si="62"/>
        <v>4.48241960206338</v>
      </c>
      <c r="I231" s="216" t="s">
        <v>476</v>
      </c>
      <c r="J231" s="216"/>
      <c r="K231" s="216"/>
      <c r="L231" s="216"/>
      <c r="M231" s="216"/>
      <c r="N231" s="216"/>
      <c r="O231" s="216"/>
      <c r="P231" s="216"/>
      <c r="Q231" s="275"/>
      <c r="R231" s="259" t="s">
        <v>420</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380</v>
      </c>
      <c r="C232" s="267">
        <f t="shared" si="60"/>
        <v>3.56556266273643</v>
      </c>
      <c r="D232" s="269">
        <f t="shared" si="61"/>
        <v>2.70746042741341</v>
      </c>
      <c r="E232" s="269">
        <f t="shared" si="62"/>
        <v>4.4384597641857</v>
      </c>
      <c r="I232" s="216" t="s">
        <v>220</v>
      </c>
      <c r="J232" s="216" t="s">
        <v>213</v>
      </c>
      <c r="K232" s="216" t="s">
        <v>221</v>
      </c>
      <c r="L232" s="216" t="s">
        <v>222</v>
      </c>
      <c r="M232" s="216" t="s">
        <v>223</v>
      </c>
      <c r="N232" s="216" t="s">
        <v>224</v>
      </c>
      <c r="O232" s="216" t="s">
        <v>225</v>
      </c>
      <c r="P232" s="216" t="s">
        <v>226</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381</v>
      </c>
      <c r="C233" s="267">
        <f t="shared" si="60"/>
        <v>3.56645369688037</v>
      </c>
      <c r="D233" s="269">
        <f t="shared" si="61"/>
        <v>2.70813706705969</v>
      </c>
      <c r="E233" s="269">
        <f t="shared" si="62"/>
        <v>4.43956890198968</v>
      </c>
      <c r="I233" s="216" t="s">
        <v>407</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382</v>
      </c>
      <c r="C234" s="267">
        <f t="shared" si="60"/>
        <v>3.56585961680177</v>
      </c>
      <c r="D234" s="269">
        <f t="shared" si="61"/>
        <v>2.70768592483419</v>
      </c>
      <c r="E234" s="269">
        <f t="shared" si="62"/>
        <v>4.43882940309506</v>
      </c>
      <c r="I234" s="216" t="s">
        <v>410</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477</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383</v>
      </c>
      <c r="C235" s="267">
        <f t="shared" si="60"/>
        <v>3.56556266273643</v>
      </c>
      <c r="D235" s="269">
        <f t="shared" si="61"/>
        <v>2.70746042741341</v>
      </c>
      <c r="E235" s="269">
        <f t="shared" si="62"/>
        <v>4.4384597641857</v>
      </c>
      <c r="I235" s="216" t="s">
        <v>413</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473</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384</v>
      </c>
      <c r="C236" s="267">
        <f t="shared" si="60"/>
        <v>3.56496890198968</v>
      </c>
      <c r="D236" s="269">
        <f t="shared" si="61"/>
        <v>2.70700957995578</v>
      </c>
      <c r="E236" s="269">
        <f t="shared" si="62"/>
        <v>4.43772063375092</v>
      </c>
      <c r="I236" s="216" t="s">
        <v>415</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416</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417</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418</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478</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220</v>
      </c>
      <c r="O261" s="315" t="s">
        <v>315</v>
      </c>
      <c r="P261" s="315" t="s">
        <v>317</v>
      </c>
      <c r="Q261" s="315" t="s">
        <v>319</v>
      </c>
      <c r="R261" s="315" t="s">
        <v>328</v>
      </c>
      <c r="S261" s="315" t="s">
        <v>330</v>
      </c>
      <c r="T261" s="315" t="s">
        <v>333</v>
      </c>
      <c r="U261" s="315" t="s">
        <v>473</v>
      </c>
      <c r="V261" s="315" t="s">
        <v>427</v>
      </c>
      <c r="W261" s="315" t="s">
        <v>428</v>
      </c>
      <c r="Z261" s="197"/>
      <c r="AA261" s="198"/>
      <c r="AB261" s="198"/>
      <c r="AC261" s="198"/>
      <c r="AD261" s="198"/>
      <c r="AE261" s="198"/>
      <c r="AF261" s="274"/>
    </row>
    <row r="262" spans="2:32">
      <c r="B262" s="313" t="s">
        <v>191</v>
      </c>
      <c r="C262" s="313" t="s">
        <v>220</v>
      </c>
      <c r="D262" s="313" t="s">
        <v>213</v>
      </c>
      <c r="E262" s="313" t="s">
        <v>221</v>
      </c>
      <c r="F262" s="313" t="s">
        <v>222</v>
      </c>
      <c r="G262" s="313" t="s">
        <v>223</v>
      </c>
      <c r="H262" s="313" t="s">
        <v>224</v>
      </c>
      <c r="I262" s="313" t="s">
        <v>225</v>
      </c>
      <c r="J262" s="313" t="s">
        <v>226</v>
      </c>
      <c r="K262" s="216" t="s">
        <v>400</v>
      </c>
      <c r="L262" s="216"/>
      <c r="M262" s="313">
        <f t="shared" ref="M262:M268" si="72">AB237</f>
        <v>0</v>
      </c>
      <c r="N262" s="316" t="s">
        <v>479</v>
      </c>
      <c r="O262" s="315">
        <v>0.0608</v>
      </c>
      <c r="P262" s="315">
        <v>0</v>
      </c>
      <c r="Q262" s="315">
        <v>0</v>
      </c>
      <c r="R262" s="315">
        <v>0</v>
      </c>
      <c r="S262" s="315">
        <v>2.25792</v>
      </c>
      <c r="T262" s="315">
        <v>0.60544</v>
      </c>
      <c r="U262" s="315">
        <v>0.6944</v>
      </c>
      <c r="V262" s="315" t="s">
        <v>290</v>
      </c>
      <c r="W262" s="315">
        <v>1</v>
      </c>
      <c r="Z262" s="197"/>
      <c r="AA262" s="198"/>
      <c r="AB262" s="198"/>
      <c r="AC262" s="198"/>
      <c r="AD262" s="198"/>
      <c r="AE262" s="198"/>
      <c r="AF262" s="274"/>
    </row>
    <row r="263" spans="2:32">
      <c r="B263" s="314" t="s">
        <v>480</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411</v>
      </c>
      <c r="L263" s="216"/>
      <c r="M263" s="313">
        <f t="shared" si="72"/>
        <v>0</v>
      </c>
      <c r="N263" s="316" t="s">
        <v>481</v>
      </c>
      <c r="O263" s="315">
        <v>0.06784</v>
      </c>
      <c r="P263" s="315">
        <v>0</v>
      </c>
      <c r="Q263" s="315">
        <v>0</v>
      </c>
      <c r="R263" s="315">
        <v>0.89344</v>
      </c>
      <c r="S263" s="315">
        <v>2.15616</v>
      </c>
      <c r="T263" s="315">
        <v>0.55232</v>
      </c>
      <c r="U263" s="315">
        <v>0.58304</v>
      </c>
      <c r="V263" s="315" t="s">
        <v>293</v>
      </c>
      <c r="W263" s="315">
        <v>1</v>
      </c>
      <c r="Z263" s="197"/>
      <c r="AA263" s="295"/>
      <c r="AB263" s="198"/>
      <c r="AC263" s="295"/>
      <c r="AD263" s="198"/>
      <c r="AE263" s="198"/>
      <c r="AF263" s="274"/>
    </row>
    <row r="264" spans="2:32">
      <c r="B264" s="314" t="s">
        <v>482</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411</v>
      </c>
      <c r="L264" s="216"/>
      <c r="M264" s="313">
        <f t="shared" si="72"/>
        <v>0</v>
      </c>
      <c r="N264" s="316" t="s">
        <v>483</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484</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411</v>
      </c>
      <c r="L265" s="216"/>
      <c r="M265" s="313">
        <f t="shared" si="72"/>
        <v>0</v>
      </c>
      <c r="N265" s="316" t="s">
        <v>485</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486</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411</v>
      </c>
      <c r="L266" s="216"/>
      <c r="M266" s="313">
        <f t="shared" si="72"/>
        <v>0</v>
      </c>
      <c r="N266" s="316" t="s">
        <v>487</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488</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411</v>
      </c>
      <c r="L267" s="216"/>
      <c r="M267" s="313">
        <f t="shared" si="72"/>
        <v>0</v>
      </c>
      <c r="N267" s="316" t="s">
        <v>489</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490</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411</v>
      </c>
      <c r="L268" s="216"/>
      <c r="M268" s="313">
        <f t="shared" si="72"/>
        <v>0</v>
      </c>
      <c r="N268" s="316" t="s">
        <v>491</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492</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411</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493</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411</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494</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411</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495</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411</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496</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411</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497</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411</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498</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411</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499</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411</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500</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411</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501</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411</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502</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411</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503</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411</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504</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411</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505</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411</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506</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411</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E1" workbookViewId="0">
      <selection activeCell="K39" sqref="K3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515</v>
      </c>
    </row>
    <row r="3" customHeight="1" spans="4:5">
      <c r="D3" s="152" t="s">
        <v>516</v>
      </c>
      <c r="E3" s="152" t="s">
        <v>282</v>
      </c>
    </row>
    <row r="4" spans="4:49">
      <c r="D4" s="153" t="s">
        <v>228</v>
      </c>
      <c r="E4" s="154">
        <v>5.654</v>
      </c>
      <c r="F4" s="155"/>
      <c r="G4" s="155"/>
      <c r="H4" s="49"/>
      <c r="I4" s="49"/>
      <c r="J4" s="168"/>
      <c r="K4" s="168"/>
      <c r="L4" s="168" t="s">
        <v>507</v>
      </c>
      <c r="M4" s="168"/>
      <c r="N4" s="169"/>
      <c r="O4" s="169"/>
      <c r="P4" s="169"/>
      <c r="Q4" s="169"/>
      <c r="R4" s="168" t="s">
        <v>507</v>
      </c>
      <c r="S4" s="169"/>
      <c r="T4" s="169"/>
      <c r="U4" s="169"/>
      <c r="V4" s="169"/>
      <c r="W4" s="169"/>
      <c r="X4" s="168" t="s">
        <v>507</v>
      </c>
      <c r="Y4" s="169"/>
      <c r="Z4" s="169"/>
      <c r="AA4" s="169"/>
      <c r="AB4" s="169"/>
      <c r="AC4" s="169"/>
      <c r="AD4" s="169" t="s">
        <v>507</v>
      </c>
      <c r="AE4" s="169"/>
      <c r="AF4" s="169"/>
      <c r="AG4" s="169"/>
      <c r="AH4" s="169"/>
      <c r="AI4" s="169"/>
      <c r="AJ4" s="168" t="s">
        <v>507</v>
      </c>
      <c r="AK4" s="169"/>
      <c r="AL4" s="169"/>
      <c r="AM4" s="169"/>
      <c r="AN4" s="169"/>
      <c r="AO4" s="169"/>
      <c r="AP4" s="168" t="s">
        <v>507</v>
      </c>
      <c r="AQ4" s="169"/>
      <c r="AR4" s="190"/>
      <c r="AS4" s="190"/>
      <c r="AT4" s="169"/>
      <c r="AU4" s="169"/>
      <c r="AV4" s="168" t="s">
        <v>507</v>
      </c>
      <c r="AW4" s="169"/>
    </row>
    <row r="5" spans="4:49">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241</v>
      </c>
      <c r="E6" s="154">
        <v>5.363</v>
      </c>
      <c r="F6" s="156"/>
      <c r="G6" s="158"/>
      <c r="H6" s="49"/>
      <c r="I6" s="49"/>
      <c r="J6" s="168" t="s">
        <v>411</v>
      </c>
      <c r="K6" s="172" t="s">
        <v>253</v>
      </c>
      <c r="L6" s="171" t="s">
        <v>218</v>
      </c>
      <c r="M6" s="173">
        <f>T58</f>
        <v>0.0768666666666667</v>
      </c>
      <c r="N6" s="169"/>
      <c r="O6" s="169"/>
      <c r="P6" s="168" t="s">
        <v>411</v>
      </c>
      <c r="Q6" s="172" t="s">
        <v>260</v>
      </c>
      <c r="R6" s="171" t="s">
        <v>218</v>
      </c>
      <c r="S6" s="176">
        <f>U58</f>
        <v>0.0714333333333333</v>
      </c>
      <c r="T6" s="169"/>
      <c r="U6" s="169"/>
      <c r="V6" s="168" t="s">
        <v>411</v>
      </c>
      <c r="W6" s="172" t="s">
        <v>267</v>
      </c>
      <c r="X6" s="171" t="s">
        <v>218</v>
      </c>
      <c r="Y6" s="176">
        <f>V58</f>
        <v>0.0713333333333333</v>
      </c>
      <c r="Z6" s="169"/>
      <c r="AA6" s="169"/>
      <c r="AB6" s="168" t="s">
        <v>411</v>
      </c>
      <c r="AC6" s="172" t="s">
        <v>273</v>
      </c>
      <c r="AD6" s="171" t="s">
        <v>218</v>
      </c>
      <c r="AE6" s="176">
        <f>W58</f>
        <v>0.0725666666666666</v>
      </c>
      <c r="AF6" s="169"/>
      <c r="AG6" s="169"/>
      <c r="AH6" s="168" t="s">
        <v>411</v>
      </c>
      <c r="AI6" s="172" t="s">
        <v>246</v>
      </c>
      <c r="AJ6" s="171" t="s">
        <v>218</v>
      </c>
      <c r="AK6" s="176">
        <f>X58</f>
        <v>0.0771333333333333</v>
      </c>
      <c r="AL6" s="169"/>
      <c r="AM6" s="169"/>
      <c r="AN6" s="168" t="s">
        <v>411</v>
      </c>
      <c r="AO6" s="172" t="s">
        <v>240</v>
      </c>
      <c r="AP6" s="171" t="s">
        <v>218</v>
      </c>
      <c r="AQ6" s="176">
        <f>Y58</f>
        <v>0.0425333333333333</v>
      </c>
      <c r="AR6" s="190"/>
      <c r="AS6" s="190"/>
      <c r="AT6" s="168" t="s">
        <v>411</v>
      </c>
      <c r="AU6" s="172" t="s">
        <v>234</v>
      </c>
      <c r="AV6" s="171" t="s">
        <v>218</v>
      </c>
      <c r="AW6" s="176">
        <f>Z58</f>
        <v>0.0473</v>
      </c>
    </row>
    <row r="7" ht="16" spans="4:49">
      <c r="D7" s="153" t="s">
        <v>334</v>
      </c>
      <c r="E7" s="154">
        <v>5.937</v>
      </c>
      <c r="F7" s="156"/>
      <c r="G7" s="158"/>
      <c r="H7" s="49"/>
      <c r="I7" s="49"/>
      <c r="J7" s="168" t="s">
        <v>411</v>
      </c>
      <c r="K7" s="172" t="s">
        <v>253</v>
      </c>
      <c r="L7" s="143" t="s">
        <v>517</v>
      </c>
      <c r="M7" s="173">
        <f>T59</f>
        <v>0.218266666666667</v>
      </c>
      <c r="N7" s="169"/>
      <c r="O7" s="169"/>
      <c r="P7" s="168" t="s">
        <v>411</v>
      </c>
      <c r="Q7" s="172" t="s">
        <v>260</v>
      </c>
      <c r="R7" s="143" t="s">
        <v>517</v>
      </c>
      <c r="S7" s="176">
        <f>U59</f>
        <v>0.2069</v>
      </c>
      <c r="T7" s="169"/>
      <c r="U7" s="169"/>
      <c r="V7" s="168" t="s">
        <v>411</v>
      </c>
      <c r="W7" s="172" t="s">
        <v>267</v>
      </c>
      <c r="X7" s="143" t="s">
        <v>517</v>
      </c>
      <c r="Y7" s="176">
        <f>V59</f>
        <v>0.207166666666667</v>
      </c>
      <c r="Z7" s="169"/>
      <c r="AA7" s="169"/>
      <c r="AB7" s="168" t="s">
        <v>411</v>
      </c>
      <c r="AC7" s="172" t="s">
        <v>273</v>
      </c>
      <c r="AD7" s="143" t="s">
        <v>517</v>
      </c>
      <c r="AE7" s="176">
        <f>W59</f>
        <v>0.2015</v>
      </c>
      <c r="AF7" s="169"/>
      <c r="AG7" s="169"/>
      <c r="AH7" s="168" t="s">
        <v>411</v>
      </c>
      <c r="AI7" s="172" t="s">
        <v>246</v>
      </c>
      <c r="AJ7" s="143" t="s">
        <v>517</v>
      </c>
      <c r="AK7" s="176">
        <f>X59</f>
        <v>0.213833333333333</v>
      </c>
      <c r="AL7" s="169"/>
      <c r="AM7" s="169"/>
      <c r="AN7" s="168" t="s">
        <v>411</v>
      </c>
      <c r="AO7" s="172" t="s">
        <v>240</v>
      </c>
      <c r="AP7" s="143" t="s">
        <v>517</v>
      </c>
      <c r="AQ7" s="176">
        <f>Y59</f>
        <v>0.0924666666666667</v>
      </c>
      <c r="AR7" s="190"/>
      <c r="AS7" s="190"/>
      <c r="AT7" s="168" t="s">
        <v>411</v>
      </c>
      <c r="AU7" s="172" t="s">
        <v>234</v>
      </c>
      <c r="AV7" s="143" t="s">
        <v>517</v>
      </c>
      <c r="AW7" s="176">
        <f>Z59</f>
        <v>0.171166666666667</v>
      </c>
    </row>
    <row r="8" customHeight="1" spans="4:49">
      <c r="D8" s="153" t="s">
        <v>335</v>
      </c>
      <c r="E8" s="154">
        <v>5.845</v>
      </c>
      <c r="F8" s="156"/>
      <c r="G8" s="158"/>
      <c r="H8" s="49"/>
      <c r="I8" s="49"/>
      <c r="J8" s="168" t="s">
        <v>411</v>
      </c>
      <c r="K8" s="172" t="s">
        <v>253</v>
      </c>
      <c r="L8" s="143" t="s">
        <v>518</v>
      </c>
      <c r="M8" s="173">
        <f>T60</f>
        <v>0.573166666666667</v>
      </c>
      <c r="N8" s="169"/>
      <c r="O8" s="169"/>
      <c r="P8" s="168" t="s">
        <v>411</v>
      </c>
      <c r="Q8" s="172" t="s">
        <v>260</v>
      </c>
      <c r="R8" s="143" t="s">
        <v>518</v>
      </c>
      <c r="S8" s="176">
        <f>U60</f>
        <v>0.545466666666667</v>
      </c>
      <c r="T8" s="169"/>
      <c r="U8" s="169"/>
      <c r="V8" s="168" t="s">
        <v>411</v>
      </c>
      <c r="W8" s="172" t="s">
        <v>267</v>
      </c>
      <c r="X8" s="143" t="s">
        <v>518</v>
      </c>
      <c r="Y8" s="176">
        <f>V60</f>
        <v>0.547266666666667</v>
      </c>
      <c r="Z8" s="169"/>
      <c r="AA8" s="169"/>
      <c r="AB8" s="168" t="s">
        <v>411</v>
      </c>
      <c r="AC8" s="172" t="s">
        <v>273</v>
      </c>
      <c r="AD8" s="143" t="s">
        <v>518</v>
      </c>
      <c r="AE8" s="176">
        <f>W60</f>
        <v>0.539833333333333</v>
      </c>
      <c r="AF8" s="169"/>
      <c r="AG8" s="169"/>
      <c r="AH8" s="168" t="s">
        <v>411</v>
      </c>
      <c r="AI8" s="172" t="s">
        <v>246</v>
      </c>
      <c r="AJ8" s="143" t="s">
        <v>518</v>
      </c>
      <c r="AK8" s="176">
        <f>X60</f>
        <v>0.583566666666667</v>
      </c>
      <c r="AL8" s="169"/>
      <c r="AM8" s="169"/>
      <c r="AN8" s="168" t="s">
        <v>411</v>
      </c>
      <c r="AO8" s="172" t="s">
        <v>240</v>
      </c>
      <c r="AP8" s="143" t="s">
        <v>518</v>
      </c>
      <c r="AQ8" s="176">
        <f>Y60</f>
        <v>0.399233333333333</v>
      </c>
      <c r="AR8" s="190"/>
      <c r="AS8" s="190"/>
      <c r="AT8" s="168" t="s">
        <v>411</v>
      </c>
      <c r="AU8" s="172" t="s">
        <v>234</v>
      </c>
      <c r="AV8" s="143" t="s">
        <v>518</v>
      </c>
      <c r="AW8" s="176">
        <f>Z60</f>
        <v>0.466366666666667</v>
      </c>
    </row>
    <row r="9" ht="16" spans="4:49">
      <c r="D9" s="153" t="s">
        <v>336</v>
      </c>
      <c r="E9" s="154">
        <v>5.575</v>
      </c>
      <c r="F9" s="156"/>
      <c r="G9" s="158"/>
      <c r="H9" s="49"/>
      <c r="I9" s="49"/>
      <c r="J9" s="168" t="s">
        <v>411</v>
      </c>
      <c r="K9" s="172" t="s">
        <v>253</v>
      </c>
      <c r="L9" s="143" t="s">
        <v>519</v>
      </c>
      <c r="M9" s="173">
        <f>T61</f>
        <v>0.1279</v>
      </c>
      <c r="N9" s="169"/>
      <c r="O9" s="169"/>
      <c r="P9" s="168" t="s">
        <v>411</v>
      </c>
      <c r="Q9" s="172" t="s">
        <v>260</v>
      </c>
      <c r="R9" s="143" t="s">
        <v>519</v>
      </c>
      <c r="S9" s="176">
        <f>U61</f>
        <v>0.134133333333333</v>
      </c>
      <c r="T9" s="169"/>
      <c r="U9" s="169"/>
      <c r="V9" s="168" t="s">
        <v>411</v>
      </c>
      <c r="W9" s="172" t="s">
        <v>267</v>
      </c>
      <c r="X9" s="143" t="s">
        <v>519</v>
      </c>
      <c r="Y9" s="176">
        <f>V61</f>
        <v>0.140733333333333</v>
      </c>
      <c r="Z9" s="169"/>
      <c r="AA9" s="169"/>
      <c r="AB9" s="168" t="s">
        <v>411</v>
      </c>
      <c r="AC9" s="172" t="s">
        <v>273</v>
      </c>
      <c r="AD9" s="143" t="s">
        <v>519</v>
      </c>
      <c r="AE9" s="176">
        <f>W61</f>
        <v>0.150333333333333</v>
      </c>
      <c r="AF9" s="169"/>
      <c r="AG9" s="169"/>
      <c r="AH9" s="168" t="s">
        <v>411</v>
      </c>
      <c r="AI9" s="172" t="s">
        <v>246</v>
      </c>
      <c r="AJ9" s="143" t="s">
        <v>519</v>
      </c>
      <c r="AK9" s="176">
        <f>X61</f>
        <v>0.161266666666667</v>
      </c>
      <c r="AL9" s="169"/>
      <c r="AM9" s="169"/>
      <c r="AN9" s="168" t="s">
        <v>411</v>
      </c>
      <c r="AO9" s="172" t="s">
        <v>240</v>
      </c>
      <c r="AP9" s="143" t="s">
        <v>519</v>
      </c>
      <c r="AQ9" s="176">
        <f>Y61</f>
        <v>0.0574</v>
      </c>
      <c r="AR9" s="190"/>
      <c r="AS9" s="190"/>
      <c r="AT9" s="168" t="s">
        <v>411</v>
      </c>
      <c r="AU9" s="172" t="s">
        <v>234</v>
      </c>
      <c r="AV9" s="143" t="s">
        <v>519</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520</v>
      </c>
      <c r="AD21" t="s">
        <v>520</v>
      </c>
    </row>
    <row r="22" ht="15.5" spans="4:39">
      <c r="D22" s="166" t="s">
        <v>521</v>
      </c>
      <c r="E22" s="166" t="s">
        <v>522</v>
      </c>
      <c r="F22" s="166"/>
      <c r="G22" s="166"/>
      <c r="H22" s="166" t="s">
        <v>523</v>
      </c>
      <c r="I22" s="166"/>
      <c r="Q22" s="177" t="s">
        <v>524</v>
      </c>
      <c r="R22" s="177" t="s">
        <v>525</v>
      </c>
      <c r="S22" s="178" t="s">
        <v>526</v>
      </c>
      <c r="T22" s="178"/>
      <c r="U22" s="178"/>
      <c r="V22" s="178"/>
      <c r="W22" s="178"/>
      <c r="X22" s="178"/>
      <c r="Y22" s="178"/>
      <c r="Z22" s="178"/>
      <c r="AD22" s="177" t="s">
        <v>524</v>
      </c>
      <c r="AE22" s="177" t="s">
        <v>527</v>
      </c>
      <c r="AF22" s="178" t="s">
        <v>526</v>
      </c>
      <c r="AG22" s="178"/>
      <c r="AH22" s="178"/>
      <c r="AI22" s="178"/>
      <c r="AJ22" s="178"/>
      <c r="AK22" s="178"/>
      <c r="AL22" s="178"/>
      <c r="AM22" s="178"/>
    </row>
    <row r="23" ht="15.5" spans="4:39">
      <c r="D23" s="166"/>
      <c r="E23" s="166"/>
      <c r="F23" s="166"/>
      <c r="G23" s="166"/>
      <c r="H23" s="166"/>
      <c r="I23" s="166"/>
      <c r="L23" t="s">
        <v>278</v>
      </c>
      <c r="Q23" s="177"/>
      <c r="R23" s="177"/>
      <c r="S23" s="178" t="s">
        <v>528</v>
      </c>
      <c r="T23" s="178" t="s">
        <v>334</v>
      </c>
      <c r="U23" s="178" t="s">
        <v>335</v>
      </c>
      <c r="V23" s="178" t="s">
        <v>336</v>
      </c>
      <c r="W23" s="178" t="s">
        <v>337</v>
      </c>
      <c r="X23" s="178" t="s">
        <v>241</v>
      </c>
      <c r="Y23" s="178" t="s">
        <v>529</v>
      </c>
      <c r="Z23" s="178" t="s">
        <v>530</v>
      </c>
      <c r="AD23" s="177"/>
      <c r="AE23" s="177"/>
      <c r="AF23" s="178" t="s">
        <v>528</v>
      </c>
      <c r="AG23" s="178" t="s">
        <v>334</v>
      </c>
      <c r="AH23" s="178" t="s">
        <v>335</v>
      </c>
      <c r="AI23" s="178" t="s">
        <v>336</v>
      </c>
      <c r="AJ23" s="178" t="s">
        <v>337</v>
      </c>
      <c r="AK23" s="178" t="s">
        <v>241</v>
      </c>
      <c r="AL23" s="178" t="s">
        <v>529</v>
      </c>
      <c r="AM23" s="178" t="s">
        <v>530</v>
      </c>
    </row>
    <row r="24" ht="15.5" spans="4:39">
      <c r="D24" s="166"/>
      <c r="E24" s="166"/>
      <c r="F24" s="166"/>
      <c r="G24" s="166"/>
      <c r="H24" s="166"/>
      <c r="I24" s="166"/>
      <c r="L24" t="s">
        <v>280</v>
      </c>
      <c r="Q24" s="177" t="s">
        <v>531</v>
      </c>
      <c r="R24" s="179" t="s">
        <v>532</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531</v>
      </c>
      <c r="AE24" s="179" t="s">
        <v>532</v>
      </c>
      <c r="AF24" s="180">
        <v>1211.3</v>
      </c>
      <c r="AG24" s="180">
        <v>990.7</v>
      </c>
      <c r="AH24" s="180">
        <v>952.4</v>
      </c>
      <c r="AI24" s="180">
        <v>961</v>
      </c>
      <c r="AJ24" s="180">
        <v>958.7</v>
      </c>
      <c r="AK24" s="180">
        <v>1030.2</v>
      </c>
      <c r="AL24" s="180">
        <v>586.1</v>
      </c>
      <c r="AM24" s="180">
        <v>775</v>
      </c>
    </row>
    <row r="25" ht="15.5" spans="4:39">
      <c r="D25" s="166" t="s">
        <v>533</v>
      </c>
      <c r="E25" s="167">
        <v>0.849885259424328</v>
      </c>
      <c r="F25" s="166"/>
      <c r="G25" s="166"/>
      <c r="H25" s="166"/>
      <c r="I25" s="167"/>
      <c r="L25" t="s">
        <v>283</v>
      </c>
      <c r="Q25" s="177"/>
      <c r="R25" s="179" t="s">
        <v>534</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534</v>
      </c>
      <c r="AF25" s="180">
        <v>1103.7</v>
      </c>
      <c r="AG25" s="180">
        <v>913.9</v>
      </c>
      <c r="AH25" s="180">
        <v>881.1</v>
      </c>
      <c r="AI25" s="180">
        <v>889.8</v>
      </c>
      <c r="AJ25" s="180">
        <v>886.2</v>
      </c>
      <c r="AK25" s="180">
        <v>953.2</v>
      </c>
      <c r="AL25" s="180">
        <v>543.7</v>
      </c>
      <c r="AM25" s="180">
        <v>727.8</v>
      </c>
    </row>
    <row r="26" ht="16" spans="4:39">
      <c r="D26" s="143" t="s">
        <v>535</v>
      </c>
      <c r="E26" s="167">
        <v>0.3112562174477</v>
      </c>
      <c r="F26" s="166"/>
      <c r="G26" s="166"/>
      <c r="H26" s="143" t="s">
        <v>533</v>
      </c>
      <c r="I26" s="167">
        <v>0.0771418690026146</v>
      </c>
      <c r="L26" t="s">
        <v>285</v>
      </c>
      <c r="Q26" s="177"/>
      <c r="R26" s="179" t="s">
        <v>536</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536</v>
      </c>
      <c r="AF26" s="180">
        <v>267.3</v>
      </c>
      <c r="AG26" s="180">
        <v>202.6</v>
      </c>
      <c r="AH26" s="180">
        <v>191.3</v>
      </c>
      <c r="AI26" s="180">
        <v>191.5</v>
      </c>
      <c r="AJ26" s="180">
        <v>185.9</v>
      </c>
      <c r="AK26" s="180">
        <v>198.2</v>
      </c>
      <c r="AL26" s="180">
        <v>76.8</v>
      </c>
      <c r="AM26" s="180">
        <v>155.5</v>
      </c>
    </row>
    <row r="27" ht="15.5" spans="4:39">
      <c r="D27" s="166" t="s">
        <v>537</v>
      </c>
      <c r="E27" s="167">
        <v>0.350548191468732</v>
      </c>
      <c r="F27" s="166"/>
      <c r="G27" s="166"/>
      <c r="H27" s="166" t="s">
        <v>535</v>
      </c>
      <c r="I27" s="167">
        <v>0.173447629484096</v>
      </c>
      <c r="Q27" s="177"/>
      <c r="R27" s="179" t="s">
        <v>538</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538</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537</v>
      </c>
      <c r="I28" s="167">
        <v>0.164771576734476</v>
      </c>
      <c r="Q28" s="177"/>
      <c r="R28" s="179" t="s">
        <v>539</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539</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392</v>
      </c>
      <c r="R29" s="179" t="s">
        <v>532</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392</v>
      </c>
      <c r="AE29" s="179" t="s">
        <v>532</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534</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534</v>
      </c>
      <c r="AF30" s="180">
        <v>1109.8</v>
      </c>
      <c r="AG30" s="180">
        <v>920</v>
      </c>
      <c r="AH30" s="180">
        <v>887.2</v>
      </c>
      <c r="AI30" s="180">
        <v>895.9</v>
      </c>
      <c r="AJ30" s="180">
        <v>892.3</v>
      </c>
      <c r="AK30" s="180">
        <v>959.3</v>
      </c>
      <c r="AL30" s="180">
        <v>549.8</v>
      </c>
      <c r="AM30" s="180">
        <v>733.9</v>
      </c>
    </row>
    <row r="31" ht="15.5" spans="4:39">
      <c r="D31" s="166" t="s">
        <v>540</v>
      </c>
      <c r="E31" s="166"/>
      <c r="F31" s="166"/>
      <c r="G31" s="166"/>
      <c r="H31" s="166" t="s">
        <v>541</v>
      </c>
      <c r="I31" s="166"/>
      <c r="Q31" s="177"/>
      <c r="R31" s="179" t="s">
        <v>536</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536</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538</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538</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539</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539</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402</v>
      </c>
      <c r="R34" s="179" t="s">
        <v>532</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402</v>
      </c>
      <c r="AE34" s="179" t="s">
        <v>532</v>
      </c>
      <c r="AF34" s="180">
        <v>1222.2</v>
      </c>
      <c r="AG34" s="180">
        <v>1001.5</v>
      </c>
      <c r="AH34" s="180">
        <v>963.3</v>
      </c>
      <c r="AI34" s="180">
        <v>971.9</v>
      </c>
      <c r="AJ34" s="180">
        <v>969.5</v>
      </c>
      <c r="AK34" s="180">
        <v>1041.1</v>
      </c>
      <c r="AL34" s="180">
        <v>597</v>
      </c>
      <c r="AM34" s="180">
        <v>785.8</v>
      </c>
    </row>
    <row r="35" ht="15.5" spans="4:39">
      <c r="D35" s="166" t="s">
        <v>533</v>
      </c>
      <c r="E35" s="167">
        <v>0.0855073856427328</v>
      </c>
      <c r="F35" s="166"/>
      <c r="G35" s="166"/>
      <c r="H35" s="166" t="s">
        <v>533</v>
      </c>
      <c r="I35" s="167">
        <v>0.00754366993411565</v>
      </c>
      <c r="Q35" s="177"/>
      <c r="R35" s="179" t="s">
        <v>534</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534</v>
      </c>
      <c r="AF35" s="180">
        <v>1113.9</v>
      </c>
      <c r="AG35" s="180">
        <v>924.1</v>
      </c>
      <c r="AH35" s="180">
        <v>891.3</v>
      </c>
      <c r="AI35" s="180">
        <v>900</v>
      </c>
      <c r="AJ35" s="180">
        <v>896.4</v>
      </c>
      <c r="AK35" s="180">
        <v>963.4</v>
      </c>
      <c r="AL35" s="180">
        <v>553.9</v>
      </c>
      <c r="AM35" s="180">
        <v>738</v>
      </c>
    </row>
    <row r="36" ht="16" spans="4:39">
      <c r="D36" s="143" t="s">
        <v>535</v>
      </c>
      <c r="E36" s="167">
        <v>0.243549068348169</v>
      </c>
      <c r="F36" s="166"/>
      <c r="G36" s="166"/>
      <c r="H36" s="143" t="s">
        <v>535</v>
      </c>
      <c r="I36" s="167">
        <v>0.00964402202282824</v>
      </c>
      <c r="Q36" s="177"/>
      <c r="R36" s="179" t="s">
        <v>536</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536</v>
      </c>
      <c r="AF36" s="180">
        <v>301.2</v>
      </c>
      <c r="AG36" s="180">
        <v>236.6</v>
      </c>
      <c r="AH36" s="180">
        <v>225.2</v>
      </c>
      <c r="AI36" s="180">
        <v>225.5</v>
      </c>
      <c r="AJ36" s="180">
        <v>219.8</v>
      </c>
      <c r="AK36" s="180">
        <v>232.2</v>
      </c>
      <c r="AL36" s="180">
        <v>110.8</v>
      </c>
      <c r="AM36" s="180">
        <v>189.5</v>
      </c>
    </row>
    <row r="37" ht="15.5" spans="4:39">
      <c r="D37" s="166" t="s">
        <v>537</v>
      </c>
      <c r="E37" s="167">
        <v>0.0737387019806453</v>
      </c>
      <c r="F37" s="166"/>
      <c r="G37" s="166"/>
      <c r="H37" s="166" t="s">
        <v>537</v>
      </c>
      <c r="I37" s="167">
        <v>0.0033822506091063</v>
      </c>
      <c r="Q37" s="177"/>
      <c r="R37" s="179" t="s">
        <v>538</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538</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539</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539</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542</v>
      </c>
      <c r="R40" s="178"/>
      <c r="S40" s="178"/>
      <c r="T40" s="178"/>
      <c r="U40" s="178"/>
      <c r="V40" s="178"/>
      <c r="W40" s="178"/>
      <c r="X40" s="178"/>
      <c r="Y40" s="178"/>
      <c r="Z40" s="178"/>
      <c r="AD40" s="178" t="s">
        <v>542</v>
      </c>
      <c r="AE40" s="178"/>
      <c r="AF40" s="178"/>
      <c r="AG40" s="178"/>
      <c r="AH40" s="178"/>
      <c r="AI40" s="178"/>
      <c r="AJ40" s="178"/>
      <c r="AK40" s="178"/>
      <c r="AL40" s="178"/>
      <c r="AM40" s="178"/>
    </row>
    <row r="41" ht="15.5" spans="4:9">
      <c r="D41" s="166" t="s">
        <v>543</v>
      </c>
      <c r="E41" s="166"/>
      <c r="F41" s="166"/>
      <c r="G41" s="166"/>
      <c r="H41" s="166" t="s">
        <v>544</v>
      </c>
      <c r="I41" s="166"/>
    </row>
    <row r="42" ht="15.5" spans="4:9">
      <c r="D42" s="166"/>
      <c r="E42" s="166"/>
      <c r="F42" s="166"/>
      <c r="G42" s="166"/>
      <c r="H42" s="166"/>
      <c r="I42" s="166"/>
    </row>
    <row r="43" ht="15.5" spans="4:39">
      <c r="D43" s="166"/>
      <c r="E43" s="166"/>
      <c r="F43" s="166"/>
      <c r="G43" s="166"/>
      <c r="H43" s="166"/>
      <c r="I43" s="166"/>
      <c r="S43" s="178" t="s">
        <v>528</v>
      </c>
      <c r="T43" s="178" t="s">
        <v>334</v>
      </c>
      <c r="U43" s="178" t="s">
        <v>335</v>
      </c>
      <c r="V43" s="178" t="s">
        <v>336</v>
      </c>
      <c r="W43" s="178" t="s">
        <v>337</v>
      </c>
      <c r="X43" s="178" t="s">
        <v>241</v>
      </c>
      <c r="Y43" s="178" t="s">
        <v>529</v>
      </c>
      <c r="Z43" s="178" t="s">
        <v>530</v>
      </c>
      <c r="AD43" s="185" t="s">
        <v>545</v>
      </c>
      <c r="AE43" s="185" t="s">
        <v>527</v>
      </c>
      <c r="AF43" s="185" t="s">
        <v>546</v>
      </c>
      <c r="AG43" s="185"/>
      <c r="AH43" s="185"/>
      <c r="AI43" s="185"/>
      <c r="AJ43" s="185"/>
      <c r="AK43" s="185"/>
      <c r="AL43" s="185"/>
      <c r="AM43" s="185"/>
    </row>
    <row r="44" ht="15.5" spans="4:39">
      <c r="D44" s="166"/>
      <c r="E44" s="166"/>
      <c r="F44" s="166"/>
      <c r="G44" s="166"/>
      <c r="H44" s="166"/>
      <c r="I44" s="166"/>
      <c r="Q44" s="97" t="s">
        <v>531</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547</v>
      </c>
      <c r="AG44" s="186" t="s">
        <v>334</v>
      </c>
      <c r="AH44" s="186" t="s">
        <v>335</v>
      </c>
      <c r="AI44" s="186" t="s">
        <v>336</v>
      </c>
      <c r="AJ44" s="186" t="s">
        <v>337</v>
      </c>
      <c r="AK44" s="186" t="s">
        <v>241</v>
      </c>
      <c r="AL44" s="186" t="s">
        <v>414</v>
      </c>
      <c r="AM44" s="186" t="s">
        <v>412</v>
      </c>
    </row>
    <row r="45" ht="15.5" spans="4:39">
      <c r="D45" s="166" t="s">
        <v>533</v>
      </c>
      <c r="E45" s="167">
        <v>0.000928132911392405</v>
      </c>
      <c r="F45" s="166"/>
      <c r="G45" s="166"/>
      <c r="H45" s="166" t="s">
        <v>533</v>
      </c>
      <c r="I45" s="167">
        <v>0.0163858049041521</v>
      </c>
      <c r="Q45" s="97"/>
      <c r="R45" s="184" t="s">
        <v>536</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531</v>
      </c>
      <c r="AE45" s="187" t="s">
        <v>548</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535</v>
      </c>
      <c r="E46" s="167">
        <v>0.00161588607594937</v>
      </c>
      <c r="F46" s="166"/>
      <c r="G46" s="166"/>
      <c r="H46" s="143" t="s">
        <v>535</v>
      </c>
      <c r="I46" s="167">
        <v>0.0223155838561589</v>
      </c>
      <c r="Q46" s="97"/>
      <c r="R46" s="184" t="s">
        <v>538</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549</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537</v>
      </c>
      <c r="E47" s="167">
        <v>0.00227025316455696</v>
      </c>
      <c r="F47" s="166"/>
      <c r="G47" s="166"/>
      <c r="H47" s="166" t="s">
        <v>537</v>
      </c>
      <c r="I47" s="167">
        <v>0.00895182580411215</v>
      </c>
      <c r="Q47" s="97"/>
      <c r="R47" s="184" t="s">
        <v>539</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550</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392</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551</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536</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392</v>
      </c>
      <c r="AE49" s="187" t="s">
        <v>548</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538</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549</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552</v>
      </c>
      <c r="E51" s="166"/>
      <c r="F51" s="166"/>
      <c r="G51" s="166"/>
      <c r="H51" s="166"/>
      <c r="I51" s="166"/>
      <c r="Q51" s="97"/>
      <c r="R51" s="184" t="s">
        <v>539</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550</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402</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551</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536</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402</v>
      </c>
      <c r="AE53" s="187" t="s">
        <v>548</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538</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549</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533</v>
      </c>
      <c r="E55" s="167">
        <v>0.012897375</v>
      </c>
      <c r="F55" s="166"/>
      <c r="G55" s="166"/>
      <c r="H55" s="166"/>
      <c r="I55" s="166"/>
      <c r="Q55" s="97"/>
      <c r="R55" s="184" t="s">
        <v>539</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550</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535</v>
      </c>
      <c r="E56" s="167">
        <v>0.040563695</v>
      </c>
      <c r="F56" s="166"/>
      <c r="G56" s="166"/>
      <c r="H56" s="166"/>
      <c r="I56" s="166"/>
      <c r="AD56" s="185"/>
      <c r="AE56" s="187" t="s">
        <v>551</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537</v>
      </c>
      <c r="E57" s="167">
        <v>0.03346882</v>
      </c>
      <c r="F57" s="166"/>
      <c r="G57" s="166"/>
      <c r="H57" s="166"/>
      <c r="I57" s="166"/>
      <c r="AD57" s="189" t="s">
        <v>553</v>
      </c>
      <c r="AE57" s="187" t="s">
        <v>548</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554</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549</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536</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550</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538</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551</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539</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555</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367</v>
      </c>
      <c r="E69" s="195" t="s">
        <v>535</v>
      </c>
      <c r="F69" s="194">
        <v>0.00359735099337748</v>
      </c>
      <c r="G69" s="194"/>
      <c r="H69" s="194" t="s">
        <v>368</v>
      </c>
      <c r="I69" s="195" t="s">
        <v>535</v>
      </c>
      <c r="J69" s="194">
        <v>0.00370884353741497</v>
      </c>
      <c r="K69" s="194"/>
      <c r="L69" s="194" t="s">
        <v>369</v>
      </c>
      <c r="M69" s="195" t="s">
        <v>535</v>
      </c>
      <c r="N69" s="194">
        <v>0.00392167832167832</v>
      </c>
      <c r="O69" s="194"/>
      <c r="P69" s="194" t="s">
        <v>370</v>
      </c>
      <c r="Q69" s="195" t="s">
        <v>535</v>
      </c>
      <c r="R69" s="194">
        <v>0.00403971631205674</v>
      </c>
      <c r="S69" s="194"/>
      <c r="T69" s="194" t="s">
        <v>366</v>
      </c>
      <c r="U69" s="195" t="s">
        <v>535</v>
      </c>
      <c r="V69" s="194">
        <v>0.00413900709219858</v>
      </c>
      <c r="W69" s="194"/>
      <c r="X69" s="194" t="s">
        <v>365</v>
      </c>
      <c r="Y69" s="195" t="s">
        <v>535</v>
      </c>
      <c r="Z69" s="194">
        <v>0.00373591549295775</v>
      </c>
      <c r="AA69" s="194"/>
      <c r="AB69" s="194" t="s">
        <v>364</v>
      </c>
      <c r="AC69" s="195" t="s">
        <v>535</v>
      </c>
      <c r="AD69" s="194">
        <v>0.00525925925925926</v>
      </c>
    </row>
    <row r="70" s="151" customFormat="1" ht="15.5" spans="4:30">
      <c r="D70" s="194"/>
      <c r="E70" s="195" t="s">
        <v>537</v>
      </c>
      <c r="F70" s="194">
        <v>0.00158940397350993</v>
      </c>
      <c r="G70" s="194"/>
      <c r="H70" s="194"/>
      <c r="I70" s="195" t="s">
        <v>537</v>
      </c>
      <c r="J70" s="194">
        <v>0.00163265306122449</v>
      </c>
      <c r="K70" s="194"/>
      <c r="L70" s="194"/>
      <c r="M70" s="195" t="s">
        <v>537</v>
      </c>
      <c r="N70" s="194">
        <v>0.00167832167832168</v>
      </c>
      <c r="O70" s="194"/>
      <c r="P70" s="194"/>
      <c r="Q70" s="195" t="s">
        <v>537</v>
      </c>
      <c r="R70" s="194">
        <v>0.00170212765957447</v>
      </c>
      <c r="S70" s="194"/>
      <c r="T70" s="194"/>
      <c r="U70" s="195" t="s">
        <v>537</v>
      </c>
      <c r="V70" s="194">
        <v>0.00170212765957447</v>
      </c>
      <c r="W70" s="194"/>
      <c r="X70" s="194"/>
      <c r="Y70" s="195" t="s">
        <v>537</v>
      </c>
      <c r="Z70" s="194">
        <v>0.00211267605633803</v>
      </c>
      <c r="AA70" s="194"/>
      <c r="AB70" s="194"/>
      <c r="AC70" s="195" t="s">
        <v>537</v>
      </c>
      <c r="AD70" s="194">
        <v>0.00296296296296296</v>
      </c>
    </row>
    <row r="71" s="151" customFormat="1" ht="15.5" spans="4:30">
      <c r="D71" s="194"/>
      <c r="E71" s="195" t="s">
        <v>218</v>
      </c>
      <c r="F71" s="194">
        <v>0.00115761589403974</v>
      </c>
      <c r="G71" s="194"/>
      <c r="H71" s="194"/>
      <c r="I71" s="195" t="s">
        <v>218</v>
      </c>
      <c r="J71" s="194">
        <v>0.0011891156462585</v>
      </c>
      <c r="K71" s="194"/>
      <c r="L71" s="194"/>
      <c r="M71" s="195" t="s">
        <v>218</v>
      </c>
      <c r="N71" s="194">
        <v>0.00123916083916084</v>
      </c>
      <c r="O71" s="194"/>
      <c r="P71" s="194"/>
      <c r="Q71" s="195" t="s">
        <v>218</v>
      </c>
      <c r="R71" s="194">
        <v>0.00126524822695035</v>
      </c>
      <c r="S71" s="194"/>
      <c r="T71" s="194"/>
      <c r="U71" s="195" t="s">
        <v>218</v>
      </c>
      <c r="V71" s="194">
        <v>0.00127943262411348</v>
      </c>
      <c r="W71" s="194"/>
      <c r="X71" s="194"/>
      <c r="Y71" s="195" t="s">
        <v>218</v>
      </c>
      <c r="Z71" s="194">
        <v>0.00138732394366197</v>
      </c>
      <c r="AA71" s="194"/>
      <c r="AB71" s="194"/>
      <c r="AC71" s="195" t="s">
        <v>218</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374</v>
      </c>
      <c r="E75" s="195" t="s">
        <v>535</v>
      </c>
      <c r="F75" s="194">
        <v>0.0208158940397351</v>
      </c>
      <c r="G75" s="194"/>
      <c r="H75" s="194" t="s">
        <v>375</v>
      </c>
      <c r="I75" s="195" t="s">
        <v>535</v>
      </c>
      <c r="J75" s="194">
        <v>0.0208068027210884</v>
      </c>
      <c r="K75" s="194"/>
      <c r="L75" s="194" t="s">
        <v>376</v>
      </c>
      <c r="M75" s="195" t="s">
        <v>535</v>
      </c>
      <c r="N75" s="194">
        <v>0.021165034965035</v>
      </c>
      <c r="O75" s="194"/>
      <c r="P75" s="194" t="s">
        <v>377</v>
      </c>
      <c r="Q75" s="195" t="s">
        <v>535</v>
      </c>
      <c r="R75" s="194">
        <v>0.0206425531914894</v>
      </c>
      <c r="S75" s="194"/>
      <c r="T75" s="194" t="s">
        <v>373</v>
      </c>
      <c r="U75" s="195" t="s">
        <v>535</v>
      </c>
      <c r="V75" s="194">
        <v>0.0205148936170213</v>
      </c>
      <c r="W75" s="194"/>
      <c r="X75" s="194" t="s">
        <v>372</v>
      </c>
      <c r="Y75" s="195" t="s">
        <v>535</v>
      </c>
      <c r="Z75" s="194">
        <v>0.0303802816901408</v>
      </c>
      <c r="AA75" s="194"/>
      <c r="AB75" s="194" t="s">
        <v>371</v>
      </c>
      <c r="AC75" s="195" t="s">
        <v>535</v>
      </c>
      <c r="AD75" s="194">
        <v>0.0100148148148148</v>
      </c>
    </row>
    <row r="76" s="151" customFormat="1" ht="15.5" spans="4:30">
      <c r="D76" s="194"/>
      <c r="E76" s="195" t="s">
        <v>537</v>
      </c>
      <c r="F76" s="194">
        <v>0.00158940397350993</v>
      </c>
      <c r="G76" s="194"/>
      <c r="H76" s="194"/>
      <c r="I76" s="195" t="s">
        <v>537</v>
      </c>
      <c r="J76" s="194">
        <v>0.00163265306122449</v>
      </c>
      <c r="K76" s="194"/>
      <c r="L76" s="194"/>
      <c r="M76" s="195" t="s">
        <v>537</v>
      </c>
      <c r="N76" s="194">
        <v>0.00167832167832168</v>
      </c>
      <c r="O76" s="194"/>
      <c r="P76" s="194"/>
      <c r="Q76" s="195" t="s">
        <v>537</v>
      </c>
      <c r="R76" s="194">
        <v>0.00170212765957447</v>
      </c>
      <c r="S76" s="194"/>
      <c r="T76" s="194"/>
      <c r="U76" s="195" t="s">
        <v>537</v>
      </c>
      <c r="V76" s="194">
        <v>0.00170212765957447</v>
      </c>
      <c r="W76" s="194"/>
      <c r="X76" s="194"/>
      <c r="Y76" s="195" t="s">
        <v>537</v>
      </c>
      <c r="Z76" s="194">
        <v>0.00211267605633803</v>
      </c>
      <c r="AA76" s="194"/>
      <c r="AB76" s="194"/>
      <c r="AC76" s="195" t="s">
        <v>537</v>
      </c>
      <c r="AD76" s="194">
        <v>0.00296296296296296</v>
      </c>
    </row>
    <row r="77" s="151" customFormat="1" ht="15.5" spans="4:30">
      <c r="D77" s="194"/>
      <c r="E77" s="195" t="s">
        <v>218</v>
      </c>
      <c r="F77" s="194">
        <v>0.0378198675496689</v>
      </c>
      <c r="G77" s="194"/>
      <c r="H77" s="194"/>
      <c r="I77" s="195" t="s">
        <v>218</v>
      </c>
      <c r="J77" s="194">
        <v>0.0376013605442177</v>
      </c>
      <c r="K77" s="194"/>
      <c r="L77" s="194"/>
      <c r="M77" s="195" t="s">
        <v>218</v>
      </c>
      <c r="N77" s="194">
        <v>0.0381636363636364</v>
      </c>
      <c r="O77" s="194"/>
      <c r="P77" s="194"/>
      <c r="Q77" s="195" t="s">
        <v>218</v>
      </c>
      <c r="R77" s="194">
        <v>0.0369177304964539</v>
      </c>
      <c r="S77" s="194"/>
      <c r="T77" s="194"/>
      <c r="U77" s="195" t="s">
        <v>218</v>
      </c>
      <c r="V77" s="194">
        <v>0.0365205673758865</v>
      </c>
      <c r="W77" s="194"/>
      <c r="X77" s="194"/>
      <c r="Y77" s="195" t="s">
        <v>218</v>
      </c>
      <c r="Z77" s="194">
        <v>0.0581584507042253</v>
      </c>
      <c r="AA77" s="194"/>
      <c r="AB77" s="194"/>
      <c r="AC77" s="195" t="s">
        <v>218</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381</v>
      </c>
      <c r="E81" s="195" t="s">
        <v>535</v>
      </c>
      <c r="F81" s="194">
        <v>0.00482119205298013</v>
      </c>
      <c r="G81" s="194"/>
      <c r="H81" s="194" t="s">
        <v>382</v>
      </c>
      <c r="I81" s="195" t="s">
        <v>535</v>
      </c>
      <c r="J81" s="194">
        <v>0.00489795918367347</v>
      </c>
      <c r="K81" s="194"/>
      <c r="L81" s="194" t="s">
        <v>383</v>
      </c>
      <c r="M81" s="195" t="s">
        <v>535</v>
      </c>
      <c r="N81" s="194">
        <v>0.00502097902097902</v>
      </c>
      <c r="O81" s="194"/>
      <c r="P81" s="194" t="s">
        <v>384</v>
      </c>
      <c r="Q81" s="195" t="s">
        <v>535</v>
      </c>
      <c r="R81" s="194">
        <v>0.00502127659574468</v>
      </c>
      <c r="S81" s="194"/>
      <c r="T81" s="194" t="s">
        <v>380</v>
      </c>
      <c r="U81" s="195" t="s">
        <v>535</v>
      </c>
      <c r="V81" s="194">
        <v>0.00504964539007092</v>
      </c>
      <c r="W81" s="194"/>
      <c r="X81" s="194" t="s">
        <v>379</v>
      </c>
      <c r="Y81" s="195" t="s">
        <v>535</v>
      </c>
      <c r="Z81" s="194">
        <v>0.00667253521126761</v>
      </c>
      <c r="AA81" s="194"/>
      <c r="AB81" s="194" t="s">
        <v>378</v>
      </c>
      <c r="AC81" s="195" t="s">
        <v>535</v>
      </c>
      <c r="AD81" s="194">
        <v>0.00906172839506173</v>
      </c>
    </row>
    <row r="82" s="151" customFormat="1" ht="15.5" spans="4:30">
      <c r="D82" s="194"/>
      <c r="E82" s="195" t="s">
        <v>537</v>
      </c>
      <c r="F82" s="194">
        <v>0.00158940397350993</v>
      </c>
      <c r="G82" s="194"/>
      <c r="H82" s="194"/>
      <c r="I82" s="195" t="s">
        <v>537</v>
      </c>
      <c r="J82" s="194">
        <v>0.00163265306122449</v>
      </c>
      <c r="K82" s="194"/>
      <c r="L82" s="194"/>
      <c r="M82" s="195" t="s">
        <v>537</v>
      </c>
      <c r="N82" s="194">
        <v>0.00167832167832168</v>
      </c>
      <c r="O82" s="194"/>
      <c r="P82" s="194"/>
      <c r="Q82" s="195" t="s">
        <v>537</v>
      </c>
      <c r="R82" s="194">
        <v>0.00170212765957447</v>
      </c>
      <c r="S82" s="194"/>
      <c r="T82" s="194"/>
      <c r="U82" s="195" t="s">
        <v>537</v>
      </c>
      <c r="V82" s="194">
        <v>0.00170212765957447</v>
      </c>
      <c r="W82" s="194"/>
      <c r="X82" s="194"/>
      <c r="Y82" s="195" t="s">
        <v>537</v>
      </c>
      <c r="Z82" s="194">
        <v>0.00211267605633803</v>
      </c>
      <c r="AA82" s="194"/>
      <c r="AB82" s="194"/>
      <c r="AC82" s="195" t="s">
        <v>537</v>
      </c>
      <c r="AD82" s="194">
        <v>0.00296296296296296</v>
      </c>
    </row>
    <row r="83" ht="15.5" spans="4:30">
      <c r="D83" s="192"/>
      <c r="E83" s="196" t="s">
        <v>218</v>
      </c>
      <c r="F83" s="192">
        <v>0.030887417218543</v>
      </c>
      <c r="G83" s="192"/>
      <c r="H83" s="192"/>
      <c r="I83" s="196" t="s">
        <v>218</v>
      </c>
      <c r="J83" s="192">
        <v>0.0306530612244898</v>
      </c>
      <c r="K83" s="192"/>
      <c r="L83" s="192"/>
      <c r="M83" s="196" t="s">
        <v>218</v>
      </c>
      <c r="N83" s="192">
        <v>0.0312727272727273</v>
      </c>
      <c r="O83" s="192"/>
      <c r="P83" s="192"/>
      <c r="Q83" s="196" t="s">
        <v>218</v>
      </c>
      <c r="R83" s="192">
        <v>0.0303404255319149</v>
      </c>
      <c r="S83" s="192"/>
      <c r="T83" s="192"/>
      <c r="U83" s="196" t="s">
        <v>218</v>
      </c>
      <c r="V83" s="192">
        <v>0.031177304964539</v>
      </c>
      <c r="W83" s="192"/>
      <c r="X83" s="192"/>
      <c r="Y83" s="196" t="s">
        <v>218</v>
      </c>
      <c r="Z83" s="192">
        <v>0.0334154929577465</v>
      </c>
      <c r="AA83" s="192"/>
      <c r="AB83" s="192"/>
      <c r="AC83" s="196" t="s">
        <v>218</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AM187" sqref="AM18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c r="AZ1" s="121" t="s">
        <v>556</v>
      </c>
      <c r="BA1" s="121"/>
      <c r="BB1" s="121"/>
      <c r="BC1" s="121"/>
      <c r="BD1" s="121"/>
      <c r="BE1" s="121"/>
      <c r="BF1" s="121"/>
      <c r="BG1" s="121"/>
      <c r="BH1" s="121"/>
      <c r="BI1" s="121"/>
      <c r="BJ1" s="123"/>
      <c r="BK1" s="123"/>
      <c r="BL1" s="123"/>
      <c r="BM1" s="123"/>
      <c r="BN1" s="123"/>
      <c r="BO1" s="123"/>
      <c r="BP1" s="123"/>
      <c r="BQ1" s="123"/>
      <c r="BR1" s="123"/>
    </row>
    <row r="2" ht="30" customHeight="1" spans="1:70">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524</v>
      </c>
      <c r="BA2" s="121" t="s">
        <v>562</v>
      </c>
      <c r="BB2" s="121" t="s">
        <v>526</v>
      </c>
      <c r="BC2" s="121"/>
      <c r="BD2" s="121"/>
      <c r="BE2" s="121"/>
      <c r="BF2" s="121"/>
      <c r="BG2" s="121"/>
      <c r="BH2" s="121"/>
      <c r="BI2" s="121"/>
      <c r="BJ2" s="123"/>
      <c r="BK2" s="123"/>
      <c r="BL2" s="123"/>
      <c r="BM2" s="123"/>
      <c r="BN2" s="123"/>
      <c r="BO2" s="123"/>
      <c r="BP2" s="123"/>
      <c r="BQ2" s="123"/>
      <c r="BR2" s="123"/>
    </row>
    <row r="3" ht="30" spans="1:70">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c r="AZ3" s="121"/>
      <c r="BA3" s="121"/>
      <c r="BB3" s="122" t="s">
        <v>528</v>
      </c>
      <c r="BC3" s="123" t="s">
        <v>334</v>
      </c>
      <c r="BD3" s="123" t="s">
        <v>335</v>
      </c>
      <c r="BE3" s="124" t="s">
        <v>336</v>
      </c>
      <c r="BF3" s="123" t="s">
        <v>337</v>
      </c>
      <c r="BG3" s="123" t="s">
        <v>241</v>
      </c>
      <c r="BH3" s="123" t="s">
        <v>529</v>
      </c>
      <c r="BI3" s="123" t="s">
        <v>530</v>
      </c>
      <c r="BJ3" s="123"/>
      <c r="BK3" s="129"/>
      <c r="BL3" s="123"/>
      <c r="BM3" s="123"/>
      <c r="BN3" s="123"/>
      <c r="BO3" s="123"/>
      <c r="BP3" s="123"/>
      <c r="BQ3" s="123"/>
      <c r="BR3" s="123"/>
    </row>
    <row r="4" ht="15.5" customHeight="1" spans="1:70">
      <c r="A4" s="121" t="s">
        <v>531</v>
      </c>
      <c r="B4" s="125" t="s">
        <v>532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531</v>
      </c>
      <c r="V4" s="125" t="s">
        <v>532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531</v>
      </c>
      <c r="BA4" s="125" t="s">
        <v>532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392</v>
      </c>
      <c r="B9" s="125" t="s">
        <v>532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392</v>
      </c>
      <c r="V9" s="125" t="s">
        <v>532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392</v>
      </c>
      <c r="BA9" s="125" t="s">
        <v>532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402</v>
      </c>
      <c r="B14" s="125" t="s">
        <v>532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402</v>
      </c>
      <c r="V14" s="125" t="s">
        <v>532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402</v>
      </c>
      <c r="BA14" s="125" t="s">
        <v>532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524</v>
      </c>
      <c r="BA22" s="121" t="s">
        <v>565</v>
      </c>
      <c r="BB22" s="121" t="s">
        <v>526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c r="AZ23" s="121"/>
      <c r="BA23" s="121"/>
      <c r="BB23" s="122" t="s">
        <v>528</v>
      </c>
      <c r="BC23" s="123" t="s">
        <v>334</v>
      </c>
      <c r="BD23" s="123" t="s">
        <v>335</v>
      </c>
      <c r="BE23" s="124" t="s">
        <v>336</v>
      </c>
      <c r="BF23" s="123" t="s">
        <v>337</v>
      </c>
      <c r="BG23" s="123" t="s">
        <v>241</v>
      </c>
      <c r="BH23" s="123" t="s">
        <v>529</v>
      </c>
      <c r="BI23" s="123" t="s">
        <v>530</v>
      </c>
      <c r="BJ23" s="123"/>
      <c r="BK23" s="123"/>
      <c r="BL23" s="123"/>
      <c r="BM23" s="123"/>
      <c r="BN23" s="123"/>
      <c r="BO23" s="123"/>
      <c r="BP23" s="123"/>
      <c r="BQ23" s="123"/>
      <c r="BR23" s="123"/>
    </row>
    <row r="24" ht="15.5" customHeight="1" spans="1:70">
      <c r="A24" s="121" t="s">
        <v>531</v>
      </c>
      <c r="B24" s="125" t="s">
        <v>532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531</v>
      </c>
      <c r="V24" s="125" t="s">
        <v>532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531</v>
      </c>
      <c r="BA24" s="125" t="s">
        <v>532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392</v>
      </c>
      <c r="B29" s="125" t="s">
        <v>532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392</v>
      </c>
      <c r="V29" s="125" t="s">
        <v>532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392</v>
      </c>
      <c r="BA29" s="125" t="s">
        <v>532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402</v>
      </c>
      <c r="B34" s="125" t="s">
        <v>532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402</v>
      </c>
      <c r="V34" s="125" t="s">
        <v>532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402</v>
      </c>
      <c r="BA34" s="125" t="s">
        <v>532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566</v>
      </c>
      <c r="B41" s="121"/>
      <c r="C41" s="121"/>
      <c r="D41" s="121"/>
      <c r="E41" s="121"/>
      <c r="F41" s="121"/>
      <c r="G41" s="121"/>
      <c r="H41" s="121"/>
      <c r="I41" s="121"/>
      <c r="J41" s="121"/>
      <c r="K41" s="123"/>
      <c r="L41" s="123"/>
      <c r="M41" s="123"/>
      <c r="N41" s="123"/>
      <c r="O41" s="123"/>
      <c r="P41" s="123"/>
      <c r="Q41" s="123"/>
      <c r="R41" s="123"/>
      <c r="S41" s="123"/>
      <c r="T41" s="123"/>
      <c r="AZ41" s="121" t="s">
        <v>566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524</v>
      </c>
      <c r="B42" s="121" t="s">
        <v>565</v>
      </c>
      <c r="C42" s="121" t="s">
        <v>526</v>
      </c>
      <c r="D42" s="121"/>
      <c r="E42" s="121"/>
      <c r="F42" s="121"/>
      <c r="G42" s="121"/>
      <c r="H42" s="121"/>
      <c r="I42" s="121"/>
      <c r="J42" s="121"/>
      <c r="K42" s="123"/>
      <c r="L42" s="123"/>
      <c r="M42" s="123"/>
      <c r="N42" s="123"/>
      <c r="O42" s="123"/>
      <c r="P42" s="123"/>
      <c r="Q42" s="123"/>
      <c r="R42" s="123"/>
      <c r="S42" s="123"/>
      <c r="T42" s="123"/>
      <c r="AZ42" s="121" t="s">
        <v>524</v>
      </c>
      <c r="BA42" s="121" t="s">
        <v>565</v>
      </c>
      <c r="BB42" s="121" t="s">
        <v>526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c r="AZ43" s="121"/>
      <c r="BA43" s="121"/>
      <c r="BB43" s="122" t="s">
        <v>528</v>
      </c>
      <c r="BC43" s="123" t="s">
        <v>334</v>
      </c>
      <c r="BD43" s="123" t="s">
        <v>335</v>
      </c>
      <c r="BE43" s="124" t="s">
        <v>336</v>
      </c>
      <c r="BF43" s="123" t="s">
        <v>337</v>
      </c>
      <c r="BG43" s="123" t="s">
        <v>241</v>
      </c>
      <c r="BH43" s="123" t="s">
        <v>529</v>
      </c>
      <c r="BI43" s="123" t="s">
        <v>530</v>
      </c>
      <c r="BJ43" s="123"/>
      <c r="BK43" s="123"/>
      <c r="BL43" s="123"/>
      <c r="BM43" s="123"/>
      <c r="BN43" s="123"/>
      <c r="BO43" s="123"/>
      <c r="BP43" s="123"/>
      <c r="BQ43" s="123"/>
      <c r="BR43" s="123"/>
    </row>
    <row r="44" ht="15.5" customHeight="1" spans="1:70">
      <c r="A44" s="121" t="s">
        <v>531</v>
      </c>
      <c r="B44" s="125" t="s">
        <v>532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531</v>
      </c>
      <c r="V44" s="125" t="s">
        <v>532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531</v>
      </c>
      <c r="BA44" s="125" t="s">
        <v>532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392</v>
      </c>
      <c r="B49" s="125" t="s">
        <v>532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392</v>
      </c>
      <c r="V49" s="125" t="s">
        <v>532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392</v>
      </c>
      <c r="BA49" s="125" t="s">
        <v>532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402</v>
      </c>
      <c r="B54" s="125" t="s">
        <v>532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402</v>
      </c>
      <c r="V54" s="125" t="s">
        <v>532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402</v>
      </c>
      <c r="BA54" s="125" t="s">
        <v>532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542</v>
      </c>
      <c r="B60" s="123"/>
      <c r="C60" s="122"/>
      <c r="D60" s="123"/>
      <c r="E60" s="123"/>
      <c r="F60" s="123"/>
      <c r="G60" s="123"/>
      <c r="H60" s="123"/>
      <c r="I60" s="123"/>
      <c r="J60" s="123"/>
      <c r="K60" s="123"/>
      <c r="L60" s="123"/>
      <c r="M60" s="123"/>
      <c r="N60" s="123"/>
      <c r="O60" s="123"/>
      <c r="P60" s="123"/>
      <c r="Q60" s="123"/>
      <c r="R60" s="123"/>
      <c r="S60" s="123"/>
      <c r="T60" s="123"/>
      <c r="AZ60" s="123" t="s">
        <v>542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567</v>
      </c>
      <c r="B61" s="123"/>
      <c r="C61" s="122"/>
      <c r="D61" s="123"/>
      <c r="E61" s="123"/>
      <c r="F61" s="123"/>
      <c r="G61" s="123"/>
      <c r="H61" s="123"/>
      <c r="I61" s="123"/>
      <c r="J61" s="123"/>
      <c r="K61" s="123"/>
      <c r="L61" s="123"/>
      <c r="M61" s="123"/>
      <c r="N61" s="123"/>
      <c r="O61" s="123"/>
      <c r="P61" s="123"/>
      <c r="Q61" s="123"/>
      <c r="R61" s="123"/>
      <c r="S61" s="123"/>
      <c r="T61" s="123"/>
      <c r="AZ61" s="123" t="s">
        <v>567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568</v>
      </c>
      <c r="B62" s="123"/>
      <c r="C62" s="122"/>
      <c r="D62" s="123"/>
      <c r="E62" s="123"/>
      <c r="F62" s="123"/>
      <c r="G62" s="123"/>
      <c r="H62" s="123"/>
      <c r="I62" s="123"/>
      <c r="J62" s="123"/>
      <c r="K62" s="123"/>
      <c r="L62" s="123"/>
      <c r="M62" s="123"/>
      <c r="N62" s="123"/>
      <c r="O62" s="123"/>
      <c r="P62" s="123"/>
      <c r="Q62" s="123"/>
      <c r="R62" s="123"/>
      <c r="S62" s="123"/>
      <c r="T62" s="123"/>
      <c r="AZ62" s="123" t="s">
        <v>568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392</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569</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570</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392</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569</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570</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392</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569</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570</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507</v>
      </c>
      <c r="W160" s="140"/>
      <c r="X160" s="141"/>
      <c r="Y160" s="140"/>
      <c r="Z160" s="140" t="s">
        <v>507</v>
      </c>
      <c r="AA160" s="140"/>
      <c r="AB160" s="141"/>
      <c r="AC160" s="140"/>
      <c r="AD160" s="140" t="s">
        <v>507</v>
      </c>
      <c r="AE160" s="140"/>
      <c r="AF160" s="141"/>
      <c r="AG160" s="140"/>
      <c r="AH160" s="140" t="s">
        <v>507</v>
      </c>
      <c r="AI160" s="140"/>
      <c r="AJ160" s="141"/>
      <c r="AK160" s="140"/>
      <c r="AL160" s="140" t="s">
        <v>507</v>
      </c>
      <c r="AM160" s="140"/>
      <c r="AN160" s="141"/>
      <c r="AO160" s="140"/>
      <c r="AP160" s="140" t="s">
        <v>507</v>
      </c>
      <c r="AQ160" s="140"/>
      <c r="AR160" s="141"/>
      <c r="AS160" s="140"/>
      <c r="AT160" s="140" t="s">
        <v>507</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367</v>
      </c>
      <c r="V162" s="142" t="s">
        <v>218</v>
      </c>
      <c r="W162" s="141">
        <f>W85</f>
        <v>0.0105665038459379</v>
      </c>
      <c r="X162" s="141"/>
      <c r="Y162" s="141" t="s">
        <v>368</v>
      </c>
      <c r="Z162" s="142" t="s">
        <v>218</v>
      </c>
      <c r="AA162" s="141">
        <f>X85</f>
        <v>0.010151126318791</v>
      </c>
      <c r="AB162" s="141"/>
      <c r="AC162" s="141" t="s">
        <v>369</v>
      </c>
      <c r="AD162" s="142" t="s">
        <v>218</v>
      </c>
      <c r="AE162" s="141">
        <f>Y85</f>
        <v>0.0104454409566517</v>
      </c>
      <c r="AF162" s="141"/>
      <c r="AG162" s="141" t="s">
        <v>370</v>
      </c>
      <c r="AH162" s="142" t="s">
        <v>218</v>
      </c>
      <c r="AI162" s="141">
        <f>Z85</f>
        <v>0.0114922921405105</v>
      </c>
      <c r="AJ162" s="141"/>
      <c r="AK162" s="141" t="s">
        <v>366</v>
      </c>
      <c r="AL162" s="142" t="s">
        <v>218</v>
      </c>
      <c r="AM162" s="141">
        <f>AA85</f>
        <v>0.0116539250419541</v>
      </c>
      <c r="AN162" s="141"/>
      <c r="AO162" s="141" t="s">
        <v>365</v>
      </c>
      <c r="AP162" s="142" t="s">
        <v>218</v>
      </c>
      <c r="AQ162" s="141">
        <f>AB85</f>
        <v>0.00876348131427138</v>
      </c>
      <c r="AR162" s="141"/>
      <c r="AS162" s="141" t="s">
        <v>364</v>
      </c>
      <c r="AT162" s="142" t="s">
        <v>218</v>
      </c>
      <c r="AU162" s="141">
        <f>AC85</f>
        <v>0.0102994929843179</v>
      </c>
    </row>
    <row r="163" ht="16" spans="21:47">
      <c r="U163" s="141"/>
      <c r="V163" s="143" t="s">
        <v>517</v>
      </c>
      <c r="W163" s="141">
        <f>W86</f>
        <v>0.0361911178485206</v>
      </c>
      <c r="X163" s="141"/>
      <c r="Y163" s="141"/>
      <c r="Z163" s="143" t="s">
        <v>517</v>
      </c>
      <c r="AA163" s="141">
        <f>X86</f>
        <v>0.0345822640433419</v>
      </c>
      <c r="AB163" s="141"/>
      <c r="AC163" s="141"/>
      <c r="AD163" s="143" t="s">
        <v>517</v>
      </c>
      <c r="AE163" s="141">
        <f>Y86</f>
        <v>0.0356053811659193</v>
      </c>
      <c r="AF163" s="141"/>
      <c r="AG163" s="141"/>
      <c r="AH163" s="143" t="s">
        <v>517</v>
      </c>
      <c r="AI163" s="141">
        <f>Z86</f>
        <v>0.0365744250694971</v>
      </c>
      <c r="AJ163" s="141"/>
      <c r="AK163" s="141"/>
      <c r="AL163" s="143" t="s">
        <v>517</v>
      </c>
      <c r="AM163" s="141">
        <f>AA86</f>
        <v>0.0374914537883026</v>
      </c>
      <c r="AN163" s="141"/>
      <c r="AO163" s="141"/>
      <c r="AP163" s="143" t="s">
        <v>517</v>
      </c>
      <c r="AQ163" s="141">
        <f>AB86</f>
        <v>0.0298720842738901</v>
      </c>
      <c r="AR163" s="141"/>
      <c r="AS163" s="141"/>
      <c r="AT163" s="143" t="s">
        <v>517</v>
      </c>
      <c r="AU163" s="141">
        <f>AC86</f>
        <v>0.0351078882207287</v>
      </c>
    </row>
    <row r="164" ht="16" spans="21:47">
      <c r="U164" s="141"/>
      <c r="V164" s="143" t="s">
        <v>518</v>
      </c>
      <c r="W164" s="141">
        <f>W87</f>
        <v>0.0787154005951378</v>
      </c>
      <c r="X164" s="141"/>
      <c r="Y164" s="141"/>
      <c r="Z164" s="143" t="s">
        <v>518</v>
      </c>
      <c r="AA164" s="141">
        <f>X87</f>
        <v>0.0766238950670089</v>
      </c>
      <c r="AB164" s="141"/>
      <c r="AC164" s="141"/>
      <c r="AD164" s="143" t="s">
        <v>518</v>
      </c>
      <c r="AE164" s="141">
        <f>Y87</f>
        <v>0.0794379671150972</v>
      </c>
      <c r="AF164" s="141"/>
      <c r="AG164" s="141"/>
      <c r="AH164" s="143" t="s">
        <v>518</v>
      </c>
      <c r="AI164" s="141">
        <f>Z87</f>
        <v>0.0831501137225171</v>
      </c>
      <c r="AJ164" s="141"/>
      <c r="AK164" s="141"/>
      <c r="AL164" s="143" t="s">
        <v>518</v>
      </c>
      <c r="AM164" s="141">
        <f>AA87</f>
        <v>0.0871278513269936</v>
      </c>
      <c r="AN164" s="141"/>
      <c r="AO164" s="141"/>
      <c r="AP164" s="143" t="s">
        <v>518</v>
      </c>
      <c r="AQ164" s="141">
        <f>AB87</f>
        <v>0.0666466014547279</v>
      </c>
      <c r="AR164" s="141"/>
      <c r="AS164" s="141"/>
      <c r="AT164" s="143" t="s">
        <v>518</v>
      </c>
      <c r="AU164" s="141">
        <f>AC87</f>
        <v>0.0783280273552647</v>
      </c>
    </row>
    <row r="165" ht="16" spans="21:47">
      <c r="U165" s="144"/>
      <c r="V165" s="143" t="s">
        <v>519</v>
      </c>
      <c r="W165" s="141">
        <f>W88</f>
        <v>0.0132277805850317</v>
      </c>
      <c r="X165" s="144"/>
      <c r="Y165" s="144"/>
      <c r="Z165" s="143" t="s">
        <v>519</v>
      </c>
      <c r="AA165" s="141">
        <f>X88</f>
        <v>0.0129398346164813</v>
      </c>
      <c r="AB165" s="144"/>
      <c r="AC165" s="144"/>
      <c r="AD165" s="143" t="s">
        <v>519</v>
      </c>
      <c r="AE165" s="141">
        <f>Y88</f>
        <v>0.0134050822122571</v>
      </c>
      <c r="AF165" s="144"/>
      <c r="AG165" s="144"/>
      <c r="AH165" s="143" t="s">
        <v>519</v>
      </c>
      <c r="AI165" s="141">
        <f>Z88</f>
        <v>0.0146449330300733</v>
      </c>
      <c r="AJ165" s="144"/>
      <c r="AK165" s="144"/>
      <c r="AL165" s="143" t="s">
        <v>519</v>
      </c>
      <c r="AM165" s="141">
        <f>AA88</f>
        <v>0.0149356703337684</v>
      </c>
      <c r="AN165" s="144"/>
      <c r="AO165" s="144"/>
      <c r="AP165" s="143" t="s">
        <v>519</v>
      </c>
      <c r="AQ165" s="141">
        <f>AB88</f>
        <v>0.011246551291698</v>
      </c>
      <c r="AR165" s="144"/>
      <c r="AS165" s="144"/>
      <c r="AT165" s="143" t="s">
        <v>519</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507</v>
      </c>
      <c r="W172" s="140"/>
      <c r="X172" s="141"/>
      <c r="Y172" s="140"/>
      <c r="Z172" s="140" t="s">
        <v>507</v>
      </c>
      <c r="AA172" s="140"/>
      <c r="AB172" s="141"/>
      <c r="AC172" s="140"/>
      <c r="AD172" s="140" t="s">
        <v>507</v>
      </c>
      <c r="AE172" s="140"/>
      <c r="AF172" s="141"/>
      <c r="AG172" s="140"/>
      <c r="AH172" s="140" t="s">
        <v>507</v>
      </c>
      <c r="AI172" s="140"/>
      <c r="AJ172" s="141"/>
      <c r="AK172" s="140"/>
      <c r="AL172" s="140" t="s">
        <v>507</v>
      </c>
      <c r="AM172" s="140"/>
      <c r="AN172" s="141"/>
      <c r="AO172" s="140"/>
      <c r="AP172" s="140" t="s">
        <v>507</v>
      </c>
      <c r="AQ172" s="140"/>
      <c r="AR172" s="141"/>
      <c r="AS172" s="140"/>
      <c r="AT172" s="140" t="s">
        <v>507</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374</v>
      </c>
      <c r="V174" s="142" t="s">
        <v>218</v>
      </c>
      <c r="W174" s="141">
        <f>W105</f>
        <v>0.0115995732974005</v>
      </c>
      <c r="X174" s="141"/>
      <c r="Y174" s="141" t="s">
        <v>375</v>
      </c>
      <c r="Z174" s="142" t="s">
        <v>218</v>
      </c>
      <c r="AA174" s="141">
        <f>X105</f>
        <v>0.0111320216709438</v>
      </c>
      <c r="AB174" s="141"/>
      <c r="AC174" s="141" t="s">
        <v>376</v>
      </c>
      <c r="AD174" s="142" t="s">
        <v>218</v>
      </c>
      <c r="AE174" s="141">
        <f>Y105</f>
        <v>0.0115156950672646</v>
      </c>
      <c r="AF174" s="141"/>
      <c r="AG174" s="141" t="s">
        <v>377</v>
      </c>
      <c r="AH174" s="142" t="s">
        <v>218</v>
      </c>
      <c r="AI174" s="141">
        <f>Z105</f>
        <v>0.0118145059388425</v>
      </c>
      <c r="AJ174" s="141"/>
      <c r="AK174" s="141" t="s">
        <v>373</v>
      </c>
      <c r="AL174" s="142" t="s">
        <v>218</v>
      </c>
      <c r="AM174" s="141">
        <f>AA105</f>
        <v>0.0120206352166076</v>
      </c>
      <c r="AN174" s="141"/>
      <c r="AO174" s="141" t="s">
        <v>372</v>
      </c>
      <c r="AP174" s="142" t="s">
        <v>218</v>
      </c>
      <c r="AQ174" s="141">
        <f>AB105</f>
        <v>0.00966139954853273</v>
      </c>
      <c r="AR174" s="141"/>
      <c r="AS174" s="141" t="s">
        <v>371</v>
      </c>
      <c r="AT174" s="142" t="s">
        <v>218</v>
      </c>
      <c r="AU174" s="141">
        <f>AC105</f>
        <v>0.0113547930668553</v>
      </c>
    </row>
    <row r="175" ht="16" spans="21:47">
      <c r="U175" s="141"/>
      <c r="V175" s="143" t="s">
        <v>517</v>
      </c>
      <c r="W175" s="141">
        <f>W106</f>
        <v>0.0322272752793218</v>
      </c>
      <c r="X175" s="141"/>
      <c r="Y175" s="141"/>
      <c r="Z175" s="143" t="s">
        <v>517</v>
      </c>
      <c r="AA175" s="141">
        <f>X106</f>
        <v>0.0310350727117194</v>
      </c>
      <c r="AB175" s="141"/>
      <c r="AC175" s="141"/>
      <c r="AD175" s="143" t="s">
        <v>517</v>
      </c>
      <c r="AE175" s="141">
        <f>Y106</f>
        <v>0.0321195814648729</v>
      </c>
      <c r="AF175" s="141"/>
      <c r="AG175" s="141"/>
      <c r="AH175" s="143" t="s">
        <v>517</v>
      </c>
      <c r="AI175" s="141">
        <f>Z106</f>
        <v>0.0332512004043467</v>
      </c>
      <c r="AJ175" s="141"/>
      <c r="AK175" s="141"/>
      <c r="AL175" s="143" t="s">
        <v>517</v>
      </c>
      <c r="AM175" s="141">
        <f>AA106</f>
        <v>0.033880290881969</v>
      </c>
      <c r="AN175" s="141"/>
      <c r="AO175" s="141"/>
      <c r="AP175" s="143" t="s">
        <v>517</v>
      </c>
      <c r="AQ175" s="141">
        <f>AB106</f>
        <v>0.0269475796338099</v>
      </c>
      <c r="AR175" s="141"/>
      <c r="AS175" s="141"/>
      <c r="AT175" s="143" t="s">
        <v>517</v>
      </c>
      <c r="AU175" s="141">
        <f>AC106</f>
        <v>0.0316707935384978</v>
      </c>
    </row>
    <row r="176" ht="16" spans="21:47">
      <c r="U176" s="141"/>
      <c r="V176" s="143" t="s">
        <v>518</v>
      </c>
      <c r="W176" s="141">
        <f>W107</f>
        <v>0.0930380102184044</v>
      </c>
      <c r="X176" s="141"/>
      <c r="Y176" s="141"/>
      <c r="Z176" s="143" t="s">
        <v>518</v>
      </c>
      <c r="AA176" s="141">
        <f>X107</f>
        <v>0.0901682349586541</v>
      </c>
      <c r="AB176" s="141"/>
      <c r="AC176" s="141"/>
      <c r="AD176" s="143" t="s">
        <v>518</v>
      </c>
      <c r="AE176" s="141">
        <f>Y107</f>
        <v>0.0934708520179372</v>
      </c>
      <c r="AF176" s="141"/>
      <c r="AG176" s="141"/>
      <c r="AH176" s="143" t="s">
        <v>518</v>
      </c>
      <c r="AI176" s="141">
        <f>Z107</f>
        <v>0.0946044983573414</v>
      </c>
      <c r="AJ176" s="141"/>
      <c r="AK176" s="141"/>
      <c r="AL176" s="143" t="s">
        <v>518</v>
      </c>
      <c r="AM176" s="141">
        <f>AA107</f>
        <v>0.0987631300888806</v>
      </c>
      <c r="AN176" s="141"/>
      <c r="AO176" s="141"/>
      <c r="AP176" s="143" t="s">
        <v>518</v>
      </c>
      <c r="AQ176" s="141">
        <f>AB107</f>
        <v>0.0784198645598194</v>
      </c>
      <c r="AR176" s="141"/>
      <c r="AS176" s="141"/>
      <c r="AT176" s="143" t="s">
        <v>518</v>
      </c>
      <c r="AU176" s="141">
        <f>AC107</f>
        <v>0.0921648390519986</v>
      </c>
    </row>
    <row r="177" ht="16" spans="21:47">
      <c r="U177" s="144"/>
      <c r="V177" s="143" t="s">
        <v>519</v>
      </c>
      <c r="W177" s="141">
        <f>W108</f>
        <v>0.0134355173769019</v>
      </c>
      <c r="X177" s="144"/>
      <c r="Y177" s="144"/>
      <c r="Z177" s="143" t="s">
        <v>519</v>
      </c>
      <c r="AA177" s="141">
        <f>X108</f>
        <v>0.0132534930139721</v>
      </c>
      <c r="AB177" s="144"/>
      <c r="AC177" s="144"/>
      <c r="AD177" s="143" t="s">
        <v>519</v>
      </c>
      <c r="AE177" s="141">
        <f>Y108</f>
        <v>0.0138116591928251</v>
      </c>
      <c r="AF177" s="144"/>
      <c r="AG177" s="144"/>
      <c r="AH177" s="143" t="s">
        <v>519</v>
      </c>
      <c r="AI177" s="141">
        <f>Z108</f>
        <v>0.0141837250442254</v>
      </c>
      <c r="AJ177" s="144"/>
      <c r="AK177" s="144"/>
      <c r="AL177" s="143" t="s">
        <v>519</v>
      </c>
      <c r="AM177" s="141">
        <f>AA108</f>
        <v>0.0143824973584437</v>
      </c>
      <c r="AN177" s="144"/>
      <c r="AO177" s="144"/>
      <c r="AP177" s="143" t="s">
        <v>519</v>
      </c>
      <c r="AQ177" s="141">
        <f>AB108</f>
        <v>0.0115876598946576</v>
      </c>
      <c r="AR177" s="144"/>
      <c r="AS177" s="144"/>
      <c r="AT177" s="143" t="s">
        <v>519</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507</v>
      </c>
      <c r="W183" s="140"/>
      <c r="X183" s="141"/>
      <c r="Y183" s="140"/>
      <c r="Z183" s="140" t="s">
        <v>507</v>
      </c>
      <c r="AA183" s="140"/>
      <c r="AB183" s="141"/>
      <c r="AC183" s="140"/>
      <c r="AD183" s="140" t="s">
        <v>507</v>
      </c>
      <c r="AE183" s="140"/>
      <c r="AF183" s="141"/>
      <c r="AG183" s="140"/>
      <c r="AH183" s="140" t="s">
        <v>507</v>
      </c>
      <c r="AI183" s="140"/>
      <c r="AJ183" s="141"/>
      <c r="AK183" s="140"/>
      <c r="AL183" s="140" t="s">
        <v>507</v>
      </c>
      <c r="AM183" s="140"/>
      <c r="AN183" s="141"/>
      <c r="AO183" s="140"/>
      <c r="AP183" s="140" t="s">
        <v>507</v>
      </c>
      <c r="AQ183" s="140"/>
      <c r="AR183" s="141"/>
      <c r="AS183" s="140"/>
      <c r="AT183" s="140" t="s">
        <v>507</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381</v>
      </c>
      <c r="V185" s="142" t="s">
        <v>218</v>
      </c>
      <c r="W185" s="141">
        <f>W125</f>
        <v>0.00791645612262086</v>
      </c>
      <c r="X185" s="141"/>
      <c r="Y185" s="141" t="s">
        <v>382</v>
      </c>
      <c r="Z185" s="142" t="s">
        <v>218</v>
      </c>
      <c r="AA185" s="141">
        <f>X125</f>
        <v>0.00768748217850014</v>
      </c>
      <c r="AB185" s="141"/>
      <c r="AC185" s="141" t="s">
        <v>383</v>
      </c>
      <c r="AD185" s="142" t="s">
        <v>218</v>
      </c>
      <c r="AE185" s="141">
        <f>Y125</f>
        <v>0.00798206278026906</v>
      </c>
      <c r="AF185" s="141"/>
      <c r="AG185" s="141" t="s">
        <v>384</v>
      </c>
      <c r="AH185" s="142" t="s">
        <v>218</v>
      </c>
      <c r="AI185" s="141">
        <f>Z125</f>
        <v>0.00797321202931515</v>
      </c>
      <c r="AJ185" s="141"/>
      <c r="AK185" s="141" t="s">
        <v>380</v>
      </c>
      <c r="AL185" s="142" t="s">
        <v>218</v>
      </c>
      <c r="AM185" s="141">
        <f>AA125</f>
        <v>0.00805519298899869</v>
      </c>
      <c r="AN185" s="141"/>
      <c r="AO185" s="141" t="s">
        <v>379</v>
      </c>
      <c r="AP185" s="142" t="s">
        <v>218</v>
      </c>
      <c r="AQ185" s="141">
        <f>AB125</f>
        <v>0.00669676448457487</v>
      </c>
      <c r="AR185" s="141"/>
      <c r="AS185" s="141" t="s">
        <v>378</v>
      </c>
      <c r="AT185" s="142" t="s">
        <v>218</v>
      </c>
      <c r="AU185" s="141">
        <f>AC125</f>
        <v>0.00787053413512557</v>
      </c>
    </row>
    <row r="186" ht="16" spans="21:47">
      <c r="U186" s="141"/>
      <c r="V186" s="143" t="s">
        <v>517</v>
      </c>
      <c r="W186" s="141">
        <f>W126</f>
        <v>0.0255740834315872</v>
      </c>
      <c r="X186" s="141"/>
      <c r="Y186" s="141"/>
      <c r="Z186" s="143" t="s">
        <v>517</v>
      </c>
      <c r="AA186" s="141">
        <f>X126</f>
        <v>0.0248303393213573</v>
      </c>
      <c r="AB186" s="141"/>
      <c r="AC186" s="141"/>
      <c r="AD186" s="143" t="s">
        <v>517</v>
      </c>
      <c r="AE186" s="141">
        <f>Y126</f>
        <v>0.0257518684603886</v>
      </c>
      <c r="AF186" s="141"/>
      <c r="AG186" s="141"/>
      <c r="AH186" s="143" t="s">
        <v>517</v>
      </c>
      <c r="AI186" s="141">
        <f>Z126</f>
        <v>0.0256633813495072</v>
      </c>
      <c r="AJ186" s="141"/>
      <c r="AK186" s="141"/>
      <c r="AL186" s="143" t="s">
        <v>517</v>
      </c>
      <c r="AM186" s="141">
        <f>AA126</f>
        <v>0.0260053452669526</v>
      </c>
      <c r="AN186" s="141"/>
      <c r="AO186" s="141"/>
      <c r="AP186" s="143" t="s">
        <v>517</v>
      </c>
      <c r="AQ186" s="141">
        <f>AB126</f>
        <v>0.0216052169551041</v>
      </c>
      <c r="AR186" s="141"/>
      <c r="AS186" s="141"/>
      <c r="AT186" s="143" t="s">
        <v>517</v>
      </c>
      <c r="AU186" s="141">
        <f>AC126</f>
        <v>0.0253920528239594</v>
      </c>
    </row>
    <row r="187" ht="16" spans="21:47">
      <c r="U187" s="141"/>
      <c r="V187" s="143" t="s">
        <v>518</v>
      </c>
      <c r="W187" s="141">
        <f>W127</f>
        <v>0.0604008758632306</v>
      </c>
      <c r="X187" s="141"/>
      <c r="Y187" s="141"/>
      <c r="Z187" s="143" t="s">
        <v>518</v>
      </c>
      <c r="AA187" s="141">
        <f>X127</f>
        <v>0.0597262617621899</v>
      </c>
      <c r="AB187" s="141"/>
      <c r="AC187" s="141"/>
      <c r="AD187" s="143" t="s">
        <v>518</v>
      </c>
      <c r="AE187" s="141">
        <f>Y127</f>
        <v>0.0622242152466368</v>
      </c>
      <c r="AF187" s="141"/>
      <c r="AG187" s="141"/>
      <c r="AH187" s="143" t="s">
        <v>518</v>
      </c>
      <c r="AI187" s="141">
        <f>Z127</f>
        <v>0.0635392974475613</v>
      </c>
      <c r="AJ187" s="141"/>
      <c r="AK187" s="141"/>
      <c r="AL187" s="143" t="s">
        <v>518</v>
      </c>
      <c r="AM187" s="141">
        <f>AA127</f>
        <v>0.0635589533221456</v>
      </c>
      <c r="AN187" s="141"/>
      <c r="AO187" s="141"/>
      <c r="AP187" s="143" t="s">
        <v>518</v>
      </c>
      <c r="AQ187" s="141">
        <f>AB127</f>
        <v>0.0522046651617758</v>
      </c>
      <c r="AR187" s="141"/>
      <c r="AS187" s="141"/>
      <c r="AT187" s="143" t="s">
        <v>518</v>
      </c>
      <c r="AU187" s="141">
        <f>AC127</f>
        <v>0.0613547930668553</v>
      </c>
    </row>
    <row r="188" ht="16" spans="21:47">
      <c r="U188" s="144"/>
      <c r="V188" s="143" t="s">
        <v>519</v>
      </c>
      <c r="W188" s="141">
        <f>W128</f>
        <v>0.013115490427264</v>
      </c>
      <c r="X188" s="144"/>
      <c r="Y188" s="144"/>
      <c r="Z188" s="143" t="s">
        <v>519</v>
      </c>
      <c r="AA188" s="141">
        <f>X128</f>
        <v>0.0129683490162532</v>
      </c>
      <c r="AB188" s="144"/>
      <c r="AC188" s="144"/>
      <c r="AD188" s="143" t="s">
        <v>519</v>
      </c>
      <c r="AE188" s="141">
        <f>Y128</f>
        <v>0.0135067264573991</v>
      </c>
      <c r="AF188" s="144"/>
      <c r="AG188" s="144"/>
      <c r="AH188" s="143" t="s">
        <v>519</v>
      </c>
      <c r="AI188" s="141">
        <f>Z128</f>
        <v>0.013747788728835</v>
      </c>
      <c r="AJ188" s="144"/>
      <c r="AK188" s="144"/>
      <c r="AL188" s="143" t="s">
        <v>519</v>
      </c>
      <c r="AM188" s="141">
        <f>AA128</f>
        <v>0.0137858163962956</v>
      </c>
      <c r="AN188" s="144"/>
      <c r="AO188" s="144"/>
      <c r="AP188" s="143" t="s">
        <v>519</v>
      </c>
      <c r="AQ188" s="141">
        <f>AB128</f>
        <v>0.0113318284424379</v>
      </c>
      <c r="AR188" s="144"/>
      <c r="AS188" s="144"/>
      <c r="AT188" s="143" t="s">
        <v>519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527</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AF85</f>
        <v>0.0105665038459379</v>
      </c>
      <c r="X162" s="141"/>
      <c r="Y162" s="141" t="s">
        <v>368</v>
      </c>
      <c r="Z162" s="142" t="s">
        <v>218</v>
      </c>
      <c r="AA162" s="141">
        <f>AG85</f>
        <v>0.010151126318791</v>
      </c>
      <c r="AB162" s="141"/>
      <c r="AC162" s="141" t="s">
        <v>369</v>
      </c>
      <c r="AD162" s="142" t="s">
        <v>218</v>
      </c>
      <c r="AE162" s="141">
        <f>AH85</f>
        <v>0.0104454409566517</v>
      </c>
      <c r="AF162" s="141"/>
      <c r="AG162" s="141" t="s">
        <v>370</v>
      </c>
      <c r="AH162" s="142" t="s">
        <v>218</v>
      </c>
      <c r="AI162" s="141">
        <f>AI85</f>
        <v>0.0114922921405105</v>
      </c>
      <c r="AJ162" s="141"/>
      <c r="AK162" s="141" t="s">
        <v>366</v>
      </c>
      <c r="AL162" s="142" t="s">
        <v>218</v>
      </c>
      <c r="AM162" s="141">
        <f>AJ85</f>
        <v>0.0116539250419541</v>
      </c>
      <c r="AN162" s="141"/>
      <c r="AO162" s="146" t="s">
        <v>365</v>
      </c>
      <c r="AP162" s="147" t="s">
        <v>218</v>
      </c>
      <c r="AQ162" s="146">
        <f>AK85</f>
        <v>0.0100780035114121</v>
      </c>
      <c r="AR162" s="146"/>
      <c r="AS162" s="146" t="s">
        <v>364</v>
      </c>
      <c r="AT162" s="147" t="s">
        <v>218</v>
      </c>
      <c r="AU162" s="146">
        <f>AL85</f>
        <v>0.0118444169319656</v>
      </c>
    </row>
    <row r="163" ht="16" spans="21:47">
      <c r="U163" s="141"/>
      <c r="V163" s="143" t="s">
        <v>517</v>
      </c>
      <c r="W163" s="141">
        <f>AF86</f>
        <v>0.0361911178485206</v>
      </c>
      <c r="X163" s="141"/>
      <c r="Y163" s="141"/>
      <c r="Z163" s="143" t="s">
        <v>517</v>
      </c>
      <c r="AA163" s="141">
        <f>AG86</f>
        <v>0.0345822640433419</v>
      </c>
      <c r="AB163" s="141"/>
      <c r="AC163" s="141"/>
      <c r="AD163" s="143" t="s">
        <v>517</v>
      </c>
      <c r="AE163" s="141">
        <f>AH86</f>
        <v>0.0356053811659193</v>
      </c>
      <c r="AF163" s="141"/>
      <c r="AG163" s="141"/>
      <c r="AH163" s="143" t="s">
        <v>517</v>
      </c>
      <c r="AI163" s="141">
        <f>AI86</f>
        <v>0.0365744250694971</v>
      </c>
      <c r="AJ163" s="141"/>
      <c r="AK163" s="141"/>
      <c r="AL163" s="143" t="s">
        <v>517</v>
      </c>
      <c r="AM163" s="141">
        <f t="shared" ref="AM162:AM165" si="291">AA86</f>
        <v>0.0374914537883026</v>
      </c>
      <c r="AN163" s="141"/>
      <c r="AO163" s="146"/>
      <c r="AP163" s="143" t="s">
        <v>517</v>
      </c>
      <c r="AQ163" s="146">
        <f>AK86</f>
        <v>0.0343528969149737</v>
      </c>
      <c r="AR163" s="146"/>
      <c r="AS163" s="146"/>
      <c r="AT163" s="143" t="s">
        <v>517</v>
      </c>
      <c r="AU163" s="146">
        <f>AL86</f>
        <v>0.040374071453838</v>
      </c>
    </row>
    <row r="164" ht="16" spans="21:47">
      <c r="U164" s="141"/>
      <c r="V164" s="143" t="s">
        <v>518</v>
      </c>
      <c r="W164" s="141">
        <f>AF87</f>
        <v>0.0787154005951378</v>
      </c>
      <c r="X164" s="141"/>
      <c r="Y164" s="141"/>
      <c r="Z164" s="143" t="s">
        <v>518</v>
      </c>
      <c r="AA164" s="141">
        <f>AG87</f>
        <v>0.0766238950670089</v>
      </c>
      <c r="AB164" s="141"/>
      <c r="AC164" s="141"/>
      <c r="AD164" s="143" t="s">
        <v>518</v>
      </c>
      <c r="AE164" s="141">
        <f>AH87</f>
        <v>0.0794379671150972</v>
      </c>
      <c r="AF164" s="141"/>
      <c r="AG164" s="141"/>
      <c r="AH164" s="143" t="s">
        <v>518</v>
      </c>
      <c r="AI164" s="141">
        <f>AI87</f>
        <v>0.0831501137225171</v>
      </c>
      <c r="AJ164" s="141"/>
      <c r="AK164" s="141"/>
      <c r="AL164" s="143" t="s">
        <v>518</v>
      </c>
      <c r="AM164" s="141">
        <f t="shared" si="291"/>
        <v>0.0871278513269936</v>
      </c>
      <c r="AN164" s="141"/>
      <c r="AO164" s="146"/>
      <c r="AP164" s="143" t="s">
        <v>518</v>
      </c>
      <c r="AQ164" s="146">
        <f>AK87</f>
        <v>0.0766435916729371</v>
      </c>
      <c r="AR164" s="146"/>
      <c r="AS164" s="146"/>
      <c r="AT164" s="143" t="s">
        <v>518</v>
      </c>
      <c r="AU164" s="146">
        <f>AL87</f>
        <v>0.0900772314585544</v>
      </c>
    </row>
    <row r="165" ht="16" spans="21:47">
      <c r="U165" s="144"/>
      <c r="V165" s="143" t="s">
        <v>519</v>
      </c>
      <c r="W165" s="141">
        <f>AF88</f>
        <v>0.0132277805850317</v>
      </c>
      <c r="X165" s="144"/>
      <c r="Y165" s="144"/>
      <c r="Z165" s="143" t="s">
        <v>519</v>
      </c>
      <c r="AA165" s="141">
        <f>AG88</f>
        <v>0.0129398346164813</v>
      </c>
      <c r="AB165" s="144"/>
      <c r="AC165" s="144"/>
      <c r="AD165" s="143" t="s">
        <v>519</v>
      </c>
      <c r="AE165" s="141">
        <f>AH88</f>
        <v>0.0134050822122571</v>
      </c>
      <c r="AF165" s="144"/>
      <c r="AG165" s="144"/>
      <c r="AH165" s="143" t="s">
        <v>519</v>
      </c>
      <c r="AI165" s="141">
        <f>AI88</f>
        <v>0.0146449330300733</v>
      </c>
      <c r="AJ165" s="144"/>
      <c r="AK165" s="144"/>
      <c r="AL165" s="143" t="s">
        <v>519</v>
      </c>
      <c r="AM165" s="141">
        <f t="shared" si="291"/>
        <v>0.0149356703337684</v>
      </c>
      <c r="AN165" s="144"/>
      <c r="AO165" s="148"/>
      <c r="AP165" s="143" t="s">
        <v>519</v>
      </c>
      <c r="AQ165" s="146">
        <f>AK88</f>
        <v>0.0129335339854527</v>
      </c>
      <c r="AR165" s="148"/>
      <c r="AS165" s="148"/>
      <c r="AT165" s="143" t="s">
        <v>519</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2">W105</f>
        <v>0.0115995732974005</v>
      </c>
      <c r="X174" s="141"/>
      <c r="Y174" s="141" t="s">
        <v>375</v>
      </c>
      <c r="Z174" s="142" t="s">
        <v>218</v>
      </c>
      <c r="AA174" s="141">
        <f t="shared" ref="AA174:AA177" si="293">X105</f>
        <v>0.0111320216709438</v>
      </c>
      <c r="AB174" s="141"/>
      <c r="AC174" s="141" t="s">
        <v>376</v>
      </c>
      <c r="AD174" s="142" t="s">
        <v>218</v>
      </c>
      <c r="AE174" s="141">
        <f t="shared" ref="AE174:AE177" si="294">Y105</f>
        <v>0.0115156950672646</v>
      </c>
      <c r="AF174" s="141"/>
      <c r="AG174" s="141" t="s">
        <v>377</v>
      </c>
      <c r="AH174" s="142" t="s">
        <v>218</v>
      </c>
      <c r="AI174" s="141">
        <f t="shared" ref="AI174:AI177" si="295">Z105</f>
        <v>0.0118145059388425</v>
      </c>
      <c r="AJ174" s="141"/>
      <c r="AK174" s="141" t="s">
        <v>373</v>
      </c>
      <c r="AL174" s="142" t="s">
        <v>218</v>
      </c>
      <c r="AM174" s="141">
        <f t="shared" ref="AM174:AM177" si="296">AA105</f>
        <v>0.0120206352166076</v>
      </c>
      <c r="AN174" s="141"/>
      <c r="AO174" s="146" t="s">
        <v>372</v>
      </c>
      <c r="AP174" s="147" t="s">
        <v>218</v>
      </c>
      <c r="AQ174" s="146">
        <f>AK105</f>
        <v>0.0111106094808126</v>
      </c>
      <c r="AR174" s="146"/>
      <c r="AS174" s="146" t="s">
        <v>371</v>
      </c>
      <c r="AT174" s="147" t="s">
        <v>218</v>
      </c>
      <c r="AU174" s="146">
        <f>AL105</f>
        <v>0.0130580120268836</v>
      </c>
    </row>
    <row r="175" ht="16" spans="21:47">
      <c r="U175" s="141"/>
      <c r="V175" s="143" t="s">
        <v>517</v>
      </c>
      <c r="W175" s="141">
        <f t="shared" si="292"/>
        <v>0.0322272752793218</v>
      </c>
      <c r="X175" s="141"/>
      <c r="Y175" s="141"/>
      <c r="Z175" s="143" t="s">
        <v>517</v>
      </c>
      <c r="AA175" s="141">
        <f t="shared" si="293"/>
        <v>0.0310350727117194</v>
      </c>
      <c r="AB175" s="141"/>
      <c r="AC175" s="141"/>
      <c r="AD175" s="143" t="s">
        <v>517</v>
      </c>
      <c r="AE175" s="141">
        <f t="shared" si="294"/>
        <v>0.0321195814648729</v>
      </c>
      <c r="AF175" s="141"/>
      <c r="AG175" s="141"/>
      <c r="AH175" s="143" t="s">
        <v>517</v>
      </c>
      <c r="AI175" s="141">
        <f t="shared" si="295"/>
        <v>0.0332512004043467</v>
      </c>
      <c r="AJ175" s="141"/>
      <c r="AK175" s="141"/>
      <c r="AL175" s="143" t="s">
        <v>517</v>
      </c>
      <c r="AM175" s="141">
        <f t="shared" si="296"/>
        <v>0.033880290881969</v>
      </c>
      <c r="AN175" s="141"/>
      <c r="AO175" s="146"/>
      <c r="AP175" s="143" t="s">
        <v>517</v>
      </c>
      <c r="AQ175" s="146">
        <f>AK106</f>
        <v>0.0309897165788814</v>
      </c>
      <c r="AR175" s="146"/>
      <c r="AS175" s="146"/>
      <c r="AT175" s="143" t="s">
        <v>517</v>
      </c>
      <c r="AU175" s="146">
        <f>AL106</f>
        <v>0.0364214125692725</v>
      </c>
    </row>
    <row r="176" ht="16" spans="21:47">
      <c r="U176" s="141"/>
      <c r="V176" s="143" t="s">
        <v>518</v>
      </c>
      <c r="W176" s="141">
        <f t="shared" si="292"/>
        <v>0.0930380102184044</v>
      </c>
      <c r="X176" s="141"/>
      <c r="Y176" s="141"/>
      <c r="Z176" s="143" t="s">
        <v>518</v>
      </c>
      <c r="AA176" s="141">
        <f t="shared" si="293"/>
        <v>0.0901682349586541</v>
      </c>
      <c r="AB176" s="141"/>
      <c r="AC176" s="141"/>
      <c r="AD176" s="143" t="s">
        <v>518</v>
      </c>
      <c r="AE176" s="141">
        <f t="shared" si="294"/>
        <v>0.0934708520179372</v>
      </c>
      <c r="AF176" s="141"/>
      <c r="AG176" s="141"/>
      <c r="AH176" s="143" t="s">
        <v>518</v>
      </c>
      <c r="AI176" s="141">
        <f t="shared" si="295"/>
        <v>0.0946044983573414</v>
      </c>
      <c r="AJ176" s="141"/>
      <c r="AK176" s="141"/>
      <c r="AL176" s="143" t="s">
        <v>518</v>
      </c>
      <c r="AM176" s="141">
        <f t="shared" si="296"/>
        <v>0.0987631300888806</v>
      </c>
      <c r="AN176" s="141"/>
      <c r="AO176" s="146"/>
      <c r="AP176" s="143" t="s">
        <v>518</v>
      </c>
      <c r="AQ176" s="146">
        <f>AK107</f>
        <v>0.0901828442437923</v>
      </c>
      <c r="AR176" s="146"/>
      <c r="AS176" s="146"/>
      <c r="AT176" s="143" t="s">
        <v>518</v>
      </c>
      <c r="AU176" s="146">
        <f>AL107</f>
        <v>0.105989564909798</v>
      </c>
    </row>
    <row r="177" ht="16" spans="21:47">
      <c r="U177" s="144"/>
      <c r="V177" s="143" t="s">
        <v>519</v>
      </c>
      <c r="W177" s="141">
        <f t="shared" si="292"/>
        <v>0.0134355173769019</v>
      </c>
      <c r="X177" s="144"/>
      <c r="Y177" s="144"/>
      <c r="Z177" s="143" t="s">
        <v>519</v>
      </c>
      <c r="AA177" s="141">
        <f t="shared" si="293"/>
        <v>0.0132534930139721</v>
      </c>
      <c r="AB177" s="144"/>
      <c r="AC177" s="144"/>
      <c r="AD177" s="143" t="s">
        <v>519</v>
      </c>
      <c r="AE177" s="141">
        <f t="shared" si="294"/>
        <v>0.0138116591928251</v>
      </c>
      <c r="AF177" s="144"/>
      <c r="AG177" s="144"/>
      <c r="AH177" s="143" t="s">
        <v>519</v>
      </c>
      <c r="AI177" s="141">
        <f t="shared" si="295"/>
        <v>0.0141837250442254</v>
      </c>
      <c r="AJ177" s="144"/>
      <c r="AK177" s="144"/>
      <c r="AL177" s="143" t="s">
        <v>519</v>
      </c>
      <c r="AM177" s="141">
        <f t="shared" si="296"/>
        <v>0.0143824973584437</v>
      </c>
      <c r="AN177" s="144"/>
      <c r="AO177" s="148"/>
      <c r="AP177" s="143" t="s">
        <v>519</v>
      </c>
      <c r="AQ177" s="146">
        <f>AK108</f>
        <v>0.0133258088788563</v>
      </c>
      <c r="AR177" s="148"/>
      <c r="AS177" s="148"/>
      <c r="AT177" s="143" t="s">
        <v>519</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297">W125</f>
        <v>0.00791645612262086</v>
      </c>
      <c r="X185" s="141"/>
      <c r="Y185" s="141" t="s">
        <v>382</v>
      </c>
      <c r="Z185" s="142" t="s">
        <v>218</v>
      </c>
      <c r="AA185" s="141">
        <f t="shared" ref="AA185:AA188" si="298">X125</f>
        <v>0.00768748217850014</v>
      </c>
      <c r="AB185" s="141"/>
      <c r="AC185" s="141" t="s">
        <v>383</v>
      </c>
      <c r="AD185" s="142" t="s">
        <v>218</v>
      </c>
      <c r="AE185" s="141">
        <f t="shared" ref="AE185:AE188" si="299">Y125</f>
        <v>0.00798206278026906</v>
      </c>
      <c r="AF185" s="141"/>
      <c r="AG185" s="141" t="s">
        <v>384</v>
      </c>
      <c r="AH185" s="142" t="s">
        <v>218</v>
      </c>
      <c r="AI185" s="141">
        <f t="shared" ref="AI185:AI188" si="300">Z125</f>
        <v>0.00797321202931515</v>
      </c>
      <c r="AJ185" s="141"/>
      <c r="AK185" s="141" t="s">
        <v>380</v>
      </c>
      <c r="AL185" s="142" t="s">
        <v>218</v>
      </c>
      <c r="AM185" s="141">
        <f t="shared" ref="AM185:AM188" si="301">AA125</f>
        <v>0.00805519298899869</v>
      </c>
      <c r="AN185" s="141"/>
      <c r="AO185" s="146" t="s">
        <v>379</v>
      </c>
      <c r="AP185" s="147" t="s">
        <v>218</v>
      </c>
      <c r="AQ185" s="146">
        <f>AK125</f>
        <v>0.0077012791572611</v>
      </c>
      <c r="AR185" s="146"/>
      <c r="AS185" s="146" t="s">
        <v>378</v>
      </c>
      <c r="AT185" s="147" t="s">
        <v>218</v>
      </c>
      <c r="AU185" s="146">
        <f>AL125</f>
        <v>0.00905111425539441</v>
      </c>
    </row>
    <row r="186" ht="16" spans="21:47">
      <c r="U186" s="141"/>
      <c r="V186" s="143" t="s">
        <v>517</v>
      </c>
      <c r="W186" s="141">
        <f t="shared" si="297"/>
        <v>0.0255740834315872</v>
      </c>
      <c r="X186" s="141"/>
      <c r="Y186" s="141"/>
      <c r="Z186" s="143" t="s">
        <v>517</v>
      </c>
      <c r="AA186" s="141">
        <f t="shared" si="298"/>
        <v>0.0248303393213573</v>
      </c>
      <c r="AB186" s="141"/>
      <c r="AC186" s="141"/>
      <c r="AD186" s="143" t="s">
        <v>517</v>
      </c>
      <c r="AE186" s="141">
        <f t="shared" si="299"/>
        <v>0.0257518684603886</v>
      </c>
      <c r="AF186" s="141"/>
      <c r="AG186" s="141"/>
      <c r="AH186" s="143" t="s">
        <v>517</v>
      </c>
      <c r="AI186" s="141">
        <f t="shared" si="300"/>
        <v>0.0256633813495072</v>
      </c>
      <c r="AJ186" s="141"/>
      <c r="AK186" s="141"/>
      <c r="AL186" s="143" t="s">
        <v>517</v>
      </c>
      <c r="AM186" s="141">
        <f t="shared" si="301"/>
        <v>0.0260053452669526</v>
      </c>
      <c r="AN186" s="141"/>
      <c r="AO186" s="146"/>
      <c r="AP186" s="143" t="s">
        <v>517</v>
      </c>
      <c r="AQ186" s="146">
        <f>AK126</f>
        <v>0.0248459994983697</v>
      </c>
      <c r="AR186" s="146"/>
      <c r="AS186" s="146"/>
      <c r="AT186" s="143" t="s">
        <v>517</v>
      </c>
      <c r="AU186" s="146">
        <f>AL126</f>
        <v>0.0292008607475534</v>
      </c>
    </row>
    <row r="187" ht="16" spans="21:47">
      <c r="U187" s="141"/>
      <c r="V187" s="143" t="s">
        <v>518</v>
      </c>
      <c r="W187" s="141">
        <f t="shared" si="297"/>
        <v>0.0604008758632306</v>
      </c>
      <c r="X187" s="141"/>
      <c r="Y187" s="141"/>
      <c r="Z187" s="143" t="s">
        <v>518</v>
      </c>
      <c r="AA187" s="141">
        <f t="shared" si="298"/>
        <v>0.0597262617621899</v>
      </c>
      <c r="AB187" s="141"/>
      <c r="AC187" s="141"/>
      <c r="AD187" s="143" t="s">
        <v>518</v>
      </c>
      <c r="AE187" s="141">
        <f t="shared" si="299"/>
        <v>0.0622242152466368</v>
      </c>
      <c r="AF187" s="141"/>
      <c r="AG187" s="141"/>
      <c r="AH187" s="143" t="s">
        <v>518</v>
      </c>
      <c r="AI187" s="141">
        <f t="shared" si="300"/>
        <v>0.0635392974475613</v>
      </c>
      <c r="AJ187" s="141"/>
      <c r="AK187" s="141"/>
      <c r="AL187" s="143" t="s">
        <v>518</v>
      </c>
      <c r="AM187" s="141">
        <f t="shared" si="301"/>
        <v>0.0635589533221456</v>
      </c>
      <c r="AN187" s="141"/>
      <c r="AO187" s="146"/>
      <c r="AP187" s="143" t="s">
        <v>518</v>
      </c>
      <c r="AQ187" s="146">
        <f>AK127</f>
        <v>0.0600353649360421</v>
      </c>
      <c r="AR187" s="146"/>
      <c r="AS187" s="146"/>
      <c r="AT187" s="143" t="s">
        <v>518</v>
      </c>
      <c r="AU187" s="146">
        <f>AL127</f>
        <v>0.0705580120268836</v>
      </c>
    </row>
    <row r="188" ht="16" spans="21:47">
      <c r="U188" s="144"/>
      <c r="V188" s="143" t="s">
        <v>519</v>
      </c>
      <c r="W188" s="141">
        <f t="shared" si="297"/>
        <v>0.013115490427264</v>
      </c>
      <c r="X188" s="144"/>
      <c r="Y188" s="144"/>
      <c r="Z188" s="143" t="s">
        <v>519</v>
      </c>
      <c r="AA188" s="141">
        <f t="shared" si="298"/>
        <v>0.0129683490162532</v>
      </c>
      <c r="AB188" s="144"/>
      <c r="AC188" s="144"/>
      <c r="AD188" s="143" t="s">
        <v>519</v>
      </c>
      <c r="AE188" s="141">
        <f t="shared" si="299"/>
        <v>0.0135067264573991</v>
      </c>
      <c r="AF188" s="144"/>
      <c r="AG188" s="144"/>
      <c r="AH188" s="143" t="s">
        <v>519</v>
      </c>
      <c r="AI188" s="141">
        <f t="shared" si="300"/>
        <v>0.013747788728835</v>
      </c>
      <c r="AJ188" s="144"/>
      <c r="AK188" s="144"/>
      <c r="AL188" s="143" t="s">
        <v>519</v>
      </c>
      <c r="AM188" s="141">
        <f t="shared" si="301"/>
        <v>0.0137858163962956</v>
      </c>
      <c r="AN188" s="144"/>
      <c r="AO188" s="148"/>
      <c r="AP188" s="143" t="s">
        <v>519</v>
      </c>
      <c r="AQ188" s="146">
        <f>AK128</f>
        <v>0.0130316027088036</v>
      </c>
      <c r="AR188" s="148"/>
      <c r="AS188" s="148"/>
      <c r="AT188" s="143" t="s">
        <v>519</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556</v>
      </c>
      <c r="B1" s="121"/>
      <c r="C1" s="121"/>
      <c r="D1" s="121"/>
      <c r="E1" s="121"/>
      <c r="F1" s="121"/>
      <c r="G1" s="121"/>
      <c r="H1" s="121"/>
      <c r="I1" s="121"/>
      <c r="J1" s="121"/>
      <c r="K1" s="123"/>
      <c r="L1" s="123" t="s">
        <v>282</v>
      </c>
      <c r="M1" s="123"/>
      <c r="N1" s="123"/>
      <c r="O1" s="123"/>
      <c r="P1" s="123"/>
      <c r="Q1" s="123"/>
      <c r="R1" s="123"/>
      <c r="S1" s="123"/>
      <c r="T1" s="123"/>
      <c r="U1" s="123"/>
      <c r="V1" s="123"/>
      <c r="W1" s="123" t="s">
        <v>557</v>
      </c>
      <c r="X1" s="123"/>
      <c r="Y1" s="123"/>
      <c r="Z1" s="123"/>
      <c r="AA1" s="123"/>
      <c r="AB1" s="134" t="s">
        <v>558</v>
      </c>
      <c r="AC1" s="134"/>
      <c r="AD1" s="123"/>
      <c r="AE1" s="123"/>
      <c r="AF1" s="123" t="s">
        <v>559</v>
      </c>
      <c r="AG1" s="123"/>
      <c r="AH1" s="123"/>
      <c r="AI1" s="123"/>
      <c r="AJ1" s="123"/>
      <c r="AK1" s="123"/>
      <c r="AL1" s="123"/>
      <c r="AM1" s="123"/>
      <c r="AN1" s="123"/>
      <c r="AO1" s="123" t="s">
        <v>560</v>
      </c>
      <c r="AP1" s="123"/>
      <c r="AQ1" s="123"/>
      <c r="AR1" s="123"/>
      <c r="AS1" s="123"/>
      <c r="AT1" s="123"/>
      <c r="AU1" s="123"/>
    </row>
    <row r="2" ht="30" customHeight="1" spans="1:47">
      <c r="A2" s="121" t="s">
        <v>524</v>
      </c>
      <c r="B2" s="121" t="s">
        <v>527</v>
      </c>
      <c r="C2" s="121" t="s">
        <v>526</v>
      </c>
      <c r="D2" s="121"/>
      <c r="E2" s="121"/>
      <c r="F2" s="121"/>
      <c r="G2" s="121"/>
      <c r="H2" s="121"/>
      <c r="I2" s="121"/>
      <c r="J2" s="121"/>
      <c r="K2" s="123"/>
      <c r="L2" s="123"/>
      <c r="M2" s="123"/>
      <c r="N2" s="123"/>
      <c r="O2" s="123"/>
      <c r="P2" s="123"/>
      <c r="Q2" s="123"/>
      <c r="R2" s="123"/>
      <c r="S2" s="123"/>
      <c r="T2" s="123"/>
      <c r="U2" s="123"/>
      <c r="V2" s="132" t="s">
        <v>561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528</v>
      </c>
      <c r="D3" s="123" t="s">
        <v>334</v>
      </c>
      <c r="E3" s="123" t="s">
        <v>335</v>
      </c>
      <c r="F3" s="124" t="s">
        <v>336</v>
      </c>
      <c r="G3" s="123" t="s">
        <v>337</v>
      </c>
      <c r="H3" s="123" t="s">
        <v>241</v>
      </c>
      <c r="I3" s="123" t="s">
        <v>529</v>
      </c>
      <c r="J3" s="123" t="s">
        <v>530</v>
      </c>
      <c r="K3" s="123"/>
      <c r="L3" s="129" t="s">
        <v>528</v>
      </c>
      <c r="M3" s="123" t="s">
        <v>334</v>
      </c>
      <c r="N3" s="123" t="s">
        <v>335</v>
      </c>
      <c r="O3" s="123" t="s">
        <v>336</v>
      </c>
      <c r="P3" s="123" t="s">
        <v>337</v>
      </c>
      <c r="Q3" s="123" t="s">
        <v>241</v>
      </c>
      <c r="R3" s="123" t="s">
        <v>529</v>
      </c>
      <c r="S3" s="123" t="s">
        <v>530</v>
      </c>
      <c r="T3" s="123"/>
      <c r="U3" s="123"/>
      <c r="V3" s="132" t="s">
        <v>563</v>
      </c>
      <c r="W3" s="123" t="s">
        <v>334</v>
      </c>
      <c r="X3" s="123" t="s">
        <v>335</v>
      </c>
      <c r="Y3" s="124" t="s">
        <v>336</v>
      </c>
      <c r="Z3" s="123" t="s">
        <v>337</v>
      </c>
      <c r="AA3" s="123" t="s">
        <v>241</v>
      </c>
      <c r="AB3" s="135" t="s">
        <v>529</v>
      </c>
      <c r="AC3" s="135" t="s">
        <v>530</v>
      </c>
      <c r="AD3" s="123"/>
      <c r="AE3" s="123"/>
      <c r="AF3" s="123" t="s">
        <v>334</v>
      </c>
      <c r="AG3" s="123" t="s">
        <v>335</v>
      </c>
      <c r="AH3" s="124" t="s">
        <v>336</v>
      </c>
      <c r="AI3" s="123" t="s">
        <v>337</v>
      </c>
      <c r="AJ3" s="123" t="s">
        <v>241</v>
      </c>
      <c r="AK3" s="135" t="s">
        <v>529</v>
      </c>
      <c r="AL3" s="135" t="s">
        <v>530</v>
      </c>
      <c r="AM3" s="123"/>
      <c r="AN3" s="123"/>
      <c r="AO3" s="123" t="s">
        <v>334</v>
      </c>
      <c r="AP3" s="123" t="s">
        <v>335</v>
      </c>
      <c r="AQ3" s="124" t="s">
        <v>336</v>
      </c>
      <c r="AR3" s="123" t="s">
        <v>337</v>
      </c>
      <c r="AS3" s="123" t="s">
        <v>241</v>
      </c>
      <c r="AT3" s="135" t="s">
        <v>529</v>
      </c>
      <c r="AU3" s="135" t="s">
        <v>530</v>
      </c>
    </row>
    <row r="4" ht="15.5" customHeight="1" spans="1:47">
      <c r="A4" s="121" t="s">
        <v>531</v>
      </c>
      <c r="B4" s="125" t="s">
        <v>532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531</v>
      </c>
      <c r="V4" s="125" t="s">
        <v>532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392</v>
      </c>
      <c r="B9" s="125" t="s">
        <v>532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392</v>
      </c>
      <c r="V9" s="125" t="s">
        <v>532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402</v>
      </c>
      <c r="B14" s="125" t="s">
        <v>532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402</v>
      </c>
      <c r="V14" s="125" t="s">
        <v>532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524</v>
      </c>
      <c r="B22" s="121" t="s">
        <v>565</v>
      </c>
      <c r="C22" s="121" t="s">
        <v>526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528</v>
      </c>
      <c r="D23" s="123" t="s">
        <v>334</v>
      </c>
      <c r="E23" s="123" t="s">
        <v>335</v>
      </c>
      <c r="F23" s="124" t="s">
        <v>336</v>
      </c>
      <c r="G23" s="123" t="s">
        <v>337</v>
      </c>
      <c r="H23" s="123" t="s">
        <v>241</v>
      </c>
      <c r="I23" s="123" t="s">
        <v>529</v>
      </c>
      <c r="J23" s="123" t="s">
        <v>530</v>
      </c>
      <c r="K23" s="123"/>
      <c r="L23" s="123"/>
      <c r="M23" s="123" t="s">
        <v>334</v>
      </c>
      <c r="N23" s="123" t="s">
        <v>335</v>
      </c>
      <c r="O23" s="123" t="s">
        <v>336</v>
      </c>
      <c r="P23" s="123" t="s">
        <v>337</v>
      </c>
      <c r="Q23" s="123" t="s">
        <v>241</v>
      </c>
      <c r="R23" s="123" t="s">
        <v>529</v>
      </c>
      <c r="S23" s="123" t="s">
        <v>530</v>
      </c>
      <c r="T23" s="123"/>
      <c r="U23" s="123"/>
      <c r="V23" s="132" t="s">
        <v>563</v>
      </c>
      <c r="W23" s="123" t="s">
        <v>334</v>
      </c>
      <c r="X23" s="123" t="s">
        <v>335</v>
      </c>
      <c r="Y23" s="124" t="s">
        <v>336</v>
      </c>
      <c r="Z23" s="123" t="s">
        <v>337</v>
      </c>
      <c r="AA23" s="123" t="s">
        <v>241</v>
      </c>
      <c r="AB23" s="135" t="s">
        <v>529</v>
      </c>
      <c r="AC23" s="135" t="s">
        <v>530</v>
      </c>
      <c r="AD23" s="123"/>
      <c r="AE23" s="123"/>
      <c r="AF23" s="123" t="s">
        <v>334</v>
      </c>
      <c r="AG23" s="123" t="s">
        <v>335</v>
      </c>
      <c r="AH23" s="124" t="s">
        <v>336</v>
      </c>
      <c r="AI23" s="123" t="s">
        <v>337</v>
      </c>
      <c r="AJ23" s="123" t="s">
        <v>241</v>
      </c>
      <c r="AK23" s="135" t="s">
        <v>529</v>
      </c>
      <c r="AL23" s="135" t="s">
        <v>530</v>
      </c>
      <c r="AM23" s="123"/>
      <c r="AN23" s="123"/>
      <c r="AO23" s="123" t="s">
        <v>334</v>
      </c>
      <c r="AP23" s="123" t="s">
        <v>335</v>
      </c>
      <c r="AQ23" s="124" t="s">
        <v>336</v>
      </c>
      <c r="AR23" s="123" t="s">
        <v>337</v>
      </c>
      <c r="AS23" s="123" t="s">
        <v>241</v>
      </c>
      <c r="AT23" s="135" t="s">
        <v>529</v>
      </c>
      <c r="AU23" s="135" t="s">
        <v>530</v>
      </c>
    </row>
    <row r="24" ht="15.5" customHeight="1" spans="1:47">
      <c r="A24" s="121" t="s">
        <v>531</v>
      </c>
      <c r="B24" s="125" t="s">
        <v>532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531</v>
      </c>
      <c r="V24" s="125" t="s">
        <v>532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392</v>
      </c>
      <c r="B29" s="125" t="s">
        <v>532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392</v>
      </c>
      <c r="V29" s="125" t="s">
        <v>532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402</v>
      </c>
      <c r="B34" s="125" t="s">
        <v>532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402</v>
      </c>
      <c r="V34" s="125" t="s">
        <v>532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524</v>
      </c>
      <c r="B42" s="121" t="s">
        <v>565</v>
      </c>
      <c r="C42" s="121" t="s">
        <v>526</v>
      </c>
      <c r="D42" s="121"/>
      <c r="E42" s="121"/>
      <c r="F42" s="121"/>
      <c r="G42" s="121"/>
      <c r="H42" s="121"/>
      <c r="I42" s="121"/>
      <c r="J42" s="121"/>
      <c r="K42" s="123"/>
      <c r="L42" s="123"/>
      <c r="M42" s="123"/>
      <c r="N42" s="123"/>
      <c r="O42" s="123"/>
      <c r="P42" s="123"/>
      <c r="Q42" s="123"/>
      <c r="R42" s="123"/>
      <c r="S42" s="123"/>
      <c r="T42" s="123"/>
    </row>
    <row r="43" ht="30" spans="1:47">
      <c r="A43" s="121"/>
      <c r="B43" s="121"/>
      <c r="C43" s="122" t="s">
        <v>528</v>
      </c>
      <c r="D43" s="123" t="s">
        <v>334</v>
      </c>
      <c r="E43" s="123" t="s">
        <v>335</v>
      </c>
      <c r="F43" s="124" t="s">
        <v>336</v>
      </c>
      <c r="G43" s="123" t="s">
        <v>337</v>
      </c>
      <c r="H43" s="123" t="s">
        <v>241</v>
      </c>
      <c r="I43" s="123" t="s">
        <v>529</v>
      </c>
      <c r="J43" s="123" t="s">
        <v>530</v>
      </c>
      <c r="K43" s="123"/>
      <c r="L43" s="123"/>
      <c r="M43" s="123" t="s">
        <v>334</v>
      </c>
      <c r="N43" s="123" t="s">
        <v>335</v>
      </c>
      <c r="O43" s="123" t="s">
        <v>336</v>
      </c>
      <c r="P43" s="123" t="s">
        <v>337</v>
      </c>
      <c r="Q43" s="123" t="s">
        <v>241</v>
      </c>
      <c r="R43" s="123" t="s">
        <v>529</v>
      </c>
      <c r="S43" s="123" t="s">
        <v>530</v>
      </c>
      <c r="T43" s="123"/>
      <c r="U43" s="123"/>
      <c r="V43" s="132" t="s">
        <v>563</v>
      </c>
      <c r="W43" s="123" t="s">
        <v>334</v>
      </c>
      <c r="X43" s="123" t="s">
        <v>335</v>
      </c>
      <c r="Y43" s="124" t="s">
        <v>336</v>
      </c>
      <c r="Z43" s="123" t="s">
        <v>337</v>
      </c>
      <c r="AA43" s="123" t="s">
        <v>241</v>
      </c>
      <c r="AB43" s="135" t="s">
        <v>529</v>
      </c>
      <c r="AC43" s="135" t="s">
        <v>530</v>
      </c>
      <c r="AD43" s="123"/>
      <c r="AE43" s="123"/>
      <c r="AF43" s="123" t="s">
        <v>334</v>
      </c>
      <c r="AG43" s="123" t="s">
        <v>335</v>
      </c>
      <c r="AH43" s="124" t="s">
        <v>336</v>
      </c>
      <c r="AI43" s="123" t="s">
        <v>337</v>
      </c>
      <c r="AJ43" s="123" t="s">
        <v>241</v>
      </c>
      <c r="AK43" s="135" t="s">
        <v>529</v>
      </c>
      <c r="AL43" s="135" t="s">
        <v>530</v>
      </c>
      <c r="AO43" s="123" t="s">
        <v>334</v>
      </c>
      <c r="AP43" s="123" t="s">
        <v>335</v>
      </c>
      <c r="AQ43" s="124" t="s">
        <v>336</v>
      </c>
      <c r="AR43" s="123" t="s">
        <v>337</v>
      </c>
      <c r="AS43" s="123" t="s">
        <v>241</v>
      </c>
      <c r="AT43" s="135" t="s">
        <v>529</v>
      </c>
      <c r="AU43" s="135" t="s">
        <v>530</v>
      </c>
    </row>
    <row r="44" ht="15.5" customHeight="1" spans="1:47">
      <c r="A44" s="121" t="s">
        <v>531</v>
      </c>
      <c r="B44" s="125" t="s">
        <v>532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531</v>
      </c>
      <c r="V44" s="125" t="s">
        <v>532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392</v>
      </c>
      <c r="B49" s="125" t="s">
        <v>532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392</v>
      </c>
      <c r="V49" s="125" t="s">
        <v>532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402</v>
      </c>
      <c r="B54" s="125" t="s">
        <v>532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402</v>
      </c>
      <c r="V54" s="125" t="s">
        <v>532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542</v>
      </c>
      <c r="B60" s="123"/>
      <c r="C60" s="122"/>
      <c r="D60" s="123"/>
      <c r="E60" s="123"/>
      <c r="F60" s="123"/>
      <c r="G60" s="123"/>
      <c r="H60" s="123"/>
      <c r="I60" s="123"/>
      <c r="J60" s="123"/>
      <c r="K60" s="123"/>
      <c r="L60" s="123"/>
      <c r="M60" s="123"/>
      <c r="N60" s="123"/>
      <c r="O60" s="123"/>
      <c r="P60" s="123"/>
      <c r="Q60" s="123"/>
      <c r="R60" s="123"/>
      <c r="S60" s="123"/>
      <c r="T60" s="123"/>
    </row>
    <row r="61" ht="15.5" spans="1:20">
      <c r="A61" s="123" t="s">
        <v>567</v>
      </c>
      <c r="B61" s="123"/>
      <c r="C61" s="122"/>
      <c r="D61" s="123"/>
      <c r="E61" s="123"/>
      <c r="F61" s="123"/>
      <c r="G61" s="123"/>
      <c r="H61" s="123"/>
      <c r="I61" s="123"/>
      <c r="J61" s="123"/>
      <c r="K61" s="123"/>
      <c r="L61" s="123"/>
      <c r="M61" s="123"/>
      <c r="N61" s="123"/>
      <c r="O61" s="123"/>
      <c r="P61" s="123"/>
      <c r="Q61" s="123"/>
      <c r="R61" s="123"/>
      <c r="S61" s="123"/>
      <c r="T61" s="123"/>
    </row>
    <row r="62" ht="15.5" spans="1:20">
      <c r="A62" s="123" t="s">
        <v>568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241</v>
      </c>
      <c r="AB72" s="135" t="s">
        <v>529</v>
      </c>
      <c r="AC72" s="135" t="s">
        <v>530</v>
      </c>
      <c r="AD72" s="123"/>
      <c r="AE72" s="123"/>
      <c r="AF72" s="123" t="s">
        <v>334</v>
      </c>
      <c r="AG72" s="123" t="s">
        <v>335</v>
      </c>
      <c r="AH72" s="124" t="s">
        <v>336</v>
      </c>
      <c r="AI72" s="123" t="s">
        <v>337</v>
      </c>
      <c r="AJ72" s="123" t="s">
        <v>241</v>
      </c>
      <c r="AK72" s="135" t="s">
        <v>529</v>
      </c>
      <c r="AL72" s="135" t="s">
        <v>530</v>
      </c>
      <c r="AM72" s="123"/>
      <c r="AN72" s="123"/>
      <c r="AO72" s="123" t="s">
        <v>334</v>
      </c>
      <c r="AP72" s="123" t="s">
        <v>335</v>
      </c>
      <c r="AQ72" s="124" t="s">
        <v>336</v>
      </c>
      <c r="AR72" s="123" t="s">
        <v>337</v>
      </c>
      <c r="AS72" s="123" t="s">
        <v>241</v>
      </c>
      <c r="AT72" s="135" t="s">
        <v>529</v>
      </c>
      <c r="AU72" s="135" t="s">
        <v>530</v>
      </c>
    </row>
    <row r="73" spans="21:47">
      <c r="U73" s="121" t="s">
        <v>531</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392</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569</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570</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241</v>
      </c>
      <c r="AB92" s="135" t="s">
        <v>529</v>
      </c>
      <c r="AC92" s="135" t="s">
        <v>530</v>
      </c>
      <c r="AD92" s="123"/>
      <c r="AE92" s="123"/>
      <c r="AF92" s="123" t="s">
        <v>334</v>
      </c>
      <c r="AG92" s="123" t="s">
        <v>335</v>
      </c>
      <c r="AH92" s="124" t="s">
        <v>336</v>
      </c>
      <c r="AI92" s="123" t="s">
        <v>337</v>
      </c>
      <c r="AJ92" s="123" t="s">
        <v>241</v>
      </c>
      <c r="AK92" s="135" t="s">
        <v>529</v>
      </c>
      <c r="AL92" s="135" t="s">
        <v>530</v>
      </c>
      <c r="AM92" s="123"/>
      <c r="AN92" s="123"/>
      <c r="AO92" s="123" t="s">
        <v>334</v>
      </c>
      <c r="AP92" s="123" t="s">
        <v>335</v>
      </c>
      <c r="AQ92" s="124" t="s">
        <v>336</v>
      </c>
      <c r="AR92" s="123" t="s">
        <v>337</v>
      </c>
      <c r="AS92" s="123" t="s">
        <v>241</v>
      </c>
      <c r="AT92" s="135" t="s">
        <v>529</v>
      </c>
      <c r="AU92" s="135" t="s">
        <v>530</v>
      </c>
    </row>
    <row r="93" spans="21:47">
      <c r="U93" s="121" t="s">
        <v>531</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392</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569</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570</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241</v>
      </c>
      <c r="AB112" s="135" t="s">
        <v>529</v>
      </c>
      <c r="AC112" s="135" t="s">
        <v>530</v>
      </c>
      <c r="AD112" s="123"/>
      <c r="AE112" s="123"/>
      <c r="AF112" s="123" t="s">
        <v>334</v>
      </c>
      <c r="AG112" s="123" t="s">
        <v>335</v>
      </c>
      <c r="AH112" s="124" t="s">
        <v>336</v>
      </c>
      <c r="AI112" s="123" t="s">
        <v>337</v>
      </c>
      <c r="AJ112" s="123" t="s">
        <v>241</v>
      </c>
      <c r="AK112" s="135" t="s">
        <v>529</v>
      </c>
      <c r="AL112" s="135" t="s">
        <v>530</v>
      </c>
      <c r="AM112" s="123"/>
      <c r="AN112" s="123"/>
      <c r="AO112" s="123" t="s">
        <v>334</v>
      </c>
      <c r="AP112" s="123" t="s">
        <v>335</v>
      </c>
      <c r="AQ112" s="124" t="s">
        <v>336</v>
      </c>
      <c r="AR112" s="123" t="s">
        <v>337</v>
      </c>
      <c r="AS112" s="123" t="s">
        <v>241</v>
      </c>
      <c r="AT112" s="135" t="s">
        <v>529</v>
      </c>
      <c r="AU112" s="135" t="s">
        <v>530</v>
      </c>
    </row>
    <row r="113" spans="21:47">
      <c r="U113" s="121" t="s">
        <v>531</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392</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569</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570</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367</v>
      </c>
      <c r="V162" s="142" t="s">
        <v>218</v>
      </c>
      <c r="W162" s="141">
        <f t="shared" ref="W162:W165" si="291">AF85</f>
        <v>0.0105665038459379</v>
      </c>
      <c r="X162" s="141"/>
      <c r="Y162" s="141" t="s">
        <v>368</v>
      </c>
      <c r="Z162" s="142" t="s">
        <v>218</v>
      </c>
      <c r="AA162" s="141">
        <f t="shared" ref="AA162:AA165" si="292">AG85</f>
        <v>0.010151126318791</v>
      </c>
      <c r="AB162" s="141"/>
      <c r="AC162" s="141" t="s">
        <v>369</v>
      </c>
      <c r="AD162" s="142" t="s">
        <v>218</v>
      </c>
      <c r="AE162" s="141">
        <f t="shared" ref="AE162:AE165" si="293">AH85</f>
        <v>0.0104454409566517</v>
      </c>
      <c r="AF162" s="141"/>
      <c r="AG162" s="141" t="s">
        <v>370</v>
      </c>
      <c r="AH162" s="142" t="s">
        <v>218</v>
      </c>
      <c r="AI162" s="141">
        <f t="shared" ref="AI162:AI165" si="294">AI85</f>
        <v>0.0114922921405105</v>
      </c>
      <c r="AJ162" s="141"/>
      <c r="AK162" s="141" t="s">
        <v>366</v>
      </c>
      <c r="AL162" s="142" t="s">
        <v>218</v>
      </c>
      <c r="AM162" s="141">
        <f>AJ85</f>
        <v>0.0116539250419541</v>
      </c>
      <c r="AN162" s="141"/>
      <c r="AO162" s="146" t="s">
        <v>365</v>
      </c>
      <c r="AP162" s="147" t="s">
        <v>218</v>
      </c>
      <c r="AQ162" s="146">
        <f>AT85</f>
        <v>0.00744895911713068</v>
      </c>
      <c r="AR162" s="146"/>
      <c r="AS162" s="146" t="s">
        <v>364</v>
      </c>
      <c r="AT162" s="147" t="s">
        <v>218</v>
      </c>
      <c r="AU162" s="146">
        <f>AU85</f>
        <v>0.00875456903667019</v>
      </c>
    </row>
    <row r="163" ht="16" spans="21:47">
      <c r="U163" s="141"/>
      <c r="V163" s="143" t="s">
        <v>517</v>
      </c>
      <c r="W163" s="141">
        <f t="shared" si="291"/>
        <v>0.0361911178485206</v>
      </c>
      <c r="X163" s="141"/>
      <c r="Y163" s="141"/>
      <c r="Z163" s="143" t="s">
        <v>517</v>
      </c>
      <c r="AA163" s="141">
        <f t="shared" si="292"/>
        <v>0.0345822640433419</v>
      </c>
      <c r="AB163" s="141"/>
      <c r="AC163" s="141"/>
      <c r="AD163" s="143" t="s">
        <v>517</v>
      </c>
      <c r="AE163" s="141">
        <f t="shared" si="293"/>
        <v>0.0356053811659193</v>
      </c>
      <c r="AF163" s="141"/>
      <c r="AG163" s="141"/>
      <c r="AH163" s="143" t="s">
        <v>517</v>
      </c>
      <c r="AI163" s="141">
        <f t="shared" si="294"/>
        <v>0.0365744250694971</v>
      </c>
      <c r="AJ163" s="141"/>
      <c r="AK163" s="141"/>
      <c r="AL163" s="143" t="s">
        <v>517</v>
      </c>
      <c r="AM163" s="141">
        <f t="shared" ref="AM163:AM165" si="295">AA86</f>
        <v>0.0374914537883026</v>
      </c>
      <c r="AN163" s="141"/>
      <c r="AO163" s="146"/>
      <c r="AP163" s="143" t="s">
        <v>517</v>
      </c>
      <c r="AQ163" s="146">
        <f>AT86</f>
        <v>0.0253912716328066</v>
      </c>
      <c r="AR163" s="146"/>
      <c r="AS163" s="146"/>
      <c r="AT163" s="143" t="s">
        <v>517</v>
      </c>
      <c r="AU163" s="146">
        <f>AU86</f>
        <v>0.0298417049876194</v>
      </c>
    </row>
    <row r="164" ht="16" spans="21:47">
      <c r="U164" s="141"/>
      <c r="V164" s="143" t="s">
        <v>518</v>
      </c>
      <c r="W164" s="141">
        <f t="shared" si="291"/>
        <v>0.0787154005951378</v>
      </c>
      <c r="X164" s="141"/>
      <c r="Y164" s="141"/>
      <c r="Z164" s="143" t="s">
        <v>518</v>
      </c>
      <c r="AA164" s="141">
        <f t="shared" si="292"/>
        <v>0.0766238950670089</v>
      </c>
      <c r="AB164" s="141"/>
      <c r="AC164" s="141"/>
      <c r="AD164" s="143" t="s">
        <v>518</v>
      </c>
      <c r="AE164" s="141">
        <f t="shared" si="293"/>
        <v>0.0794379671150972</v>
      </c>
      <c r="AF164" s="141"/>
      <c r="AG164" s="141"/>
      <c r="AH164" s="143" t="s">
        <v>518</v>
      </c>
      <c r="AI164" s="141">
        <f t="shared" si="294"/>
        <v>0.0831501137225171</v>
      </c>
      <c r="AJ164" s="141"/>
      <c r="AK164" s="141"/>
      <c r="AL164" s="143" t="s">
        <v>518</v>
      </c>
      <c r="AM164" s="141">
        <f t="shared" si="295"/>
        <v>0.0871278513269936</v>
      </c>
      <c r="AN164" s="141"/>
      <c r="AO164" s="146"/>
      <c r="AP164" s="143" t="s">
        <v>518</v>
      </c>
      <c r="AQ164" s="146">
        <f>AT87</f>
        <v>0.0566496112365187</v>
      </c>
      <c r="AR164" s="146"/>
      <c r="AS164" s="146"/>
      <c r="AT164" s="143" t="s">
        <v>518</v>
      </c>
      <c r="AU164" s="146">
        <f>AU87</f>
        <v>0.066578823251975</v>
      </c>
    </row>
    <row r="165" ht="16" spans="21:47">
      <c r="U165" s="144"/>
      <c r="V165" s="143" t="s">
        <v>519</v>
      </c>
      <c r="W165" s="141">
        <f t="shared" si="291"/>
        <v>0.0132277805850317</v>
      </c>
      <c r="X165" s="144"/>
      <c r="Y165" s="144"/>
      <c r="Z165" s="143" t="s">
        <v>519</v>
      </c>
      <c r="AA165" s="141">
        <f t="shared" si="292"/>
        <v>0.0129398346164813</v>
      </c>
      <c r="AB165" s="144"/>
      <c r="AC165" s="144"/>
      <c r="AD165" s="143" t="s">
        <v>519</v>
      </c>
      <c r="AE165" s="141">
        <f t="shared" si="293"/>
        <v>0.0134050822122571</v>
      </c>
      <c r="AF165" s="144"/>
      <c r="AG165" s="144"/>
      <c r="AH165" s="143" t="s">
        <v>519</v>
      </c>
      <c r="AI165" s="141">
        <f t="shared" si="294"/>
        <v>0.0146449330300733</v>
      </c>
      <c r="AJ165" s="144"/>
      <c r="AK165" s="144"/>
      <c r="AL165" s="143" t="s">
        <v>519</v>
      </c>
      <c r="AM165" s="141">
        <f t="shared" si="295"/>
        <v>0.0149356703337684</v>
      </c>
      <c r="AN165" s="144"/>
      <c r="AO165" s="148"/>
      <c r="AP165" s="143" t="s">
        <v>519</v>
      </c>
      <c r="AQ165" s="146">
        <f>AT88</f>
        <v>0.00955956859794332</v>
      </c>
      <c r="AR165" s="148"/>
      <c r="AS165" s="148"/>
      <c r="AT165" s="143" t="s">
        <v>519</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374</v>
      </c>
      <c r="V174" s="142" t="s">
        <v>218</v>
      </c>
      <c r="W174" s="141">
        <f t="shared" ref="W174:W177" si="296">W105</f>
        <v>0.0115995732974005</v>
      </c>
      <c r="X174" s="141"/>
      <c r="Y174" s="141" t="s">
        <v>375</v>
      </c>
      <c r="Z174" s="142" t="s">
        <v>218</v>
      </c>
      <c r="AA174" s="141">
        <f t="shared" ref="AA174:AA177" si="297">X105</f>
        <v>0.0111320216709438</v>
      </c>
      <c r="AB174" s="141"/>
      <c r="AC174" s="141" t="s">
        <v>376</v>
      </c>
      <c r="AD174" s="142" t="s">
        <v>218</v>
      </c>
      <c r="AE174" s="141">
        <f t="shared" ref="AE174:AE177" si="298">Y105</f>
        <v>0.0115156950672646</v>
      </c>
      <c r="AF174" s="141"/>
      <c r="AG174" s="141" t="s">
        <v>377</v>
      </c>
      <c r="AH174" s="142" t="s">
        <v>218</v>
      </c>
      <c r="AI174" s="141">
        <f t="shared" ref="AI174:AI177" si="299">Z105</f>
        <v>0.0118145059388425</v>
      </c>
      <c r="AJ174" s="141"/>
      <c r="AK174" s="141" t="s">
        <v>373</v>
      </c>
      <c r="AL174" s="142" t="s">
        <v>218</v>
      </c>
      <c r="AM174" s="141">
        <f t="shared" ref="AM174:AM177" si="300">AA105</f>
        <v>0.0120206352166076</v>
      </c>
      <c r="AN174" s="141"/>
      <c r="AO174" s="146" t="s">
        <v>372</v>
      </c>
      <c r="AP174" s="147" t="s">
        <v>218</v>
      </c>
      <c r="AQ174" s="146">
        <f>AT105</f>
        <v>0.00821218961625282</v>
      </c>
      <c r="AR174" s="146"/>
      <c r="AS174" s="146" t="s">
        <v>371</v>
      </c>
      <c r="AT174" s="147" t="s">
        <v>218</v>
      </c>
      <c r="AU174" s="146">
        <f>AU105</f>
        <v>0.00965157410682702</v>
      </c>
    </row>
    <row r="175" ht="16" spans="21:47">
      <c r="U175" s="141"/>
      <c r="V175" s="143" t="s">
        <v>517</v>
      </c>
      <c r="W175" s="141">
        <f t="shared" si="296"/>
        <v>0.0322272752793218</v>
      </c>
      <c r="X175" s="141"/>
      <c r="Y175" s="141"/>
      <c r="Z175" s="143" t="s">
        <v>517</v>
      </c>
      <c r="AA175" s="141">
        <f t="shared" si="297"/>
        <v>0.0310350727117194</v>
      </c>
      <c r="AB175" s="141"/>
      <c r="AC175" s="141"/>
      <c r="AD175" s="143" t="s">
        <v>517</v>
      </c>
      <c r="AE175" s="141">
        <f t="shared" si="298"/>
        <v>0.0321195814648729</v>
      </c>
      <c r="AF175" s="141"/>
      <c r="AG175" s="141"/>
      <c r="AH175" s="143" t="s">
        <v>517</v>
      </c>
      <c r="AI175" s="141">
        <f t="shared" si="299"/>
        <v>0.0332512004043467</v>
      </c>
      <c r="AJ175" s="141"/>
      <c r="AK175" s="141"/>
      <c r="AL175" s="143" t="s">
        <v>517</v>
      </c>
      <c r="AM175" s="141">
        <f t="shared" si="300"/>
        <v>0.033880290881969</v>
      </c>
      <c r="AN175" s="141"/>
      <c r="AO175" s="146"/>
      <c r="AP175" s="143" t="s">
        <v>517</v>
      </c>
      <c r="AQ175" s="146">
        <f>AT106</f>
        <v>0.0229054426887384</v>
      </c>
      <c r="AR175" s="146"/>
      <c r="AS175" s="146"/>
      <c r="AT175" s="143" t="s">
        <v>517</v>
      </c>
      <c r="AU175" s="146">
        <f>AU106</f>
        <v>0.0269201745077231</v>
      </c>
    </row>
    <row r="176" ht="16" spans="21:47">
      <c r="U176" s="141"/>
      <c r="V176" s="143" t="s">
        <v>518</v>
      </c>
      <c r="W176" s="141">
        <f t="shared" si="296"/>
        <v>0.0930380102184044</v>
      </c>
      <c r="X176" s="141"/>
      <c r="Y176" s="141"/>
      <c r="Z176" s="143" t="s">
        <v>518</v>
      </c>
      <c r="AA176" s="141">
        <f t="shared" si="297"/>
        <v>0.0901682349586541</v>
      </c>
      <c r="AB176" s="141"/>
      <c r="AC176" s="141"/>
      <c r="AD176" s="143" t="s">
        <v>518</v>
      </c>
      <c r="AE176" s="141">
        <f t="shared" si="298"/>
        <v>0.0934708520179372</v>
      </c>
      <c r="AF176" s="141"/>
      <c r="AG176" s="141"/>
      <c r="AH176" s="143" t="s">
        <v>518</v>
      </c>
      <c r="AI176" s="141">
        <f t="shared" si="299"/>
        <v>0.0946044983573414</v>
      </c>
      <c r="AJ176" s="141"/>
      <c r="AK176" s="141"/>
      <c r="AL176" s="143" t="s">
        <v>518</v>
      </c>
      <c r="AM176" s="141">
        <f t="shared" si="300"/>
        <v>0.0987631300888806</v>
      </c>
      <c r="AN176" s="141"/>
      <c r="AO176" s="146"/>
      <c r="AP176" s="143" t="s">
        <v>518</v>
      </c>
      <c r="AQ176" s="146">
        <f>AT107</f>
        <v>0.0666568848758465</v>
      </c>
      <c r="AR176" s="146"/>
      <c r="AS176" s="146"/>
      <c r="AT176" s="143" t="s">
        <v>518</v>
      </c>
      <c r="AU176" s="146">
        <f>AU107</f>
        <v>0.0783401131941988</v>
      </c>
    </row>
    <row r="177" ht="16" spans="21:47">
      <c r="U177" s="144"/>
      <c r="V177" s="143" t="s">
        <v>519</v>
      </c>
      <c r="W177" s="141">
        <f t="shared" si="296"/>
        <v>0.0134355173769019</v>
      </c>
      <c r="X177" s="144"/>
      <c r="Y177" s="144"/>
      <c r="Z177" s="143" t="s">
        <v>519</v>
      </c>
      <c r="AA177" s="141">
        <f t="shared" si="297"/>
        <v>0.0132534930139721</v>
      </c>
      <c r="AB177" s="144"/>
      <c r="AC177" s="144"/>
      <c r="AD177" s="143" t="s">
        <v>519</v>
      </c>
      <c r="AE177" s="141">
        <f t="shared" si="298"/>
        <v>0.0138116591928251</v>
      </c>
      <c r="AF177" s="144"/>
      <c r="AG177" s="144"/>
      <c r="AH177" s="143" t="s">
        <v>519</v>
      </c>
      <c r="AI177" s="141">
        <f t="shared" si="299"/>
        <v>0.0141837250442254</v>
      </c>
      <c r="AJ177" s="144"/>
      <c r="AK177" s="144"/>
      <c r="AL177" s="143" t="s">
        <v>519</v>
      </c>
      <c r="AM177" s="141">
        <f t="shared" si="300"/>
        <v>0.0143824973584437</v>
      </c>
      <c r="AN177" s="144"/>
      <c r="AO177" s="148"/>
      <c r="AP177" s="143" t="s">
        <v>519</v>
      </c>
      <c r="AQ177" s="146">
        <f>AT108</f>
        <v>0.00984951091045899</v>
      </c>
      <c r="AR177" s="148"/>
      <c r="AS177" s="148"/>
      <c r="AT177" s="143" t="s">
        <v>519</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381</v>
      </c>
      <c r="V185" s="142" t="s">
        <v>218</v>
      </c>
      <c r="W185" s="141">
        <f t="shared" ref="W185:W188" si="301">W125</f>
        <v>0.00791645612262086</v>
      </c>
      <c r="X185" s="141"/>
      <c r="Y185" s="141" t="s">
        <v>382</v>
      </c>
      <c r="Z185" s="142" t="s">
        <v>218</v>
      </c>
      <c r="AA185" s="141">
        <f t="shared" ref="AA185:AA188" si="302">X125</f>
        <v>0.00768748217850014</v>
      </c>
      <c r="AB185" s="141"/>
      <c r="AC185" s="141" t="s">
        <v>383</v>
      </c>
      <c r="AD185" s="142" t="s">
        <v>218</v>
      </c>
      <c r="AE185" s="141">
        <f t="shared" ref="AE185:AE188" si="303">Y125</f>
        <v>0.00798206278026906</v>
      </c>
      <c r="AF185" s="141"/>
      <c r="AG185" s="141" t="s">
        <v>384</v>
      </c>
      <c r="AH185" s="142" t="s">
        <v>218</v>
      </c>
      <c r="AI185" s="141">
        <f t="shared" ref="AI185:AI188" si="304">Z125</f>
        <v>0.00797321202931515</v>
      </c>
      <c r="AJ185" s="141"/>
      <c r="AK185" s="141" t="s">
        <v>380</v>
      </c>
      <c r="AL185" s="142" t="s">
        <v>218</v>
      </c>
      <c r="AM185" s="141">
        <f t="shared" ref="AM185:AM188" si="305">AA125</f>
        <v>0.00805519298899869</v>
      </c>
      <c r="AN185" s="141"/>
      <c r="AO185" s="146" t="s">
        <v>379</v>
      </c>
      <c r="AP185" s="147" t="s">
        <v>218</v>
      </c>
      <c r="AQ185" s="146">
        <f>AT125</f>
        <v>0.00569224981188864</v>
      </c>
      <c r="AR185" s="146"/>
      <c r="AS185" s="146" t="s">
        <v>378</v>
      </c>
      <c r="AT185" s="147" t="s">
        <v>218</v>
      </c>
      <c r="AU185" s="146">
        <f>AU125</f>
        <v>0.00668995401485673</v>
      </c>
    </row>
    <row r="186" ht="16" spans="21:47">
      <c r="U186" s="141"/>
      <c r="V186" s="143" t="s">
        <v>517</v>
      </c>
      <c r="W186" s="141">
        <f t="shared" si="301"/>
        <v>0.0255740834315872</v>
      </c>
      <c r="X186" s="141"/>
      <c r="Y186" s="141"/>
      <c r="Z186" s="143" t="s">
        <v>517</v>
      </c>
      <c r="AA186" s="141">
        <f t="shared" si="302"/>
        <v>0.0248303393213573</v>
      </c>
      <c r="AB186" s="141"/>
      <c r="AC186" s="141"/>
      <c r="AD186" s="143" t="s">
        <v>517</v>
      </c>
      <c r="AE186" s="141">
        <f t="shared" si="303"/>
        <v>0.0257518684603886</v>
      </c>
      <c r="AF186" s="141"/>
      <c r="AG186" s="141"/>
      <c r="AH186" s="143" t="s">
        <v>517</v>
      </c>
      <c r="AI186" s="141">
        <f t="shared" si="304"/>
        <v>0.0256633813495072</v>
      </c>
      <c r="AJ186" s="141"/>
      <c r="AK186" s="141"/>
      <c r="AL186" s="143" t="s">
        <v>517</v>
      </c>
      <c r="AM186" s="141">
        <f t="shared" si="305"/>
        <v>0.0260053452669526</v>
      </c>
      <c r="AN186" s="141"/>
      <c r="AO186" s="146"/>
      <c r="AP186" s="143" t="s">
        <v>517</v>
      </c>
      <c r="AQ186" s="146">
        <f>AT126</f>
        <v>0.0183644344118385</v>
      </c>
      <c r="AR186" s="146"/>
      <c r="AS186" s="146"/>
      <c r="AT186" s="143" t="s">
        <v>517</v>
      </c>
      <c r="AU186" s="146">
        <f>AU126</f>
        <v>0.0215832449003655</v>
      </c>
    </row>
    <row r="187" ht="16" spans="21:47">
      <c r="U187" s="141"/>
      <c r="V187" s="143" t="s">
        <v>518</v>
      </c>
      <c r="W187" s="141">
        <f t="shared" si="301"/>
        <v>0.0604008758632306</v>
      </c>
      <c r="X187" s="141"/>
      <c r="Y187" s="141"/>
      <c r="Z187" s="143" t="s">
        <v>518</v>
      </c>
      <c r="AA187" s="141">
        <f t="shared" si="302"/>
        <v>0.0597262617621899</v>
      </c>
      <c r="AB187" s="141"/>
      <c r="AC187" s="141"/>
      <c r="AD187" s="143" t="s">
        <v>518</v>
      </c>
      <c r="AE187" s="141">
        <f t="shared" si="303"/>
        <v>0.0622242152466368</v>
      </c>
      <c r="AF187" s="141"/>
      <c r="AG187" s="141"/>
      <c r="AH187" s="143" t="s">
        <v>518</v>
      </c>
      <c r="AI187" s="141">
        <f t="shared" si="304"/>
        <v>0.0635392974475613</v>
      </c>
      <c r="AJ187" s="141"/>
      <c r="AK187" s="141"/>
      <c r="AL187" s="143" t="s">
        <v>518</v>
      </c>
      <c r="AM187" s="141">
        <f t="shared" si="305"/>
        <v>0.0635589533221456</v>
      </c>
      <c r="AN187" s="141"/>
      <c r="AO187" s="146"/>
      <c r="AP187" s="143" t="s">
        <v>518</v>
      </c>
      <c r="AQ187" s="146">
        <f>AT127</f>
        <v>0.0443739653875094</v>
      </c>
      <c r="AR187" s="146"/>
      <c r="AS187" s="146"/>
      <c r="AT187" s="143" t="s">
        <v>518</v>
      </c>
      <c r="AU187" s="146">
        <f>AU127</f>
        <v>0.052151574106827</v>
      </c>
    </row>
    <row r="188" ht="16" spans="21:47">
      <c r="U188" s="144"/>
      <c r="V188" s="143" t="s">
        <v>519</v>
      </c>
      <c r="W188" s="141">
        <f t="shared" si="301"/>
        <v>0.013115490427264</v>
      </c>
      <c r="X188" s="144"/>
      <c r="Y188" s="144"/>
      <c r="Z188" s="143" t="s">
        <v>519</v>
      </c>
      <c r="AA188" s="141">
        <f t="shared" si="302"/>
        <v>0.0129683490162532</v>
      </c>
      <c r="AB188" s="144"/>
      <c r="AC188" s="144"/>
      <c r="AD188" s="143" t="s">
        <v>519</v>
      </c>
      <c r="AE188" s="141">
        <f t="shared" si="303"/>
        <v>0.0135067264573991</v>
      </c>
      <c r="AF188" s="144"/>
      <c r="AG188" s="144"/>
      <c r="AH188" s="143" t="s">
        <v>519</v>
      </c>
      <c r="AI188" s="141">
        <f t="shared" si="304"/>
        <v>0.013747788728835</v>
      </c>
      <c r="AJ188" s="144"/>
      <c r="AK188" s="144"/>
      <c r="AL188" s="143" t="s">
        <v>519</v>
      </c>
      <c r="AM188" s="141">
        <f t="shared" si="305"/>
        <v>0.0137858163962956</v>
      </c>
      <c r="AN188" s="144"/>
      <c r="AO188" s="148"/>
      <c r="AP188" s="143" t="s">
        <v>519</v>
      </c>
      <c r="AQ188" s="146">
        <f>AT128</f>
        <v>0.00963205417607224</v>
      </c>
      <c r="AR188" s="148"/>
      <c r="AS188" s="148"/>
      <c r="AT188" s="143" t="s">
        <v>519</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571</v>
      </c>
      <c r="K3" s="110" t="s">
        <v>572</v>
      </c>
    </row>
    <row r="4" ht="21" customHeight="1" spans="2:11">
      <c r="B4" s="100"/>
      <c r="C4" s="101" t="s">
        <v>228</v>
      </c>
      <c r="D4" s="101" t="s">
        <v>235</v>
      </c>
      <c r="E4" s="101" t="s">
        <v>241</v>
      </c>
      <c r="F4" s="101" t="s">
        <v>247</v>
      </c>
      <c r="G4" s="101" t="s">
        <v>335</v>
      </c>
      <c r="H4" s="101" t="s">
        <v>261</v>
      </c>
      <c r="I4" s="101" t="s">
        <v>269</v>
      </c>
      <c r="K4" s="118" t="s">
        <v>573</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575</v>
      </c>
      <c r="K15" s="110" t="s">
        <v>572</v>
      </c>
    </row>
    <row r="16" ht="15.5" spans="2:11">
      <c r="B16" s="100"/>
      <c r="C16" s="101" t="s">
        <v>228</v>
      </c>
      <c r="D16" s="101" t="s">
        <v>235</v>
      </c>
      <c r="E16" s="101" t="s">
        <v>241</v>
      </c>
      <c r="F16" s="101" t="s">
        <v>247</v>
      </c>
      <c r="G16" s="101" t="s">
        <v>335</v>
      </c>
      <c r="H16" s="101" t="s">
        <v>261</v>
      </c>
      <c r="I16" s="101" t="s">
        <v>269</v>
      </c>
      <c r="K16" s="110" t="s">
        <v>576</v>
      </c>
    </row>
    <row r="17" spans="2:9">
      <c r="B17" s="103" t="s">
        <v>577</v>
      </c>
      <c r="C17" s="103" t="s">
        <v>578</v>
      </c>
      <c r="D17" s="103" t="s">
        <v>579</v>
      </c>
      <c r="E17" s="103" t="s">
        <v>580</v>
      </c>
      <c r="F17" s="100" t="s">
        <v>580</v>
      </c>
      <c r="G17" s="100"/>
      <c r="H17" s="100"/>
      <c r="I17" s="100"/>
    </row>
    <row r="18" spans="2:9">
      <c r="B18" s="103" t="s">
        <v>581</v>
      </c>
      <c r="C18" s="103" t="s">
        <v>582</v>
      </c>
      <c r="D18" s="103" t="s">
        <v>583</v>
      </c>
      <c r="E18" s="103" t="s">
        <v>584</v>
      </c>
      <c r="F18" s="104" t="s">
        <v>584</v>
      </c>
      <c r="G18" s="105"/>
      <c r="H18" s="105"/>
      <c r="I18" s="119"/>
    </row>
    <row r="24" ht="15.5" spans="2:2">
      <c r="B24" s="99" t="s">
        <v>585</v>
      </c>
    </row>
    <row r="25" ht="15.5" spans="2:9">
      <c r="B25" s="100"/>
      <c r="C25" s="101" t="s">
        <v>228</v>
      </c>
      <c r="D25" s="101" t="s">
        <v>235</v>
      </c>
      <c r="E25" s="101" t="s">
        <v>241</v>
      </c>
      <c r="F25" s="101" t="s">
        <v>247</v>
      </c>
      <c r="G25" s="101" t="s">
        <v>335</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587</v>
      </c>
    </row>
    <row r="35" ht="72" customHeight="1" spans="2:13">
      <c r="B35" s="111" t="s">
        <v>588</v>
      </c>
      <c r="C35" s="111"/>
      <c r="D35" s="111"/>
      <c r="E35" s="111"/>
      <c r="F35" s="111"/>
      <c r="G35" s="111"/>
      <c r="H35" s="111"/>
      <c r="I35" s="111"/>
      <c r="J35" s="111"/>
      <c r="K35" s="111"/>
      <c r="M35" s="120"/>
    </row>
    <row r="40" ht="15.5" spans="2:11">
      <c r="B40" s="99" t="s">
        <v>589</v>
      </c>
      <c r="K40" s="110" t="s">
        <v>572</v>
      </c>
    </row>
    <row r="41" ht="84" spans="2:11">
      <c r="B41" s="112"/>
      <c r="C41" s="113"/>
      <c r="D41" s="113"/>
      <c r="E41" s="113"/>
      <c r="F41" s="113"/>
      <c r="G41" s="113"/>
      <c r="H41" s="113"/>
      <c r="I41" s="113"/>
      <c r="K41" s="118" t="s">
        <v>573</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590</v>
      </c>
      <c r="C3" s="38"/>
      <c r="D3" s="38"/>
      <c r="E3" s="38"/>
      <c r="F3" s="39"/>
    </row>
    <row r="5" ht="15" customHeight="1" spans="2:2">
      <c r="B5" s="43" t="s">
        <v>591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595</v>
      </c>
      <c r="C45" s="48" t="s">
        <v>596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599</v>
      </c>
      <c r="C80" s="46" t="s">
        <v>26</v>
      </c>
      <c r="D80" s="74">
        <v>0.56</v>
      </c>
    </row>
    <row r="82" ht="15" customHeight="1" spans="2:6">
      <c r="B82" s="48" t="s">
        <v>27</v>
      </c>
      <c r="C82" s="48" t="s">
        <v>600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602</v>
      </c>
      <c r="C3" s="38"/>
      <c r="D3" s="38"/>
      <c r="E3" s="38"/>
      <c r="F3" s="39"/>
    </row>
    <row r="4" spans="11:20">
      <c r="K4" s="65" t="s">
        <v>603</v>
      </c>
      <c r="L4" s="65"/>
      <c r="M4" s="65"/>
      <c r="N4" s="65"/>
      <c r="O4" s="65"/>
      <c r="P4" s="65"/>
      <c r="Q4" s="65"/>
      <c r="R4" s="65"/>
      <c r="S4" s="65"/>
      <c r="T4" s="65"/>
    </row>
    <row r="5" spans="2:20">
      <c r="B5" s="43" t="s">
        <v>604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610</v>
      </c>
      <c r="C65" s="48" t="s">
        <v>611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612</v>
      </c>
      <c r="C80" s="46" t="s">
        <v>26</v>
      </c>
      <c r="D80" s="74">
        <v>1.3</v>
      </c>
    </row>
    <row r="82" spans="2:6">
      <c r="B82" s="48" t="s">
        <v>27</v>
      </c>
      <c r="C82" s="48" t="s">
        <v>613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615</v>
      </c>
      <c r="C112" s="38"/>
      <c r="D112" s="38"/>
      <c r="E112" s="38"/>
      <c r="F112" s="39"/>
    </row>
    <row r="114" spans="2:2">
      <c r="B114" s="43" t="s">
        <v>616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623</v>
      </c>
      <c r="C186" s="46" t="s">
        <v>26</v>
      </c>
      <c r="D186" s="74">
        <v>1.65</v>
      </c>
    </row>
    <row r="188" spans="2:6">
      <c r="B188" s="48" t="s">
        <v>27</v>
      </c>
      <c r="C188" s="48" t="s">
        <v>624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627</v>
      </c>
    </row>
    <row r="227" spans="2:2">
      <c r="B227" t="s">
        <v>628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629</v>
      </c>
      <c r="K5" s="65" t="s">
        <v>630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631</v>
      </c>
      <c r="D7" s="68">
        <v>3736.18882346745</v>
      </c>
      <c r="K7" s="65"/>
      <c r="L7" s="65"/>
      <c r="M7" s="65"/>
      <c r="N7" s="65"/>
      <c r="O7" s="65"/>
      <c r="P7" s="65"/>
      <c r="Q7" s="65"/>
      <c r="R7" s="65"/>
      <c r="S7" s="65"/>
      <c r="T7" s="65"/>
    </row>
    <row r="8" spans="2:20">
      <c r="B8" s="45" t="s">
        <v>14</v>
      </c>
      <c r="C8" s="46" t="s">
        <v>632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631</v>
      </c>
      <c r="D40" s="68">
        <v>2146.17368873603</v>
      </c>
    </row>
    <row r="41" ht="15" customHeight="1"/>
    <row r="42" spans="2:5">
      <c r="B42" s="48" t="s">
        <v>635</v>
      </c>
      <c r="C42" s="55" t="s">
        <v>636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637</v>
      </c>
      <c r="C53" s="55" t="s">
        <v>638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639</v>
      </c>
    </row>
    <row r="6" ht="15" customHeight="1" spans="2:4">
      <c r="B6" s="44">
        <v>2015</v>
      </c>
      <c r="C6" s="44"/>
      <c r="D6" s="44"/>
    </row>
    <row r="7" spans="2:10">
      <c r="B7" s="45" t="s">
        <v>12</v>
      </c>
      <c r="C7" s="46" t="s">
        <v>640</v>
      </c>
      <c r="D7" s="68">
        <v>11.1115917749527</v>
      </c>
      <c r="J7" s="77"/>
    </row>
    <row r="8" spans="2:10">
      <c r="B8" s="45" t="s">
        <v>14</v>
      </c>
      <c r="C8" s="46" t="s">
        <v>632</v>
      </c>
      <c r="D8" s="68">
        <v>8.51985777210084</v>
      </c>
      <c r="J8" s="77"/>
    </row>
    <row r="10" spans="2:6">
      <c r="B10" s="48" t="s">
        <v>140</v>
      </c>
      <c r="C10" s="48" t="s">
        <v>641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642</v>
      </c>
    </row>
    <row r="26" spans="2:4">
      <c r="B26" s="44">
        <v>2015</v>
      </c>
      <c r="C26" s="44"/>
      <c r="D26" s="44"/>
    </row>
    <row r="27" spans="2:10">
      <c r="B27" s="45" t="s">
        <v>12</v>
      </c>
      <c r="C27" s="46" t="s">
        <v>640</v>
      </c>
      <c r="D27" s="68">
        <v>6.93017681650736</v>
      </c>
      <c r="J27" s="77"/>
    </row>
    <row r="28" spans="2:10">
      <c r="B28" s="45" t="s">
        <v>14</v>
      </c>
      <c r="C28" s="46" t="s">
        <v>632</v>
      </c>
      <c r="D28" s="68">
        <v>11.6296058589177</v>
      </c>
      <c r="J28" s="77"/>
    </row>
    <row r="29" ht="15" customHeight="1"/>
    <row r="30" spans="2:6">
      <c r="B30" s="48" t="s">
        <v>140</v>
      </c>
      <c r="C30" s="48" t="s">
        <v>643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644</v>
      </c>
    </row>
    <row r="46" spans="2:4">
      <c r="B46" s="44">
        <v>2015</v>
      </c>
      <c r="C46" s="44"/>
      <c r="D46" s="44"/>
    </row>
    <row r="47" spans="2:10">
      <c r="B47" s="45" t="s">
        <v>12</v>
      </c>
      <c r="C47" s="46" t="s">
        <v>640</v>
      </c>
      <c r="D47" s="68">
        <v>2.00511882895014</v>
      </c>
      <c r="J47" s="77"/>
    </row>
    <row r="48" spans="2:10">
      <c r="B48" s="45" t="s">
        <v>14</v>
      </c>
      <c r="C48" s="46" t="s">
        <v>632</v>
      </c>
      <c r="D48" s="68">
        <v>27.1827732017803</v>
      </c>
      <c r="J48" s="77"/>
    </row>
    <row r="49" ht="15" customHeight="1"/>
    <row r="50" spans="2:6">
      <c r="B50" s="48" t="s">
        <v>140</v>
      </c>
      <c r="C50" s="48" t="s">
        <v>645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646</v>
      </c>
    </row>
    <row r="66" spans="2:4">
      <c r="B66" s="44">
        <v>2015</v>
      </c>
      <c r="C66" s="44"/>
      <c r="D66" s="44"/>
    </row>
    <row r="67" spans="2:10">
      <c r="B67" s="45" t="s">
        <v>12</v>
      </c>
      <c r="C67" s="46" t="s">
        <v>647</v>
      </c>
      <c r="D67" s="68">
        <v>21.7610759732877</v>
      </c>
      <c r="J67" s="77"/>
    </row>
    <row r="68" ht="15" customHeight="1" spans="2:10">
      <c r="B68" s="45" t="s">
        <v>14</v>
      </c>
      <c r="C68" s="46" t="s">
        <v>632</v>
      </c>
      <c r="D68" s="68">
        <v>8.8007828121539</v>
      </c>
      <c r="J68" s="77"/>
    </row>
    <row r="70" spans="2:6">
      <c r="B70" s="48" t="s">
        <v>140</v>
      </c>
      <c r="C70" s="48" t="s">
        <v>648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649</v>
      </c>
    </row>
    <row r="86" spans="2:4">
      <c r="B86" s="44">
        <v>2015</v>
      </c>
      <c r="C86" s="44"/>
      <c r="D86" s="44"/>
    </row>
    <row r="87" spans="2:10">
      <c r="B87" s="45" t="s">
        <v>12</v>
      </c>
      <c r="C87" s="46" t="s">
        <v>647</v>
      </c>
      <c r="D87" s="68">
        <v>6.89988772048606</v>
      </c>
      <c r="J87" s="77"/>
    </row>
    <row r="88" spans="2:10">
      <c r="B88" s="45" t="s">
        <v>14</v>
      </c>
      <c r="C88" s="46" t="s">
        <v>632</v>
      </c>
      <c r="D88" s="68">
        <v>11.5840303764976</v>
      </c>
      <c r="J88" s="77"/>
    </row>
    <row r="90" spans="2:6">
      <c r="B90" s="48" t="s">
        <v>140</v>
      </c>
      <c r="C90" s="48" t="s">
        <v>650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651</v>
      </c>
    </row>
    <row r="105" spans="2:6">
      <c r="B105" s="48" t="s">
        <v>652</v>
      </c>
      <c r="C105" s="48" t="s">
        <v>653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654</v>
      </c>
    </row>
    <row r="120" spans="2:6">
      <c r="B120" s="48" t="s">
        <v>655</v>
      </c>
      <c r="C120" s="48" t="s">
        <v>656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657</v>
      </c>
      <c r="C3" s="38"/>
      <c r="D3" s="38"/>
      <c r="E3" s="38"/>
      <c r="F3" s="39"/>
    </row>
    <row r="4" ht="15" customHeight="1"/>
    <row r="5" ht="15" customHeight="1" spans="2:2">
      <c r="B5" s="43" t="s">
        <v>658</v>
      </c>
    </row>
    <row r="6" spans="2:4">
      <c r="B6" s="44">
        <v>2015</v>
      </c>
      <c r="C6" s="44"/>
      <c r="D6" s="44"/>
    </row>
    <row r="7" spans="2:4">
      <c r="B7" s="45" t="s">
        <v>12</v>
      </c>
      <c r="C7" s="46" t="s">
        <v>640</v>
      </c>
      <c r="D7" s="68">
        <v>29.6118330510177</v>
      </c>
    </row>
    <row r="8" spans="2:4">
      <c r="B8" s="45" t="s">
        <v>14</v>
      </c>
      <c r="C8" s="46" t="s">
        <v>659</v>
      </c>
      <c r="D8" s="47">
        <v>6.45525065406382</v>
      </c>
    </row>
    <row r="10" spans="2:6">
      <c r="B10" s="48" t="s">
        <v>140</v>
      </c>
      <c r="C10" s="48" t="s">
        <v>660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661</v>
      </c>
    </row>
    <row r="25" spans="2:4">
      <c r="B25" s="44">
        <v>2015</v>
      </c>
      <c r="C25" s="44"/>
      <c r="D25" s="44"/>
    </row>
    <row r="26" spans="2:4">
      <c r="B26" s="45" t="s">
        <v>12</v>
      </c>
      <c r="C26" s="46" t="s">
        <v>640</v>
      </c>
      <c r="D26" s="68">
        <v>31.0823526515104</v>
      </c>
    </row>
    <row r="27" spans="2:4">
      <c r="B27" s="45" t="s">
        <v>14</v>
      </c>
      <c r="C27" s="46" t="s">
        <v>659</v>
      </c>
      <c r="D27" s="47">
        <v>7.51561465406382</v>
      </c>
    </row>
    <row r="29" spans="2:6">
      <c r="B29" s="48" t="s">
        <v>140</v>
      </c>
      <c r="C29" s="48" t="s">
        <v>662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663</v>
      </c>
      <c r="C44" s="46" t="s">
        <v>640</v>
      </c>
      <c r="D44" s="47">
        <v>11.0548632360586</v>
      </c>
    </row>
    <row r="46" spans="2:5">
      <c r="B46" s="48" t="s">
        <v>27</v>
      </c>
      <c r="C46" s="55" t="s">
        <v>664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655</v>
      </c>
      <c r="C56" s="55" t="s">
        <v>665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666</v>
      </c>
      <c r="C69" s="38"/>
      <c r="D69" s="38"/>
      <c r="E69" s="38"/>
      <c r="F69" s="39"/>
    </row>
    <row r="71" spans="2:2">
      <c r="B71" s="43" t="s">
        <v>667</v>
      </c>
    </row>
    <row r="72" spans="2:4">
      <c r="B72" s="44">
        <v>2015</v>
      </c>
      <c r="C72" s="44"/>
      <c r="D72" s="44"/>
    </row>
    <row r="73" spans="2:4">
      <c r="B73" s="45" t="s">
        <v>12</v>
      </c>
      <c r="C73" s="46" t="s">
        <v>647</v>
      </c>
      <c r="D73" s="47">
        <v>10.6749229595463</v>
      </c>
    </row>
    <row r="74" spans="2:4">
      <c r="B74" s="45" t="s">
        <v>14</v>
      </c>
      <c r="C74" s="46" t="s">
        <v>659</v>
      </c>
      <c r="D74" s="68">
        <v>7.015484</v>
      </c>
    </row>
    <row r="76" ht="15" customHeight="1" spans="2:6">
      <c r="B76" s="71" t="s">
        <v>140</v>
      </c>
      <c r="C76" s="55" t="s">
        <v>668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669</v>
      </c>
    </row>
    <row r="91" spans="2:4">
      <c r="B91" s="44">
        <v>2015</v>
      </c>
      <c r="C91" s="44"/>
      <c r="D91" s="44"/>
    </row>
    <row r="92" spans="2:4">
      <c r="B92" s="45" t="s">
        <v>12</v>
      </c>
      <c r="C92" s="46" t="s">
        <v>647</v>
      </c>
      <c r="D92" s="47">
        <v>11.2050381813469</v>
      </c>
    </row>
    <row r="93" spans="2:4">
      <c r="B93" s="45" t="s">
        <v>14</v>
      </c>
      <c r="C93" s="46" t="s">
        <v>659</v>
      </c>
      <c r="D93" s="68">
        <v>10.553001</v>
      </c>
    </row>
    <row r="94" ht="15" customHeight="1"/>
    <row r="95" spans="2:6">
      <c r="B95" s="71" t="s">
        <v>140</v>
      </c>
      <c r="C95" s="55" t="s">
        <v>670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671</v>
      </c>
      <c r="C110" s="46" t="s">
        <v>647</v>
      </c>
      <c r="D110" s="74">
        <v>3.63868357239443</v>
      </c>
    </row>
    <row r="112" spans="2:5">
      <c r="B112" s="48" t="s">
        <v>27</v>
      </c>
      <c r="C112" s="55" t="s">
        <v>672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652</v>
      </c>
      <c r="C122" s="55" t="s">
        <v>673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674</v>
      </c>
      <c r="C3" s="38"/>
      <c r="D3" s="38"/>
      <c r="E3" s="38"/>
      <c r="F3" s="39"/>
    </row>
    <row r="4" spans="2:20">
      <c r="B4" s="40" t="s">
        <v>675</v>
      </c>
      <c r="C4" s="41"/>
      <c r="D4" s="41"/>
      <c r="E4" s="41"/>
      <c r="F4" s="42"/>
      <c r="K4" s="65" t="s">
        <v>676</v>
      </c>
      <c r="L4" s="65"/>
      <c r="M4" s="65"/>
      <c r="N4" s="65"/>
      <c r="O4" s="65"/>
      <c r="P4" s="65"/>
      <c r="Q4" s="65"/>
      <c r="R4" s="65"/>
      <c r="S4" s="65"/>
      <c r="T4" s="65"/>
    </row>
    <row r="5" spans="2:20">
      <c r="B5" s="43" t="s">
        <v>677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647</v>
      </c>
      <c r="D7" s="47">
        <v>8.98575339925204</v>
      </c>
      <c r="K7" s="65"/>
      <c r="L7" s="65"/>
      <c r="M7" s="65"/>
      <c r="N7" s="65"/>
      <c r="O7" s="65"/>
      <c r="P7" s="65"/>
      <c r="Q7" s="65"/>
      <c r="R7" s="65"/>
      <c r="S7" s="65"/>
      <c r="T7" s="65"/>
    </row>
    <row r="8" spans="2:20">
      <c r="B8" s="45" t="s">
        <v>14</v>
      </c>
      <c r="C8" s="46" t="s">
        <v>659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679</v>
      </c>
    </row>
    <row r="25" spans="2:4">
      <c r="B25" s="44">
        <v>2015</v>
      </c>
      <c r="C25" s="44"/>
      <c r="D25" s="44"/>
    </row>
    <row r="26" spans="2:4">
      <c r="B26" s="45" t="s">
        <v>12</v>
      </c>
      <c r="C26" s="46" t="s">
        <v>647</v>
      </c>
      <c r="D26" s="47">
        <v>9.4319846905074</v>
      </c>
    </row>
    <row r="27" spans="2:4">
      <c r="B27" s="45" t="s">
        <v>14</v>
      </c>
      <c r="C27" s="46" t="s">
        <v>659</v>
      </c>
      <c r="D27" s="47">
        <v>24.00125</v>
      </c>
    </row>
    <row r="29" ht="15" customHeight="1" spans="2:6">
      <c r="B29" s="48" t="s">
        <v>680</v>
      </c>
      <c r="C29" s="48" t="s">
        <v>681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682</v>
      </c>
      <c r="E43" s="54"/>
      <c r="F43" s="54"/>
    </row>
    <row r="44" spans="2:4">
      <c r="B44" s="44">
        <v>2030</v>
      </c>
      <c r="C44" s="44"/>
      <c r="D44" s="44"/>
    </row>
    <row r="45" spans="2:4">
      <c r="B45" s="45" t="s">
        <v>12</v>
      </c>
      <c r="C45" s="46" t="s">
        <v>647</v>
      </c>
      <c r="D45" s="47">
        <v>5.4752275318979</v>
      </c>
    </row>
    <row r="47" ht="15" customHeight="1" spans="2:5">
      <c r="B47" s="48" t="s">
        <v>683</v>
      </c>
      <c r="C47" s="55" t="s">
        <v>684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685</v>
      </c>
    </row>
    <row r="62" spans="2:4">
      <c r="B62" s="44">
        <v>2030</v>
      </c>
      <c r="C62" s="44"/>
      <c r="D62" s="44"/>
    </row>
    <row r="63" spans="2:4">
      <c r="B63" s="45" t="s">
        <v>12</v>
      </c>
      <c r="C63" s="46" t="s">
        <v>647</v>
      </c>
      <c r="D63" s="47">
        <v>3.06290859459612</v>
      </c>
    </row>
    <row r="65" spans="2:5">
      <c r="B65" s="48" t="s">
        <v>27</v>
      </c>
      <c r="C65" s="55" t="s">
        <v>686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687</v>
      </c>
      <c r="C75" s="41"/>
      <c r="D75" s="41"/>
      <c r="E75" s="41"/>
      <c r="F75" s="42"/>
    </row>
    <row r="76" spans="2:2">
      <c r="B76" s="43" t="s">
        <v>688</v>
      </c>
    </row>
    <row r="77" spans="2:4">
      <c r="B77" s="44">
        <v>2015</v>
      </c>
      <c r="C77" s="44"/>
      <c r="D77" s="44"/>
    </row>
    <row r="78" spans="2:4">
      <c r="B78" s="45" t="s">
        <v>12</v>
      </c>
      <c r="C78" s="46" t="s">
        <v>647</v>
      </c>
      <c r="D78" s="47">
        <v>4.05687418177868</v>
      </c>
    </row>
    <row r="79" spans="2:4">
      <c r="B79" s="45" t="s">
        <v>14</v>
      </c>
      <c r="C79" s="46" t="s">
        <v>659</v>
      </c>
      <c r="D79" s="47">
        <v>25.175</v>
      </c>
    </row>
    <row r="81" spans="2:6">
      <c r="B81" s="48" t="s">
        <v>140</v>
      </c>
      <c r="C81" s="48" t="s">
        <v>689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690</v>
      </c>
    </row>
    <row r="96" spans="2:4">
      <c r="B96" s="44">
        <v>2015</v>
      </c>
      <c r="C96" s="44"/>
      <c r="D96" s="44"/>
    </row>
    <row r="97" spans="2:4">
      <c r="B97" s="45" t="s">
        <v>12</v>
      </c>
      <c r="C97" s="46" t="s">
        <v>647</v>
      </c>
      <c r="D97" s="47">
        <v>4.25833800169013</v>
      </c>
    </row>
    <row r="98" spans="2:4">
      <c r="B98" s="45" t="s">
        <v>14</v>
      </c>
      <c r="C98" s="46" t="s">
        <v>659</v>
      </c>
      <c r="D98" s="47">
        <v>32.05</v>
      </c>
    </row>
    <row r="100" spans="2:6">
      <c r="B100" s="48" t="s">
        <v>680</v>
      </c>
      <c r="C100" s="48" t="s">
        <v>691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692</v>
      </c>
      <c r="E114" s="54"/>
      <c r="F114" s="54"/>
    </row>
    <row r="115" spans="2:4">
      <c r="B115" s="44">
        <v>2030</v>
      </c>
      <c r="C115" s="44"/>
      <c r="D115" s="44"/>
    </row>
    <row r="116" spans="2:4">
      <c r="B116" s="45" t="s">
        <v>12</v>
      </c>
      <c r="C116" s="46" t="s">
        <v>647</v>
      </c>
      <c r="D116" s="47">
        <v>2.51994631751468</v>
      </c>
    </row>
    <row r="117" ht="15" customHeight="1"/>
    <row r="118" spans="2:5">
      <c r="B118" s="48" t="s">
        <v>683</v>
      </c>
      <c r="C118" s="55" t="s">
        <v>693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694</v>
      </c>
    </row>
    <row r="133" spans="2:4">
      <c r="B133" s="44">
        <v>2030</v>
      </c>
      <c r="C133" s="44"/>
      <c r="D133" s="44"/>
    </row>
    <row r="134" spans="2:4">
      <c r="B134" s="45" t="s">
        <v>12</v>
      </c>
      <c r="C134" s="46" t="s">
        <v>647</v>
      </c>
      <c r="D134" s="47">
        <v>1.38283728102302</v>
      </c>
    </row>
    <row r="136" spans="2:5">
      <c r="B136" s="48" t="s">
        <v>27</v>
      </c>
      <c r="C136" s="55" t="s">
        <v>695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696</v>
      </c>
      <c r="C146" s="41"/>
      <c r="D146" s="41"/>
      <c r="E146" s="41"/>
      <c r="F146" s="42"/>
    </row>
    <row r="147" spans="2:2">
      <c r="B147" s="43" t="s">
        <v>697</v>
      </c>
    </row>
    <row r="148" spans="2:4">
      <c r="B148" s="44">
        <v>2015</v>
      </c>
      <c r="C148" s="44"/>
      <c r="D148" s="44"/>
    </row>
    <row r="149" spans="2:4">
      <c r="B149" s="45" t="s">
        <v>12</v>
      </c>
      <c r="C149" s="46" t="s">
        <v>647</v>
      </c>
      <c r="D149" s="47">
        <v>3.86183190615419</v>
      </c>
    </row>
    <row r="150" spans="2:4">
      <c r="B150" s="45" t="s">
        <v>14</v>
      </c>
      <c r="C150" s="46" t="s">
        <v>659</v>
      </c>
      <c r="D150" s="47">
        <v>17.0208333333333</v>
      </c>
    </row>
    <row r="152" spans="2:6">
      <c r="B152" s="48" t="s">
        <v>140</v>
      </c>
      <c r="C152" s="48" t="s">
        <v>698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699</v>
      </c>
    </row>
    <row r="167" spans="2:4">
      <c r="B167" s="44">
        <v>2015</v>
      </c>
      <c r="C167" s="44"/>
      <c r="D167" s="44"/>
    </row>
    <row r="168" spans="2:4">
      <c r="B168" s="45" t="s">
        <v>12</v>
      </c>
      <c r="C168" s="46" t="s">
        <v>647</v>
      </c>
      <c r="D168" s="47">
        <v>4.05360995319449</v>
      </c>
    </row>
    <row r="169" spans="2:4">
      <c r="B169" s="45" t="s">
        <v>14</v>
      </c>
      <c r="C169" s="46" t="s">
        <v>659</v>
      </c>
      <c r="D169" s="47">
        <v>20.9958333333333</v>
      </c>
    </row>
    <row r="171" spans="2:6">
      <c r="B171" s="48" t="s">
        <v>680</v>
      </c>
      <c r="C171" s="48" t="s">
        <v>700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701</v>
      </c>
    </row>
    <row r="186" spans="2:4">
      <c r="B186" s="44">
        <v>2030</v>
      </c>
      <c r="C186" s="44"/>
      <c r="D186" s="44"/>
    </row>
    <row r="187" spans="2:4">
      <c r="B187" s="45" t="s">
        <v>12</v>
      </c>
      <c r="C187" s="46" t="s">
        <v>647</v>
      </c>
      <c r="D187" s="47">
        <v>2.2845665699218</v>
      </c>
    </row>
    <row r="189" spans="2:5">
      <c r="B189" s="48" t="s">
        <v>683</v>
      </c>
      <c r="C189" s="55" t="s">
        <v>702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703</v>
      </c>
    </row>
    <row r="204" spans="2:4">
      <c r="B204" s="44">
        <v>2030</v>
      </c>
      <c r="C204" s="44"/>
      <c r="D204" s="44"/>
    </row>
    <row r="205" spans="2:4">
      <c r="B205" s="45" t="s">
        <v>12</v>
      </c>
      <c r="C205" s="46" t="s">
        <v>647</v>
      </c>
      <c r="D205" s="47">
        <v>1.31635463501922</v>
      </c>
    </row>
    <row r="207" spans="2:5">
      <c r="B207" s="48" t="s">
        <v>27</v>
      </c>
      <c r="C207" s="55" t="s">
        <v>704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705</v>
      </c>
      <c r="C217" s="41"/>
      <c r="D217" s="41"/>
      <c r="E217" s="41"/>
      <c r="F217" s="42"/>
    </row>
    <row r="218" spans="2:2">
      <c r="B218" s="43" t="s">
        <v>706</v>
      </c>
    </row>
    <row r="219" spans="2:4">
      <c r="B219" s="44">
        <v>2015</v>
      </c>
      <c r="C219" s="44"/>
      <c r="D219" s="44"/>
    </row>
    <row r="220" spans="2:4">
      <c r="B220" s="45" t="s">
        <v>12</v>
      </c>
      <c r="C220" s="46" t="s">
        <v>647</v>
      </c>
      <c r="D220" s="47">
        <v>6.49602034731251</v>
      </c>
    </row>
    <row r="221" spans="2:4">
      <c r="B221" s="45" t="s">
        <v>14</v>
      </c>
      <c r="C221" s="46" t="s">
        <v>659</v>
      </c>
      <c r="D221" s="47">
        <v>29.9166666666667</v>
      </c>
    </row>
    <row r="223" spans="2:6">
      <c r="B223" s="48" t="s">
        <v>140</v>
      </c>
      <c r="C223" s="48" t="s">
        <v>707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708</v>
      </c>
    </row>
    <row r="238" spans="2:4">
      <c r="B238" s="44">
        <v>2015</v>
      </c>
      <c r="C238" s="44"/>
      <c r="D238" s="44"/>
    </row>
    <row r="239" spans="2:4">
      <c r="B239" s="45" t="s">
        <v>12</v>
      </c>
      <c r="C239" s="46" t="s">
        <v>647</v>
      </c>
      <c r="D239" s="47">
        <v>6.81861183394774</v>
      </c>
    </row>
    <row r="240" spans="2:4">
      <c r="B240" s="45" t="s">
        <v>14</v>
      </c>
      <c r="C240" s="46" t="s">
        <v>659</v>
      </c>
      <c r="D240" s="47">
        <v>36.1041666666667</v>
      </c>
    </row>
    <row r="242" spans="2:6">
      <c r="B242" s="48" t="s">
        <v>680</v>
      </c>
      <c r="C242" s="48" t="s">
        <v>709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710</v>
      </c>
    </row>
    <row r="257" spans="2:4">
      <c r="B257" s="44">
        <v>2030</v>
      </c>
      <c r="C257" s="44"/>
      <c r="D257" s="44"/>
    </row>
    <row r="258" spans="2:4">
      <c r="B258" s="45" t="s">
        <v>12</v>
      </c>
      <c r="C258" s="46" t="s">
        <v>647</v>
      </c>
      <c r="D258" s="47">
        <v>3.84288888891101</v>
      </c>
    </row>
    <row r="260" spans="2:5">
      <c r="B260" s="48" t="s">
        <v>683</v>
      </c>
      <c r="C260" s="55" t="s">
        <v>711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712</v>
      </c>
    </row>
    <row r="275" spans="2:4">
      <c r="B275" s="44">
        <v>2030</v>
      </c>
      <c r="C275" s="44"/>
      <c r="D275" s="44"/>
    </row>
    <row r="276" spans="2:4">
      <c r="B276" s="45" t="s">
        <v>12</v>
      </c>
      <c r="C276" s="46" t="s">
        <v>647</v>
      </c>
      <c r="D276" s="47">
        <v>2.21425134525847</v>
      </c>
    </row>
    <row r="278" spans="2:5">
      <c r="B278" s="48" t="s">
        <v>27</v>
      </c>
      <c r="C278" s="55" t="s">
        <v>713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714</v>
      </c>
      <c r="C3" s="7" t="s">
        <v>715</v>
      </c>
      <c r="D3" s="7">
        <v>0</v>
      </c>
      <c r="E3" s="7">
        <v>0</v>
      </c>
      <c r="F3" s="7" t="s">
        <v>716</v>
      </c>
      <c r="G3" s="7">
        <v>0</v>
      </c>
      <c r="H3" s="7">
        <v>0</v>
      </c>
    </row>
    <row r="4" spans="2:8">
      <c r="B4" s="8"/>
      <c r="C4" s="9">
        <v>2015</v>
      </c>
      <c r="D4" s="9">
        <v>2030</v>
      </c>
      <c r="E4" s="9" t="s">
        <v>717</v>
      </c>
      <c r="F4" s="9">
        <v>2015</v>
      </c>
      <c r="G4" s="9">
        <v>2030</v>
      </c>
      <c r="H4" s="9" t="s">
        <v>717</v>
      </c>
    </row>
    <row r="5" ht="15.75" customHeight="1" spans="2:8">
      <c r="B5" s="10" t="s">
        <v>718</v>
      </c>
      <c r="C5" s="11">
        <v>114</v>
      </c>
      <c r="D5" s="11">
        <v>102</v>
      </c>
      <c r="E5" s="11">
        <v>91</v>
      </c>
      <c r="F5" s="11">
        <v>0.4</v>
      </c>
      <c r="G5" s="11">
        <v>0.4</v>
      </c>
      <c r="H5" s="11">
        <v>0.4</v>
      </c>
    </row>
    <row r="6" ht="15.75" customHeight="1" spans="2:8">
      <c r="B6" s="12" t="s">
        <v>719</v>
      </c>
      <c r="C6" s="13">
        <v>761</v>
      </c>
      <c r="D6" s="13">
        <v>635</v>
      </c>
      <c r="E6" s="13">
        <v>457</v>
      </c>
      <c r="F6" s="13">
        <v>23</v>
      </c>
      <c r="G6" s="13">
        <v>23</v>
      </c>
      <c r="H6" s="13">
        <v>23</v>
      </c>
    </row>
    <row r="7" ht="15.75" customHeight="1" spans="2:8">
      <c r="B7" s="10" t="s">
        <v>720</v>
      </c>
      <c r="C7" s="11">
        <v>855</v>
      </c>
      <c r="D7" s="11">
        <v>759</v>
      </c>
      <c r="E7" s="11">
        <v>568</v>
      </c>
      <c r="F7" s="11">
        <v>1.6</v>
      </c>
      <c r="G7" s="11">
        <v>1.4</v>
      </c>
      <c r="H7" s="11">
        <v>1.1</v>
      </c>
    </row>
    <row r="8" ht="15.75" customHeight="1" spans="2:8">
      <c r="B8" s="12" t="s">
        <v>721</v>
      </c>
      <c r="C8" s="14">
        <v>2652.5198938992</v>
      </c>
      <c r="D8" s="14">
        <v>2279.22175224045</v>
      </c>
      <c r="E8" s="14">
        <v>2111.76336052451</v>
      </c>
      <c r="F8" s="14">
        <v>106.100795755968</v>
      </c>
      <c r="G8" s="14">
        <v>91.1688700896178</v>
      </c>
      <c r="H8" s="14">
        <v>84.4705344209804</v>
      </c>
    </row>
    <row r="9" ht="15.75" customHeight="1" spans="2:8">
      <c r="B9" s="15" t="s">
        <v>722</v>
      </c>
      <c r="C9" s="16">
        <v>1666.66666666667</v>
      </c>
      <c r="D9" s="16">
        <v>1266.91266912669</v>
      </c>
      <c r="E9" s="16">
        <v>1190.49815498155</v>
      </c>
      <c r="F9" s="16">
        <v>66.6666666666667</v>
      </c>
      <c r="G9" s="16">
        <v>50.6765067650676</v>
      </c>
      <c r="H9" s="16">
        <v>47.619926199262</v>
      </c>
    </row>
    <row r="10" ht="15.75" customHeight="1" spans="2:8">
      <c r="B10" s="17" t="s">
        <v>723</v>
      </c>
      <c r="C10" s="18">
        <v>1055.55555555556</v>
      </c>
      <c r="D10" s="18">
        <v>802.222222222222</v>
      </c>
      <c r="E10" s="18">
        <v>688.222222222222</v>
      </c>
      <c r="F10" s="18">
        <v>42.2222222222222</v>
      </c>
      <c r="G10" s="18">
        <v>32.0888888888889</v>
      </c>
      <c r="H10" s="18">
        <v>27.5288888888889</v>
      </c>
    </row>
    <row r="11" spans="2:8">
      <c r="B11" s="19" t="s">
        <v>724</v>
      </c>
      <c r="C11" s="20">
        <v>285.454545454545</v>
      </c>
      <c r="D11" s="20">
        <v>226.069396266082</v>
      </c>
      <c r="E11" s="20">
        <v>200.125375263235</v>
      </c>
      <c r="F11" s="21">
        <v>4.56727272727273</v>
      </c>
      <c r="G11" s="21">
        <v>3.61711034025732</v>
      </c>
      <c r="H11" s="21">
        <v>3.20200600421175</v>
      </c>
    </row>
    <row r="12" spans="2:8">
      <c r="B12" s="22" t="s">
        <v>725</v>
      </c>
      <c r="C12" s="23">
        <v>900</v>
      </c>
      <c r="D12" s="23">
        <v>680.375387446444</v>
      </c>
      <c r="E12" s="23">
        <v>588.444975252103</v>
      </c>
      <c r="F12" s="24">
        <v>10.8</v>
      </c>
      <c r="G12" s="24">
        <v>8.16450464935733</v>
      </c>
      <c r="H12" s="24">
        <v>7.06133970302523</v>
      </c>
    </row>
    <row r="13" spans="2:8">
      <c r="B13" s="22" t="s">
        <v>726</v>
      </c>
      <c r="C13" s="23">
        <v>600</v>
      </c>
      <c r="D13" s="23">
        <v>425.044594838561</v>
      </c>
      <c r="E13" s="23">
        <v>354.091974213288</v>
      </c>
      <c r="F13" s="24">
        <v>7.2</v>
      </c>
      <c r="G13" s="24">
        <v>5.10053513806273</v>
      </c>
      <c r="H13" s="24">
        <v>4.24910369055946</v>
      </c>
    </row>
    <row r="14" spans="2:8">
      <c r="B14" s="25" t="s">
        <v>727</v>
      </c>
      <c r="C14" s="26">
        <v>657.142857142857</v>
      </c>
      <c r="D14" s="26">
        <v>470.961031831262</v>
      </c>
      <c r="E14" s="26">
        <v>395.092100510703</v>
      </c>
      <c r="F14" s="27">
        <v>7.88571428571429</v>
      </c>
      <c r="G14" s="27">
        <v>5.65153238197515</v>
      </c>
      <c r="H14" s="27">
        <v>4.74110520612843</v>
      </c>
    </row>
    <row r="15" spans="2:8">
      <c r="B15" s="28" t="s">
        <v>728</v>
      </c>
      <c r="C15" s="29">
        <v>89</v>
      </c>
      <c r="D15" s="29">
        <v>89</v>
      </c>
      <c r="E15" s="29">
        <v>89</v>
      </c>
      <c r="F15" s="30">
        <v>3.56</v>
      </c>
      <c r="G15" s="30">
        <v>3.56</v>
      </c>
      <c r="H15" s="30">
        <v>3.56</v>
      </c>
    </row>
    <row r="16" spans="2:8">
      <c r="B16" s="31" t="s">
        <v>729</v>
      </c>
      <c r="C16" s="32">
        <v>197</v>
      </c>
      <c r="D16" s="32">
        <v>197</v>
      </c>
      <c r="E16" s="32">
        <v>197</v>
      </c>
      <c r="F16" s="33">
        <v>7.88</v>
      </c>
      <c r="G16" s="33">
        <v>7.88</v>
      </c>
      <c r="H16" s="33">
        <v>7.88</v>
      </c>
    </row>
    <row r="17" spans="2:8">
      <c r="B17" s="28" t="s">
        <v>730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2026-01-28T19:42:09Z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