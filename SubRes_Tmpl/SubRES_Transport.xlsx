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<sst xmlns="http://schemas.openxmlformats.org/spreadsheetml/2006/main" count="3975" uniqueCount="615">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</sst>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134"/>
    </font>
    <font>
      <sz val="9"/>
      <name val="Times New Roman"/>
      <charset val="0"/>
    </font>
    <font>
      <b/>
      <sz val="9"/>
      <name val="Times New Roman"/>
      <charset val="0"/>
    </font>
    <font>
      <sz val="9"/>
      <name val="Tahoma"/>
      <charset val="134"/>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47" zoomScaleNormal="47" topLeftCell="A9" workbookViewId="0">
      <selection activeCell="F42" sqref="F42"/>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416</v>
      </c>
      <c r="BB214" s="160"/>
      <c r="BC214" s="211" t="s">
        <v>330</v>
      </c>
      <c r="BD214" s="211">
        <v>5</v>
      </c>
      <c r="BE214" s="211">
        <v>5</v>
      </c>
      <c r="BF214" s="211">
        <v>5</v>
      </c>
      <c r="BG214" s="211">
        <v>5</v>
      </c>
      <c r="BH214" s="211">
        <v>5</v>
      </c>
      <c r="BI214" s="211">
        <v>5</v>
      </c>
      <c r="BJ214" s="211">
        <v>5</v>
      </c>
      <c r="BK214" s="159" t="s">
        <v>416</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417</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416</v>
      </c>
      <c r="BB215" s="160"/>
      <c r="BC215" s="211" t="s">
        <v>335</v>
      </c>
      <c r="BD215" s="211">
        <v>5</v>
      </c>
      <c r="BE215" s="211">
        <v>5</v>
      </c>
      <c r="BF215" s="211">
        <v>5</v>
      </c>
      <c r="BG215" s="211">
        <v>5</v>
      </c>
      <c r="BH215" s="211">
        <v>5</v>
      </c>
      <c r="BI215" s="211">
        <v>5</v>
      </c>
      <c r="BJ215" s="211">
        <v>5</v>
      </c>
      <c r="BK215" s="159" t="s">
        <v>416</v>
      </c>
      <c r="BL215" s="159">
        <v>0</v>
      </c>
    </row>
    <row r="216" ht="20" spans="1:64">
      <c r="A216" s="184"/>
      <c r="B216" s="183" t="s">
        <v>330</v>
      </c>
      <c r="C216" s="183">
        <f>S216</f>
        <v>7.11384396954065</v>
      </c>
      <c r="D216" s="185">
        <f>P216</f>
        <v>5.40179852616065</v>
      </c>
      <c r="E216" s="185">
        <f>J216</f>
        <v>8.85540744288872</v>
      </c>
      <c r="I216" s="157" t="s">
        <v>418</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417</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416</v>
      </c>
      <c r="BB216" s="160"/>
      <c r="BC216" s="211" t="s">
        <v>337</v>
      </c>
      <c r="BD216" s="211">
        <v>5</v>
      </c>
      <c r="BE216" s="211">
        <v>5</v>
      </c>
      <c r="BF216" s="211">
        <v>5</v>
      </c>
      <c r="BG216" s="211">
        <v>5</v>
      </c>
      <c r="BH216" s="211">
        <v>5</v>
      </c>
      <c r="BI216" s="211">
        <v>5</v>
      </c>
      <c r="BJ216" s="211">
        <v>5</v>
      </c>
      <c r="BK216" s="159" t="s">
        <v>416</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419</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417</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416</v>
      </c>
      <c r="BB217" s="160"/>
      <c r="BC217" s="211" t="s">
        <v>340</v>
      </c>
      <c r="BD217" s="211">
        <v>5</v>
      </c>
      <c r="BE217" s="211">
        <v>5</v>
      </c>
      <c r="BF217" s="211">
        <v>5</v>
      </c>
      <c r="BG217" s="211">
        <v>5</v>
      </c>
      <c r="BH217" s="211">
        <v>5</v>
      </c>
      <c r="BI217" s="211">
        <v>5</v>
      </c>
      <c r="BJ217" s="211">
        <v>5</v>
      </c>
      <c r="BK217" s="159" t="s">
        <v>416</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417</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416</v>
      </c>
      <c r="BB218" s="160"/>
      <c r="BC218" s="211" t="s">
        <v>343</v>
      </c>
      <c r="BD218" s="211">
        <v>5</v>
      </c>
      <c r="BE218" s="211">
        <v>5</v>
      </c>
      <c r="BF218" s="211">
        <v>5</v>
      </c>
      <c r="BG218" s="211">
        <v>5</v>
      </c>
      <c r="BH218" s="211">
        <v>5</v>
      </c>
      <c r="BI218" s="211">
        <v>5</v>
      </c>
      <c r="BJ218" s="211">
        <v>5</v>
      </c>
      <c r="BK218" s="159" t="s">
        <v>416</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417</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416</v>
      </c>
      <c r="BB219" s="160"/>
      <c r="BC219" s="211" t="s">
        <v>346</v>
      </c>
      <c r="BD219" s="211">
        <v>5</v>
      </c>
      <c r="BE219" s="211">
        <v>5</v>
      </c>
      <c r="BF219" s="211">
        <v>5</v>
      </c>
      <c r="BG219" s="211">
        <v>5</v>
      </c>
      <c r="BH219" s="211">
        <v>5</v>
      </c>
      <c r="BI219" s="211">
        <v>5</v>
      </c>
      <c r="BJ219" s="211">
        <v>5</v>
      </c>
      <c r="BK219" s="159" t="s">
        <v>416</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417</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416</v>
      </c>
      <c r="BB220" s="160"/>
      <c r="BC220" s="211" t="s">
        <v>349</v>
      </c>
      <c r="BD220" s="211">
        <v>5</v>
      </c>
      <c r="BE220" s="211">
        <v>5</v>
      </c>
      <c r="BF220" s="211">
        <v>5</v>
      </c>
      <c r="BG220" s="211">
        <v>5</v>
      </c>
      <c r="BH220" s="211">
        <v>5</v>
      </c>
      <c r="BI220" s="211">
        <v>5</v>
      </c>
      <c r="BJ220" s="211">
        <v>5</v>
      </c>
      <c r="BK220" s="159" t="s">
        <v>416</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417</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416</v>
      </c>
      <c r="BB221" s="160"/>
      <c r="BC221" s="211" t="s">
        <v>352</v>
      </c>
      <c r="BD221" s="211">
        <v>5</v>
      </c>
      <c r="BE221" s="211">
        <v>5</v>
      </c>
      <c r="BF221" s="211">
        <v>5</v>
      </c>
      <c r="BG221" s="211">
        <v>5</v>
      </c>
      <c r="BH221" s="211">
        <v>5</v>
      </c>
      <c r="BI221" s="211">
        <v>5</v>
      </c>
      <c r="BJ221" s="211">
        <v>5</v>
      </c>
      <c r="BK221" s="159" t="s">
        <v>416</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417</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416</v>
      </c>
      <c r="BB222" s="160"/>
      <c r="BC222" s="211" t="s">
        <v>355</v>
      </c>
      <c r="BD222" s="211">
        <v>5</v>
      </c>
      <c r="BE222" s="211">
        <v>5</v>
      </c>
      <c r="BF222" s="211">
        <v>5</v>
      </c>
      <c r="BG222" s="211">
        <v>5</v>
      </c>
      <c r="BH222" s="211">
        <v>5</v>
      </c>
      <c r="BI222" s="211">
        <v>5</v>
      </c>
      <c r="BJ222" s="211">
        <v>5</v>
      </c>
      <c r="BK222" s="159" t="s">
        <v>416</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417</v>
      </c>
      <c r="AD223" s="217">
        <f t="shared" si="65"/>
        <v>6.09218</v>
      </c>
      <c r="AE223" s="207"/>
      <c r="AF223" s="208"/>
      <c r="AG223" s="201"/>
      <c r="AH223" s="148" t="s">
        <v>420</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416</v>
      </c>
      <c r="BB223" s="160"/>
      <c r="BC223" s="211" t="s">
        <v>357</v>
      </c>
      <c r="BD223" s="211">
        <v>5</v>
      </c>
      <c r="BE223" s="211">
        <v>5</v>
      </c>
      <c r="BF223" s="211">
        <v>5</v>
      </c>
      <c r="BG223" s="211">
        <v>5</v>
      </c>
      <c r="BH223" s="211">
        <v>5</v>
      </c>
      <c r="BI223" s="211">
        <v>5</v>
      </c>
      <c r="BJ223" s="211">
        <v>5</v>
      </c>
      <c r="BK223" s="159" t="s">
        <v>416</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417</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416</v>
      </c>
      <c r="BB224" s="160"/>
      <c r="BC224" s="211" t="s">
        <v>359</v>
      </c>
      <c r="BD224" s="211">
        <v>5</v>
      </c>
      <c r="BE224" s="211">
        <v>5</v>
      </c>
      <c r="BF224" s="211">
        <v>5</v>
      </c>
      <c r="BG224" s="211">
        <v>5</v>
      </c>
      <c r="BH224" s="211">
        <v>5</v>
      </c>
      <c r="BI224" s="211">
        <v>5</v>
      </c>
      <c r="BJ224" s="211">
        <v>5</v>
      </c>
      <c r="BK224" s="159" t="s">
        <v>416</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417</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416</v>
      </c>
      <c r="BB225" s="160"/>
      <c r="BC225" s="211" t="s">
        <v>360</v>
      </c>
      <c r="BD225" s="211">
        <v>5</v>
      </c>
      <c r="BE225" s="211">
        <v>5</v>
      </c>
      <c r="BF225" s="211">
        <v>5</v>
      </c>
      <c r="BG225" s="211">
        <v>5</v>
      </c>
      <c r="BH225" s="211">
        <v>5</v>
      </c>
      <c r="BI225" s="211">
        <v>5</v>
      </c>
      <c r="BJ225" s="211">
        <v>5</v>
      </c>
      <c r="BK225" s="159" t="s">
        <v>416</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417</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416</v>
      </c>
      <c r="BB226" s="160"/>
      <c r="BC226" s="211" t="s">
        <v>361</v>
      </c>
      <c r="BD226" s="211">
        <v>5</v>
      </c>
      <c r="BE226" s="211">
        <v>5</v>
      </c>
      <c r="BF226" s="211">
        <v>5</v>
      </c>
      <c r="BG226" s="211">
        <v>5</v>
      </c>
      <c r="BH226" s="211">
        <v>5</v>
      </c>
      <c r="BI226" s="211">
        <v>5</v>
      </c>
      <c r="BJ226" s="211">
        <v>5</v>
      </c>
      <c r="BK226" s="159" t="s">
        <v>416</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417</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416</v>
      </c>
      <c r="BB227" s="160"/>
      <c r="BC227" s="211" t="s">
        <v>362</v>
      </c>
      <c r="BD227" s="211">
        <v>5</v>
      </c>
      <c r="BE227" s="211">
        <v>5</v>
      </c>
      <c r="BF227" s="211">
        <v>5</v>
      </c>
      <c r="BG227" s="211">
        <v>5</v>
      </c>
      <c r="BH227" s="211">
        <v>5</v>
      </c>
      <c r="BI227" s="211">
        <v>5</v>
      </c>
      <c r="BJ227" s="211">
        <v>5</v>
      </c>
      <c r="BK227" s="159" t="s">
        <v>416</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417</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416</v>
      </c>
      <c r="BB228" s="160"/>
      <c r="BC228" s="211" t="s">
        <v>363</v>
      </c>
      <c r="BD228" s="211">
        <v>5</v>
      </c>
      <c r="BE228" s="211">
        <v>5</v>
      </c>
      <c r="BF228" s="211">
        <v>5</v>
      </c>
      <c r="BG228" s="211">
        <v>5</v>
      </c>
      <c r="BH228" s="211">
        <v>5</v>
      </c>
      <c r="BI228" s="211">
        <v>5</v>
      </c>
      <c r="BJ228" s="211">
        <v>5</v>
      </c>
      <c r="BK228" s="159" t="s">
        <v>416</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417</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416</v>
      </c>
      <c r="BB229" s="160"/>
      <c r="BC229" s="211" t="s">
        <v>365</v>
      </c>
      <c r="BD229" s="211">
        <v>5</v>
      </c>
      <c r="BE229" s="211">
        <v>5</v>
      </c>
      <c r="BF229" s="211">
        <v>5</v>
      </c>
      <c r="BG229" s="211">
        <v>5</v>
      </c>
      <c r="BH229" s="211">
        <v>5</v>
      </c>
      <c r="BI229" s="211">
        <v>5</v>
      </c>
      <c r="BJ229" s="211">
        <v>5</v>
      </c>
      <c r="BK229" s="159" t="s">
        <v>416</v>
      </c>
      <c r="BL229" s="159">
        <v>0</v>
      </c>
    </row>
    <row r="230" ht="23" spans="1:64">
      <c r="A230" s="187"/>
      <c r="B230" s="183" t="s">
        <v>363</v>
      </c>
      <c r="C230" s="183">
        <f>U216</f>
        <v>3.56556266273643</v>
      </c>
      <c r="D230" s="185">
        <f>R216</f>
        <v>2.70746042741341</v>
      </c>
      <c r="E230" s="185">
        <f>L216</f>
        <v>4.4384597641857</v>
      </c>
      <c r="I230" s="199" t="s">
        <v>421</v>
      </c>
      <c r="J230" s="171" t="s">
        <v>422</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417</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59" t="s">
        <v>416</v>
      </c>
      <c r="BB230" s="232"/>
      <c r="BC230" s="167" t="s">
        <v>367</v>
      </c>
      <c r="BD230" s="211">
        <v>5</v>
      </c>
      <c r="BE230" s="211">
        <v>5</v>
      </c>
      <c r="BF230" s="211">
        <v>5</v>
      </c>
      <c r="BG230" s="211">
        <v>5</v>
      </c>
      <c r="BH230" s="211">
        <v>5</v>
      </c>
      <c r="BI230" s="211">
        <v>5</v>
      </c>
      <c r="BJ230" s="211">
        <v>5</v>
      </c>
      <c r="BK230" s="159" t="s">
        <v>416</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417</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59" t="s">
        <v>416</v>
      </c>
      <c r="BB231" s="232"/>
      <c r="BC231" s="167" t="s">
        <v>369</v>
      </c>
      <c r="BD231" s="211">
        <v>5</v>
      </c>
      <c r="BE231" s="211">
        <v>5</v>
      </c>
      <c r="BF231" s="211">
        <v>5</v>
      </c>
      <c r="BG231" s="211">
        <v>5</v>
      </c>
      <c r="BH231" s="211">
        <v>5</v>
      </c>
      <c r="BI231" s="211">
        <v>5</v>
      </c>
      <c r="BJ231" s="211">
        <v>5</v>
      </c>
      <c r="BK231" s="159" t="s">
        <v>416</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417</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59" t="s">
        <v>416</v>
      </c>
      <c r="BB232" s="232"/>
      <c r="BC232" s="167" t="s">
        <v>371</v>
      </c>
      <c r="BD232" s="211">
        <v>5</v>
      </c>
      <c r="BE232" s="211">
        <v>5</v>
      </c>
      <c r="BF232" s="211">
        <v>5</v>
      </c>
      <c r="BG232" s="211">
        <v>5</v>
      </c>
      <c r="BH232" s="211">
        <v>5</v>
      </c>
      <c r="BI232" s="211">
        <v>5</v>
      </c>
      <c r="BJ232" s="211">
        <v>5</v>
      </c>
      <c r="BK232" s="159" t="s">
        <v>416</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417</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59" t="s">
        <v>416</v>
      </c>
      <c r="BB233" s="232"/>
      <c r="BC233" s="167" t="s">
        <v>373</v>
      </c>
      <c r="BD233" s="211">
        <v>5</v>
      </c>
      <c r="BE233" s="211">
        <v>5</v>
      </c>
      <c r="BF233" s="211">
        <v>5</v>
      </c>
      <c r="BG233" s="211">
        <v>5</v>
      </c>
      <c r="BH233" s="211">
        <v>5</v>
      </c>
      <c r="BI233" s="211">
        <v>5</v>
      </c>
      <c r="BJ233" s="211">
        <v>5</v>
      </c>
      <c r="BK233" s="159" t="s">
        <v>416</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417</v>
      </c>
      <c r="AD234" s="217">
        <f t="shared" si="65"/>
        <v>4.9113</v>
      </c>
      <c r="AE234" s="207"/>
      <c r="AF234" s="209"/>
      <c r="AG234" s="201"/>
      <c r="AH234" s="148" t="s">
        <v>423</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59" t="s">
        <v>416</v>
      </c>
      <c r="BB234" s="232"/>
      <c r="BC234" s="167" t="s">
        <v>375</v>
      </c>
      <c r="BD234" s="211">
        <v>5</v>
      </c>
      <c r="BE234" s="211">
        <v>5</v>
      </c>
      <c r="BF234" s="211">
        <v>5</v>
      </c>
      <c r="BG234" s="211">
        <v>5</v>
      </c>
      <c r="BH234" s="211">
        <v>5</v>
      </c>
      <c r="BI234" s="211">
        <v>5</v>
      </c>
      <c r="BJ234" s="211">
        <v>5</v>
      </c>
      <c r="BK234" s="159" t="s">
        <v>416</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417</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59" t="s">
        <v>416</v>
      </c>
      <c r="BB235" s="232"/>
      <c r="BC235" s="167" t="s">
        <v>392</v>
      </c>
      <c r="BD235" s="211">
        <v>5</v>
      </c>
      <c r="BE235" s="211">
        <v>5</v>
      </c>
      <c r="BF235" s="211">
        <v>5</v>
      </c>
      <c r="BG235" s="211">
        <v>5</v>
      </c>
      <c r="BH235" s="211">
        <v>5</v>
      </c>
      <c r="BI235" s="211">
        <v>5</v>
      </c>
      <c r="BJ235" s="211">
        <v>5</v>
      </c>
      <c r="BK235" s="159" t="s">
        <v>416</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59" t="s">
        <v>416</v>
      </c>
      <c r="BB236" s="232"/>
      <c r="BC236" s="167" t="s">
        <v>393</v>
      </c>
      <c r="BD236" s="211">
        <v>5</v>
      </c>
      <c r="BE236" s="211">
        <v>5</v>
      </c>
      <c r="BF236" s="211">
        <v>5</v>
      </c>
      <c r="BG236" s="211">
        <v>5</v>
      </c>
      <c r="BH236" s="211">
        <v>5</v>
      </c>
      <c r="BI236" s="211">
        <v>5</v>
      </c>
      <c r="BJ236" s="211">
        <v>5</v>
      </c>
      <c r="BK236" s="159" t="s">
        <v>416</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424</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59" t="s">
        <v>416</v>
      </c>
      <c r="BB237" s="232"/>
      <c r="BC237" s="167" t="s">
        <v>394</v>
      </c>
      <c r="BD237" s="211">
        <v>5</v>
      </c>
      <c r="BE237" s="211">
        <v>5</v>
      </c>
      <c r="BF237" s="211">
        <v>5</v>
      </c>
      <c r="BG237" s="211">
        <v>5</v>
      </c>
      <c r="BH237" s="211">
        <v>5</v>
      </c>
      <c r="BI237" s="211">
        <v>5</v>
      </c>
      <c r="BJ237" s="211">
        <v>5</v>
      </c>
      <c r="BK237" s="159" t="s">
        <v>416</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424</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59" t="s">
        <v>416</v>
      </c>
      <c r="BB238" s="232"/>
      <c r="BC238" s="167" t="s">
        <v>395</v>
      </c>
      <c r="BD238" s="211">
        <v>5</v>
      </c>
      <c r="BE238" s="211">
        <v>5</v>
      </c>
      <c r="BF238" s="211">
        <v>5</v>
      </c>
      <c r="BG238" s="211">
        <v>5</v>
      </c>
      <c r="BH238" s="211">
        <v>5</v>
      </c>
      <c r="BI238" s="211">
        <v>5</v>
      </c>
      <c r="BJ238" s="211">
        <v>5</v>
      </c>
      <c r="BK238" s="159" t="s">
        <v>416</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424</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59" t="s">
        <v>416</v>
      </c>
      <c r="BB239" s="233"/>
      <c r="BC239" s="167" t="s">
        <v>396</v>
      </c>
      <c r="BD239" s="211">
        <v>5</v>
      </c>
      <c r="BE239" s="211">
        <v>5</v>
      </c>
      <c r="BF239" s="211">
        <v>5</v>
      </c>
      <c r="BG239" s="211">
        <v>5</v>
      </c>
      <c r="BH239" s="211">
        <v>5</v>
      </c>
      <c r="BI239" s="211">
        <v>5</v>
      </c>
      <c r="BJ239" s="211">
        <v>5</v>
      </c>
      <c r="BK239" s="159" t="s">
        <v>416</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424</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59" t="s">
        <v>416</v>
      </c>
      <c r="BB240" s="233"/>
      <c r="BC240" s="167" t="s">
        <v>397</v>
      </c>
      <c r="BD240" s="211">
        <v>5</v>
      </c>
      <c r="BE240" s="211">
        <v>5</v>
      </c>
      <c r="BF240" s="211">
        <v>5</v>
      </c>
      <c r="BG240" s="211">
        <v>5</v>
      </c>
      <c r="BH240" s="211">
        <v>5</v>
      </c>
      <c r="BI240" s="211">
        <v>5</v>
      </c>
      <c r="BJ240" s="211">
        <v>5</v>
      </c>
      <c r="BK240" s="159" t="s">
        <v>416</v>
      </c>
      <c r="BL240" s="159">
        <v>0</v>
      </c>
    </row>
    <row r="241" ht="14.5" spans="2:64">
      <c r="B241" s="189"/>
      <c r="C241"/>
      <c r="D241"/>
      <c r="AA241" s="167" t="s">
        <v>396</v>
      </c>
      <c r="AB241" s="167" t="s">
        <v>385</v>
      </c>
      <c r="AC241" s="159" t="s">
        <v>424</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159" t="s">
        <v>416</v>
      </c>
      <c r="BB241" s="233"/>
      <c r="BC241" s="229" t="s">
        <v>398</v>
      </c>
      <c r="BD241" s="234">
        <v>5</v>
      </c>
      <c r="BE241" s="234">
        <v>5</v>
      </c>
      <c r="BF241" s="234">
        <v>5</v>
      </c>
      <c r="BG241" s="234">
        <v>5</v>
      </c>
      <c r="BH241" s="234">
        <v>5</v>
      </c>
      <c r="BI241" s="234">
        <v>5</v>
      </c>
      <c r="BJ241" s="234">
        <v>5</v>
      </c>
      <c r="BK241" s="159" t="s">
        <v>416</v>
      </c>
      <c r="BL241" s="177">
        <v>0</v>
      </c>
    </row>
    <row r="242" ht="14.5" spans="2:64">
      <c r="B242" s="189"/>
      <c r="C242"/>
      <c r="D242"/>
      <c r="AA242" s="167" t="s">
        <v>397</v>
      </c>
      <c r="AB242" s="167" t="s">
        <v>387</v>
      </c>
      <c r="AC242" s="159" t="s">
        <v>424</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424</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425</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426</v>
      </c>
      <c r="W262" s="237">
        <v>1</v>
      </c>
      <c r="Z262" s="122"/>
      <c r="AA262" s="123"/>
      <c r="AB262" s="123"/>
      <c r="AC262" s="123"/>
      <c r="AD262" s="123"/>
      <c r="AE262" s="123"/>
      <c r="AF262" s="190"/>
    </row>
    <row r="263" spans="2:32">
      <c r="B263" s="236" t="s">
        <v>427</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428</v>
      </c>
      <c r="W263" s="237">
        <v>1</v>
      </c>
      <c r="Z263" s="122"/>
      <c r="AA263" s="240"/>
      <c r="AB263" s="123"/>
      <c r="AC263" s="240"/>
      <c r="AD263" s="123"/>
      <c r="AE263" s="123"/>
      <c r="AF263" s="190"/>
    </row>
    <row r="264" spans="2:32">
      <c r="B264" s="236" t="s">
        <v>429</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430</v>
      </c>
      <c r="W264" s="237">
        <v>1</v>
      </c>
      <c r="Z264" s="122"/>
      <c r="AA264" s="240"/>
      <c r="AB264" s="123"/>
      <c r="AC264" s="240"/>
      <c r="AD264" s="123"/>
      <c r="AE264" s="123"/>
      <c r="AF264" s="190"/>
    </row>
    <row r="265" spans="2:32">
      <c r="B265" s="236" t="s">
        <v>431</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432</v>
      </c>
      <c r="W265" s="237">
        <v>1</v>
      </c>
      <c r="Z265" s="122"/>
      <c r="AA265" s="240"/>
      <c r="AB265" s="123"/>
      <c r="AC265" s="240"/>
      <c r="AD265" s="123"/>
      <c r="AE265" s="123"/>
      <c r="AF265" s="190"/>
    </row>
    <row r="266" spans="2:32">
      <c r="B266" s="236" t="s">
        <v>433</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434</v>
      </c>
      <c r="W266" s="237">
        <v>1</v>
      </c>
      <c r="Z266" s="122"/>
      <c r="AA266" s="240"/>
      <c r="AB266" s="123"/>
      <c r="AC266" s="240"/>
      <c r="AD266" s="123"/>
      <c r="AE266" s="123"/>
      <c r="AF266" s="190"/>
    </row>
    <row r="267" spans="2:32">
      <c r="B267" s="236" t="s">
        <v>435</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436</v>
      </c>
      <c r="W267" s="237">
        <v>1</v>
      </c>
      <c r="Z267" s="122"/>
      <c r="AA267" s="240"/>
      <c r="AB267" s="123"/>
      <c r="AC267" s="240"/>
      <c r="AD267" s="123"/>
      <c r="AE267" s="123"/>
      <c r="AF267" s="190"/>
    </row>
    <row r="268" spans="2:32">
      <c r="B268" s="236" t="s">
        <v>437</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438</v>
      </c>
      <c r="W268" s="237">
        <v>1</v>
      </c>
      <c r="Z268" s="122"/>
      <c r="AA268" s="240"/>
      <c r="AB268" s="123"/>
      <c r="AC268" s="240"/>
      <c r="AD268" s="123"/>
      <c r="AE268" s="123"/>
      <c r="AF268" s="190"/>
    </row>
    <row r="269" spans="2:32">
      <c r="B269" s="236" t="s">
        <v>439</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440</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441</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442</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443</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444</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445</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446</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447</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448</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449</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450</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451</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452</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453</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454</v>
      </c>
      <c r="K3" s="110" t="s">
        <v>455</v>
      </c>
    </row>
    <row r="4" ht="21" customHeight="1" spans="2:11">
      <c r="B4" s="100"/>
      <c r="C4" s="101" t="s">
        <v>213</v>
      </c>
      <c r="D4" s="101" t="s">
        <v>219</v>
      </c>
      <c r="E4" s="101" t="s">
        <v>224</v>
      </c>
      <c r="F4" s="101" t="s">
        <v>229</v>
      </c>
      <c r="G4" s="101" t="s">
        <v>456</v>
      </c>
      <c r="H4" s="101" t="s">
        <v>241</v>
      </c>
      <c r="I4" s="101" t="s">
        <v>246</v>
      </c>
      <c r="K4" s="118" t="s">
        <v>457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459</v>
      </c>
      <c r="K15" s="110" t="s">
        <v>455</v>
      </c>
    </row>
    <row r="16" ht="15.5" spans="2:11">
      <c r="B16" s="100"/>
      <c r="C16" s="101" t="s">
        <v>213</v>
      </c>
      <c r="D16" s="101" t="s">
        <v>219</v>
      </c>
      <c r="E16" s="101" t="s">
        <v>224</v>
      </c>
      <c r="F16" s="101" t="s">
        <v>229</v>
      </c>
      <c r="G16" s="101" t="s">
        <v>456</v>
      </c>
      <c r="H16" s="101" t="s">
        <v>241</v>
      </c>
      <c r="I16" s="101" t="s">
        <v>246</v>
      </c>
      <c r="K16" s="110" t="s">
        <v>460</v>
      </c>
    </row>
    <row r="17" spans="2:9">
      <c r="B17" s="103" t="s">
        <v>461</v>
      </c>
      <c r="C17" s="103" t="s">
        <v>462</v>
      </c>
      <c r="D17" s="103" t="s">
        <v>463</v>
      </c>
      <c r="E17" s="103" t="s">
        <v>464</v>
      </c>
      <c r="F17" s="100" t="s">
        <v>464</v>
      </c>
      <c r="G17" s="100"/>
      <c r="H17" s="100"/>
      <c r="I17" s="100"/>
    </row>
    <row r="18" spans="2:9">
      <c r="B18" s="103" t="s">
        <v>465</v>
      </c>
      <c r="C18" s="103" t="s">
        <v>466</v>
      </c>
      <c r="D18" s="103" t="s">
        <v>467</v>
      </c>
      <c r="E18" s="103" t="s">
        <v>468</v>
      </c>
      <c r="F18" s="104" t="s">
        <v>468</v>
      </c>
      <c r="G18" s="105"/>
      <c r="H18" s="105"/>
      <c r="I18" s="119"/>
    </row>
    <row r="24" ht="15.5" spans="2:2">
      <c r="B24" s="99" t="s">
        <v>469</v>
      </c>
    </row>
    <row r="25" ht="15.5" spans="2:9">
      <c r="B25" s="100"/>
      <c r="C25" s="101" t="s">
        <v>213</v>
      </c>
      <c r="D25" s="101" t="s">
        <v>219</v>
      </c>
      <c r="E25" s="101" t="s">
        <v>224</v>
      </c>
      <c r="F25" s="101" t="s">
        <v>229</v>
      </c>
      <c r="G25" s="101" t="s">
        <v>456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471</v>
      </c>
    </row>
    <row r="35" ht="72" customHeight="1" spans="2:13">
      <c r="B35" s="111" t="s">
        <v>472</v>
      </c>
      <c r="C35" s="111"/>
      <c r="D35" s="111"/>
      <c r="E35" s="111"/>
      <c r="F35" s="111"/>
      <c r="G35" s="111"/>
      <c r="H35" s="111"/>
      <c r="I35" s="111"/>
      <c r="J35" s="111"/>
      <c r="K35" s="111"/>
      <c r="M35" s="120"/>
    </row>
    <row r="40" ht="15.5" spans="2:11">
      <c r="B40" s="99" t="s">
        <v>473</v>
      </c>
      <c r="K40" s="110" t="s">
        <v>455</v>
      </c>
    </row>
    <row r="41" ht="84" spans="2:11">
      <c r="B41" s="112"/>
      <c r="C41" s="113"/>
      <c r="D41" s="113"/>
      <c r="E41" s="113"/>
      <c r="F41" s="113"/>
      <c r="G41" s="113"/>
      <c r="H41" s="113"/>
      <c r="I41" s="113"/>
      <c r="K41" s="118" t="s">
        <v>457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474</v>
      </c>
      <c r="C3" s="38"/>
      <c r="D3" s="38"/>
      <c r="E3" s="38"/>
      <c r="F3" s="39"/>
    </row>
    <row r="5" ht="15" customHeight="1" spans="2:2">
      <c r="B5" s="43" t="s">
        <v>475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479</v>
      </c>
      <c r="C45" s="48" t="s">
        <v>480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483</v>
      </c>
      <c r="C80" s="46" t="s">
        <v>26</v>
      </c>
      <c r="D80" s="74">
        <v>0.56</v>
      </c>
    </row>
    <row r="82" ht="15" customHeight="1" spans="2:6">
      <c r="B82" s="48" t="s">
        <v>27</v>
      </c>
      <c r="C82" s="48" t="s">
        <v>484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486</v>
      </c>
      <c r="C3" s="38"/>
      <c r="D3" s="38"/>
      <c r="E3" s="38"/>
      <c r="F3" s="39"/>
    </row>
    <row r="4" spans="11:20">
      <c r="K4" s="65" t="s">
        <v>487</v>
      </c>
      <c r="L4" s="65"/>
      <c r="M4" s="65"/>
      <c r="N4" s="65"/>
      <c r="O4" s="65"/>
      <c r="P4" s="65"/>
      <c r="Q4" s="65"/>
      <c r="R4" s="65"/>
      <c r="S4" s="65"/>
      <c r="T4" s="65"/>
    </row>
    <row r="5" spans="2:20">
      <c r="B5" s="43" t="s">
        <v>488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494</v>
      </c>
      <c r="C65" s="48" t="s">
        <v>495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496</v>
      </c>
      <c r="C80" s="46" t="s">
        <v>26</v>
      </c>
      <c r="D80" s="74">
        <v>1.3</v>
      </c>
    </row>
    <row r="82" spans="2:6">
      <c r="B82" s="48" t="s">
        <v>27</v>
      </c>
      <c r="C82" s="48" t="s">
        <v>497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499</v>
      </c>
      <c r="C112" s="38"/>
      <c r="D112" s="38"/>
      <c r="E112" s="38"/>
      <c r="F112" s="39"/>
    </row>
    <row r="114" spans="2:2">
      <c r="B114" s="43" t="s">
        <v>500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507</v>
      </c>
      <c r="C186" s="46" t="s">
        <v>26</v>
      </c>
      <c r="D186" s="74">
        <v>1.65</v>
      </c>
    </row>
    <row r="188" spans="2:6">
      <c r="B188" s="48" t="s">
        <v>27</v>
      </c>
      <c r="C188" s="48" t="s">
        <v>508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511</v>
      </c>
    </row>
    <row r="227" spans="2:2">
      <c r="B227" t="s">
        <v>512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513</v>
      </c>
      <c r="K5" s="65" t="s">
        <v>514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515</v>
      </c>
      <c r="D7" s="68">
        <v>3736.18882346745</v>
      </c>
      <c r="K7" s="65"/>
      <c r="L7" s="65"/>
      <c r="M7" s="65"/>
      <c r="N7" s="65"/>
      <c r="O7" s="65"/>
      <c r="P7" s="65"/>
      <c r="Q7" s="65"/>
      <c r="R7" s="65"/>
      <c r="S7" s="65"/>
      <c r="T7" s="65"/>
    </row>
    <row r="8" spans="2:20">
      <c r="B8" s="45" t="s">
        <v>14</v>
      </c>
      <c r="C8" s="46" t="s">
        <v>516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515</v>
      </c>
      <c r="D40" s="68">
        <v>2146.17368873603</v>
      </c>
    </row>
    <row r="41" ht="15" customHeight="1"/>
    <row r="42" spans="2:5">
      <c r="B42" s="48" t="s">
        <v>519</v>
      </c>
      <c r="C42" s="55" t="s">
        <v>520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521</v>
      </c>
      <c r="C53" s="55" t="s">
        <v>522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523</v>
      </c>
    </row>
    <row r="6" ht="15" customHeight="1" spans="2:4">
      <c r="B6" s="44">
        <v>2015</v>
      </c>
      <c r="C6" s="44"/>
      <c r="D6" s="44"/>
    </row>
    <row r="7" spans="2:10">
      <c r="B7" s="45" t="s">
        <v>12</v>
      </c>
      <c r="C7" s="46" t="s">
        <v>524</v>
      </c>
      <c r="D7" s="68">
        <v>11.1115917749527</v>
      </c>
      <c r="J7" s="77"/>
    </row>
    <row r="8" spans="2:10">
      <c r="B8" s="45" t="s">
        <v>14</v>
      </c>
      <c r="C8" s="46" t="s">
        <v>516</v>
      </c>
      <c r="D8" s="68">
        <v>8.51985777210084</v>
      </c>
      <c r="J8" s="77"/>
    </row>
    <row r="10" spans="2:6">
      <c r="B10" s="48" t="s">
        <v>140</v>
      </c>
      <c r="C10" s="48" t="s">
        <v>525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526</v>
      </c>
    </row>
    <row r="26" spans="2:4">
      <c r="B26" s="44">
        <v>2015</v>
      </c>
      <c r="C26" s="44"/>
      <c r="D26" s="44"/>
    </row>
    <row r="27" spans="2:10">
      <c r="B27" s="45" t="s">
        <v>12</v>
      </c>
      <c r="C27" s="46" t="s">
        <v>524</v>
      </c>
      <c r="D27" s="68">
        <v>6.93017681650736</v>
      </c>
      <c r="J27" s="77"/>
    </row>
    <row r="28" spans="2:10">
      <c r="B28" s="45" t="s">
        <v>14</v>
      </c>
      <c r="C28" s="46" t="s">
        <v>516</v>
      </c>
      <c r="D28" s="68">
        <v>11.6296058589177</v>
      </c>
      <c r="J28" s="77"/>
    </row>
    <row r="29" ht="15" customHeight="1"/>
    <row r="30" spans="2:6">
      <c r="B30" s="48" t="s">
        <v>140</v>
      </c>
      <c r="C30" s="48" t="s">
        <v>527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528</v>
      </c>
    </row>
    <row r="46" spans="2:4">
      <c r="B46" s="44">
        <v>2015</v>
      </c>
      <c r="C46" s="44"/>
      <c r="D46" s="44"/>
    </row>
    <row r="47" spans="2:10">
      <c r="B47" s="45" t="s">
        <v>12</v>
      </c>
      <c r="C47" s="46" t="s">
        <v>524</v>
      </c>
      <c r="D47" s="68">
        <v>2.00511882895014</v>
      </c>
      <c r="J47" s="77"/>
    </row>
    <row r="48" spans="2:10">
      <c r="B48" s="45" t="s">
        <v>14</v>
      </c>
      <c r="C48" s="46" t="s">
        <v>516</v>
      </c>
      <c r="D48" s="68">
        <v>27.1827732017803</v>
      </c>
      <c r="J48" s="77"/>
    </row>
    <row r="49" ht="15" customHeight="1"/>
    <row r="50" spans="2:6">
      <c r="B50" s="48" t="s">
        <v>140</v>
      </c>
      <c r="C50" s="48" t="s">
        <v>529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530</v>
      </c>
    </row>
    <row r="66" spans="2:4">
      <c r="B66" s="44">
        <v>2015</v>
      </c>
      <c r="C66" s="44"/>
      <c r="D66" s="44"/>
    </row>
    <row r="67" spans="2:10">
      <c r="B67" s="45" t="s">
        <v>12</v>
      </c>
      <c r="C67" s="46" t="s">
        <v>531</v>
      </c>
      <c r="D67" s="68">
        <v>21.7610759732877</v>
      </c>
      <c r="J67" s="77"/>
    </row>
    <row r="68" ht="15" customHeight="1" spans="2:10">
      <c r="B68" s="45" t="s">
        <v>14</v>
      </c>
      <c r="C68" s="46" t="s">
        <v>516</v>
      </c>
      <c r="D68" s="68">
        <v>8.8007828121539</v>
      </c>
      <c r="J68" s="77"/>
    </row>
    <row r="70" spans="2:6">
      <c r="B70" s="48" t="s">
        <v>140</v>
      </c>
      <c r="C70" s="48" t="s">
        <v>532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533</v>
      </c>
    </row>
    <row r="86" spans="2:4">
      <c r="B86" s="44">
        <v>2015</v>
      </c>
      <c r="C86" s="44"/>
      <c r="D86" s="44"/>
    </row>
    <row r="87" spans="2:10">
      <c r="B87" s="45" t="s">
        <v>12</v>
      </c>
      <c r="C87" s="46" t="s">
        <v>531</v>
      </c>
      <c r="D87" s="68">
        <v>6.89988772048606</v>
      </c>
      <c r="J87" s="77"/>
    </row>
    <row r="88" spans="2:10">
      <c r="B88" s="45" t="s">
        <v>14</v>
      </c>
      <c r="C88" s="46" t="s">
        <v>516</v>
      </c>
      <c r="D88" s="68">
        <v>11.5840303764976</v>
      </c>
      <c r="J88" s="77"/>
    </row>
    <row r="90" spans="2:6">
      <c r="B90" s="48" t="s">
        <v>140</v>
      </c>
      <c r="C90" s="48" t="s">
        <v>534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535</v>
      </c>
    </row>
    <row r="105" spans="2:6">
      <c r="B105" s="48" t="s">
        <v>536</v>
      </c>
      <c r="C105" s="48" t="s">
        <v>537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538</v>
      </c>
    </row>
    <row r="120" spans="2:6">
      <c r="B120" s="48" t="s">
        <v>539</v>
      </c>
      <c r="C120" s="48" t="s">
        <v>540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541</v>
      </c>
      <c r="C3" s="38"/>
      <c r="D3" s="38"/>
      <c r="E3" s="38"/>
      <c r="F3" s="39"/>
    </row>
    <row r="4" ht="15" customHeight="1"/>
    <row r="5" ht="15" customHeight="1" spans="2:2">
      <c r="B5" s="43" t="s">
        <v>542</v>
      </c>
    </row>
    <row r="6" spans="2:4">
      <c r="B6" s="44">
        <v>2015</v>
      </c>
      <c r="C6" s="44"/>
      <c r="D6" s="44"/>
    </row>
    <row r="7" spans="2:4">
      <c r="B7" s="45" t="s">
        <v>12</v>
      </c>
      <c r="C7" s="46" t="s">
        <v>524</v>
      </c>
      <c r="D7" s="68">
        <v>29.6118330510177</v>
      </c>
    </row>
    <row r="8" spans="2:4">
      <c r="B8" s="45" t="s">
        <v>14</v>
      </c>
      <c r="C8" s="46" t="s">
        <v>543</v>
      </c>
      <c r="D8" s="47">
        <v>6.45525065406382</v>
      </c>
    </row>
    <row r="10" spans="2:6">
      <c r="B10" s="48" t="s">
        <v>140</v>
      </c>
      <c r="C10" s="48" t="s">
        <v>544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545</v>
      </c>
    </row>
    <row r="25" spans="2:4">
      <c r="B25" s="44">
        <v>2015</v>
      </c>
      <c r="C25" s="44"/>
      <c r="D25" s="44"/>
    </row>
    <row r="26" spans="2:4">
      <c r="B26" s="45" t="s">
        <v>12</v>
      </c>
      <c r="C26" s="46" t="s">
        <v>524</v>
      </c>
      <c r="D26" s="68">
        <v>31.0823526515104</v>
      </c>
    </row>
    <row r="27" spans="2:4">
      <c r="B27" s="45" t="s">
        <v>14</v>
      </c>
      <c r="C27" s="46" t="s">
        <v>543</v>
      </c>
      <c r="D27" s="47">
        <v>7.51561465406382</v>
      </c>
    </row>
    <row r="29" spans="2:6">
      <c r="B29" s="48" t="s">
        <v>140</v>
      </c>
      <c r="C29" s="48" t="s">
        <v>546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547</v>
      </c>
      <c r="C44" s="46" t="s">
        <v>524</v>
      </c>
      <c r="D44" s="47">
        <v>11.0548632360586</v>
      </c>
    </row>
    <row r="46" spans="2:5">
      <c r="B46" s="48" t="s">
        <v>27</v>
      </c>
      <c r="C46" s="55" t="s">
        <v>548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539</v>
      </c>
      <c r="C56" s="55" t="s">
        <v>549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550</v>
      </c>
      <c r="C69" s="38"/>
      <c r="D69" s="38"/>
      <c r="E69" s="38"/>
      <c r="F69" s="39"/>
    </row>
    <row r="71" spans="2:2">
      <c r="B71" s="43" t="s">
        <v>551</v>
      </c>
    </row>
    <row r="72" spans="2:4">
      <c r="B72" s="44">
        <v>2015</v>
      </c>
      <c r="C72" s="44"/>
      <c r="D72" s="44"/>
    </row>
    <row r="73" spans="2:4">
      <c r="B73" s="45" t="s">
        <v>12</v>
      </c>
      <c r="C73" s="46" t="s">
        <v>531</v>
      </c>
      <c r="D73" s="47">
        <v>10.6749229595463</v>
      </c>
    </row>
    <row r="74" spans="2:4">
      <c r="B74" s="45" t="s">
        <v>14</v>
      </c>
      <c r="C74" s="46" t="s">
        <v>543</v>
      </c>
      <c r="D74" s="68">
        <v>7.015484</v>
      </c>
    </row>
    <row r="76" ht="15" customHeight="1" spans="2:6">
      <c r="B76" s="71" t="s">
        <v>140</v>
      </c>
      <c r="C76" s="55" t="s">
        <v>552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553</v>
      </c>
    </row>
    <row r="91" spans="2:4">
      <c r="B91" s="44">
        <v>2015</v>
      </c>
      <c r="C91" s="44"/>
      <c r="D91" s="44"/>
    </row>
    <row r="92" spans="2:4">
      <c r="B92" s="45" t="s">
        <v>12</v>
      </c>
      <c r="C92" s="46" t="s">
        <v>531</v>
      </c>
      <c r="D92" s="47">
        <v>11.2050381813469</v>
      </c>
    </row>
    <row r="93" spans="2:4">
      <c r="B93" s="45" t="s">
        <v>14</v>
      </c>
      <c r="C93" s="46" t="s">
        <v>543</v>
      </c>
      <c r="D93" s="68">
        <v>10.553001</v>
      </c>
    </row>
    <row r="94" ht="15" customHeight="1"/>
    <row r="95" spans="2:6">
      <c r="B95" s="71" t="s">
        <v>140</v>
      </c>
      <c r="C95" s="55" t="s">
        <v>554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555</v>
      </c>
      <c r="C110" s="46" t="s">
        <v>531</v>
      </c>
      <c r="D110" s="74">
        <v>3.63868357239443</v>
      </c>
    </row>
    <row r="112" spans="2:5">
      <c r="B112" s="48" t="s">
        <v>27</v>
      </c>
      <c r="C112" s="55" t="s">
        <v>556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536</v>
      </c>
      <c r="C122" s="55" t="s">
        <v>557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558</v>
      </c>
      <c r="C3" s="38"/>
      <c r="D3" s="38"/>
      <c r="E3" s="38"/>
      <c r="F3" s="39"/>
    </row>
    <row r="4" spans="2:20">
      <c r="B4" s="40" t="s">
        <v>559</v>
      </c>
      <c r="C4" s="41"/>
      <c r="D4" s="41"/>
      <c r="E4" s="41"/>
      <c r="F4" s="42"/>
      <c r="K4" s="65" t="s">
        <v>560</v>
      </c>
      <c r="L4" s="65"/>
      <c r="M4" s="65"/>
      <c r="N4" s="65"/>
      <c r="O4" s="65"/>
      <c r="P4" s="65"/>
      <c r="Q4" s="65"/>
      <c r="R4" s="65"/>
      <c r="S4" s="65"/>
      <c r="T4" s="65"/>
    </row>
    <row r="5" spans="2:20">
      <c r="B5" s="43" t="s">
        <v>561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531</v>
      </c>
      <c r="D7" s="47">
        <v>8.98575339925204</v>
      </c>
      <c r="K7" s="65"/>
      <c r="L7" s="65"/>
      <c r="M7" s="65"/>
      <c r="N7" s="65"/>
      <c r="O7" s="65"/>
      <c r="P7" s="65"/>
      <c r="Q7" s="65"/>
      <c r="R7" s="65"/>
      <c r="S7" s="65"/>
      <c r="T7" s="65"/>
    </row>
    <row r="8" spans="2:20">
      <c r="B8" s="45" t="s">
        <v>14</v>
      </c>
      <c r="C8" s="46" t="s">
        <v>543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563</v>
      </c>
    </row>
    <row r="25" spans="2:4">
      <c r="B25" s="44">
        <v>2015</v>
      </c>
      <c r="C25" s="44"/>
      <c r="D25" s="44"/>
    </row>
    <row r="26" spans="2:4">
      <c r="B26" s="45" t="s">
        <v>12</v>
      </c>
      <c r="C26" s="46" t="s">
        <v>531</v>
      </c>
      <c r="D26" s="47">
        <v>9.4319846905074</v>
      </c>
    </row>
    <row r="27" spans="2:4">
      <c r="B27" s="45" t="s">
        <v>14</v>
      </c>
      <c r="C27" s="46" t="s">
        <v>543</v>
      </c>
      <c r="D27" s="47">
        <v>24.00125</v>
      </c>
    </row>
    <row r="29" ht="15" customHeight="1" spans="2:6">
      <c r="B29" s="48" t="s">
        <v>564</v>
      </c>
      <c r="C29" s="48" t="s">
        <v>565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566</v>
      </c>
      <c r="E43" s="54"/>
      <c r="F43" s="54"/>
    </row>
    <row r="44" spans="2:4">
      <c r="B44" s="44">
        <v>2030</v>
      </c>
      <c r="C44" s="44"/>
      <c r="D44" s="44"/>
    </row>
    <row r="45" spans="2:4">
      <c r="B45" s="45" t="s">
        <v>12</v>
      </c>
      <c r="C45" s="46" t="s">
        <v>531</v>
      </c>
      <c r="D45" s="47">
        <v>5.4752275318979</v>
      </c>
    </row>
    <row r="47" ht="15" customHeight="1" spans="2:5">
      <c r="B47" s="48" t="s">
        <v>567</v>
      </c>
      <c r="C47" s="55" t="s">
        <v>568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569</v>
      </c>
    </row>
    <row r="62" spans="2:4">
      <c r="B62" s="44">
        <v>2030</v>
      </c>
      <c r="C62" s="44"/>
      <c r="D62" s="44"/>
    </row>
    <row r="63" spans="2:4">
      <c r="B63" s="45" t="s">
        <v>12</v>
      </c>
      <c r="C63" s="46" t="s">
        <v>531</v>
      </c>
      <c r="D63" s="47">
        <v>3.06290859459612</v>
      </c>
    </row>
    <row r="65" spans="2:5">
      <c r="B65" s="48" t="s">
        <v>27</v>
      </c>
      <c r="C65" s="55" t="s">
        <v>570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571</v>
      </c>
      <c r="C75" s="41"/>
      <c r="D75" s="41"/>
      <c r="E75" s="41"/>
      <c r="F75" s="42"/>
    </row>
    <row r="76" spans="2:2">
      <c r="B76" s="43" t="s">
        <v>572</v>
      </c>
    </row>
    <row r="77" spans="2:4">
      <c r="B77" s="44">
        <v>2015</v>
      </c>
      <c r="C77" s="44"/>
      <c r="D77" s="44"/>
    </row>
    <row r="78" spans="2:4">
      <c r="B78" s="45" t="s">
        <v>12</v>
      </c>
      <c r="C78" s="46" t="s">
        <v>531</v>
      </c>
      <c r="D78" s="47">
        <v>4.05687418177868</v>
      </c>
    </row>
    <row r="79" spans="2:4">
      <c r="B79" s="45" t="s">
        <v>14</v>
      </c>
      <c r="C79" s="46" t="s">
        <v>543</v>
      </c>
      <c r="D79" s="47">
        <v>25.175</v>
      </c>
    </row>
    <row r="81" spans="2:6">
      <c r="B81" s="48" t="s">
        <v>140</v>
      </c>
      <c r="C81" s="48" t="s">
        <v>573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574</v>
      </c>
    </row>
    <row r="96" spans="2:4">
      <c r="B96" s="44">
        <v>2015</v>
      </c>
      <c r="C96" s="44"/>
      <c r="D96" s="44"/>
    </row>
    <row r="97" spans="2:4">
      <c r="B97" s="45" t="s">
        <v>12</v>
      </c>
      <c r="C97" s="46" t="s">
        <v>531</v>
      </c>
      <c r="D97" s="47">
        <v>4.25833800169013</v>
      </c>
    </row>
    <row r="98" spans="2:4">
      <c r="B98" s="45" t="s">
        <v>14</v>
      </c>
      <c r="C98" s="46" t="s">
        <v>543</v>
      </c>
      <c r="D98" s="47">
        <v>32.05</v>
      </c>
    </row>
    <row r="100" spans="2:6">
      <c r="B100" s="48" t="s">
        <v>564</v>
      </c>
      <c r="C100" s="48" t="s">
        <v>575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576</v>
      </c>
      <c r="E114" s="54"/>
      <c r="F114" s="54"/>
    </row>
    <row r="115" spans="2:4">
      <c r="B115" s="44">
        <v>2030</v>
      </c>
      <c r="C115" s="44"/>
      <c r="D115" s="44"/>
    </row>
    <row r="116" spans="2:4">
      <c r="B116" s="45" t="s">
        <v>12</v>
      </c>
      <c r="C116" s="46" t="s">
        <v>531</v>
      </c>
      <c r="D116" s="47">
        <v>2.51994631751468</v>
      </c>
    </row>
    <row r="117" ht="15" customHeight="1"/>
    <row r="118" spans="2:5">
      <c r="B118" s="48" t="s">
        <v>567</v>
      </c>
      <c r="C118" s="55" t="s">
        <v>577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578</v>
      </c>
    </row>
    <row r="133" spans="2:4">
      <c r="B133" s="44">
        <v>2030</v>
      </c>
      <c r="C133" s="44"/>
      <c r="D133" s="44"/>
    </row>
    <row r="134" spans="2:4">
      <c r="B134" s="45" t="s">
        <v>12</v>
      </c>
      <c r="C134" s="46" t="s">
        <v>531</v>
      </c>
      <c r="D134" s="47">
        <v>1.38283728102302</v>
      </c>
    </row>
    <row r="136" spans="2:5">
      <c r="B136" s="48" t="s">
        <v>27</v>
      </c>
      <c r="C136" s="55" t="s">
        <v>579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580</v>
      </c>
      <c r="C146" s="41"/>
      <c r="D146" s="41"/>
      <c r="E146" s="41"/>
      <c r="F146" s="42"/>
    </row>
    <row r="147" spans="2:2">
      <c r="B147" s="43" t="s">
        <v>581</v>
      </c>
    </row>
    <row r="148" spans="2:4">
      <c r="B148" s="44">
        <v>2015</v>
      </c>
      <c r="C148" s="44"/>
      <c r="D148" s="44"/>
    </row>
    <row r="149" spans="2:4">
      <c r="B149" s="45" t="s">
        <v>12</v>
      </c>
      <c r="C149" s="46" t="s">
        <v>531</v>
      </c>
      <c r="D149" s="47">
        <v>3.86183190615419</v>
      </c>
    </row>
    <row r="150" spans="2:4">
      <c r="B150" s="45" t="s">
        <v>14</v>
      </c>
      <c r="C150" s="46" t="s">
        <v>543</v>
      </c>
      <c r="D150" s="47">
        <v>17.0208333333333</v>
      </c>
    </row>
    <row r="152" spans="2:6">
      <c r="B152" s="48" t="s">
        <v>140</v>
      </c>
      <c r="C152" s="48" t="s">
        <v>582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583</v>
      </c>
    </row>
    <row r="167" spans="2:4">
      <c r="B167" s="44">
        <v>2015</v>
      </c>
      <c r="C167" s="44"/>
      <c r="D167" s="44"/>
    </row>
    <row r="168" spans="2:4">
      <c r="B168" s="45" t="s">
        <v>12</v>
      </c>
      <c r="C168" s="46" t="s">
        <v>531</v>
      </c>
      <c r="D168" s="47">
        <v>4.05360995319449</v>
      </c>
    </row>
    <row r="169" spans="2:4">
      <c r="B169" s="45" t="s">
        <v>14</v>
      </c>
      <c r="C169" s="46" t="s">
        <v>543</v>
      </c>
      <c r="D169" s="47">
        <v>20.9958333333333</v>
      </c>
    </row>
    <row r="171" spans="2:6">
      <c r="B171" s="48" t="s">
        <v>564</v>
      </c>
      <c r="C171" s="48" t="s">
        <v>584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585</v>
      </c>
    </row>
    <row r="186" spans="2:4">
      <c r="B186" s="44">
        <v>2030</v>
      </c>
      <c r="C186" s="44"/>
      <c r="D186" s="44"/>
    </row>
    <row r="187" spans="2:4">
      <c r="B187" s="45" t="s">
        <v>12</v>
      </c>
      <c r="C187" s="46" t="s">
        <v>531</v>
      </c>
      <c r="D187" s="47">
        <v>2.2845665699218</v>
      </c>
    </row>
    <row r="189" spans="2:5">
      <c r="B189" s="48" t="s">
        <v>567</v>
      </c>
      <c r="C189" s="55" t="s">
        <v>586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587</v>
      </c>
    </row>
    <row r="204" spans="2:4">
      <c r="B204" s="44">
        <v>2030</v>
      </c>
      <c r="C204" s="44"/>
      <c r="D204" s="44"/>
    </row>
    <row r="205" spans="2:4">
      <c r="B205" s="45" t="s">
        <v>12</v>
      </c>
      <c r="C205" s="46" t="s">
        <v>531</v>
      </c>
      <c r="D205" s="47">
        <v>1.31635463501922</v>
      </c>
    </row>
    <row r="207" spans="2:5">
      <c r="B207" s="48" t="s">
        <v>27</v>
      </c>
      <c r="C207" s="55" t="s">
        <v>588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589</v>
      </c>
      <c r="C217" s="41"/>
      <c r="D217" s="41"/>
      <c r="E217" s="41"/>
      <c r="F217" s="42"/>
    </row>
    <row r="218" spans="2:2">
      <c r="B218" s="43" t="s">
        <v>590</v>
      </c>
    </row>
    <row r="219" spans="2:4">
      <c r="B219" s="44">
        <v>2015</v>
      </c>
      <c r="C219" s="44"/>
      <c r="D219" s="44"/>
    </row>
    <row r="220" spans="2:4">
      <c r="B220" s="45" t="s">
        <v>12</v>
      </c>
      <c r="C220" s="46" t="s">
        <v>531</v>
      </c>
      <c r="D220" s="47">
        <v>6.49602034731251</v>
      </c>
    </row>
    <row r="221" spans="2:4">
      <c r="B221" s="45" t="s">
        <v>14</v>
      </c>
      <c r="C221" s="46" t="s">
        <v>543</v>
      </c>
      <c r="D221" s="47">
        <v>29.9166666666667</v>
      </c>
    </row>
    <row r="223" spans="2:6">
      <c r="B223" s="48" t="s">
        <v>140</v>
      </c>
      <c r="C223" s="48" t="s">
        <v>591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592</v>
      </c>
    </row>
    <row r="238" spans="2:4">
      <c r="B238" s="44">
        <v>2015</v>
      </c>
      <c r="C238" s="44"/>
      <c r="D238" s="44"/>
    </row>
    <row r="239" spans="2:4">
      <c r="B239" s="45" t="s">
        <v>12</v>
      </c>
      <c r="C239" s="46" t="s">
        <v>531</v>
      </c>
      <c r="D239" s="47">
        <v>6.81861183394774</v>
      </c>
    </row>
    <row r="240" spans="2:4">
      <c r="B240" s="45" t="s">
        <v>14</v>
      </c>
      <c r="C240" s="46" t="s">
        <v>543</v>
      </c>
      <c r="D240" s="47">
        <v>36.1041666666667</v>
      </c>
    </row>
    <row r="242" spans="2:6">
      <c r="B242" s="48" t="s">
        <v>564</v>
      </c>
      <c r="C242" s="48" t="s">
        <v>593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594</v>
      </c>
    </row>
    <row r="257" spans="2:4">
      <c r="B257" s="44">
        <v>2030</v>
      </c>
      <c r="C257" s="44"/>
      <c r="D257" s="44"/>
    </row>
    <row r="258" spans="2:4">
      <c r="B258" s="45" t="s">
        <v>12</v>
      </c>
      <c r="C258" s="46" t="s">
        <v>531</v>
      </c>
      <c r="D258" s="47">
        <v>3.84288888891101</v>
      </c>
    </row>
    <row r="260" spans="2:5">
      <c r="B260" s="48" t="s">
        <v>567</v>
      </c>
      <c r="C260" s="55" t="s">
        <v>595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596</v>
      </c>
    </row>
    <row r="275" spans="2:4">
      <c r="B275" s="44">
        <v>2030</v>
      </c>
      <c r="C275" s="44"/>
      <c r="D275" s="44"/>
    </row>
    <row r="276" spans="2:4">
      <c r="B276" s="45" t="s">
        <v>12</v>
      </c>
      <c r="C276" s="46" t="s">
        <v>531</v>
      </c>
      <c r="D276" s="47">
        <v>2.21425134525847</v>
      </c>
    </row>
    <row r="278" spans="2:5">
      <c r="B278" s="48" t="s">
        <v>27</v>
      </c>
      <c r="C278" s="55" t="s">
        <v>597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598</v>
      </c>
      <c r="C3" s="7" t="s">
        <v>599</v>
      </c>
      <c r="D3" s="7">
        <v>0</v>
      </c>
      <c r="E3" s="7">
        <v>0</v>
      </c>
      <c r="F3" s="7" t="s">
        <v>600</v>
      </c>
      <c r="G3" s="7">
        <v>0</v>
      </c>
      <c r="H3" s="7">
        <v>0</v>
      </c>
    </row>
    <row r="4" spans="2:8">
      <c r="B4" s="8"/>
      <c r="C4" s="9">
        <v>2015</v>
      </c>
      <c r="D4" s="9">
        <v>2030</v>
      </c>
      <c r="E4" s="9" t="s">
        <v>601</v>
      </c>
      <c r="F4" s="9">
        <v>2015</v>
      </c>
      <c r="G4" s="9">
        <v>2030</v>
      </c>
      <c r="H4" s="9" t="s">
        <v>601</v>
      </c>
    </row>
    <row r="5" ht="15.75" customHeight="1" spans="2:8">
      <c r="B5" s="10" t="s">
        <v>602</v>
      </c>
      <c r="C5" s="11">
        <v>114</v>
      </c>
      <c r="D5" s="11">
        <v>102</v>
      </c>
      <c r="E5" s="11">
        <v>91</v>
      </c>
      <c r="F5" s="11">
        <v>0.4</v>
      </c>
      <c r="G5" s="11">
        <v>0.4</v>
      </c>
      <c r="H5" s="11">
        <v>0.4</v>
      </c>
    </row>
    <row r="6" ht="15.75" customHeight="1" spans="2:8">
      <c r="B6" s="12" t="s">
        <v>603</v>
      </c>
      <c r="C6" s="13">
        <v>761</v>
      </c>
      <c r="D6" s="13">
        <v>635</v>
      </c>
      <c r="E6" s="13">
        <v>457</v>
      </c>
      <c r="F6" s="13">
        <v>23</v>
      </c>
      <c r="G6" s="13">
        <v>23</v>
      </c>
      <c r="H6" s="13">
        <v>23</v>
      </c>
    </row>
    <row r="7" ht="15.75" customHeight="1" spans="2:8">
      <c r="B7" s="10" t="s">
        <v>604</v>
      </c>
      <c r="C7" s="11">
        <v>855</v>
      </c>
      <c r="D7" s="11">
        <v>759</v>
      </c>
      <c r="E7" s="11">
        <v>568</v>
      </c>
      <c r="F7" s="11">
        <v>1.6</v>
      </c>
      <c r="G7" s="11">
        <v>1.4</v>
      </c>
      <c r="H7" s="11">
        <v>1.1</v>
      </c>
    </row>
    <row r="8" ht="15.75" customHeight="1" spans="2:8">
      <c r="B8" s="12" t="s">
        <v>605</v>
      </c>
      <c r="C8" s="14">
        <v>2652.5198938992</v>
      </c>
      <c r="D8" s="14">
        <v>2279.22175224045</v>
      </c>
      <c r="E8" s="14">
        <v>2111.76336052451</v>
      </c>
      <c r="F8" s="14">
        <v>106.100795755968</v>
      </c>
      <c r="G8" s="14">
        <v>91.1688700896178</v>
      </c>
      <c r="H8" s="14">
        <v>84.4705344209804</v>
      </c>
    </row>
    <row r="9" ht="15.75" customHeight="1" spans="2:8">
      <c r="B9" s="15" t="s">
        <v>606</v>
      </c>
      <c r="C9" s="16">
        <v>1666.66666666667</v>
      </c>
      <c r="D9" s="16">
        <v>1266.91266912669</v>
      </c>
      <c r="E9" s="16">
        <v>1190.49815498155</v>
      </c>
      <c r="F9" s="16">
        <v>66.6666666666667</v>
      </c>
      <c r="G9" s="16">
        <v>50.6765067650676</v>
      </c>
      <c r="H9" s="16">
        <v>47.619926199262</v>
      </c>
    </row>
    <row r="10" ht="15.75" customHeight="1" spans="2:8">
      <c r="B10" s="17" t="s">
        <v>607</v>
      </c>
      <c r="C10" s="18">
        <v>1055.55555555556</v>
      </c>
      <c r="D10" s="18">
        <v>802.222222222222</v>
      </c>
      <c r="E10" s="18">
        <v>688.222222222222</v>
      </c>
      <c r="F10" s="18">
        <v>42.2222222222222</v>
      </c>
      <c r="G10" s="18">
        <v>32.0888888888889</v>
      </c>
      <c r="H10" s="18">
        <v>27.5288888888889</v>
      </c>
    </row>
    <row r="11" spans="2:8">
      <c r="B11" s="19" t="s">
        <v>608</v>
      </c>
      <c r="C11" s="20">
        <v>285.454545454545</v>
      </c>
      <c r="D11" s="20">
        <v>226.069396266082</v>
      </c>
      <c r="E11" s="20">
        <v>200.125375263235</v>
      </c>
      <c r="F11" s="21">
        <v>4.56727272727273</v>
      </c>
      <c r="G11" s="21">
        <v>3.61711034025732</v>
      </c>
      <c r="H11" s="21">
        <v>3.20200600421175</v>
      </c>
    </row>
    <row r="12" spans="2:8">
      <c r="B12" s="22" t="s">
        <v>609</v>
      </c>
      <c r="C12" s="23">
        <v>900</v>
      </c>
      <c r="D12" s="23">
        <v>680.375387446444</v>
      </c>
      <c r="E12" s="23">
        <v>588.444975252103</v>
      </c>
      <c r="F12" s="24">
        <v>10.8</v>
      </c>
      <c r="G12" s="24">
        <v>8.16450464935733</v>
      </c>
      <c r="H12" s="24">
        <v>7.06133970302523</v>
      </c>
    </row>
    <row r="13" spans="2:8">
      <c r="B13" s="22" t="s">
        <v>610</v>
      </c>
      <c r="C13" s="23">
        <v>600</v>
      </c>
      <c r="D13" s="23">
        <v>425.044594838561</v>
      </c>
      <c r="E13" s="23">
        <v>354.091974213288</v>
      </c>
      <c r="F13" s="24">
        <v>7.2</v>
      </c>
      <c r="G13" s="24">
        <v>5.10053513806273</v>
      </c>
      <c r="H13" s="24">
        <v>4.24910369055946</v>
      </c>
    </row>
    <row r="14" spans="2:8">
      <c r="B14" s="25" t="s">
        <v>611</v>
      </c>
      <c r="C14" s="26">
        <v>657.142857142857</v>
      </c>
      <c r="D14" s="26">
        <v>470.961031831262</v>
      </c>
      <c r="E14" s="26">
        <v>395.092100510703</v>
      </c>
      <c r="F14" s="27">
        <v>7.88571428571429</v>
      </c>
      <c r="G14" s="27">
        <v>5.65153238197515</v>
      </c>
      <c r="H14" s="27">
        <v>4.74110520612843</v>
      </c>
    </row>
    <row r="15" spans="2:8">
      <c r="B15" s="28" t="s">
        <v>612</v>
      </c>
      <c r="C15" s="29">
        <v>89</v>
      </c>
      <c r="D15" s="29">
        <v>89</v>
      </c>
      <c r="E15" s="29">
        <v>89</v>
      </c>
      <c r="F15" s="30">
        <v>3.56</v>
      </c>
      <c r="G15" s="30">
        <v>3.56</v>
      </c>
      <c r="H15" s="30">
        <v>3.56</v>
      </c>
    </row>
    <row r="16" spans="2:8">
      <c r="B16" s="31" t="s">
        <v>613</v>
      </c>
      <c r="C16" s="32">
        <v>197</v>
      </c>
      <c r="D16" s="32">
        <v>197</v>
      </c>
      <c r="E16" s="32">
        <v>197</v>
      </c>
      <c r="F16" s="33">
        <v>7.88</v>
      </c>
      <c r="G16" s="33">
        <v>7.88</v>
      </c>
      <c r="H16" s="33">
        <v>7.88</v>
      </c>
    </row>
    <row r="17" spans="2:8">
      <c r="B17" s="28" t="s">
        <v>614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2025-03-31T13:30:08Z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