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<sst xmlns="http://schemas.openxmlformats.org/spreadsheetml/2006/main" count="7786" uniqueCount="767">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</sst>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0"/>
    </font>
    <font>
      <b/>
      <sz val="9"/>
      <name val="Times New Roman"/>
      <charset val="0"/>
    </font>
    <font>
      <sz val="9"/>
      <name val="Tahoma"/>
      <charset val="134"/>
    </font>
    <font>
      <b/>
      <sz val="9"/>
      <name val="Tahoma"/>
      <charset val="1"/>
    </font>
    <font>
      <b/>
      <sz val="9"/>
      <name val="Times New Roman"/>
      <charset val="134"/>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8"/>
  <sheetViews>
    <sheetView zoomScale="115" zoomScaleNormal="115" topLeftCell="U9" workbookViewId="0">
      <selection activeCell="Z30" sqref="Z3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6">
      <c r="AW49" s="348"/>
      <c r="AX49" s="310"/>
      <c r="AY49" s="310"/>
      <c r="AZ49" s="310" t="s">
        <v>198</v>
      </c>
      <c r="BA49" s="349"/>
    </row>
    <row r="50" spans="49:56">
      <c r="AW50" s="350" t="s">
        <v>193</v>
      </c>
      <c r="AX50" s="310" t="s">
        <v>76</v>
      </c>
      <c r="AY50" s="310" t="s">
        <v>79</v>
      </c>
      <c r="AZ50" s="310" t="s">
        <v>194</v>
      </c>
      <c r="BA50" s="349">
        <v>2020</v>
      </c>
      <c r="BB50">
        <v>0</v>
      </c>
    </row>
    <row r="51" spans="49:56">
      <c r="AW51" s="351" t="s">
        <v>195</v>
      </c>
      <c r="AX51" s="352"/>
      <c r="AY51" s="349" t="str">
        <f>O22</f>
        <v>Tra_EV_Batt-LFP_virgin</v>
      </c>
      <c r="AZ51" s="314"/>
      <c r="BA51" s="353">
        <v>5</v>
      </c>
      <c r="BB51">
        <v>5</v>
      </c>
    </row>
    <row r="52" spans="49:56">
      <c r="AW52" s="351" t="s">
        <v>195</v>
      </c>
      <c r="AX52" s="352"/>
      <c r="AY52" s="314" t="str">
        <f>U22</f>
        <v>Tra_EV_Batt-LMO_virgin</v>
      </c>
      <c r="AZ52" s="314"/>
      <c r="BA52" s="353">
        <v>5</v>
      </c>
      <c r="BB52">
        <v>5</v>
      </c>
    </row>
    <row r="53" spans="49:56">
      <c r="AW53" s="351" t="s">
        <v>195</v>
      </c>
      <c r="AX53" s="352"/>
      <c r="AY53" s="314" t="str">
        <f>AA22</f>
        <v>Tra_EV_Batt-NCA_virgin</v>
      </c>
      <c r="AZ53" s="314"/>
      <c r="BA53" s="353">
        <v>5</v>
      </c>
      <c r="BB53">
        <v>5</v>
      </c>
    </row>
    <row r="54" spans="49:56">
      <c r="AW54" s="351" t="s">
        <v>195</v>
      </c>
      <c r="AX54" s="352"/>
      <c r="AY54" s="314" t="str">
        <f>AG22</f>
        <v>Tra_EV_Batt-NMC111_virgin</v>
      </c>
      <c r="AZ54" s="314"/>
      <c r="BA54" s="353">
        <v>5</v>
      </c>
      <c r="BB54">
        <v>5</v>
      </c>
    </row>
    <row r="55" spans="49:56">
      <c r="AW55" s="351" t="s">
        <v>195</v>
      </c>
      <c r="AX55" s="352"/>
      <c r="AY55" s="314" t="str">
        <f>AS22</f>
        <v>Tra_EV_Batt-NMC622_virgin</v>
      </c>
      <c r="AZ55" s="314"/>
      <c r="BA55" s="353">
        <v>5</v>
      </c>
      <c r="BB55">
        <v>5</v>
      </c>
    </row>
    <row r="56" spans="49:56">
      <c r="AW56" s="351" t="s">
        <v>195</v>
      </c>
      <c r="AX56" s="352"/>
      <c r="AY56" s="314" t="str">
        <f>AY22</f>
        <v>Tra_EV_Batt-NMC811_virgin</v>
      </c>
      <c r="AZ56" s="314"/>
      <c r="BA56" s="353">
        <v>5</v>
      </c>
      <c r="BB56">
        <v>5</v>
      </c>
    </row>
    <row r="57" spans="49:56">
      <c r="AW57" s="351" t="s">
        <v>195</v>
      </c>
      <c r="AX57" s="352"/>
      <c r="AY57" s="314" t="str">
        <f>AM22</f>
        <v>Tra_EV_Batt-NMC532_virgin</v>
      </c>
      <c r="AZ57" s="314"/>
      <c r="BA57" s="353">
        <v>5</v>
      </c>
      <c r="BB57">
        <v>5</v>
      </c>
    </row>
    <row r="58" spans="49:56">
      <c r="AW58" s="351" t="s">
        <v>195</v>
      </c>
      <c r="AX58" s="352"/>
      <c r="AY58" s="314" t="str">
        <f>AY36</f>
        <v>Tra_EV_Batt-Sodium_virgin</v>
      </c>
      <c r="AZ58" s="314"/>
      <c r="BA58" s="353">
        <v>5</v>
      </c>
      <c r="BB58">
        <v>5</v>
      </c>
    </row>
    <row r="62" spans="49:56">
      <c r="AW62" s="348"/>
      <c r="AX62" s="310"/>
      <c r="AY62" s="310"/>
      <c r="AZ62" s="310" t="s">
        <v>199</v>
      </c>
      <c r="BA62" s="349"/>
    </row>
    <row r="63" spans="49:56">
      <c r="AW63" s="350" t="s">
        <v>193</v>
      </c>
      <c r="AX63" s="310" t="s">
        <v>76</v>
      </c>
      <c r="AY63" s="310" t="s">
        <v>79</v>
      </c>
      <c r="AZ63" s="310" t="s">
        <v>194</v>
      </c>
      <c r="BA63" s="349" t="s">
        <v>200</v>
      </c>
      <c r="BB63" t="s">
        <v>201</v>
      </c>
    </row>
    <row r="64" spans="49:56">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86" zoomScaleNormal="86" topLeftCell="T88" workbookViewId="0">
      <selection activeCell="AA105" sqref="AA105"/>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2">
      <c r="B97" s="307">
        <v>2020</v>
      </c>
      <c r="C97" s="312" t="s">
        <v>393</v>
      </c>
      <c r="D97" s="192"/>
      <c r="E97" s="192"/>
      <c r="G97" s="313" t="s">
        <v>393</v>
      </c>
      <c r="H97" s="192"/>
      <c r="I97" s="311">
        <v>3</v>
      </c>
      <c r="J97" s="192"/>
      <c r="U97" s="296"/>
      <c r="V97" s="296"/>
      <c r="W97" s="296"/>
      <c r="X97" s="296"/>
      <c r="Y97" s="296"/>
      <c r="Z97" s="296"/>
      <c r="AA97" s="296"/>
      <c r="AB97" s="296"/>
      <c r="AC97" s="296"/>
    </row>
    <row r="98" ht="14.5" spans="2:32">
      <c r="B98" s="307">
        <v>2020</v>
      </c>
      <c r="C98" s="312" t="s">
        <v>394</v>
      </c>
      <c r="D98" s="192"/>
      <c r="E98" s="192"/>
      <c r="G98" s="313" t="s">
        <v>394</v>
      </c>
      <c r="H98" s="192"/>
      <c r="I98" s="311">
        <v>3</v>
      </c>
      <c r="J98" s="192"/>
    </row>
    <row r="99" ht="14.5" spans="2:32">
      <c r="B99" s="307">
        <v>2020</v>
      </c>
      <c r="C99" s="312" t="s">
        <v>395</v>
      </c>
      <c r="D99" s="192"/>
      <c r="E99" s="192"/>
      <c r="G99" s="313" t="s">
        <v>395</v>
      </c>
      <c r="I99" s="311">
        <v>3</v>
      </c>
      <c r="X99" s="317"/>
    </row>
    <row r="100" ht="14.5" spans="2:32">
      <c r="B100" s="307">
        <v>2020</v>
      </c>
      <c r="C100" s="312" t="s">
        <v>396</v>
      </c>
      <c r="D100" s="192"/>
      <c r="E100" s="192"/>
      <c r="G100" s="313" t="s">
        <v>396</v>
      </c>
      <c r="I100" s="311">
        <v>3</v>
      </c>
      <c r="W100" s="296" t="s">
        <v>222</v>
      </c>
      <c r="X100" s="317"/>
    </row>
    <row r="101" ht="14.5" spans="2:32">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2">
      <c r="B102" s="307">
        <v>2020</v>
      </c>
      <c r="C102" s="312" t="s">
        <v>406</v>
      </c>
      <c r="D102" s="192"/>
      <c r="E102" s="192"/>
      <c r="G102" s="313" t="s">
        <v>406</v>
      </c>
      <c r="I102" s="311">
        <v>3</v>
      </c>
      <c r="V102" s="318" t="s">
        <v>297</v>
      </c>
      <c r="W102" s="319" t="s">
        <v>185</v>
      </c>
      <c r="X102" s="320">
        <v>5.3</v>
      </c>
      <c r="Y102" s="320">
        <v>45</v>
      </c>
      <c r="Z102" s="171" t="s">
        <v>338</v>
      </c>
      <c r="AA102" s="277">
        <v>4</v>
      </c>
      <c r="AB102" s="171">
        <v>5</v>
      </c>
      <c r="AC102" s="171">
        <f t="shared" ref="AC102:AC107" si="15">Y102*3%</f>
        <v>1.35</v>
      </c>
      <c r="AD102" s="171">
        <v>0.9</v>
      </c>
      <c r="AE102" s="171">
        <v>30</v>
      </c>
    </row>
    <row r="103" ht="14.5" spans="2:32">
      <c r="B103" s="307">
        <v>2030</v>
      </c>
      <c r="C103" s="312" t="s">
        <v>407</v>
      </c>
      <c r="D103" s="192"/>
      <c r="E103" s="192"/>
      <c r="G103" s="313" t="s">
        <v>407</v>
      </c>
      <c r="I103" s="311">
        <v>3</v>
      </c>
      <c r="V103" s="297" t="s">
        <v>300</v>
      </c>
      <c r="W103" s="171" t="s">
        <v>186</v>
      </c>
      <c r="X103" s="320">
        <v>8</v>
      </c>
      <c r="Y103" s="320">
        <v>50</v>
      </c>
      <c r="Z103" s="171" t="s">
        <v>338</v>
      </c>
      <c r="AA103" s="171">
        <v>4</v>
      </c>
      <c r="AB103" s="171">
        <v>5</v>
      </c>
      <c r="AC103" s="171">
        <f t="shared" si="15"/>
        <v>1.5</v>
      </c>
      <c r="AD103" s="171">
        <v>0.9</v>
      </c>
      <c r="AE103" s="171">
        <v>30</v>
      </c>
    </row>
    <row r="104" ht="14.5" spans="2:32">
      <c r="B104" s="307">
        <v>2030</v>
      </c>
      <c r="C104" s="312" t="s">
        <v>408</v>
      </c>
      <c r="D104" s="192"/>
      <c r="E104" s="192"/>
      <c r="G104" s="313" t="s">
        <v>408</v>
      </c>
      <c r="I104" s="311">
        <v>3</v>
      </c>
      <c r="V104" s="297" t="s">
        <v>305</v>
      </c>
      <c r="W104" s="171" t="s">
        <v>188</v>
      </c>
      <c r="X104" s="321">
        <v>3.3</v>
      </c>
      <c r="Y104" s="321">
        <v>10</v>
      </c>
      <c r="Z104" s="171" t="s">
        <v>338</v>
      </c>
      <c r="AA104" s="171">
        <v>4</v>
      </c>
      <c r="AB104" s="171">
        <v>5</v>
      </c>
      <c r="AC104" s="171">
        <f t="shared" si="15"/>
        <v>0.3</v>
      </c>
      <c r="AD104" s="171">
        <v>0.9</v>
      </c>
      <c r="AE104" s="171">
        <v>30</v>
      </c>
    </row>
    <row r="105" ht="14.5" spans="2:32">
      <c r="B105" s="307">
        <v>2030</v>
      </c>
      <c r="C105" s="312" t="s">
        <v>409</v>
      </c>
      <c r="G105" s="313" t="s">
        <v>409</v>
      </c>
      <c r="I105" s="311">
        <v>3</v>
      </c>
      <c r="V105" s="297" t="s">
        <v>307</v>
      </c>
      <c r="W105" s="171" t="s">
        <v>189</v>
      </c>
      <c r="X105" s="320">
        <v>1.5</v>
      </c>
      <c r="Y105" s="320">
        <v>10</v>
      </c>
      <c r="Z105" s="171" t="s">
        <v>338</v>
      </c>
      <c r="AA105" s="171">
        <v>5</v>
      </c>
      <c r="AB105" s="171">
        <v>5</v>
      </c>
      <c r="AC105" s="171">
        <f t="shared" si="15"/>
        <v>0.3</v>
      </c>
      <c r="AD105" s="171">
        <v>0.9</v>
      </c>
      <c r="AE105" s="171">
        <v>30</v>
      </c>
    </row>
    <row r="106" ht="14.5" spans="2:32">
      <c r="B106" s="307">
        <v>2030</v>
      </c>
      <c r="C106" s="312" t="s">
        <v>410</v>
      </c>
      <c r="G106" s="313" t="s">
        <v>410</v>
      </c>
      <c r="I106" s="311">
        <v>3</v>
      </c>
      <c r="V106" s="297" t="s">
        <v>309</v>
      </c>
      <c r="W106" s="171" t="s">
        <v>190</v>
      </c>
      <c r="X106" s="320">
        <v>4.5</v>
      </c>
      <c r="Y106" s="320">
        <v>18.5</v>
      </c>
      <c r="Z106" s="171" t="s">
        <v>338</v>
      </c>
      <c r="AA106" s="171">
        <v>4</v>
      </c>
      <c r="AB106" s="171">
        <v>5</v>
      </c>
      <c r="AC106" s="171">
        <f t="shared" si="15"/>
        <v>0.555</v>
      </c>
      <c r="AD106" s="171">
        <v>0.9</v>
      </c>
      <c r="AE106" s="171">
        <v>30</v>
      </c>
    </row>
    <row r="107" ht="14.5" spans="2:32">
      <c r="B107" s="307">
        <v>2030</v>
      </c>
      <c r="C107" s="312" t="s">
        <v>411</v>
      </c>
      <c r="G107" s="313" t="s">
        <v>411</v>
      </c>
      <c r="I107" s="311">
        <v>3</v>
      </c>
      <c r="V107" s="297" t="s">
        <v>311</v>
      </c>
      <c r="W107" s="171" t="s">
        <v>191</v>
      </c>
      <c r="X107" s="320">
        <v>1.7</v>
      </c>
      <c r="Y107" s="320">
        <v>1.9</v>
      </c>
      <c r="Z107" s="171" t="s">
        <v>338</v>
      </c>
      <c r="AA107" s="171">
        <v>9</v>
      </c>
      <c r="AB107" s="171">
        <v>5</v>
      </c>
      <c r="AC107" s="171">
        <f t="shared" si="15"/>
        <v>0.057</v>
      </c>
      <c r="AD107" s="171">
        <v>0.9</v>
      </c>
      <c r="AE107" s="171">
        <v>30</v>
      </c>
    </row>
    <row r="108" ht="14.5" spans="2:32">
      <c r="B108" s="307">
        <v>2030</v>
      </c>
      <c r="C108" s="312" t="s">
        <v>412</v>
      </c>
      <c r="D108" s="192"/>
      <c r="E108" s="192"/>
      <c r="G108" s="313" t="s">
        <v>412</v>
      </c>
      <c r="I108" s="311">
        <v>3</v>
      </c>
      <c r="V108" s="297" t="s">
        <v>315</v>
      </c>
      <c r="W108" s="171" t="s">
        <v>187</v>
      </c>
      <c r="X108" s="321">
        <v>24</v>
      </c>
      <c r="Y108" s="171">
        <v>30</v>
      </c>
      <c r="Z108" s="171" t="s">
        <v>338</v>
      </c>
      <c r="AA108" s="171">
        <v>4</v>
      </c>
      <c r="AB108" s="171">
        <v>5</v>
      </c>
      <c r="AC108" s="171">
        <v>0.24</v>
      </c>
      <c r="AD108" s="171">
        <v>0.9</v>
      </c>
      <c r="AE108" s="171">
        <v>30</v>
      </c>
      <c r="AF108" s="322">
        <v>0.03</v>
      </c>
    </row>
    <row r="109" spans="2:32">
      <c r="B109" s="307">
        <v>2030</v>
      </c>
      <c r="C109" s="323" t="s">
        <v>413</v>
      </c>
      <c r="G109" s="324" t="s">
        <v>413</v>
      </c>
      <c r="I109" s="311">
        <v>3</v>
      </c>
      <c r="W109" s="171" t="s">
        <v>190</v>
      </c>
    </row>
    <row r="110" ht="14.5" spans="2:32">
      <c r="C110" s="192"/>
      <c r="V110" s="295" t="s">
        <v>321</v>
      </c>
      <c r="W110" s="171" t="s">
        <v>187</v>
      </c>
      <c r="X110" s="321">
        <v>24</v>
      </c>
      <c r="Y110" s="171">
        <v>30</v>
      </c>
      <c r="Z110" s="171" t="s">
        <v>338</v>
      </c>
      <c r="AA110" s="171">
        <v>4</v>
      </c>
      <c r="AB110" s="171">
        <v>5</v>
      </c>
      <c r="AC110" s="171">
        <f>Y110*3%</f>
        <v>0.9</v>
      </c>
      <c r="AD110" s="171">
        <v>0.9</v>
      </c>
      <c r="AE110" s="171">
        <v>30</v>
      </c>
      <c r="AF110" s="322">
        <v>0.03</v>
      </c>
    </row>
    <row r="111" ht="14.5" spans="2:32">
      <c r="C111" s="192"/>
      <c r="W111" s="171" t="s">
        <v>190</v>
      </c>
    </row>
    <row r="112" ht="14.5" spans="2:32">
      <c r="C112" s="192"/>
      <c r="V112" s="297" t="s">
        <v>327</v>
      </c>
      <c r="W112" s="171" t="s">
        <v>187</v>
      </c>
      <c r="X112" s="171">
        <f>X110</f>
        <v>24</v>
      </c>
      <c r="Y112" s="171">
        <v>50</v>
      </c>
      <c r="Z112" s="171" t="s">
        <v>338</v>
      </c>
      <c r="AA112" s="171">
        <v>4</v>
      </c>
      <c r="AB112" s="171">
        <f>AB110</f>
        <v>5</v>
      </c>
      <c r="AC112" s="171">
        <f>Y112*3%</f>
        <v>1.5</v>
      </c>
      <c r="AD112" s="171">
        <f>AD110</f>
        <v>0.9</v>
      </c>
      <c r="AE112" s="171">
        <f>AE110</f>
        <v>30</v>
      </c>
      <c r="AF112" s="322">
        <v>0.03</v>
      </c>
    </row>
    <row r="113" ht="14.5" spans="1:46">
      <c r="C113" s="192"/>
      <c r="W113" s="171" t="s">
        <v>190</v>
      </c>
    </row>
    <row r="114" ht="14.5" spans="1:46">
      <c r="C114" s="192"/>
      <c r="V114" s="171" t="s">
        <v>324</v>
      </c>
      <c r="W114" s="171" t="s">
        <v>187</v>
      </c>
      <c r="X114" s="171">
        <f>X112</f>
        <v>24</v>
      </c>
      <c r="Y114" s="171">
        <v>50</v>
      </c>
      <c r="Z114" s="171" t="s">
        <v>338</v>
      </c>
      <c r="AA114" s="171">
        <v>4</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I32</f>
        <v>0</v>
      </c>
      <c r="K32">
        <f t="shared" ref="K32:R32" si="2">J32</f>
        <v>0</v>
      </c>
      <c r="L32">
        <f t="shared" si="2"/>
        <v>0</v>
      </c>
      <c r="M32">
        <f t="shared" si="2"/>
        <v>0</v>
      </c>
      <c r="N32">
        <f t="shared" si="2"/>
        <v>0</v>
      </c>
      <c r="O32">
        <f t="shared" si="2"/>
        <v>0</v>
      </c>
      <c r="P32">
        <f t="shared" si="2"/>
        <v>0</v>
      </c>
      <c r="Q32">
        <f t="shared" si="2"/>
        <v>0</v>
      </c>
      <c r="R32">
        <f t="shared" si="2"/>
        <v>0</v>
      </c>
    </row>
    <row r="33" spans="8:31">
      <c r="H33" t="s">
        <v>307</v>
      </c>
      <c r="I33">
        <v>0</v>
      </c>
      <c r="J33">
        <f>I33</f>
        <v>0</v>
      </c>
      <c r="K33">
        <f t="shared" ref="K33:R33" si="3">J33</f>
        <v>0</v>
      </c>
      <c r="L33">
        <f t="shared" si="3"/>
        <v>0</v>
      </c>
      <c r="M33">
        <f t="shared" si="3"/>
        <v>0</v>
      </c>
      <c r="N33">
        <f t="shared" si="3"/>
        <v>0</v>
      </c>
      <c r="O33">
        <f t="shared" si="3"/>
        <v>0</v>
      </c>
      <c r="P33">
        <f t="shared" si="3"/>
        <v>0</v>
      </c>
      <c r="Q33">
        <f t="shared" si="3"/>
        <v>0</v>
      </c>
      <c r="R33">
        <f t="shared" si="3"/>
        <v>0</v>
      </c>
    </row>
    <row r="34" spans="8:31">
      <c r="H34" t="s">
        <v>309</v>
      </c>
      <c r="I34">
        <v>0</v>
      </c>
      <c r="J34">
        <f>I34</f>
        <v>0</v>
      </c>
      <c r="K34">
        <f t="shared" ref="K34:R34" si="4">J34</f>
        <v>0</v>
      </c>
      <c r="L34">
        <f t="shared" si="4"/>
        <v>0</v>
      </c>
      <c r="M34">
        <f t="shared" si="4"/>
        <v>0</v>
      </c>
      <c r="N34">
        <f t="shared" si="4"/>
        <v>0</v>
      </c>
      <c r="O34">
        <f t="shared" si="4"/>
        <v>0</v>
      </c>
      <c r="P34">
        <f t="shared" si="4"/>
        <v>0</v>
      </c>
      <c r="Q34">
        <f t="shared" si="4"/>
        <v>0</v>
      </c>
      <c r="R34">
        <f t="shared" si="4"/>
        <v>0</v>
      </c>
      <c r="U34" t="s">
        <v>764</v>
      </c>
    </row>
    <row r="35" spans="8:31">
      <c r="H35" t="s">
        <v>311</v>
      </c>
      <c r="I35">
        <v>0</v>
      </c>
      <c r="J35">
        <f>I35</f>
        <v>0</v>
      </c>
      <c r="K35">
        <f t="shared" ref="K35:R35" si="5">J35</f>
        <v>0</v>
      </c>
      <c r="L35">
        <f t="shared" si="5"/>
        <v>0</v>
      </c>
      <c r="M35">
        <f t="shared" si="5"/>
        <v>0</v>
      </c>
      <c r="N35">
        <f t="shared" si="5"/>
        <v>0</v>
      </c>
      <c r="O35">
        <f t="shared" si="5"/>
        <v>0</v>
      </c>
      <c r="P35">
        <f t="shared" si="5"/>
        <v>0</v>
      </c>
      <c r="Q35">
        <f t="shared" si="5"/>
        <v>0</v>
      </c>
      <c r="R35">
        <f t="shared" si="5"/>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6">V36</f>
        <v>2.70047156845812</v>
      </c>
      <c r="X36">
        <f t="shared" ref="X36:AE36" si="7">W36</f>
        <v>2.70047156845812</v>
      </c>
      <c r="Y36">
        <f t="shared" si="7"/>
        <v>2.70047156845812</v>
      </c>
      <c r="Z36">
        <f t="shared" si="7"/>
        <v>2.70047156845812</v>
      </c>
      <c r="AA36">
        <f t="shared" si="7"/>
        <v>2.70047156845812</v>
      </c>
      <c r="AB36">
        <f t="shared" si="7"/>
        <v>2.70047156845812</v>
      </c>
      <c r="AC36">
        <f t="shared" si="7"/>
        <v>2.70047156845812</v>
      </c>
      <c r="AD36">
        <f t="shared" si="7"/>
        <v>2.70047156845812</v>
      </c>
      <c r="AE36">
        <f t="shared" si="7"/>
        <v>2.70047156845812</v>
      </c>
    </row>
    <row r="37" spans="8:31">
      <c r="H37" t="s">
        <v>321</v>
      </c>
      <c r="I37">
        <v>0</v>
      </c>
      <c r="J37">
        <v>0</v>
      </c>
      <c r="K37">
        <v>0</v>
      </c>
      <c r="L37">
        <v>0</v>
      </c>
      <c r="M37">
        <v>0</v>
      </c>
      <c r="N37">
        <v>0</v>
      </c>
      <c r="O37">
        <v>0</v>
      </c>
      <c r="P37">
        <v>0</v>
      </c>
      <c r="Q37">
        <v>0</v>
      </c>
      <c r="R37">
        <v>0</v>
      </c>
      <c r="U37" t="s">
        <v>183</v>
      </c>
      <c r="V37">
        <v>1.62028294107487</v>
      </c>
      <c r="W37">
        <f t="shared" si="6"/>
        <v>1.62028294107487</v>
      </c>
      <c r="X37">
        <f t="shared" ref="X37:AE37" si="8">W37</f>
        <v>1.62028294107487</v>
      </c>
      <c r="Y37">
        <f t="shared" si="8"/>
        <v>1.62028294107487</v>
      </c>
      <c r="Z37">
        <f t="shared" si="8"/>
        <v>1.62028294107487</v>
      </c>
      <c r="AA37">
        <f t="shared" si="8"/>
        <v>1.62028294107487</v>
      </c>
      <c r="AB37">
        <f t="shared" si="8"/>
        <v>1.62028294107487</v>
      </c>
      <c r="AC37">
        <f t="shared" si="8"/>
        <v>1.62028294107487</v>
      </c>
      <c r="AD37">
        <f t="shared" si="8"/>
        <v>1.62028294107487</v>
      </c>
      <c r="AE37">
        <f t="shared" si="8"/>
        <v>1.62028294107487</v>
      </c>
    </row>
    <row r="38" spans="8:31">
      <c r="H38" t="s">
        <v>327</v>
      </c>
      <c r="I38">
        <v>0</v>
      </c>
      <c r="J38">
        <v>0</v>
      </c>
      <c r="K38">
        <v>0</v>
      </c>
      <c r="L38">
        <v>0</v>
      </c>
      <c r="M38">
        <v>0</v>
      </c>
      <c r="N38">
        <v>0</v>
      </c>
      <c r="O38">
        <v>0</v>
      </c>
      <c r="P38">
        <v>0</v>
      </c>
      <c r="Q38">
        <v>0</v>
      </c>
      <c r="R38">
        <v>0</v>
      </c>
      <c r="U38" t="s">
        <v>184</v>
      </c>
      <c r="V38">
        <v>1.62028294107487</v>
      </c>
      <c r="W38">
        <f t="shared" si="6"/>
        <v>1.62028294107487</v>
      </c>
      <c r="X38">
        <f t="shared" ref="X38:AE38" si="9">W38</f>
        <v>1.62028294107487</v>
      </c>
      <c r="Y38">
        <f t="shared" si="9"/>
        <v>1.62028294107487</v>
      </c>
      <c r="Z38">
        <f t="shared" si="9"/>
        <v>1.62028294107487</v>
      </c>
      <c r="AA38">
        <f t="shared" si="9"/>
        <v>1.62028294107487</v>
      </c>
      <c r="AB38">
        <f t="shared" si="9"/>
        <v>1.62028294107487</v>
      </c>
      <c r="AC38">
        <f t="shared" si="9"/>
        <v>1.62028294107487</v>
      </c>
      <c r="AD38">
        <f t="shared" si="9"/>
        <v>1.62028294107487</v>
      </c>
      <c r="AE38">
        <f t="shared" si="9"/>
        <v>1.62028294107487</v>
      </c>
    </row>
    <row r="39" spans="8:31">
      <c r="H39" t="s">
        <v>324</v>
      </c>
      <c r="I39">
        <v>0</v>
      </c>
      <c r="J39">
        <v>0</v>
      </c>
      <c r="K39">
        <v>0</v>
      </c>
      <c r="L39">
        <v>0</v>
      </c>
      <c r="M39">
        <v>0</v>
      </c>
      <c r="N39">
        <v>0</v>
      </c>
      <c r="O39">
        <v>0</v>
      </c>
      <c r="P39">
        <v>0</v>
      </c>
      <c r="Q39">
        <v>0</v>
      </c>
      <c r="R39">
        <v>0</v>
      </c>
      <c r="U39" t="s">
        <v>182</v>
      </c>
      <c r="V39">
        <v>1.62028294107487</v>
      </c>
      <c r="W39">
        <f t="shared" si="6"/>
        <v>1.62028294107487</v>
      </c>
      <c r="X39">
        <f t="shared" ref="X39:AE39" si="10">W39</f>
        <v>1.62028294107487</v>
      </c>
      <c r="Y39">
        <f t="shared" si="10"/>
        <v>1.62028294107487</v>
      </c>
      <c r="Z39">
        <f t="shared" si="10"/>
        <v>1.62028294107487</v>
      </c>
      <c r="AA39">
        <f t="shared" si="10"/>
        <v>1.62028294107487</v>
      </c>
      <c r="AB39">
        <f t="shared" si="10"/>
        <v>1.62028294107487</v>
      </c>
      <c r="AC39">
        <f t="shared" si="10"/>
        <v>1.62028294107487</v>
      </c>
      <c r="AD39">
        <f t="shared" si="10"/>
        <v>1.62028294107487</v>
      </c>
      <c r="AE39">
        <f t="shared" si="10"/>
        <v>1.62028294107487</v>
      </c>
    </row>
    <row r="40" spans="8:31">
      <c r="U40" t="s">
        <v>180</v>
      </c>
      <c r="V40">
        <v>1.62028294107487</v>
      </c>
      <c r="W40">
        <f t="shared" si="6"/>
        <v>1.62028294107487</v>
      </c>
      <c r="X40">
        <f t="shared" ref="X40:AE40" si="11">W40</f>
        <v>1.62028294107487</v>
      </c>
      <c r="Y40">
        <f t="shared" si="11"/>
        <v>1.62028294107487</v>
      </c>
      <c r="Z40">
        <f t="shared" si="11"/>
        <v>1.62028294107487</v>
      </c>
      <c r="AA40">
        <f t="shared" si="11"/>
        <v>1.62028294107487</v>
      </c>
      <c r="AB40">
        <f t="shared" si="11"/>
        <v>1.62028294107487</v>
      </c>
      <c r="AC40">
        <f t="shared" si="11"/>
        <v>1.62028294107487</v>
      </c>
      <c r="AD40">
        <f t="shared" si="11"/>
        <v>1.62028294107487</v>
      </c>
      <c r="AE40">
        <f t="shared" si="11"/>
        <v>1.62028294107487</v>
      </c>
    </row>
    <row r="41" spans="8:31">
      <c r="U41" t="s">
        <v>179</v>
      </c>
      <c r="V41">
        <v>0</v>
      </c>
      <c r="W41">
        <f t="shared" si="6"/>
        <v>0</v>
      </c>
      <c r="X41">
        <f t="shared" ref="X41:AE41" si="12">W41</f>
        <v>0</v>
      </c>
      <c r="Y41">
        <f t="shared" si="12"/>
        <v>0</v>
      </c>
      <c r="Z41">
        <f t="shared" si="12"/>
        <v>0</v>
      </c>
      <c r="AA41">
        <f t="shared" si="12"/>
        <v>0</v>
      </c>
      <c r="AB41">
        <f t="shared" si="12"/>
        <v>0</v>
      </c>
      <c r="AC41">
        <f t="shared" si="12"/>
        <v>0</v>
      </c>
      <c r="AD41">
        <f t="shared" si="12"/>
        <v>0</v>
      </c>
      <c r="AE41">
        <f t="shared" si="12"/>
        <v>0</v>
      </c>
    </row>
    <row r="42" spans="8:31">
      <c r="U42" t="s">
        <v>181</v>
      </c>
      <c r="V42">
        <v>1.62028294107487</v>
      </c>
      <c r="W42">
        <f t="shared" si="6"/>
        <v>1.62028294107487</v>
      </c>
      <c r="X42">
        <f t="shared" ref="X42:AE42" si="13">W42</f>
        <v>1.62028294107487</v>
      </c>
      <c r="Y42">
        <f t="shared" si="13"/>
        <v>1.62028294107487</v>
      </c>
      <c r="Z42">
        <f t="shared" si="13"/>
        <v>1.62028294107487</v>
      </c>
      <c r="AA42">
        <f t="shared" si="13"/>
        <v>1.62028294107487</v>
      </c>
      <c r="AB42">
        <f t="shared" si="13"/>
        <v>1.62028294107487</v>
      </c>
      <c r="AC42">
        <f t="shared" si="13"/>
        <v>1.62028294107487</v>
      </c>
      <c r="AD42">
        <f t="shared" si="13"/>
        <v>1.62028294107487</v>
      </c>
      <c r="AE42">
        <f t="shared" si="13"/>
        <v>1.62028294107487</v>
      </c>
    </row>
    <row r="43" spans="8:31">
      <c r="U43" t="s">
        <v>323</v>
      </c>
      <c r="V43">
        <v>2.70047156845812</v>
      </c>
      <c r="W43">
        <f t="shared" si="6"/>
        <v>2.70047156845812</v>
      </c>
      <c r="X43">
        <f t="shared" ref="X43:AE43" si="14">W43</f>
        <v>2.70047156845812</v>
      </c>
      <c r="Y43">
        <f t="shared" si="14"/>
        <v>2.70047156845812</v>
      </c>
      <c r="Z43">
        <f t="shared" si="14"/>
        <v>2.70047156845812</v>
      </c>
      <c r="AA43">
        <f t="shared" si="14"/>
        <v>2.70047156845812</v>
      </c>
      <c r="AB43">
        <f t="shared" si="14"/>
        <v>2.70047156845812</v>
      </c>
      <c r="AC43">
        <f t="shared" si="14"/>
        <v>2.70047156845812</v>
      </c>
      <c r="AD43">
        <f t="shared" si="14"/>
        <v>2.70047156845812</v>
      </c>
      <c r="AE43">
        <f t="shared" si="14"/>
        <v>2.70047156845812</v>
      </c>
    </row>
    <row r="44" spans="8:31">
      <c r="U44" t="s">
        <v>339</v>
      </c>
      <c r="V44">
        <v>1.62028294107487</v>
      </c>
      <c r="W44">
        <f t="shared" si="6"/>
        <v>1.62028294107487</v>
      </c>
      <c r="X44">
        <f t="shared" ref="X44:AE44" si="15">W44</f>
        <v>1.62028294107487</v>
      </c>
      <c r="Y44">
        <f t="shared" si="15"/>
        <v>1.62028294107487</v>
      </c>
      <c r="Z44">
        <f t="shared" si="15"/>
        <v>1.62028294107487</v>
      </c>
      <c r="AA44">
        <f t="shared" si="15"/>
        <v>1.62028294107487</v>
      </c>
      <c r="AB44">
        <f t="shared" si="15"/>
        <v>1.62028294107487</v>
      </c>
      <c r="AC44">
        <f t="shared" si="15"/>
        <v>1.62028294107487</v>
      </c>
      <c r="AD44">
        <f t="shared" si="15"/>
        <v>1.62028294107487</v>
      </c>
      <c r="AE44">
        <f t="shared" si="15"/>
        <v>1.62028294107487</v>
      </c>
    </row>
    <row r="45" spans="8:31">
      <c r="U45" t="s">
        <v>340</v>
      </c>
      <c r="V45">
        <v>1.62028294107487</v>
      </c>
      <c r="W45">
        <f t="shared" si="6"/>
        <v>1.62028294107487</v>
      </c>
      <c r="X45">
        <f t="shared" ref="X45:AE45" si="16">W45</f>
        <v>1.62028294107487</v>
      </c>
      <c r="Y45">
        <f t="shared" si="16"/>
        <v>1.62028294107487</v>
      </c>
      <c r="Z45">
        <f t="shared" si="16"/>
        <v>1.62028294107487</v>
      </c>
      <c r="AA45">
        <f t="shared" si="16"/>
        <v>1.62028294107487</v>
      </c>
      <c r="AB45">
        <f t="shared" si="16"/>
        <v>1.62028294107487</v>
      </c>
      <c r="AC45">
        <f t="shared" si="16"/>
        <v>1.62028294107487</v>
      </c>
      <c r="AD45">
        <f t="shared" si="16"/>
        <v>1.62028294107487</v>
      </c>
      <c r="AE45">
        <f t="shared" si="16"/>
        <v>1.62028294107487</v>
      </c>
    </row>
    <row r="46" spans="8:31">
      <c r="U46" t="s">
        <v>765</v>
      </c>
      <c r="V46">
        <v>1.62028294107487</v>
      </c>
      <c r="W46">
        <f t="shared" si="6"/>
        <v>1.62028294107487</v>
      </c>
      <c r="X46">
        <f t="shared" ref="X46:AE46" si="17">W46</f>
        <v>1.62028294107487</v>
      </c>
      <c r="Y46">
        <f t="shared" si="17"/>
        <v>1.62028294107487</v>
      </c>
      <c r="Z46">
        <f t="shared" si="17"/>
        <v>1.62028294107487</v>
      </c>
      <c r="AA46">
        <f t="shared" si="17"/>
        <v>1.62028294107487</v>
      </c>
      <c r="AB46">
        <f t="shared" si="17"/>
        <v>1.62028294107487</v>
      </c>
      <c r="AC46">
        <f t="shared" si="17"/>
        <v>1.62028294107487</v>
      </c>
      <c r="AD46">
        <f t="shared" si="17"/>
        <v>1.62028294107487</v>
      </c>
      <c r="AE46">
        <f t="shared" si="17"/>
        <v>1.62028294107487</v>
      </c>
    </row>
    <row r="47" spans="8:31">
      <c r="U47" t="s">
        <v>329</v>
      </c>
      <c r="V47">
        <v>1.62028294107487</v>
      </c>
      <c r="W47">
        <f t="shared" si="6"/>
        <v>1.62028294107487</v>
      </c>
      <c r="X47">
        <f t="shared" ref="X47:AE47" si="18">W47</f>
        <v>1.62028294107487</v>
      </c>
      <c r="Y47">
        <f t="shared" si="18"/>
        <v>1.62028294107487</v>
      </c>
      <c r="Z47">
        <f t="shared" si="18"/>
        <v>1.62028294107487</v>
      </c>
      <c r="AA47">
        <f t="shared" si="18"/>
        <v>1.62028294107487</v>
      </c>
      <c r="AB47">
        <f t="shared" si="18"/>
        <v>1.62028294107487</v>
      </c>
      <c r="AC47">
        <f t="shared" si="18"/>
        <v>1.62028294107487</v>
      </c>
      <c r="AD47">
        <f t="shared" si="18"/>
        <v>1.62028294107487</v>
      </c>
      <c r="AE47">
        <f t="shared" si="18"/>
        <v>1.62028294107487</v>
      </c>
    </row>
    <row r="48" spans="8:31">
      <c r="U48" t="s">
        <v>766</v>
      </c>
      <c r="V48">
        <v>0</v>
      </c>
      <c r="W48">
        <f t="shared" si="6"/>
        <v>0</v>
      </c>
      <c r="X48">
        <f t="shared" ref="X48:AE48" si="19">W48</f>
        <v>0</v>
      </c>
      <c r="Y48">
        <f t="shared" si="19"/>
        <v>0</v>
      </c>
      <c r="Z48">
        <f t="shared" si="19"/>
        <v>0</v>
      </c>
      <c r="AA48">
        <f t="shared" si="19"/>
        <v>0</v>
      </c>
      <c r="AB48">
        <f t="shared" si="19"/>
        <v>0</v>
      </c>
      <c r="AC48">
        <f t="shared" si="19"/>
        <v>0</v>
      </c>
      <c r="AD48">
        <f t="shared" si="19"/>
        <v>0</v>
      </c>
      <c r="AE48">
        <f t="shared" si="19"/>
        <v>0</v>
      </c>
    </row>
    <row r="49" spans="21:31">
      <c r="U49" t="s">
        <v>331</v>
      </c>
      <c r="V49">
        <v>1.62028294107487</v>
      </c>
      <c r="W49">
        <f t="shared" si="6"/>
        <v>1.62028294107487</v>
      </c>
      <c r="X49">
        <f t="shared" ref="X49:AE49" si="20">W49</f>
        <v>1.62028294107487</v>
      </c>
      <c r="Y49">
        <f t="shared" si="20"/>
        <v>1.62028294107487</v>
      </c>
      <c r="Z49">
        <f t="shared" si="20"/>
        <v>1.62028294107487</v>
      </c>
      <c r="AA49">
        <f t="shared" si="20"/>
        <v>1.62028294107487</v>
      </c>
      <c r="AB49">
        <f t="shared" si="20"/>
        <v>1.62028294107487</v>
      </c>
      <c r="AC49">
        <f t="shared" si="20"/>
        <v>1.62028294107487</v>
      </c>
      <c r="AD49">
        <f t="shared" si="20"/>
        <v>1.62028294107487</v>
      </c>
      <c r="AE49">
        <f t="shared" si="20"/>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2026-08-14T02:27:51Z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