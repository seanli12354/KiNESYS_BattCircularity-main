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2"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<sst xmlns="http://schemas.openxmlformats.org/spreadsheetml/2006/main" count="7747" uniqueCount="751">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</sst>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134"/>
    </font>
    <font>
      <sz val="9"/>
      <name val="Tahoma"/>
      <charset val="134"/>
    </font>
    <font>
      <sz val="9"/>
      <name val="Times New Roman"/>
      <charset val="134"/>
    </font>
    <font>
      <b/>
      <sz val="9"/>
      <name val="Times New Roman"/>
      <charset val="0"/>
    </font>
    <font>
      <sz val="9"/>
      <name val="Times New Roman"/>
      <charset val="0"/>
    </font>
    <font>
      <b/>
      <sz val="9"/>
      <name val="Tahoma"/>
      <charset val="1"/>
    </font>
    <font>
      <sz val="9"/>
      <name val="Tahoma"/>
      <charset val="1"/>
    </font>
  </fonts>
  <fills count="71">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rgb="FFFF0000"/>
        <bgColor indexed="64"/>
      </patternFill>
    </fill>
    <fill>
      <patternFill patternType="solid">
        <fgColor theme="3" tint="0.599993896298105"/>
        <bgColor indexed="64"/>
      </patternFill>
    </fill>
    <fill>
      <patternFill patternType="solid">
        <fgColor theme="5"/>
        <bgColor indexed="64"/>
      </patternFill>
    </fill>
    <fill>
      <patternFill patternType="solid">
        <fgColor rgb="FFFFFF00"/>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50" borderId="27" applyNumberFormat="0" applyAlignment="0" applyProtection="0">
      <alignment vertical="center"/>
    </xf>
    <xf numFmtId="0" fontId="71" fillId="50" borderId="9" applyNumberFormat="0" applyAlignment="0" applyProtection="0">
      <alignment vertical="center"/>
    </xf>
    <xf numFmtId="0" fontId="72" fillId="51"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4" borderId="0" applyNumberFormat="0" applyBorder="0" applyAlignment="0" applyProtection="0">
      <alignment vertical="center"/>
    </xf>
    <xf numFmtId="0" fontId="77" fillId="55" borderId="0" applyNumberFormat="0" applyBorder="0" applyAlignment="0" applyProtection="0">
      <alignment vertical="center"/>
    </xf>
    <xf numFmtId="0" fontId="77" fillId="45" borderId="0" applyNumberFormat="0" applyBorder="0" applyAlignment="0" applyProtection="0">
      <alignment vertical="center"/>
    </xf>
    <xf numFmtId="0" fontId="78" fillId="56" borderId="0" applyNumberFormat="0" applyBorder="0" applyAlignment="0" applyProtection="0">
      <alignment vertical="center"/>
    </xf>
    <xf numFmtId="0" fontId="78" fillId="57" borderId="0" applyNumberFormat="0" applyBorder="0" applyAlignment="0" applyProtection="0">
      <alignment vertical="center"/>
    </xf>
    <xf numFmtId="0" fontId="77" fillId="58" borderId="0" applyNumberFormat="0" applyBorder="0" applyAlignment="0" applyProtection="0">
      <alignment vertical="center"/>
    </xf>
    <xf numFmtId="0" fontId="77" fillId="59" borderId="0" applyNumberFormat="0" applyBorder="0" applyAlignment="0" applyProtection="0">
      <alignment vertical="center"/>
    </xf>
    <xf numFmtId="0" fontId="78" fillId="60" borderId="0" applyNumberFormat="0" applyBorder="0" applyAlignment="0" applyProtection="0">
      <alignment vertical="center"/>
    </xf>
    <xf numFmtId="0" fontId="78" fillId="61" borderId="0" applyNumberFormat="0" applyBorder="0" applyAlignment="0" applyProtection="0">
      <alignment vertical="center"/>
    </xf>
    <xf numFmtId="0" fontId="77" fillId="62" borderId="0" applyNumberFormat="0" applyBorder="0" applyAlignment="0" applyProtection="0">
      <alignment vertical="center"/>
    </xf>
    <xf numFmtId="0" fontId="77" fillId="63" borderId="0" applyNumberFormat="0" applyBorder="0" applyAlignment="0" applyProtection="0">
      <alignment vertical="center"/>
    </xf>
    <xf numFmtId="0" fontId="0" fillId="13" borderId="0" applyNumberFormat="0" applyBorder="0" applyAlignment="0" applyProtection="0"/>
    <xf numFmtId="0" fontId="78" fillId="64" borderId="0" applyNumberFormat="0" applyBorder="0" applyAlignment="0" applyProtection="0">
      <alignment vertical="center"/>
    </xf>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7" borderId="0" applyNumberFormat="0" applyBorder="0" applyAlignment="0" applyProtection="0">
      <alignment vertical="center"/>
    </xf>
    <xf numFmtId="0" fontId="77" fillId="68" borderId="0" applyNumberFormat="0" applyBorder="0" applyAlignment="0" applyProtection="0">
      <alignment vertical="center"/>
    </xf>
    <xf numFmtId="0" fontId="78" fillId="23" borderId="0" applyNumberFormat="0" applyBorder="0" applyAlignment="0" applyProtection="0">
      <alignment vertical="center"/>
    </xf>
    <xf numFmtId="0" fontId="78" fillId="69" borderId="0" applyNumberFormat="0" applyBorder="0" applyAlignment="0" applyProtection="0">
      <alignment vertical="center"/>
    </xf>
    <xf numFmtId="0" fontId="77" fillId="70"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43"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4" borderId="0" xfId="61" applyFill="1"/>
    <xf numFmtId="0" fontId="0" fillId="45" borderId="0" xfId="0" applyFill="1"/>
    <xf numFmtId="0" fontId="30" fillId="39" borderId="8" xfId="61" applyFont="1" applyFill="1" applyBorder="1"/>
    <xf numFmtId="0" fontId="28" fillId="27" borderId="0" xfId="61" applyFont="1" applyFill="1"/>
    <xf numFmtId="0" fontId="24" fillId="46" borderId="0" xfId="6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46"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7"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5" borderId="0" xfId="0" applyNumberFormat="1" applyFill="1"/>
    <xf numFmtId="2" fontId="0" fillId="45"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8"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254" workbookViewId="0">
      <selection activeCell="R31" sqref="R31"/>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1" t="s">
        <v>9</v>
      </c>
      <c r="C2" s="372"/>
      <c r="D2" s="372"/>
      <c r="E2" s="372"/>
      <c r="F2" s="372"/>
      <c r="I2" s="355">
        <v>0.0520099378899987</v>
      </c>
      <c r="J2" s="354" t="s">
        <v>44</v>
      </c>
      <c r="Q2" t="s">
        <v>45</v>
      </c>
      <c r="R2" t="s">
        <v>46</v>
      </c>
      <c r="S2" t="str">
        <f t="shared" ref="S2:S11" si="0">"Trd_car_"&amp;Q2</f>
        <v>Trd_car_gsl-hyb</v>
      </c>
    </row>
    <row r="3" spans="2:24">
      <c r="I3" s="373">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8" t="s">
        <v>70</v>
      </c>
      <c r="S13" s="406">
        <v>0.9015</v>
      </c>
    </row>
    <row r="14" spans="2:24">
      <c r="B14" s="380"/>
      <c r="C14" s="381"/>
      <c r="D14" s="382"/>
      <c r="I14" s="368"/>
    </row>
    <row r="15" ht="15.25" spans="2:24">
      <c r="B15" s="380"/>
      <c r="C15" s="381"/>
      <c r="D15" s="382"/>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1">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1">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1">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65">
        <f t="shared" si="36"/>
        <v>23157.6575819394</v>
      </c>
      <c r="N177" s="365">
        <f t="shared" si="37"/>
        <v>20751.720805376</v>
      </c>
      <c r="O177" s="365">
        <f t="shared" si="38"/>
        <v>20217.5262772825</v>
      </c>
      <c r="P177" s="365">
        <f t="shared" si="39"/>
        <v>20032.534537058</v>
      </c>
      <c r="R177" s="370">
        <v>0.05</v>
      </c>
      <c r="U177" t="str">
        <f t="shared" ref="U177:U199" si="40">K177</f>
        <v>Trd_car_elc_120</v>
      </c>
      <c r="V177" t="str">
        <f ca="1" t="shared" ref="V177:V184" si="41">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2">$I$171/$I$12</f>
        <v>4.29135863605588</v>
      </c>
      <c r="J178" t="str">
        <f t="shared" si="33"/>
        <v>Trd_car_elc</v>
      </c>
      <c r="K178" t="str">
        <f t="shared" ref="K178:K184" si="43">IFERROR(IF(VALUE(C178)&gt;2020,J178&amp;"_"&amp;TEXT(B178,"000"),"\I:"),"\I:")</f>
        <v>Trd_car_elc_160</v>
      </c>
      <c r="L178" t="str">
        <f t="shared" si="35"/>
        <v>Trd_car</v>
      </c>
      <c r="M178" s="365">
        <f t="shared" si="36"/>
        <v>24797.3390883531</v>
      </c>
      <c r="N178" s="365">
        <f t="shared" si="37"/>
        <v>20898.3261358183</v>
      </c>
      <c r="O178" s="365">
        <f t="shared" si="38"/>
        <v>20316.3084785431</v>
      </c>
      <c r="P178" s="365">
        <f t="shared" si="39"/>
        <v>20114.7555730032</v>
      </c>
      <c r="R178" s="370">
        <v>0.075</v>
      </c>
      <c r="U178" t="str">
        <f t="shared" si="40"/>
        <v>Trd_car_elc_160</v>
      </c>
      <c r="V178" t="str">
        <f ca="1" t="shared" si="41"/>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2"/>
        <v>4.29135863605588</v>
      </c>
      <c r="J179" t="str">
        <f t="shared" si="33"/>
        <v>Trd_car_elc</v>
      </c>
      <c r="K179" t="str">
        <f t="shared" si="43"/>
        <v>Trd_car_elc_200</v>
      </c>
      <c r="L179" t="str">
        <f t="shared" si="35"/>
        <v>Trd_car</v>
      </c>
      <c r="M179" s="365">
        <f t="shared" si="36"/>
        <v>26437.0205947667</v>
      </c>
      <c r="N179" s="365">
        <f t="shared" si="37"/>
        <v>21188.417534353</v>
      </c>
      <c r="O179" s="365">
        <f t="shared" si="38"/>
        <v>20511.7711321012</v>
      </c>
      <c r="P179" s="365">
        <f t="shared" si="39"/>
        <v>20277.4482611501</v>
      </c>
      <c r="R179" s="370">
        <v>0.1</v>
      </c>
      <c r="U179" t="str">
        <f t="shared" si="40"/>
        <v>Trd_car_elc_200</v>
      </c>
      <c r="V179" t="str">
        <f ca="1" t="shared" si="41"/>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2"/>
        <v>4.29135863605588</v>
      </c>
      <c r="J180" t="str">
        <f t="shared" si="33"/>
        <v>Trd_car_elc</v>
      </c>
      <c r="K180" t="str">
        <f t="shared" si="43"/>
        <v>Trd_car_elc_250</v>
      </c>
      <c r="L180" t="str">
        <f t="shared" si="35"/>
        <v>Trd_car</v>
      </c>
      <c r="M180" s="365">
        <f t="shared" si="36"/>
        <v>28564.0109499813</v>
      </c>
      <c r="N180" s="365">
        <f t="shared" si="37"/>
        <v>21785.3315089368</v>
      </c>
      <c r="O180" s="365">
        <f t="shared" si="38"/>
        <v>20913.9698529438</v>
      </c>
      <c r="P180" s="365">
        <f t="shared" si="39"/>
        <v>20612.2170257811</v>
      </c>
      <c r="R180" s="370">
        <v>0.125</v>
      </c>
      <c r="U180" t="str">
        <f t="shared" si="40"/>
        <v>Trd_car_elc_250</v>
      </c>
      <c r="V180" t="str">
        <f ca="1" t="shared" si="41"/>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2"/>
        <v>4.29135863605588</v>
      </c>
      <c r="J181" t="str">
        <f t="shared" si="33"/>
        <v>Trd_car_elc</v>
      </c>
      <c r="K181" t="str">
        <f t="shared" si="43"/>
        <v>Trd_car_elc_300</v>
      </c>
      <c r="L181" t="str">
        <f t="shared" si="35"/>
        <v>Trd_car</v>
      </c>
      <c r="M181" s="365">
        <f t="shared" si="36"/>
        <v>30691.0013051959</v>
      </c>
      <c r="N181" s="365">
        <f t="shared" si="37"/>
        <v>22382.2454835207</v>
      </c>
      <c r="O181" s="365">
        <f t="shared" si="38"/>
        <v>21316.1685737864</v>
      </c>
      <c r="P181" s="365">
        <f t="shared" si="39"/>
        <v>20946.985790412</v>
      </c>
      <c r="R181" s="370">
        <v>0.15</v>
      </c>
      <c r="U181" t="str">
        <f t="shared" si="40"/>
        <v>Trd_car_elc_300</v>
      </c>
      <c r="V181" t="str">
        <f ca="1" t="shared" si="41"/>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2"/>
        <v>4.29135863605588</v>
      </c>
      <c r="J182" t="str">
        <f t="shared" si="33"/>
        <v>Trd_car_elc</v>
      </c>
      <c r="K182" t="str">
        <f t="shared" si="43"/>
        <v>Trd_car_elc_350</v>
      </c>
      <c r="L182" t="str">
        <f t="shared" si="35"/>
        <v>Trd_car</v>
      </c>
      <c r="M182" s="365">
        <f t="shared" si="36"/>
        <v>33572.5229819496</v>
      </c>
      <c r="N182" s="365">
        <f t="shared" si="37"/>
        <v>23101.8629366229</v>
      </c>
      <c r="O182" s="365">
        <f t="shared" si="38"/>
        <v>21722.7842202962</v>
      </c>
      <c r="P182" s="365">
        <f t="shared" si="39"/>
        <v>21285.4309683989</v>
      </c>
      <c r="R182" s="370">
        <v>0.175</v>
      </c>
      <c r="U182" t="str">
        <f t="shared" si="40"/>
        <v>Trd_car_elc_350</v>
      </c>
      <c r="V182" t="str">
        <f ca="1" t="shared" si="41"/>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2"/>
        <v>4.29135863605588</v>
      </c>
      <c r="J183" t="str">
        <f t="shared" si="33"/>
        <v>Trd_car_elc</v>
      </c>
      <c r="K183" t="str">
        <f t="shared" si="43"/>
        <v>Trd_car_elc_400</v>
      </c>
      <c r="L183" t="str">
        <f t="shared" si="35"/>
        <v>Trd_car</v>
      </c>
      <c r="M183" s="365">
        <f t="shared" si="36"/>
        <v>36673.347231568</v>
      </c>
      <c r="N183" s="365">
        <f t="shared" si="37"/>
        <v>23857.6885449144</v>
      </c>
      <c r="O183" s="365">
        <f t="shared" si="38"/>
        <v>22129.399866806</v>
      </c>
      <c r="P183" s="365">
        <f t="shared" si="39"/>
        <v>21623.8761463858</v>
      </c>
      <c r="R183" s="370">
        <v>0.2</v>
      </c>
      <c r="U183" t="str">
        <f t="shared" si="40"/>
        <v>Trd_car_elc_400</v>
      </c>
      <c r="V183" t="str">
        <f ca="1" t="shared" si="41"/>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2"/>
        <v>4.29135863605588</v>
      </c>
      <c r="J184" t="str">
        <f t="shared" si="33"/>
        <v>Trd_car_elc</v>
      </c>
      <c r="K184" t="str">
        <f t="shared" si="43"/>
        <v>Trd_car_elc_500</v>
      </c>
      <c r="L184" t="str">
        <f t="shared" si="35"/>
        <v>Trd_car</v>
      </c>
      <c r="M184" s="365">
        <f t="shared" si="36"/>
        <v>43532.903449399</v>
      </c>
      <c r="N184" s="365">
        <f t="shared" si="37"/>
        <v>25648.4246597977</v>
      </c>
      <c r="O184" s="365">
        <f t="shared" si="38"/>
        <v>23095.7720833501</v>
      </c>
      <c r="P184" s="365">
        <f t="shared" si="39"/>
        <v>22300.7665023597</v>
      </c>
      <c r="R184" s="361"/>
      <c r="U184" t="str">
        <f t="shared" si="40"/>
        <v>Trd_car_elc_500</v>
      </c>
      <c r="V184" t="str">
        <f ca="1" t="shared" si="41"/>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0"/>
        <v>\I:</v>
      </c>
      <c r="V185" t="str">
        <f ca="1" t="shared" ref="V185:V191" si="44">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0"/>
        <v>\I:</v>
      </c>
      <c r="V186" t="str">
        <f ca="1" t="shared" si="44"/>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0"/>
        <v>\I:</v>
      </c>
      <c r="V187" t="str">
        <f ca="1" t="shared" si="44"/>
        <v>Medium size battery electric car -- 00%</v>
      </c>
      <c r="W187" s="363" t="s">
        <v>84</v>
      </c>
      <c r="X187" s="363" t="s">
        <v>85</v>
      </c>
    </row>
    <row r="188" ht="15" customHeight="1" spans="2:24">
      <c r="B188" s="362" t="s">
        <v>29</v>
      </c>
      <c r="C188" s="385" t="s">
        <v>69</v>
      </c>
      <c r="D188" s="408"/>
      <c r="E188" s="408"/>
      <c r="F188" s="409"/>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0"/>
        <v>\I:</v>
      </c>
      <c r="V188" t="str">
        <f ca="1" t="shared" si="44"/>
        <v>Medium size hydrogen fuel cell -- Energy consumption (kg H2/100km)</v>
      </c>
      <c r="W188" s="363" t="s">
        <v>84</v>
      </c>
      <c r="X188" s="363" t="s">
        <v>85</v>
      </c>
    </row>
    <row r="189" ht="15.75" customHeight="1" spans="2:24">
      <c r="B189" s="362"/>
      <c r="C189" s="410"/>
      <c r="D189" s="411"/>
      <c r="E189" s="411"/>
      <c r="F189" s="412"/>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0"/>
        <v>\I:</v>
      </c>
      <c r="V189" t="str">
        <f ca="1" t="shared" si="44"/>
        <v>Medium size hydrogen fuel cell -- 00%</v>
      </c>
      <c r="W189" s="363" t="s">
        <v>84</v>
      </c>
      <c r="X189" s="363" t="s">
        <v>85</v>
      </c>
    </row>
    <row r="190" ht="21.75" customHeight="1" spans="2:24">
      <c r="B190" s="362"/>
      <c r="C190" s="413"/>
      <c r="D190" s="414"/>
      <c r="E190" s="414"/>
      <c r="F190" s="415"/>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0"/>
        <v>\I:</v>
      </c>
      <c r="V190" t="str">
        <f ca="1" t="shared" si="44"/>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0"/>
        <v>\I:</v>
      </c>
      <c r="V191" t="str">
        <f ca="1" t="shared" si="44"/>
        <v>Medium size hydrogen fuel cell -- 00%</v>
      </c>
      <c r="W191" s="363" t="s">
        <v>84</v>
      </c>
      <c r="X191" s="363" t="s">
        <v>85</v>
      </c>
    </row>
    <row r="192" spans="2:24">
      <c r="B192" s="404">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0"/>
        <v>Trd_car_hh2_95</v>
      </c>
      <c r="V192" t="str">
        <f ca="1">OFFSET($S$1,MATCH(J192,$S$1:$S$11,0)-1,-1)&amp;" -- "&amp;TEXT(B192,"0.00")</f>
        <v>Medium size hydrogen fuel cell -- 0.95</v>
      </c>
      <c r="W192" s="363" t="s">
        <v>84</v>
      </c>
      <c r="X192" s="363" t="s">
        <v>85</v>
      </c>
    </row>
    <row r="193" spans="2:24">
      <c r="B193" s="404">
        <v>0.906159691293763</v>
      </c>
      <c r="C193" s="86">
        <v>51333.6668176655</v>
      </c>
      <c r="D193" s="86">
        <v>36060.4543841275</v>
      </c>
      <c r="E193" s="86">
        <v>30065.5019981684</v>
      </c>
      <c r="F193" s="86">
        <v>28592.3568093659</v>
      </c>
      <c r="G193" s="75">
        <f t="shared" ref="G193:G199" si="45">B193*0.12/100*10^9/10^6</f>
        <v>1.08739162955252</v>
      </c>
      <c r="H193" s="75"/>
      <c r="I193" s="357">
        <f t="shared" ref="I193:I199" si="46">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0"/>
        <v>Trd_car_hh2_91</v>
      </c>
      <c r="V193" t="str">
        <f ca="1" t="shared" ref="V193:V199" si="47">OFFSET($S$1,MATCH(J193,$S$1:$S$11,0)-1,-1)&amp;" -- "&amp;TEXT(B193,"0.00")</f>
        <v>Medium size hydrogen fuel cell -- 0.91</v>
      </c>
      <c r="W193" s="363" t="s">
        <v>84</v>
      </c>
      <c r="X193" s="363" t="s">
        <v>85</v>
      </c>
    </row>
    <row r="194" spans="2:24">
      <c r="B194" s="404">
        <v>0.865585376758221</v>
      </c>
      <c r="C194" s="86">
        <v>51791.4017053404</v>
      </c>
      <c r="D194" s="86">
        <v>36276.064140225</v>
      </c>
      <c r="E194" s="86">
        <v>30249.8573988653</v>
      </c>
      <c r="F194" s="86">
        <v>28771.7296316655</v>
      </c>
      <c r="G194" s="75">
        <f t="shared" si="45"/>
        <v>1.03870245210987</v>
      </c>
      <c r="H194" s="75"/>
      <c r="I194" s="357">
        <f t="shared" si="46"/>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0"/>
        <v>Trd_car_hh2_87</v>
      </c>
      <c r="V194" t="str">
        <f ca="1" t="shared" si="47"/>
        <v>Medium size hydrogen fuel cell -- 0.87</v>
      </c>
      <c r="W194" s="363" t="s">
        <v>84</v>
      </c>
      <c r="X194" s="363" t="s">
        <v>85</v>
      </c>
    </row>
    <row r="195" spans="2:24">
      <c r="B195" s="404">
        <v>0.82501106222268</v>
      </c>
      <c r="C195" s="86">
        <v>54058.2346435814</v>
      </c>
      <c r="D195" s="86">
        <v>36491.6738963226</v>
      </c>
      <c r="E195" s="86">
        <v>30434.2127995621</v>
      </c>
      <c r="F195" s="86">
        <v>28951.1024539652</v>
      </c>
      <c r="G195" s="75">
        <f t="shared" si="45"/>
        <v>0.990013274667216</v>
      </c>
      <c r="H195" s="75"/>
      <c r="I195" s="357">
        <f t="shared" si="46"/>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0"/>
        <v>Trd_car_hh2_83</v>
      </c>
      <c r="V195" t="str">
        <f ca="1" t="shared" si="47"/>
        <v>Medium size hydrogen fuel cell -- 0.83</v>
      </c>
      <c r="W195" s="363" t="s">
        <v>84</v>
      </c>
      <c r="X195" s="363" t="s">
        <v>85</v>
      </c>
    </row>
    <row r="196" spans="2:24">
      <c r="B196" s="404">
        <v>0.786871206559271</v>
      </c>
      <c r="C196" s="86">
        <v>54564.0905053834</v>
      </c>
      <c r="D196" s="86">
        <v>37995.8021232778</v>
      </c>
      <c r="E196" s="86">
        <v>30618.568200259</v>
      </c>
      <c r="F196" s="86">
        <v>29130.4752762648</v>
      </c>
      <c r="G196" s="75">
        <f t="shared" si="45"/>
        <v>0.944245447871125</v>
      </c>
      <c r="H196" s="75"/>
      <c r="I196" s="357">
        <f t="shared" si="46"/>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0"/>
        <v>Trd_car_hh2_79</v>
      </c>
      <c r="V196" t="str">
        <f ca="1" t="shared" si="47"/>
        <v>Medium size hydrogen fuel cell -- 0.79</v>
      </c>
      <c r="W196" s="363" t="s">
        <v>84</v>
      </c>
      <c r="X196" s="363" t="s">
        <v>85</v>
      </c>
    </row>
    <row r="197" spans="2:24">
      <c r="B197" s="404">
        <v>0.754006011785482</v>
      </c>
      <c r="C197" s="86">
        <v>54852.8037817166</v>
      </c>
      <c r="D197" s="86">
        <v>38223.0917586269</v>
      </c>
      <c r="E197" s="86">
        <v>30802.9236009559</v>
      </c>
      <c r="F197" s="86">
        <v>29309.8480985645</v>
      </c>
      <c r="G197" s="75">
        <f t="shared" si="45"/>
        <v>0.904807214142578</v>
      </c>
      <c r="H197" s="75"/>
      <c r="I197" s="357">
        <f t="shared" si="46"/>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0"/>
        <v>Trd_car_hh2_75</v>
      </c>
      <c r="V197" t="str">
        <f ca="1" t="shared" si="47"/>
        <v>Medium size hydrogen fuel cell -- 0.75</v>
      </c>
      <c r="W197" s="363" t="s">
        <v>84</v>
      </c>
      <c r="X197" s="363" t="s">
        <v>85</v>
      </c>
    </row>
    <row r="198" spans="2:24">
      <c r="B198" s="404">
        <v>0.722222798732641</v>
      </c>
      <c r="C198" s="86">
        <v>55141.5170580497</v>
      </c>
      <c r="D198" s="86">
        <v>38450.381393976</v>
      </c>
      <c r="E198" s="86">
        <v>30987.2790016527</v>
      </c>
      <c r="F198" s="86">
        <v>29489.2209208641</v>
      </c>
      <c r="G198" s="75">
        <f t="shared" si="45"/>
        <v>0.866667358479169</v>
      </c>
      <c r="H198" s="75"/>
      <c r="I198" s="357">
        <f t="shared" si="46"/>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0"/>
        <v>Trd_car_hh2_72</v>
      </c>
      <c r="V198" t="str">
        <f ca="1" t="shared" si="47"/>
        <v>Medium size hydrogen fuel cell -- 0.72</v>
      </c>
      <c r="W198" s="363" t="s">
        <v>84</v>
      </c>
      <c r="X198" s="363" t="s">
        <v>85</v>
      </c>
    </row>
    <row r="199" spans="2:24">
      <c r="B199" s="404">
        <v>0.695849494284539</v>
      </c>
      <c r="C199" s="86">
        <v>55430.2303343829</v>
      </c>
      <c r="D199" s="86">
        <v>38677.6710293252</v>
      </c>
      <c r="E199" s="86">
        <v>31171.6344023496</v>
      </c>
      <c r="F199" s="86">
        <v>29668.5937431638</v>
      </c>
      <c r="G199" s="75">
        <f t="shared" si="45"/>
        <v>0.835019393141447</v>
      </c>
      <c r="H199" s="75"/>
      <c r="I199" s="357">
        <f t="shared" si="46"/>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0"/>
        <v>Trd_car_hh2_70</v>
      </c>
      <c r="V199" t="str">
        <f ca="1" t="shared" si="47"/>
        <v>Medium size hydrogen fuel cell -- 0.70</v>
      </c>
      <c r="W199" s="363" t="s">
        <v>84</v>
      </c>
      <c r="X199" s="36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R1" workbookViewId="0">
      <selection activeCell="T150" sqref="T150"/>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0"/>
      <c r="C13" s="381"/>
      <c r="D13" s="382"/>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8"/>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8"/>
      <c r="S18" s="365"/>
      <c r="T18" t="s">
        <v>83</v>
      </c>
      <c r="U18" t="str">
        <f t="shared" si="1"/>
        <v>\I:</v>
      </c>
      <c r="V18" t="str">
        <f ca="1" t="shared" si="2"/>
        <v>ICE gasoline LCV -- 00%</v>
      </c>
      <c r="W18" s="363" t="s">
        <v>84</v>
      </c>
      <c r="X18" s="363" t="s">
        <v>85</v>
      </c>
    </row>
    <row r="19" spans="2:24">
      <c r="B19" s="88"/>
      <c r="C19" s="400">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1">
        <f>D12</f>
        <v>17407.9785320185</v>
      </c>
      <c r="N19" s="365"/>
      <c r="O19" s="365"/>
      <c r="P19" s="365"/>
      <c r="R19" s="398"/>
      <c r="S19" s="365"/>
      <c r="T19" t="s">
        <v>83</v>
      </c>
      <c r="U19" t="str">
        <f t="shared" si="1"/>
        <v>Trd_lcv_gsl_00</v>
      </c>
      <c r="V19" t="str">
        <f ca="1" t="shared" si="2"/>
        <v>ICE gasoline LCV -- 00%</v>
      </c>
      <c r="W19" s="363" t="s">
        <v>84</v>
      </c>
      <c r="X19" s="363"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8"/>
      <c r="S20" s="365"/>
      <c r="T20" t="s">
        <v>83</v>
      </c>
      <c r="U20" t="str">
        <f t="shared" si="1"/>
        <v>Trd_lcv_gsl_15</v>
      </c>
      <c r="V20" t="str">
        <f ca="1" t="shared" si="2"/>
        <v>ICE gasoline LCV -- 15%</v>
      </c>
      <c r="W20" s="363" t="s">
        <v>84</v>
      </c>
      <c r="X20" s="363"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8"/>
      <c r="S21" s="365"/>
      <c r="T21" t="s">
        <v>83</v>
      </c>
      <c r="U21" t="str">
        <f t="shared" si="1"/>
        <v>Trd_lcv_gsl_25</v>
      </c>
      <c r="V21" t="str">
        <f ca="1" t="shared" si="2"/>
        <v>ICE gasoline LCV -- 25%</v>
      </c>
      <c r="W21" s="363" t="s">
        <v>84</v>
      </c>
      <c r="X21" s="363"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8"/>
      <c r="S22" s="365"/>
      <c r="T22" t="s">
        <v>83</v>
      </c>
      <c r="U22" t="str">
        <f t="shared" si="1"/>
        <v>Trd_lcv_gsl_35</v>
      </c>
      <c r="V22" t="str">
        <f ca="1" t="shared" si="2"/>
        <v>ICE gasoline LCV -- 35%</v>
      </c>
      <c r="W22" s="363" t="s">
        <v>84</v>
      </c>
      <c r="X22" s="363"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8"/>
      <c r="S23" s="365"/>
      <c r="T23" t="s">
        <v>83</v>
      </c>
      <c r="U23" t="str">
        <f t="shared" si="1"/>
        <v>Trd_lcv_gsl_40</v>
      </c>
      <c r="V23" t="str">
        <f ca="1" t="shared" si="2"/>
        <v>ICE gasoline LCV -- 40%</v>
      </c>
      <c r="W23" s="363" t="s">
        <v>84</v>
      </c>
      <c r="X23" s="363"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8"/>
      <c r="S24" s="365"/>
      <c r="T24" t="s">
        <v>83</v>
      </c>
      <c r="U24" t="str">
        <f t="shared" si="1"/>
        <v>Trd_lcv_gsl_45</v>
      </c>
      <c r="V24" t="str">
        <f ca="1" t="shared" si="2"/>
        <v>ICE gasoline LCV -- 45%</v>
      </c>
      <c r="W24" s="363" t="s">
        <v>84</v>
      </c>
      <c r="X24" s="363"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8"/>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0">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0">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0">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1">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0">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0">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0">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1">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0">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0">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2">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65">
        <f t="shared" si="39"/>
        <v>22060.8898906779</v>
      </c>
      <c r="N156" s="365">
        <f t="shared" si="40"/>
        <v>18978.0198753824</v>
      </c>
      <c r="O156" s="365">
        <f t="shared" si="41"/>
        <v>18465.8673516113</v>
      </c>
      <c r="P156" s="365">
        <f t="shared" si="42"/>
        <v>18288.5087647105</v>
      </c>
      <c r="R156" s="370">
        <v>0.05</v>
      </c>
      <c r="U156" t="str">
        <f t="shared" si="34"/>
        <v>Trd_lcv_elc_120</v>
      </c>
      <c r="V156" t="str">
        <f ca="1" t="shared" ref="V156:V163" si="43">OFFSET($S$1,MATCH(J156,$S$1:$S$10,0)-1,-1)&amp;" -- "&amp;TEXT(B156,"000")</f>
        <v>Battery electric LCV -- 120</v>
      </c>
      <c r="W156" s="363" t="s">
        <v>84</v>
      </c>
      <c r="X156" s="363" t="s">
        <v>85</v>
      </c>
    </row>
    <row r="157" spans="2:24">
      <c r="B157" s="66">
        <v>160</v>
      </c>
      <c r="C157" s="402">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65">
        <f t="shared" si="39"/>
        <v>23847.6536151786</v>
      </c>
      <c r="N157" s="365">
        <f t="shared" si="40"/>
        <v>20088.9351310926</v>
      </c>
      <c r="O157" s="365">
        <f t="shared" si="41"/>
        <v>19214.3984864749</v>
      </c>
      <c r="P157" s="365">
        <f t="shared" si="42"/>
        <v>18911.5461597104</v>
      </c>
      <c r="R157" s="370">
        <v>0.05</v>
      </c>
      <c r="U157" t="str">
        <f t="shared" si="34"/>
        <v>Trd_lcv_elc_160</v>
      </c>
      <c r="V157" t="str">
        <f ca="1" t="shared" si="43"/>
        <v>Battery electric LCV -- 160</v>
      </c>
      <c r="W157" s="363" t="s">
        <v>84</v>
      </c>
      <c r="X157" s="363" t="s">
        <v>85</v>
      </c>
    </row>
    <row r="158" spans="2:24">
      <c r="B158" s="66">
        <v>200</v>
      </c>
      <c r="C158" s="402">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65">
        <f t="shared" si="39"/>
        <v>25634.4173396793</v>
      </c>
      <c r="N158" s="365">
        <f t="shared" si="40"/>
        <v>20759.4262694129</v>
      </c>
      <c r="O158" s="365">
        <f t="shared" si="41"/>
        <v>19666.1732641666</v>
      </c>
      <c r="P158" s="365">
        <f t="shared" si="42"/>
        <v>19287.5793900062</v>
      </c>
      <c r="R158" s="370">
        <v>0.05</v>
      </c>
      <c r="U158" t="str">
        <f t="shared" si="34"/>
        <v>Trd_lcv_elc_200</v>
      </c>
      <c r="V158" t="str">
        <f ca="1" t="shared" si="43"/>
        <v>Battery electric LCV -- 200</v>
      </c>
      <c r="W158" s="363" t="s">
        <v>84</v>
      </c>
      <c r="X158" s="363" t="s">
        <v>85</v>
      </c>
    </row>
    <row r="159" spans="2:24">
      <c r="B159" s="66">
        <v>250</v>
      </c>
      <c r="C159" s="402">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65">
        <f t="shared" si="39"/>
        <v>27948.3523689399</v>
      </c>
      <c r="N159" s="365">
        <f t="shared" si="40"/>
        <v>21676.7267933811</v>
      </c>
      <c r="O159" s="365">
        <f t="shared" si="41"/>
        <v>20284.2474140061</v>
      </c>
      <c r="P159" s="365">
        <f t="shared" si="42"/>
        <v>19802.031348378</v>
      </c>
      <c r="R159" s="370">
        <v>0.125</v>
      </c>
      <c r="U159" t="str">
        <f t="shared" si="34"/>
        <v>Trd_lcv_elc_250</v>
      </c>
      <c r="V159" t="str">
        <f ca="1" t="shared" si="43"/>
        <v>Battery electric LCV -- 250</v>
      </c>
      <c r="W159" s="363" t="s">
        <v>84</v>
      </c>
      <c r="X159" s="363" t="s">
        <v>85</v>
      </c>
    </row>
    <row r="160" spans="2:24">
      <c r="B160" s="66">
        <v>300</v>
      </c>
      <c r="C160" s="402">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65">
        <f t="shared" si="39"/>
        <v>30262.2873982005</v>
      </c>
      <c r="N160" s="365">
        <f t="shared" si="40"/>
        <v>22594.0273173494</v>
      </c>
      <c r="O160" s="365">
        <f t="shared" si="41"/>
        <v>20902.3215638457</v>
      </c>
      <c r="P160" s="365">
        <f t="shared" si="42"/>
        <v>20316.4833067498</v>
      </c>
      <c r="R160" s="370">
        <v>0.15</v>
      </c>
      <c r="U160" t="str">
        <f t="shared" si="34"/>
        <v>Trd_lcv_elc_300</v>
      </c>
      <c r="V160" t="str">
        <f ca="1" t="shared" si="43"/>
        <v>Battery electric LCV -- 300</v>
      </c>
      <c r="W160" s="363" t="s">
        <v>84</v>
      </c>
      <c r="X160" s="363" t="s">
        <v>85</v>
      </c>
    </row>
    <row r="161" spans="1:24">
      <c r="B161" s="66">
        <v>350</v>
      </c>
      <c r="C161" s="402">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65">
        <f t="shared" si="39"/>
        <v>33408.2814289264</v>
      </c>
      <c r="N161" s="365">
        <f t="shared" si="40"/>
        <v>23702.9684508776</v>
      </c>
      <c r="O161" s="365">
        <f t="shared" si="41"/>
        <v>21525.9824247356</v>
      </c>
      <c r="P161" s="365">
        <f t="shared" si="42"/>
        <v>20835.585345442</v>
      </c>
      <c r="R161" s="370">
        <v>0.175</v>
      </c>
      <c r="U161" t="str">
        <f t="shared" si="34"/>
        <v>Trd_lcv_elc_350</v>
      </c>
      <c r="V161" t="str">
        <f ca="1" t="shared" si="43"/>
        <v>Battery electric LCV -- 350</v>
      </c>
      <c r="W161" s="363" t="s">
        <v>84</v>
      </c>
      <c r="X161" s="363" t="s">
        <v>85</v>
      </c>
    </row>
    <row r="162" spans="1:24">
      <c r="B162" s="66">
        <v>400</v>
      </c>
      <c r="C162" s="402">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65">
        <f t="shared" si="39"/>
        <v>36792.6829441682</v>
      </c>
      <c r="N162" s="365">
        <f t="shared" si="40"/>
        <v>24867.4450991613</v>
      </c>
      <c r="O162" s="365">
        <f t="shared" si="41"/>
        <v>22149.6432856255</v>
      </c>
      <c r="P162" s="365">
        <f t="shared" si="42"/>
        <v>21354.6873841341</v>
      </c>
      <c r="R162" s="370">
        <v>0.2</v>
      </c>
      <c r="U162" t="str">
        <f t="shared" si="34"/>
        <v>Trd_lcv_elc_400</v>
      </c>
      <c r="V162" t="str">
        <f ca="1" t="shared" si="43"/>
        <v>Battery electric LCV -- 400</v>
      </c>
      <c r="W162" s="363" t="s">
        <v>84</v>
      </c>
      <c r="X162" s="363" t="s">
        <v>85</v>
      </c>
    </row>
    <row r="163" spans="1:24">
      <c r="B163" s="66">
        <v>500</v>
      </c>
      <c r="C163" s="402">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65">
        <f t="shared" si="39"/>
        <v>44276.7084281994</v>
      </c>
      <c r="N163" s="365">
        <f t="shared" si="40"/>
        <v>27629.6574330657</v>
      </c>
      <c r="O163" s="365">
        <f t="shared" si="41"/>
        <v>23636.5244664208</v>
      </c>
      <c r="P163" s="365">
        <f t="shared" si="42"/>
        <v>22392.8914615185</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46">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46"/>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46"/>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46"/>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46"/>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46"/>
        <v>Hydrogen fuel cell LCV -- 00%</v>
      </c>
      <c r="W169" s="363" t="s">
        <v>84</v>
      </c>
      <c r="X169" s="363" t="s">
        <v>85</v>
      </c>
    </row>
    <row r="170" spans="1:24">
      <c r="B170" s="88"/>
      <c r="C170" s="400">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46"/>
        <v>Hydrogen fuel cell LCV -- 00%</v>
      </c>
      <c r="W170" s="363" t="s">
        <v>84</v>
      </c>
      <c r="X170" s="363"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4">
        <v>1.15387686415272</v>
      </c>
      <c r="C172" s="402">
        <v>46326.8277788115</v>
      </c>
      <c r="D172" s="86">
        <v>33899.2903831972</v>
      </c>
      <c r="E172" s="86">
        <v>28102.7819901918</v>
      </c>
      <c r="F172" s="86">
        <v>26680.6458603409</v>
      </c>
      <c r="G172" s="75">
        <f t="shared" ref="G172:G178" si="47">B172*0.12/100*10^9/10^6</f>
        <v>1.38465223698326</v>
      </c>
      <c r="H172" s="75"/>
      <c r="I172" s="357">
        <f t="shared" ref="I172:I178" si="48">1/G172/$I$11</f>
        <v>1.93769077347827</v>
      </c>
      <c r="J172" t="str">
        <f t="shared" si="38"/>
        <v>Trd_lcv_hh2</v>
      </c>
      <c r="K172" t="str">
        <f t="shared" ref="K172:K178" si="49">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0">OFFSET($S$1,MATCH(J172,$S$1:$S$10,0)-1,-1)&amp;" -- "&amp;TEXT(B172,"0.0")</f>
        <v>Hydrogen fuel cell LCV -- 1.2</v>
      </c>
      <c r="W172" s="363" t="s">
        <v>84</v>
      </c>
      <c r="X172" s="363" t="s">
        <v>85</v>
      </c>
    </row>
    <row r="173" spans="1:24">
      <c r="A173" s="75"/>
      <c r="B173" s="404">
        <v>1.10221073590708</v>
      </c>
      <c r="C173" s="402">
        <v>47015.1741892966</v>
      </c>
      <c r="D173" s="86">
        <v>34286.2822531159</v>
      </c>
      <c r="E173" s="86">
        <v>28433.6762991349</v>
      </c>
      <c r="F173" s="86">
        <v>27002.5970798531</v>
      </c>
      <c r="G173" s="75">
        <f t="shared" si="47"/>
        <v>1.3226528830885</v>
      </c>
      <c r="H173" s="75"/>
      <c r="I173" s="357">
        <f t="shared" si="48"/>
        <v>2.02852002848505</v>
      </c>
      <c r="J173" t="str">
        <f t="shared" si="38"/>
        <v>Trd_lcv_hh2</v>
      </c>
      <c r="K173" t="str">
        <f t="shared" si="49"/>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0"/>
        <v>Hydrogen fuel cell LCV -- 1.1</v>
      </c>
      <c r="W173" s="363" t="s">
        <v>84</v>
      </c>
      <c r="X173" s="363" t="s">
        <v>85</v>
      </c>
    </row>
    <row r="174" spans="1:24">
      <c r="A174" s="75"/>
      <c r="B174" s="404">
        <v>1.05054460766144</v>
      </c>
      <c r="C174" s="402">
        <v>49703.0325829883</v>
      </c>
      <c r="D174" s="86">
        <v>34673.2741230346</v>
      </c>
      <c r="E174" s="86">
        <v>28764.570608078</v>
      </c>
      <c r="F174" s="86">
        <v>27324.5482993653</v>
      </c>
      <c r="G174" s="75">
        <f t="shared" si="47"/>
        <v>1.26065352919373</v>
      </c>
      <c r="H174" s="75"/>
      <c r="I174" s="357">
        <f t="shared" si="48"/>
        <v>2.12828330857447</v>
      </c>
      <c r="J174" t="str">
        <f t="shared" si="38"/>
        <v>Trd_lcv_hh2</v>
      </c>
      <c r="K174" t="str">
        <f t="shared" si="49"/>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0"/>
        <v>Hydrogen fuel cell LCV -- 1.1</v>
      </c>
      <c r="W174" s="363" t="s">
        <v>84</v>
      </c>
      <c r="X174" s="363" t="s">
        <v>85</v>
      </c>
    </row>
    <row r="175" spans="1:24">
      <c r="A175" s="75"/>
      <c r="B175" s="404">
        <v>0.998878479415791</v>
      </c>
      <c r="C175" s="402">
        <v>50460.9409463544</v>
      </c>
      <c r="D175" s="86">
        <v>36490.73991933</v>
      </c>
      <c r="E175" s="86">
        <v>29095.4649170211</v>
      </c>
      <c r="F175" s="86">
        <v>27646.4995188775</v>
      </c>
      <c r="G175" s="75">
        <f t="shared" si="47"/>
        <v>1.19865417529895</v>
      </c>
      <c r="H175" s="75"/>
      <c r="I175" s="357">
        <f t="shared" si="48"/>
        <v>2.23836692798351</v>
      </c>
      <c r="J175" t="str">
        <f t="shared" si="38"/>
        <v>Trd_lcv_hh2</v>
      </c>
      <c r="K175" t="str">
        <f t="shared" si="49"/>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0"/>
        <v>Hydrogen fuel cell LCV -- 1.0</v>
      </c>
      <c r="W175" s="363" t="s">
        <v>84</v>
      </c>
      <c r="X175" s="363" t="s">
        <v>85</v>
      </c>
    </row>
    <row r="176" spans="1:24">
      <c r="A176" s="75"/>
      <c r="B176" s="404">
        <v>0.947212351170146</v>
      </c>
      <c r="C176" s="402">
        <v>50979.1442628498</v>
      </c>
      <c r="D176" s="86">
        <v>36898.6956750849</v>
      </c>
      <c r="E176" s="86">
        <v>29426.3592259642</v>
      </c>
      <c r="F176" s="86">
        <v>27968.4507383897</v>
      </c>
      <c r="G176" s="75">
        <f t="shared" si="47"/>
        <v>1.13665482140418</v>
      </c>
      <c r="H176" s="75"/>
      <c r="I176" s="357">
        <f t="shared" si="48"/>
        <v>2.36045966950988</v>
      </c>
      <c r="J176" t="str">
        <f t="shared" si="38"/>
        <v>Trd_lcv_hh2</v>
      </c>
      <c r="K176" t="str">
        <f t="shared" si="49"/>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0"/>
        <v>Hydrogen fuel cell LCV -- 0.9</v>
      </c>
      <c r="W176" s="363" t="s">
        <v>84</v>
      </c>
      <c r="X176" s="363" t="s">
        <v>85</v>
      </c>
    </row>
    <row r="177" ht="15.75" customHeight="1" spans="1:24">
      <c r="A177" s="75"/>
      <c r="B177" s="404">
        <v>0.895546222924502</v>
      </c>
      <c r="C177" s="402">
        <v>51497.3475793452</v>
      </c>
      <c r="D177" s="86">
        <v>37306.6514308397</v>
      </c>
      <c r="E177" s="86">
        <v>29757.2535349073</v>
      </c>
      <c r="F177" s="86">
        <v>28290.4019579018</v>
      </c>
      <c r="G177" s="75">
        <f t="shared" si="47"/>
        <v>1.0746554675094</v>
      </c>
      <c r="H177" s="75"/>
      <c r="I177" s="357">
        <f t="shared" si="48"/>
        <v>2.49664003505853</v>
      </c>
      <c r="J177" t="str">
        <f t="shared" si="38"/>
        <v>Trd_lcv_hh2</v>
      </c>
      <c r="K177" t="str">
        <f t="shared" si="49"/>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0"/>
        <v>Hydrogen fuel cell LCV -- 0.9</v>
      </c>
      <c r="W177" s="363" t="s">
        <v>84</v>
      </c>
      <c r="X177" s="363" t="s">
        <v>85</v>
      </c>
    </row>
    <row r="178" ht="15.75" customHeight="1" spans="1:24">
      <c r="A178" s="75"/>
      <c r="B178" s="404">
        <v>0.843880094678858</v>
      </c>
      <c r="C178" s="402">
        <v>52015.5508958406</v>
      </c>
      <c r="D178" s="86">
        <v>37714.6071865946</v>
      </c>
      <c r="E178" s="86">
        <v>30088.1478438504</v>
      </c>
      <c r="F178" s="86">
        <v>28612.3531774141</v>
      </c>
      <c r="G178" s="75">
        <f t="shared" si="47"/>
        <v>1.01265611361463</v>
      </c>
      <c r="H178" s="75"/>
      <c r="I178" s="357">
        <f t="shared" si="48"/>
        <v>2.64949554740905</v>
      </c>
      <c r="J178" t="str">
        <f t="shared" si="38"/>
        <v>Trd_lcv_hh2</v>
      </c>
      <c r="K178" t="str">
        <f t="shared" si="49"/>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0"/>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O17" workbookViewId="0">
      <selection activeCell="H16" sqref="H1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7"/>
      <c r="E1" s="377"/>
      <c r="F1" s="378"/>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79" t="s">
        <v>112</v>
      </c>
      <c r="C3" s="352"/>
      <c r="D3" s="352"/>
      <c r="E3" s="352"/>
      <c r="F3" s="353"/>
      <c r="I3" s="373">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0"/>
      <c r="C9" s="381"/>
      <c r="D9" s="382"/>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4" t="s">
        <v>119</v>
      </c>
      <c r="C12" s="362"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4"/>
      <c r="C13" s="362"/>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4"/>
      <c r="C14" s="362"/>
      <c r="D14" s="374"/>
      <c r="E14" s="374"/>
      <c r="F14" s="374"/>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4" t="s">
        <v>119</v>
      </c>
      <c r="C26" s="362" t="s">
        <v>111</v>
      </c>
      <c r="D26" s="374"/>
      <c r="E26" s="374"/>
      <c r="F26" s="374"/>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4"/>
      <c r="C27" s="362"/>
      <c r="D27" s="374"/>
      <c r="E27" s="374"/>
      <c r="F27" s="374"/>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4"/>
      <c r="C28" s="362"/>
      <c r="D28" s="374"/>
      <c r="E28" s="374"/>
      <c r="F28" s="374"/>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4" t="s">
        <v>121</v>
      </c>
      <c r="C47" s="362" t="s">
        <v>114</v>
      </c>
      <c r="D47" s="374"/>
      <c r="E47" s="374"/>
      <c r="F47" s="374"/>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4"/>
      <c r="C48" s="362"/>
      <c r="D48" s="374"/>
      <c r="E48" s="374"/>
      <c r="F48" s="374"/>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4"/>
      <c r="C49" s="362"/>
      <c r="D49" s="374"/>
      <c r="E49" s="374"/>
      <c r="F49" s="374"/>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4" t="s">
        <v>123</v>
      </c>
      <c r="C67" s="362" t="s">
        <v>115</v>
      </c>
      <c r="D67" s="374"/>
      <c r="E67" s="374"/>
      <c r="F67" s="374"/>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4"/>
      <c r="C68" s="362"/>
      <c r="D68" s="374"/>
      <c r="E68" s="374"/>
      <c r="F68" s="374"/>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4"/>
      <c r="C69" s="362"/>
      <c r="D69" s="374"/>
      <c r="E69" s="374"/>
      <c r="F69" s="374"/>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4" t="s">
        <v>27</v>
      </c>
      <c r="C85" s="362" t="s">
        <v>117</v>
      </c>
      <c r="D85" s="374"/>
      <c r="E85" s="374"/>
      <c r="F85" s="374"/>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4"/>
      <c r="C86" s="362"/>
      <c r="D86" s="374"/>
      <c r="E86" s="374"/>
      <c r="F86" s="374"/>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4"/>
      <c r="C87" s="362"/>
      <c r="D87" s="374"/>
      <c r="E87" s="374"/>
      <c r="F87" s="374"/>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65">
        <f t="shared" si="25"/>
        <v>144373.905423467</v>
      </c>
      <c r="N89" s="365">
        <f t="shared" si="26"/>
        <v>95780.7302979094</v>
      </c>
      <c r="O89" s="365">
        <f t="shared" si="27"/>
        <v>90629.9070208589</v>
      </c>
      <c r="P89" s="365">
        <f t="shared" si="28"/>
        <v>88752.5161176525</v>
      </c>
      <c r="R89" s="370">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65">
        <f t="shared" si="25"/>
        <v>147802.362213157</v>
      </c>
      <c r="N90" s="365">
        <f t="shared" si="26"/>
        <v>97793.4993710964</v>
      </c>
      <c r="O90" s="365">
        <f t="shared" si="27"/>
        <v>92046.7492662401</v>
      </c>
      <c r="P90" s="365">
        <f t="shared" si="28"/>
        <v>89776.9226508232</v>
      </c>
      <c r="R90" s="370">
        <v>0.01</v>
      </c>
      <c r="U90" t="str">
        <f t="shared" si="31"/>
        <v>Trd_hdt_elc_179</v>
      </c>
      <c r="V90" t="str">
        <f ca="1" t="shared" ref="V90:V96" si="35">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65">
        <f t="shared" si="25"/>
        <v>149288.810561655</v>
      </c>
      <c r="N91" s="365">
        <f t="shared" si="26"/>
        <v>100585.833714969</v>
      </c>
      <c r="O91" s="365">
        <f t="shared" si="27"/>
        <v>93658.4385500626</v>
      </c>
      <c r="P91" s="365">
        <f t="shared" si="28"/>
        <v>90964.2849465796</v>
      </c>
      <c r="R91" s="370">
        <v>0.01</v>
      </c>
      <c r="U91" t="str">
        <f t="shared" si="31"/>
        <v>Trd_hdt_elc_207</v>
      </c>
      <c r="V91" t="str">
        <f ca="1" t="shared" si="35"/>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65">
        <f t="shared" si="25"/>
        <v>152494.108762408</v>
      </c>
      <c r="N92" s="365">
        <f t="shared" si="26"/>
        <v>102554.343444586</v>
      </c>
      <c r="O92" s="365">
        <f t="shared" si="27"/>
        <v>94660.0138665998</v>
      </c>
      <c r="P92" s="365">
        <f t="shared" si="28"/>
        <v>92014.5204906916</v>
      </c>
      <c r="R92" s="370">
        <v>0.01</v>
      </c>
      <c r="U92" t="str">
        <f t="shared" si="31"/>
        <v>Trd_hdt_elc_236</v>
      </c>
      <c r="V92" t="str">
        <f ca="1" t="shared" si="35"/>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65">
        <f t="shared" si="25"/>
        <v>155632.353081546</v>
      </c>
      <c r="N93" s="365">
        <f t="shared" si="26"/>
        <v>104580.228913704</v>
      </c>
      <c r="O93" s="365">
        <f t="shared" si="27"/>
        <v>95569.8225134195</v>
      </c>
      <c r="P93" s="365">
        <f t="shared" si="28"/>
        <v>92930.9045082581</v>
      </c>
      <c r="R93" s="370">
        <v>0.05</v>
      </c>
      <c r="U93" t="str">
        <f t="shared" si="31"/>
        <v>Trd_hdt_elc_264</v>
      </c>
      <c r="V93" t="str">
        <f ca="1" t="shared" si="35"/>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65">
        <f t="shared" si="25"/>
        <v>159704.765843061</v>
      </c>
      <c r="N94" s="365">
        <f t="shared" si="26"/>
        <v>107786.20577947</v>
      </c>
      <c r="O94" s="365">
        <f t="shared" si="27"/>
        <v>98254.3480327816</v>
      </c>
      <c r="P94" s="365">
        <f t="shared" si="28"/>
        <v>95331.8317326809</v>
      </c>
      <c r="R94" s="370">
        <v>0.1</v>
      </c>
      <c r="U94" t="str">
        <f t="shared" si="31"/>
        <v>Trd_hdt_elc_350</v>
      </c>
      <c r="V94" t="str">
        <f ca="1" t="shared" si="35"/>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65">
        <f t="shared" si="25"/>
        <v>179612.758472383</v>
      </c>
      <c r="N95" s="365">
        <f t="shared" si="26"/>
        <v>119565.16497781</v>
      </c>
      <c r="O95" s="365">
        <f t="shared" si="27"/>
        <v>104086.944839593</v>
      </c>
      <c r="P95" s="365">
        <f t="shared" si="28"/>
        <v>100030.341013554</v>
      </c>
      <c r="R95" s="370">
        <v>0.2</v>
      </c>
      <c r="U95" t="str">
        <f t="shared" si="31"/>
        <v>Trd_hdt_elc_500</v>
      </c>
      <c r="V95" t="str">
        <f ca="1" t="shared" si="35"/>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65">
        <f t="shared" si="25"/>
        <v>193069.495161372</v>
      </c>
      <c r="N96" s="365">
        <f t="shared" si="26"/>
        <v>125556.819841456</v>
      </c>
      <c r="O96" s="365">
        <f t="shared" si="27"/>
        <v>111128.241503766</v>
      </c>
      <c r="P96" s="365">
        <f t="shared" si="28"/>
        <v>104587.124680729</v>
      </c>
      <c r="R96" s="361"/>
      <c r="U96" t="str">
        <f t="shared" si="31"/>
        <v>Trd_hdt_elc_600</v>
      </c>
      <c r="V96" t="str">
        <f ca="1" t="shared" si="35"/>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4" t="s">
        <v>29</v>
      </c>
      <c r="C100" s="385" t="s">
        <v>118</v>
      </c>
      <c r="D100" s="386"/>
      <c r="E100" s="386"/>
      <c r="F100" s="387"/>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8"/>
      <c r="C101" s="389"/>
      <c r="D101" s="390"/>
      <c r="E101" s="390"/>
      <c r="F101" s="391"/>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2"/>
      <c r="C102" s="393"/>
      <c r="D102" s="394"/>
      <c r="E102" s="394"/>
      <c r="F102" s="395"/>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57">
        <f t="shared" ref="I105:I111" si="37">1/G105/$I$7</f>
        <v>1.71280076190358</v>
      </c>
      <c r="J105" t="str">
        <f t="shared" si="23"/>
        <v>Trd_hdt_hh2</v>
      </c>
      <c r="K105" t="str">
        <f t="shared" ref="K105:K111" si="38">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39">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36"/>
        <v>4.05850653459058</v>
      </c>
      <c r="H106" s="75"/>
      <c r="I106" s="357">
        <f t="shared" si="37"/>
        <v>1.76797945916189</v>
      </c>
      <c r="J106" t="str">
        <f t="shared" si="23"/>
        <v>Trd_hdt_hh2</v>
      </c>
      <c r="K106" t="str">
        <f t="shared" si="38"/>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39"/>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36"/>
        <v>3.92775980188586</v>
      </c>
      <c r="H107" s="75"/>
      <c r="I107" s="357">
        <f t="shared" si="37"/>
        <v>1.82683171832078</v>
      </c>
      <c r="J107" t="str">
        <f t="shared" si="23"/>
        <v>Trd_hdt_hh2</v>
      </c>
      <c r="K107" t="str">
        <f t="shared" si="38"/>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39"/>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36"/>
        <v>3.79701306918116</v>
      </c>
      <c r="H108" s="75"/>
      <c r="I108" s="357">
        <f t="shared" si="37"/>
        <v>1.88973702678822</v>
      </c>
      <c r="J108" t="str">
        <f t="shared" si="23"/>
        <v>Trd_hdt_hh2</v>
      </c>
      <c r="K108" t="str">
        <f t="shared" si="38"/>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39"/>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36"/>
        <v>3.66626633647645</v>
      </c>
      <c r="H109" s="75"/>
      <c r="I109" s="357">
        <f t="shared" si="37"/>
        <v>1.95712900523383</v>
      </c>
      <c r="J109" t="str">
        <f t="shared" si="23"/>
        <v>Trd_hdt_hh2</v>
      </c>
      <c r="K109" t="str">
        <f t="shared" si="38"/>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39"/>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36"/>
        <v>3.53551960377174</v>
      </c>
      <c r="H110" s="75"/>
      <c r="I110" s="357">
        <f t="shared" si="37"/>
        <v>2.02950541707523</v>
      </c>
      <c r="J110" t="str">
        <f t="shared" si="23"/>
        <v>Trd_hdt_hh2</v>
      </c>
      <c r="K110" t="str">
        <f t="shared" si="38"/>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39"/>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36"/>
        <v>3.40477287106703</v>
      </c>
      <c r="H111" s="75"/>
      <c r="I111" s="357">
        <f t="shared" si="37"/>
        <v>2.10744048421113</v>
      </c>
      <c r="J111" t="str">
        <f t="shared" si="23"/>
        <v>Trd_hdt_hh2</v>
      </c>
      <c r="K111" t="str">
        <f t="shared" si="38"/>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39"/>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A8" workbookViewId="0">
      <selection activeCell="R17" sqref="R17"/>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4" t="s">
        <v>140</v>
      </c>
      <c r="C32" s="374" t="s">
        <v>128</v>
      </c>
      <c r="D32" s="374"/>
      <c r="E32" s="374"/>
      <c r="F32" s="374"/>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4"/>
      <c r="C33" s="374"/>
      <c r="D33" s="374"/>
      <c r="E33" s="374"/>
      <c r="F33" s="374"/>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4"/>
      <c r="C34" s="374"/>
      <c r="D34" s="374"/>
      <c r="E34" s="374"/>
      <c r="F34" s="374"/>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4" t="s">
        <v>140</v>
      </c>
      <c r="C52" s="374" t="s">
        <v>129</v>
      </c>
      <c r="D52" s="374"/>
      <c r="E52" s="374"/>
      <c r="F52" s="374"/>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4"/>
      <c r="C53" s="374"/>
      <c r="D53" s="374"/>
      <c r="E53" s="374"/>
      <c r="F53" s="374"/>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4"/>
      <c r="C54" s="374"/>
      <c r="D54" s="374"/>
      <c r="E54" s="374"/>
      <c r="F54" s="374"/>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4" t="s">
        <v>140</v>
      </c>
      <c r="C72" s="374" t="s">
        <v>131</v>
      </c>
      <c r="D72" s="374"/>
      <c r="E72" s="374"/>
      <c r="F72" s="374"/>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4"/>
      <c r="C73" s="374"/>
      <c r="D73" s="374"/>
      <c r="E73" s="374"/>
      <c r="F73" s="374"/>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4"/>
      <c r="C74" s="374"/>
      <c r="D74" s="374"/>
      <c r="E74" s="374"/>
      <c r="F74" s="374"/>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5">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5">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5">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5">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4" t="s">
        <v>27</v>
      </c>
      <c r="C90" s="374" t="s">
        <v>134</v>
      </c>
      <c r="D90" s="374"/>
      <c r="E90" s="374"/>
      <c r="F90" s="374"/>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4"/>
      <c r="C91" s="374"/>
      <c r="D91" s="374"/>
      <c r="E91" s="374"/>
      <c r="F91" s="374"/>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4"/>
      <c r="C92" s="374"/>
      <c r="D92" s="374"/>
      <c r="E92" s="374"/>
      <c r="F92" s="374"/>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5">
        <f t="shared" si="23"/>
        <v>5018.464761349</v>
      </c>
      <c r="N94" s="365">
        <f t="shared" si="24"/>
        <v>3932.02158644446</v>
      </c>
      <c r="O94" s="365">
        <f t="shared" si="25"/>
        <v>3377.5952597276</v>
      </c>
      <c r="P94" s="365">
        <f t="shared" si="26"/>
        <v>3216.18278317439</v>
      </c>
      <c r="S94" s="370">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5">
        <f t="shared" si="23"/>
        <v>5255.17880196333</v>
      </c>
      <c r="N95" s="365">
        <f t="shared" si="24"/>
        <v>4065.26484849646</v>
      </c>
      <c r="O95" s="365">
        <f t="shared" si="25"/>
        <v>3458.03601447322</v>
      </c>
      <c r="P95" s="365">
        <f t="shared" si="26"/>
        <v>3281.25092110542</v>
      </c>
      <c r="S95" s="370">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5">
        <f t="shared" si="23"/>
        <v>5368.6042797577</v>
      </c>
      <c r="N96" s="365">
        <f t="shared" si="24"/>
        <v>4129.11057822971</v>
      </c>
      <c r="O96" s="365">
        <f t="shared" si="25"/>
        <v>3496.58054278884</v>
      </c>
      <c r="P96" s="365">
        <f t="shared" si="26"/>
        <v>3312.42940386404</v>
      </c>
      <c r="S96" s="370">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5">
        <f t="shared" si="23"/>
        <v>5409.04292836265</v>
      </c>
      <c r="N97" s="365">
        <f t="shared" si="24"/>
        <v>4151.87296883025</v>
      </c>
      <c r="O97" s="365">
        <f t="shared" si="25"/>
        <v>3510.32250505788</v>
      </c>
      <c r="P97" s="365">
        <f t="shared" si="26"/>
        <v>3323.54521076059</v>
      </c>
      <c r="S97" s="370">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5">
        <f t="shared" si="23"/>
        <v>5536.27672519285</v>
      </c>
      <c r="N98" s="365">
        <f t="shared" si="24"/>
        <v>4223.4912221832</v>
      </c>
      <c r="O98" s="365">
        <f t="shared" si="25"/>
        <v>3553.55941073366</v>
      </c>
      <c r="P98" s="365">
        <f t="shared" si="26"/>
        <v>3358.51933489852</v>
      </c>
      <c r="S98" s="370">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5">
        <f t="shared" si="23"/>
        <v>5651.67481999234</v>
      </c>
      <c r="N99" s="365">
        <f t="shared" si="24"/>
        <v>4288.44731243355</v>
      </c>
      <c r="O99" s="365">
        <f t="shared" si="25"/>
        <v>3592.77427867215</v>
      </c>
      <c r="P99" s="365">
        <f t="shared" si="26"/>
        <v>3390.2400521399</v>
      </c>
      <c r="S99" s="370">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5">
        <f t="shared" si="23"/>
        <v>5820.33357393005</v>
      </c>
      <c r="N100" s="365">
        <f t="shared" si="24"/>
        <v>4383.38313664559</v>
      </c>
      <c r="O100" s="365">
        <f t="shared" si="25"/>
        <v>3650.08831642841</v>
      </c>
      <c r="P100" s="365">
        <f t="shared" si="26"/>
        <v>3436.60110041577</v>
      </c>
      <c r="S100" s="370">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5">
        <f t="shared" si="23"/>
        <v>5985.04709385752</v>
      </c>
      <c r="N101" s="365">
        <f t="shared" si="24"/>
        <v>4476.09823982344</v>
      </c>
      <c r="O101" s="365">
        <f t="shared" si="25"/>
        <v>3706.06167493891</v>
      </c>
      <c r="P101" s="365">
        <f t="shared" si="26"/>
        <v>3481.87767972611</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4" t="s">
        <v>27</v>
      </c>
      <c r="C108" s="374" t="s">
        <v>136</v>
      </c>
      <c r="D108" s="374"/>
      <c r="E108" s="374"/>
      <c r="F108" s="374"/>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4"/>
      <c r="C109" s="374"/>
      <c r="D109" s="374"/>
      <c r="E109" s="374"/>
      <c r="F109" s="374"/>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4"/>
      <c r="C110" s="374"/>
      <c r="D110" s="374"/>
      <c r="E110" s="374"/>
      <c r="F110" s="374"/>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5">
        <f t="shared" si="23"/>
        <v>9005.08390897976</v>
      </c>
      <c r="N112" s="365">
        <f t="shared" si="24"/>
        <v>7694.21261537352</v>
      </c>
      <c r="O112" s="365">
        <f t="shared" si="25"/>
        <v>7025.25765030914</v>
      </c>
      <c r="P112" s="365">
        <f t="shared" si="26"/>
        <v>6830.50196788507</v>
      </c>
      <c r="S112" s="370">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365">
        <f t="shared" si="23"/>
        <v>9279.25190789782</v>
      </c>
      <c r="N113" s="365">
        <f t="shared" si="24"/>
        <v>7848.53822458243</v>
      </c>
      <c r="O113" s="365">
        <f t="shared" si="25"/>
        <v>7118.42610243319</v>
      </c>
      <c r="P113" s="365">
        <f t="shared" si="26"/>
        <v>6905.86547874222</v>
      </c>
      <c r="S113" s="370">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365">
        <f t="shared" si="23"/>
        <v>9403.70974951194</v>
      </c>
      <c r="N114" s="365">
        <f t="shared" si="24"/>
        <v>7918.59392876279</v>
      </c>
      <c r="O114" s="365">
        <f t="shared" si="25"/>
        <v>7160.71967609476</v>
      </c>
      <c r="P114" s="365">
        <f t="shared" si="26"/>
        <v>6940.07654617079</v>
      </c>
      <c r="S114" s="370">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365">
        <f t="shared" si="23"/>
        <v>9440.07059619241</v>
      </c>
      <c r="N115" s="365">
        <f t="shared" si="24"/>
        <v>7939.06097757031</v>
      </c>
      <c r="O115" s="365">
        <f t="shared" si="25"/>
        <v>7173.07590955931</v>
      </c>
      <c r="P115" s="365">
        <f t="shared" si="26"/>
        <v>6950.07144373138</v>
      </c>
      <c r="S115" s="370">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365">
        <f t="shared" si="23"/>
        <v>9579.35639854656</v>
      </c>
      <c r="N116" s="365">
        <f t="shared" si="24"/>
        <v>8017.46314845562</v>
      </c>
      <c r="O116" s="365">
        <f t="shared" si="25"/>
        <v>7220.40835776407</v>
      </c>
      <c r="P116" s="365">
        <f t="shared" si="26"/>
        <v>6988.3584324368</v>
      </c>
      <c r="S116" s="370">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365">
        <f t="shared" si="23"/>
        <v>9703.54056974434</v>
      </c>
      <c r="N117" s="365">
        <f t="shared" si="24"/>
        <v>8087.36480710955</v>
      </c>
      <c r="O117" s="365">
        <f t="shared" si="25"/>
        <v>7262.60893206328</v>
      </c>
      <c r="P117" s="365">
        <f t="shared" si="26"/>
        <v>7022.49427313039</v>
      </c>
      <c r="S117" s="370">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365">
        <f t="shared" si="23"/>
        <v>9889.67377155065</v>
      </c>
      <c r="N118" s="365">
        <f t="shared" si="24"/>
        <v>8192.13677129253</v>
      </c>
      <c r="O118" s="365">
        <f t="shared" si="25"/>
        <v>7325.86118020902</v>
      </c>
      <c r="P118" s="365">
        <f t="shared" si="26"/>
        <v>7073.65871110478</v>
      </c>
      <c r="S118" s="370">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365">
        <f t="shared" si="23"/>
        <v>10069.7447589828</v>
      </c>
      <c r="N119" s="365">
        <f t="shared" si="24"/>
        <v>8293.4963936627</v>
      </c>
      <c r="O119" s="365">
        <f t="shared" si="25"/>
        <v>7387.05335157005</v>
      </c>
      <c r="P119" s="365">
        <f t="shared" si="26"/>
        <v>7123.15676291956</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4" t="s">
        <v>27</v>
      </c>
      <c r="C126" s="374" t="s">
        <v>137</v>
      </c>
      <c r="D126" s="374"/>
      <c r="E126" s="374"/>
      <c r="F126" s="374"/>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4"/>
      <c r="C127" s="374"/>
      <c r="D127" s="374"/>
      <c r="E127" s="374"/>
      <c r="F127" s="374"/>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4"/>
      <c r="C128" s="374"/>
      <c r="D128" s="374"/>
      <c r="E128" s="374"/>
      <c r="F128" s="374"/>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5">
        <f t="shared" si="23"/>
        <v>14416.9866551673</v>
      </c>
      <c r="N130" s="365">
        <f t="shared" si="24"/>
        <v>12950.2883690462</v>
      </c>
      <c r="O130" s="365">
        <f t="shared" si="25"/>
        <v>12201.8128279785</v>
      </c>
      <c r="P130" s="365">
        <f t="shared" si="26"/>
        <v>11983.9059846316</v>
      </c>
      <c r="S130" s="370">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6">
        <f t="shared" ref="I131:I137" si="32">$I$124/$I$49</f>
        <v>9.73530650437647</v>
      </c>
      <c r="J131" t="str">
        <f t="shared" si="19"/>
        <v>Trd_3w_elc</v>
      </c>
      <c r="K131" t="str">
        <f t="shared" si="30"/>
        <v>Trd_3w_elc_131</v>
      </c>
      <c r="L131" t="str">
        <f t="shared" si="21"/>
        <v>Trd_3w</v>
      </c>
      <c r="M131" s="365">
        <f t="shared" si="23"/>
        <v>14724.8839894236</v>
      </c>
      <c r="N131" s="365">
        <f t="shared" si="24"/>
        <v>13123.5997834724</v>
      </c>
      <c r="O131" s="365">
        <f t="shared" si="25"/>
        <v>12306.4432668297</v>
      </c>
      <c r="P131" s="365">
        <f t="shared" si="26"/>
        <v>12068.5410411833</v>
      </c>
      <c r="S131" s="370">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6">
        <f t="shared" si="32"/>
        <v>9.73530650437647</v>
      </c>
      <c r="J132" t="str">
        <f t="shared" si="19"/>
        <v>Trd_3w_elc</v>
      </c>
      <c r="K132" t="str">
        <f t="shared" si="30"/>
        <v>Trd_3w_elc_143</v>
      </c>
      <c r="L132" t="str">
        <f t="shared" si="21"/>
        <v>Trd_3w</v>
      </c>
      <c r="M132" s="365">
        <f t="shared" si="23"/>
        <v>14865.3695454917</v>
      </c>
      <c r="N132" s="365">
        <f t="shared" si="24"/>
        <v>13202.6772801563</v>
      </c>
      <c r="O132" s="365">
        <f t="shared" si="25"/>
        <v>12354.1834183292</v>
      </c>
      <c r="P132" s="365">
        <f t="shared" si="26"/>
        <v>12107.1578191144</v>
      </c>
      <c r="S132" s="370">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6">
        <f t="shared" si="32"/>
        <v>9.73530650437647</v>
      </c>
      <c r="J133" t="str">
        <f t="shared" si="19"/>
        <v>Trd_3w_elc</v>
      </c>
      <c r="K133" t="str">
        <f t="shared" si="30"/>
        <v>Trd_3w_elc_154</v>
      </c>
      <c r="L133" t="str">
        <f t="shared" si="21"/>
        <v>Trd_3w</v>
      </c>
      <c r="M133" s="365">
        <f t="shared" si="23"/>
        <v>14907.2890658627</v>
      </c>
      <c r="N133" s="365">
        <f t="shared" si="24"/>
        <v>13226.2732342593</v>
      </c>
      <c r="O133" s="365">
        <f t="shared" si="25"/>
        <v>12368.4286141294</v>
      </c>
      <c r="P133" s="365">
        <f t="shared" si="26"/>
        <v>12118.6806891833</v>
      </c>
      <c r="S133" s="370">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6">
        <f t="shared" si="32"/>
        <v>9.73530650437647</v>
      </c>
      <c r="J134" t="str">
        <f t="shared" si="19"/>
        <v>Trd_3w_elc</v>
      </c>
      <c r="K134" t="str">
        <f t="shared" si="30"/>
        <v>Trd_3w_elc_166</v>
      </c>
      <c r="L134" t="str">
        <f t="shared" si="21"/>
        <v>Trd_3w</v>
      </c>
      <c r="M134" s="365">
        <f t="shared" si="23"/>
        <v>15064.5475025229</v>
      </c>
      <c r="N134" s="365">
        <f t="shared" si="24"/>
        <v>13314.7919677972</v>
      </c>
      <c r="O134" s="365">
        <f t="shared" si="25"/>
        <v>12421.8685676795</v>
      </c>
      <c r="P134" s="365">
        <f t="shared" si="26"/>
        <v>12161.9080094592</v>
      </c>
      <c r="S134" s="370">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6">
        <f t="shared" si="32"/>
        <v>9.73530650437647</v>
      </c>
      <c r="J135" t="str">
        <f t="shared" si="19"/>
        <v>Trd_3w_elc</v>
      </c>
      <c r="K135" t="str">
        <f t="shared" si="30"/>
        <v>Trd_3w_elc_177</v>
      </c>
      <c r="L135" t="str">
        <f t="shared" si="21"/>
        <v>Trd_3w</v>
      </c>
      <c r="M135" s="365">
        <f t="shared" si="23"/>
        <v>15204.9907882267</v>
      </c>
      <c r="N135" s="365">
        <f t="shared" si="24"/>
        <v>13393.8456710415</v>
      </c>
      <c r="O135" s="365">
        <f t="shared" si="25"/>
        <v>12469.5943547585</v>
      </c>
      <c r="P135" s="365">
        <f t="shared" si="26"/>
        <v>12200.5131680799</v>
      </c>
      <c r="S135" s="370">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6">
        <f t="shared" si="32"/>
        <v>9.73530650437647</v>
      </c>
      <c r="J136" t="str">
        <f t="shared" si="19"/>
        <v>Trd_3w_elc</v>
      </c>
      <c r="K136" t="str">
        <f t="shared" si="30"/>
        <v>Trd_3w_elc_189</v>
      </c>
      <c r="L136" t="str">
        <f t="shared" si="21"/>
        <v>Trd_3w</v>
      </c>
      <c r="M136" s="365">
        <f t="shared" si="23"/>
        <v>15414.9772774338</v>
      </c>
      <c r="N136" s="365">
        <f t="shared" si="24"/>
        <v>13512.0443412014</v>
      </c>
      <c r="O136" s="365">
        <f t="shared" si="25"/>
        <v>12540.9524864281</v>
      </c>
      <c r="P136" s="365">
        <f t="shared" si="26"/>
        <v>12258.2344160799</v>
      </c>
      <c r="S136" s="370">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6">
        <f t="shared" si="32"/>
        <v>9.73530650437647</v>
      </c>
      <c r="J137" t="str">
        <f t="shared" si="19"/>
        <v>Trd_3w_elc</v>
      </c>
      <c r="K137" t="str">
        <f t="shared" si="30"/>
        <v>Trd_3w_elc_200</v>
      </c>
      <c r="L137" t="str">
        <f t="shared" si="21"/>
        <v>Trd_3w</v>
      </c>
      <c r="M137" s="365">
        <f t="shared" si="23"/>
        <v>15618.3104112851</v>
      </c>
      <c r="N137" s="365">
        <f t="shared" si="24"/>
        <v>13626.4979239601</v>
      </c>
      <c r="O137" s="365">
        <f t="shared" si="25"/>
        <v>12610.0496583125</v>
      </c>
      <c r="P137" s="365">
        <f t="shared" si="26"/>
        <v>12314.1267846316</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33">IFERROR(VLOOKUP(C141,$R$1:$S$8,2,FALSE),J140)</f>
        <v>Trd_3w_elc</v>
      </c>
      <c r="K141" t="str">
        <f t="shared" si="30"/>
        <v>\I:</v>
      </c>
      <c r="L141" t="str">
        <f t="shared" ref="L141:L155" si="34">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33"/>
        <v>Trd_3w_elc</v>
      </c>
      <c r="K142" t="str">
        <f t="shared" si="30"/>
        <v>\I:</v>
      </c>
      <c r="L142" t="str">
        <f t="shared" si="34"/>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33"/>
        <v>Trd_3w_elc</v>
      </c>
      <c r="K143" t="str">
        <f t="shared" si="30"/>
        <v>\I:</v>
      </c>
      <c r="L143" t="str">
        <f t="shared" si="34"/>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4" t="s">
        <v>27</v>
      </c>
      <c r="C144" s="374" t="s">
        <v>139</v>
      </c>
      <c r="D144" s="374"/>
      <c r="E144" s="374"/>
      <c r="F144" s="374"/>
      <c r="J144" t="str">
        <f t="shared" si="33"/>
        <v>Trd_2w_elc50</v>
      </c>
      <c r="K144" t="str">
        <f t="shared" si="30"/>
        <v>\I:</v>
      </c>
      <c r="L144" t="str">
        <f t="shared" si="34"/>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4"/>
      <c r="C145" s="374"/>
      <c r="D145" s="374"/>
      <c r="E145" s="374"/>
      <c r="F145" s="374"/>
      <c r="J145" t="str">
        <f t="shared" si="33"/>
        <v>Trd_2w_elc50</v>
      </c>
      <c r="K145" t="str">
        <f t="shared" si="30"/>
        <v>\I:</v>
      </c>
      <c r="L145" t="str">
        <f t="shared" si="34"/>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4"/>
      <c r="C146" s="374"/>
      <c r="D146" s="374"/>
      <c r="E146" s="374"/>
      <c r="F146" s="374"/>
      <c r="J146" t="str">
        <f t="shared" si="33"/>
        <v>Trd_2w_elc50</v>
      </c>
      <c r="K146" t="str">
        <f t="shared" si="30"/>
        <v>\I:</v>
      </c>
      <c r="L146" t="str">
        <f t="shared" si="34"/>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33"/>
        <v>Trd_2w_elc50</v>
      </c>
      <c r="K147" t="str">
        <f t="shared" si="30"/>
        <v>\I:</v>
      </c>
      <c r="L147" t="str">
        <f t="shared" si="34"/>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365">
        <f t="shared" ref="M148:M155" si="35">IF($K148="\I:","",C148)</f>
        <v>4598.92933933434</v>
      </c>
      <c r="N148" s="365">
        <f t="shared" ref="N148:N155" si="36">IF($K148="\I:","",D148)</f>
        <v>3005.76958807794</v>
      </c>
      <c r="O148" s="365">
        <f t="shared" ref="O148:O155" si="37">IF($K148="\I:","",E148)</f>
        <v>2743.99155568645</v>
      </c>
      <c r="P148" s="365">
        <f t="shared" ref="P148:P155" si="38">IF($K148="\I:","",F148)</f>
        <v>2561.52116348593</v>
      </c>
      <c r="S148" s="370">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365">
        <f t="shared" si="35"/>
        <v>4826.14686048914</v>
      </c>
      <c r="N149" s="365">
        <f t="shared" si="36"/>
        <v>3104.152506899</v>
      </c>
      <c r="O149" s="365">
        <f t="shared" si="37"/>
        <v>2821.20517954116</v>
      </c>
      <c r="P149" s="365">
        <f t="shared" si="38"/>
        <v>2623.9788908285</v>
      </c>
      <c r="S149" s="370">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365">
        <f t="shared" si="35"/>
        <v>4915.29569075295</v>
      </c>
      <c r="N150" s="365">
        <f t="shared" si="36"/>
        <v>3142.75306061625</v>
      </c>
      <c r="O150" s="365">
        <f t="shared" si="37"/>
        <v>2851.49995703936</v>
      </c>
      <c r="P150" s="365">
        <f t="shared" si="38"/>
        <v>2648.48419000273</v>
      </c>
      <c r="S150" s="370">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365">
        <f t="shared" si="35"/>
        <v>4925.63516312727</v>
      </c>
      <c r="N151" s="365">
        <f t="shared" si="36"/>
        <v>3147.22994895693</v>
      </c>
      <c r="O151" s="365">
        <f t="shared" si="37"/>
        <v>2855.0135422889</v>
      </c>
      <c r="P151" s="365">
        <f t="shared" si="38"/>
        <v>2651.32631213812</v>
      </c>
      <c r="S151" s="370">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365">
        <f t="shared" si="35"/>
        <v>5031.68195257476</v>
      </c>
      <c r="N152" s="365">
        <f t="shared" si="36"/>
        <v>3193.1471503436</v>
      </c>
      <c r="O152" s="365">
        <f t="shared" si="37"/>
        <v>2891.0506263561</v>
      </c>
      <c r="P152" s="365">
        <f t="shared" si="38"/>
        <v>2680.47653535684</v>
      </c>
      <c r="S152" s="370">
        <v>0.15</v>
      </c>
      <c r="V152" t="str">
        <f t="shared" ref="V152:V155" si="40">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365">
        <f t="shared" si="35"/>
        <v>5124.86263948367</v>
      </c>
      <c r="N153" s="365">
        <f t="shared" si="36"/>
        <v>3233.49345774656</v>
      </c>
      <c r="O153" s="365">
        <f t="shared" si="37"/>
        <v>2922.71551941954</v>
      </c>
      <c r="P153" s="365">
        <f t="shared" si="38"/>
        <v>2706.09011439322</v>
      </c>
      <c r="S153" s="370">
        <v>0.175</v>
      </c>
      <c r="V153" t="str">
        <f t="shared" si="40"/>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365">
        <f t="shared" si="35"/>
        <v>5274.35193764196</v>
      </c>
      <c r="N154" s="365">
        <f t="shared" si="36"/>
        <v>3298.22083180899</v>
      </c>
      <c r="O154" s="365">
        <f t="shared" si="37"/>
        <v>2973.51534497716</v>
      </c>
      <c r="P154" s="365">
        <f t="shared" si="38"/>
        <v>2747.18184788961</v>
      </c>
      <c r="S154" s="370">
        <v>0.2</v>
      </c>
      <c r="V154" t="str">
        <f t="shared" si="40"/>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365">
        <f t="shared" si="35"/>
        <v>5418.44153445629</v>
      </c>
      <c r="N155" s="365">
        <f t="shared" si="36"/>
        <v>3360.61018908344</v>
      </c>
      <c r="O155" s="365">
        <f t="shared" si="37"/>
        <v>3022.48023057777</v>
      </c>
      <c r="P155" s="365">
        <f t="shared" si="38"/>
        <v>2786.78930731876</v>
      </c>
      <c r="S155" s="361"/>
      <c r="V155" t="str">
        <f t="shared" si="40"/>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workbookViewId="0">
      <selection activeCell="AE209" sqref="AE20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65">
        <f t="shared" si="23"/>
        <v>414282.581831388</v>
      </c>
      <c r="N89" s="365">
        <f t="shared" si="24"/>
        <v>303169.459903534</v>
      </c>
      <c r="O89" s="365">
        <f t="shared" si="25"/>
        <v>289801.053326816</v>
      </c>
      <c r="P89" s="365">
        <f t="shared" si="26"/>
        <v>284257.075106368</v>
      </c>
      <c r="R89" s="370">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65">
        <f t="shared" si="23"/>
        <v>418677.39136009</v>
      </c>
      <c r="N90" s="365">
        <f t="shared" si="24"/>
        <v>306294.576352111</v>
      </c>
      <c r="O90" s="365">
        <f t="shared" si="25"/>
        <v>291398.806588617</v>
      </c>
      <c r="P90" s="365">
        <f t="shared" si="26"/>
        <v>285221.419427949</v>
      </c>
      <c r="R90" s="370">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65">
        <f t="shared" si="23"/>
        <v>421065.599852614</v>
      </c>
      <c r="N91" s="365">
        <f t="shared" si="24"/>
        <v>307992.813691836</v>
      </c>
      <c r="O91" s="365">
        <f t="shared" si="25"/>
        <v>292267.050794396</v>
      </c>
      <c r="P91" s="365">
        <f t="shared" si="26"/>
        <v>285745.45927165</v>
      </c>
      <c r="R91" s="370">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65">
        <f t="shared" si="23"/>
        <v>423484.304232436</v>
      </c>
      <c r="N92" s="365">
        <f t="shared" si="24"/>
        <v>309712.736430754</v>
      </c>
      <c r="O92" s="365">
        <f t="shared" si="25"/>
        <v>293146.38192057</v>
      </c>
      <c r="P92" s="365">
        <f t="shared" si="26"/>
        <v>286276.1907673</v>
      </c>
      <c r="R92" s="370">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65">
        <f t="shared" si="23"/>
        <v>426045.337290405</v>
      </c>
      <c r="N93" s="365">
        <f t="shared" si="24"/>
        <v>311533.868036695</v>
      </c>
      <c r="O93" s="365">
        <f t="shared" si="25"/>
        <v>294077.457293741</v>
      </c>
      <c r="P93" s="365">
        <f t="shared" si="26"/>
        <v>286838.153161962</v>
      </c>
      <c r="R93" s="370">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65">
        <f t="shared" si="23"/>
        <v>429934.421537582</v>
      </c>
      <c r="N94" s="365">
        <f t="shared" si="24"/>
        <v>314299.366989808</v>
      </c>
      <c r="O94" s="365">
        <f t="shared" si="25"/>
        <v>295873.386780209</v>
      </c>
      <c r="P94" s="365">
        <f t="shared" si="26"/>
        <v>287922.109266851</v>
      </c>
      <c r="R94" s="370">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65">
        <f t="shared" si="23"/>
        <v>434837.321877915</v>
      </c>
      <c r="N95" s="365">
        <f t="shared" si="24"/>
        <v>317785.783044756</v>
      </c>
      <c r="O95" s="365">
        <f t="shared" si="25"/>
        <v>297678.678035306</v>
      </c>
      <c r="P95" s="365">
        <f t="shared" si="26"/>
        <v>289011.715786377</v>
      </c>
      <c r="R95" s="370">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65">
        <f t="shared" si="23"/>
        <v>439775.623723911</v>
      </c>
      <c r="N96" s="365">
        <f t="shared" si="24"/>
        <v>321297.372847721</v>
      </c>
      <c r="O96" s="365">
        <f t="shared" si="25"/>
        <v>299069.166215671</v>
      </c>
      <c r="P96" s="365">
        <f t="shared" si="26"/>
        <v>289850.96262944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57">
        <f t="shared" ref="I105:I111" si="32">1/G105/$I$7</f>
        <v>1.3249087691195</v>
      </c>
      <c r="J105" t="str">
        <f t="shared" si="20"/>
        <v>Trd_bus_hh2</v>
      </c>
      <c r="K105" t="str">
        <f t="shared" ref="K105:K111" si="33">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1"/>
        <v>10.1462663364765</v>
      </c>
      <c r="H106" s="75"/>
      <c r="I106" s="357">
        <f t="shared" si="32"/>
        <v>1.36759133996614</v>
      </c>
      <c r="J106" t="str">
        <f t="shared" si="20"/>
        <v>Trd_bus_hh2</v>
      </c>
      <c r="K106" t="str">
        <f t="shared" si="33"/>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1"/>
        <v>9.81939950471467</v>
      </c>
      <c r="H107" s="75"/>
      <c r="I107" s="357">
        <f t="shared" si="32"/>
        <v>1.41311553400926</v>
      </c>
      <c r="J107" t="str">
        <f t="shared" si="20"/>
        <v>Trd_bus_hh2</v>
      </c>
      <c r="K107" t="str">
        <f t="shared" si="33"/>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1"/>
        <v>9.4925326729529</v>
      </c>
      <c r="H108" s="75"/>
      <c r="I108" s="357">
        <f t="shared" si="32"/>
        <v>1.46177489747198</v>
      </c>
      <c r="J108" t="str">
        <f t="shared" si="20"/>
        <v>Trd_bus_hh2</v>
      </c>
      <c r="K108" t="str">
        <f t="shared" si="33"/>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1"/>
        <v>9.16566584119112</v>
      </c>
      <c r="H109" s="75"/>
      <c r="I109" s="357">
        <f t="shared" si="32"/>
        <v>1.51390485046877</v>
      </c>
      <c r="J109" t="str">
        <f t="shared" si="20"/>
        <v>Trd_bus_hh2</v>
      </c>
      <c r="K109" t="str">
        <f t="shared" si="33"/>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1"/>
        <v>8.83879900942934</v>
      </c>
      <c r="H110" s="75"/>
      <c r="I110" s="357">
        <f t="shared" si="32"/>
        <v>1.56989042967852</v>
      </c>
      <c r="J110" t="str">
        <f t="shared" si="20"/>
        <v>Trd_bus_hh2</v>
      </c>
      <c r="K110" t="str">
        <f t="shared" si="33"/>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1"/>
        <v>8.51193217766758</v>
      </c>
      <c r="H111" s="75"/>
      <c r="I111" s="357">
        <f t="shared" si="32"/>
        <v>1.63017581497664</v>
      </c>
      <c r="J111" t="str">
        <f t="shared" si="20"/>
        <v>Trd_bus_hh2</v>
      </c>
      <c r="K111" t="str">
        <f t="shared" si="33"/>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4"/>
        <v>\I:Trd_bus_</v>
      </c>
      <c r="K147" t="str">
        <f t="shared" si="22"/>
        <v>\I:</v>
      </c>
      <c r="L147" t="str">
        <f t="shared" si="35"/>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4"/>
        <v>\I:Trd_bus_</v>
      </c>
      <c r="K148" t="str">
        <f t="shared" si="22"/>
        <v>\I:</v>
      </c>
      <c r="L148" t="str">
        <f t="shared" si="35"/>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4"/>
        <v>\I:Trd_bus_</v>
      </c>
      <c r="K149" t="str">
        <f t="shared" si="22"/>
        <v>\I:</v>
      </c>
      <c r="L149" t="str">
        <f t="shared" si="35"/>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4"/>
        <v>\I:Trd_bus_</v>
      </c>
      <c r="K150" t="str">
        <f t="shared" si="22"/>
        <v>\I:</v>
      </c>
      <c r="L150" t="str">
        <f t="shared" si="35"/>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4"/>
        <v>\I:Trd_bus_</v>
      </c>
      <c r="K151" t="str">
        <f t="shared" si="22"/>
        <v>\I:</v>
      </c>
      <c r="L151" t="str">
        <f t="shared" si="35"/>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4"/>
        <v>\I:Trd_bus_</v>
      </c>
      <c r="K152" t="str">
        <f t="shared" ref="K152:K215" si="36">IFERROR(IF(VALUE(C152)&gt;2020,J152&amp;"_"&amp;TEXT(B152*100,"00"),"\I:"),"\I:")</f>
        <v>\I:</v>
      </c>
      <c r="L152" t="str">
        <f t="shared" si="35"/>
        <v>\I:</v>
      </c>
      <c r="M152" s="365" t="str">
        <f t="shared" ref="M152:M215" si="37">IF($K152="\I:","",C152)</f>
        <v/>
      </c>
      <c r="N152" s="365" t="str">
        <f t="shared" ref="N152:N215" si="38">IF($K152="\I:","",D152)</f>
        <v/>
      </c>
      <c r="O152" s="365" t="str">
        <f t="shared" ref="O152:O215" si="39">IF($K152="\I:","",E152)</f>
        <v/>
      </c>
      <c r="P152" s="365" t="str">
        <f t="shared" ref="P152:P215" si="40">IF($K152="\I:","",F152)</f>
        <v/>
      </c>
      <c r="R152" s="361"/>
      <c r="T152" t="s">
        <v>83</v>
      </c>
      <c r="U152" t="str">
        <f t="shared" ref="U152:U215" si="41">K152</f>
        <v>\I:</v>
      </c>
      <c r="V152" t="str">
        <f ca="1" t="shared" ref="V152:V215" si="42">OFFSET($S$1,MATCH(J152,$S$1:$S$12,0)-1,-1)&amp;" -- "&amp;TEXT(B152,"00%")</f>
        <v>Hybrid diesel coach -- 201500%</v>
      </c>
      <c r="W152" s="363" t="s">
        <v>84</v>
      </c>
      <c r="X152" s="363" t="s">
        <v>85</v>
      </c>
    </row>
    <row r="153" spans="2:24">
      <c r="B153" s="46" t="s">
        <v>12</v>
      </c>
      <c r="C153" s="47" t="s">
        <v>88</v>
      </c>
      <c r="D153" s="48">
        <v>21.9255423798406</v>
      </c>
      <c r="J153" t="str">
        <f t="shared" si="34"/>
        <v>\I:Trd_bus_</v>
      </c>
      <c r="K153" t="str">
        <f t="shared" si="36"/>
        <v>\I:</v>
      </c>
      <c r="L153" t="str">
        <f t="shared" si="35"/>
        <v>\I:</v>
      </c>
      <c r="M153" s="365" t="str">
        <f t="shared" si="37"/>
        <v/>
      </c>
      <c r="N153" s="365" t="str">
        <f t="shared" si="38"/>
        <v/>
      </c>
      <c r="O153" s="365" t="str">
        <f t="shared" si="39"/>
        <v/>
      </c>
      <c r="P153" s="365" t="str">
        <f t="shared" si="40"/>
        <v/>
      </c>
      <c r="R153" s="361"/>
      <c r="T153" t="s">
        <v>83</v>
      </c>
      <c r="U153" t="str">
        <f t="shared" si="41"/>
        <v>\I:</v>
      </c>
      <c r="V153" t="str">
        <f ca="1" t="shared" si="42"/>
        <v>Hybrid diesel coach -- Energy consumption</v>
      </c>
      <c r="W153" s="363" t="s">
        <v>84</v>
      </c>
      <c r="X153" s="363" t="s">
        <v>85</v>
      </c>
    </row>
    <row r="154" spans="2:24">
      <c r="B154" s="46" t="s">
        <v>14</v>
      </c>
      <c r="C154" s="47" t="s">
        <v>15</v>
      </c>
      <c r="D154" s="68">
        <v>321393.556544713</v>
      </c>
      <c r="J154" t="str">
        <f t="shared" si="34"/>
        <v>\I:Trd_bus_</v>
      </c>
      <c r="K154" t="str">
        <f t="shared" si="36"/>
        <v>\I:</v>
      </c>
      <c r="L154" t="str">
        <f t="shared" si="35"/>
        <v>\I:</v>
      </c>
      <c r="M154" s="365" t="str">
        <f t="shared" si="37"/>
        <v/>
      </c>
      <c r="N154" s="365" t="str">
        <f t="shared" si="38"/>
        <v/>
      </c>
      <c r="O154" s="365" t="str">
        <f t="shared" si="39"/>
        <v/>
      </c>
      <c r="P154" s="365" t="str">
        <f t="shared" si="40"/>
        <v/>
      </c>
      <c r="R154" s="361"/>
      <c r="T154" t="s">
        <v>83</v>
      </c>
      <c r="U154" t="str">
        <f t="shared" si="41"/>
        <v>\I:</v>
      </c>
      <c r="V154" t="str">
        <f ca="1" t="shared" si="42"/>
        <v>Hybrid diesel coach -- Capital cost</v>
      </c>
      <c r="W154" s="363" t="s">
        <v>84</v>
      </c>
      <c r="X154" s="363" t="s">
        <v>85</v>
      </c>
    </row>
    <row r="155" spans="2:24">
      <c r="J155" t="str">
        <f t="shared" si="34"/>
        <v>\I:Trd_bus_</v>
      </c>
      <c r="K155" t="str">
        <f t="shared" si="36"/>
        <v>\I:</v>
      </c>
      <c r="L155" t="str">
        <f t="shared" si="35"/>
        <v>\I:</v>
      </c>
      <c r="M155" s="365" t="str">
        <f t="shared" si="37"/>
        <v/>
      </c>
      <c r="N155" s="365" t="str">
        <f t="shared" si="38"/>
        <v/>
      </c>
      <c r="O155" s="365" t="str">
        <f t="shared" si="39"/>
        <v/>
      </c>
      <c r="P155" s="365" t="str">
        <f t="shared" si="40"/>
        <v/>
      </c>
      <c r="R155" s="361"/>
      <c r="T155" t="s">
        <v>83</v>
      </c>
      <c r="U155" t="str">
        <f t="shared" si="41"/>
        <v>\I:</v>
      </c>
      <c r="V155" t="str">
        <f ca="1" t="shared" si="42"/>
        <v>Hybrid diesel coach -- 00%</v>
      </c>
      <c r="W155" s="363" t="s">
        <v>84</v>
      </c>
      <c r="X155" s="363" t="s">
        <v>85</v>
      </c>
    </row>
    <row r="156" ht="15" customHeight="1" spans="2:24">
      <c r="B156" s="362" t="s">
        <v>121</v>
      </c>
      <c r="C156" s="362" t="s">
        <v>166</v>
      </c>
      <c r="D156" s="362"/>
      <c r="E156" s="362"/>
      <c r="F156" s="362"/>
      <c r="J156" t="str">
        <f t="shared" si="34"/>
        <v>\I:Trd_bus_</v>
      </c>
      <c r="K156" t="str">
        <f t="shared" si="36"/>
        <v>\I:</v>
      </c>
      <c r="L156" t="str">
        <f t="shared" si="35"/>
        <v>\I:</v>
      </c>
      <c r="M156" s="365" t="str">
        <f t="shared" si="37"/>
        <v/>
      </c>
      <c r="N156" s="365" t="str">
        <f t="shared" si="38"/>
        <v/>
      </c>
      <c r="O156" s="365" t="str">
        <f t="shared" si="39"/>
        <v/>
      </c>
      <c r="P156" s="365" t="str">
        <f t="shared" si="40"/>
        <v/>
      </c>
      <c r="R156" s="361"/>
      <c r="T156" t="s">
        <v>83</v>
      </c>
      <c r="U156" t="str">
        <f t="shared" si="41"/>
        <v>\I:</v>
      </c>
      <c r="V156" t="str">
        <f ca="1" t="shared" si="42"/>
        <v>Hybrid diesel coach -- Reduction of specific energy consumption relative to 2015 LNG vehicle (%)</v>
      </c>
      <c r="W156" s="363" t="s">
        <v>84</v>
      </c>
      <c r="X156" s="363" t="s">
        <v>85</v>
      </c>
    </row>
    <row r="157" spans="2:24">
      <c r="B157" s="362"/>
      <c r="C157" s="362"/>
      <c r="D157" s="362"/>
      <c r="E157" s="362"/>
      <c r="F157" s="362"/>
      <c r="J157" t="str">
        <f t="shared" si="34"/>
        <v>\I:Trd_bus_</v>
      </c>
      <c r="K157" t="str">
        <f t="shared" si="36"/>
        <v>\I:</v>
      </c>
      <c r="L157" t="str">
        <f t="shared" si="35"/>
        <v>\I:</v>
      </c>
      <c r="M157" s="365" t="str">
        <f t="shared" si="37"/>
        <v/>
      </c>
      <c r="N157" s="365" t="str">
        <f t="shared" si="38"/>
        <v/>
      </c>
      <c r="O157" s="365" t="str">
        <f t="shared" si="39"/>
        <v/>
      </c>
      <c r="P157" s="365" t="str">
        <f t="shared" si="40"/>
        <v/>
      </c>
      <c r="R157" s="361"/>
      <c r="T157" t="s">
        <v>83</v>
      </c>
      <c r="U157" t="str">
        <f t="shared" si="41"/>
        <v>\I:</v>
      </c>
      <c r="V157" t="str">
        <f ca="1" t="shared" si="42"/>
        <v>Hybrid diesel coach -- 00%</v>
      </c>
      <c r="W157" s="363" t="s">
        <v>84</v>
      </c>
      <c r="X157" s="363" t="s">
        <v>85</v>
      </c>
    </row>
    <row r="158" spans="2:24">
      <c r="B158" s="362"/>
      <c r="C158" s="362"/>
      <c r="D158" s="362"/>
      <c r="E158" s="362"/>
      <c r="F158" s="362"/>
      <c r="J158" t="str">
        <f t="shared" si="34"/>
        <v>\I:Trd_bus_</v>
      </c>
      <c r="K158" t="str">
        <f t="shared" si="36"/>
        <v>\I:</v>
      </c>
      <c r="L158" t="str">
        <f t="shared" si="35"/>
        <v>\I:</v>
      </c>
      <c r="M158" s="365" t="str">
        <f t="shared" si="37"/>
        <v/>
      </c>
      <c r="N158" s="365" t="str">
        <f t="shared" si="38"/>
        <v/>
      </c>
      <c r="O158" s="365" t="str">
        <f t="shared" si="39"/>
        <v/>
      </c>
      <c r="P158" s="365" t="str">
        <f t="shared" si="40"/>
        <v/>
      </c>
      <c r="R158" s="361"/>
      <c r="T158" t="s">
        <v>83</v>
      </c>
      <c r="U158" t="str">
        <f t="shared" si="41"/>
        <v>\I:</v>
      </c>
      <c r="V158" t="str">
        <f ca="1" t="shared" si="42"/>
        <v>Hybrid diesel coach -- 00%</v>
      </c>
      <c r="W158" s="363" t="s">
        <v>84</v>
      </c>
      <c r="X158" s="363" t="s">
        <v>85</v>
      </c>
    </row>
    <row r="159" spans="2:24">
      <c r="B159" s="50"/>
      <c r="C159" s="51">
        <v>2020</v>
      </c>
      <c r="D159" s="51">
        <v>2030</v>
      </c>
      <c r="E159" s="51">
        <v>2040</v>
      </c>
      <c r="F159" s="51">
        <v>2050</v>
      </c>
      <c r="J159" t="str">
        <f t="shared" si="34"/>
        <v>\I:Trd_bus_</v>
      </c>
      <c r="K159" t="str">
        <f t="shared" si="36"/>
        <v>\I:</v>
      </c>
      <c r="L159" t="str">
        <f t="shared" si="35"/>
        <v>\I:</v>
      </c>
      <c r="M159" s="365" t="str">
        <f t="shared" si="37"/>
        <v/>
      </c>
      <c r="N159" s="365" t="str">
        <f t="shared" si="38"/>
        <v/>
      </c>
      <c r="O159" s="365" t="str">
        <f t="shared" si="39"/>
        <v/>
      </c>
      <c r="P159" s="365" t="str">
        <f t="shared" si="40"/>
        <v/>
      </c>
      <c r="R159" s="361"/>
      <c r="T159" t="s">
        <v>83</v>
      </c>
      <c r="U159" t="str">
        <f t="shared" si="41"/>
        <v>\I:</v>
      </c>
      <c r="V159" t="str">
        <f ca="1" t="shared" si="42"/>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5">
        <f t="shared" si="37"/>
        <v>322213.921573696</v>
      </c>
      <c r="N160" s="365">
        <f t="shared" si="38"/>
        <v>322213.921573696</v>
      </c>
      <c r="O160" s="365">
        <f t="shared" si="39"/>
        <v>322213.921573696</v>
      </c>
      <c r="P160" s="365">
        <f t="shared" si="40"/>
        <v>322213.921573696</v>
      </c>
      <c r="R160" s="361"/>
      <c r="T160" t="s">
        <v>83</v>
      </c>
      <c r="U160" t="str">
        <f t="shared" si="41"/>
        <v>\I:Trd_bus__04</v>
      </c>
      <c r="V160" t="str">
        <f ca="1" t="shared" si="42"/>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5">
        <f t="shared" si="37"/>
        <v>323718.211257641</v>
      </c>
      <c r="N161" s="365">
        <f t="shared" si="38"/>
        <v>323221.069737195</v>
      </c>
      <c r="O161" s="365">
        <f t="shared" si="39"/>
        <v>323221.069737195</v>
      </c>
      <c r="P161" s="365">
        <f t="shared" si="40"/>
        <v>323221.069737195</v>
      </c>
      <c r="R161" s="361"/>
      <c r="T161" t="s">
        <v>83</v>
      </c>
      <c r="U161" t="str">
        <f t="shared" si="41"/>
        <v>\I:Trd_bus__09</v>
      </c>
      <c r="V161" t="str">
        <f ca="1" t="shared" si="42"/>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5">
        <f t="shared" si="37"/>
        <v>325145.498992476</v>
      </c>
      <c r="N162" s="365">
        <f t="shared" si="38"/>
        <v>324735.294564148</v>
      </c>
      <c r="O162" s="365">
        <f t="shared" si="39"/>
        <v>324735.294564148</v>
      </c>
      <c r="P162" s="365">
        <f t="shared" si="40"/>
        <v>324735.294564148</v>
      </c>
      <c r="R162" s="361"/>
      <c r="T162" t="s">
        <v>83</v>
      </c>
      <c r="U162" t="str">
        <f t="shared" si="41"/>
        <v>\I:Trd_bus__14</v>
      </c>
      <c r="V162" t="str">
        <f ca="1" t="shared" si="42"/>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5">
        <f t="shared" si="37"/>
        <v>330223.215291406</v>
      </c>
      <c r="N163" s="365">
        <f t="shared" si="38"/>
        <v>327011.897858143</v>
      </c>
      <c r="O163" s="365">
        <f t="shared" si="39"/>
        <v>327011.897858143</v>
      </c>
      <c r="P163" s="365">
        <f t="shared" si="40"/>
        <v>327011.897858143</v>
      </c>
      <c r="R163" s="361"/>
      <c r="T163" t="s">
        <v>83</v>
      </c>
      <c r="U163" t="str">
        <f t="shared" si="41"/>
        <v>\I:Trd_bus__19</v>
      </c>
      <c r="V163" t="str">
        <f ca="1" t="shared" si="42"/>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5">
        <f t="shared" si="37"/>
        <v>336044.223477435</v>
      </c>
      <c r="N164" s="365">
        <f t="shared" si="38"/>
        <v>330434.720193354</v>
      </c>
      <c r="O164" s="365">
        <f t="shared" si="39"/>
        <v>330434.720193354</v>
      </c>
      <c r="P164" s="365">
        <f t="shared" si="40"/>
        <v>330434.720193354</v>
      </c>
      <c r="R164" s="361"/>
      <c r="T164" t="s">
        <v>83</v>
      </c>
      <c r="U164" t="str">
        <f t="shared" si="41"/>
        <v>\I:Trd_bus__24</v>
      </c>
      <c r="V164" t="str">
        <f ca="1" t="shared" si="42"/>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5">
        <f t="shared" si="37"/>
        <v>361776.063243984</v>
      </c>
      <c r="N165" s="365">
        <f t="shared" si="38"/>
        <v>335707.326466266</v>
      </c>
      <c r="O165" s="365">
        <f t="shared" si="39"/>
        <v>335580.857321997</v>
      </c>
      <c r="P165" s="365">
        <f t="shared" si="40"/>
        <v>335580.857321997</v>
      </c>
      <c r="R165" s="361"/>
      <c r="T165" t="s">
        <v>83</v>
      </c>
      <c r="U165" t="str">
        <f t="shared" si="41"/>
        <v>\I:Trd_bus__26</v>
      </c>
      <c r="V165" t="str">
        <f ca="1" t="shared" si="42"/>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5">
        <f t="shared" si="37"/>
        <v>446864.791159275</v>
      </c>
      <c r="N166" s="365">
        <f t="shared" si="38"/>
        <v>351817.60135664</v>
      </c>
      <c r="O166" s="365">
        <f t="shared" si="39"/>
        <v>343317.959851208</v>
      </c>
      <c r="P166" s="365">
        <f t="shared" si="40"/>
        <v>343317.959851208</v>
      </c>
      <c r="R166" s="361"/>
      <c r="T166" t="s">
        <v>83</v>
      </c>
      <c r="U166" t="str">
        <f t="shared" si="41"/>
        <v>\I:Trd_bus__29</v>
      </c>
      <c r="V166" t="str">
        <f ca="1" t="shared" si="42"/>
        <v>Hybrid diesel coach -- 29%</v>
      </c>
      <c r="W166" s="363" t="s">
        <v>84</v>
      </c>
      <c r="X166" s="363" t="s">
        <v>85</v>
      </c>
    </row>
    <row r="167" spans="2:24">
      <c r="J167" t="str">
        <f t="shared" si="34"/>
        <v>\I:Trd_bus_</v>
      </c>
      <c r="K167" t="str">
        <f t="shared" si="36"/>
        <v>\I:</v>
      </c>
      <c r="L167" t="str">
        <f t="shared" si="35"/>
        <v>\I:</v>
      </c>
      <c r="M167" s="365" t="str">
        <f t="shared" si="37"/>
        <v/>
      </c>
      <c r="N167" s="365" t="str">
        <f t="shared" si="38"/>
        <v/>
      </c>
      <c r="O167" s="365" t="str">
        <f t="shared" si="39"/>
        <v/>
      </c>
      <c r="P167" s="365" t="str">
        <f t="shared" si="40"/>
        <v/>
      </c>
      <c r="R167" s="361"/>
      <c r="T167" t="s">
        <v>83</v>
      </c>
      <c r="U167" t="str">
        <f t="shared" si="41"/>
        <v>\I:</v>
      </c>
      <c r="V167" t="str">
        <f ca="1" t="shared" si="42"/>
        <v>Hybrid diesel coach -- 00%</v>
      </c>
      <c r="W167" s="363" t="s">
        <v>84</v>
      </c>
      <c r="X167" s="363" t="s">
        <v>85</v>
      </c>
    </row>
    <row r="168" spans="2:24">
      <c r="J168" t="str">
        <f t="shared" si="34"/>
        <v>\I:Trd_bus_</v>
      </c>
      <c r="K168" t="str">
        <f t="shared" si="36"/>
        <v>\I:</v>
      </c>
      <c r="L168" t="str">
        <f t="shared" si="35"/>
        <v>\I:</v>
      </c>
      <c r="M168" s="365" t="str">
        <f t="shared" si="37"/>
        <v/>
      </c>
      <c r="N168" s="365" t="str">
        <f t="shared" si="38"/>
        <v/>
      </c>
      <c r="O168" s="365" t="str">
        <f t="shared" si="39"/>
        <v/>
      </c>
      <c r="P168" s="365" t="str">
        <f t="shared" si="40"/>
        <v/>
      </c>
      <c r="R168" s="361"/>
      <c r="T168" t="s">
        <v>83</v>
      </c>
      <c r="U168" t="str">
        <f t="shared" si="41"/>
        <v>\I:</v>
      </c>
      <c r="V168" t="str">
        <f ca="1" t="shared" si="42"/>
        <v>Hybrid diesel coach -- 00%</v>
      </c>
      <c r="W168" s="363" t="s">
        <v>84</v>
      </c>
      <c r="X168" s="363" t="s">
        <v>85</v>
      </c>
    </row>
    <row r="169" spans="2:24">
      <c r="J169" t="str">
        <f t="shared" si="34"/>
        <v>\I:Trd_bus_</v>
      </c>
      <c r="K169" t="str">
        <f t="shared" si="36"/>
        <v>\I:</v>
      </c>
      <c r="L169" t="str">
        <f t="shared" si="35"/>
        <v>\I:</v>
      </c>
      <c r="M169" s="365" t="str">
        <f t="shared" si="37"/>
        <v/>
      </c>
      <c r="N169" s="365" t="str">
        <f t="shared" si="38"/>
        <v/>
      </c>
      <c r="O169" s="365" t="str">
        <f t="shared" si="39"/>
        <v/>
      </c>
      <c r="P169" s="365" t="str">
        <f t="shared" si="40"/>
        <v/>
      </c>
      <c r="R169" s="361"/>
      <c r="T169" t="s">
        <v>83</v>
      </c>
      <c r="U169" t="str">
        <f t="shared" si="41"/>
        <v>\I:</v>
      </c>
      <c r="V169" t="str">
        <f ca="1" t="shared" si="42"/>
        <v>Hybrid diesel coach -- 00%</v>
      </c>
      <c r="W169" s="363" t="s">
        <v>84</v>
      </c>
      <c r="X169" s="363" t="s">
        <v>85</v>
      </c>
    </row>
    <row r="170" spans="2:24">
      <c r="J170" t="str">
        <f t="shared" si="34"/>
        <v>\I:Trd_bus_</v>
      </c>
      <c r="K170" t="str">
        <f t="shared" si="36"/>
        <v>\I:</v>
      </c>
      <c r="L170" t="str">
        <f t="shared" si="35"/>
        <v>\I:</v>
      </c>
      <c r="M170" s="365" t="str">
        <f t="shared" si="37"/>
        <v/>
      </c>
      <c r="N170" s="365" t="str">
        <f t="shared" si="38"/>
        <v/>
      </c>
      <c r="O170" s="365" t="str">
        <f t="shared" si="39"/>
        <v/>
      </c>
      <c r="P170" s="365" t="str">
        <f t="shared" si="40"/>
        <v/>
      </c>
      <c r="R170" s="361"/>
      <c r="T170" t="s">
        <v>83</v>
      </c>
      <c r="U170" t="str">
        <f t="shared" si="41"/>
        <v>\I:</v>
      </c>
      <c r="V170" t="str">
        <f ca="1" t="shared" si="42"/>
        <v>Hybrid diesel coach -- 00%</v>
      </c>
      <c r="W170" s="363" t="s">
        <v>84</v>
      </c>
      <c r="X170" s="363" t="s">
        <v>85</v>
      </c>
    </row>
    <row r="171" spans="2:24">
      <c r="B171" s="44" t="s">
        <v>167</v>
      </c>
      <c r="J171" t="str">
        <f t="shared" si="34"/>
        <v>\I:Trd_bus_</v>
      </c>
      <c r="K171" t="str">
        <f t="shared" si="36"/>
        <v>\I:</v>
      </c>
      <c r="L171" t="str">
        <f t="shared" si="35"/>
        <v>\I:</v>
      </c>
      <c r="M171" s="365" t="str">
        <f t="shared" si="37"/>
        <v/>
      </c>
      <c r="N171" s="365" t="str">
        <f t="shared" si="38"/>
        <v/>
      </c>
      <c r="O171" s="365" t="str">
        <f t="shared" si="39"/>
        <v/>
      </c>
      <c r="P171" s="365" t="str">
        <f t="shared" si="40"/>
        <v/>
      </c>
      <c r="R171" s="361"/>
      <c r="T171" t="s">
        <v>83</v>
      </c>
      <c r="U171" t="str">
        <f t="shared" si="41"/>
        <v>\I:</v>
      </c>
      <c r="V171" t="str">
        <f ca="1" t="shared" si="42"/>
        <v>Hybrid diesel coach -- Reference values for LPG coach</v>
      </c>
      <c r="W171" s="363" t="s">
        <v>84</v>
      </c>
      <c r="X171" s="363" t="s">
        <v>85</v>
      </c>
    </row>
    <row r="172" spans="2:24">
      <c r="B172" s="356">
        <v>2015</v>
      </c>
      <c r="C172" s="356"/>
      <c r="D172" s="356"/>
      <c r="J172" t="str">
        <f t="shared" si="34"/>
        <v>\I:Trd_bus_</v>
      </c>
      <c r="K172" t="str">
        <f t="shared" si="36"/>
        <v>\I:</v>
      </c>
      <c r="L172" t="str">
        <f t="shared" si="35"/>
        <v>\I:</v>
      </c>
      <c r="M172" s="365" t="str">
        <f t="shared" si="37"/>
        <v/>
      </c>
      <c r="N172" s="365" t="str">
        <f t="shared" si="38"/>
        <v/>
      </c>
      <c r="O172" s="365" t="str">
        <f t="shared" si="39"/>
        <v/>
      </c>
      <c r="P172" s="365" t="str">
        <f t="shared" si="40"/>
        <v/>
      </c>
      <c r="R172" s="361"/>
      <c r="T172" t="s">
        <v>83</v>
      </c>
      <c r="U172" t="str">
        <f t="shared" si="41"/>
        <v>\I:</v>
      </c>
      <c r="V172" t="str">
        <f ca="1" t="shared" si="42"/>
        <v>Hybrid diesel coach -- 201500%</v>
      </c>
      <c r="W172" s="363" t="s">
        <v>84</v>
      </c>
      <c r="X172" s="363" t="s">
        <v>85</v>
      </c>
    </row>
    <row r="173" spans="2:24">
      <c r="B173" s="46" t="s">
        <v>12</v>
      </c>
      <c r="C173" s="47" t="s">
        <v>13</v>
      </c>
      <c r="D173" s="48">
        <v>32.1825557678347</v>
      </c>
      <c r="J173" t="str">
        <f t="shared" si="34"/>
        <v>\I:Trd_bus_</v>
      </c>
      <c r="K173" t="str">
        <f t="shared" si="36"/>
        <v>\I:</v>
      </c>
      <c r="L173" t="str">
        <f t="shared" si="35"/>
        <v>\I:</v>
      </c>
      <c r="M173" s="365" t="str">
        <f t="shared" si="37"/>
        <v/>
      </c>
      <c r="N173" s="365" t="str">
        <f t="shared" si="38"/>
        <v/>
      </c>
      <c r="O173" s="365" t="str">
        <f t="shared" si="39"/>
        <v/>
      </c>
      <c r="P173" s="365" t="str">
        <f t="shared" si="40"/>
        <v/>
      </c>
      <c r="R173" s="361"/>
      <c r="T173" t="s">
        <v>83</v>
      </c>
      <c r="U173" t="str">
        <f t="shared" si="41"/>
        <v>\I:</v>
      </c>
      <c r="V173" t="str">
        <f ca="1" t="shared" si="42"/>
        <v>Hybrid diesel coach -- Energy consumption</v>
      </c>
      <c r="W173" s="363" t="s">
        <v>84</v>
      </c>
      <c r="X173" s="363" t="s">
        <v>85</v>
      </c>
    </row>
    <row r="174" spans="2:24">
      <c r="B174" s="46" t="s">
        <v>14</v>
      </c>
      <c r="C174" s="47" t="s">
        <v>15</v>
      </c>
      <c r="D174" s="68">
        <v>314033.258144713</v>
      </c>
      <c r="J174" t="str">
        <f t="shared" si="34"/>
        <v>\I:Trd_bus_</v>
      </c>
      <c r="K174" t="str">
        <f t="shared" si="36"/>
        <v>\I:</v>
      </c>
      <c r="L174" t="str">
        <f t="shared" si="35"/>
        <v>\I:</v>
      </c>
      <c r="M174" s="365" t="str">
        <f t="shared" si="37"/>
        <v/>
      </c>
      <c r="N174" s="365" t="str">
        <f t="shared" si="38"/>
        <v/>
      </c>
      <c r="O174" s="365" t="str">
        <f t="shared" si="39"/>
        <v/>
      </c>
      <c r="P174" s="365" t="str">
        <f t="shared" si="40"/>
        <v/>
      </c>
      <c r="R174" s="361"/>
      <c r="T174" t="s">
        <v>83</v>
      </c>
      <c r="U174" t="str">
        <f t="shared" si="41"/>
        <v>\I:</v>
      </c>
      <c r="V174" t="str">
        <f ca="1" t="shared" si="42"/>
        <v>Hybrid diesel coach -- Capital cost</v>
      </c>
      <c r="W174" s="363" t="s">
        <v>84</v>
      </c>
      <c r="X174" s="363" t="s">
        <v>85</v>
      </c>
    </row>
    <row r="175" spans="2:24">
      <c r="J175" t="str">
        <f t="shared" si="34"/>
        <v>\I:Trd_bus_</v>
      </c>
      <c r="K175" t="str">
        <f t="shared" si="36"/>
        <v>\I:</v>
      </c>
      <c r="L175" t="str">
        <f t="shared" si="35"/>
        <v>\I:</v>
      </c>
      <c r="M175" s="365" t="str">
        <f t="shared" si="37"/>
        <v/>
      </c>
      <c r="N175" s="365" t="str">
        <f t="shared" si="38"/>
        <v/>
      </c>
      <c r="O175" s="365" t="str">
        <f t="shared" si="39"/>
        <v/>
      </c>
      <c r="P175" s="365" t="str">
        <f t="shared" si="40"/>
        <v/>
      </c>
      <c r="R175" s="361"/>
      <c r="T175" t="s">
        <v>83</v>
      </c>
      <c r="U175" t="str">
        <f t="shared" si="41"/>
        <v>\I:</v>
      </c>
      <c r="V175" t="str">
        <f ca="1" t="shared" si="42"/>
        <v>Hybrid diesel coach -- 00%</v>
      </c>
      <c r="W175" s="363" t="s">
        <v>84</v>
      </c>
      <c r="X175" s="363" t="s">
        <v>85</v>
      </c>
    </row>
    <row r="176" ht="15" customHeight="1" spans="2:24">
      <c r="B176" s="362" t="s">
        <v>91</v>
      </c>
      <c r="C176" s="362" t="s">
        <v>168</v>
      </c>
      <c r="D176" s="362"/>
      <c r="E176" s="362"/>
      <c r="F176" s="362"/>
      <c r="J176" t="str">
        <f t="shared" si="34"/>
        <v>\I:Trd_bus_</v>
      </c>
      <c r="K176" t="str">
        <f t="shared" si="36"/>
        <v>\I:</v>
      </c>
      <c r="L176" t="str">
        <f t="shared" si="35"/>
        <v>\I:</v>
      </c>
      <c r="M176" s="365" t="str">
        <f t="shared" si="37"/>
        <v/>
      </c>
      <c r="N176" s="365" t="str">
        <f t="shared" si="38"/>
        <v/>
      </c>
      <c r="O176" s="365" t="str">
        <f t="shared" si="39"/>
        <v/>
      </c>
      <c r="P176" s="365" t="str">
        <f t="shared" si="40"/>
        <v/>
      </c>
      <c r="R176" s="361"/>
      <c r="T176" t="s">
        <v>83</v>
      </c>
      <c r="U176" t="str">
        <f t="shared" si="41"/>
        <v>\I:</v>
      </c>
      <c r="V176" t="str">
        <f ca="1" t="shared" si="42"/>
        <v>Hybrid diesel coach -- Reduction of specific energy consumption relative to 2015 LPG vehicle (%)</v>
      </c>
      <c r="W176" s="363" t="s">
        <v>84</v>
      </c>
      <c r="X176" s="363" t="s">
        <v>85</v>
      </c>
    </row>
    <row r="177" spans="2:24">
      <c r="B177" s="362"/>
      <c r="C177" s="362"/>
      <c r="D177" s="362"/>
      <c r="E177" s="362"/>
      <c r="F177" s="362"/>
      <c r="J177" t="str">
        <f t="shared" si="34"/>
        <v>\I:Trd_bus_</v>
      </c>
      <c r="K177" t="str">
        <f t="shared" si="36"/>
        <v>\I:</v>
      </c>
      <c r="L177" t="str">
        <f t="shared" si="35"/>
        <v>\I:</v>
      </c>
      <c r="M177" s="365" t="str">
        <f t="shared" si="37"/>
        <v/>
      </c>
      <c r="N177" s="365" t="str">
        <f t="shared" si="38"/>
        <v/>
      </c>
      <c r="O177" s="365" t="str">
        <f t="shared" si="39"/>
        <v/>
      </c>
      <c r="P177" s="365" t="str">
        <f t="shared" si="40"/>
        <v/>
      </c>
      <c r="R177" s="361"/>
      <c r="T177" t="s">
        <v>83</v>
      </c>
      <c r="U177" t="str">
        <f t="shared" si="41"/>
        <v>\I:</v>
      </c>
      <c r="V177" t="str">
        <f ca="1" t="shared" si="42"/>
        <v>Hybrid diesel coach -- 00%</v>
      </c>
      <c r="W177" s="363" t="s">
        <v>84</v>
      </c>
      <c r="X177" s="363" t="s">
        <v>85</v>
      </c>
    </row>
    <row r="178" spans="2:24">
      <c r="B178" s="362"/>
      <c r="C178" s="362"/>
      <c r="D178" s="362"/>
      <c r="E178" s="362"/>
      <c r="F178" s="362"/>
      <c r="J178" t="str">
        <f t="shared" si="34"/>
        <v>\I:Trd_bus_</v>
      </c>
      <c r="K178" t="str">
        <f t="shared" si="36"/>
        <v>\I:</v>
      </c>
      <c r="L178" t="str">
        <f t="shared" si="35"/>
        <v>\I:</v>
      </c>
      <c r="M178" s="365" t="str">
        <f t="shared" si="37"/>
        <v/>
      </c>
      <c r="N178" s="365" t="str">
        <f t="shared" si="38"/>
        <v/>
      </c>
      <c r="O178" s="365" t="str">
        <f t="shared" si="39"/>
        <v/>
      </c>
      <c r="P178" s="365" t="str">
        <f t="shared" si="40"/>
        <v/>
      </c>
      <c r="R178" s="361"/>
      <c r="T178" t="s">
        <v>83</v>
      </c>
      <c r="U178" t="str">
        <f t="shared" si="41"/>
        <v>\I:</v>
      </c>
      <c r="V178" t="str">
        <f ca="1" t="shared" si="42"/>
        <v>Hybrid diesel coach -- 00%</v>
      </c>
      <c r="W178" s="363" t="s">
        <v>84</v>
      </c>
      <c r="X178" s="363" t="s">
        <v>85</v>
      </c>
    </row>
    <row r="179" spans="2:24">
      <c r="B179" s="50"/>
      <c r="C179" s="51">
        <v>2020</v>
      </c>
      <c r="D179" s="51">
        <v>2030</v>
      </c>
      <c r="E179" s="51">
        <v>2040</v>
      </c>
      <c r="F179" s="51">
        <v>2050</v>
      </c>
      <c r="J179" t="str">
        <f t="shared" si="34"/>
        <v>\I:Trd_bus_</v>
      </c>
      <c r="K179" t="str">
        <f t="shared" si="36"/>
        <v>\I:</v>
      </c>
      <c r="L179" t="str">
        <f t="shared" si="35"/>
        <v>\I:</v>
      </c>
      <c r="M179" s="365" t="str">
        <f t="shared" si="37"/>
        <v/>
      </c>
      <c r="N179" s="365" t="str">
        <f t="shared" si="38"/>
        <v/>
      </c>
      <c r="O179" s="365" t="str">
        <f t="shared" si="39"/>
        <v/>
      </c>
      <c r="P179" s="365" t="str">
        <f t="shared" si="40"/>
        <v/>
      </c>
      <c r="R179" s="361"/>
      <c r="T179" t="s">
        <v>83</v>
      </c>
      <c r="U179" t="str">
        <f t="shared" si="41"/>
        <v>\I:</v>
      </c>
      <c r="V179" t="str">
        <f ca="1" t="shared" si="42"/>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5">
        <f t="shared" si="37"/>
        <v>314853.623173696</v>
      </c>
      <c r="N180" s="365">
        <f t="shared" si="38"/>
        <v>314853.623173696</v>
      </c>
      <c r="O180" s="365">
        <f t="shared" si="39"/>
        <v>314853.623173696</v>
      </c>
      <c r="P180" s="365">
        <f t="shared" si="40"/>
        <v>314853.623173696</v>
      </c>
      <c r="R180" s="361"/>
      <c r="T180" t="s">
        <v>83</v>
      </c>
      <c r="U180" t="str">
        <f t="shared" si="41"/>
        <v>\I:Trd_bus__04</v>
      </c>
      <c r="V180" t="str">
        <f ca="1" t="shared" si="42"/>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5">
        <f t="shared" si="37"/>
        <v>316357.912857641</v>
      </c>
      <c r="N181" s="365">
        <f t="shared" si="38"/>
        <v>315860.771337195</v>
      </c>
      <c r="O181" s="365">
        <f t="shared" si="39"/>
        <v>315860.771337195</v>
      </c>
      <c r="P181" s="365">
        <f t="shared" si="40"/>
        <v>315860.771337195</v>
      </c>
      <c r="R181" s="361"/>
      <c r="T181" t="s">
        <v>83</v>
      </c>
      <c r="U181" t="str">
        <f t="shared" si="41"/>
        <v>\I:Trd_bus__09</v>
      </c>
      <c r="V181" t="str">
        <f ca="1" t="shared" si="42"/>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5">
        <f t="shared" si="37"/>
        <v>317785.200592476</v>
      </c>
      <c r="N182" s="365">
        <f t="shared" si="38"/>
        <v>317374.996164148</v>
      </c>
      <c r="O182" s="365">
        <f t="shared" si="39"/>
        <v>317374.996164148</v>
      </c>
      <c r="P182" s="365">
        <f t="shared" si="40"/>
        <v>317374.996164148</v>
      </c>
      <c r="R182" s="361"/>
      <c r="T182" t="s">
        <v>83</v>
      </c>
      <c r="U182" t="str">
        <f t="shared" si="41"/>
        <v>\I:Trd_bus__14</v>
      </c>
      <c r="V182" t="str">
        <f ca="1" t="shared" si="42"/>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5">
        <f t="shared" si="37"/>
        <v>322862.916891406</v>
      </c>
      <c r="N183" s="365">
        <f t="shared" si="38"/>
        <v>319651.599458143</v>
      </c>
      <c r="O183" s="365">
        <f t="shared" si="39"/>
        <v>319651.599458143</v>
      </c>
      <c r="P183" s="365">
        <f t="shared" si="40"/>
        <v>319651.599458143</v>
      </c>
      <c r="R183" s="361"/>
      <c r="T183" t="s">
        <v>83</v>
      </c>
      <c r="U183" t="str">
        <f t="shared" si="41"/>
        <v>\I:Trd_bus__19</v>
      </c>
      <c r="V183" t="str">
        <f ca="1" t="shared" si="42"/>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5">
        <f t="shared" si="37"/>
        <v>328683.925077435</v>
      </c>
      <c r="N184" s="365">
        <f t="shared" si="38"/>
        <v>323074.421793354</v>
      </c>
      <c r="O184" s="365">
        <f t="shared" si="39"/>
        <v>323074.421793354</v>
      </c>
      <c r="P184" s="365">
        <f t="shared" si="40"/>
        <v>323074.421793354</v>
      </c>
      <c r="R184" s="361"/>
      <c r="T184" t="s">
        <v>83</v>
      </c>
      <c r="U184" t="str">
        <f t="shared" si="41"/>
        <v>\I:Trd_bus__24</v>
      </c>
      <c r="V184" t="str">
        <f ca="1" t="shared" si="42"/>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5">
        <f t="shared" si="37"/>
        <v>354415.764843984</v>
      </c>
      <c r="N185" s="365">
        <f t="shared" si="38"/>
        <v>328347.028066266</v>
      </c>
      <c r="O185" s="365">
        <f t="shared" si="39"/>
        <v>328220.558921997</v>
      </c>
      <c r="P185" s="365">
        <f t="shared" si="40"/>
        <v>328220.558921997</v>
      </c>
      <c r="R185" s="361"/>
      <c r="T185" t="s">
        <v>83</v>
      </c>
      <c r="U185" t="str">
        <f t="shared" si="41"/>
        <v>\I:Trd_bus__26</v>
      </c>
      <c r="V185" t="str">
        <f ca="1" t="shared" si="42"/>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5">
        <f t="shared" si="37"/>
        <v>439504.492759275</v>
      </c>
      <c r="N186" s="365">
        <f t="shared" si="38"/>
        <v>344457.30295664</v>
      </c>
      <c r="O186" s="365">
        <f t="shared" si="39"/>
        <v>335957.661451208</v>
      </c>
      <c r="P186" s="365">
        <f t="shared" si="40"/>
        <v>335957.661451208</v>
      </c>
      <c r="R186" s="361"/>
      <c r="T186" t="s">
        <v>83</v>
      </c>
      <c r="U186" t="str">
        <f t="shared" si="41"/>
        <v>\I:Trd_bus__29</v>
      </c>
      <c r="V186" t="str">
        <f ca="1" t="shared" si="42"/>
        <v>Hybrid diesel coach -- 29%</v>
      </c>
      <c r="W186" s="363" t="s">
        <v>84</v>
      </c>
      <c r="X186" s="363" t="s">
        <v>85</v>
      </c>
    </row>
    <row r="187" spans="2:24">
      <c r="J187" t="str">
        <f t="shared" si="34"/>
        <v>\I:Trd_bus_</v>
      </c>
      <c r="K187" t="str">
        <f t="shared" si="36"/>
        <v>\I:</v>
      </c>
      <c r="L187" t="str">
        <f t="shared" si="35"/>
        <v>\I:</v>
      </c>
      <c r="M187" s="365" t="str">
        <f t="shared" si="37"/>
        <v/>
      </c>
      <c r="N187" s="365" t="str">
        <f t="shared" si="38"/>
        <v/>
      </c>
      <c r="O187" s="365" t="str">
        <f t="shared" si="39"/>
        <v/>
      </c>
      <c r="P187" s="365" t="str">
        <f t="shared" si="40"/>
        <v/>
      </c>
      <c r="R187" s="361"/>
      <c r="T187" t="s">
        <v>83</v>
      </c>
      <c r="U187" t="str">
        <f t="shared" si="41"/>
        <v>\I:</v>
      </c>
      <c r="V187" t="str">
        <f ca="1" t="shared" si="42"/>
        <v>Hybrid diesel coach -- 00%</v>
      </c>
      <c r="W187" s="363" t="s">
        <v>84</v>
      </c>
      <c r="X187" s="363" t="s">
        <v>85</v>
      </c>
    </row>
    <row r="188" spans="2:24">
      <c r="J188" t="str">
        <f t="shared" si="34"/>
        <v>\I:Trd_bus_</v>
      </c>
      <c r="K188" t="str">
        <f t="shared" si="36"/>
        <v>\I:</v>
      </c>
      <c r="L188" t="str">
        <f t="shared" si="35"/>
        <v>\I:</v>
      </c>
      <c r="M188" s="365" t="str">
        <f t="shared" si="37"/>
        <v/>
      </c>
      <c r="N188" s="365" t="str">
        <f t="shared" si="38"/>
        <v/>
      </c>
      <c r="O188" s="365" t="str">
        <f t="shared" si="39"/>
        <v/>
      </c>
      <c r="P188" s="365" t="str">
        <f t="shared" si="40"/>
        <v/>
      </c>
      <c r="R188" s="361"/>
      <c r="T188" t="s">
        <v>83</v>
      </c>
      <c r="U188" t="str">
        <f t="shared" si="41"/>
        <v>\I:</v>
      </c>
      <c r="V188" t="str">
        <f ca="1" t="shared" si="42"/>
        <v>Hybrid diesel coach -- 00%</v>
      </c>
      <c r="W188" s="363" t="s">
        <v>84</v>
      </c>
      <c r="X188" s="363" t="s">
        <v>85</v>
      </c>
    </row>
    <row r="189" spans="2:24">
      <c r="J189" t="str">
        <f t="shared" si="34"/>
        <v>\I:Trd_bus_</v>
      </c>
      <c r="K189" t="str">
        <f t="shared" si="36"/>
        <v>\I:</v>
      </c>
      <c r="L189" t="str">
        <f t="shared" si="35"/>
        <v>\I:</v>
      </c>
      <c r="M189" s="365" t="str">
        <f t="shared" si="37"/>
        <v/>
      </c>
      <c r="N189" s="365" t="str">
        <f t="shared" si="38"/>
        <v/>
      </c>
      <c r="O189" s="365" t="str">
        <f t="shared" si="39"/>
        <v/>
      </c>
      <c r="P189" s="365" t="str">
        <f t="shared" si="40"/>
        <v/>
      </c>
      <c r="R189" s="361"/>
      <c r="T189" t="s">
        <v>83</v>
      </c>
      <c r="U189" t="str">
        <f t="shared" si="41"/>
        <v>\I:</v>
      </c>
      <c r="V189" t="str">
        <f ca="1" t="shared" si="42"/>
        <v>Hybrid diesel coach -- 00%</v>
      </c>
      <c r="W189" s="363" t="s">
        <v>84</v>
      </c>
      <c r="X189" s="363" t="s">
        <v>85</v>
      </c>
    </row>
    <row r="190" spans="2:24">
      <c r="B190" s="356">
        <v>2020</v>
      </c>
      <c r="C190" s="356"/>
      <c r="D190" s="356"/>
      <c r="J190" t="str">
        <f t="shared" si="34"/>
        <v>\I:Trd_bus_</v>
      </c>
      <c r="K190" t="str">
        <f t="shared" si="36"/>
        <v>\I:</v>
      </c>
      <c r="L190" t="str">
        <f t="shared" si="35"/>
        <v>\I:</v>
      </c>
      <c r="M190" s="365" t="str">
        <f t="shared" si="37"/>
        <v/>
      </c>
      <c r="N190" s="365" t="str">
        <f t="shared" si="38"/>
        <v/>
      </c>
      <c r="O190" s="365" t="str">
        <f t="shared" si="39"/>
        <v/>
      </c>
      <c r="P190" s="365" t="str">
        <f t="shared" si="40"/>
        <v/>
      </c>
      <c r="R190" s="361"/>
      <c r="T190" t="s">
        <v>83</v>
      </c>
      <c r="U190" t="str">
        <f t="shared" si="41"/>
        <v>\I:</v>
      </c>
      <c r="V190" t="str">
        <f ca="1" t="shared" si="42"/>
        <v>Hybrid diesel coach -- 202000%</v>
      </c>
      <c r="W190" s="363" t="s">
        <v>84</v>
      </c>
      <c r="X190" s="363" t="s">
        <v>85</v>
      </c>
    </row>
    <row r="191" spans="2:24">
      <c r="B191" s="46" t="s">
        <v>169</v>
      </c>
      <c r="C191" s="47" t="s">
        <v>26</v>
      </c>
      <c r="D191" s="74">
        <v>1.15</v>
      </c>
      <c r="J191" t="str">
        <f t="shared" si="34"/>
        <v>\I:Trd_bus_</v>
      </c>
      <c r="K191" t="str">
        <f t="shared" si="36"/>
        <v>\I:</v>
      </c>
      <c r="L191" t="str">
        <f t="shared" si="35"/>
        <v>\I:</v>
      </c>
      <c r="M191" s="365" t="str">
        <f t="shared" si="37"/>
        <v/>
      </c>
      <c r="N191" s="365" t="str">
        <f t="shared" si="38"/>
        <v/>
      </c>
      <c r="O191" s="365" t="str">
        <f t="shared" si="39"/>
        <v/>
      </c>
      <c r="P191" s="365" t="str">
        <f t="shared" si="40"/>
        <v/>
      </c>
      <c r="R191" s="361"/>
      <c r="T191" t="s">
        <v>83</v>
      </c>
      <c r="U191" t="str">
        <f t="shared" si="41"/>
        <v>\I:</v>
      </c>
      <c r="V191" t="str">
        <f ca="1" t="shared" si="42"/>
        <v>Hybrid diesel coach -- Energy consumption of Battery electric coach</v>
      </c>
      <c r="W191" s="363" t="s">
        <v>84</v>
      </c>
      <c r="X191" s="363" t="s">
        <v>85</v>
      </c>
    </row>
    <row r="192" spans="2:24">
      <c r="J192" t="str">
        <f t="shared" si="34"/>
        <v>\I:Trd_bus_</v>
      </c>
      <c r="K192" t="str">
        <f t="shared" si="36"/>
        <v>\I:</v>
      </c>
      <c r="L192" t="str">
        <f t="shared" si="35"/>
        <v>\I:</v>
      </c>
      <c r="M192" s="365" t="str">
        <f t="shared" si="37"/>
        <v/>
      </c>
      <c r="N192" s="365" t="str">
        <f t="shared" si="38"/>
        <v/>
      </c>
      <c r="O192" s="365" t="str">
        <f t="shared" si="39"/>
        <v/>
      </c>
      <c r="P192" s="365" t="str">
        <f t="shared" si="40"/>
        <v/>
      </c>
      <c r="R192" s="361"/>
      <c r="T192" t="s">
        <v>83</v>
      </c>
      <c r="U192" t="str">
        <f t="shared" si="41"/>
        <v>\I:</v>
      </c>
      <c r="V192" t="str">
        <f ca="1" t="shared" si="42"/>
        <v>Hybrid diesel coach -- 00%</v>
      </c>
      <c r="W192" s="363" t="s">
        <v>84</v>
      </c>
      <c r="X192" s="363" t="s">
        <v>85</v>
      </c>
    </row>
    <row r="193" ht="15" customHeight="1" spans="2:24">
      <c r="B193" s="362" t="s">
        <v>27</v>
      </c>
      <c r="C193" s="362" t="s">
        <v>157</v>
      </c>
      <c r="D193" s="362"/>
      <c r="E193" s="362"/>
      <c r="F193" s="362"/>
      <c r="J193" t="str">
        <f t="shared" si="34"/>
        <v>\I:Trd_bus_</v>
      </c>
      <c r="K193" t="str">
        <f t="shared" si="36"/>
        <v>\I:</v>
      </c>
      <c r="L193" t="str">
        <f t="shared" si="35"/>
        <v>\I:</v>
      </c>
      <c r="M193" s="365" t="str">
        <f t="shared" si="37"/>
        <v/>
      </c>
      <c r="N193" s="365" t="str">
        <f t="shared" si="38"/>
        <v/>
      </c>
      <c r="O193" s="365" t="str">
        <f t="shared" si="39"/>
        <v/>
      </c>
      <c r="P193" s="365" t="str">
        <f t="shared" si="40"/>
        <v/>
      </c>
      <c r="R193" s="361"/>
      <c r="T193" t="s">
        <v>83</v>
      </c>
      <c r="U193" t="str">
        <f t="shared" si="41"/>
        <v>\I:</v>
      </c>
      <c r="V193" t="str">
        <f ca="1" t="shared" si="42"/>
        <v>Hybrid diesel coach -- Electric range (km)</v>
      </c>
      <c r="W193" s="363" t="s">
        <v>84</v>
      </c>
      <c r="X193" s="363" t="s">
        <v>85</v>
      </c>
    </row>
    <row r="194" spans="2:24">
      <c r="B194" s="362"/>
      <c r="C194" s="362"/>
      <c r="D194" s="362"/>
      <c r="E194" s="362"/>
      <c r="F194" s="362"/>
      <c r="J194" t="str">
        <f t="shared" si="34"/>
        <v>\I:Trd_bus_</v>
      </c>
      <c r="K194" t="str">
        <f t="shared" si="36"/>
        <v>\I:</v>
      </c>
      <c r="L194" t="str">
        <f t="shared" si="35"/>
        <v>\I:</v>
      </c>
      <c r="M194" s="365" t="str">
        <f t="shared" si="37"/>
        <v/>
      </c>
      <c r="N194" s="365" t="str">
        <f t="shared" si="38"/>
        <v/>
      </c>
      <c r="O194" s="365" t="str">
        <f t="shared" si="39"/>
        <v/>
      </c>
      <c r="P194" s="365" t="str">
        <f t="shared" si="40"/>
        <v/>
      </c>
      <c r="R194" s="361"/>
      <c r="T194" t="s">
        <v>83</v>
      </c>
      <c r="U194" t="str">
        <f t="shared" si="41"/>
        <v>\I:</v>
      </c>
      <c r="V194" t="str">
        <f ca="1" t="shared" si="42"/>
        <v>Hybrid diesel coach -- 00%</v>
      </c>
      <c r="W194" s="363" t="s">
        <v>84</v>
      </c>
      <c r="X194" s="363" t="s">
        <v>85</v>
      </c>
    </row>
    <row r="195" spans="2:24">
      <c r="B195" s="362"/>
      <c r="C195" s="362"/>
      <c r="D195" s="362"/>
      <c r="E195" s="362"/>
      <c r="F195" s="362"/>
      <c r="J195" t="str">
        <f t="shared" si="34"/>
        <v>\I:Trd_bus_</v>
      </c>
      <c r="K195" t="str">
        <f t="shared" si="36"/>
        <v>\I:</v>
      </c>
      <c r="L195" t="str">
        <f t="shared" si="35"/>
        <v>\I:</v>
      </c>
      <c r="M195" s="365" t="str">
        <f t="shared" si="37"/>
        <v/>
      </c>
      <c r="N195" s="365" t="str">
        <f t="shared" si="38"/>
        <v/>
      </c>
      <c r="O195" s="365" t="str">
        <f t="shared" si="39"/>
        <v/>
      </c>
      <c r="P195" s="365" t="str">
        <f t="shared" si="40"/>
        <v/>
      </c>
      <c r="R195" s="361"/>
      <c r="T195" t="s">
        <v>83</v>
      </c>
      <c r="U195" t="str">
        <f t="shared" si="41"/>
        <v>\I:</v>
      </c>
      <c r="V195" t="str">
        <f ca="1" t="shared" si="42"/>
        <v>Hybrid diesel coach -- 00%</v>
      </c>
      <c r="W195" s="363" t="s">
        <v>84</v>
      </c>
      <c r="X195" s="363" t="s">
        <v>85</v>
      </c>
    </row>
    <row r="196" spans="2:24">
      <c r="B196" s="50"/>
      <c r="C196" s="51">
        <v>2020</v>
      </c>
      <c r="D196" s="51">
        <v>2030</v>
      </c>
      <c r="E196" s="51">
        <v>2040</v>
      </c>
      <c r="F196" s="51">
        <v>2050</v>
      </c>
      <c r="J196" t="str">
        <f t="shared" si="34"/>
        <v>\I:Trd_bus_</v>
      </c>
      <c r="K196" t="str">
        <f t="shared" si="36"/>
        <v>\I:</v>
      </c>
      <c r="L196" t="str">
        <f t="shared" si="35"/>
        <v>\I:</v>
      </c>
      <c r="M196" s="365" t="str">
        <f t="shared" si="37"/>
        <v/>
      </c>
      <c r="N196" s="365" t="str">
        <f t="shared" si="38"/>
        <v/>
      </c>
      <c r="O196" s="365" t="str">
        <f t="shared" si="39"/>
        <v/>
      </c>
      <c r="P196" s="365" t="str">
        <f t="shared" si="40"/>
        <v/>
      </c>
      <c r="R196" s="361"/>
      <c r="T196" t="s">
        <v>83</v>
      </c>
      <c r="U196" t="str">
        <f t="shared" si="41"/>
        <v>\I:</v>
      </c>
      <c r="V196" t="str">
        <f ca="1" t="shared" si="42"/>
        <v>Hybrid diesel coach -- 00%</v>
      </c>
      <c r="W196" s="363" t="s">
        <v>84</v>
      </c>
      <c r="X196" s="363"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5">
        <f t="shared" si="37"/>
        <v>432403.149196547</v>
      </c>
      <c r="N197" s="365">
        <f t="shared" si="38"/>
        <v>321623.420926528</v>
      </c>
      <c r="O197" s="365">
        <f t="shared" si="39"/>
        <v>308656.066547112</v>
      </c>
      <c r="P197" s="365">
        <f t="shared" si="40"/>
        <v>303278.407673277</v>
      </c>
      <c r="R197" s="361"/>
      <c r="T197" t="s">
        <v>83</v>
      </c>
      <c r="U197" t="str">
        <f t="shared" si="41"/>
        <v>\I:Trd_bus__12000</v>
      </c>
      <c r="V197" t="str">
        <f ca="1" t="shared" si="42"/>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5">
        <f t="shared" si="37"/>
        <v>436722.073356786</v>
      </c>
      <c r="N198" s="365">
        <f t="shared" si="38"/>
        <v>324694.575852623</v>
      </c>
      <c r="O198" s="365">
        <f t="shared" si="39"/>
        <v>310226.231333419</v>
      </c>
      <c r="P198" s="365">
        <f t="shared" si="40"/>
        <v>304226.100619255</v>
      </c>
      <c r="R198" s="361"/>
      <c r="T198" t="s">
        <v>83</v>
      </c>
      <c r="U198" t="str">
        <f t="shared" si="41"/>
        <v>\I:Trd_bus__13429</v>
      </c>
      <c r="V198" t="str">
        <f ca="1" t="shared" si="42"/>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5">
        <f t="shared" si="37"/>
        <v>439101.341331762</v>
      </c>
      <c r="N199" s="365">
        <f t="shared" si="38"/>
        <v>326386.455656653</v>
      </c>
      <c r="O199" s="365">
        <f t="shared" si="39"/>
        <v>311091.225172832</v>
      </c>
      <c r="P199" s="365">
        <f t="shared" si="40"/>
        <v>304748.178662957</v>
      </c>
      <c r="R199" s="361"/>
      <c r="T199" t="s">
        <v>83</v>
      </c>
      <c r="U199" t="str">
        <f t="shared" si="41"/>
        <v>\I:Trd_bus__14857</v>
      </c>
      <c r="V199" t="str">
        <f ca="1" t="shared" si="42"/>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5">
        <f t="shared" si="37"/>
        <v>441517.145494916</v>
      </c>
      <c r="N200" s="365">
        <f t="shared" si="38"/>
        <v>328104.316073016</v>
      </c>
      <c r="O200" s="365">
        <f t="shared" si="39"/>
        <v>311969.501911868</v>
      </c>
      <c r="P200" s="365">
        <f t="shared" si="40"/>
        <v>305278.273769826</v>
      </c>
      <c r="R200" s="361"/>
      <c r="T200" t="s">
        <v>83</v>
      </c>
      <c r="U200" t="str">
        <f t="shared" si="41"/>
        <v>\I:Trd_bus__16286</v>
      </c>
      <c r="V200" t="str">
        <f ca="1" t="shared" si="42"/>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5">
        <f t="shared" si="37"/>
        <v>444078.767318675</v>
      </c>
      <c r="N201" s="365">
        <f t="shared" si="38"/>
        <v>329925.866345942</v>
      </c>
      <c r="O201" s="365">
        <f t="shared" si="39"/>
        <v>312900.791333556</v>
      </c>
      <c r="P201" s="365">
        <f t="shared" si="40"/>
        <v>305840.365356196</v>
      </c>
      <c r="R201" s="361"/>
      <c r="T201" t="s">
        <v>83</v>
      </c>
      <c r="U201" t="str">
        <f t="shared" si="41"/>
        <v>\I:Trd_bus__17714</v>
      </c>
      <c r="V201" t="str">
        <f ca="1" t="shared" si="42"/>
        <v>Hybrid diesel coach -- 17714%</v>
      </c>
      <c r="W201" s="363" t="s">
        <v>84</v>
      </c>
      <c r="X201" s="363"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5">
        <f t="shared" si="37"/>
        <v>488912.15374367</v>
      </c>
      <c r="N202" s="365">
        <f t="shared" si="38"/>
        <v>365809.482166322</v>
      </c>
      <c r="O202" s="365">
        <f t="shared" si="39"/>
        <v>330905.629479526</v>
      </c>
      <c r="P202" s="365">
        <f t="shared" si="40"/>
        <v>316707.414632298</v>
      </c>
      <c r="R202" s="361"/>
      <c r="T202" t="s">
        <v>83</v>
      </c>
      <c r="U202" t="str">
        <f t="shared" si="41"/>
        <v>\I:Trd_bus__35000</v>
      </c>
      <c r="V202" t="str">
        <f ca="1" t="shared" si="42"/>
        <v>Hybrid diesel coach -- 35000%</v>
      </c>
      <c r="W202" s="363" t="s">
        <v>84</v>
      </c>
      <c r="X202" s="363"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5">
        <f t="shared" si="37"/>
        <v>530094.963307474</v>
      </c>
      <c r="N203" s="365">
        <f t="shared" si="38"/>
        <v>398620.776220214</v>
      </c>
      <c r="O203" s="365">
        <f t="shared" si="39"/>
        <v>348984.265806477</v>
      </c>
      <c r="P203" s="365">
        <f t="shared" si="40"/>
        <v>327038.150254399</v>
      </c>
      <c r="R203" s="361"/>
      <c r="T203" t="s">
        <v>83</v>
      </c>
      <c r="U203" t="str">
        <f t="shared" si="41"/>
        <v>\I:Trd_bus__50000</v>
      </c>
      <c r="V203" t="str">
        <f ca="1" t="shared" si="42"/>
        <v>Hybrid diesel coach -- 50000%</v>
      </c>
      <c r="W203" s="363" t="s">
        <v>84</v>
      </c>
      <c r="X203" s="363"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5">
        <f t="shared" si="37"/>
        <v>565928.361387453</v>
      </c>
      <c r="N204" s="365">
        <f t="shared" si="38"/>
        <v>427615.94590543</v>
      </c>
      <c r="O204" s="365">
        <f t="shared" si="39"/>
        <v>362846.01604123</v>
      </c>
      <c r="P204" s="365">
        <f t="shared" si="40"/>
        <v>335985.441563159</v>
      </c>
      <c r="R204" s="361"/>
      <c r="T204" t="s">
        <v>83</v>
      </c>
      <c r="U204" t="str">
        <f t="shared" si="41"/>
        <v>\I:Trd_bus__60000</v>
      </c>
      <c r="V204" t="str">
        <f ca="1" t="shared" si="42"/>
        <v>Hybrid diesel coach -- 60000%</v>
      </c>
      <c r="W204" s="363" t="s">
        <v>84</v>
      </c>
      <c r="X204" s="363" t="s">
        <v>85</v>
      </c>
    </row>
    <row r="205" spans="2:24">
      <c r="B205" s="365"/>
      <c r="J205" t="str">
        <f t="shared" si="34"/>
        <v>\I:Trd_bus_</v>
      </c>
      <c r="K205" t="str">
        <f t="shared" si="36"/>
        <v>\I:</v>
      </c>
      <c r="L205" t="str">
        <f t="shared" si="35"/>
        <v>\I:</v>
      </c>
      <c r="M205" s="365" t="str">
        <f t="shared" si="37"/>
        <v/>
      </c>
      <c r="N205" s="365" t="str">
        <f t="shared" si="38"/>
        <v/>
      </c>
      <c r="O205" s="365" t="str">
        <f t="shared" si="39"/>
        <v/>
      </c>
      <c r="P205" s="365" t="str">
        <f t="shared" si="40"/>
        <v/>
      </c>
      <c r="R205" s="361"/>
      <c r="T205" t="s">
        <v>83</v>
      </c>
      <c r="U205" t="str">
        <f t="shared" si="41"/>
        <v>\I:</v>
      </c>
      <c r="V205" t="str">
        <f ca="1" t="shared" si="42"/>
        <v>Hybrid diesel coach -- 00%</v>
      </c>
      <c r="W205" s="363" t="s">
        <v>84</v>
      </c>
      <c r="X205" s="363" t="s">
        <v>85</v>
      </c>
    </row>
    <row r="206" spans="2:24">
      <c r="J206" t="str">
        <f t="shared" ref="J206:J219" si="43">IFERROR(VLOOKUP(C206,$R$1:$S$9,2,FALSE),J205)</f>
        <v>\I:Trd_bus_</v>
      </c>
      <c r="K206" t="str">
        <f t="shared" si="36"/>
        <v>\I:</v>
      </c>
      <c r="L206" t="str">
        <f t="shared" ref="L206:L219" si="44">LEFT(K206,7)</f>
        <v>\I:</v>
      </c>
      <c r="M206" s="365" t="str">
        <f t="shared" si="37"/>
        <v/>
      </c>
      <c r="N206" s="365" t="str">
        <f t="shared" si="38"/>
        <v/>
      </c>
      <c r="O206" s="365" t="str">
        <f t="shared" si="39"/>
        <v/>
      </c>
      <c r="P206" s="365" t="str">
        <f t="shared" si="40"/>
        <v/>
      </c>
      <c r="R206" s="361"/>
      <c r="T206" t="s">
        <v>83</v>
      </c>
      <c r="U206" t="str">
        <f t="shared" si="41"/>
        <v>\I:</v>
      </c>
      <c r="V206" t="str">
        <f ca="1" t="shared" si="42"/>
        <v>Hybrid diesel coach -- 00%</v>
      </c>
      <c r="W206" s="363" t="s">
        <v>84</v>
      </c>
      <c r="X206" s="363" t="s">
        <v>85</v>
      </c>
    </row>
    <row r="207" spans="2:24">
      <c r="J207" t="str">
        <f t="shared" si="43"/>
        <v>\I:Trd_bus_</v>
      </c>
      <c r="K207" t="str">
        <f t="shared" si="36"/>
        <v>\I:</v>
      </c>
      <c r="L207" t="str">
        <f t="shared" si="44"/>
        <v>\I:</v>
      </c>
      <c r="M207" s="365" t="str">
        <f t="shared" si="37"/>
        <v/>
      </c>
      <c r="N207" s="365" t="str">
        <f t="shared" si="38"/>
        <v/>
      </c>
      <c r="O207" s="365" t="str">
        <f t="shared" si="39"/>
        <v/>
      </c>
      <c r="P207" s="365" t="str">
        <f t="shared" si="40"/>
        <v/>
      </c>
      <c r="R207" s="361"/>
      <c r="T207" t="s">
        <v>83</v>
      </c>
      <c r="U207" t="str">
        <f t="shared" si="41"/>
        <v>\I:</v>
      </c>
      <c r="V207" t="str">
        <f ca="1" t="shared" si="42"/>
        <v>Hybrid diesel coach -- 00%</v>
      </c>
      <c r="W207" s="363" t="s">
        <v>84</v>
      </c>
      <c r="X207" s="363" t="s">
        <v>85</v>
      </c>
    </row>
    <row r="208" ht="21.75" customHeight="1" spans="2:24">
      <c r="B208" s="362" t="s">
        <v>29</v>
      </c>
      <c r="C208" s="362" t="s">
        <v>170</v>
      </c>
      <c r="D208" s="362"/>
      <c r="E208" s="362"/>
      <c r="F208" s="362"/>
      <c r="J208" t="str">
        <f t="shared" si="43"/>
        <v>\I:Trd_bus_</v>
      </c>
      <c r="K208" t="str">
        <f t="shared" si="36"/>
        <v>\I:</v>
      </c>
      <c r="L208" t="str">
        <f t="shared" si="44"/>
        <v>\I:</v>
      </c>
      <c r="M208" s="365" t="str">
        <f t="shared" si="37"/>
        <v/>
      </c>
      <c r="N208" s="365" t="str">
        <f t="shared" si="38"/>
        <v/>
      </c>
      <c r="O208" s="365" t="str">
        <f t="shared" si="39"/>
        <v/>
      </c>
      <c r="P208" s="365" t="str">
        <f t="shared" si="40"/>
        <v/>
      </c>
      <c r="R208" s="361"/>
      <c r="T208" t="s">
        <v>83</v>
      </c>
      <c r="U208" t="str">
        <f t="shared" si="41"/>
        <v>\I:</v>
      </c>
      <c r="V208" t="str">
        <f ca="1" t="shared" si="42"/>
        <v>Hybrid diesel coach -- Energy consumption (kg H2/100km)</v>
      </c>
      <c r="W208" s="363" t="s">
        <v>84</v>
      </c>
      <c r="X208" s="363" t="s">
        <v>85</v>
      </c>
    </row>
    <row r="209" ht="21.75" customHeight="1" spans="2:24">
      <c r="B209" s="362"/>
      <c r="C209" s="362"/>
      <c r="D209" s="362"/>
      <c r="E209" s="362"/>
      <c r="F209" s="362"/>
      <c r="J209" t="str">
        <f t="shared" si="43"/>
        <v>\I:Trd_bus_</v>
      </c>
      <c r="K209" t="str">
        <f t="shared" si="36"/>
        <v>\I:</v>
      </c>
      <c r="L209" t="str">
        <f t="shared" si="44"/>
        <v>\I:</v>
      </c>
      <c r="M209" s="365" t="str">
        <f t="shared" si="37"/>
        <v/>
      </c>
      <c r="N209" s="365" t="str">
        <f t="shared" si="38"/>
        <v/>
      </c>
      <c r="O209" s="365" t="str">
        <f t="shared" si="39"/>
        <v/>
      </c>
      <c r="P209" s="365" t="str">
        <f t="shared" si="40"/>
        <v/>
      </c>
      <c r="R209" s="361"/>
      <c r="T209" t="s">
        <v>83</v>
      </c>
      <c r="U209" t="str">
        <f t="shared" si="41"/>
        <v>\I:</v>
      </c>
      <c r="V209" t="str">
        <f ca="1" t="shared" si="42"/>
        <v>Hybrid diesel coach -- 00%</v>
      </c>
      <c r="W209" s="363" t="s">
        <v>84</v>
      </c>
      <c r="X209" s="363" t="s">
        <v>85</v>
      </c>
    </row>
    <row r="210" spans="2:24">
      <c r="B210" s="362"/>
      <c r="C210" s="362"/>
      <c r="D210" s="362"/>
      <c r="E210" s="362"/>
      <c r="F210" s="362"/>
      <c r="J210" t="str">
        <f t="shared" si="43"/>
        <v>\I:Trd_bus_</v>
      </c>
      <c r="K210" t="str">
        <f t="shared" si="36"/>
        <v>\I:</v>
      </c>
      <c r="L210" t="str">
        <f t="shared" si="44"/>
        <v>\I:</v>
      </c>
      <c r="M210" s="365" t="str">
        <f t="shared" si="37"/>
        <v/>
      </c>
      <c r="N210" s="365" t="str">
        <f t="shared" si="38"/>
        <v/>
      </c>
      <c r="O210" s="365" t="str">
        <f t="shared" si="39"/>
        <v/>
      </c>
      <c r="P210" s="365" t="str">
        <f t="shared" si="40"/>
        <v/>
      </c>
      <c r="R210" s="361"/>
      <c r="T210" t="s">
        <v>83</v>
      </c>
      <c r="U210" t="str">
        <f t="shared" si="41"/>
        <v>\I:</v>
      </c>
      <c r="V210" t="str">
        <f ca="1" t="shared" si="42"/>
        <v>Hybrid diesel coach -- 00%</v>
      </c>
      <c r="W210" s="363" t="s">
        <v>84</v>
      </c>
      <c r="X210" s="363" t="s">
        <v>85</v>
      </c>
    </row>
    <row r="211" spans="2:24">
      <c r="B211" s="50"/>
      <c r="C211" s="51">
        <v>2020</v>
      </c>
      <c r="D211" s="51">
        <v>2030</v>
      </c>
      <c r="E211" s="51">
        <v>2040</v>
      </c>
      <c r="F211" s="51">
        <v>2050</v>
      </c>
      <c r="J211" t="str">
        <f t="shared" si="43"/>
        <v>\I:Trd_bus_</v>
      </c>
      <c r="K211" t="str">
        <f t="shared" si="36"/>
        <v>\I:</v>
      </c>
      <c r="L211" t="str">
        <f t="shared" si="44"/>
        <v>\I:</v>
      </c>
      <c r="M211" s="365" t="str">
        <f t="shared" si="37"/>
        <v/>
      </c>
      <c r="N211" s="365" t="str">
        <f t="shared" si="38"/>
        <v/>
      </c>
      <c r="O211" s="365" t="str">
        <f t="shared" si="39"/>
        <v/>
      </c>
      <c r="P211" s="365" t="str">
        <f t="shared" si="40"/>
        <v/>
      </c>
      <c r="R211" s="361"/>
      <c r="T211" t="s">
        <v>83</v>
      </c>
      <c r="U211" t="str">
        <f t="shared" si="41"/>
        <v>\I:</v>
      </c>
      <c r="V211" t="str">
        <f ca="1" t="shared" si="42"/>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5">
        <f t="shared" si="37"/>
        <v>645414.917881523</v>
      </c>
      <c r="N212" s="365">
        <f t="shared" si="38"/>
        <v>417379.007105806</v>
      </c>
      <c r="O212" s="365">
        <f t="shared" si="39"/>
        <v>354901.720144819</v>
      </c>
      <c r="P212" s="365">
        <f t="shared" si="40"/>
        <v>338590.059493097</v>
      </c>
      <c r="R212" s="361"/>
      <c r="T212" t="s">
        <v>83</v>
      </c>
      <c r="U212" t="str">
        <f t="shared" si="41"/>
        <v>\I:Trd_bus__665</v>
      </c>
      <c r="V212" t="str">
        <f ca="1" t="shared" si="42"/>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5">
        <f t="shared" si="37"/>
        <v>646209.342968632</v>
      </c>
      <c r="N213" s="365">
        <f t="shared" si="38"/>
        <v>417926.742297443</v>
      </c>
      <c r="O213" s="365">
        <f t="shared" si="39"/>
        <v>355381.16265353</v>
      </c>
      <c r="P213" s="365">
        <f t="shared" si="40"/>
        <v>339001.209318881</v>
      </c>
      <c r="R213" s="361"/>
      <c r="T213" t="s">
        <v>83</v>
      </c>
      <c r="U213" t="str">
        <f t="shared" si="41"/>
        <v>\I:Trd_bus__645</v>
      </c>
      <c r="V213" t="str">
        <f ca="1" t="shared" si="42"/>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5">
        <f t="shared" si="37"/>
        <v>647003.76805574</v>
      </c>
      <c r="N214" s="365">
        <f t="shared" si="38"/>
        <v>418474.477489081</v>
      </c>
      <c r="O214" s="365">
        <f t="shared" si="39"/>
        <v>355860.605162241</v>
      </c>
      <c r="P214" s="365">
        <f t="shared" si="40"/>
        <v>339412.359144665</v>
      </c>
      <c r="R214" s="361"/>
      <c r="T214" t="s">
        <v>83</v>
      </c>
      <c r="U214" t="str">
        <f t="shared" si="41"/>
        <v>\I:Trd_bus__625</v>
      </c>
      <c r="V214" t="str">
        <f ca="1" t="shared" si="42"/>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5">
        <f t="shared" si="37"/>
        <v>647798.193142848</v>
      </c>
      <c r="N215" s="365">
        <f t="shared" si="38"/>
        <v>419022.212680718</v>
      </c>
      <c r="O215" s="365">
        <f t="shared" si="39"/>
        <v>356340.047670951</v>
      </c>
      <c r="P215" s="365">
        <f t="shared" si="40"/>
        <v>339823.508970449</v>
      </c>
      <c r="R215" s="361"/>
      <c r="T215" t="s">
        <v>83</v>
      </c>
      <c r="U215" t="str">
        <f t="shared" si="41"/>
        <v>\I:Trd_bus__605</v>
      </c>
      <c r="V215" t="str">
        <f ca="1" t="shared" si="42"/>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5">
        <f t="shared" ref="M216:M219" si="46">IF($K216="\I:","",C216)</f>
        <v>648592.618229956</v>
      </c>
      <c r="N216" s="365">
        <f t="shared" ref="N216:N219" si="47">IF($K216="\I:","",D216)</f>
        <v>419569.947872356</v>
      </c>
      <c r="O216" s="365">
        <f t="shared" ref="O216:O219" si="48">IF($K216="\I:","",E216)</f>
        <v>356819.490179662</v>
      </c>
      <c r="P216" s="365">
        <f t="shared" ref="P216:P219" si="49">IF($K216="\I:","",F216)</f>
        <v>340234.658796233</v>
      </c>
      <c r="R216" s="361"/>
      <c r="T216" t="s">
        <v>83</v>
      </c>
      <c r="U216" t="str">
        <f t="shared" ref="U216:U219" si="50">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5">
        <f t="shared" si="46"/>
        <v>649387.043317064</v>
      </c>
      <c r="N217" s="365">
        <f t="shared" si="47"/>
        <v>420117.683063994</v>
      </c>
      <c r="O217" s="365">
        <f t="shared" si="48"/>
        <v>357298.932688373</v>
      </c>
      <c r="P217" s="365">
        <f t="shared" si="49"/>
        <v>340645.808622017</v>
      </c>
      <c r="R217" s="361"/>
      <c r="T217" t="s">
        <v>83</v>
      </c>
      <c r="U217" t="str">
        <f t="shared" si="50"/>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5">
        <f t="shared" si="46"/>
        <v>650181.468404172</v>
      </c>
      <c r="N218" s="365">
        <f t="shared" si="47"/>
        <v>420665.418255631</v>
      </c>
      <c r="O218" s="365">
        <f t="shared" si="48"/>
        <v>357778.375197084</v>
      </c>
      <c r="P218" s="365">
        <f t="shared" si="49"/>
        <v>341056.958447801</v>
      </c>
      <c r="R218" s="361"/>
      <c r="T218" t="s">
        <v>83</v>
      </c>
      <c r="U218" t="str">
        <f t="shared" si="50"/>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5">
        <f t="shared" si="46"/>
        <v>650975.89349128</v>
      </c>
      <c r="N219" s="365">
        <f t="shared" si="47"/>
        <v>421213.153447269</v>
      </c>
      <c r="O219" s="365">
        <f t="shared" si="48"/>
        <v>358257.817705795</v>
      </c>
      <c r="P219" s="365">
        <f t="shared" si="49"/>
        <v>341468.108273585</v>
      </c>
      <c r="R219" s="361"/>
      <c r="T219" t="s">
        <v>83</v>
      </c>
      <c r="U219" t="str">
        <f t="shared" si="50"/>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45" zoomScaleNormal="45" topLeftCell="O1" workbookViewId="0">
      <selection activeCell="AK46" sqref="AK46"/>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6" t="s">
        <v>171</v>
      </c>
      <c r="O22" s="337" t="s">
        <v>178</v>
      </c>
      <c r="P22" s="337" t="s">
        <v>185</v>
      </c>
      <c r="Q22" s="338">
        <f t="shared" ref="Q22:Q28" si="0">O4</f>
        <v>0.095</v>
      </c>
      <c r="S22" s="152" t="s">
        <v>195</v>
      </c>
      <c r="T22" s="336" t="str">
        <f>P2</f>
        <v>Tra_EV_Batt-LMO_virgin_package</v>
      </c>
      <c r="U22" s="337" t="str">
        <f>P3</f>
        <v>Tra_EV_Batt-LMO_virgin</v>
      </c>
      <c r="V22" s="337" t="s">
        <v>185</v>
      </c>
      <c r="W22" s="338">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6" t="s">
        <v>171</v>
      </c>
      <c r="O23" s="337" t="s">
        <v>178</v>
      </c>
      <c r="P23" s="337" t="s">
        <v>186</v>
      </c>
      <c r="Q23" s="338">
        <f t="shared" si="0"/>
        <v>0</v>
      </c>
      <c r="S23" s="152" t="s">
        <v>195</v>
      </c>
      <c r="T23" s="336" t="str">
        <f t="shared" ref="T23:T28" si="7">T22</f>
        <v>Tra_EV_Batt-LMO_virgin_package</v>
      </c>
      <c r="U23" s="337" t="str">
        <f t="shared" ref="U23:U28" si="8">U22</f>
        <v>Tra_EV_Batt-LMO_virgin</v>
      </c>
      <c r="V23" s="337" t="s">
        <v>186</v>
      </c>
      <c r="W23" s="338">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6" t="s">
        <v>171</v>
      </c>
      <c r="O24" s="337" t="s">
        <v>178</v>
      </c>
      <c r="P24" s="337" t="s">
        <v>187</v>
      </c>
      <c r="Q24" s="338">
        <f t="shared" si="0"/>
        <v>0</v>
      </c>
      <c r="S24" s="152" t="s">
        <v>195</v>
      </c>
      <c r="T24" s="336" t="str">
        <f t="shared" si="7"/>
        <v>Tra_EV_Batt-LMO_virgin_package</v>
      </c>
      <c r="U24" s="337" t="str">
        <f t="shared" si="8"/>
        <v>Tra_EV_Batt-LMO_virgin</v>
      </c>
      <c r="V24" s="337" t="s">
        <v>187</v>
      </c>
      <c r="W24" s="338">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6" t="s">
        <v>171</v>
      </c>
      <c r="O25" s="337" t="s">
        <v>178</v>
      </c>
      <c r="P25" s="337" t="s">
        <v>188</v>
      </c>
      <c r="Q25" s="338">
        <f t="shared" si="0"/>
        <v>0</v>
      </c>
      <c r="S25" s="152" t="s">
        <v>195</v>
      </c>
      <c r="T25" s="336" t="str">
        <f t="shared" si="7"/>
        <v>Tra_EV_Batt-LMO_virgin_package</v>
      </c>
      <c r="U25" s="337" t="str">
        <f t="shared" si="8"/>
        <v>Tra_EV_Batt-LMO_virgin</v>
      </c>
      <c r="V25" s="337" t="s">
        <v>188</v>
      </c>
      <c r="W25" s="338">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6" t="s">
        <v>171</v>
      </c>
      <c r="O26" s="337" t="s">
        <v>178</v>
      </c>
      <c r="P26" s="337" t="s">
        <v>189</v>
      </c>
      <c r="Q26" s="338">
        <f t="shared" si="0"/>
        <v>3.528</v>
      </c>
      <c r="S26" s="152" t="s">
        <v>195</v>
      </c>
      <c r="T26" s="336" t="str">
        <f t="shared" si="7"/>
        <v>Tra_EV_Batt-LMO_virgin_package</v>
      </c>
      <c r="U26" s="337" t="str">
        <f t="shared" si="8"/>
        <v>Tra_EV_Batt-LMO_virgin</v>
      </c>
      <c r="V26" s="337" t="s">
        <v>189</v>
      </c>
      <c r="W26" s="338">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6" t="s">
        <v>171</v>
      </c>
      <c r="O27" s="337" t="s">
        <v>178</v>
      </c>
      <c r="P27" s="337" t="s">
        <v>190</v>
      </c>
      <c r="Q27" s="338">
        <f t="shared" si="0"/>
        <v>0.946</v>
      </c>
      <c r="S27" s="152" t="s">
        <v>195</v>
      </c>
      <c r="T27" s="336" t="str">
        <f t="shared" si="7"/>
        <v>Tra_EV_Batt-LMO_virgin_package</v>
      </c>
      <c r="U27" s="337" t="str">
        <f t="shared" si="8"/>
        <v>Tra_EV_Batt-LMO_virgin</v>
      </c>
      <c r="V27" s="337" t="s">
        <v>190</v>
      </c>
      <c r="W27" s="338">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6" t="s">
        <v>171</v>
      </c>
      <c r="O28" s="337" t="s">
        <v>178</v>
      </c>
      <c r="P28" s="337" t="s">
        <v>191</v>
      </c>
      <c r="Q28" s="338">
        <f t="shared" si="0"/>
        <v>1.085</v>
      </c>
      <c r="S28" s="152" t="s">
        <v>195</v>
      </c>
      <c r="T28" s="336" t="str">
        <f t="shared" si="7"/>
        <v>Tra_EV_Batt-LMO_virgin_package</v>
      </c>
      <c r="U28" s="337" t="str">
        <f t="shared" si="8"/>
        <v>Tra_EV_Batt-LMO_virgin</v>
      </c>
      <c r="V28" s="337" t="s">
        <v>191</v>
      </c>
      <c r="W28" s="338">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9"/>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6"/>
      <c r="O40" s="337"/>
      <c r="P40" s="337"/>
      <c r="Q40" s="338"/>
      <c r="AW40" s="152" t="s">
        <v>195</v>
      </c>
      <c r="AX40" s="293" t="str">
        <f t="shared" si="19"/>
        <v>Tra_EV_Batt-Sodium_virgin_package</v>
      </c>
      <c r="AY40" s="164" t="str">
        <f t="shared" si="20"/>
        <v>Tra_EV_Batt-Sodium_virgin</v>
      </c>
      <c r="AZ40" s="164" t="s">
        <v>189</v>
      </c>
      <c r="BA40" s="196">
        <f>Q26</f>
        <v>3.528</v>
      </c>
    </row>
    <row r="41" spans="13:53">
      <c r="M41" s="152"/>
      <c r="N41" s="336"/>
      <c r="O41" s="337"/>
      <c r="P41" s="337"/>
      <c r="Q41" s="338"/>
      <c r="AW41" s="152" t="s">
        <v>195</v>
      </c>
      <c r="AX41" s="293" t="str">
        <f t="shared" si="19"/>
        <v>Tra_EV_Batt-Sodium_virgin_package</v>
      </c>
      <c r="AY41" s="164" t="str">
        <f t="shared" si="20"/>
        <v>Tra_EV_Batt-Sodium_virgin</v>
      </c>
      <c r="AZ41" s="164" t="s">
        <v>190</v>
      </c>
      <c r="BA41" s="196">
        <v>0</v>
      </c>
    </row>
    <row r="42" spans="13:53">
      <c r="M42" s="152"/>
      <c r="N42" s="336"/>
      <c r="O42" s="337"/>
      <c r="P42" s="337"/>
      <c r="Q42" s="338"/>
      <c r="AW42" s="152" t="s">
        <v>195</v>
      </c>
      <c r="AX42" s="293" t="str">
        <f t="shared" si="19"/>
        <v>Tra_EV_Batt-Sodium_virgin_package</v>
      </c>
      <c r="AY42" s="164" t="str">
        <f t="shared" si="20"/>
        <v>Tra_EV_Batt-Sodium_virgin</v>
      </c>
      <c r="AZ42" s="164" t="s">
        <v>191</v>
      </c>
      <c r="BA42" s="196">
        <v>0</v>
      </c>
    </row>
    <row r="43" spans="13:53">
      <c r="M43" s="152"/>
      <c r="N43" s="336"/>
      <c r="O43" s="337"/>
      <c r="P43" s="337"/>
      <c r="Q43" s="338"/>
    </row>
    <row r="44" spans="13:53">
      <c r="M44" s="152"/>
      <c r="N44" s="336"/>
      <c r="O44" s="337"/>
      <c r="P44" s="337"/>
      <c r="Q44" s="338"/>
    </row>
    <row r="45" spans="13:53">
      <c r="M45" s="152"/>
      <c r="N45" s="336"/>
      <c r="O45" s="337"/>
      <c r="P45" s="337"/>
      <c r="Q45" s="338"/>
    </row>
    <row r="46" spans="13:53">
      <c r="M46" s="152"/>
      <c r="N46" s="336"/>
      <c r="O46" s="337"/>
      <c r="P46" s="337"/>
      <c r="Q46" s="338"/>
    </row>
    <row r="49" spans="49:54">
      <c r="AW49" s="340"/>
      <c r="AX49" s="306"/>
      <c r="AY49" s="306"/>
      <c r="AZ49" s="306" t="s">
        <v>198</v>
      </c>
      <c r="BA49" s="341"/>
    </row>
    <row r="50" spans="49:54">
      <c r="AW50" s="342" t="s">
        <v>193</v>
      </c>
      <c r="AX50" s="306" t="s">
        <v>76</v>
      </c>
      <c r="AY50" s="306" t="s">
        <v>79</v>
      </c>
      <c r="AZ50" s="306" t="s">
        <v>194</v>
      </c>
      <c r="BA50" s="341">
        <v>2020</v>
      </c>
    </row>
    <row r="51" spans="49:54">
      <c r="AW51" s="343" t="s">
        <v>195</v>
      </c>
      <c r="AX51" s="344"/>
      <c r="AY51" s="341" t="str">
        <f>O22</f>
        <v>Tra_EV_Batt-LFP_virgin</v>
      </c>
      <c r="AZ51" s="310"/>
      <c r="BA51" s="345">
        <v>5</v>
      </c>
    </row>
    <row r="52" spans="49:54">
      <c r="AW52" s="343" t="s">
        <v>195</v>
      </c>
      <c r="AX52" s="344"/>
      <c r="AY52" s="310" t="str">
        <f>U22</f>
        <v>Tra_EV_Batt-LMO_virgin</v>
      </c>
      <c r="AZ52" s="310"/>
      <c r="BA52" s="345">
        <v>5</v>
      </c>
    </row>
    <row r="53" spans="49:54">
      <c r="AW53" s="343" t="s">
        <v>195</v>
      </c>
      <c r="AX53" s="344"/>
      <c r="AY53" s="310" t="str">
        <f>AA22</f>
        <v>Tra_EV_Batt-NCA_virgin</v>
      </c>
      <c r="AZ53" s="310"/>
      <c r="BA53" s="345">
        <v>5</v>
      </c>
    </row>
    <row r="54" spans="49:54">
      <c r="AW54" s="343" t="s">
        <v>195</v>
      </c>
      <c r="AX54" s="344"/>
      <c r="AY54" s="310" t="str">
        <f>AS22</f>
        <v>Tra_EV_Batt-NMC622_virgin</v>
      </c>
      <c r="AZ54" s="310"/>
      <c r="BA54" s="345">
        <v>5</v>
      </c>
    </row>
    <row r="55" spans="49:54">
      <c r="AW55" s="343" t="s">
        <v>195</v>
      </c>
      <c r="AX55" s="344"/>
      <c r="AY55" s="310" t="str">
        <f>AY22</f>
        <v>Tra_EV_Batt-NMC811_virgin</v>
      </c>
      <c r="AZ55" s="310"/>
      <c r="BA55" s="345">
        <v>5</v>
      </c>
    </row>
    <row r="56" spans="49:54">
      <c r="AW56" s="343" t="s">
        <v>195</v>
      </c>
      <c r="AX56" s="344"/>
      <c r="AY56" s="310" t="str">
        <f>AM22</f>
        <v>Tra_EV_Batt-NMC532_virgin</v>
      </c>
      <c r="AZ56" s="310"/>
      <c r="BA56" s="345">
        <v>5</v>
      </c>
    </row>
    <row r="57" spans="49:54">
      <c r="AW57" s="343" t="s">
        <v>195</v>
      </c>
      <c r="AX57" s="344"/>
      <c r="AY57" s="310" t="str">
        <f>AY36</f>
        <v>Tra_EV_Batt-Sodium_virgin</v>
      </c>
      <c r="AZ57" s="310"/>
      <c r="BA57" s="345">
        <v>5</v>
      </c>
    </row>
    <row r="62" spans="49:54">
      <c r="AW62" s="340"/>
      <c r="AX62" s="306"/>
      <c r="AY62" s="306"/>
      <c r="AZ62" s="306" t="s">
        <v>199</v>
      </c>
      <c r="BA62" s="341"/>
    </row>
    <row r="63" spans="49:54">
      <c r="AW63" s="342" t="s">
        <v>193</v>
      </c>
      <c r="AX63" s="306" t="s">
        <v>76</v>
      </c>
      <c r="AY63" s="306" t="s">
        <v>79</v>
      </c>
      <c r="AZ63" s="306" t="s">
        <v>194</v>
      </c>
      <c r="BA63" s="341" t="s">
        <v>200</v>
      </c>
      <c r="BB63" t="s">
        <v>201</v>
      </c>
    </row>
    <row r="64" spans="49:54">
      <c r="AW64" s="343" t="s">
        <v>195</v>
      </c>
      <c r="AX64" s="344"/>
      <c r="AY64" s="341" t="s">
        <v>178</v>
      </c>
      <c r="AZ64" s="310"/>
      <c r="BA64" s="345">
        <v>1</v>
      </c>
      <c r="BB64">
        <v>2021</v>
      </c>
    </row>
    <row r="65" spans="49:54">
      <c r="AW65" s="343" t="s">
        <v>195</v>
      </c>
      <c r="AX65" s="344"/>
      <c r="AY65" s="310" t="s">
        <v>179</v>
      </c>
      <c r="AZ65" s="310"/>
      <c r="BA65" s="345">
        <v>1</v>
      </c>
      <c r="BB65">
        <v>2021</v>
      </c>
    </row>
    <row r="66" spans="49:54">
      <c r="AW66" s="343" t="s">
        <v>195</v>
      </c>
      <c r="AX66" s="344"/>
      <c r="AY66" s="310" t="s">
        <v>180</v>
      </c>
      <c r="AZ66" s="310"/>
      <c r="BA66" s="345">
        <f t="shared" ref="BA66:BA70" si="21">BA65</f>
        <v>1</v>
      </c>
      <c r="BB66">
        <v>2021</v>
      </c>
    </row>
    <row r="67" spans="49:54">
      <c r="AW67" s="343" t="s">
        <v>195</v>
      </c>
      <c r="AX67" s="344"/>
      <c r="AY67" s="310" t="s">
        <v>183</v>
      </c>
      <c r="AZ67" s="310"/>
      <c r="BA67" s="345">
        <f t="shared" si="21"/>
        <v>1</v>
      </c>
      <c r="BB67">
        <v>2021</v>
      </c>
    </row>
    <row r="68" spans="49:54">
      <c r="AW68" s="343" t="s">
        <v>195</v>
      </c>
      <c r="AX68" s="344"/>
      <c r="AY68" s="310" t="s">
        <v>184</v>
      </c>
      <c r="AZ68" s="310"/>
      <c r="BA68" s="345">
        <f t="shared" si="21"/>
        <v>1</v>
      </c>
      <c r="BB68">
        <v>2021</v>
      </c>
    </row>
    <row r="69" spans="49:54">
      <c r="AW69" s="343" t="s">
        <v>195</v>
      </c>
      <c r="AX69" s="344"/>
      <c r="AY69" s="310" t="s">
        <v>182</v>
      </c>
      <c r="AZ69" s="310"/>
      <c r="BA69" s="345">
        <f t="shared" si="21"/>
        <v>1</v>
      </c>
      <c r="BB69">
        <v>2021</v>
      </c>
    </row>
    <row r="70" spans="49:54">
      <c r="AW70" s="343" t="s">
        <v>195</v>
      </c>
      <c r="AX70" s="344"/>
      <c r="AY70" s="310" t="s">
        <v>197</v>
      </c>
      <c r="AZ70" s="310"/>
      <c r="BA70" s="345">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2" t="s">
        <v>208</v>
      </c>
      <c r="P8" t="s">
        <v>209</v>
      </c>
      <c r="R8" t="s">
        <v>209</v>
      </c>
      <c r="T8" t="s">
        <v>210</v>
      </c>
    </row>
    <row r="9" spans="4:31">
      <c r="D9" s="304"/>
      <c r="E9" s="304"/>
      <c r="F9" s="333"/>
      <c r="G9" s="304"/>
      <c r="H9" s="304" t="s">
        <v>211</v>
      </c>
      <c r="I9" s="304" t="str">
        <f t="shared" ref="I9:I13" si="0">H9</f>
        <v>AuxStoOUT</v>
      </c>
      <c r="J9" s="334">
        <v>1.08695652173913</v>
      </c>
      <c r="L9" s="75"/>
      <c r="Q9" s="335"/>
      <c r="S9" t="s">
        <v>211</v>
      </c>
      <c r="T9" t="s">
        <v>211</v>
      </c>
      <c r="U9" s="75">
        <v>1.08695652173913</v>
      </c>
    </row>
    <row r="10" spans="4:31">
      <c r="D10" s="171" t="s">
        <v>212</v>
      </c>
      <c r="E10" t="s">
        <v>209</v>
      </c>
      <c r="G10" t="s">
        <v>209</v>
      </c>
      <c r="I10" t="s">
        <v>210</v>
      </c>
      <c r="L10" s="75"/>
      <c r="Q10" s="335"/>
      <c r="S10" s="335" t="s">
        <v>213</v>
      </c>
      <c r="T10" t="s">
        <v>209</v>
      </c>
      <c r="V10">
        <v>1</v>
      </c>
    </row>
    <row r="11" spans="4:31">
      <c r="E11" s="304"/>
      <c r="F11" s="333"/>
      <c r="G11" s="304"/>
      <c r="H11" s="304" t="s">
        <v>211</v>
      </c>
      <c r="I11" s="304" t="str">
        <f t="shared" si="0"/>
        <v>AuxStoOUT</v>
      </c>
      <c r="J11" s="334">
        <v>1.08695652173913</v>
      </c>
    </row>
    <row r="12" spans="4:31">
      <c r="D12" s="171" t="s">
        <v>214</v>
      </c>
      <c r="E12" t="s">
        <v>209</v>
      </c>
      <c r="G12" t="s">
        <v>209</v>
      </c>
      <c r="I12" t="s">
        <v>210</v>
      </c>
    </row>
    <row r="13" spans="4:31">
      <c r="E13" s="304"/>
      <c r="F13" s="333"/>
      <c r="G13" s="304"/>
      <c r="H13" s="304" t="s">
        <v>211</v>
      </c>
      <c r="I13" s="304" t="str">
        <f t="shared" si="0"/>
        <v>AuxStoOUT</v>
      </c>
      <c r="J13" s="334">
        <v>1.08695652173913</v>
      </c>
    </row>
    <row r="14" spans="4:31">
      <c r="D14" s="171" t="s">
        <v>215</v>
      </c>
      <c r="E14" t="s">
        <v>209</v>
      </c>
      <c r="G14" t="s">
        <v>209</v>
      </c>
      <c r="I14" t="s">
        <v>210</v>
      </c>
    </row>
    <row r="15" spans="4:31">
      <c r="E15" s="304"/>
      <c r="F15" s="333"/>
      <c r="G15" s="304"/>
      <c r="H15" s="304" t="s">
        <v>211</v>
      </c>
      <c r="I15" s="304" t="str">
        <f t="shared" ref="I15:I19" si="1">H15</f>
        <v>AuxStoOUT</v>
      </c>
      <c r="J15" s="334">
        <v>1.08695652173913</v>
      </c>
    </row>
    <row r="16" spans="4:31">
      <c r="D16" s="171" t="s">
        <v>216</v>
      </c>
      <c r="E16" t="s">
        <v>209</v>
      </c>
      <c r="G16" t="s">
        <v>209</v>
      </c>
      <c r="I16" t="s">
        <v>210</v>
      </c>
    </row>
    <row r="17" spans="4:22">
      <c r="E17" s="304"/>
      <c r="F17" s="333"/>
      <c r="G17" s="304"/>
      <c r="H17" s="304" t="s">
        <v>211</v>
      </c>
      <c r="I17" s="304" t="str">
        <f t="shared" si="1"/>
        <v>AuxStoOUT</v>
      </c>
      <c r="J17" s="334">
        <v>1.08695652173913</v>
      </c>
    </row>
    <row r="18" spans="4:22">
      <c r="D18" s="171" t="s">
        <v>217</v>
      </c>
      <c r="E18" t="s">
        <v>209</v>
      </c>
      <c r="G18" t="s">
        <v>209</v>
      </c>
      <c r="I18" t="s">
        <v>210</v>
      </c>
      <c r="T18" t="s">
        <v>199</v>
      </c>
    </row>
    <row r="19" spans="4:22">
      <c r="E19" s="304"/>
      <c r="F19" s="333"/>
      <c r="G19" s="304"/>
      <c r="H19" s="304" t="s">
        <v>211</v>
      </c>
      <c r="I19" s="304" t="str">
        <f t="shared" si="1"/>
        <v>AuxStoOUT</v>
      </c>
      <c r="J19" s="334">
        <v>1.08695652173913</v>
      </c>
      <c r="O19" t="s">
        <v>79</v>
      </c>
      <c r="P19" t="s">
        <v>194</v>
      </c>
      <c r="Q19" t="s">
        <v>203</v>
      </c>
      <c r="R19" t="s">
        <v>76</v>
      </c>
      <c r="S19" t="s">
        <v>204</v>
      </c>
      <c r="T19" t="s">
        <v>205</v>
      </c>
      <c r="U19" t="s">
        <v>206</v>
      </c>
      <c r="V19" t="s">
        <v>207</v>
      </c>
    </row>
    <row r="20" ht="16" spans="4:22">
      <c r="D20" s="171" t="s">
        <v>218</v>
      </c>
      <c r="E20" t="s">
        <v>209</v>
      </c>
      <c r="G20" t="s">
        <v>209</v>
      </c>
      <c r="I20" t="s">
        <v>210</v>
      </c>
      <c r="O20" s="332" t="s">
        <v>212</v>
      </c>
      <c r="P20" t="s">
        <v>209</v>
      </c>
      <c r="R20" t="s">
        <v>209</v>
      </c>
      <c r="T20" t="s">
        <v>210</v>
      </c>
    </row>
    <row r="21" spans="4:22">
      <c r="E21" s="304"/>
      <c r="F21" s="333"/>
      <c r="G21" s="304"/>
      <c r="H21" s="304" t="s">
        <v>211</v>
      </c>
      <c r="I21" s="304" t="str">
        <f>H21</f>
        <v>AuxStoOUT</v>
      </c>
      <c r="J21" s="334">
        <v>1.08695652173913</v>
      </c>
      <c r="Q21" s="335"/>
      <c r="S21" t="s">
        <v>211</v>
      </c>
      <c r="T21" t="s">
        <v>211</v>
      </c>
      <c r="U21" s="75">
        <v>1.08695652173913</v>
      </c>
    </row>
    <row r="22" spans="4:22">
      <c r="Q22" s="335"/>
      <c r="S22" s="335"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2" t="s">
        <v>214</v>
      </c>
      <c r="P30" t="s">
        <v>209</v>
      </c>
      <c r="R30" t="s">
        <v>209</v>
      </c>
      <c r="T30" t="s">
        <v>210</v>
      </c>
    </row>
    <row r="31" spans="4:22">
      <c r="Q31" s="335"/>
      <c r="S31" t="s">
        <v>211</v>
      </c>
      <c r="T31" t="s">
        <v>211</v>
      </c>
      <c r="U31" s="75">
        <v>1.08695652173913</v>
      </c>
    </row>
    <row r="32" spans="4:22">
      <c r="Q32" s="335"/>
      <c r="S32" s="335"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5"/>
      <c r="S42" t="s">
        <v>211</v>
      </c>
      <c r="T42" t="s">
        <v>211</v>
      </c>
      <c r="U42" s="75">
        <v>1.08695652173913</v>
      </c>
    </row>
    <row r="43" spans="15:22">
      <c r="Q43" s="335"/>
      <c r="S43" s="335"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5"/>
      <c r="S53" t="s">
        <v>211</v>
      </c>
      <c r="T53" t="s">
        <v>211</v>
      </c>
      <c r="U53" s="75">
        <v>1.08695652173913</v>
      </c>
    </row>
    <row r="54" spans="15:22">
      <c r="Q54" s="335"/>
      <c r="S54" s="335"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5"/>
      <c r="S63" t="s">
        <v>211</v>
      </c>
      <c r="T63" t="s">
        <v>211</v>
      </c>
      <c r="U63" s="75">
        <v>1.08695652173913</v>
      </c>
    </row>
    <row r="64" spans="15:22">
      <c r="Q64" s="335"/>
      <c r="S64" s="335"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5"/>
      <c r="S73" t="s">
        <v>211</v>
      </c>
      <c r="T73" t="s">
        <v>211</v>
      </c>
      <c r="U73" s="75">
        <v>1.08695652173913</v>
      </c>
    </row>
    <row r="74" spans="15:22">
      <c r="Q74" s="335"/>
      <c r="S74" s="335"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48" zoomScaleNormal="48" topLeftCell="R200" workbookViewId="0">
      <selection activeCell="L16" sqref="L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5">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6" t="s">
        <v>213</v>
      </c>
      <c r="B29" s="207" t="s">
        <v>335</v>
      </c>
      <c r="C29" s="207">
        <v>0</v>
      </c>
      <c r="D29" s="207">
        <v>0</v>
      </c>
      <c r="E29" s="207">
        <v>0</v>
      </c>
      <c r="F29" s="207">
        <v>0</v>
      </c>
      <c r="G29" s="207">
        <v>0</v>
      </c>
      <c r="H29" s="207">
        <v>0</v>
      </c>
      <c r="I29" s="207">
        <v>0</v>
      </c>
      <c r="J29" s="297">
        <v>1</v>
      </c>
      <c r="K29" s="207">
        <v>15</v>
      </c>
      <c r="L29" s="207" t="s">
        <v>291</v>
      </c>
      <c r="M29" s="207" t="s">
        <v>256</v>
      </c>
      <c r="N29" s="207">
        <v>0.925</v>
      </c>
      <c r="O29" s="207">
        <f>O28</f>
        <v>1.314</v>
      </c>
      <c r="P29" s="207">
        <f>P28</f>
        <v>1</v>
      </c>
      <c r="Q29" s="207">
        <f>Q28</f>
        <v>1</v>
      </c>
      <c r="R29" s="207">
        <v>4000</v>
      </c>
      <c r="S29" s="171">
        <v>2021</v>
      </c>
      <c r="U29" s="298"/>
      <c r="V29" s="294" t="str">
        <f t="shared" si="3"/>
        <v>MINBatMaterials_GR</v>
      </c>
      <c r="W29" s="294" t="str">
        <f t="shared" si="2"/>
        <v>m_graphite</v>
      </c>
      <c r="X29" s="294">
        <v>1</v>
      </c>
      <c r="Y29" s="294" t="s">
        <v>326</v>
      </c>
      <c r="AB29" s="299"/>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300">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1" t="s">
        <v>72</v>
      </c>
      <c r="V53" s="301"/>
      <c r="W53" s="301"/>
      <c r="X53" s="301"/>
      <c r="Y53" s="301"/>
      <c r="Z53" s="301"/>
      <c r="AA53" s="301"/>
      <c r="AB53" s="301"/>
    </row>
    <row r="54" ht="14.5" spans="1:28">
      <c r="U54" s="301" t="s">
        <v>78</v>
      </c>
      <c r="V54" s="301" t="s">
        <v>79</v>
      </c>
      <c r="W54" s="301" t="s">
        <v>80</v>
      </c>
      <c r="X54" s="301" t="s">
        <v>81</v>
      </c>
      <c r="Y54" s="301" t="s">
        <v>82</v>
      </c>
      <c r="Z54" s="301" t="s">
        <v>223</v>
      </c>
      <c r="AA54" s="301" t="s">
        <v>224</v>
      </c>
      <c r="AB54" s="301" t="s">
        <v>225</v>
      </c>
    </row>
    <row r="55" ht="14.5" spans="1:28">
      <c r="U55" s="301" t="s">
        <v>258</v>
      </c>
      <c r="V55" s="301" t="str">
        <f>B29</f>
        <v>Tra_EV_Batt-Sodium_virgin_pack</v>
      </c>
      <c r="W55" s="301" t="s">
        <v>357</v>
      </c>
      <c r="X55" s="301" t="s">
        <v>249</v>
      </c>
      <c r="Y55" s="301" t="s">
        <v>250</v>
      </c>
      <c r="Z55" s="301" t="s">
        <v>251</v>
      </c>
      <c r="AA55" s="301"/>
      <c r="AB55" s="301"/>
    </row>
    <row r="56" spans="1:28">
      <c r="U56" s="302"/>
      <c r="V56" s="302"/>
      <c r="W56" s="302"/>
      <c r="X56" s="302"/>
      <c r="Y56" s="302"/>
      <c r="Z56" s="302"/>
      <c r="AA56" s="302"/>
      <c r="AB56" s="302"/>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3">
        <v>2020</v>
      </c>
      <c r="B61" s="304"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3">
        <v>2020</v>
      </c>
      <c r="B62" s="304"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3">
        <v>2020</v>
      </c>
      <c r="B63" s="304"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3">
        <v>2020</v>
      </c>
      <c r="B64" s="304"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3">
        <v>2020</v>
      </c>
      <c r="B65" s="304"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3">
        <v>2020</v>
      </c>
      <c r="B66" s="304"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3">
        <v>2020</v>
      </c>
      <c r="B67" s="304"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5" t="s">
        <v>369</v>
      </c>
      <c r="E72" s="305" t="s">
        <v>370</v>
      </c>
      <c r="F72" s="305" t="s">
        <v>371</v>
      </c>
      <c r="G72" s="305" t="s">
        <v>372</v>
      </c>
      <c r="H72" s="305" t="s">
        <v>373</v>
      </c>
      <c r="I72" s="305" t="s">
        <v>374</v>
      </c>
      <c r="J72" s="305"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6"/>
      <c r="G87" s="306" t="s">
        <v>199</v>
      </c>
      <c r="J87" s="306" t="s">
        <v>199</v>
      </c>
      <c r="K87" s="306"/>
      <c r="L87" s="202"/>
      <c r="P87" s="202"/>
      <c r="V87" s="276" t="s">
        <v>222</v>
      </c>
      <c r="W87" s="276"/>
      <c r="X87" s="276"/>
      <c r="Y87" s="276"/>
      <c r="Z87" s="307"/>
    </row>
    <row r="88" spans="2:26">
      <c r="B88" s="171" t="s">
        <v>201</v>
      </c>
      <c r="C88" s="171" t="s">
        <v>257</v>
      </c>
      <c r="F88" s="306" t="s">
        <v>376</v>
      </c>
      <c r="G88" s="306" t="s">
        <v>257</v>
      </c>
      <c r="J88" s="306" t="s">
        <v>257</v>
      </c>
      <c r="K88" s="306" t="s">
        <v>376</v>
      </c>
      <c r="L88" s="171" t="s">
        <v>377</v>
      </c>
      <c r="M88" s="171" t="s">
        <v>201</v>
      </c>
      <c r="P88" s="202"/>
      <c r="V88" s="276" t="s">
        <v>257</v>
      </c>
      <c r="W88" s="276" t="s">
        <v>322</v>
      </c>
      <c r="X88" s="276" t="s">
        <v>378</v>
      </c>
      <c r="Y88" s="307" t="s">
        <v>379</v>
      </c>
      <c r="Z88" s="276" t="s">
        <v>193</v>
      </c>
    </row>
    <row r="89" ht="14.5" spans="2:26">
      <c r="B89" s="303">
        <v>2030</v>
      </c>
      <c r="C89" s="308" t="s">
        <v>380</v>
      </c>
      <c r="F89" s="306">
        <v>3</v>
      </c>
      <c r="G89" s="309" t="s">
        <v>380</v>
      </c>
      <c r="J89" s="310" t="s">
        <v>297</v>
      </c>
      <c r="K89" s="310">
        <v>15.7</v>
      </c>
      <c r="L89" s="171">
        <v>30</v>
      </c>
      <c r="M89" s="171">
        <v>2021</v>
      </c>
      <c r="P89" s="311" t="s">
        <v>381</v>
      </c>
      <c r="V89" s="288" t="s">
        <v>297</v>
      </c>
      <c r="W89" s="288" t="s">
        <v>185</v>
      </c>
      <c r="X89" s="312">
        <v>7.5</v>
      </c>
      <c r="Y89" s="312">
        <v>35</v>
      </c>
      <c r="Z89" s="288" t="s">
        <v>326</v>
      </c>
    </row>
    <row r="90" ht="14.5" spans="2:26">
      <c r="B90" s="303">
        <v>2030</v>
      </c>
      <c r="C90" s="308" t="s">
        <v>382</v>
      </c>
      <c r="F90" s="306">
        <v>3</v>
      </c>
      <c r="G90" s="309" t="s">
        <v>382</v>
      </c>
      <c r="J90" s="310" t="s">
        <v>300</v>
      </c>
      <c r="K90" s="310">
        <v>15.7</v>
      </c>
      <c r="L90" s="171">
        <v>30</v>
      </c>
      <c r="M90" s="171">
        <v>2021</v>
      </c>
      <c r="P90" s="298"/>
      <c r="V90" s="288" t="s">
        <v>300</v>
      </c>
      <c r="W90" s="288" t="s">
        <v>186</v>
      </c>
      <c r="X90" s="312">
        <v>10</v>
      </c>
      <c r="Y90" s="312">
        <v>50</v>
      </c>
      <c r="Z90" s="288" t="s">
        <v>326</v>
      </c>
    </row>
    <row r="91" ht="14.5" spans="2:26">
      <c r="B91" s="303">
        <v>2030</v>
      </c>
      <c r="C91" s="308" t="s">
        <v>383</v>
      </c>
      <c r="F91" s="306">
        <v>3</v>
      </c>
      <c r="G91" s="309" t="s">
        <v>383</v>
      </c>
      <c r="J91" s="310" t="s">
        <v>302</v>
      </c>
      <c r="K91" s="310">
        <v>15.7</v>
      </c>
      <c r="L91" s="171">
        <v>30</v>
      </c>
      <c r="M91" s="171">
        <v>2021</v>
      </c>
      <c r="P91" s="298"/>
      <c r="V91" s="288" t="s">
        <v>302</v>
      </c>
      <c r="W91" s="288" t="s">
        <v>187</v>
      </c>
      <c r="X91" s="312">
        <v>18</v>
      </c>
      <c r="Y91" s="312">
        <v>80</v>
      </c>
      <c r="Z91" s="288" t="s">
        <v>326</v>
      </c>
    </row>
    <row r="92" ht="14.5" spans="2:26">
      <c r="B92" s="303">
        <v>2030</v>
      </c>
      <c r="C92" s="308" t="s">
        <v>384</v>
      </c>
      <c r="F92" s="306">
        <v>3</v>
      </c>
      <c r="G92" s="309" t="s">
        <v>384</v>
      </c>
      <c r="J92" s="310" t="s">
        <v>305</v>
      </c>
      <c r="K92" s="310">
        <v>15.7</v>
      </c>
      <c r="L92" s="171">
        <v>30</v>
      </c>
      <c r="M92" s="171">
        <v>2021</v>
      </c>
      <c r="P92" s="298"/>
      <c r="V92" s="288" t="s">
        <v>305</v>
      </c>
      <c r="W92" s="288" t="s">
        <v>188</v>
      </c>
      <c r="X92" s="312">
        <v>1.2</v>
      </c>
      <c r="Y92" s="312">
        <v>8</v>
      </c>
      <c r="Z92" s="288" t="s">
        <v>326</v>
      </c>
    </row>
    <row r="93" ht="14.5" spans="2:26">
      <c r="B93" s="303">
        <v>2030</v>
      </c>
      <c r="C93" s="308" t="s">
        <v>385</v>
      </c>
      <c r="F93" s="306">
        <v>3</v>
      </c>
      <c r="G93" s="309" t="s">
        <v>385</v>
      </c>
      <c r="J93" s="310" t="s">
        <v>307</v>
      </c>
      <c r="K93" s="310">
        <v>15.7</v>
      </c>
      <c r="L93" s="171">
        <v>30</v>
      </c>
      <c r="M93" s="171">
        <v>2021</v>
      </c>
      <c r="P93" s="298" t="s">
        <v>386</v>
      </c>
      <c r="V93" s="288" t="s">
        <v>307</v>
      </c>
      <c r="W93" s="288" t="s">
        <v>189</v>
      </c>
      <c r="X93" s="312">
        <v>1.5</v>
      </c>
      <c r="Y93" s="312">
        <v>10</v>
      </c>
      <c r="Z93" s="288" t="s">
        <v>326</v>
      </c>
    </row>
    <row r="94" ht="14.5" spans="2:26">
      <c r="B94" s="303">
        <v>2030</v>
      </c>
      <c r="C94" s="308" t="s">
        <v>387</v>
      </c>
      <c r="F94" s="306">
        <v>3</v>
      </c>
      <c r="G94" s="309" t="s">
        <v>387</v>
      </c>
      <c r="J94" s="310" t="s">
        <v>309</v>
      </c>
      <c r="K94" s="310">
        <v>15.7</v>
      </c>
      <c r="L94" s="171">
        <v>30</v>
      </c>
      <c r="M94" s="171">
        <v>2021</v>
      </c>
      <c r="P94" s="298"/>
      <c r="V94" s="288" t="s">
        <v>309</v>
      </c>
      <c r="W94" s="288" t="s">
        <v>190</v>
      </c>
      <c r="X94" s="312">
        <v>2.5</v>
      </c>
      <c r="Y94" s="312">
        <v>12</v>
      </c>
      <c r="Z94" s="288" t="s">
        <v>326</v>
      </c>
    </row>
    <row r="95" ht="14.5" spans="2:26">
      <c r="B95" s="303">
        <v>2030</v>
      </c>
      <c r="C95" s="308" t="s">
        <v>388</v>
      </c>
      <c r="F95" s="306">
        <v>3</v>
      </c>
      <c r="G95" s="309" t="s">
        <v>388</v>
      </c>
      <c r="J95" s="310" t="s">
        <v>311</v>
      </c>
      <c r="K95" s="310">
        <v>15.7</v>
      </c>
      <c r="L95" s="171">
        <v>30</v>
      </c>
      <c r="M95" s="171">
        <v>2021</v>
      </c>
      <c r="P95" s="298"/>
      <c r="V95" s="288" t="s">
        <v>311</v>
      </c>
      <c r="W95" s="288" t="s">
        <v>191</v>
      </c>
      <c r="X95" s="312">
        <v>0.8</v>
      </c>
      <c r="Y95" s="312">
        <v>18</v>
      </c>
      <c r="Z95" s="288" t="s">
        <v>326</v>
      </c>
    </row>
    <row r="96" ht="14.5" spans="2:26">
      <c r="B96" s="303">
        <v>2030</v>
      </c>
      <c r="C96" s="308" t="s">
        <v>389</v>
      </c>
      <c r="D96" s="192"/>
      <c r="E96" s="192"/>
      <c r="F96" s="306">
        <v>3</v>
      </c>
      <c r="G96" s="309" t="s">
        <v>389</v>
      </c>
      <c r="H96" s="192"/>
      <c r="I96" s="192"/>
      <c r="J96" s="192"/>
    </row>
    <row r="97" ht="14.5" spans="2:24">
      <c r="B97" s="303">
        <v>2030</v>
      </c>
      <c r="C97" s="308" t="s">
        <v>390</v>
      </c>
      <c r="D97" s="192"/>
      <c r="E97" s="192"/>
      <c r="F97" s="306">
        <v>3</v>
      </c>
      <c r="G97" s="309" t="s">
        <v>390</v>
      </c>
      <c r="H97" s="192"/>
      <c r="I97" s="192"/>
      <c r="J97" s="192"/>
    </row>
    <row r="98" ht="14.5" spans="2:24">
      <c r="B98" s="303">
        <v>2030</v>
      </c>
      <c r="C98" s="308" t="s">
        <v>391</v>
      </c>
      <c r="D98" s="192"/>
      <c r="E98" s="192"/>
      <c r="F98" s="306">
        <v>3</v>
      </c>
      <c r="G98" s="309" t="s">
        <v>391</v>
      </c>
      <c r="H98" s="192"/>
      <c r="I98" s="192"/>
      <c r="J98" s="192"/>
    </row>
    <row r="99" ht="14.5" spans="2:24">
      <c r="B99" s="303">
        <v>2030</v>
      </c>
      <c r="C99" s="308" t="s">
        <v>392</v>
      </c>
      <c r="D99" s="192"/>
      <c r="E99" s="192"/>
      <c r="F99" s="306">
        <v>3</v>
      </c>
      <c r="G99" s="309" t="s">
        <v>392</v>
      </c>
    </row>
    <row r="100" ht="14.5" spans="2:24">
      <c r="B100" s="303">
        <v>2030</v>
      </c>
      <c r="C100" s="308" t="s">
        <v>393</v>
      </c>
      <c r="D100" s="192"/>
      <c r="E100" s="192"/>
      <c r="F100" s="306">
        <v>3</v>
      </c>
      <c r="G100" s="309" t="s">
        <v>393</v>
      </c>
    </row>
    <row r="101" ht="14.5" spans="2:24">
      <c r="B101" s="303">
        <v>2030</v>
      </c>
      <c r="C101" s="308" t="s">
        <v>394</v>
      </c>
      <c r="D101" s="192"/>
      <c r="E101" s="192"/>
      <c r="F101" s="306">
        <v>3</v>
      </c>
      <c r="G101" s="309" t="s">
        <v>394</v>
      </c>
    </row>
    <row r="102" ht="14.5" spans="2:24">
      <c r="B102" s="303">
        <v>2030</v>
      </c>
      <c r="C102" s="308" t="s">
        <v>395</v>
      </c>
      <c r="D102" s="192"/>
      <c r="E102" s="192"/>
      <c r="F102" s="306">
        <v>3</v>
      </c>
      <c r="G102" s="309" t="s">
        <v>395</v>
      </c>
      <c r="V102" s="313"/>
      <c r="W102" s="314"/>
      <c r="X102" s="314"/>
    </row>
    <row r="103" ht="14.5" spans="2:24">
      <c r="B103" s="303">
        <v>2030</v>
      </c>
      <c r="C103" s="308" t="s">
        <v>396</v>
      </c>
      <c r="D103" s="192"/>
      <c r="E103" s="192"/>
      <c r="F103" s="306">
        <v>3</v>
      </c>
      <c r="G103" s="309" t="s">
        <v>396</v>
      </c>
      <c r="V103" s="315"/>
    </row>
    <row r="104" ht="14.5" spans="2:24">
      <c r="B104" s="303">
        <v>2030</v>
      </c>
      <c r="C104" s="308" t="s">
        <v>397</v>
      </c>
      <c r="D104" s="192"/>
      <c r="E104" s="192"/>
      <c r="F104" s="306">
        <v>3</v>
      </c>
      <c r="G104" s="309" t="s">
        <v>397</v>
      </c>
      <c r="V104" s="315"/>
    </row>
    <row r="105" ht="14.5" spans="2:24">
      <c r="B105" s="303">
        <v>2030</v>
      </c>
      <c r="C105" s="308" t="s">
        <v>398</v>
      </c>
      <c r="F105" s="306">
        <v>3</v>
      </c>
      <c r="G105" s="309" t="s">
        <v>398</v>
      </c>
      <c r="V105" s="315"/>
    </row>
    <row r="106" ht="14.5" spans="2:24">
      <c r="B106" s="303">
        <v>2030</v>
      </c>
      <c r="C106" s="308" t="s">
        <v>399</v>
      </c>
      <c r="F106" s="306">
        <v>3</v>
      </c>
      <c r="G106" s="309" t="s">
        <v>399</v>
      </c>
      <c r="V106" s="315"/>
    </row>
    <row r="107" ht="14.5" spans="2:24">
      <c r="B107" s="303">
        <v>2030</v>
      </c>
      <c r="C107" s="308" t="s">
        <v>400</v>
      </c>
      <c r="F107" s="306">
        <v>3</v>
      </c>
      <c r="G107" s="309" t="s">
        <v>400</v>
      </c>
      <c r="V107" s="315"/>
    </row>
    <row r="108" ht="14.5" spans="2:24">
      <c r="B108" s="303">
        <v>2030</v>
      </c>
      <c r="C108" s="308" t="s">
        <v>401</v>
      </c>
      <c r="D108" s="192"/>
      <c r="E108" s="192"/>
      <c r="F108" s="306">
        <v>3</v>
      </c>
      <c r="G108" s="309" t="s">
        <v>401</v>
      </c>
      <c r="V108" s="315"/>
    </row>
    <row r="109" ht="14.5" spans="2:24">
      <c r="B109" s="303">
        <v>2030</v>
      </c>
      <c r="C109" s="316" t="s">
        <v>402</v>
      </c>
      <c r="F109" s="306">
        <v>3</v>
      </c>
      <c r="G109" s="317" t="s">
        <v>402</v>
      </c>
      <c r="V109" s="315"/>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403</v>
      </c>
      <c r="AB124" s="215"/>
      <c r="AC124" s="215"/>
      <c r="AD124" s="215"/>
      <c r="AE124" s="215"/>
      <c r="AF124" s="215"/>
    </row>
    <row r="125" ht="14.5" spans="1:46">
      <c r="B125"/>
      <c r="C125"/>
      <c r="D125"/>
    </row>
    <row r="126" ht="21" spans="1:46">
      <c r="B126" s="216"/>
      <c r="C126" s="217" t="s">
        <v>404</v>
      </c>
      <c r="D126" s="218"/>
      <c r="E126" s="218"/>
      <c r="F126" s="218"/>
      <c r="H126" s="208"/>
      <c r="I126" s="219"/>
      <c r="J126" s="220" t="s">
        <v>405</v>
      </c>
      <c r="K126" s="220"/>
      <c r="L126" s="220"/>
      <c r="M126" s="220"/>
      <c r="N126" s="220"/>
      <c r="O126" s="220"/>
      <c r="P126" s="220"/>
      <c r="Q126" s="220"/>
      <c r="R126" s="220"/>
      <c r="S126" s="208"/>
      <c r="T126" s="208"/>
      <c r="U126" s="208"/>
    </row>
    <row r="127" ht="14.5" spans="1:46">
      <c r="B127" s="216"/>
      <c r="C127" s="221" t="s">
        <v>406</v>
      </c>
      <c r="D127" s="218"/>
      <c r="E127" s="218"/>
      <c r="F127" s="218"/>
      <c r="H127" s="222" t="s">
        <v>407</v>
      </c>
      <c r="I127" s="223" t="s">
        <v>408</v>
      </c>
      <c r="J127" s="223" t="s">
        <v>409</v>
      </c>
      <c r="K127" s="223" t="s">
        <v>410</v>
      </c>
      <c r="L127" s="223" t="s">
        <v>411</v>
      </c>
      <c r="M127" s="224" t="s">
        <v>409</v>
      </c>
      <c r="N127" s="224" t="s">
        <v>410</v>
      </c>
      <c r="O127" s="224" t="s">
        <v>411</v>
      </c>
      <c r="P127" s="223" t="s">
        <v>409</v>
      </c>
      <c r="Q127" s="223" t="s">
        <v>410</v>
      </c>
      <c r="R127" s="223" t="s">
        <v>411</v>
      </c>
      <c r="S127" s="208"/>
      <c r="T127" s="225" t="s">
        <v>412</v>
      </c>
      <c r="U127" s="208"/>
      <c r="AA127" s="218"/>
      <c r="AB127" s="218"/>
      <c r="AC127" s="218" t="s">
        <v>406</v>
      </c>
      <c r="AD127" s="218"/>
      <c r="AE127" s="218"/>
      <c r="AF127" s="218"/>
      <c r="AI127" s="218"/>
      <c r="AJ127" s="218"/>
      <c r="AK127" s="218" t="s">
        <v>406</v>
      </c>
      <c r="AL127" s="218"/>
      <c r="AM127" s="218"/>
      <c r="AN127" s="218"/>
      <c r="AQ127" s="244" t="s">
        <v>406</v>
      </c>
      <c r="AR127" s="318"/>
      <c r="AS127" s="318"/>
      <c r="AT127" s="318"/>
    </row>
    <row r="128" ht="20" spans="1:46">
      <c r="A128" s="226"/>
      <c r="B128" s="218"/>
      <c r="C128" s="218"/>
      <c r="D128" s="221"/>
      <c r="E128" s="221"/>
      <c r="F128" s="221"/>
      <c r="H128" s="208" t="s">
        <v>413</v>
      </c>
      <c r="I128" s="223" t="s">
        <v>414</v>
      </c>
      <c r="J128" s="227" t="s">
        <v>415</v>
      </c>
      <c r="K128" s="228"/>
      <c r="L128" s="229"/>
      <c r="M128" s="230" t="s">
        <v>416</v>
      </c>
      <c r="N128" s="231"/>
      <c r="O128" s="232"/>
      <c r="P128" s="227" t="s">
        <v>417</v>
      </c>
      <c r="Q128" s="228"/>
      <c r="R128" s="229"/>
      <c r="S128" s="208"/>
      <c r="T128" s="208" t="s">
        <v>416</v>
      </c>
      <c r="U128" s="208"/>
      <c r="AA128" s="218"/>
      <c r="AB128" s="218"/>
      <c r="AC128" s="218"/>
      <c r="AD128" s="218"/>
      <c r="AE128" s="218"/>
      <c r="AF128" s="218"/>
      <c r="AI128" s="218"/>
      <c r="AJ128" s="218"/>
      <c r="AK128" s="218"/>
      <c r="AL128" s="218"/>
      <c r="AM128" s="218"/>
      <c r="AN128" s="218"/>
      <c r="AQ128" s="244" t="s">
        <v>257</v>
      </c>
      <c r="AR128" s="244">
        <v>2023</v>
      </c>
      <c r="AS128" s="318">
        <v>2050</v>
      </c>
      <c r="AT128" s="318">
        <v>0</v>
      </c>
    </row>
    <row r="129" ht="13" spans="1:46">
      <c r="B129" s="218" t="s">
        <v>418</v>
      </c>
      <c r="C129" s="221" t="s">
        <v>257</v>
      </c>
      <c r="D129" s="221" t="s">
        <v>419</v>
      </c>
      <c r="E129" s="221" t="s">
        <v>420</v>
      </c>
      <c r="F129" s="221" t="s">
        <v>421</v>
      </c>
      <c r="H129" s="208"/>
      <c r="I129" s="223" t="s">
        <v>422</v>
      </c>
      <c r="J129" s="227" t="s">
        <v>423</v>
      </c>
      <c r="K129" s="228"/>
      <c r="L129" s="229"/>
      <c r="M129" s="230" t="s">
        <v>423</v>
      </c>
      <c r="N129" s="231"/>
      <c r="O129" s="232"/>
      <c r="P129" s="227" t="s">
        <v>423</v>
      </c>
      <c r="Q129" s="228"/>
      <c r="R129" s="229"/>
      <c r="S129" s="208"/>
      <c r="T129" s="208" t="s">
        <v>423</v>
      </c>
      <c r="U129" s="208"/>
      <c r="AA129" s="218" t="s">
        <v>418</v>
      </c>
      <c r="AB129" s="218" t="s">
        <v>424</v>
      </c>
      <c r="AC129" s="218" t="s">
        <v>257</v>
      </c>
      <c r="AD129" s="218" t="s">
        <v>419</v>
      </c>
      <c r="AE129" s="218" t="s">
        <v>420</v>
      </c>
      <c r="AF129" s="218" t="s">
        <v>421</v>
      </c>
      <c r="AI129" s="218" t="s">
        <v>418</v>
      </c>
      <c r="AJ129" s="218" t="s">
        <v>424</v>
      </c>
      <c r="AK129" s="218" t="s">
        <v>257</v>
      </c>
      <c r="AL129" s="218" t="s">
        <v>419</v>
      </c>
      <c r="AM129" s="218" t="s">
        <v>420</v>
      </c>
      <c r="AN129" s="218" t="s">
        <v>421</v>
      </c>
      <c r="AQ129" s="318" t="s">
        <v>208</v>
      </c>
      <c r="AR129" s="318">
        <v>30</v>
      </c>
      <c r="AS129" s="318">
        <f>AR129*64%</f>
        <v>19.2</v>
      </c>
      <c r="AT129" s="318">
        <v>3</v>
      </c>
    </row>
    <row r="130" ht="13" spans="1:46">
      <c r="B130" s="218" t="s">
        <v>365</v>
      </c>
      <c r="C130" s="218"/>
      <c r="D130" s="218"/>
      <c r="E130" s="218"/>
      <c r="F130" s="218"/>
      <c r="H130" s="208">
        <v>0.2</v>
      </c>
      <c r="I130" s="223" t="s">
        <v>425</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8" t="s">
        <v>212</v>
      </c>
      <c r="AR130" s="318">
        <v>30</v>
      </c>
      <c r="AS130" s="318">
        <f t="shared" ref="AS130:AS135" si="15">AR130*64%</f>
        <v>19.2</v>
      </c>
      <c r="AT130" s="318">
        <v>3</v>
      </c>
    </row>
    <row r="131" ht="13" spans="1:46">
      <c r="A131" s="236"/>
      <c r="B131" s="218" t="s">
        <v>195</v>
      </c>
      <c r="C131" s="221" t="s">
        <v>426</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427</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426</v>
      </c>
      <c r="AD131" s="218">
        <f>D131*0.313</f>
        <v>25.1599342966667</v>
      </c>
      <c r="AE131" s="218">
        <f>E131*0.313</f>
        <v>17.36734649</v>
      </c>
      <c r="AF131" s="218">
        <f>F131*0.313</f>
        <v>33.43624065</v>
      </c>
      <c r="AI131" s="218" t="s">
        <v>195</v>
      </c>
      <c r="AJ131" s="218">
        <v>0</v>
      </c>
      <c r="AK131" s="218" t="s">
        <v>426</v>
      </c>
      <c r="AL131" s="218">
        <v>5</v>
      </c>
      <c r="AM131" s="218">
        <v>5</v>
      </c>
      <c r="AN131" s="218">
        <v>5</v>
      </c>
      <c r="AQ131" s="318" t="s">
        <v>214</v>
      </c>
      <c r="AR131" s="318">
        <v>30</v>
      </c>
      <c r="AS131" s="318">
        <f t="shared" si="15"/>
        <v>19.2</v>
      </c>
      <c r="AT131" s="318">
        <v>3</v>
      </c>
    </row>
    <row r="132" ht="13" spans="1:46">
      <c r="B132" s="218" t="s">
        <v>195</v>
      </c>
      <c r="C132" s="221" t="s">
        <v>428</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429</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428</v>
      </c>
      <c r="AD132" s="218">
        <f t="shared" ref="AD132:AD144" si="18">D132*0.313</f>
        <v>29.8628918</v>
      </c>
      <c r="AE132" s="218">
        <f t="shared" ref="AE132:AE144" si="19">E132*0.313</f>
        <v>20.75992845</v>
      </c>
      <c r="AF132" s="218">
        <f t="shared" ref="AF132:AF144" si="20">F132*0.313</f>
        <v>39.52049115</v>
      </c>
      <c r="AI132" s="218" t="s">
        <v>195</v>
      </c>
      <c r="AJ132" s="218">
        <v>0</v>
      </c>
      <c r="AK132" s="218" t="s">
        <v>428</v>
      </c>
      <c r="AL132" s="218">
        <v>5</v>
      </c>
      <c r="AM132" s="218">
        <v>5</v>
      </c>
      <c r="AN132" s="218">
        <v>5</v>
      </c>
      <c r="AQ132" s="318" t="s">
        <v>215</v>
      </c>
      <c r="AR132" s="318">
        <v>30</v>
      </c>
      <c r="AS132" s="318">
        <f t="shared" si="15"/>
        <v>19.2</v>
      </c>
      <c r="AT132" s="318">
        <v>3</v>
      </c>
    </row>
    <row r="133" ht="13" spans="1:46">
      <c r="B133" s="218" t="s">
        <v>195</v>
      </c>
      <c r="C133" s="221" t="s">
        <v>430</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430</v>
      </c>
      <c r="AD133" s="218">
        <f t="shared" si="18"/>
        <v>26.7138290566667</v>
      </c>
      <c r="AE133" s="218">
        <f t="shared" si="19"/>
        <v>17.55976011</v>
      </c>
      <c r="AF133" s="218">
        <f t="shared" si="20"/>
        <v>36.41065148</v>
      </c>
      <c r="AI133" s="218" t="s">
        <v>195</v>
      </c>
      <c r="AJ133" s="218">
        <v>0</v>
      </c>
      <c r="AK133" s="218" t="s">
        <v>430</v>
      </c>
      <c r="AL133" s="218">
        <v>5</v>
      </c>
      <c r="AM133" s="218">
        <v>5</v>
      </c>
      <c r="AN133" s="218">
        <v>5</v>
      </c>
      <c r="AQ133" s="318" t="s">
        <v>216</v>
      </c>
      <c r="AR133" s="318">
        <v>30</v>
      </c>
      <c r="AS133" s="318">
        <f t="shared" si="15"/>
        <v>19.2</v>
      </c>
      <c r="AT133" s="318">
        <v>3</v>
      </c>
    </row>
    <row r="134" ht="30" spans="1:46">
      <c r="A134" s="237"/>
      <c r="B134" s="218" t="s">
        <v>195</v>
      </c>
      <c r="C134" s="221" t="s">
        <v>431</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431</v>
      </c>
      <c r="AD134" s="218">
        <f t="shared" si="18"/>
        <v>26.76825141</v>
      </c>
      <c r="AE134" s="218">
        <f t="shared" si="19"/>
        <v>17.39012663</v>
      </c>
      <c r="AF134" s="218">
        <f t="shared" si="20"/>
        <v>36.71624903</v>
      </c>
      <c r="AI134" s="218" t="s">
        <v>195</v>
      </c>
      <c r="AJ134" s="218">
        <v>0</v>
      </c>
      <c r="AK134" s="218" t="s">
        <v>431</v>
      </c>
      <c r="AL134" s="218">
        <v>5</v>
      </c>
      <c r="AM134" s="218">
        <v>5</v>
      </c>
      <c r="AN134" s="218">
        <v>5</v>
      </c>
      <c r="AQ134" s="318" t="s">
        <v>217</v>
      </c>
      <c r="AR134" s="318">
        <v>30</v>
      </c>
      <c r="AS134" s="318">
        <f t="shared" si="15"/>
        <v>19.2</v>
      </c>
      <c r="AT134" s="318">
        <v>3</v>
      </c>
    </row>
    <row r="135" ht="13" spans="1:46">
      <c r="B135" s="218" t="s">
        <v>195</v>
      </c>
      <c r="C135" s="221" t="s">
        <v>432</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432</v>
      </c>
      <c r="AD135" s="218">
        <f t="shared" si="18"/>
        <v>28.1990829166667</v>
      </c>
      <c r="AE135" s="218">
        <f t="shared" si="19"/>
        <v>18.5820901</v>
      </c>
      <c r="AF135" s="218">
        <f t="shared" si="20"/>
        <v>38.39541265</v>
      </c>
      <c r="AI135" s="218" t="s">
        <v>195</v>
      </c>
      <c r="AJ135" s="218">
        <v>0</v>
      </c>
      <c r="AK135" s="218" t="s">
        <v>432</v>
      </c>
      <c r="AL135" s="218">
        <v>5</v>
      </c>
      <c r="AM135" s="218">
        <v>5</v>
      </c>
      <c r="AN135" s="218">
        <v>5</v>
      </c>
      <c r="AQ135" s="318" t="s">
        <v>218</v>
      </c>
      <c r="AR135" s="318">
        <v>30</v>
      </c>
      <c r="AS135" s="318">
        <f t="shared" si="15"/>
        <v>19.2</v>
      </c>
      <c r="AT135" s="318">
        <v>3</v>
      </c>
    </row>
    <row r="136" ht="25" spans="1:46">
      <c r="A136" s="238"/>
      <c r="B136" s="218" t="s">
        <v>195</v>
      </c>
      <c r="C136" s="221" t="s">
        <v>433</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433</v>
      </c>
      <c r="AD136" s="218">
        <f t="shared" si="18"/>
        <v>27.2066538166667</v>
      </c>
      <c r="AE136" s="218">
        <f t="shared" si="19"/>
        <v>17.94665315</v>
      </c>
      <c r="AF136" s="218">
        <f t="shared" si="20"/>
        <v>37.0192299</v>
      </c>
      <c r="AI136" s="218" t="s">
        <v>195</v>
      </c>
      <c r="AJ136" s="218">
        <v>0</v>
      </c>
      <c r="AK136" s="218" t="s">
        <v>433</v>
      </c>
      <c r="AL136" s="218">
        <v>5</v>
      </c>
      <c r="AM136" s="218">
        <v>5</v>
      </c>
      <c r="AN136" s="218">
        <v>5</v>
      </c>
    </row>
    <row r="137" ht="13" spans="1:46">
      <c r="B137" s="218" t="s">
        <v>195</v>
      </c>
      <c r="C137" s="221" t="s">
        <v>434</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434</v>
      </c>
      <c r="AD137" s="218">
        <f t="shared" si="18"/>
        <v>28.0299846666667</v>
      </c>
      <c r="AE137" s="218">
        <f t="shared" si="19"/>
        <v>18.77670724</v>
      </c>
      <c r="AF137" s="218">
        <f t="shared" si="20"/>
        <v>37.83372476</v>
      </c>
      <c r="AI137" s="218" t="s">
        <v>195</v>
      </c>
      <c r="AJ137" s="218">
        <v>0</v>
      </c>
      <c r="AK137" s="218" t="s">
        <v>434</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435</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436</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426</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428</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430</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431</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432</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433</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434</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437</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9" t="s">
        <v>72</v>
      </c>
      <c r="AA156" s="319"/>
      <c r="AB156" s="319"/>
      <c r="AC156" s="319"/>
      <c r="AD156" s="319"/>
      <c r="AE156" s="319"/>
      <c r="AF156" s="319"/>
      <c r="AG156" s="319"/>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9" t="s">
        <v>78</v>
      </c>
      <c r="AA157" s="319" t="s">
        <v>79</v>
      </c>
      <c r="AB157" s="319" t="s">
        <v>80</v>
      </c>
      <c r="AC157" s="319" t="s">
        <v>81</v>
      </c>
      <c r="AD157" s="319" t="s">
        <v>82</v>
      </c>
      <c r="AE157" s="319" t="s">
        <v>223</v>
      </c>
      <c r="AF157" s="319" t="s">
        <v>224</v>
      </c>
      <c r="AG157" s="319"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0" t="s">
        <v>439</v>
      </c>
      <c r="AA158" s="319" t="s">
        <v>380</v>
      </c>
      <c r="AB158" s="319" t="s">
        <v>440</v>
      </c>
      <c r="AC158" s="319" t="s">
        <v>441</v>
      </c>
      <c r="AD158" s="319" t="s">
        <v>442</v>
      </c>
      <c r="AE158" s="319" t="s">
        <v>251</v>
      </c>
      <c r="AF158" s="319"/>
      <c r="AG158" s="319"/>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8"/>
      <c r="AA159" s="319" t="s">
        <v>382</v>
      </c>
      <c r="AB159" s="319" t="s">
        <v>440</v>
      </c>
      <c r="AC159" s="319" t="s">
        <v>441</v>
      </c>
      <c r="AD159" s="319" t="s">
        <v>442</v>
      </c>
      <c r="AE159" s="319" t="s">
        <v>251</v>
      </c>
      <c r="AF159" s="318"/>
      <c r="AG159" s="318"/>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8"/>
      <c r="AA160" s="319" t="s">
        <v>383</v>
      </c>
      <c r="AB160" s="319" t="s">
        <v>440</v>
      </c>
      <c r="AC160" s="319" t="s">
        <v>441</v>
      </c>
      <c r="AD160" s="319" t="s">
        <v>442</v>
      </c>
      <c r="AE160" s="319" t="s">
        <v>251</v>
      </c>
      <c r="AF160" s="318"/>
      <c r="AG160" s="318"/>
      <c r="AI160" s="244"/>
      <c r="AJ160" s="244" t="s">
        <v>371</v>
      </c>
      <c r="AK160" s="244"/>
      <c r="AL160" s="244"/>
      <c r="AM160" s="244"/>
      <c r="AN160" s="244" t="s">
        <v>253</v>
      </c>
      <c r="AO160" s="244"/>
      <c r="AP160" s="244"/>
      <c r="AQ160" s="244" t="s">
        <v>313</v>
      </c>
    </row>
    <row r="161" customFormat="1" ht="14.5" spans="2:60">
      <c r="B161" s="244" t="s">
        <v>257</v>
      </c>
      <c r="C161" s="244" t="s">
        <v>443</v>
      </c>
      <c r="D161" s="244"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8"/>
      <c r="AA161" s="319" t="s">
        <v>384</v>
      </c>
      <c r="AB161" s="319" t="s">
        <v>440</v>
      </c>
      <c r="AC161" s="319" t="s">
        <v>441</v>
      </c>
      <c r="AD161" s="319" t="s">
        <v>442</v>
      </c>
      <c r="AE161" s="319" t="s">
        <v>251</v>
      </c>
      <c r="AF161" s="318"/>
      <c r="AG161" s="318"/>
      <c r="AI161" s="244"/>
      <c r="AJ161" s="244" t="s">
        <v>372</v>
      </c>
      <c r="AK161" s="244"/>
      <c r="AL161" s="244"/>
      <c r="AM161" s="244"/>
      <c r="AN161" s="244" t="s">
        <v>253</v>
      </c>
      <c r="AO161" s="244"/>
      <c r="AP161" s="244"/>
      <c r="AQ161" s="244" t="s">
        <v>313</v>
      </c>
    </row>
    <row r="162" customFormat="1" ht="14.5" spans="2:60">
      <c r="B162" s="244" t="s">
        <v>321</v>
      </c>
      <c r="C162" s="244" t="s">
        <v>445</v>
      </c>
      <c r="D162" s="244">
        <v>1</v>
      </c>
      <c r="E162" s="171"/>
      <c r="F162" s="171"/>
      <c r="G162" s="171"/>
      <c r="H162" s="171"/>
      <c r="I162" s="171"/>
      <c r="U162" s="171"/>
      <c r="V162" s="171"/>
      <c r="W162" s="171"/>
      <c r="Y162" s="171"/>
      <c r="Z162" s="318"/>
      <c r="AA162" s="319" t="s">
        <v>385</v>
      </c>
      <c r="AB162" s="319" t="s">
        <v>440</v>
      </c>
      <c r="AC162" s="319" t="s">
        <v>441</v>
      </c>
      <c r="AD162" s="319" t="s">
        <v>442</v>
      </c>
      <c r="AE162" s="319" t="s">
        <v>251</v>
      </c>
      <c r="AF162" s="318"/>
      <c r="AG162" s="318"/>
      <c r="AH162" s="192"/>
      <c r="AI162" s="244"/>
      <c r="AJ162" s="244" t="s">
        <v>373</v>
      </c>
      <c r="AK162" s="244"/>
      <c r="AL162" s="244"/>
      <c r="AM162" s="244"/>
      <c r="AN162" s="244" t="s">
        <v>253</v>
      </c>
      <c r="AO162" s="244"/>
      <c r="AP162" s="244"/>
      <c r="AQ162" s="244" t="s">
        <v>313</v>
      </c>
    </row>
    <row r="163" customFormat="1" ht="14.5" spans="2:60">
      <c r="B163" s="244" t="s">
        <v>325</v>
      </c>
      <c r="C163" s="244" t="s">
        <v>446</v>
      </c>
      <c r="D163" s="244">
        <v>1</v>
      </c>
      <c r="E163" s="171"/>
      <c r="F163" s="171"/>
      <c r="G163" s="171"/>
      <c r="H163" s="171"/>
      <c r="I163" s="171"/>
      <c r="U163" s="171"/>
      <c r="V163" s="171"/>
      <c r="W163" s="171"/>
      <c r="Y163" s="171"/>
      <c r="Z163" s="318"/>
      <c r="AA163" s="319" t="s">
        <v>387</v>
      </c>
      <c r="AB163" s="319" t="s">
        <v>440</v>
      </c>
      <c r="AC163" s="319" t="s">
        <v>441</v>
      </c>
      <c r="AD163" s="319" t="s">
        <v>442</v>
      </c>
      <c r="AE163" s="319" t="s">
        <v>251</v>
      </c>
      <c r="AF163" s="318"/>
      <c r="AG163" s="318"/>
      <c r="AH163" s="192"/>
      <c r="AI163" s="244"/>
      <c r="AJ163" s="244" t="s">
        <v>374</v>
      </c>
      <c r="AK163" s="244"/>
      <c r="AL163" s="244"/>
      <c r="AM163" s="244"/>
      <c r="AN163" s="244" t="s">
        <v>253</v>
      </c>
      <c r="AO163" s="244"/>
      <c r="AP163" s="244"/>
      <c r="AQ163" s="244" t="s">
        <v>313</v>
      </c>
    </row>
    <row r="164" customFormat="1" ht="14.5" spans="2:60">
      <c r="B164" s="244" t="s">
        <v>328</v>
      </c>
      <c r="C164" s="244" t="s">
        <v>447</v>
      </c>
      <c r="D164" s="244">
        <v>1</v>
      </c>
      <c r="E164" s="171"/>
      <c r="F164" s="171"/>
      <c r="G164" s="171"/>
      <c r="H164" s="171"/>
      <c r="I164" s="171"/>
      <c r="U164" s="171"/>
      <c r="V164" s="171"/>
      <c r="W164" s="171"/>
      <c r="Y164" s="171"/>
      <c r="Z164" s="318"/>
      <c r="AA164" s="319" t="s">
        <v>388</v>
      </c>
      <c r="AB164" s="319" t="s">
        <v>440</v>
      </c>
      <c r="AC164" s="319" t="s">
        <v>441</v>
      </c>
      <c r="AD164" s="319" t="s">
        <v>442</v>
      </c>
      <c r="AE164" s="319" t="s">
        <v>251</v>
      </c>
      <c r="AF164" s="318"/>
      <c r="AG164" s="318"/>
      <c r="AH164" s="192"/>
      <c r="AI164" s="244"/>
      <c r="AJ164" s="244" t="s">
        <v>375</v>
      </c>
      <c r="AK164" s="244"/>
      <c r="AL164" s="244"/>
      <c r="AM164" s="244"/>
      <c r="AN164" s="244" t="s">
        <v>253</v>
      </c>
      <c r="AO164" s="244"/>
      <c r="AP164" s="244"/>
      <c r="AQ164" s="244" t="s">
        <v>313</v>
      </c>
    </row>
    <row r="165" customFormat="1" ht="14.5" spans="2:60">
      <c r="B165" s="244" t="s">
        <v>330</v>
      </c>
      <c r="C165" s="244" t="s">
        <v>448</v>
      </c>
      <c r="D165" s="244">
        <v>1</v>
      </c>
      <c r="E165" s="171"/>
      <c r="F165" s="171"/>
      <c r="G165" s="171"/>
      <c r="H165" s="171"/>
      <c r="I165" s="171"/>
      <c r="U165" s="171"/>
      <c r="V165" s="171"/>
      <c r="W165" s="171"/>
      <c r="Y165" s="171"/>
      <c r="Z165" s="318"/>
      <c r="AA165" s="318" t="s">
        <v>389</v>
      </c>
      <c r="AB165" s="318" t="s">
        <v>449</v>
      </c>
      <c r="AC165" s="319" t="s">
        <v>441</v>
      </c>
      <c r="AD165" s="319" t="s">
        <v>442</v>
      </c>
      <c r="AE165" s="318" t="str">
        <f>AE164</f>
        <v>DAYNITE</v>
      </c>
      <c r="AF165" s="318"/>
      <c r="AG165" s="318"/>
      <c r="AI165" s="244"/>
      <c r="AJ165" s="244" t="s">
        <v>445</v>
      </c>
      <c r="AK165" s="244"/>
      <c r="AL165" s="244"/>
      <c r="AM165" s="244"/>
      <c r="AN165" s="244" t="s">
        <v>253</v>
      </c>
      <c r="AO165" s="244"/>
      <c r="AP165" s="244"/>
      <c r="AQ165" s="244" t="s">
        <v>313</v>
      </c>
    </row>
    <row r="166" customFormat="1" ht="14.5" spans="2:60">
      <c r="B166" s="244" t="s">
        <v>332</v>
      </c>
      <c r="C166" s="244" t="s">
        <v>450</v>
      </c>
      <c r="D166" s="244">
        <v>1</v>
      </c>
      <c r="E166" s="171"/>
      <c r="F166" s="171"/>
      <c r="G166" s="171"/>
      <c r="H166" s="171"/>
      <c r="I166" s="171"/>
      <c r="U166" s="171"/>
      <c r="V166" s="171"/>
      <c r="W166" s="171"/>
      <c r="Y166" s="171"/>
      <c r="Z166" s="318"/>
      <c r="AA166" s="318" t="s">
        <v>390</v>
      </c>
      <c r="AB166" s="318" t="s">
        <v>449</v>
      </c>
      <c r="AC166" s="319" t="s">
        <v>441</v>
      </c>
      <c r="AD166" s="319" t="s">
        <v>442</v>
      </c>
      <c r="AE166" s="318" t="str">
        <f t="shared" ref="AE166:AE172" si="34">AE165</f>
        <v>DAYNITE</v>
      </c>
      <c r="AF166" s="318"/>
      <c r="AG166" s="318"/>
      <c r="AI166" s="244"/>
      <c r="AJ166" s="244" t="s">
        <v>446</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451</v>
      </c>
      <c r="D167" s="244">
        <v>1</v>
      </c>
      <c r="E167" s="171"/>
      <c r="F167" s="171"/>
      <c r="G167" s="171"/>
      <c r="H167" s="171"/>
      <c r="I167" s="171"/>
      <c r="U167" s="171"/>
      <c r="V167" s="171"/>
      <c r="W167" s="171"/>
      <c r="Y167" s="171"/>
      <c r="Z167" s="318"/>
      <c r="AA167" s="318" t="s">
        <v>391</v>
      </c>
      <c r="AB167" s="318" t="s">
        <v>449</v>
      </c>
      <c r="AC167" s="319" t="s">
        <v>441</v>
      </c>
      <c r="AD167" s="319" t="s">
        <v>442</v>
      </c>
      <c r="AE167" s="318" t="str">
        <f t="shared" si="34"/>
        <v>DAYNITE</v>
      </c>
      <c r="AF167" s="318"/>
      <c r="AG167" s="318"/>
      <c r="AI167" s="244"/>
      <c r="AJ167" s="244" t="s">
        <v>447</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452</v>
      </c>
      <c r="D168" s="244">
        <v>1</v>
      </c>
      <c r="E168" s="171"/>
      <c r="F168" s="171"/>
      <c r="G168" s="171"/>
      <c r="H168" s="171"/>
      <c r="I168" s="171"/>
      <c r="U168" s="171"/>
      <c r="V168" s="171"/>
      <c r="W168" s="171"/>
      <c r="Y168" s="171"/>
      <c r="Z168" s="318"/>
      <c r="AA168" s="318" t="s">
        <v>392</v>
      </c>
      <c r="AB168" s="318" t="s">
        <v>449</v>
      </c>
      <c r="AC168" s="319" t="s">
        <v>441</v>
      </c>
      <c r="AD168" s="319" t="s">
        <v>442</v>
      </c>
      <c r="AE168" s="318" t="str">
        <f t="shared" si="34"/>
        <v>DAYNITE</v>
      </c>
      <c r="AF168" s="318"/>
      <c r="AG168" s="318"/>
      <c r="AH168" s="171"/>
      <c r="AI168" s="244"/>
      <c r="AJ168" s="244" t="s">
        <v>448</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8"/>
      <c r="AA169" s="318" t="s">
        <v>393</v>
      </c>
      <c r="AB169" s="318" t="s">
        <v>449</v>
      </c>
      <c r="AC169" s="319" t="s">
        <v>441</v>
      </c>
      <c r="AD169" s="319" t="s">
        <v>442</v>
      </c>
      <c r="AE169" s="318" t="str">
        <f t="shared" si="34"/>
        <v>DAYNITE</v>
      </c>
      <c r="AF169" s="318"/>
      <c r="AG169" s="318"/>
      <c r="AH169" s="171"/>
      <c r="AI169" s="244"/>
      <c r="AJ169" s="244" t="s">
        <v>450</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8"/>
      <c r="AA170" s="318" t="s">
        <v>394</v>
      </c>
      <c r="AB170" s="318" t="s">
        <v>449</v>
      </c>
      <c r="AC170" s="319" t="s">
        <v>441</v>
      </c>
      <c r="AD170" s="319" t="s">
        <v>442</v>
      </c>
      <c r="AE170" s="318" t="str">
        <f t="shared" si="34"/>
        <v>DAYNITE</v>
      </c>
      <c r="AF170" s="318"/>
      <c r="AG170" s="318"/>
      <c r="AH170" s="171"/>
      <c r="AI170" s="244"/>
      <c r="AJ170" s="244" t="s">
        <v>451</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8"/>
      <c r="AA171" s="318" t="s">
        <v>395</v>
      </c>
      <c r="AB171" s="318" t="s">
        <v>449</v>
      </c>
      <c r="AC171" s="319" t="s">
        <v>441</v>
      </c>
      <c r="AD171" s="319" t="s">
        <v>442</v>
      </c>
      <c r="AE171" s="318" t="str">
        <f t="shared" si="34"/>
        <v>DAYNITE</v>
      </c>
      <c r="AF171" s="318"/>
      <c r="AG171" s="318"/>
      <c r="AH171" s="171"/>
      <c r="AI171" s="244"/>
      <c r="AJ171" s="244" t="s">
        <v>452</v>
      </c>
      <c r="AK171" s="244"/>
      <c r="AL171" s="244"/>
      <c r="AM171" s="244"/>
      <c r="AN171" s="244" t="s">
        <v>253</v>
      </c>
      <c r="AO171" s="244"/>
      <c r="AP171" s="244"/>
      <c r="AQ171" s="244" t="s">
        <v>313</v>
      </c>
    </row>
    <row r="172" ht="14.5" spans="2:60">
      <c r="B172" s="305"/>
      <c r="C172" s="305" t="s">
        <v>199</v>
      </c>
      <c r="D172" s="305"/>
      <c r="E172" s="244"/>
      <c r="Y172"/>
      <c r="Z172" s="318"/>
      <c r="AA172" s="318" t="s">
        <v>396</v>
      </c>
      <c r="AB172" s="318" t="s">
        <v>453</v>
      </c>
      <c r="AC172" s="319" t="s">
        <v>441</v>
      </c>
      <c r="AD172" s="319" t="s">
        <v>442</v>
      </c>
      <c r="AE172" s="318" t="str">
        <f t="shared" si="34"/>
        <v>DAYNITE</v>
      </c>
      <c r="AF172" s="318"/>
      <c r="AG172" s="318"/>
      <c r="AH172" s="192"/>
      <c r="AI172" s="244"/>
      <c r="AJ172" s="244" t="s">
        <v>445</v>
      </c>
      <c r="AK172" s="244"/>
      <c r="AL172" s="244"/>
      <c r="AM172" s="244"/>
      <c r="AN172" s="244" t="s">
        <v>253</v>
      </c>
      <c r="AO172" s="244"/>
      <c r="AP172" s="244"/>
      <c r="AQ172" s="244" t="s">
        <v>313</v>
      </c>
    </row>
    <row r="173" ht="16" spans="2:60">
      <c r="B173" s="305" t="s">
        <v>257</v>
      </c>
      <c r="C173" s="305" t="s">
        <v>194</v>
      </c>
      <c r="D173" s="305" t="s">
        <v>76</v>
      </c>
      <c r="E173" s="244" t="s">
        <v>73</v>
      </c>
      <c r="F173" s="178" t="s">
        <v>454</v>
      </c>
      <c r="G173" s="171" t="s">
        <v>200</v>
      </c>
      <c r="I173" s="321" t="s">
        <v>455</v>
      </c>
      <c r="Y173"/>
      <c r="Z173" s="318"/>
      <c r="AA173" s="318" t="s">
        <v>397</v>
      </c>
      <c r="AB173" s="318" t="s">
        <v>453</v>
      </c>
      <c r="AC173" s="319" t="s">
        <v>441</v>
      </c>
      <c r="AD173" s="319" t="s">
        <v>442</v>
      </c>
      <c r="AE173" s="318" t="str">
        <f t="shared" ref="AE173:AE178" si="35">AE172</f>
        <v>DAYNITE</v>
      </c>
      <c r="AF173" s="318"/>
      <c r="AG173" s="318"/>
      <c r="AH173" s="192"/>
      <c r="AI173" s="244"/>
      <c r="AJ173" s="244" t="s">
        <v>446</v>
      </c>
      <c r="AK173" s="244"/>
      <c r="AL173" s="244"/>
      <c r="AM173" s="244"/>
      <c r="AN173" s="244" t="s">
        <v>253</v>
      </c>
      <c r="AO173" s="244"/>
      <c r="AP173" s="244"/>
      <c r="AQ173" s="244" t="s">
        <v>313</v>
      </c>
    </row>
    <row r="174" ht="14.5" spans="2:60">
      <c r="B174" s="305" t="s">
        <v>456</v>
      </c>
      <c r="C174" s="305" t="s">
        <v>445</v>
      </c>
      <c r="D174" s="305" t="s">
        <v>369</v>
      </c>
      <c r="E174" s="244">
        <v>1</v>
      </c>
      <c r="F174" s="171">
        <v>2</v>
      </c>
      <c r="G174" s="171">
        <v>1</v>
      </c>
      <c r="Y174"/>
      <c r="Z174" s="318"/>
      <c r="AA174" s="318" t="s">
        <v>398</v>
      </c>
      <c r="AB174" s="318" t="s">
        <v>453</v>
      </c>
      <c r="AC174" s="319" t="s">
        <v>441</v>
      </c>
      <c r="AD174" s="319" t="s">
        <v>442</v>
      </c>
      <c r="AE174" s="318" t="str">
        <f t="shared" si="35"/>
        <v>DAYNITE</v>
      </c>
      <c r="AF174" s="318"/>
      <c r="AG174" s="318"/>
      <c r="AH174" s="192"/>
      <c r="AI174" s="244"/>
      <c r="AJ174" s="244" t="s">
        <v>447</v>
      </c>
      <c r="AK174" s="244"/>
      <c r="AL174" s="244"/>
      <c r="AM174" s="244"/>
      <c r="AN174" s="244" t="s">
        <v>253</v>
      </c>
      <c r="AO174" s="244"/>
      <c r="AP174" s="244"/>
      <c r="AQ174" s="244" t="s">
        <v>313</v>
      </c>
    </row>
    <row r="175" ht="14.5" spans="2:60">
      <c r="B175" s="305" t="s">
        <v>457</v>
      </c>
      <c r="C175" s="305" t="s">
        <v>446</v>
      </c>
      <c r="D175" s="305" t="s">
        <v>370</v>
      </c>
      <c r="E175" s="244">
        <v>1</v>
      </c>
      <c r="F175" s="171">
        <v>2</v>
      </c>
      <c r="G175" s="171">
        <v>1</v>
      </c>
      <c r="Y175"/>
      <c r="Z175" s="318"/>
      <c r="AA175" s="318" t="s">
        <v>399</v>
      </c>
      <c r="AB175" s="318" t="s">
        <v>453</v>
      </c>
      <c r="AC175" s="319" t="s">
        <v>441</v>
      </c>
      <c r="AD175" s="319" t="s">
        <v>442</v>
      </c>
      <c r="AE175" s="318" t="str">
        <f t="shared" si="35"/>
        <v>DAYNITE</v>
      </c>
      <c r="AF175" s="318"/>
      <c r="AG175" s="318"/>
      <c r="AI175" s="244"/>
      <c r="AJ175" s="244" t="s">
        <v>448</v>
      </c>
      <c r="AK175" s="244"/>
      <c r="AL175" s="244"/>
      <c r="AM175" s="244"/>
      <c r="AN175" s="244" t="s">
        <v>253</v>
      </c>
      <c r="AO175" s="244"/>
      <c r="AP175" s="244"/>
      <c r="AQ175" s="244" t="s">
        <v>313</v>
      </c>
    </row>
    <row r="176" ht="14.5" spans="2:60">
      <c r="B176" s="305" t="s">
        <v>458</v>
      </c>
      <c r="C176" s="305" t="s">
        <v>447</v>
      </c>
      <c r="D176" s="305" t="s">
        <v>371</v>
      </c>
      <c r="E176" s="244">
        <v>1</v>
      </c>
      <c r="F176" s="171">
        <v>2</v>
      </c>
      <c r="G176" s="171">
        <v>1</v>
      </c>
      <c r="Y176"/>
      <c r="Z176" s="318"/>
      <c r="AA176" s="318" t="s">
        <v>400</v>
      </c>
      <c r="AB176" s="318" t="s">
        <v>453</v>
      </c>
      <c r="AC176" s="319" t="s">
        <v>441</v>
      </c>
      <c r="AD176" s="319" t="s">
        <v>442</v>
      </c>
      <c r="AE176" s="318" t="str">
        <f t="shared" si="35"/>
        <v>DAYNITE</v>
      </c>
      <c r="AF176" s="318"/>
      <c r="AG176" s="318"/>
      <c r="AI176" s="244"/>
      <c r="AJ176" s="244" t="s">
        <v>450</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5" t="s">
        <v>459</v>
      </c>
      <c r="C177" s="305" t="s">
        <v>448</v>
      </c>
      <c r="D177" s="305" t="s">
        <v>372</v>
      </c>
      <c r="E177" s="244">
        <v>1</v>
      </c>
      <c r="F177" s="171">
        <v>2</v>
      </c>
      <c r="G177" s="171">
        <v>1</v>
      </c>
      <c r="Y177"/>
      <c r="Z177" s="318"/>
      <c r="AA177" s="318" t="s">
        <v>401</v>
      </c>
      <c r="AB177" s="318" t="s">
        <v>453</v>
      </c>
      <c r="AC177" s="319" t="s">
        <v>441</v>
      </c>
      <c r="AD177" s="319" t="s">
        <v>442</v>
      </c>
      <c r="AE177" s="318" t="str">
        <f t="shared" si="35"/>
        <v>DAYNITE</v>
      </c>
      <c r="AF177" s="318"/>
      <c r="AG177" s="318"/>
      <c r="AI177" s="244"/>
      <c r="AJ177" s="244" t="s">
        <v>451</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5" t="s">
        <v>460</v>
      </c>
      <c r="C178" s="305" t="s">
        <v>450</v>
      </c>
      <c r="D178" s="305" t="s">
        <v>373</v>
      </c>
      <c r="E178" s="244">
        <v>1</v>
      </c>
      <c r="F178" s="171">
        <v>2</v>
      </c>
      <c r="G178" s="171">
        <v>1</v>
      </c>
      <c r="Y178"/>
      <c r="Z178" s="318"/>
      <c r="AA178" s="318" t="s">
        <v>402</v>
      </c>
      <c r="AB178" s="318" t="s">
        <v>453</v>
      </c>
      <c r="AC178" s="319" t="s">
        <v>441</v>
      </c>
      <c r="AD178" s="319" t="s">
        <v>442</v>
      </c>
      <c r="AE178" s="318" t="str">
        <f t="shared" si="35"/>
        <v>DAYNITE</v>
      </c>
      <c r="AF178" s="318"/>
      <c r="AG178" s="318"/>
      <c r="AI178" s="244"/>
      <c r="AJ178" s="244" t="s">
        <v>452</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5" t="s">
        <v>461</v>
      </c>
      <c r="C179" s="305" t="s">
        <v>451</v>
      </c>
      <c r="D179" s="305" t="s">
        <v>374</v>
      </c>
      <c r="E179" s="244">
        <v>1</v>
      </c>
      <c r="F179" s="171">
        <v>2</v>
      </c>
      <c r="G179" s="171">
        <v>1</v>
      </c>
      <c r="Y179"/>
      <c r="Z179" s="318"/>
      <c r="AA179" s="318" t="s">
        <v>365</v>
      </c>
      <c r="AB179" s="318"/>
      <c r="AC179" s="318"/>
      <c r="AD179" s="318"/>
      <c r="AE179" s="318"/>
      <c r="AF179" s="318"/>
      <c r="AG179" s="318"/>
      <c r="AI179" s="244"/>
      <c r="AJ179" s="244" t="s">
        <v>358</v>
      </c>
      <c r="AK179" s="244"/>
      <c r="AL179" s="244"/>
      <c r="AM179" s="244"/>
      <c r="AN179" s="244" t="s">
        <v>253</v>
      </c>
      <c r="AO179" s="244"/>
      <c r="AP179" s="244"/>
      <c r="AQ179" s="244" t="s">
        <v>313</v>
      </c>
    </row>
    <row r="180" ht="14.5" spans="1:60">
      <c r="B180" s="305" t="s">
        <v>462</v>
      </c>
      <c r="C180" s="305" t="s">
        <v>452</v>
      </c>
      <c r="D180" s="305" t="s">
        <v>375</v>
      </c>
      <c r="E180" s="244">
        <v>1</v>
      </c>
      <c r="F180" s="171">
        <v>2</v>
      </c>
      <c r="G180" s="171">
        <v>1</v>
      </c>
      <c r="Y180"/>
      <c r="Z180" s="318"/>
      <c r="AA180" s="318" t="s">
        <v>456</v>
      </c>
      <c r="AB180" s="318"/>
      <c r="AC180" s="319" t="s">
        <v>441</v>
      </c>
      <c r="AD180" s="319" t="s">
        <v>442</v>
      </c>
      <c r="AE180" s="318" t="s">
        <v>251</v>
      </c>
      <c r="AF180" s="318"/>
      <c r="AG180" s="318"/>
      <c r="AI180" s="244"/>
      <c r="AJ180" s="244" t="s">
        <v>359</v>
      </c>
      <c r="AK180" s="244"/>
      <c r="AL180" s="244"/>
      <c r="AM180" s="244"/>
      <c r="AN180" s="244" t="s">
        <v>253</v>
      </c>
      <c r="AO180" s="244"/>
      <c r="AP180" s="244"/>
      <c r="AQ180" s="244" t="s">
        <v>313</v>
      </c>
    </row>
    <row r="181" ht="14.5" spans="1:60">
      <c r="B181" s="305" t="s">
        <v>463</v>
      </c>
      <c r="C181" s="305" t="s">
        <v>445</v>
      </c>
      <c r="D181" s="305" t="s">
        <v>358</v>
      </c>
      <c r="E181" s="244">
        <v>1</v>
      </c>
      <c r="F181" s="171">
        <v>0</v>
      </c>
      <c r="G181" s="171">
        <v>1</v>
      </c>
      <c r="Y181"/>
      <c r="Z181" s="318"/>
      <c r="AA181" s="318" t="s">
        <v>457</v>
      </c>
      <c r="AB181" s="318"/>
      <c r="AC181" s="319" t="s">
        <v>441</v>
      </c>
      <c r="AD181" s="319" t="s">
        <v>442</v>
      </c>
      <c r="AE181" s="318" t="s">
        <v>251</v>
      </c>
      <c r="AF181" s="318"/>
      <c r="AG181" s="318"/>
      <c r="AI181" s="244"/>
      <c r="AJ181" s="244" t="s">
        <v>360</v>
      </c>
      <c r="AK181" s="244"/>
      <c r="AL181" s="244"/>
      <c r="AM181" s="244"/>
      <c r="AN181" s="244" t="s">
        <v>253</v>
      </c>
      <c r="AO181" s="244"/>
      <c r="AP181" s="244"/>
      <c r="AQ181" s="244" t="s">
        <v>313</v>
      </c>
    </row>
    <row r="182" ht="14.5" spans="1:60">
      <c r="B182" s="305" t="s">
        <v>464</v>
      </c>
      <c r="C182" s="305" t="s">
        <v>446</v>
      </c>
      <c r="D182" s="305" t="s">
        <v>359</v>
      </c>
      <c r="E182" s="244">
        <v>1</v>
      </c>
      <c r="F182" s="171">
        <v>0</v>
      </c>
      <c r="G182" s="171">
        <v>1</v>
      </c>
      <c r="Y182"/>
      <c r="Z182" s="318"/>
      <c r="AA182" s="318" t="s">
        <v>458</v>
      </c>
      <c r="AB182" s="318"/>
      <c r="AC182" s="319" t="s">
        <v>441</v>
      </c>
      <c r="AD182" s="319" t="s">
        <v>442</v>
      </c>
      <c r="AE182" s="318" t="s">
        <v>251</v>
      </c>
      <c r="AF182" s="318"/>
      <c r="AG182" s="318"/>
      <c r="AI182" s="244"/>
      <c r="AJ182" s="244" t="s">
        <v>361</v>
      </c>
      <c r="AK182" s="244"/>
      <c r="AL182" s="244"/>
      <c r="AM182" s="244"/>
      <c r="AN182" s="244" t="s">
        <v>253</v>
      </c>
      <c r="AO182" s="244"/>
      <c r="AP182" s="244"/>
      <c r="AQ182" s="244" t="s">
        <v>313</v>
      </c>
    </row>
    <row r="183" ht="14.5" spans="1:60">
      <c r="B183" s="305" t="s">
        <v>465</v>
      </c>
      <c r="C183" s="305" t="s">
        <v>447</v>
      </c>
      <c r="D183" s="305" t="s">
        <v>360</v>
      </c>
      <c r="E183" s="244">
        <v>1</v>
      </c>
      <c r="F183" s="171">
        <v>0</v>
      </c>
      <c r="G183" s="171">
        <v>1</v>
      </c>
      <c r="Y183"/>
      <c r="Z183" s="318"/>
      <c r="AA183" s="318" t="s">
        <v>459</v>
      </c>
      <c r="AB183" s="318"/>
      <c r="AC183" s="319" t="s">
        <v>441</v>
      </c>
      <c r="AD183" s="319" t="s">
        <v>442</v>
      </c>
      <c r="AE183" s="318" t="s">
        <v>251</v>
      </c>
      <c r="AF183" s="318"/>
      <c r="AG183" s="318"/>
      <c r="AI183" s="244"/>
      <c r="AJ183" s="244" t="s">
        <v>362</v>
      </c>
      <c r="AK183" s="244"/>
      <c r="AL183" s="244"/>
      <c r="AM183" s="244"/>
      <c r="AN183" s="244" t="s">
        <v>253</v>
      </c>
      <c r="AO183" s="244"/>
      <c r="AP183" s="244"/>
      <c r="AQ183" s="244" t="s">
        <v>313</v>
      </c>
    </row>
    <row r="184" ht="14.5" spans="1:60">
      <c r="B184" s="305" t="s">
        <v>466</v>
      </c>
      <c r="C184" s="305" t="s">
        <v>448</v>
      </c>
      <c r="D184" s="305" t="s">
        <v>361</v>
      </c>
      <c r="E184" s="244">
        <v>1</v>
      </c>
      <c r="F184" s="171">
        <v>0</v>
      </c>
      <c r="G184" s="171">
        <v>1</v>
      </c>
      <c r="Y184"/>
      <c r="Z184" s="318"/>
      <c r="AA184" s="318" t="s">
        <v>460</v>
      </c>
      <c r="AB184" s="318"/>
      <c r="AC184" s="319" t="s">
        <v>441</v>
      </c>
      <c r="AD184" s="319" t="s">
        <v>442</v>
      </c>
      <c r="AE184" s="318" t="s">
        <v>251</v>
      </c>
      <c r="AF184" s="318"/>
      <c r="AG184" s="318"/>
      <c r="AI184" s="244"/>
      <c r="AJ184" s="244" t="s">
        <v>363</v>
      </c>
      <c r="AK184" s="244"/>
      <c r="AL184" s="244"/>
      <c r="AM184" s="244"/>
      <c r="AN184" s="244" t="s">
        <v>253</v>
      </c>
      <c r="AO184" s="244"/>
      <c r="AP184" s="244"/>
      <c r="AQ184" s="244" t="s">
        <v>313</v>
      </c>
    </row>
    <row r="185" ht="14.5" spans="1:60">
      <c r="B185" s="305" t="s">
        <v>467</v>
      </c>
      <c r="C185" s="305" t="s">
        <v>450</v>
      </c>
      <c r="D185" s="305" t="s">
        <v>362</v>
      </c>
      <c r="E185" s="244">
        <v>1</v>
      </c>
      <c r="F185" s="171">
        <v>0</v>
      </c>
      <c r="G185" s="171">
        <v>1</v>
      </c>
      <c r="Y185"/>
      <c r="Z185" s="318"/>
      <c r="AA185" s="318" t="s">
        <v>461</v>
      </c>
      <c r="AB185" s="318"/>
      <c r="AC185" s="319" t="s">
        <v>441</v>
      </c>
      <c r="AD185" s="319" t="s">
        <v>442</v>
      </c>
      <c r="AE185" s="318" t="s">
        <v>251</v>
      </c>
      <c r="AF185" s="318"/>
      <c r="AG185" s="318"/>
      <c r="AI185" s="322"/>
      <c r="AJ185" s="322" t="s">
        <v>364</v>
      </c>
      <c r="AK185" s="244"/>
      <c r="AL185" s="244"/>
      <c r="AM185" s="244"/>
      <c r="AN185" s="244" t="s">
        <v>253</v>
      </c>
      <c r="AO185" s="244"/>
      <c r="AP185" s="244"/>
      <c r="AQ185" s="322" t="s">
        <v>313</v>
      </c>
    </row>
    <row r="186" ht="14.5" spans="1:60">
      <c r="B186" s="305" t="s">
        <v>468</v>
      </c>
      <c r="C186" s="305" t="s">
        <v>451</v>
      </c>
      <c r="D186" s="305" t="s">
        <v>363</v>
      </c>
      <c r="E186" s="244">
        <v>1</v>
      </c>
      <c r="F186" s="171">
        <v>0</v>
      </c>
      <c r="G186" s="171">
        <v>1</v>
      </c>
      <c r="Y186"/>
      <c r="Z186" s="318"/>
      <c r="AA186" s="318" t="s">
        <v>462</v>
      </c>
      <c r="AB186" s="318"/>
      <c r="AC186" s="319" t="s">
        <v>441</v>
      </c>
      <c r="AD186" s="319" t="s">
        <v>442</v>
      </c>
      <c r="AE186" s="318" t="s">
        <v>251</v>
      </c>
      <c r="AF186" s="318"/>
      <c r="AG186" s="318"/>
      <c r="AJ186"/>
      <c r="AK186"/>
      <c r="AL186"/>
      <c r="AM186"/>
      <c r="AN186"/>
      <c r="AO186"/>
      <c r="AP186"/>
      <c r="AQ186"/>
    </row>
    <row r="187" ht="14.5" spans="1:60">
      <c r="B187" s="305" t="s">
        <v>469</v>
      </c>
      <c r="C187" s="305" t="s">
        <v>452</v>
      </c>
      <c r="D187" s="305" t="s">
        <v>364</v>
      </c>
      <c r="E187" s="244">
        <v>1</v>
      </c>
      <c r="F187" s="171">
        <v>0</v>
      </c>
      <c r="G187" s="171">
        <v>1</v>
      </c>
      <c r="Y187"/>
      <c r="Z187" s="318"/>
      <c r="AA187" s="318" t="s">
        <v>463</v>
      </c>
      <c r="AB187" s="318"/>
      <c r="AC187" s="319" t="s">
        <v>441</v>
      </c>
      <c r="AD187" s="319" t="s">
        <v>442</v>
      </c>
      <c r="AE187" s="318" t="s">
        <v>251</v>
      </c>
      <c r="AF187" s="318"/>
      <c r="AG187" s="318"/>
      <c r="AJ187"/>
      <c r="AK187"/>
      <c r="AL187"/>
      <c r="AM187"/>
      <c r="AN187"/>
      <c r="AO187"/>
      <c r="AP187"/>
      <c r="AQ187"/>
    </row>
    <row r="188" ht="14.5" spans="1:60">
      <c r="Y188"/>
      <c r="Z188" s="318"/>
      <c r="AA188" s="318" t="s">
        <v>464</v>
      </c>
      <c r="AB188" s="318"/>
      <c r="AC188" s="319" t="s">
        <v>441</v>
      </c>
      <c r="AD188" s="319" t="s">
        <v>442</v>
      </c>
      <c r="AE188" s="318" t="s">
        <v>251</v>
      </c>
      <c r="AF188" s="318"/>
      <c r="AG188" s="318"/>
      <c r="AH188" s="192"/>
      <c r="AJ188"/>
      <c r="AK188"/>
      <c r="AL188"/>
      <c r="AM188"/>
      <c r="AN188"/>
      <c r="AO188"/>
      <c r="AP188"/>
      <c r="AQ188"/>
    </row>
    <row r="189" ht="14.5" spans="1:60">
      <c r="Y189"/>
      <c r="Z189" s="318"/>
      <c r="AA189" s="318" t="s">
        <v>465</v>
      </c>
      <c r="AB189" s="318"/>
      <c r="AC189" s="319" t="s">
        <v>441</v>
      </c>
      <c r="AD189" s="319" t="s">
        <v>442</v>
      </c>
      <c r="AE189" s="318" t="s">
        <v>251</v>
      </c>
      <c r="AF189" s="318"/>
      <c r="AG189" s="318"/>
      <c r="AJ189"/>
      <c r="AK189"/>
      <c r="AL189"/>
      <c r="AM189"/>
      <c r="AN189"/>
      <c r="AO189"/>
      <c r="AP189"/>
      <c r="AQ189"/>
    </row>
    <row r="190" ht="27.5" spans="1:60">
      <c r="A190" s="246"/>
      <c r="Y190"/>
      <c r="Z190" s="318"/>
      <c r="AA190" s="318" t="s">
        <v>466</v>
      </c>
      <c r="AB190" s="318"/>
      <c r="AC190" s="319" t="s">
        <v>441</v>
      </c>
      <c r="AD190" s="319" t="s">
        <v>442</v>
      </c>
      <c r="AE190" s="318" t="s">
        <v>251</v>
      </c>
      <c r="AF190" s="318"/>
      <c r="AG190" s="319"/>
      <c r="AJ190"/>
      <c r="AK190"/>
      <c r="AL190"/>
      <c r="AM190"/>
      <c r="AN190"/>
      <c r="AO190"/>
      <c r="AP190"/>
      <c r="AQ190"/>
    </row>
    <row r="191" ht="14.5" spans="1:60">
      <c r="Y191"/>
      <c r="Z191" s="318"/>
      <c r="AA191" s="318" t="s">
        <v>467</v>
      </c>
      <c r="AB191" s="318"/>
      <c r="AC191" s="319" t="s">
        <v>441</v>
      </c>
      <c r="AD191" s="319" t="s">
        <v>442</v>
      </c>
      <c r="AE191" s="318" t="s">
        <v>251</v>
      </c>
      <c r="AF191" s="318"/>
      <c r="AG191" s="318"/>
      <c r="AJ191"/>
      <c r="AK191"/>
      <c r="AL191"/>
      <c r="AM191"/>
      <c r="AN191"/>
      <c r="AO191"/>
      <c r="AP191"/>
      <c r="AQ191"/>
    </row>
    <row r="192" ht="14.5" spans="1:60">
      <c r="X192" s="192"/>
      <c r="Y192"/>
      <c r="Z192" s="318"/>
      <c r="AA192" s="318" t="s">
        <v>468</v>
      </c>
      <c r="AB192" s="318"/>
      <c r="AC192" s="319" t="s">
        <v>441</v>
      </c>
      <c r="AD192" s="319" t="s">
        <v>442</v>
      </c>
      <c r="AE192" s="318" t="s">
        <v>251</v>
      </c>
      <c r="AF192" s="318"/>
      <c r="AG192" s="318"/>
      <c r="AJ192"/>
      <c r="AK192"/>
      <c r="AL192"/>
      <c r="AM192"/>
      <c r="AN192"/>
      <c r="AO192"/>
      <c r="AP192"/>
      <c r="AQ192"/>
      <c r="AR192" s="192"/>
      <c r="BB192" s="192"/>
    </row>
    <row r="193" ht="14.5" spans="1:53">
      <c r="Z193" s="318"/>
      <c r="AA193" s="318" t="s">
        <v>469</v>
      </c>
      <c r="AB193" s="318"/>
      <c r="AC193" s="319" t="s">
        <v>441</v>
      </c>
      <c r="AD193" s="319" t="s">
        <v>442</v>
      </c>
      <c r="AE193" s="318" t="s">
        <v>251</v>
      </c>
      <c r="AF193" s="318"/>
      <c r="AG193" s="318"/>
    </row>
    <row r="194" ht="23" spans="1:53">
      <c r="A194" s="247"/>
      <c r="W194" s="192"/>
      <c r="Z194" s="318"/>
      <c r="AA194" s="318"/>
      <c r="AB194" s="318"/>
      <c r="AC194" s="319"/>
      <c r="AD194" s="319"/>
      <c r="AE194" s="318"/>
      <c r="AF194" s="318"/>
      <c r="AG194" s="318"/>
      <c r="BA194" s="192"/>
    </row>
    <row r="195" ht="14.5" spans="1:53">
      <c r="Z195" s="318"/>
      <c r="AA195" s="318"/>
      <c r="AB195" s="318"/>
      <c r="AC195" s="319"/>
      <c r="AD195" s="319"/>
      <c r="AE195" s="318"/>
      <c r="AF195" s="318"/>
      <c r="AG195" s="318"/>
    </row>
    <row r="196" ht="14.5" spans="1:53">
      <c r="Z196" s="318"/>
      <c r="AA196" s="318"/>
      <c r="AB196" s="318"/>
      <c r="AC196" s="319"/>
      <c r="AD196" s="319"/>
      <c r="AE196" s="318"/>
      <c r="AF196" s="318"/>
      <c r="AG196" s="318"/>
    </row>
    <row r="197" ht="14.5" spans="1:53">
      <c r="Z197" s="318"/>
      <c r="AA197" s="318"/>
      <c r="AB197" s="318"/>
      <c r="AC197" s="319"/>
      <c r="AD197" s="319"/>
      <c r="AE197" s="318"/>
      <c r="AF197" s="318"/>
      <c r="AG197" s="318"/>
    </row>
    <row r="198" ht="14.5" spans="1:53">
      <c r="Z198" s="318"/>
      <c r="AA198" s="318"/>
      <c r="AB198" s="318"/>
      <c r="AC198" s="319"/>
      <c r="AD198" s="319"/>
      <c r="AE198" s="318"/>
      <c r="AF198" s="318"/>
      <c r="AG198" s="318"/>
    </row>
    <row r="199" ht="14.5" spans="1:53">
      <c r="Z199" s="318"/>
      <c r="AA199" s="318"/>
      <c r="AB199" s="318"/>
      <c r="AC199" s="319"/>
      <c r="AD199" s="319"/>
      <c r="AE199" s="318"/>
      <c r="AF199" s="318"/>
      <c r="AG199" s="318"/>
    </row>
    <row r="200" ht="14.5" spans="1:53">
      <c r="Z200" s="318"/>
      <c r="AA200" s="318"/>
      <c r="AB200" s="318"/>
      <c r="AC200" s="319"/>
      <c r="AD200" s="319"/>
      <c r="AE200" s="318"/>
      <c r="AF200" s="318"/>
      <c r="AG200" s="318"/>
    </row>
    <row r="211" ht="21" spans="1:64">
      <c r="B211" s="248" t="s">
        <v>470</v>
      </c>
      <c r="C211" s="249"/>
      <c r="D211" s="248"/>
      <c r="E211" s="248"/>
      <c r="I211" s="208"/>
      <c r="J211" s="220" t="s">
        <v>471</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406</v>
      </c>
      <c r="C212" s="248"/>
      <c r="D212" s="248"/>
      <c r="E212" s="248"/>
      <c r="I212" s="235"/>
      <c r="J212" s="253" t="s">
        <v>409</v>
      </c>
      <c r="K212" s="254"/>
      <c r="L212" s="254"/>
      <c r="M212" s="253" t="s">
        <v>410</v>
      </c>
      <c r="N212" s="254"/>
      <c r="O212" s="254"/>
      <c r="P212" s="253" t="s">
        <v>411</v>
      </c>
      <c r="Q212" s="254"/>
      <c r="R212" s="254"/>
      <c r="S212" s="225" t="s">
        <v>412</v>
      </c>
      <c r="T212" s="208"/>
      <c r="U212" s="208"/>
      <c r="W212" s="255"/>
      <c r="X212" s="256"/>
      <c r="Y212" s="256"/>
      <c r="Z212" s="256"/>
      <c r="AA212" s="256"/>
      <c r="AB212" s="256"/>
      <c r="AC212" s="256"/>
      <c r="AD212" s="256"/>
      <c r="AE212" s="256"/>
      <c r="AF212" s="256"/>
      <c r="AH212" s="220" t="s">
        <v>472</v>
      </c>
      <c r="AI212" s="220"/>
      <c r="AJ212" s="220"/>
      <c r="AK212" s="220"/>
      <c r="AL212" s="220"/>
      <c r="AM212" s="220"/>
      <c r="AN212" s="220"/>
      <c r="AO212" s="257"/>
      <c r="AP212" s="257"/>
      <c r="AS212" s="244" t="s">
        <v>473</v>
      </c>
      <c r="AT212" s="323"/>
      <c r="AU212" s="323"/>
      <c r="AV212" s="244"/>
      <c r="AW212" s="244"/>
      <c r="AX212" s="244"/>
      <c r="AY212" s="244"/>
      <c r="AZ212" s="244"/>
      <c r="BA212" s="244"/>
      <c r="BB212" s="318"/>
      <c r="BC212" s="244" t="s">
        <v>473</v>
      </c>
      <c r="BD212" s="323"/>
      <c r="BE212" s="323"/>
      <c r="BF212" s="244"/>
      <c r="BG212" s="244"/>
      <c r="BH212" s="244"/>
      <c r="BI212" s="244"/>
      <c r="BJ212" s="244"/>
      <c r="BK212" s="244"/>
      <c r="BL212" s="244"/>
    </row>
    <row r="213" ht="13" spans="1:64">
      <c r="B213" s="248"/>
      <c r="C213" s="252"/>
      <c r="D213" s="252"/>
      <c r="E213" s="252"/>
      <c r="I213" s="235"/>
      <c r="J213" s="259" t="s">
        <v>474</v>
      </c>
      <c r="K213" s="260"/>
      <c r="L213" s="254"/>
      <c r="M213" s="259" t="s">
        <v>474</v>
      </c>
      <c r="N213" s="260"/>
      <c r="O213" s="254"/>
      <c r="P213" s="259" t="s">
        <v>474</v>
      </c>
      <c r="Q213" s="260"/>
      <c r="R213" s="254"/>
      <c r="S213" s="259" t="s">
        <v>474</v>
      </c>
      <c r="T213" s="260"/>
      <c r="U213" s="254"/>
      <c r="W213" s="255"/>
      <c r="X213" s="261"/>
      <c r="Y213" s="261"/>
      <c r="Z213" s="261"/>
      <c r="AA213" s="244" t="s">
        <v>199</v>
      </c>
      <c r="AB213" s="244"/>
      <c r="AC213" s="244"/>
      <c r="AD213" s="324"/>
      <c r="AE213" s="261"/>
      <c r="AF213" s="261"/>
      <c r="AH213" s="219"/>
      <c r="AI213" s="219" t="s">
        <v>475</v>
      </c>
      <c r="AJ213" s="219" t="s">
        <v>476</v>
      </c>
      <c r="AK213" s="219" t="s">
        <v>477</v>
      </c>
      <c r="AL213" s="219" t="s">
        <v>478</v>
      </c>
      <c r="AM213" s="262" t="s">
        <v>479</v>
      </c>
      <c r="AN213" s="219" t="s">
        <v>480</v>
      </c>
      <c r="AO213" s="219" t="s">
        <v>348</v>
      </c>
      <c r="AP213" s="219" t="s">
        <v>481</v>
      </c>
      <c r="AQ213" s="250"/>
      <c r="AS213" s="244" t="s">
        <v>257</v>
      </c>
      <c r="AT213" s="244" t="s">
        <v>292</v>
      </c>
      <c r="AU213" s="244" t="s">
        <v>299</v>
      </c>
      <c r="AV213" s="244" t="s">
        <v>301</v>
      </c>
      <c r="AW213" s="244" t="s">
        <v>303</v>
      </c>
      <c r="AX213" s="244" t="s">
        <v>306</v>
      </c>
      <c r="AY213" s="244" t="s">
        <v>308</v>
      </c>
      <c r="AZ213" s="244" t="s">
        <v>310</v>
      </c>
      <c r="BA213" s="244" t="s">
        <v>418</v>
      </c>
      <c r="BB213" s="318"/>
      <c r="BC213" s="244" t="s">
        <v>257</v>
      </c>
      <c r="BD213" s="244" t="s">
        <v>292</v>
      </c>
      <c r="BE213" s="244" t="s">
        <v>299</v>
      </c>
      <c r="BF213" s="244" t="s">
        <v>301</v>
      </c>
      <c r="BG213" s="244" t="s">
        <v>303</v>
      </c>
      <c r="BH213" s="244" t="s">
        <v>306</v>
      </c>
      <c r="BI213" s="244" t="s">
        <v>308</v>
      </c>
      <c r="BJ213" s="244" t="s">
        <v>310</v>
      </c>
      <c r="BK213" s="244" t="s">
        <v>418</v>
      </c>
      <c r="BL213" s="244" t="s">
        <v>424</v>
      </c>
    </row>
    <row r="214" ht="14.5" spans="1:64">
      <c r="B214" s="252" t="s">
        <v>257</v>
      </c>
      <c r="C214" s="252" t="s">
        <v>419</v>
      </c>
      <c r="D214" s="252" t="s">
        <v>420</v>
      </c>
      <c r="E214" s="252" t="s">
        <v>421</v>
      </c>
      <c r="I214" s="235"/>
      <c r="J214" s="259" t="s">
        <v>482</v>
      </c>
      <c r="K214" s="259" t="s">
        <v>483</v>
      </c>
      <c r="L214" s="259" t="s">
        <v>484</v>
      </c>
      <c r="M214" s="253" t="s">
        <v>482</v>
      </c>
      <c r="N214" s="263" t="s">
        <v>483</v>
      </c>
      <c r="O214" s="253" t="s">
        <v>484</v>
      </c>
      <c r="P214" s="253" t="s">
        <v>482</v>
      </c>
      <c r="Q214" s="253" t="s">
        <v>483</v>
      </c>
      <c r="R214" s="253" t="s">
        <v>484</v>
      </c>
      <c r="S214" s="253" t="s">
        <v>482</v>
      </c>
      <c r="T214" s="253" t="s">
        <v>483</v>
      </c>
      <c r="U214" s="253" t="s">
        <v>484</v>
      </c>
      <c r="W214" s="255"/>
      <c r="X214" s="261"/>
      <c r="Y214" s="261"/>
      <c r="Z214" s="261"/>
      <c r="AA214" s="325" t="str">
        <f>B214</f>
        <v>process</v>
      </c>
      <c r="AB214" s="323" t="s">
        <v>194</v>
      </c>
      <c r="AC214" s="323" t="s">
        <v>76</v>
      </c>
      <c r="AD214" s="326" t="s">
        <v>73</v>
      </c>
      <c r="AE214" s="256"/>
      <c r="AF214" s="256"/>
      <c r="AH214" s="264" t="s">
        <v>485</v>
      </c>
      <c r="AI214" s="219">
        <v>0</v>
      </c>
      <c r="AJ214" s="219">
        <v>0.98</v>
      </c>
      <c r="AK214" s="219">
        <v>0.9</v>
      </c>
      <c r="AL214" s="219">
        <v>0</v>
      </c>
      <c r="AM214" s="219">
        <v>0</v>
      </c>
      <c r="AN214" s="219">
        <v>0.9</v>
      </c>
      <c r="AO214" s="219">
        <v>0</v>
      </c>
      <c r="AP214" s="219">
        <v>0.9</v>
      </c>
      <c r="AQ214" s="250"/>
      <c r="AS214" s="244" t="s">
        <v>380</v>
      </c>
      <c r="AT214" s="244">
        <f>D263/AD215</f>
        <v>0</v>
      </c>
      <c r="AU214" s="244">
        <f>E263/AD215</f>
        <v>0</v>
      </c>
      <c r="AV214" s="244">
        <f>F263/AD215</f>
        <v>0</v>
      </c>
      <c r="AW214" s="244">
        <f>G263/AD215</f>
        <v>0</v>
      </c>
      <c r="AX214" s="244">
        <f>H263/AD215</f>
        <v>0</v>
      </c>
      <c r="AY214" s="244">
        <f>I263/AD215</f>
        <v>1</v>
      </c>
      <c r="AZ214" s="244">
        <f>J263/AD215</f>
        <v>0</v>
      </c>
      <c r="BA214" s="244" t="s">
        <v>326</v>
      </c>
      <c r="BB214" s="318"/>
      <c r="BC214" s="244" t="s">
        <v>380</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425</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5" t="str">
        <f>B216</f>
        <v>PyroRecy-LFP</v>
      </c>
      <c r="AB215" s="305" t="s">
        <v>369</v>
      </c>
      <c r="AC215" s="244" t="s">
        <v>486</v>
      </c>
      <c r="AD215" s="327">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382</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8"/>
      <c r="BC215" s="244" t="s">
        <v>382</v>
      </c>
      <c r="BD215" s="244">
        <v>5</v>
      </c>
      <c r="BE215" s="244">
        <v>5</v>
      </c>
      <c r="BF215" s="244">
        <v>5</v>
      </c>
      <c r="BG215" s="244">
        <v>5</v>
      </c>
      <c r="BH215" s="244">
        <v>5</v>
      </c>
      <c r="BI215" s="244">
        <v>5</v>
      </c>
      <c r="BJ215" s="244">
        <v>5</v>
      </c>
      <c r="BK215" s="244" t="s">
        <v>326</v>
      </c>
      <c r="BL215" s="244">
        <v>0</v>
      </c>
    </row>
    <row r="216" ht="20" spans="1:64">
      <c r="A216" s="265"/>
      <c r="B216" s="252" t="s">
        <v>380</v>
      </c>
      <c r="C216" s="252">
        <f>S216</f>
        <v>7.11384396954065</v>
      </c>
      <c r="D216" s="266">
        <f>P216</f>
        <v>5.40179852616065</v>
      </c>
      <c r="E216" s="266">
        <f>J216</f>
        <v>8.85540744288872</v>
      </c>
      <c r="I216" s="225" t="s">
        <v>487</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5" t="str">
        <f t="shared" ref="AA216:AA235" si="48">B217</f>
        <v>PyroRecy-LMO</v>
      </c>
      <c r="AB216" s="305" t="s">
        <v>370</v>
      </c>
      <c r="AC216" s="244" t="s">
        <v>486</v>
      </c>
      <c r="AD216" s="327">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383</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8"/>
      <c r="BC216" s="244" t="s">
        <v>383</v>
      </c>
      <c r="BD216" s="244">
        <v>5</v>
      </c>
      <c r="BE216" s="244">
        <v>5</v>
      </c>
      <c r="BF216" s="244">
        <v>5</v>
      </c>
      <c r="BG216" s="244">
        <v>5</v>
      </c>
      <c r="BH216" s="244">
        <v>5</v>
      </c>
      <c r="BI216" s="244">
        <v>5</v>
      </c>
      <c r="BJ216" s="244">
        <v>5</v>
      </c>
      <c r="BK216" s="244" t="s">
        <v>326</v>
      </c>
      <c r="BL216" s="244">
        <v>0</v>
      </c>
    </row>
    <row r="217" ht="20" spans="1:64">
      <c r="A217" s="269"/>
      <c r="B217" s="252" t="s">
        <v>382</v>
      </c>
      <c r="C217" s="252">
        <f t="shared" ref="C217:C222" si="51">S217</f>
        <v>7.11384396954065</v>
      </c>
      <c r="D217" s="266">
        <f t="shared" ref="D217:D222" si="52">P217</f>
        <v>5.40179852616065</v>
      </c>
      <c r="E217" s="266">
        <f t="shared" ref="E217:E222" si="53">J217</f>
        <v>8.85540744288872</v>
      </c>
      <c r="I217" s="225" t="s">
        <v>488</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5" t="str">
        <f t="shared" si="48"/>
        <v>PyroRecy-NCA</v>
      </c>
      <c r="AB217" s="305" t="s">
        <v>371</v>
      </c>
      <c r="AC217" s="244" t="s">
        <v>486</v>
      </c>
      <c r="AD217" s="327">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384</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8"/>
      <c r="BC217" s="244" t="s">
        <v>384</v>
      </c>
      <c r="BD217" s="244">
        <v>5</v>
      </c>
      <c r="BE217" s="244">
        <v>5</v>
      </c>
      <c r="BF217" s="244">
        <v>5</v>
      </c>
      <c r="BG217" s="244">
        <v>5</v>
      </c>
      <c r="BH217" s="244">
        <v>5</v>
      </c>
      <c r="BI217" s="244">
        <v>5</v>
      </c>
      <c r="BJ217" s="244">
        <v>5</v>
      </c>
      <c r="BK217" s="244" t="s">
        <v>326</v>
      </c>
      <c r="BL217" s="244">
        <v>0</v>
      </c>
    </row>
    <row r="218" ht="15.5" spans="1:64">
      <c r="B218" s="252" t="s">
        <v>383</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5" t="str">
        <f t="shared" si="48"/>
        <v>PyroRecy-NMC111</v>
      </c>
      <c r="AB218" s="305" t="s">
        <v>372</v>
      </c>
      <c r="AC218" s="244" t="s">
        <v>486</v>
      </c>
      <c r="AD218" s="327">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385</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8"/>
      <c r="BC218" s="244" t="s">
        <v>385</v>
      </c>
      <c r="BD218" s="244">
        <v>5</v>
      </c>
      <c r="BE218" s="244">
        <v>5</v>
      </c>
      <c r="BF218" s="244">
        <v>5</v>
      </c>
      <c r="BG218" s="244">
        <v>5</v>
      </c>
      <c r="BH218" s="244">
        <v>5</v>
      </c>
      <c r="BI218" s="244">
        <v>5</v>
      </c>
      <c r="BJ218" s="244">
        <v>5</v>
      </c>
      <c r="BK218" s="244" t="s">
        <v>326</v>
      </c>
      <c r="BL218" s="244">
        <v>0</v>
      </c>
    </row>
    <row r="219" ht="15.5" spans="1:64">
      <c r="B219" s="252" t="s">
        <v>384</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5" t="str">
        <f t="shared" si="48"/>
        <v>PyroRecy-NMC532</v>
      </c>
      <c r="AB219" s="305" t="s">
        <v>373</v>
      </c>
      <c r="AC219" s="244" t="s">
        <v>486</v>
      </c>
      <c r="AD219" s="327">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387</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8"/>
      <c r="BC219" s="244" t="s">
        <v>387</v>
      </c>
      <c r="BD219" s="244">
        <v>5</v>
      </c>
      <c r="BE219" s="244">
        <v>5</v>
      </c>
      <c r="BF219" s="244">
        <v>5</v>
      </c>
      <c r="BG219" s="244">
        <v>5</v>
      </c>
      <c r="BH219" s="244">
        <v>5</v>
      </c>
      <c r="BI219" s="244">
        <v>5</v>
      </c>
      <c r="BJ219" s="244">
        <v>5</v>
      </c>
      <c r="BK219" s="244" t="s">
        <v>326</v>
      </c>
      <c r="BL219" s="244">
        <v>0</v>
      </c>
    </row>
    <row r="220" ht="15.5" spans="1:64">
      <c r="B220" s="252" t="s">
        <v>385</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5" t="str">
        <f t="shared" si="48"/>
        <v>PyroRecy-NMC622</v>
      </c>
      <c r="AB220" s="305" t="s">
        <v>374</v>
      </c>
      <c r="AC220" s="244" t="s">
        <v>486</v>
      </c>
      <c r="AD220" s="327">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388</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8"/>
      <c r="BC220" s="244" t="s">
        <v>388</v>
      </c>
      <c r="BD220" s="244">
        <v>5</v>
      </c>
      <c r="BE220" s="244">
        <v>5</v>
      </c>
      <c r="BF220" s="244">
        <v>5</v>
      </c>
      <c r="BG220" s="244">
        <v>5</v>
      </c>
      <c r="BH220" s="244">
        <v>5</v>
      </c>
      <c r="BI220" s="244">
        <v>5</v>
      </c>
      <c r="BJ220" s="244">
        <v>5</v>
      </c>
      <c r="BK220" s="244" t="s">
        <v>326</v>
      </c>
      <c r="BL220" s="244">
        <v>0</v>
      </c>
    </row>
    <row r="221" ht="15.5" spans="1:64">
      <c r="B221" s="252" t="s">
        <v>387</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5" t="str">
        <f t="shared" si="48"/>
        <v>PyroRecy-NMC811</v>
      </c>
      <c r="AB221" s="305" t="s">
        <v>375</v>
      </c>
      <c r="AC221" s="244" t="s">
        <v>486</v>
      </c>
      <c r="AD221" s="327">
        <f t="shared" si="49"/>
        <v>1.1496</v>
      </c>
      <c r="AE221" s="268"/>
      <c r="AF221" s="268"/>
      <c r="AH221" s="196"/>
      <c r="AI221" s="236"/>
      <c r="AQ221" s="250"/>
      <c r="AS221" s="244" t="s">
        <v>389</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8"/>
      <c r="BC221" s="244" t="s">
        <v>389</v>
      </c>
      <c r="BD221" s="244">
        <v>5</v>
      </c>
      <c r="BE221" s="244">
        <v>5</v>
      </c>
      <c r="BF221" s="244">
        <v>5</v>
      </c>
      <c r="BG221" s="244">
        <v>5</v>
      </c>
      <c r="BH221" s="244">
        <v>5</v>
      </c>
      <c r="BI221" s="244">
        <v>5</v>
      </c>
      <c r="BJ221" s="244">
        <v>5</v>
      </c>
      <c r="BK221" s="244" t="s">
        <v>326</v>
      </c>
      <c r="BL221" s="244">
        <v>0</v>
      </c>
    </row>
    <row r="222" ht="15.5" spans="1:64">
      <c r="B222" s="252" t="s">
        <v>388</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5" t="str">
        <f t="shared" si="48"/>
        <v>HydRecy-LFP</v>
      </c>
      <c r="AB222" s="305" t="s">
        <v>369</v>
      </c>
      <c r="AC222" s="244" t="s">
        <v>486</v>
      </c>
      <c r="AD222" s="327">
        <f t="shared" si="49"/>
        <v>5.0886</v>
      </c>
      <c r="AE222" s="268"/>
      <c r="AF222" s="268"/>
      <c r="AH222" s="250"/>
      <c r="AI222" s="250"/>
      <c r="AJ222" s="250"/>
      <c r="AK222" s="250"/>
      <c r="AL222" s="250"/>
      <c r="AM222" s="250"/>
      <c r="AN222" s="250"/>
      <c r="AO222" s="250"/>
      <c r="AP222" s="250"/>
      <c r="AQ222" s="250"/>
      <c r="AS222" s="244" t="s">
        <v>390</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8"/>
      <c r="BC222" s="244" t="s">
        <v>390</v>
      </c>
      <c r="BD222" s="244">
        <v>5</v>
      </c>
      <c r="BE222" s="244">
        <v>5</v>
      </c>
      <c r="BF222" s="244">
        <v>5</v>
      </c>
      <c r="BG222" s="244">
        <v>5</v>
      </c>
      <c r="BH222" s="244">
        <v>5</v>
      </c>
      <c r="BI222" s="244">
        <v>5</v>
      </c>
      <c r="BJ222" s="244">
        <v>5</v>
      </c>
      <c r="BK222" s="244" t="s">
        <v>326</v>
      </c>
      <c r="BL222" s="244">
        <v>0</v>
      </c>
    </row>
    <row r="223" ht="21" spans="1:64">
      <c r="B223" s="252" t="s">
        <v>389</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5" t="str">
        <f t="shared" si="48"/>
        <v>HydRecy-LMO</v>
      </c>
      <c r="AB223" s="305" t="s">
        <v>370</v>
      </c>
      <c r="AC223" s="244" t="s">
        <v>486</v>
      </c>
      <c r="AD223" s="327">
        <f t="shared" si="49"/>
        <v>6.09218</v>
      </c>
      <c r="AE223" s="268"/>
      <c r="AH223" s="220" t="s">
        <v>489</v>
      </c>
      <c r="AI223" s="220"/>
      <c r="AJ223" s="220"/>
      <c r="AK223" s="220"/>
      <c r="AL223" s="220"/>
      <c r="AM223" s="220"/>
      <c r="AN223" s="220"/>
      <c r="AO223" s="250"/>
      <c r="AP223" s="250"/>
      <c r="AQ223" s="250"/>
      <c r="AS223" s="244" t="s">
        <v>391</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8"/>
      <c r="BC223" s="244" t="s">
        <v>391</v>
      </c>
      <c r="BD223" s="244">
        <v>5</v>
      </c>
      <c r="BE223" s="244">
        <v>5</v>
      </c>
      <c r="BF223" s="244">
        <v>5</v>
      </c>
      <c r="BG223" s="244">
        <v>5</v>
      </c>
      <c r="BH223" s="244">
        <v>5</v>
      </c>
      <c r="BI223" s="244">
        <v>5</v>
      </c>
      <c r="BJ223" s="244">
        <v>5</v>
      </c>
      <c r="BK223" s="244" t="s">
        <v>326</v>
      </c>
      <c r="BL223" s="244">
        <v>0</v>
      </c>
    </row>
    <row r="224" ht="13" spans="1:64">
      <c r="B224" s="252" t="s">
        <v>390</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5" t="str">
        <f t="shared" si="48"/>
        <v>HydRecy-NCA</v>
      </c>
      <c r="AB224" s="305" t="s">
        <v>371</v>
      </c>
      <c r="AC224" s="244" t="s">
        <v>486</v>
      </c>
      <c r="AD224" s="327">
        <f t="shared" si="49"/>
        <v>4.89062</v>
      </c>
      <c r="AE224" s="268"/>
      <c r="AH224" s="250"/>
      <c r="AI224" s="270" t="s">
        <v>337</v>
      </c>
      <c r="AJ224" s="270" t="s">
        <v>339</v>
      </c>
      <c r="AK224" s="270" t="s">
        <v>341</v>
      </c>
      <c r="AL224" s="270" t="s">
        <v>350</v>
      </c>
      <c r="AM224" s="270" t="s">
        <v>352</v>
      </c>
      <c r="AN224" s="270" t="s">
        <v>355</v>
      </c>
      <c r="AO224" s="270" t="s">
        <v>490</v>
      </c>
      <c r="AP224" s="250"/>
      <c r="AQ224" s="250"/>
      <c r="AS224" s="244" t="s">
        <v>392</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8"/>
      <c r="BC224" s="244" t="s">
        <v>392</v>
      </c>
      <c r="BD224" s="244">
        <v>5</v>
      </c>
      <c r="BE224" s="244">
        <v>5</v>
      </c>
      <c r="BF224" s="244">
        <v>5</v>
      </c>
      <c r="BG224" s="244">
        <v>5</v>
      </c>
      <c r="BH224" s="244">
        <v>5</v>
      </c>
      <c r="BI224" s="244">
        <v>5</v>
      </c>
      <c r="BJ224" s="244">
        <v>5</v>
      </c>
      <c r="BK224" s="244" t="s">
        <v>326</v>
      </c>
      <c r="BL224" s="244">
        <v>0</v>
      </c>
    </row>
    <row r="225" ht="13" spans="1:64">
      <c r="B225" s="252" t="s">
        <v>391</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5" t="str">
        <f t="shared" si="48"/>
        <v>HydRecy-NMC111</v>
      </c>
      <c r="AB225" s="305" t="s">
        <v>372</v>
      </c>
      <c r="AC225" s="244" t="s">
        <v>486</v>
      </c>
      <c r="AD225" s="327">
        <f t="shared" si="49"/>
        <v>5.42578</v>
      </c>
      <c r="AE225" s="268"/>
      <c r="AH225" s="250"/>
      <c r="AI225" s="270">
        <v>0.9</v>
      </c>
      <c r="AJ225" s="270">
        <v>0.98</v>
      </c>
      <c r="AK225" s="270">
        <v>0.98</v>
      </c>
      <c r="AL225" s="270">
        <v>0.98</v>
      </c>
      <c r="AM225" s="270">
        <v>0.9</v>
      </c>
      <c r="AN225" s="270">
        <v>0.9</v>
      </c>
      <c r="AO225" s="270">
        <v>0.9</v>
      </c>
      <c r="AP225" s="250"/>
      <c r="AQ225" s="250"/>
      <c r="AS225" s="244" t="s">
        <v>393</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8"/>
      <c r="BC225" s="244" t="s">
        <v>393</v>
      </c>
      <c r="BD225" s="244">
        <v>5</v>
      </c>
      <c r="BE225" s="244">
        <v>5</v>
      </c>
      <c r="BF225" s="244">
        <v>5</v>
      </c>
      <c r="BG225" s="244">
        <v>5</v>
      </c>
      <c r="BH225" s="244">
        <v>5</v>
      </c>
      <c r="BI225" s="244">
        <v>5</v>
      </c>
      <c r="BJ225" s="244">
        <v>5</v>
      </c>
      <c r="BK225" s="244" t="s">
        <v>326</v>
      </c>
      <c r="BL225" s="244">
        <v>0</v>
      </c>
    </row>
    <row r="226" ht="13" spans="1:64">
      <c r="B226" s="252" t="s">
        <v>392</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5" t="str">
        <f t="shared" si="48"/>
        <v>HydRecy-NMC532</v>
      </c>
      <c r="AB226" s="305" t="s">
        <v>373</v>
      </c>
      <c r="AC226" s="244" t="s">
        <v>486</v>
      </c>
      <c r="AD226" s="327">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394</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8"/>
      <c r="BC226" s="244" t="s">
        <v>394</v>
      </c>
      <c r="BD226" s="244">
        <v>5</v>
      </c>
      <c r="BE226" s="244">
        <v>5</v>
      </c>
      <c r="BF226" s="244">
        <v>5</v>
      </c>
      <c r="BG226" s="244">
        <v>5</v>
      </c>
      <c r="BH226" s="244">
        <v>5</v>
      </c>
      <c r="BI226" s="244">
        <v>5</v>
      </c>
      <c r="BJ226" s="244">
        <v>5</v>
      </c>
      <c r="BK226" s="244" t="s">
        <v>326</v>
      </c>
      <c r="BL226" s="244">
        <v>0</v>
      </c>
    </row>
    <row r="227" ht="13" spans="1:64">
      <c r="B227" s="252" t="s">
        <v>393</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5" t="str">
        <f t="shared" si="48"/>
        <v>HydRecy-NMC622</v>
      </c>
      <c r="AB227" s="305" t="s">
        <v>374</v>
      </c>
      <c r="AC227" s="244" t="s">
        <v>486</v>
      </c>
      <c r="AD227" s="327">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395</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8"/>
      <c r="BC227" s="244" t="s">
        <v>395</v>
      </c>
      <c r="BD227" s="244">
        <v>5</v>
      </c>
      <c r="BE227" s="244">
        <v>5</v>
      </c>
      <c r="BF227" s="244">
        <v>5</v>
      </c>
      <c r="BG227" s="244">
        <v>5</v>
      </c>
      <c r="BH227" s="244">
        <v>5</v>
      </c>
      <c r="BI227" s="244">
        <v>5</v>
      </c>
      <c r="BJ227" s="244">
        <v>5</v>
      </c>
      <c r="BK227" s="244" t="s">
        <v>326</v>
      </c>
      <c r="BL227" s="244">
        <v>0</v>
      </c>
    </row>
    <row r="228" ht="13" spans="1:64">
      <c r="B228" s="252" t="s">
        <v>394</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5" t="str">
        <f t="shared" si="48"/>
        <v>HydRecy-NMC811</v>
      </c>
      <c r="AB228" s="305" t="s">
        <v>375</v>
      </c>
      <c r="AC228" s="244" t="s">
        <v>486</v>
      </c>
      <c r="AD228" s="327">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396</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8"/>
      <c r="BC228" s="244" t="s">
        <v>396</v>
      </c>
      <c r="BD228" s="244">
        <v>5</v>
      </c>
      <c r="BE228" s="244">
        <v>5</v>
      </c>
      <c r="BF228" s="244">
        <v>5</v>
      </c>
      <c r="BG228" s="244">
        <v>5</v>
      </c>
      <c r="BH228" s="244">
        <v>5</v>
      </c>
      <c r="BI228" s="244">
        <v>5</v>
      </c>
      <c r="BJ228" s="244">
        <v>5</v>
      </c>
      <c r="BK228" s="244" t="s">
        <v>326</v>
      </c>
      <c r="BL228" s="244">
        <v>0</v>
      </c>
    </row>
    <row r="229" ht="13" spans="1:64">
      <c r="B229" s="252" t="s">
        <v>395</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5" t="str">
        <f t="shared" si="48"/>
        <v>DirRecy-LFP</v>
      </c>
      <c r="AB229" s="305" t="s">
        <v>369</v>
      </c>
      <c r="AC229" s="244" t="s">
        <v>486</v>
      </c>
      <c r="AD229" s="327">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397</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8"/>
      <c r="BC229" s="244" t="s">
        <v>397</v>
      </c>
      <c r="BD229" s="244">
        <v>5</v>
      </c>
      <c r="BE229" s="244">
        <v>5</v>
      </c>
      <c r="BF229" s="244">
        <v>5</v>
      </c>
      <c r="BG229" s="244">
        <v>5</v>
      </c>
      <c r="BH229" s="244">
        <v>5</v>
      </c>
      <c r="BI229" s="244">
        <v>5</v>
      </c>
      <c r="BJ229" s="244">
        <v>5</v>
      </c>
      <c r="BK229" s="244" t="s">
        <v>326</v>
      </c>
      <c r="BL229" s="244">
        <v>0</v>
      </c>
    </row>
    <row r="230" ht="23" spans="1:64">
      <c r="A230" s="271"/>
      <c r="B230" s="252" t="s">
        <v>396</v>
      </c>
      <c r="C230" s="252">
        <f>U216</f>
        <v>3.56556266273643</v>
      </c>
      <c r="D230" s="266">
        <f>R216</f>
        <v>2.70746042741341</v>
      </c>
      <c r="E230" s="266">
        <f>L216</f>
        <v>4.4384597641857</v>
      </c>
      <c r="I230" s="272" t="s">
        <v>491</v>
      </c>
      <c r="J230" s="239" t="s">
        <v>492</v>
      </c>
      <c r="K230" s="239"/>
      <c r="L230" s="239"/>
      <c r="M230" s="239"/>
      <c r="N230" s="239"/>
      <c r="O230" s="239"/>
      <c r="P230" s="239"/>
      <c r="Q230" s="239"/>
      <c r="R230" s="239"/>
      <c r="S230" s="208"/>
      <c r="T230" s="208"/>
      <c r="U230" s="208"/>
      <c r="W230" s="273"/>
      <c r="X230" s="273"/>
      <c r="Y230" s="273"/>
      <c r="Z230" s="273"/>
      <c r="AA230" s="305" t="str">
        <f t="shared" si="48"/>
        <v>DirRecy-LMO</v>
      </c>
      <c r="AB230" s="305" t="s">
        <v>370</v>
      </c>
      <c r="AC230" s="244" t="s">
        <v>486</v>
      </c>
      <c r="AD230" s="327">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5" t="s">
        <v>398</v>
      </c>
      <c r="AT230" s="305">
        <f t="shared" si="38"/>
        <v>0.0190192056684691</v>
      </c>
      <c r="AU230" s="305">
        <f t="shared" si="39"/>
        <v>0.125303002051091</v>
      </c>
      <c r="AV230" s="305">
        <f t="shared" si="40"/>
        <v>0.0236807756852508</v>
      </c>
      <c r="AW230" s="305">
        <f t="shared" si="41"/>
        <v>0</v>
      </c>
      <c r="AX230" s="305">
        <f t="shared" si="42"/>
        <v>0.544471377960097</v>
      </c>
      <c r="AY230" s="305">
        <f t="shared" si="43"/>
        <v>0.105165019578594</v>
      </c>
      <c r="AZ230" s="305">
        <f t="shared" si="44"/>
        <v>0.182360619056498</v>
      </c>
      <c r="BA230" s="244" t="s">
        <v>326</v>
      </c>
      <c r="BB230" s="328"/>
      <c r="BC230" s="305" t="s">
        <v>398</v>
      </c>
      <c r="BD230" s="244">
        <v>5</v>
      </c>
      <c r="BE230" s="244">
        <v>5</v>
      </c>
      <c r="BF230" s="244">
        <v>5</v>
      </c>
      <c r="BG230" s="244">
        <v>5</v>
      </c>
      <c r="BH230" s="244">
        <v>5</v>
      </c>
      <c r="BI230" s="244">
        <v>5</v>
      </c>
      <c r="BJ230" s="244">
        <v>5</v>
      </c>
      <c r="BK230" s="244" t="s">
        <v>326</v>
      </c>
      <c r="BL230" s="244">
        <v>0</v>
      </c>
    </row>
    <row r="231" ht="25" spans="1:64">
      <c r="A231" s="238"/>
      <c r="B231" s="252" t="s">
        <v>397</v>
      </c>
      <c r="C231" s="252">
        <f t="shared" ref="C231:C236" si="66">U217</f>
        <v>3.60087708179809</v>
      </c>
      <c r="D231" s="266">
        <f t="shared" ref="D231:D236" si="67">R217</f>
        <v>2.73427597641857</v>
      </c>
      <c r="E231" s="266">
        <f t="shared" ref="E231:E236" si="68">L217</f>
        <v>4.48241960206338</v>
      </c>
      <c r="I231" s="208" t="s">
        <v>493</v>
      </c>
      <c r="J231" s="208"/>
      <c r="K231" s="208"/>
      <c r="L231" s="208"/>
      <c r="M231" s="208"/>
      <c r="N231" s="208"/>
      <c r="O231" s="208"/>
      <c r="P231" s="208"/>
      <c r="Q231" s="208"/>
      <c r="R231" s="240" t="s">
        <v>436</v>
      </c>
      <c r="S231" s="208"/>
      <c r="T231" s="208"/>
      <c r="U231" s="208"/>
      <c r="AA231" s="305" t="str">
        <f t="shared" si="48"/>
        <v>DirRecy-NCA</v>
      </c>
      <c r="AB231" s="305" t="s">
        <v>371</v>
      </c>
      <c r="AC231" s="244" t="s">
        <v>486</v>
      </c>
      <c r="AD231" s="327">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5" t="s">
        <v>399</v>
      </c>
      <c r="AT231" s="305">
        <f t="shared" si="38"/>
        <v>0.0237493683678626</v>
      </c>
      <c r="AU231" s="305">
        <f t="shared" si="39"/>
        <v>0.0591207680646791</v>
      </c>
      <c r="AV231" s="305">
        <f t="shared" si="40"/>
        <v>0.0592892033013306</v>
      </c>
      <c r="AW231" s="305">
        <f t="shared" si="41"/>
        <v>0.0552467576216945</v>
      </c>
      <c r="AX231" s="305">
        <f t="shared" si="42"/>
        <v>0.523833585986188</v>
      </c>
      <c r="AY231" s="305">
        <f t="shared" si="43"/>
        <v>0.114030655213071</v>
      </c>
      <c r="AZ231" s="305">
        <f t="shared" si="44"/>
        <v>0.164729661445174</v>
      </c>
      <c r="BA231" s="244" t="s">
        <v>326</v>
      </c>
      <c r="BB231" s="328"/>
      <c r="BC231" s="305" t="s">
        <v>399</v>
      </c>
      <c r="BD231" s="244">
        <v>5</v>
      </c>
      <c r="BE231" s="244">
        <v>5</v>
      </c>
      <c r="BF231" s="244">
        <v>5</v>
      </c>
      <c r="BG231" s="244">
        <v>5</v>
      </c>
      <c r="BH231" s="244">
        <v>5</v>
      </c>
      <c r="BI231" s="244">
        <v>5</v>
      </c>
      <c r="BJ231" s="244">
        <v>5</v>
      </c>
      <c r="BK231" s="244" t="s">
        <v>326</v>
      </c>
      <c r="BL231" s="244">
        <v>0</v>
      </c>
    </row>
    <row r="232" ht="13" spans="1:64">
      <c r="B232" s="252" t="s">
        <v>398</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5" t="str">
        <f t="shared" si="48"/>
        <v>DirRecy-NMC111</v>
      </c>
      <c r="AB232" s="305" t="s">
        <v>372</v>
      </c>
      <c r="AC232" s="244" t="s">
        <v>486</v>
      </c>
      <c r="AD232" s="327">
        <f t="shared" si="49"/>
        <v>5.3433</v>
      </c>
      <c r="AE232" s="268"/>
      <c r="AH232" s="250"/>
      <c r="AI232" s="250"/>
      <c r="AJ232" s="250"/>
      <c r="AK232" s="250"/>
      <c r="AL232" s="250"/>
      <c r="AM232" s="250"/>
      <c r="AN232" s="250"/>
      <c r="AO232" s="250"/>
      <c r="AP232" s="250"/>
      <c r="AQ232" s="250"/>
      <c r="AS232" s="305" t="s">
        <v>400</v>
      </c>
      <c r="AT232" s="305">
        <f t="shared" si="38"/>
        <v>0.023267750213858</v>
      </c>
      <c r="AU232" s="305">
        <f t="shared" si="39"/>
        <v>0.0869118905047049</v>
      </c>
      <c r="AV232" s="305">
        <f t="shared" si="40"/>
        <v>0.034901625320787</v>
      </c>
      <c r="AW232" s="305">
        <f t="shared" si="41"/>
        <v>0.048759623609923</v>
      </c>
      <c r="AX232" s="305">
        <f t="shared" si="42"/>
        <v>0.525235243798118</v>
      </c>
      <c r="AY232" s="305">
        <f t="shared" si="43"/>
        <v>0.113088109495295</v>
      </c>
      <c r="AZ232" s="305">
        <f t="shared" si="44"/>
        <v>0.167835757057314</v>
      </c>
      <c r="BA232" s="244" t="s">
        <v>326</v>
      </c>
      <c r="BB232" s="328"/>
      <c r="BC232" s="305" t="s">
        <v>400</v>
      </c>
      <c r="BD232" s="244">
        <v>5</v>
      </c>
      <c r="BE232" s="244">
        <v>5</v>
      </c>
      <c r="BF232" s="244">
        <v>5</v>
      </c>
      <c r="BG232" s="244">
        <v>5</v>
      </c>
      <c r="BH232" s="244">
        <v>5</v>
      </c>
      <c r="BI232" s="244">
        <v>5</v>
      </c>
      <c r="BJ232" s="244">
        <v>5</v>
      </c>
      <c r="BK232" s="244" t="s">
        <v>326</v>
      </c>
      <c r="BL232" s="244">
        <v>0</v>
      </c>
    </row>
    <row r="233" ht="13" spans="1:64">
      <c r="B233" s="252" t="s">
        <v>399</v>
      </c>
      <c r="C233" s="252">
        <f t="shared" si="66"/>
        <v>3.56645369688037</v>
      </c>
      <c r="D233" s="266">
        <f t="shared" si="67"/>
        <v>2.70813706705969</v>
      </c>
      <c r="E233" s="266">
        <f t="shared" si="68"/>
        <v>4.43956890198968</v>
      </c>
      <c r="I233" s="208" t="s">
        <v>426</v>
      </c>
      <c r="J233" s="208">
        <v>0.095</v>
      </c>
      <c r="K233" s="208">
        <v>0</v>
      </c>
      <c r="L233" s="208">
        <v>0</v>
      </c>
      <c r="M233" s="208">
        <v>0</v>
      </c>
      <c r="N233" s="208">
        <v>3.528</v>
      </c>
      <c r="O233" s="208">
        <v>0.946</v>
      </c>
      <c r="P233" s="208">
        <v>1.085</v>
      </c>
      <c r="Q233" s="208"/>
      <c r="R233" s="240">
        <f t="shared" ref="R233:R239" si="70">SUM(J233:P233)</f>
        <v>5.654</v>
      </c>
      <c r="S233" s="208"/>
      <c r="T233" s="208"/>
      <c r="U233" s="208"/>
      <c r="AA233" s="305" t="str">
        <f t="shared" si="48"/>
        <v>DirRecy-NMC532</v>
      </c>
      <c r="AB233" s="305" t="s">
        <v>373</v>
      </c>
      <c r="AC233" s="244" t="s">
        <v>486</v>
      </c>
      <c r="AD233" s="327">
        <f t="shared" si="49"/>
        <v>5.2605</v>
      </c>
      <c r="AE233" s="268"/>
      <c r="AH233" s="250"/>
      <c r="AI233" s="250"/>
      <c r="AJ233" s="250"/>
      <c r="AK233" s="250"/>
      <c r="AL233" s="250"/>
      <c r="AM233" s="250"/>
      <c r="AN233" s="250"/>
      <c r="AO233" s="250"/>
      <c r="AP233" s="250"/>
      <c r="AQ233" s="250"/>
      <c r="AS233" s="305" t="s">
        <v>401</v>
      </c>
      <c r="AT233" s="305">
        <f t="shared" si="38"/>
        <v>0.0211659192825112</v>
      </c>
      <c r="AU233" s="305">
        <f t="shared" si="39"/>
        <v>0.0952466367713004</v>
      </c>
      <c r="AV233" s="305">
        <f t="shared" si="40"/>
        <v>0.0319282511210762</v>
      </c>
      <c r="AW233" s="305">
        <f t="shared" si="41"/>
        <v>0.0297757847533632</v>
      </c>
      <c r="AX233" s="305">
        <f t="shared" si="42"/>
        <v>0.541165919282511</v>
      </c>
      <c r="AY233" s="305">
        <f t="shared" si="43"/>
        <v>0.108520179372197</v>
      </c>
      <c r="AZ233" s="305">
        <f t="shared" si="44"/>
        <v>0.17219730941704</v>
      </c>
      <c r="BA233" s="244" t="s">
        <v>326</v>
      </c>
      <c r="BB233" s="328"/>
      <c r="BC233" s="305" t="s">
        <v>401</v>
      </c>
      <c r="BD233" s="244">
        <v>5</v>
      </c>
      <c r="BE233" s="244">
        <v>5</v>
      </c>
      <c r="BF233" s="244">
        <v>5</v>
      </c>
      <c r="BG233" s="244">
        <v>5</v>
      </c>
      <c r="BH233" s="244">
        <v>5</v>
      </c>
      <c r="BI233" s="244">
        <v>5</v>
      </c>
      <c r="BJ233" s="244">
        <v>5</v>
      </c>
      <c r="BK233" s="244" t="s">
        <v>326</v>
      </c>
      <c r="BL233" s="244">
        <v>0</v>
      </c>
    </row>
    <row r="234" ht="21" spans="1:64">
      <c r="B234" s="252" t="s">
        <v>400</v>
      </c>
      <c r="C234" s="252">
        <f t="shared" si="66"/>
        <v>3.56585961680177</v>
      </c>
      <c r="D234" s="266">
        <f t="shared" si="67"/>
        <v>2.70768592483419</v>
      </c>
      <c r="E234" s="266">
        <f t="shared" si="68"/>
        <v>4.43882940309506</v>
      </c>
      <c r="I234" s="208" t="s">
        <v>428</v>
      </c>
      <c r="J234" s="208">
        <v>0.106</v>
      </c>
      <c r="K234" s="208">
        <v>0</v>
      </c>
      <c r="L234" s="208">
        <v>0</v>
      </c>
      <c r="M234" s="208">
        <v>1.396</v>
      </c>
      <c r="N234" s="208">
        <v>3.369</v>
      </c>
      <c r="O234" s="208">
        <v>0.863</v>
      </c>
      <c r="P234" s="208">
        <v>0.911</v>
      </c>
      <c r="Q234" s="208"/>
      <c r="R234" s="240">
        <f t="shared" si="70"/>
        <v>6.645</v>
      </c>
      <c r="S234" s="208"/>
      <c r="T234" s="208"/>
      <c r="U234" s="208"/>
      <c r="AA234" s="305" t="str">
        <f t="shared" si="48"/>
        <v>DirRecy-NMC622</v>
      </c>
      <c r="AB234" s="305" t="s">
        <v>374</v>
      </c>
      <c r="AC234" s="244" t="s">
        <v>486</v>
      </c>
      <c r="AD234" s="327">
        <f t="shared" si="49"/>
        <v>5.0175</v>
      </c>
      <c r="AE234" s="268"/>
      <c r="AH234" s="220" t="s">
        <v>494</v>
      </c>
      <c r="AI234" s="220"/>
      <c r="AJ234" s="220"/>
      <c r="AK234" s="220"/>
      <c r="AL234" s="220"/>
      <c r="AM234" s="220"/>
      <c r="AN234" s="220"/>
      <c r="AS234" s="305" t="s">
        <v>402</v>
      </c>
      <c r="AT234" s="305">
        <f t="shared" si="38"/>
        <v>0.0189537528430629</v>
      </c>
      <c r="AU234" s="305">
        <f t="shared" si="39"/>
        <v>0.113722517058378</v>
      </c>
      <c r="AV234" s="305">
        <f t="shared" si="40"/>
        <v>0.0142153146322972</v>
      </c>
      <c r="AW234" s="305">
        <f t="shared" si="41"/>
        <v>0.013267626990144</v>
      </c>
      <c r="AX234" s="305">
        <f t="shared" si="42"/>
        <v>0.553639120545868</v>
      </c>
      <c r="AY234" s="305">
        <f t="shared" si="43"/>
        <v>0.104056103108415</v>
      </c>
      <c r="AZ234" s="305">
        <f t="shared" si="44"/>
        <v>0.182145564821835</v>
      </c>
      <c r="BA234" s="244" t="s">
        <v>326</v>
      </c>
      <c r="BB234" s="328"/>
      <c r="BC234" s="305" t="s">
        <v>402</v>
      </c>
      <c r="BD234" s="244">
        <v>5</v>
      </c>
      <c r="BE234" s="244">
        <v>5</v>
      </c>
      <c r="BF234" s="244">
        <v>5</v>
      </c>
      <c r="BG234" s="244">
        <v>5</v>
      </c>
      <c r="BH234" s="244">
        <v>5</v>
      </c>
      <c r="BI234" s="244">
        <v>5</v>
      </c>
      <c r="BJ234" s="244">
        <v>5</v>
      </c>
      <c r="BK234" s="244" t="s">
        <v>326</v>
      </c>
      <c r="BL234" s="244">
        <v>0</v>
      </c>
    </row>
    <row r="235" ht="13" spans="1:64">
      <c r="B235" s="252" t="s">
        <v>401</v>
      </c>
      <c r="C235" s="252">
        <f t="shared" si="66"/>
        <v>3.56556266273643</v>
      </c>
      <c r="D235" s="266">
        <f t="shared" si="67"/>
        <v>2.70746042741341</v>
      </c>
      <c r="E235" s="266">
        <f t="shared" si="68"/>
        <v>4.4384597641857</v>
      </c>
      <c r="I235" s="208" t="s">
        <v>430</v>
      </c>
      <c r="J235" s="208">
        <v>0.102</v>
      </c>
      <c r="K235" s="208">
        <v>0.672</v>
      </c>
      <c r="L235" s="208">
        <v>0.127</v>
      </c>
      <c r="M235" s="208">
        <v>0</v>
      </c>
      <c r="N235" s="208">
        <v>2.92</v>
      </c>
      <c r="O235" s="208">
        <v>0.564</v>
      </c>
      <c r="P235" s="208">
        <v>0.978</v>
      </c>
      <c r="Q235" s="208"/>
      <c r="R235" s="240">
        <f t="shared" si="70"/>
        <v>5.363</v>
      </c>
      <c r="S235" s="208"/>
      <c r="T235" s="208"/>
      <c r="U235" s="208"/>
      <c r="AA235" s="329" t="str">
        <f t="shared" si="48"/>
        <v>DirRecy-NMC811</v>
      </c>
      <c r="AB235" s="329" t="s">
        <v>375</v>
      </c>
      <c r="AC235" s="322" t="s">
        <v>486</v>
      </c>
      <c r="AD235" s="330">
        <f t="shared" si="49"/>
        <v>4.7484</v>
      </c>
      <c r="AE235" s="268"/>
      <c r="AI235" s="270" t="s">
        <v>337</v>
      </c>
      <c r="AJ235" s="270" t="s">
        <v>339</v>
      </c>
      <c r="AK235" s="270" t="s">
        <v>341</v>
      </c>
      <c r="AL235" s="270" t="s">
        <v>350</v>
      </c>
      <c r="AM235" s="270" t="s">
        <v>352</v>
      </c>
      <c r="AN235" s="270" t="s">
        <v>355</v>
      </c>
      <c r="AO235" s="270" t="s">
        <v>490</v>
      </c>
    </row>
    <row r="236" ht="13" spans="1:64">
      <c r="B236" s="275" t="s">
        <v>402</v>
      </c>
      <c r="C236" s="252">
        <f t="shared" si="66"/>
        <v>3.56496890198968</v>
      </c>
      <c r="D236" s="266">
        <f t="shared" si="67"/>
        <v>2.70700957995578</v>
      </c>
      <c r="E236" s="266">
        <f t="shared" si="68"/>
        <v>4.43772063375092</v>
      </c>
      <c r="I236" s="208" t="s">
        <v>431</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432</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433</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434</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495</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490</v>
      </c>
      <c r="V261" s="279" t="s">
        <v>443</v>
      </c>
      <c r="W261" s="279" t="s">
        <v>444</v>
      </c>
    </row>
    <row r="262" spans="2:23">
      <c r="B262" s="279" t="s">
        <v>194</v>
      </c>
      <c r="C262" s="279" t="s">
        <v>257</v>
      </c>
      <c r="D262" s="279" t="s">
        <v>185</v>
      </c>
      <c r="E262" s="279" t="s">
        <v>186</v>
      </c>
      <c r="F262" s="279" t="s">
        <v>187</v>
      </c>
      <c r="G262" s="279" t="s">
        <v>188</v>
      </c>
      <c r="H262" s="279" t="s">
        <v>189</v>
      </c>
      <c r="I262" s="279" t="s">
        <v>190</v>
      </c>
      <c r="J262" s="279" t="s">
        <v>191</v>
      </c>
      <c r="K262" s="208" t="s">
        <v>418</v>
      </c>
      <c r="L262" s="208"/>
      <c r="M262" s="279">
        <f>AB237</f>
        <v>0</v>
      </c>
      <c r="N262" s="280" t="s">
        <v>496</v>
      </c>
      <c r="O262" s="279">
        <v>0.0608</v>
      </c>
      <c r="P262" s="279">
        <v>0</v>
      </c>
      <c r="Q262" s="279">
        <v>0</v>
      </c>
      <c r="R262" s="279">
        <v>0</v>
      </c>
      <c r="S262" s="279">
        <v>2.25792</v>
      </c>
      <c r="T262" s="279">
        <v>0.60544</v>
      </c>
      <c r="U262" s="279">
        <v>0.6944</v>
      </c>
      <c r="V262" s="279" t="s">
        <v>312</v>
      </c>
      <c r="W262" s="279">
        <v>1</v>
      </c>
    </row>
    <row r="263" spans="2:23">
      <c r="B263" s="279" t="s">
        <v>497</v>
      </c>
      <c r="C263" s="279" t="e">
        <f>#REF!</f>
        <v>#REF!</v>
      </c>
      <c r="D263" s="331">
        <f>D7*AI214</f>
        <v>0</v>
      </c>
      <c r="E263" s="279">
        <v>0</v>
      </c>
      <c r="F263" s="279">
        <v>0</v>
      </c>
      <c r="G263" s="279">
        <v>0</v>
      </c>
      <c r="H263" s="279">
        <v>0</v>
      </c>
      <c r="I263" s="279">
        <v>0.8514</v>
      </c>
      <c r="J263" s="279">
        <v>0</v>
      </c>
      <c r="K263" s="208" t="s">
        <v>195</v>
      </c>
      <c r="L263" s="208"/>
      <c r="M263" s="279">
        <f t="shared" ref="M263:M268" si="77">AB238</f>
        <v>0</v>
      </c>
      <c r="N263" s="280" t="s">
        <v>498</v>
      </c>
      <c r="O263" s="279">
        <v>0.06784</v>
      </c>
      <c r="P263" s="279">
        <v>0</v>
      </c>
      <c r="Q263" s="279">
        <v>0</v>
      </c>
      <c r="R263" s="279">
        <v>0.89344</v>
      </c>
      <c r="S263" s="279">
        <v>2.15616</v>
      </c>
      <c r="T263" s="279">
        <v>0.55232</v>
      </c>
      <c r="U263" s="279">
        <v>0.58304</v>
      </c>
      <c r="V263" s="279" t="s">
        <v>315</v>
      </c>
      <c r="W263" s="279">
        <v>1</v>
      </c>
    </row>
    <row r="264" spans="2:23">
      <c r="B264" s="279" t="s">
        <v>499</v>
      </c>
      <c r="C264" s="279" t="e">
        <f>#REF!</f>
        <v>#REF!</v>
      </c>
      <c r="D264" s="279">
        <v>0</v>
      </c>
      <c r="E264" s="279">
        <v>0</v>
      </c>
      <c r="F264" s="279">
        <v>0</v>
      </c>
      <c r="G264" s="279">
        <v>0</v>
      </c>
      <c r="H264" s="279">
        <v>0</v>
      </c>
      <c r="I264" s="279">
        <v>0.7767</v>
      </c>
      <c r="J264" s="279">
        <v>0</v>
      </c>
      <c r="K264" s="208" t="s">
        <v>195</v>
      </c>
      <c r="L264" s="208"/>
      <c r="M264" s="279">
        <f t="shared" si="77"/>
        <v>0</v>
      </c>
      <c r="N264" s="280" t="s">
        <v>500</v>
      </c>
      <c r="O264" s="279">
        <v>0.06528</v>
      </c>
      <c r="P264" s="279">
        <v>0.43008</v>
      </c>
      <c r="Q264" s="279">
        <v>0.08128</v>
      </c>
      <c r="R264" s="279">
        <v>0</v>
      </c>
      <c r="S264" s="279">
        <v>1.8688</v>
      </c>
      <c r="T264" s="279">
        <v>0.36096</v>
      </c>
      <c r="U264" s="279">
        <v>0.62592</v>
      </c>
      <c r="V264" s="279" t="s">
        <v>320</v>
      </c>
      <c r="W264" s="279">
        <v>1</v>
      </c>
    </row>
    <row r="265" spans="2:23">
      <c r="B265" s="279" t="s">
        <v>501</v>
      </c>
      <c r="C265" s="279" t="e">
        <f>#REF!</f>
        <v>#REF!</v>
      </c>
      <c r="D265" s="279">
        <v>0</v>
      </c>
      <c r="E265" s="279">
        <v>0.65856</v>
      </c>
      <c r="F265" s="279">
        <v>0.1143</v>
      </c>
      <c r="G265" s="279">
        <v>0</v>
      </c>
      <c r="H265" s="279">
        <v>0</v>
      </c>
      <c r="I265" s="279">
        <v>0.5076</v>
      </c>
      <c r="J265" s="279">
        <v>0</v>
      </c>
      <c r="K265" s="208" t="s">
        <v>195</v>
      </c>
      <c r="L265" s="208"/>
      <c r="M265" s="279">
        <f t="shared" si="77"/>
        <v>0</v>
      </c>
      <c r="N265" s="280" t="s">
        <v>502</v>
      </c>
      <c r="O265" s="279">
        <v>0.09024</v>
      </c>
      <c r="P265" s="279">
        <v>0.22464</v>
      </c>
      <c r="Q265" s="279">
        <v>0.22528</v>
      </c>
      <c r="R265" s="279">
        <v>0.20992</v>
      </c>
      <c r="S265" s="279">
        <v>1.9904</v>
      </c>
      <c r="T265" s="279">
        <v>0.43328</v>
      </c>
      <c r="U265" s="279">
        <v>0.62592</v>
      </c>
      <c r="V265" s="279" t="s">
        <v>324</v>
      </c>
      <c r="W265" s="279">
        <v>1</v>
      </c>
    </row>
    <row r="266" spans="2:23">
      <c r="B266" s="279" t="s">
        <v>503</v>
      </c>
      <c r="C266" s="279" t="e">
        <f>#REF!</f>
        <v>#REF!</v>
      </c>
      <c r="D266" s="279">
        <v>0</v>
      </c>
      <c r="E266" s="279">
        <v>0.34398</v>
      </c>
      <c r="F266" s="279">
        <v>0.3168</v>
      </c>
      <c r="G266" s="279">
        <v>0</v>
      </c>
      <c r="H266" s="279">
        <v>0</v>
      </c>
      <c r="I266" s="279">
        <v>0.6093</v>
      </c>
      <c r="J266" s="279">
        <v>0</v>
      </c>
      <c r="K266" s="208" t="s">
        <v>195</v>
      </c>
      <c r="L266" s="208"/>
      <c r="M266" s="279">
        <f t="shared" si="77"/>
        <v>0</v>
      </c>
      <c r="N266" s="280" t="s">
        <v>504</v>
      </c>
      <c r="O266" s="279">
        <v>0.08704</v>
      </c>
      <c r="P266" s="279">
        <v>0.32512</v>
      </c>
      <c r="Q266" s="279">
        <v>0.13056</v>
      </c>
      <c r="R266" s="279">
        <v>0.1824</v>
      </c>
      <c r="S266" s="279">
        <v>1.9648</v>
      </c>
      <c r="T266" s="279">
        <v>0.42304</v>
      </c>
      <c r="U266" s="279">
        <v>0.62784</v>
      </c>
      <c r="V266" s="279" t="s">
        <v>327</v>
      </c>
      <c r="W266" s="279">
        <v>1</v>
      </c>
    </row>
    <row r="267" spans="2:23">
      <c r="B267" s="279" t="s">
        <v>505</v>
      </c>
      <c r="C267" s="279" t="e">
        <f>#REF!</f>
        <v>#REF!</v>
      </c>
      <c r="D267" s="279">
        <v>0</v>
      </c>
      <c r="E267" s="279">
        <v>0.49784</v>
      </c>
      <c r="F267" s="279">
        <v>0.1836</v>
      </c>
      <c r="G267" s="279">
        <v>0</v>
      </c>
      <c r="H267" s="279">
        <v>0</v>
      </c>
      <c r="I267" s="279">
        <v>0.5949</v>
      </c>
      <c r="J267" s="279">
        <v>0</v>
      </c>
      <c r="K267" s="208" t="s">
        <v>195</v>
      </c>
      <c r="L267" s="208"/>
      <c r="M267" s="279">
        <f t="shared" si="77"/>
        <v>0</v>
      </c>
      <c r="N267" s="280" t="s">
        <v>506</v>
      </c>
      <c r="O267" s="279">
        <v>0.07552</v>
      </c>
      <c r="P267" s="279">
        <v>0.33984</v>
      </c>
      <c r="Q267" s="279">
        <v>0.11392</v>
      </c>
      <c r="R267" s="279">
        <v>0.10624</v>
      </c>
      <c r="S267" s="279">
        <v>1.93088</v>
      </c>
      <c r="T267" s="279">
        <v>0.3872</v>
      </c>
      <c r="U267" s="279">
        <v>0.6144</v>
      </c>
      <c r="V267" s="279" t="s">
        <v>329</v>
      </c>
      <c r="W267" s="279">
        <v>1</v>
      </c>
    </row>
    <row r="268" spans="2:23">
      <c r="B268" s="279" t="s">
        <v>507</v>
      </c>
      <c r="C268" s="279" t="e">
        <f>#REF!</f>
        <v>#REF!</v>
      </c>
      <c r="D268" s="279">
        <v>0</v>
      </c>
      <c r="E268" s="279">
        <v>0.52038</v>
      </c>
      <c r="F268" s="279">
        <v>0.1602</v>
      </c>
      <c r="G268" s="279">
        <v>0</v>
      </c>
      <c r="H268" s="279">
        <v>0</v>
      </c>
      <c r="I268" s="279">
        <v>0.5445</v>
      </c>
      <c r="J268" s="279">
        <v>0</v>
      </c>
      <c r="K268" s="208" t="s">
        <v>195</v>
      </c>
      <c r="L268" s="208"/>
      <c r="M268" s="279">
        <f t="shared" si="77"/>
        <v>0</v>
      </c>
      <c r="N268" s="280" t="s">
        <v>508</v>
      </c>
      <c r="O268" s="279">
        <v>0.064</v>
      </c>
      <c r="P268" s="279">
        <v>0.384</v>
      </c>
      <c r="Q268" s="279">
        <v>0.048</v>
      </c>
      <c r="R268" s="279">
        <v>0.0448</v>
      </c>
      <c r="S268" s="279">
        <v>1.86944</v>
      </c>
      <c r="T268" s="279">
        <v>0.35136</v>
      </c>
      <c r="U268" s="279">
        <v>0.61504</v>
      </c>
      <c r="V268" s="279" t="s">
        <v>331</v>
      </c>
      <c r="W268" s="279">
        <v>1</v>
      </c>
    </row>
    <row r="269" spans="2:23">
      <c r="B269" s="279" t="s">
        <v>509</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510</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511</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512</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513</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514</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515</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516</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517</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518</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519</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520</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521</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522</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523</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524</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526</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527</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406</v>
      </c>
      <c r="AR123" s="214"/>
      <c r="AS123" s="214"/>
      <c r="AT123" s="214"/>
    </row>
    <row r="124" spans="1:46">
      <c r="AA124" s="215" t="s">
        <v>403</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404</v>
      </c>
      <c r="D126" s="218"/>
      <c r="E126" s="218"/>
      <c r="F126" s="218"/>
      <c r="H126" s="208"/>
      <c r="I126" s="219"/>
      <c r="J126" s="220" t="s">
        <v>405</v>
      </c>
      <c r="K126" s="220"/>
      <c r="L126" s="220"/>
      <c r="M126" s="220"/>
      <c r="N126" s="220"/>
      <c r="O126" s="220"/>
      <c r="P126" s="220"/>
      <c r="Q126" s="220"/>
      <c r="R126" s="220"/>
      <c r="S126" s="208"/>
      <c r="T126" s="208"/>
      <c r="U126" s="208"/>
      <c r="AQ126" s="214"/>
      <c r="AR126" s="214"/>
      <c r="AS126" s="214"/>
      <c r="AT126" s="214"/>
    </row>
    <row r="127" ht="14.5" spans="1:46">
      <c r="B127" s="216"/>
      <c r="C127" s="221" t="s">
        <v>406</v>
      </c>
      <c r="D127" s="218"/>
      <c r="E127" s="218"/>
      <c r="F127" s="218"/>
      <c r="H127" s="222" t="s">
        <v>407</v>
      </c>
      <c r="I127" s="223" t="s">
        <v>408</v>
      </c>
      <c r="J127" s="223" t="s">
        <v>409</v>
      </c>
      <c r="K127" s="223" t="s">
        <v>410</v>
      </c>
      <c r="L127" s="223" t="s">
        <v>411</v>
      </c>
      <c r="M127" s="224" t="s">
        <v>409</v>
      </c>
      <c r="N127" s="224" t="s">
        <v>410</v>
      </c>
      <c r="O127" s="224" t="s">
        <v>411</v>
      </c>
      <c r="P127" s="223" t="s">
        <v>409</v>
      </c>
      <c r="Q127" s="223" t="s">
        <v>410</v>
      </c>
      <c r="R127" s="223" t="s">
        <v>411</v>
      </c>
      <c r="S127" s="208"/>
      <c r="T127" s="225" t="s">
        <v>412</v>
      </c>
      <c r="U127" s="208"/>
      <c r="AA127" s="218"/>
      <c r="AB127" s="218"/>
      <c r="AC127" s="218" t="s">
        <v>406</v>
      </c>
      <c r="AD127" s="218"/>
      <c r="AE127" s="218"/>
      <c r="AF127" s="218"/>
      <c r="AI127" s="218"/>
      <c r="AJ127" s="218"/>
      <c r="AK127" s="218" t="s">
        <v>406</v>
      </c>
      <c r="AL127" s="218"/>
      <c r="AM127" s="218"/>
      <c r="AN127" s="218"/>
      <c r="AQ127" s="214"/>
      <c r="AR127" s="214"/>
      <c r="AS127" s="214"/>
      <c r="AT127" s="214"/>
    </row>
    <row r="128" ht="20" spans="1:46">
      <c r="A128" s="226"/>
      <c r="B128" s="218"/>
      <c r="C128" s="218"/>
      <c r="D128" s="221"/>
      <c r="E128" s="221"/>
      <c r="F128" s="221"/>
      <c r="H128" s="208" t="s">
        <v>413</v>
      </c>
      <c r="I128" s="223" t="s">
        <v>414</v>
      </c>
      <c r="J128" s="227" t="s">
        <v>415</v>
      </c>
      <c r="K128" s="228"/>
      <c r="L128" s="229"/>
      <c r="M128" s="230" t="s">
        <v>416</v>
      </c>
      <c r="N128" s="231"/>
      <c r="O128" s="232"/>
      <c r="P128" s="227" t="s">
        <v>417</v>
      </c>
      <c r="Q128" s="228"/>
      <c r="R128" s="229"/>
      <c r="S128" s="208"/>
      <c r="T128" s="208" t="s">
        <v>416</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418</v>
      </c>
      <c r="C129" s="221" t="s">
        <v>257</v>
      </c>
      <c r="D129" s="221" t="s">
        <v>419</v>
      </c>
      <c r="E129" s="221" t="s">
        <v>420</v>
      </c>
      <c r="F129" s="221" t="s">
        <v>421</v>
      </c>
      <c r="H129" s="208"/>
      <c r="I129" s="223" t="s">
        <v>422</v>
      </c>
      <c r="J129" s="227" t="s">
        <v>423</v>
      </c>
      <c r="K129" s="228"/>
      <c r="L129" s="229"/>
      <c r="M129" s="230" t="s">
        <v>423</v>
      </c>
      <c r="N129" s="231"/>
      <c r="O129" s="232"/>
      <c r="P129" s="227" t="s">
        <v>423</v>
      </c>
      <c r="Q129" s="228"/>
      <c r="R129" s="229"/>
      <c r="S129" s="208"/>
      <c r="T129" s="208" t="s">
        <v>423</v>
      </c>
      <c r="U129" s="208"/>
      <c r="AA129" s="218" t="s">
        <v>418</v>
      </c>
      <c r="AB129" s="218" t="s">
        <v>424</v>
      </c>
      <c r="AC129" s="218" t="s">
        <v>257</v>
      </c>
      <c r="AD129" s="218" t="s">
        <v>419</v>
      </c>
      <c r="AE129" s="218" t="s">
        <v>420</v>
      </c>
      <c r="AF129" s="218" t="s">
        <v>421</v>
      </c>
      <c r="AI129" s="218" t="s">
        <v>418</v>
      </c>
      <c r="AJ129" s="218" t="s">
        <v>424</v>
      </c>
      <c r="AK129" s="218" t="s">
        <v>257</v>
      </c>
      <c r="AL129" s="218" t="s">
        <v>419</v>
      </c>
      <c r="AM129" s="218" t="s">
        <v>420</v>
      </c>
      <c r="AN129" s="218" t="s">
        <v>421</v>
      </c>
      <c r="AQ129" s="213" t="str">
        <f>C22</f>
        <v>Tra_EV_Batt-LFP_fromrecy</v>
      </c>
      <c r="AR129" s="214">
        <v>0.001</v>
      </c>
      <c r="AS129" s="214">
        <v>0.001</v>
      </c>
      <c r="AT129" s="214">
        <v>5</v>
      </c>
    </row>
    <row r="130" ht="13" spans="1:46">
      <c r="B130" s="218" t="s">
        <v>365</v>
      </c>
      <c r="C130" s="218"/>
      <c r="D130" s="218"/>
      <c r="E130" s="218"/>
      <c r="F130" s="218"/>
      <c r="H130" s="208">
        <v>0.2</v>
      </c>
      <c r="I130" s="223" t="s">
        <v>425</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426</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427</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426</v>
      </c>
      <c r="AD131" s="218">
        <f t="shared" ref="AD131:AF131" si="17">D131*0.313</f>
        <v>25.1599342966667</v>
      </c>
      <c r="AE131" s="218">
        <f t="shared" si="17"/>
        <v>17.36734649</v>
      </c>
      <c r="AF131" s="218">
        <f t="shared" si="17"/>
        <v>33.43624065</v>
      </c>
      <c r="AI131" s="218" t="s">
        <v>195</v>
      </c>
      <c r="AJ131" s="218">
        <v>0</v>
      </c>
      <c r="AK131" s="218" t="s">
        <v>426</v>
      </c>
      <c r="AL131" s="218">
        <v>5</v>
      </c>
      <c r="AM131" s="218">
        <v>5</v>
      </c>
      <c r="AN131" s="218">
        <v>5</v>
      </c>
      <c r="AQ131" s="213" t="str">
        <f t="shared" si="15"/>
        <v>Tra_EV_Batt-NCA_fromrecy</v>
      </c>
      <c r="AR131" s="214">
        <v>0.001</v>
      </c>
      <c r="AS131" s="214">
        <v>0.001</v>
      </c>
      <c r="AT131" s="214">
        <v>5</v>
      </c>
    </row>
    <row r="132" ht="13" spans="1:46">
      <c r="B132" s="218" t="s">
        <v>195</v>
      </c>
      <c r="C132" s="221" t="s">
        <v>428</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429</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428</v>
      </c>
      <c r="AD132" s="218">
        <f t="shared" ref="AD132:AF132" si="18">D132*0.313</f>
        <v>29.8628918</v>
      </c>
      <c r="AE132" s="218">
        <f t="shared" si="18"/>
        <v>20.75992845</v>
      </c>
      <c r="AF132" s="218">
        <f t="shared" si="18"/>
        <v>39.52049115</v>
      </c>
      <c r="AI132" s="218" t="s">
        <v>195</v>
      </c>
      <c r="AJ132" s="218">
        <v>0</v>
      </c>
      <c r="AK132" s="218" t="s">
        <v>428</v>
      </c>
      <c r="AL132" s="218">
        <v>5</v>
      </c>
      <c r="AM132" s="218">
        <v>5</v>
      </c>
      <c r="AN132" s="218">
        <v>5</v>
      </c>
      <c r="AQ132" s="213" t="str">
        <f t="shared" si="15"/>
        <v>Tra_EV_Batt-NMC111_fromrecy</v>
      </c>
      <c r="AR132" s="214">
        <v>0.001</v>
      </c>
      <c r="AS132" s="214">
        <v>0.001</v>
      </c>
      <c r="AT132" s="214">
        <v>5</v>
      </c>
    </row>
    <row r="133" ht="13" spans="1:46">
      <c r="B133" s="218" t="s">
        <v>195</v>
      </c>
      <c r="C133" s="221" t="s">
        <v>430</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430</v>
      </c>
      <c r="AD133" s="218">
        <f t="shared" ref="AD133:AF133" si="19">D133*0.313</f>
        <v>26.7138290566668</v>
      </c>
      <c r="AE133" s="218">
        <f t="shared" si="19"/>
        <v>17.55976011</v>
      </c>
      <c r="AF133" s="218">
        <f t="shared" si="19"/>
        <v>36.41065148</v>
      </c>
      <c r="AI133" s="218" t="s">
        <v>195</v>
      </c>
      <c r="AJ133" s="218">
        <v>0</v>
      </c>
      <c r="AK133" s="218" t="s">
        <v>430</v>
      </c>
      <c r="AL133" s="218">
        <v>5</v>
      </c>
      <c r="AM133" s="218">
        <v>5</v>
      </c>
      <c r="AN133" s="218">
        <v>5</v>
      </c>
      <c r="AQ133" s="213" t="str">
        <f t="shared" si="15"/>
        <v>Tra_EV_Batt-NMC532_fromrecy</v>
      </c>
      <c r="AR133" s="214">
        <v>0.001</v>
      </c>
      <c r="AS133" s="214">
        <v>0.001</v>
      </c>
      <c r="AT133" s="214">
        <v>5</v>
      </c>
    </row>
    <row r="134" ht="30" spans="1:46">
      <c r="A134" s="237"/>
      <c r="B134" s="218" t="s">
        <v>195</v>
      </c>
      <c r="C134" s="221" t="s">
        <v>431</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431</v>
      </c>
      <c r="AD134" s="218">
        <f t="shared" ref="AD134:AF134" si="20">D134*0.313</f>
        <v>26.76825141</v>
      </c>
      <c r="AE134" s="218">
        <f t="shared" si="20"/>
        <v>17.39012663</v>
      </c>
      <c r="AF134" s="218">
        <f t="shared" si="20"/>
        <v>36.71624903</v>
      </c>
      <c r="AI134" s="218" t="s">
        <v>195</v>
      </c>
      <c r="AJ134" s="218">
        <v>0</v>
      </c>
      <c r="AK134" s="218" t="s">
        <v>431</v>
      </c>
      <c r="AL134" s="218">
        <v>5</v>
      </c>
      <c r="AM134" s="218">
        <v>5</v>
      </c>
      <c r="AN134" s="218">
        <v>5</v>
      </c>
      <c r="AQ134" s="213" t="str">
        <f t="shared" si="15"/>
        <v>Tra_EV_Batt-NMC622_fromrecy</v>
      </c>
      <c r="AR134" s="214">
        <v>0.001</v>
      </c>
      <c r="AS134" s="214">
        <v>0.001</v>
      </c>
      <c r="AT134" s="214">
        <v>5</v>
      </c>
    </row>
    <row r="135" ht="13" spans="1:46">
      <c r="B135" s="218" t="s">
        <v>195</v>
      </c>
      <c r="C135" s="221" t="s">
        <v>432</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432</v>
      </c>
      <c r="AD135" s="218">
        <f t="shared" ref="AD135:AF135" si="21">D135*0.313</f>
        <v>28.1990829166668</v>
      </c>
      <c r="AE135" s="218">
        <f t="shared" si="21"/>
        <v>18.5820901</v>
      </c>
      <c r="AF135" s="218">
        <f t="shared" si="21"/>
        <v>38.39541265</v>
      </c>
      <c r="AI135" s="218" t="s">
        <v>195</v>
      </c>
      <c r="AJ135" s="218">
        <v>0</v>
      </c>
      <c r="AK135" s="218" t="s">
        <v>432</v>
      </c>
      <c r="AL135" s="218">
        <v>5</v>
      </c>
      <c r="AM135" s="218">
        <v>5</v>
      </c>
      <c r="AN135" s="218">
        <v>5</v>
      </c>
      <c r="AQ135" s="213" t="str">
        <f t="shared" si="15"/>
        <v>Tra_EV_Batt-NMC811_fromrecy</v>
      </c>
      <c r="AR135" s="214">
        <v>0.001</v>
      </c>
      <c r="AS135" s="214">
        <v>0.001</v>
      </c>
      <c r="AT135" s="214">
        <v>5</v>
      </c>
    </row>
    <row r="136" ht="25" spans="1:46">
      <c r="A136" s="238"/>
      <c r="B136" s="218" t="s">
        <v>195</v>
      </c>
      <c r="C136" s="221" t="s">
        <v>433</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433</v>
      </c>
      <c r="AD136" s="218">
        <f t="shared" ref="AD136:AF136" si="22">D136*0.313</f>
        <v>27.2066538166668</v>
      </c>
      <c r="AE136" s="218">
        <f t="shared" si="22"/>
        <v>17.94665315</v>
      </c>
      <c r="AF136" s="218">
        <f t="shared" si="22"/>
        <v>37.0192299</v>
      </c>
      <c r="AI136" s="218" t="s">
        <v>195</v>
      </c>
      <c r="AJ136" s="218">
        <v>0</v>
      </c>
      <c r="AK136" s="218" t="s">
        <v>433</v>
      </c>
      <c r="AL136" s="218">
        <v>5</v>
      </c>
      <c r="AM136" s="218">
        <v>5</v>
      </c>
      <c r="AN136" s="218">
        <v>5</v>
      </c>
    </row>
    <row r="137" ht="13" spans="1:46">
      <c r="B137" s="218" t="s">
        <v>195</v>
      </c>
      <c r="C137" s="221" t="s">
        <v>434</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434</v>
      </c>
      <c r="AD137" s="218">
        <f t="shared" ref="AD137:AF137" si="23">D137*0.313</f>
        <v>28.0299846666668</v>
      </c>
      <c r="AE137" s="218">
        <f t="shared" si="23"/>
        <v>18.77670724</v>
      </c>
      <c r="AF137" s="218">
        <f t="shared" si="23"/>
        <v>37.83372476</v>
      </c>
      <c r="AI137" s="218" t="s">
        <v>195</v>
      </c>
      <c r="AJ137" s="218">
        <v>0</v>
      </c>
      <c r="AK137" s="218" t="s">
        <v>434</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435</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436</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426</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428</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430</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431</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432</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433</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434</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437</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443</v>
      </c>
      <c r="D161" s="244"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445</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446</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447</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448</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450</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451</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452</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470</v>
      </c>
      <c r="C211" s="249"/>
      <c r="D211" s="248"/>
      <c r="E211" s="248"/>
      <c r="I211" s="208"/>
      <c r="J211" s="220" t="s">
        <v>471</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406</v>
      </c>
      <c r="C212" s="248"/>
      <c r="D212" s="248"/>
      <c r="E212" s="248"/>
      <c r="I212" s="235"/>
      <c r="J212" s="253" t="s">
        <v>409</v>
      </c>
      <c r="K212" s="254"/>
      <c r="L212" s="254"/>
      <c r="M212" s="253" t="s">
        <v>410</v>
      </c>
      <c r="N212" s="254"/>
      <c r="O212" s="254"/>
      <c r="P212" s="253" t="s">
        <v>411</v>
      </c>
      <c r="Q212" s="254"/>
      <c r="R212" s="254"/>
      <c r="S212" s="225" t="s">
        <v>412</v>
      </c>
      <c r="T212" s="208"/>
      <c r="U212" s="208"/>
      <c r="W212" s="255"/>
      <c r="X212" s="256"/>
      <c r="Y212" s="256"/>
      <c r="Z212" s="256"/>
      <c r="AA212" s="256"/>
      <c r="AB212" s="256"/>
      <c r="AC212" s="256"/>
      <c r="AD212" s="256"/>
      <c r="AE212" s="256"/>
      <c r="AF212" s="256"/>
      <c r="AH212" s="220" t="s">
        <v>472</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474</v>
      </c>
      <c r="K213" s="260"/>
      <c r="L213" s="254"/>
      <c r="M213" s="259" t="s">
        <v>474</v>
      </c>
      <c r="N213" s="260"/>
      <c r="O213" s="254"/>
      <c r="P213" s="259" t="s">
        <v>474</v>
      </c>
      <c r="Q213" s="260"/>
      <c r="R213" s="254"/>
      <c r="S213" s="259" t="s">
        <v>474</v>
      </c>
      <c r="T213" s="260"/>
      <c r="U213" s="254"/>
      <c r="W213" s="255"/>
      <c r="X213" s="261"/>
      <c r="Y213" s="261"/>
      <c r="Z213" s="261"/>
      <c r="AD213" s="261"/>
      <c r="AE213" s="261"/>
      <c r="AF213" s="261"/>
      <c r="AH213" s="219"/>
      <c r="AI213" s="219" t="s">
        <v>475</v>
      </c>
      <c r="AJ213" s="219" t="s">
        <v>476</v>
      </c>
      <c r="AK213" s="219" t="s">
        <v>477</v>
      </c>
      <c r="AL213" s="219" t="s">
        <v>478</v>
      </c>
      <c r="AM213" s="262" t="s">
        <v>479</v>
      </c>
      <c r="AN213" s="219" t="s">
        <v>480</v>
      </c>
      <c r="AO213" s="219" t="s">
        <v>348</v>
      </c>
      <c r="AP213" s="219" t="s">
        <v>481</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419</v>
      </c>
      <c r="D214" s="252" t="s">
        <v>420</v>
      </c>
      <c r="E214" s="252" t="s">
        <v>421</v>
      </c>
      <c r="I214" s="235"/>
      <c r="J214" s="259" t="s">
        <v>482</v>
      </c>
      <c r="K214" s="259" t="s">
        <v>483</v>
      </c>
      <c r="L214" s="259" t="s">
        <v>484</v>
      </c>
      <c r="M214" s="253" t="s">
        <v>482</v>
      </c>
      <c r="N214" s="263" t="s">
        <v>483</v>
      </c>
      <c r="O214" s="253" t="s">
        <v>484</v>
      </c>
      <c r="P214" s="253" t="s">
        <v>482</v>
      </c>
      <c r="Q214" s="253" t="s">
        <v>483</v>
      </c>
      <c r="R214" s="253" t="s">
        <v>484</v>
      </c>
      <c r="S214" s="253" t="s">
        <v>482</v>
      </c>
      <c r="T214" s="253" t="s">
        <v>483</v>
      </c>
      <c r="U214" s="253" t="s">
        <v>484</v>
      </c>
      <c r="W214" s="255"/>
      <c r="X214" s="261"/>
      <c r="Y214" s="261"/>
      <c r="Z214" s="261"/>
      <c r="AA214" s="256"/>
      <c r="AB214" s="192"/>
      <c r="AC214" s="192"/>
      <c r="AD214" s="256"/>
      <c r="AE214" s="256"/>
      <c r="AF214" s="256"/>
      <c r="AH214" s="264" t="s">
        <v>485</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425</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380</v>
      </c>
      <c r="C216" s="252">
        <f t="shared" ref="C216:C222" si="48">S216</f>
        <v>7.11384396954065</v>
      </c>
      <c r="D216" s="266">
        <f t="shared" ref="D216:D222" si="49">P216</f>
        <v>5.40179852616065</v>
      </c>
      <c r="E216" s="266">
        <f t="shared" ref="E216:E222" si="50">J216</f>
        <v>8.85540744288872</v>
      </c>
      <c r="I216" s="225" t="s">
        <v>487</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382</v>
      </c>
      <c r="C217" s="252">
        <f t="shared" si="48"/>
        <v>7.11384396954065</v>
      </c>
      <c r="D217" s="266">
        <f t="shared" si="49"/>
        <v>5.40179852616065</v>
      </c>
      <c r="E217" s="266">
        <f t="shared" si="50"/>
        <v>8.85540744288872</v>
      </c>
      <c r="I217" s="225" t="s">
        <v>488</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383</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384</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385</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387</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388</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389</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489</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390</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490</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391</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392</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393</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394</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395</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396</v>
      </c>
      <c r="C230" s="252">
        <f t="shared" ref="C230:C236" si="70">U216</f>
        <v>3.56556266273643</v>
      </c>
      <c r="D230" s="266">
        <f t="shared" ref="D230:D236" si="71">R216</f>
        <v>2.70746042741341</v>
      </c>
      <c r="E230" s="266">
        <f t="shared" ref="E230:E236" si="72">L216</f>
        <v>4.4384597641857</v>
      </c>
      <c r="I230" s="272" t="s">
        <v>491</v>
      </c>
      <c r="J230" s="239" t="s">
        <v>492</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397</v>
      </c>
      <c r="C231" s="252">
        <f t="shared" si="70"/>
        <v>3.60087708179809</v>
      </c>
      <c r="D231" s="266">
        <f t="shared" si="71"/>
        <v>2.73427597641857</v>
      </c>
      <c r="E231" s="266">
        <f t="shared" si="72"/>
        <v>4.48241960206338</v>
      </c>
      <c r="I231" s="208" t="s">
        <v>493</v>
      </c>
      <c r="J231" s="208"/>
      <c r="K231" s="208"/>
      <c r="L231" s="208"/>
      <c r="M231" s="208"/>
      <c r="N231" s="208"/>
      <c r="O231" s="208"/>
      <c r="P231" s="208"/>
      <c r="Q231" s="208"/>
      <c r="R231" s="240" t="s">
        <v>436</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398</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399</v>
      </c>
      <c r="C233" s="252">
        <f t="shared" si="70"/>
        <v>3.56645369688037</v>
      </c>
      <c r="D233" s="266">
        <f t="shared" si="71"/>
        <v>2.70813706705969</v>
      </c>
      <c r="E233" s="266">
        <f t="shared" si="72"/>
        <v>4.43956890198968</v>
      </c>
      <c r="I233" s="208" t="s">
        <v>426</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400</v>
      </c>
      <c r="C234" s="252">
        <f t="shared" si="70"/>
        <v>3.56585961680177</v>
      </c>
      <c r="D234" s="266">
        <f t="shared" si="71"/>
        <v>2.70768592483419</v>
      </c>
      <c r="E234" s="266">
        <f t="shared" si="72"/>
        <v>4.43882940309506</v>
      </c>
      <c r="I234" s="208" t="s">
        <v>428</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494</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401</v>
      </c>
      <c r="C235" s="252">
        <f t="shared" si="70"/>
        <v>3.56556266273643</v>
      </c>
      <c r="D235" s="266">
        <f t="shared" si="71"/>
        <v>2.70746042741341</v>
      </c>
      <c r="E235" s="266">
        <f t="shared" si="72"/>
        <v>4.4384597641857</v>
      </c>
      <c r="I235" s="208" t="s">
        <v>430</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490</v>
      </c>
    </row>
    <row r="236" ht="13" spans="1:64">
      <c r="B236" s="275" t="s">
        <v>402</v>
      </c>
      <c r="C236" s="252">
        <f t="shared" si="70"/>
        <v>3.56496890198968</v>
      </c>
      <c r="D236" s="266">
        <f t="shared" si="71"/>
        <v>2.70700957995578</v>
      </c>
      <c r="E236" s="266">
        <f t="shared" si="72"/>
        <v>4.43772063375092</v>
      </c>
      <c r="I236" s="208" t="s">
        <v>431</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432</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433</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434</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495</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490</v>
      </c>
      <c r="V261" s="279" t="s">
        <v>443</v>
      </c>
      <c r="W261" s="279" t="s">
        <v>444</v>
      </c>
    </row>
    <row r="262" spans="2:23">
      <c r="B262" s="279" t="s">
        <v>194</v>
      </c>
      <c r="C262" s="279" t="s">
        <v>257</v>
      </c>
      <c r="D262" s="279" t="s">
        <v>185</v>
      </c>
      <c r="E262" s="279" t="s">
        <v>186</v>
      </c>
      <c r="F262" s="279" t="s">
        <v>187</v>
      </c>
      <c r="G262" s="279" t="s">
        <v>188</v>
      </c>
      <c r="H262" s="279" t="s">
        <v>189</v>
      </c>
      <c r="I262" s="279" t="s">
        <v>190</v>
      </c>
      <c r="J262" s="279" t="s">
        <v>191</v>
      </c>
      <c r="K262" s="208" t="s">
        <v>418</v>
      </c>
      <c r="L262" s="208"/>
      <c r="M262" s="279">
        <f t="shared" ref="M262:M268" si="82">AB237</f>
        <v>0</v>
      </c>
      <c r="N262" s="280" t="s">
        <v>496</v>
      </c>
      <c r="O262" s="279">
        <v>0.0608</v>
      </c>
      <c r="P262" s="279">
        <v>0</v>
      </c>
      <c r="Q262" s="279">
        <v>0</v>
      </c>
      <c r="R262" s="279">
        <v>0</v>
      </c>
      <c r="S262" s="279">
        <v>2.25792</v>
      </c>
      <c r="T262" s="279">
        <v>0.60544</v>
      </c>
      <c r="U262" s="279">
        <v>0.6944</v>
      </c>
      <c r="V262" s="279" t="s">
        <v>312</v>
      </c>
      <c r="W262" s="279">
        <v>1</v>
      </c>
    </row>
    <row r="263" spans="2:23">
      <c r="B263" s="279" t="s">
        <v>497</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498</v>
      </c>
      <c r="O263" s="279">
        <v>0.06784</v>
      </c>
      <c r="P263" s="279">
        <v>0</v>
      </c>
      <c r="Q263" s="279">
        <v>0</v>
      </c>
      <c r="R263" s="279">
        <v>0.89344</v>
      </c>
      <c r="S263" s="279">
        <v>2.15616</v>
      </c>
      <c r="T263" s="279">
        <v>0.55232</v>
      </c>
      <c r="U263" s="279">
        <v>0.58304</v>
      </c>
      <c r="V263" s="279" t="s">
        <v>315</v>
      </c>
      <c r="W263" s="279">
        <v>1</v>
      </c>
    </row>
    <row r="264" spans="2:23">
      <c r="B264" s="279" t="s">
        <v>499</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500</v>
      </c>
      <c r="O264" s="279">
        <v>0.06528</v>
      </c>
      <c r="P264" s="279">
        <v>0.43008</v>
      </c>
      <c r="Q264" s="279">
        <v>0.08128</v>
      </c>
      <c r="R264" s="279">
        <v>0</v>
      </c>
      <c r="S264" s="279">
        <v>1.8688</v>
      </c>
      <c r="T264" s="279">
        <v>0.36096</v>
      </c>
      <c r="U264" s="279">
        <v>0.62592</v>
      </c>
      <c r="V264" s="279" t="s">
        <v>320</v>
      </c>
      <c r="W264" s="279">
        <v>1</v>
      </c>
    </row>
    <row r="265" spans="2:23">
      <c r="B265" s="279" t="s">
        <v>501</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502</v>
      </c>
      <c r="O265" s="279">
        <v>0.09024</v>
      </c>
      <c r="P265" s="279">
        <v>0.22464</v>
      </c>
      <c r="Q265" s="279">
        <v>0.22528</v>
      </c>
      <c r="R265" s="279">
        <v>0.20992</v>
      </c>
      <c r="S265" s="279">
        <v>1.9904</v>
      </c>
      <c r="T265" s="279">
        <v>0.43328</v>
      </c>
      <c r="U265" s="279">
        <v>0.62592</v>
      </c>
      <c r="V265" s="279" t="s">
        <v>324</v>
      </c>
      <c r="W265" s="279">
        <v>1</v>
      </c>
    </row>
    <row r="266" spans="2:23">
      <c r="B266" s="279" t="s">
        <v>503</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504</v>
      </c>
      <c r="O266" s="279">
        <v>0.08704</v>
      </c>
      <c r="P266" s="279">
        <v>0.32512</v>
      </c>
      <c r="Q266" s="279">
        <v>0.13056</v>
      </c>
      <c r="R266" s="279">
        <v>0.1824</v>
      </c>
      <c r="S266" s="279">
        <v>1.9648</v>
      </c>
      <c r="T266" s="279">
        <v>0.42304</v>
      </c>
      <c r="U266" s="279">
        <v>0.62784</v>
      </c>
      <c r="V266" s="279" t="s">
        <v>327</v>
      </c>
      <c r="W266" s="279">
        <v>1</v>
      </c>
    </row>
    <row r="267" spans="2:23">
      <c r="B267" s="279" t="s">
        <v>505</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506</v>
      </c>
      <c r="O267" s="279">
        <v>0.07552</v>
      </c>
      <c r="P267" s="279">
        <v>0.33984</v>
      </c>
      <c r="Q267" s="279">
        <v>0.11392</v>
      </c>
      <c r="R267" s="279">
        <v>0.10624</v>
      </c>
      <c r="S267" s="279">
        <v>1.93088</v>
      </c>
      <c r="T267" s="279">
        <v>0.3872</v>
      </c>
      <c r="U267" s="279">
        <v>0.6144</v>
      </c>
      <c r="V267" s="279" t="s">
        <v>329</v>
      </c>
      <c r="W267" s="279">
        <v>1</v>
      </c>
    </row>
    <row r="268" spans="2:23">
      <c r="B268" s="279" t="s">
        <v>507</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508</v>
      </c>
      <c r="O268" s="279">
        <v>0.064</v>
      </c>
      <c r="P268" s="279">
        <v>0.384</v>
      </c>
      <c r="Q268" s="279">
        <v>0.048</v>
      </c>
      <c r="R268" s="279">
        <v>0.0448</v>
      </c>
      <c r="S268" s="279">
        <v>1.86944</v>
      </c>
      <c r="T268" s="279">
        <v>0.35136</v>
      </c>
      <c r="U268" s="279">
        <v>0.61504</v>
      </c>
      <c r="V268" s="279" t="s">
        <v>331</v>
      </c>
      <c r="W268" s="279">
        <v>1</v>
      </c>
    </row>
    <row r="269" spans="2:23">
      <c r="B269" s="279" t="s">
        <v>509</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510</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511</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512</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513</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514</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515</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516</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517</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518</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519</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520</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521</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522</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523</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0" zoomScaleNormal="40" topLeftCell="A182" workbookViewId="0">
      <selection activeCell="Z236" sqref="Z236"/>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2026-07-18T21:50:01Z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